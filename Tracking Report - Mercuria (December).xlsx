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CLIENTS REPORTS\_CURRENT REPORTS\EXPORT REPORTS\"/>
    </mc:Choice>
  </mc:AlternateContent>
  <xr:revisionPtr revIDLastSave="0" documentId="13_ncr:1_{7981C1D2-563B-4717-8560-4AE11DDADFB3}" xr6:coauthVersionLast="36" xr6:coauthVersionMax="47" xr10:uidLastSave="{00000000-0000-0000-0000-000000000000}"/>
  <bookViews>
    <workbookView xWindow="-120" yWindow="-120" windowWidth="20730" windowHeight="11040" xr2:uid="{F8A0BAAB-AD6C-4099-B7C8-C4E6E5B73DC6}"/>
  </bookViews>
  <sheets>
    <sheet name="TFM - DAR December" sheetId="1" r:id="rId1"/>
    <sheet name="Summary" sheetId="2" r:id="rId2"/>
  </sheets>
  <definedNames>
    <definedName name="_xlnm._FilterDatabase" localSheetId="0" hidden="1">'TFM - DAR December'!$A$3:$AH$19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M1" i="1" l="1"/>
  <c r="V9" i="1" l="1"/>
  <c r="V4" i="1"/>
  <c r="V13" i="1" l="1"/>
  <c r="V12" i="1"/>
  <c r="V11" i="1"/>
  <c r="V10" i="1"/>
  <c r="V15" i="1"/>
  <c r="V17" i="1"/>
  <c r="V16" i="1"/>
  <c r="V18" i="1"/>
  <c r="Q6" i="2" l="1"/>
  <c r="V19" i="1"/>
  <c r="V7" i="1" l="1"/>
  <c r="V14" i="1"/>
  <c r="V6" i="1"/>
  <c r="V5" i="1"/>
  <c r="V20" i="1"/>
  <c r="A20" i="1" l="1"/>
  <c r="A6" i="1"/>
  <c r="A5" i="1"/>
  <c r="A13" i="1"/>
  <c r="A17" i="1"/>
  <c r="A19" i="1"/>
  <c r="A11" i="1"/>
  <c r="A16" i="1"/>
  <c r="A15" i="1"/>
  <c r="A12" i="1"/>
  <c r="A10" i="1"/>
  <c r="A18" i="1"/>
  <c r="A8" i="1"/>
  <c r="A4" i="1"/>
  <c r="A14" i="1"/>
  <c r="A7" i="1"/>
  <c r="A9" i="1"/>
  <c r="V8" i="1" l="1"/>
  <c r="P7" i="2" l="1"/>
  <c r="O7" i="2"/>
  <c r="Q7" i="2"/>
</calcChain>
</file>

<file path=xl/sharedStrings.xml><?xml version="1.0" encoding="utf-8"?>
<sst xmlns="http://schemas.openxmlformats.org/spreadsheetml/2006/main" count="296" uniqueCount="181">
  <si>
    <t>SN</t>
  </si>
  <si>
    <t>Uplift</t>
  </si>
  <si>
    <t>Offloading Point</t>
  </si>
  <si>
    <t>PRODUCT</t>
  </si>
  <si>
    <t>Transporter</t>
  </si>
  <si>
    <t>Lot No</t>
  </si>
  <si>
    <t>Truck</t>
  </si>
  <si>
    <t>Trailer I</t>
  </si>
  <si>
    <t>Trailer II</t>
  </si>
  <si>
    <t>Passport</t>
  </si>
  <si>
    <t xml:space="preserve">Loading Capacities </t>
  </si>
  <si>
    <t>Loaded Weight (Kgs)</t>
  </si>
  <si>
    <t>Type</t>
  </si>
  <si>
    <t>Current Location</t>
  </si>
  <si>
    <t>REMARK</t>
  </si>
  <si>
    <t>L/SITE</t>
  </si>
  <si>
    <t>Origins</t>
  </si>
  <si>
    <t>WHISKY</t>
  </si>
  <si>
    <t>KASUMBALESA/SAKANIA</t>
  </si>
  <si>
    <t>Nakonde border</t>
  </si>
  <si>
    <t>Tunduma border</t>
  </si>
  <si>
    <t>Final destination</t>
  </si>
  <si>
    <t>Driver Telephone No</t>
  </si>
  <si>
    <t>Driver's Name</t>
  </si>
  <si>
    <t>ETA</t>
  </si>
  <si>
    <t>Arrival</t>
  </si>
  <si>
    <t>Loaded</t>
  </si>
  <si>
    <t>Departure</t>
  </si>
  <si>
    <t>Days</t>
  </si>
  <si>
    <t>Dispatch</t>
  </si>
  <si>
    <t>Offloaded</t>
  </si>
  <si>
    <t>Total delays</t>
  </si>
  <si>
    <t>TFM</t>
  </si>
  <si>
    <t>Copper Cathode</t>
  </si>
  <si>
    <t>OVERLAND</t>
  </si>
  <si>
    <t>FLATBED</t>
  </si>
  <si>
    <t>Loaded waiting for release</t>
  </si>
  <si>
    <t>NO</t>
  </si>
  <si>
    <t>Allocations</t>
  </si>
  <si>
    <t>Total Allocations</t>
  </si>
  <si>
    <t>Waiting to load</t>
  </si>
  <si>
    <t>In -Transit (DRC)</t>
  </si>
  <si>
    <t>whisky border</t>
  </si>
  <si>
    <t>At K-lesa/Sakania border</t>
  </si>
  <si>
    <t>In -Transit (ZMB)</t>
  </si>
  <si>
    <t>At Nakonde/Tunduma Border</t>
  </si>
  <si>
    <t>In -Transit (TZ)</t>
  </si>
  <si>
    <t xml:space="preserve">Waiting to Offload </t>
  </si>
  <si>
    <t>Total Active</t>
  </si>
  <si>
    <t>T500DMH</t>
  </si>
  <si>
    <t>T855CBB</t>
  </si>
  <si>
    <t>T612EFH</t>
  </si>
  <si>
    <t>T389DZH</t>
  </si>
  <si>
    <t>T205DZH</t>
  </si>
  <si>
    <t>T850DZG</t>
  </si>
  <si>
    <t>T418BVZ</t>
  </si>
  <si>
    <t>T463CBM</t>
  </si>
  <si>
    <t>T225EMP</t>
  </si>
  <si>
    <t>T154EJA</t>
  </si>
  <si>
    <t>T693EHV</t>
  </si>
  <si>
    <t>T227EMP</t>
  </si>
  <si>
    <t>T650CJT</t>
  </si>
  <si>
    <t>T428CRA</t>
  </si>
  <si>
    <t>T263EMP</t>
  </si>
  <si>
    <t>T372DZH</t>
  </si>
  <si>
    <t>T198DZH</t>
  </si>
  <si>
    <t>T897DZG</t>
  </si>
  <si>
    <t>T342DWZ</t>
  </si>
  <si>
    <t>T122DXM</t>
  </si>
  <si>
    <t>T123DXM</t>
  </si>
  <si>
    <t>T301BXT</t>
  </si>
  <si>
    <t>T758CVC</t>
  </si>
  <si>
    <t>T720EFH</t>
  </si>
  <si>
    <t>T904ECV</t>
  </si>
  <si>
    <t>T717DEG</t>
  </si>
  <si>
    <t>T232DNF</t>
  </si>
  <si>
    <t>T569CTF</t>
  </si>
  <si>
    <t>T566DTR</t>
  </si>
  <si>
    <t>T469DZH</t>
  </si>
  <si>
    <t>T208DZH</t>
  </si>
  <si>
    <t>T193DZH</t>
  </si>
  <si>
    <t>T621DPV</t>
  </si>
  <si>
    <t>T245ARR</t>
  </si>
  <si>
    <t>T568DTR</t>
  </si>
  <si>
    <t>T660DQF</t>
  </si>
  <si>
    <t>T226DQD</t>
  </si>
  <si>
    <t>T509DQD</t>
  </si>
  <si>
    <t>T292DRM</t>
  </si>
  <si>
    <t>T978BXK</t>
  </si>
  <si>
    <t>T349DWZ</t>
  </si>
  <si>
    <t>T190DXQ</t>
  </si>
  <si>
    <t>T191DXQ</t>
  </si>
  <si>
    <t>T859EBS</t>
  </si>
  <si>
    <t>T960EBC</t>
  </si>
  <si>
    <t>T556EBB</t>
  </si>
  <si>
    <t>T879CQL</t>
  </si>
  <si>
    <t>T375CRT</t>
  </si>
  <si>
    <t>T426EFH</t>
  </si>
  <si>
    <t>HEZRON GEORGE NSONGAMA</t>
  </si>
  <si>
    <t>DENISI KILISTOFA HAULE</t>
  </si>
  <si>
    <t>MUSSA DAUDI SADIKI</t>
  </si>
  <si>
    <t>CLAUDY FRANK CHAMBULILA</t>
  </si>
  <si>
    <t>ISACK SAMSON KALIDUSHI</t>
  </si>
  <si>
    <t xml:space="preserve">ERASTO MANENO SHAIBU </t>
  </si>
  <si>
    <t>JOHN DEVID SHANGALI</t>
  </si>
  <si>
    <t>COSMAS ISRAEL SANGA</t>
  </si>
  <si>
    <t>BAKARI SALIM BAKARI</t>
  </si>
  <si>
    <t>BASHIRI WAZIRI MFINANGA</t>
  </si>
  <si>
    <t>ASAJILE RICHARD MWAKATUMBULA</t>
  </si>
  <si>
    <t>FRANSIS IZDOLI KALINGA</t>
  </si>
  <si>
    <t>SELEMANI MZEE MNEMO</t>
  </si>
  <si>
    <t>IDDI TITUSI MKENGE</t>
  </si>
  <si>
    <t>CHRISTOPHER ADELIN MASAWE</t>
  </si>
  <si>
    <t>CHRISTIAN CLETUS CHILUMBA</t>
  </si>
  <si>
    <t>JOHN PAULO MZALIFU</t>
  </si>
  <si>
    <t>TAE694132</t>
  </si>
  <si>
    <t>TAE560483</t>
  </si>
  <si>
    <t>TAE698059</t>
  </si>
  <si>
    <t>TAE724508</t>
  </si>
  <si>
    <t>AB10174248</t>
  </si>
  <si>
    <t>TAE679581</t>
  </si>
  <si>
    <t>TAE686937</t>
  </si>
  <si>
    <t>TAE701754</t>
  </si>
  <si>
    <t>TAE698975</t>
  </si>
  <si>
    <t>TAE485152</t>
  </si>
  <si>
    <t>TAE813780</t>
  </si>
  <si>
    <t>AB10175637</t>
  </si>
  <si>
    <t>TAE672834</t>
  </si>
  <si>
    <t>TAE676353</t>
  </si>
  <si>
    <t>TAE858659</t>
  </si>
  <si>
    <t>TAE677071</t>
  </si>
  <si>
    <t>TAE710570</t>
  </si>
  <si>
    <t>255742368180/255717487998</t>
  </si>
  <si>
    <t>255717 870409</t>
  </si>
  <si>
    <t>255744 948922</t>
  </si>
  <si>
    <t>255742 282634</t>
  </si>
  <si>
    <t>255655 854438</t>
  </si>
  <si>
    <t>255678 317771/255747 287449</t>
  </si>
  <si>
    <t>255750526252</t>
  </si>
  <si>
    <t>255768 846241/255652 183670</t>
  </si>
  <si>
    <t>255719 117722/255748 317722</t>
  </si>
  <si>
    <t>255782 663225</t>
  </si>
  <si>
    <t>255657140755/255767 783499</t>
  </si>
  <si>
    <t>255767 132534</t>
  </si>
  <si>
    <t>255759968816/255712037203</t>
  </si>
  <si>
    <t>255714 047124</t>
  </si>
  <si>
    <t>255768222351</t>
  </si>
  <si>
    <t>255784850354/255764346260</t>
  </si>
  <si>
    <t>255623065426</t>
  </si>
  <si>
    <t>C-Steinweg Bridge WH   TAZARA</t>
  </si>
  <si>
    <t>December</t>
  </si>
  <si>
    <t>TA05816/TFM/12/25</t>
  </si>
  <si>
    <t>TA05815/TFM/12/25</t>
  </si>
  <si>
    <t>28-13</t>
  </si>
  <si>
    <t>TA05954/TFM/12/25</t>
  </si>
  <si>
    <t>TA05955/TFM/12/25</t>
  </si>
  <si>
    <t>TB06149/TFM/12/25</t>
  </si>
  <si>
    <t>TB06172/TFM/12/25</t>
  </si>
  <si>
    <t>TB06261/TFM/12/25</t>
  </si>
  <si>
    <t>TB06262/TFM/12/25</t>
  </si>
  <si>
    <t>TB06286/TFM/12/25</t>
  </si>
  <si>
    <t>TA06125/TFM/12/25</t>
  </si>
  <si>
    <t>TA06126/TFM/12/25</t>
  </si>
  <si>
    <t>TA06127/TFM/12/25</t>
  </si>
  <si>
    <t>TA06128/TFM/12/25</t>
  </si>
  <si>
    <t>TA06099/TFM/12/25</t>
  </si>
  <si>
    <t>TA05934/TFM/12/25</t>
  </si>
  <si>
    <t>TA05932/TFM/12/25</t>
  </si>
  <si>
    <t>TA05930/TFM/12/25</t>
  </si>
  <si>
    <t xml:space="preserve">Clearing Agent :BRAVO
Offloading W.H :Steinweg DAR Tazara
</t>
  </si>
  <si>
    <t>OFFLOADED</t>
  </si>
  <si>
    <t>Completed</t>
  </si>
  <si>
    <t>Clearnce</t>
  </si>
  <si>
    <t>WHISKEY</t>
  </si>
  <si>
    <t>MOROGORO</t>
  </si>
  <si>
    <t>B/DOWN</t>
  </si>
  <si>
    <t>In Transit</t>
  </si>
  <si>
    <t>MPEMBA</t>
  </si>
  <si>
    <t>MBALIZI</t>
  </si>
  <si>
    <t>MBEYA</t>
  </si>
  <si>
    <t>VWAWA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</si>
</sst>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[$-409]d\-mmm;@"/>
    <numFmt numFmtId="166" formatCode="[$-409]dd/mmm/yy;@"/>
    <numFmt numFmtId="167" formatCode="[$-409]d/mmm/yy;@"/>
    <numFmt numFmtId="168" formatCode="[$-409]d\-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5" fontId="5" fillId="2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167" fontId="5" fillId="2" borderId="1" xfId="0" applyNumberFormat="1" applyFont="1" applyFill="1" applyBorder="1" applyAlignment="1">
      <alignment horizontal="center" vertical="center" wrapText="1"/>
    </xf>
    <xf numFmtId="167" fontId="5" fillId="2" borderId="3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8" fontId="8" fillId="7" borderId="1" xfId="0" applyNumberFormat="1" applyFont="1" applyFill="1" applyBorder="1" applyAlignment="1">
      <alignment horizontal="center" vertical="center"/>
    </xf>
    <xf numFmtId="16" fontId="9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/>
    </xf>
    <xf numFmtId="1" fontId="6" fillId="8" borderId="1" xfId="0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166" fontId="5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9CAA-D19C-444C-8F4B-F12F61FACDF4}">
  <dimension ref="A1:AH23"/>
  <sheetViews>
    <sheetView tabSelected="1" topLeftCell="L1" zoomScale="115" zoomScaleNormal="115" workbookViewId="0">
      <selection activeCell="M1" sqref="M1"/>
    </sheetView>
  </sheetViews>
  <sheetFormatPr defaultColWidth="8.7265625" defaultRowHeight="13" x14ac:dyDescent="0.3"/>
  <cols>
    <col min="1" max="1" width="8.7265625" style="19"/>
    <col min="2" max="2" width="5.1796875" style="19" bestFit="1" customWidth="1"/>
    <col min="3" max="3" width="25.453125" style="19" bestFit="1" customWidth="1"/>
    <col min="4" max="4" width="21.1796875" style="19" customWidth="1"/>
    <col min="5" max="5" width="11.26953125" style="19" bestFit="1" customWidth="1"/>
    <col min="6" max="6" width="24.81640625" style="19" bestFit="1" customWidth="1"/>
    <col min="7" max="7" width="22.26953125" style="19" customWidth="1"/>
    <col min="8" max="8" width="9.453125" style="19" customWidth="1"/>
    <col min="9" max="9" width="10.1796875" style="19" customWidth="1"/>
    <col min="10" max="10" width="28.1796875" style="19" customWidth="1"/>
    <col min="11" max="11" width="29.54296875" style="19" customWidth="1"/>
    <col min="12" max="12" width="12.26953125" style="19" customWidth="1"/>
    <col min="13" max="13" width="10.1796875" style="19" customWidth="1"/>
    <col min="14" max="14" width="14.81640625" style="19" customWidth="1"/>
    <col min="15" max="15" width="7.453125" style="19" customWidth="1"/>
    <col min="16" max="16" width="16" style="19" customWidth="1"/>
    <col min="17" max="17" width="22.54296875" style="19" customWidth="1"/>
    <col min="18" max="18" width="13.453125" style="19" customWidth="1"/>
    <col min="19" max="19" width="10.453125" style="19" bestFit="1" customWidth="1"/>
    <col min="20" max="20" width="9.1796875" style="19" customWidth="1"/>
    <col min="21" max="21" width="12.1796875" style="19" customWidth="1"/>
    <col min="22" max="25" width="9.1796875" style="19" customWidth="1"/>
    <col min="26" max="26" width="14" style="19" customWidth="1"/>
    <col min="27" max="27" width="10.453125" style="19" bestFit="1" customWidth="1"/>
    <col min="28" max="31" width="9.1796875" style="19" customWidth="1"/>
    <col min="32" max="32" width="11.54296875" style="19" customWidth="1"/>
    <col min="33" max="33" width="9.1796875" style="19" customWidth="1"/>
    <col min="34" max="34" width="14.1796875" style="19" customWidth="1"/>
    <col min="35" max="16384" width="8.7265625" style="19"/>
  </cols>
  <sheetData>
    <row r="1" spans="1:34" s="6" customFormat="1" ht="14.5" x14ac:dyDescent="0.3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1"/>
      <c r="K1" s="1"/>
      <c r="L1" s="2"/>
      <c r="M1" s="3">
        <f>SUM(M4:M19)</f>
        <v>570</v>
      </c>
      <c r="N1" s="4">
        <f>SUM(N4:N20)</f>
        <v>601149</v>
      </c>
      <c r="O1" s="5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s="10" customFormat="1" ht="12.75" customHeight="1" x14ac:dyDescent="0.3">
      <c r="A2" s="49"/>
      <c r="B2" s="51" t="s">
        <v>1</v>
      </c>
      <c r="C2" s="52" t="s">
        <v>2</v>
      </c>
      <c r="D2" s="54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7"/>
      <c r="K2" s="7"/>
      <c r="L2" s="41" t="s">
        <v>9</v>
      </c>
      <c r="M2" s="42" t="s">
        <v>10</v>
      </c>
      <c r="N2" s="43" t="s">
        <v>11</v>
      </c>
      <c r="O2" s="42" t="s">
        <v>12</v>
      </c>
      <c r="P2" s="41" t="s">
        <v>13</v>
      </c>
      <c r="Q2" s="41" t="s">
        <v>14</v>
      </c>
      <c r="R2" s="8" t="s">
        <v>15</v>
      </c>
      <c r="S2" s="45" t="s">
        <v>16</v>
      </c>
      <c r="T2" s="45"/>
      <c r="U2" s="45"/>
      <c r="V2" s="45"/>
      <c r="W2" s="46" t="s">
        <v>17</v>
      </c>
      <c r="X2" s="46"/>
      <c r="Y2" s="47" t="s">
        <v>18</v>
      </c>
      <c r="Z2" s="46"/>
      <c r="AA2" s="46" t="s">
        <v>19</v>
      </c>
      <c r="AB2" s="46"/>
      <c r="AC2" s="46" t="s">
        <v>20</v>
      </c>
      <c r="AD2" s="46"/>
      <c r="AE2" s="40" t="s">
        <v>21</v>
      </c>
      <c r="AF2" s="40"/>
      <c r="AG2" s="40"/>
      <c r="AH2" s="9"/>
    </row>
    <row r="3" spans="1:34" s="10" customFormat="1" ht="17.149999999999999" customHeight="1" x14ac:dyDescent="0.3">
      <c r="A3" s="49"/>
      <c r="B3" s="51"/>
      <c r="C3" s="53"/>
      <c r="D3" s="55"/>
      <c r="E3" s="41"/>
      <c r="F3" s="41"/>
      <c r="G3" s="41"/>
      <c r="H3" s="41"/>
      <c r="I3" s="41"/>
      <c r="J3" s="7" t="s">
        <v>22</v>
      </c>
      <c r="K3" s="7" t="s">
        <v>23</v>
      </c>
      <c r="L3" s="41"/>
      <c r="M3" s="42"/>
      <c r="N3" s="44"/>
      <c r="O3" s="42"/>
      <c r="P3" s="41"/>
      <c r="Q3" s="41"/>
      <c r="R3" s="8" t="s">
        <v>24</v>
      </c>
      <c r="S3" s="11" t="s">
        <v>25</v>
      </c>
      <c r="T3" s="11" t="s">
        <v>26</v>
      </c>
      <c r="U3" s="11" t="s">
        <v>27</v>
      </c>
      <c r="V3" s="12" t="s">
        <v>28</v>
      </c>
      <c r="W3" s="13" t="s">
        <v>25</v>
      </c>
      <c r="X3" s="13" t="s">
        <v>29</v>
      </c>
      <c r="Y3" s="14" t="s">
        <v>25</v>
      </c>
      <c r="Z3" s="13" t="s">
        <v>29</v>
      </c>
      <c r="AA3" s="13" t="s">
        <v>25</v>
      </c>
      <c r="AB3" s="13" t="s">
        <v>29</v>
      </c>
      <c r="AC3" s="13" t="s">
        <v>25</v>
      </c>
      <c r="AD3" s="13" t="s">
        <v>29</v>
      </c>
      <c r="AE3" s="13" t="s">
        <v>25</v>
      </c>
      <c r="AF3" s="13" t="s">
        <v>30</v>
      </c>
      <c r="AG3" s="15" t="s">
        <v>28</v>
      </c>
      <c r="AH3" s="9" t="s">
        <v>31</v>
      </c>
    </row>
    <row r="4" spans="1:34" s="32" customFormat="1" ht="15.65" customHeight="1" x14ac:dyDescent="0.3">
      <c r="A4" s="20">
        <f t="shared" ref="A4:A20" si="0">ROW()-3</f>
        <v>1</v>
      </c>
      <c r="B4" s="20" t="s">
        <v>32</v>
      </c>
      <c r="C4" s="38" t="s">
        <v>149</v>
      </c>
      <c r="D4" s="20" t="s">
        <v>33</v>
      </c>
      <c r="E4" s="20" t="s">
        <v>34</v>
      </c>
      <c r="F4" s="20" t="s">
        <v>160</v>
      </c>
      <c r="G4" s="21" t="s">
        <v>58</v>
      </c>
      <c r="H4" s="21" t="s">
        <v>59</v>
      </c>
      <c r="I4" s="21" t="s">
        <v>60</v>
      </c>
      <c r="J4" s="33" t="s">
        <v>135</v>
      </c>
      <c r="K4" s="20" t="s">
        <v>101</v>
      </c>
      <c r="L4" s="21" t="s">
        <v>118</v>
      </c>
      <c r="M4" s="34">
        <v>35</v>
      </c>
      <c r="N4" s="35">
        <v>35119</v>
      </c>
      <c r="O4" s="20" t="s">
        <v>35</v>
      </c>
      <c r="P4" s="21" t="s">
        <v>173</v>
      </c>
      <c r="Q4" s="21" t="s">
        <v>172</v>
      </c>
      <c r="R4" s="17">
        <v>46013</v>
      </c>
      <c r="S4" s="18">
        <v>46013</v>
      </c>
      <c r="T4" s="18">
        <v>46016</v>
      </c>
      <c r="U4" s="31">
        <v>46035</v>
      </c>
      <c r="V4" s="36">
        <f t="shared" ref="V4:V9" si="1">(U4-S4)</f>
        <v>22</v>
      </c>
      <c r="W4" s="31">
        <v>46036</v>
      </c>
      <c r="X4" s="31"/>
      <c r="Y4" s="31"/>
      <c r="Z4" s="20"/>
      <c r="AA4" s="20"/>
      <c r="AB4" s="20"/>
      <c r="AC4" s="20"/>
      <c r="AD4" s="20"/>
      <c r="AE4" s="20"/>
      <c r="AF4" s="20"/>
      <c r="AG4" s="20"/>
      <c r="AH4" s="20"/>
    </row>
    <row r="5" spans="1:34" s="32" customFormat="1" ht="15.75" customHeight="1" x14ac:dyDescent="0.3">
      <c r="A5" s="20">
        <f t="shared" si="0"/>
        <v>2</v>
      </c>
      <c r="B5" s="20" t="s">
        <v>32</v>
      </c>
      <c r="C5" s="38" t="s">
        <v>149</v>
      </c>
      <c r="D5" s="20" t="s">
        <v>33</v>
      </c>
      <c r="E5" s="20" t="s">
        <v>34</v>
      </c>
      <c r="F5" s="20" t="s">
        <v>161</v>
      </c>
      <c r="G5" s="21" t="s">
        <v>52</v>
      </c>
      <c r="H5" s="21" t="s">
        <v>53</v>
      </c>
      <c r="I5" s="21" t="s">
        <v>54</v>
      </c>
      <c r="J5" s="33" t="s">
        <v>133</v>
      </c>
      <c r="K5" s="20" t="s">
        <v>99</v>
      </c>
      <c r="L5" s="21" t="s">
        <v>116</v>
      </c>
      <c r="M5" s="34">
        <v>36</v>
      </c>
      <c r="N5" s="35">
        <v>35197</v>
      </c>
      <c r="O5" s="20" t="s">
        <v>35</v>
      </c>
      <c r="P5" s="21" t="s">
        <v>173</v>
      </c>
      <c r="Q5" s="21" t="s">
        <v>172</v>
      </c>
      <c r="R5" s="17">
        <v>46015</v>
      </c>
      <c r="S5" s="18">
        <v>46015</v>
      </c>
      <c r="T5" s="18">
        <v>46019</v>
      </c>
      <c r="U5" s="31">
        <v>46035</v>
      </c>
      <c r="V5" s="36">
        <f>(U5-S5)</f>
        <v>20</v>
      </c>
      <c r="W5" s="31">
        <v>46036</v>
      </c>
      <c r="X5" s="31"/>
      <c r="Y5" s="31"/>
      <c r="Z5" s="20"/>
      <c r="AA5" s="20"/>
      <c r="AB5" s="20"/>
      <c r="AC5" s="20"/>
      <c r="AD5" s="20"/>
      <c r="AE5" s="20"/>
      <c r="AF5" s="20"/>
      <c r="AG5" s="20"/>
      <c r="AH5" s="20"/>
    </row>
    <row r="6" spans="1:34" s="32" customFormat="1" ht="15.65" customHeight="1" x14ac:dyDescent="0.3">
      <c r="A6" s="20">
        <f t="shared" si="0"/>
        <v>3</v>
      </c>
      <c r="B6" s="20" t="s">
        <v>32</v>
      </c>
      <c r="C6" s="38" t="s">
        <v>149</v>
      </c>
      <c r="D6" s="20" t="s">
        <v>33</v>
      </c>
      <c r="E6" s="20" t="s">
        <v>34</v>
      </c>
      <c r="F6" s="20" t="s">
        <v>162</v>
      </c>
      <c r="G6" s="21" t="s">
        <v>55</v>
      </c>
      <c r="H6" s="21" t="s">
        <v>56</v>
      </c>
      <c r="I6" s="21" t="s">
        <v>57</v>
      </c>
      <c r="J6" s="33" t="s">
        <v>134</v>
      </c>
      <c r="K6" s="20" t="s">
        <v>100</v>
      </c>
      <c r="L6" s="21" t="s">
        <v>117</v>
      </c>
      <c r="M6" s="34">
        <v>35</v>
      </c>
      <c r="N6" s="35">
        <v>35451</v>
      </c>
      <c r="O6" s="20" t="s">
        <v>35</v>
      </c>
      <c r="P6" s="21" t="s">
        <v>173</v>
      </c>
      <c r="Q6" s="21" t="s">
        <v>172</v>
      </c>
      <c r="R6" s="17">
        <v>46015</v>
      </c>
      <c r="S6" s="18">
        <v>46015</v>
      </c>
      <c r="T6" s="18">
        <v>46019</v>
      </c>
      <c r="U6" s="31">
        <v>46036</v>
      </c>
      <c r="V6" s="36">
        <f>(U6-S6)</f>
        <v>21</v>
      </c>
      <c r="W6" s="31">
        <v>46038</v>
      </c>
      <c r="X6" s="31"/>
      <c r="Y6" s="31"/>
      <c r="Z6" s="20"/>
      <c r="AA6" s="20"/>
      <c r="AB6" s="20"/>
      <c r="AC6" s="20"/>
      <c r="AD6" s="20"/>
      <c r="AE6" s="20"/>
      <c r="AF6" s="20"/>
      <c r="AG6" s="20"/>
      <c r="AH6" s="20"/>
    </row>
    <row r="7" spans="1:34" s="32" customFormat="1" ht="15.75" customHeight="1" x14ac:dyDescent="0.3">
      <c r="A7" s="20">
        <f t="shared" si="0"/>
        <v>4</v>
      </c>
      <c r="B7" s="20" t="s">
        <v>32</v>
      </c>
      <c r="C7" s="38" t="s">
        <v>149</v>
      </c>
      <c r="D7" s="20" t="s">
        <v>33</v>
      </c>
      <c r="E7" s="20" t="s">
        <v>34</v>
      </c>
      <c r="F7" s="20" t="s">
        <v>163</v>
      </c>
      <c r="G7" s="21" t="s">
        <v>67</v>
      </c>
      <c r="H7" s="21" t="s">
        <v>68</v>
      </c>
      <c r="I7" s="21" t="s">
        <v>69</v>
      </c>
      <c r="J7" s="33" t="s">
        <v>138</v>
      </c>
      <c r="K7" s="20" t="s">
        <v>104</v>
      </c>
      <c r="L7" s="21" t="s">
        <v>121</v>
      </c>
      <c r="M7" s="34">
        <v>36</v>
      </c>
      <c r="N7" s="35">
        <v>35720</v>
      </c>
      <c r="O7" s="20" t="s">
        <v>35</v>
      </c>
      <c r="P7" s="21" t="s">
        <v>173</v>
      </c>
      <c r="Q7" s="21" t="s">
        <v>172</v>
      </c>
      <c r="R7" s="17">
        <v>46015</v>
      </c>
      <c r="S7" s="18">
        <v>46015</v>
      </c>
      <c r="T7" s="18">
        <v>46019</v>
      </c>
      <c r="U7" s="31">
        <v>46036</v>
      </c>
      <c r="V7" s="36">
        <f>(U7-S7)</f>
        <v>21</v>
      </c>
      <c r="W7" s="31">
        <v>46038</v>
      </c>
      <c r="X7" s="31"/>
      <c r="Y7" s="31"/>
      <c r="Z7" s="20"/>
      <c r="AA7" s="20"/>
      <c r="AB7" s="20"/>
      <c r="AC7" s="20"/>
      <c r="AD7" s="20"/>
      <c r="AE7" s="20"/>
      <c r="AF7" s="20"/>
      <c r="AG7" s="20"/>
      <c r="AH7" s="20"/>
    </row>
    <row r="8" spans="1:34" s="32" customFormat="1" ht="15.75" customHeight="1" x14ac:dyDescent="0.3">
      <c r="A8" s="20">
        <f t="shared" si="0"/>
        <v>5</v>
      </c>
      <c r="B8" s="20" t="s">
        <v>32</v>
      </c>
      <c r="C8" s="38" t="s">
        <v>149</v>
      </c>
      <c r="D8" s="20" t="s">
        <v>33</v>
      </c>
      <c r="E8" s="20" t="s">
        <v>34</v>
      </c>
      <c r="F8" s="20" t="s">
        <v>164</v>
      </c>
      <c r="G8" s="21" t="s">
        <v>70</v>
      </c>
      <c r="H8" s="21" t="s">
        <v>71</v>
      </c>
      <c r="I8" s="21" t="s">
        <v>72</v>
      </c>
      <c r="J8" s="33" t="s">
        <v>139</v>
      </c>
      <c r="K8" s="20" t="s">
        <v>105</v>
      </c>
      <c r="L8" s="21" t="s">
        <v>122</v>
      </c>
      <c r="M8" s="34">
        <v>35</v>
      </c>
      <c r="N8" s="35">
        <v>35239</v>
      </c>
      <c r="O8" s="20" t="s">
        <v>35</v>
      </c>
      <c r="P8" s="21" t="s">
        <v>173</v>
      </c>
      <c r="Q8" s="21" t="s">
        <v>172</v>
      </c>
      <c r="R8" s="17">
        <v>46015</v>
      </c>
      <c r="S8" s="18">
        <v>46015</v>
      </c>
      <c r="T8" s="18">
        <v>46019</v>
      </c>
      <c r="U8" s="31">
        <v>46036</v>
      </c>
      <c r="V8" s="36">
        <f>(U8-S8)</f>
        <v>21</v>
      </c>
      <c r="W8" s="31">
        <v>46038</v>
      </c>
      <c r="X8" s="31"/>
      <c r="Y8" s="31"/>
      <c r="Z8" s="20"/>
      <c r="AA8" s="20"/>
      <c r="AB8" s="20"/>
      <c r="AC8" s="20"/>
      <c r="AD8" s="20"/>
      <c r="AE8" s="20"/>
      <c r="AF8" s="20"/>
      <c r="AG8" s="20"/>
      <c r="AH8" s="20"/>
    </row>
    <row r="9" spans="1:34" s="32" customFormat="1" ht="15.75" customHeight="1" x14ac:dyDescent="0.3">
      <c r="A9" s="20">
        <f t="shared" si="0"/>
        <v>6</v>
      </c>
      <c r="B9" s="20" t="s">
        <v>32</v>
      </c>
      <c r="C9" s="38" t="s">
        <v>149</v>
      </c>
      <c r="D9" s="20" t="s">
        <v>33</v>
      </c>
      <c r="E9" s="20" t="s">
        <v>34</v>
      </c>
      <c r="F9" s="20" t="s">
        <v>165</v>
      </c>
      <c r="G9" s="21" t="s">
        <v>61</v>
      </c>
      <c r="H9" s="21" t="s">
        <v>62</v>
      </c>
      <c r="I9" s="21" t="s">
        <v>63</v>
      </c>
      <c r="J9" s="33" t="s">
        <v>136</v>
      </c>
      <c r="K9" s="20" t="s">
        <v>102</v>
      </c>
      <c r="L9" s="21" t="s">
        <v>119</v>
      </c>
      <c r="M9" s="34">
        <v>35</v>
      </c>
      <c r="N9" s="35">
        <v>35930</v>
      </c>
      <c r="O9" s="20" t="s">
        <v>35</v>
      </c>
      <c r="P9" s="21" t="s">
        <v>173</v>
      </c>
      <c r="Q9" s="21" t="s">
        <v>172</v>
      </c>
      <c r="R9" s="17">
        <v>46014</v>
      </c>
      <c r="S9" s="18">
        <v>46014</v>
      </c>
      <c r="T9" s="18">
        <v>46017</v>
      </c>
      <c r="U9" s="31">
        <v>46035</v>
      </c>
      <c r="V9" s="36">
        <f t="shared" si="1"/>
        <v>21</v>
      </c>
      <c r="W9" s="31">
        <v>46036</v>
      </c>
      <c r="X9" s="31"/>
      <c r="Y9" s="31"/>
      <c r="Z9" s="20"/>
      <c r="AA9" s="20"/>
      <c r="AB9" s="20"/>
      <c r="AC9" s="20"/>
      <c r="AD9" s="20"/>
      <c r="AE9" s="20"/>
      <c r="AF9" s="20"/>
      <c r="AG9" s="20"/>
      <c r="AH9" s="20"/>
    </row>
    <row r="10" spans="1:34" s="32" customFormat="1" ht="15.75" customHeight="1" x14ac:dyDescent="0.3">
      <c r="A10" s="20">
        <f t="shared" si="0"/>
        <v>7</v>
      </c>
      <c r="B10" s="20" t="s">
        <v>32</v>
      </c>
      <c r="C10" s="38" t="s">
        <v>149</v>
      </c>
      <c r="D10" s="20" t="s">
        <v>33</v>
      </c>
      <c r="E10" s="20" t="s">
        <v>34</v>
      </c>
      <c r="F10" s="20" t="s">
        <v>154</v>
      </c>
      <c r="G10" s="21" t="s">
        <v>84</v>
      </c>
      <c r="H10" s="21" t="s">
        <v>85</v>
      </c>
      <c r="I10" s="21" t="s">
        <v>86</v>
      </c>
      <c r="J10" s="33" t="s">
        <v>144</v>
      </c>
      <c r="K10" s="20" t="s">
        <v>110</v>
      </c>
      <c r="L10" s="21" t="s">
        <v>127</v>
      </c>
      <c r="M10" s="34">
        <v>35</v>
      </c>
      <c r="N10" s="35">
        <v>35417</v>
      </c>
      <c r="O10" s="20" t="s">
        <v>35</v>
      </c>
      <c r="P10" s="21" t="s">
        <v>177</v>
      </c>
      <c r="Q10" s="21" t="s">
        <v>176</v>
      </c>
      <c r="R10" s="17">
        <v>46007</v>
      </c>
      <c r="S10" s="18">
        <v>46007</v>
      </c>
      <c r="T10" s="18">
        <v>46010</v>
      </c>
      <c r="U10" s="31">
        <v>46021</v>
      </c>
      <c r="V10" s="36">
        <f t="shared" ref="V10:V13" si="2">(U10-S10)</f>
        <v>14</v>
      </c>
      <c r="W10" s="31">
        <v>46024</v>
      </c>
      <c r="X10" s="31">
        <v>46032</v>
      </c>
      <c r="Y10" s="31">
        <v>46032</v>
      </c>
      <c r="Z10" s="31">
        <v>46034</v>
      </c>
      <c r="AA10" s="31">
        <v>46037</v>
      </c>
      <c r="AB10" s="31">
        <v>46041</v>
      </c>
      <c r="AC10" s="31">
        <v>46041</v>
      </c>
      <c r="AD10" s="31">
        <v>46042</v>
      </c>
      <c r="AE10" s="20"/>
      <c r="AF10" s="20"/>
      <c r="AG10" s="20"/>
      <c r="AH10" s="20"/>
    </row>
    <row r="11" spans="1:34" s="32" customFormat="1" ht="15.75" customHeight="1" x14ac:dyDescent="0.3">
      <c r="A11" s="20">
        <f t="shared" si="0"/>
        <v>8</v>
      </c>
      <c r="B11" s="20" t="s">
        <v>32</v>
      </c>
      <c r="C11" s="38" t="s">
        <v>149</v>
      </c>
      <c r="D11" s="20" t="s">
        <v>33</v>
      </c>
      <c r="E11" s="20" t="s">
        <v>34</v>
      </c>
      <c r="F11" s="20" t="s">
        <v>155</v>
      </c>
      <c r="G11" s="21" t="s">
        <v>89</v>
      </c>
      <c r="H11" s="21" t="s">
        <v>90</v>
      </c>
      <c r="I11" s="21" t="s">
        <v>91</v>
      </c>
      <c r="J11" s="33" t="s">
        <v>146</v>
      </c>
      <c r="K11" s="20" t="s">
        <v>112</v>
      </c>
      <c r="L11" s="21" t="s">
        <v>129</v>
      </c>
      <c r="M11" s="34">
        <v>36</v>
      </c>
      <c r="N11" s="35">
        <v>35634</v>
      </c>
      <c r="O11" s="20" t="s">
        <v>35</v>
      </c>
      <c r="P11" s="21" t="s">
        <v>178</v>
      </c>
      <c r="Q11" s="21" t="s">
        <v>176</v>
      </c>
      <c r="R11" s="17">
        <v>46007</v>
      </c>
      <c r="S11" s="18">
        <v>46007</v>
      </c>
      <c r="T11" s="18">
        <v>46010</v>
      </c>
      <c r="U11" s="31">
        <v>46021</v>
      </c>
      <c r="V11" s="36">
        <f t="shared" si="2"/>
        <v>14</v>
      </c>
      <c r="W11" s="31">
        <v>46024</v>
      </c>
      <c r="X11" s="31">
        <v>46032</v>
      </c>
      <c r="Y11" s="31">
        <v>46032</v>
      </c>
      <c r="Z11" s="31">
        <v>46034</v>
      </c>
      <c r="AA11" s="31">
        <v>46037</v>
      </c>
      <c r="AB11" s="31">
        <v>46041</v>
      </c>
      <c r="AC11" s="31">
        <v>46041</v>
      </c>
      <c r="AD11" s="31">
        <v>46042</v>
      </c>
      <c r="AE11" s="20"/>
      <c r="AF11" s="20"/>
      <c r="AG11" s="20"/>
      <c r="AH11" s="20"/>
    </row>
    <row r="12" spans="1:34" s="32" customFormat="1" ht="15.75" customHeight="1" x14ac:dyDescent="0.3">
      <c r="A12" s="20">
        <f t="shared" si="0"/>
        <v>9</v>
      </c>
      <c r="B12" s="20" t="s">
        <v>32</v>
      </c>
      <c r="C12" s="38" t="s">
        <v>149</v>
      </c>
      <c r="D12" s="20" t="s">
        <v>33</v>
      </c>
      <c r="E12" s="20" t="s">
        <v>34</v>
      </c>
      <c r="F12" s="20" t="s">
        <v>156</v>
      </c>
      <c r="G12" s="21" t="s">
        <v>78</v>
      </c>
      <c r="H12" s="21" t="s">
        <v>79</v>
      </c>
      <c r="I12" s="21" t="s">
        <v>80</v>
      </c>
      <c r="J12" s="33" t="s">
        <v>142</v>
      </c>
      <c r="K12" s="20" t="s">
        <v>108</v>
      </c>
      <c r="L12" s="21" t="s">
        <v>125</v>
      </c>
      <c r="M12" s="34">
        <v>36</v>
      </c>
      <c r="N12" s="35">
        <v>35435</v>
      </c>
      <c r="O12" s="20" t="s">
        <v>35</v>
      </c>
      <c r="P12" s="21" t="s">
        <v>179</v>
      </c>
      <c r="Q12" s="21" t="s">
        <v>176</v>
      </c>
      <c r="R12" s="17">
        <v>46009</v>
      </c>
      <c r="S12" s="18">
        <v>46009</v>
      </c>
      <c r="T12" s="18">
        <v>46010</v>
      </c>
      <c r="U12" s="31">
        <v>46021</v>
      </c>
      <c r="V12" s="36">
        <f t="shared" si="2"/>
        <v>12</v>
      </c>
      <c r="W12" s="31">
        <v>46024</v>
      </c>
      <c r="X12" s="31">
        <v>46032</v>
      </c>
      <c r="Y12" s="31">
        <v>46032</v>
      </c>
      <c r="Z12" s="31">
        <v>46034</v>
      </c>
      <c r="AA12" s="31">
        <v>46037</v>
      </c>
      <c r="AB12" s="31">
        <v>46041</v>
      </c>
      <c r="AC12" s="31">
        <v>46041</v>
      </c>
      <c r="AD12" s="31">
        <v>46041</v>
      </c>
      <c r="AE12" s="20"/>
      <c r="AF12" s="20"/>
      <c r="AG12" s="20"/>
      <c r="AH12" s="20"/>
    </row>
    <row r="13" spans="1:34" s="32" customFormat="1" ht="15.5" customHeight="1" x14ac:dyDescent="0.3">
      <c r="A13" s="20">
        <f t="shared" si="0"/>
        <v>10</v>
      </c>
      <c r="B13" s="20" t="s">
        <v>32</v>
      </c>
      <c r="C13" s="38" t="s">
        <v>149</v>
      </c>
      <c r="D13" s="20" t="s">
        <v>33</v>
      </c>
      <c r="E13" s="20" t="s">
        <v>34</v>
      </c>
      <c r="F13" s="20" t="s">
        <v>157</v>
      </c>
      <c r="G13" s="21" t="s">
        <v>92</v>
      </c>
      <c r="H13" s="21" t="s">
        <v>93</v>
      </c>
      <c r="I13" s="21" t="s">
        <v>94</v>
      </c>
      <c r="J13" s="33" t="s">
        <v>147</v>
      </c>
      <c r="K13" s="20" t="s">
        <v>113</v>
      </c>
      <c r="L13" s="21" t="s">
        <v>130</v>
      </c>
      <c r="M13" s="34">
        <v>36</v>
      </c>
      <c r="N13" s="35">
        <v>35624</v>
      </c>
      <c r="O13" s="20" t="s">
        <v>35</v>
      </c>
      <c r="P13" s="21" t="s">
        <v>180</v>
      </c>
      <c r="Q13" s="21" t="s">
        <v>176</v>
      </c>
      <c r="R13" s="17">
        <v>46009</v>
      </c>
      <c r="S13" s="18">
        <v>46009</v>
      </c>
      <c r="T13" s="18">
        <v>46011</v>
      </c>
      <c r="U13" s="31">
        <v>46021</v>
      </c>
      <c r="V13" s="36">
        <f t="shared" si="2"/>
        <v>12</v>
      </c>
      <c r="W13" s="31">
        <v>46024</v>
      </c>
      <c r="X13" s="31">
        <v>46032</v>
      </c>
      <c r="Y13" s="31">
        <v>46032</v>
      </c>
      <c r="Z13" s="31">
        <v>46034</v>
      </c>
      <c r="AA13" s="31">
        <v>46037</v>
      </c>
      <c r="AB13" s="31">
        <v>46041</v>
      </c>
      <c r="AC13" s="31">
        <v>46041</v>
      </c>
      <c r="AD13" s="31">
        <v>46042</v>
      </c>
      <c r="AE13" s="20"/>
      <c r="AF13" s="20"/>
      <c r="AG13" s="20"/>
      <c r="AH13" s="20"/>
    </row>
    <row r="14" spans="1:34" s="32" customFormat="1" ht="15.75" customHeight="1" x14ac:dyDescent="0.3">
      <c r="A14" s="20">
        <f t="shared" si="0"/>
        <v>11</v>
      </c>
      <c r="B14" s="20" t="s">
        <v>32</v>
      </c>
      <c r="C14" s="38" t="s">
        <v>149</v>
      </c>
      <c r="D14" s="20" t="s">
        <v>33</v>
      </c>
      <c r="E14" s="20" t="s">
        <v>34</v>
      </c>
      <c r="F14" s="20" t="s">
        <v>159</v>
      </c>
      <c r="G14" s="21" t="s">
        <v>64</v>
      </c>
      <c r="H14" s="21" t="s">
        <v>65</v>
      </c>
      <c r="I14" s="21" t="s">
        <v>66</v>
      </c>
      <c r="J14" s="33" t="s">
        <v>137</v>
      </c>
      <c r="K14" s="20" t="s">
        <v>103</v>
      </c>
      <c r="L14" s="21" t="s">
        <v>120</v>
      </c>
      <c r="M14" s="34">
        <v>36</v>
      </c>
      <c r="N14" s="35">
        <v>35277</v>
      </c>
      <c r="O14" s="20" t="s">
        <v>35</v>
      </c>
      <c r="P14" s="21" t="s">
        <v>174</v>
      </c>
      <c r="Q14" s="39" t="s">
        <v>175</v>
      </c>
      <c r="R14" s="17">
        <v>46012</v>
      </c>
      <c r="S14" s="18">
        <v>46012</v>
      </c>
      <c r="T14" s="18">
        <v>46014</v>
      </c>
      <c r="U14" s="31">
        <v>46021</v>
      </c>
      <c r="V14" s="36">
        <f>(U14-S14)</f>
        <v>9</v>
      </c>
      <c r="W14" s="31">
        <v>46024</v>
      </c>
      <c r="X14" s="31">
        <v>46028</v>
      </c>
      <c r="Y14" s="31">
        <v>46028</v>
      </c>
      <c r="Z14" s="31">
        <v>46029</v>
      </c>
      <c r="AA14" s="31">
        <v>46036</v>
      </c>
      <c r="AB14" s="31">
        <v>46038</v>
      </c>
      <c r="AC14" s="31">
        <v>46038</v>
      </c>
      <c r="AD14" s="31">
        <v>46038</v>
      </c>
      <c r="AE14" s="20"/>
      <c r="AF14" s="20"/>
      <c r="AG14" s="20"/>
      <c r="AH14" s="20"/>
    </row>
    <row r="15" spans="1:34" s="32" customFormat="1" ht="15.65" customHeight="1" x14ac:dyDescent="0.3">
      <c r="A15" s="20">
        <f t="shared" si="0"/>
        <v>12</v>
      </c>
      <c r="B15" s="20" t="s">
        <v>32</v>
      </c>
      <c r="C15" s="38" t="s">
        <v>149</v>
      </c>
      <c r="D15" s="20" t="s">
        <v>33</v>
      </c>
      <c r="E15" s="20" t="s">
        <v>34</v>
      </c>
      <c r="F15" s="20" t="s">
        <v>168</v>
      </c>
      <c r="G15" s="21" t="s">
        <v>81</v>
      </c>
      <c r="H15" s="21" t="s">
        <v>82</v>
      </c>
      <c r="I15" s="21" t="s">
        <v>83</v>
      </c>
      <c r="J15" s="33" t="s">
        <v>143</v>
      </c>
      <c r="K15" s="20" t="s">
        <v>109</v>
      </c>
      <c r="L15" s="21" t="s">
        <v>126</v>
      </c>
      <c r="M15" s="34">
        <v>35</v>
      </c>
      <c r="N15" s="35">
        <v>34860</v>
      </c>
      <c r="O15" s="20" t="s">
        <v>35</v>
      </c>
      <c r="P15" s="21" t="s">
        <v>170</v>
      </c>
      <c r="Q15" s="21" t="s">
        <v>171</v>
      </c>
      <c r="R15" s="17">
        <v>46007</v>
      </c>
      <c r="S15" s="18">
        <v>46007</v>
      </c>
      <c r="T15" s="18">
        <v>46009</v>
      </c>
      <c r="U15" s="31">
        <v>46017</v>
      </c>
      <c r="V15" s="36">
        <f t="shared" ref="V15" si="3">(U15-S15)</f>
        <v>10</v>
      </c>
      <c r="W15" s="31" t="s">
        <v>153</v>
      </c>
      <c r="X15" s="31">
        <v>46022</v>
      </c>
      <c r="Y15" s="31">
        <v>46022</v>
      </c>
      <c r="Z15" s="31">
        <v>46024</v>
      </c>
      <c r="AA15" s="31">
        <v>46027</v>
      </c>
      <c r="AB15" s="31">
        <v>46028</v>
      </c>
      <c r="AC15" s="31">
        <v>46028</v>
      </c>
      <c r="AD15" s="31">
        <v>46032</v>
      </c>
      <c r="AE15" s="31">
        <v>46036</v>
      </c>
      <c r="AF15" s="31">
        <v>46037</v>
      </c>
      <c r="AG15" s="20"/>
      <c r="AH15" s="20"/>
    </row>
    <row r="16" spans="1:34" s="32" customFormat="1" ht="15.75" customHeight="1" x14ac:dyDescent="0.3">
      <c r="A16" s="20">
        <f t="shared" si="0"/>
        <v>13</v>
      </c>
      <c r="B16" s="20" t="s">
        <v>32</v>
      </c>
      <c r="C16" s="38" t="s">
        <v>149</v>
      </c>
      <c r="D16" s="20" t="s">
        <v>33</v>
      </c>
      <c r="E16" s="20" t="s">
        <v>34</v>
      </c>
      <c r="F16" s="20" t="s">
        <v>166</v>
      </c>
      <c r="G16" s="21" t="s">
        <v>75</v>
      </c>
      <c r="H16" s="21" t="s">
        <v>76</v>
      </c>
      <c r="I16" s="21" t="s">
        <v>77</v>
      </c>
      <c r="J16" s="33" t="s">
        <v>141</v>
      </c>
      <c r="K16" s="20" t="s">
        <v>107</v>
      </c>
      <c r="L16" s="21" t="s">
        <v>124</v>
      </c>
      <c r="M16" s="34">
        <v>35</v>
      </c>
      <c r="N16" s="35">
        <v>35048</v>
      </c>
      <c r="O16" s="20" t="s">
        <v>35</v>
      </c>
      <c r="P16" s="21" t="s">
        <v>170</v>
      </c>
      <c r="Q16" s="21" t="s">
        <v>171</v>
      </c>
      <c r="R16" s="17">
        <v>46007</v>
      </c>
      <c r="S16" s="18">
        <v>46007</v>
      </c>
      <c r="T16" s="18">
        <v>46009</v>
      </c>
      <c r="U16" s="31">
        <v>46017</v>
      </c>
      <c r="V16" s="36">
        <f>(U16-S16)</f>
        <v>10</v>
      </c>
      <c r="W16" s="31" t="s">
        <v>153</v>
      </c>
      <c r="X16" s="31">
        <v>46022</v>
      </c>
      <c r="Y16" s="31">
        <v>46022</v>
      </c>
      <c r="Z16" s="31">
        <v>46024</v>
      </c>
      <c r="AA16" s="31">
        <v>46027</v>
      </c>
      <c r="AB16" s="31">
        <v>46028</v>
      </c>
      <c r="AC16" s="31">
        <v>46028</v>
      </c>
      <c r="AD16" s="31">
        <v>46031</v>
      </c>
      <c r="AE16" s="31">
        <v>46033</v>
      </c>
      <c r="AF16" s="31">
        <v>46034</v>
      </c>
      <c r="AG16" s="20"/>
      <c r="AH16" s="20"/>
    </row>
    <row r="17" spans="1:34" s="32" customFormat="1" ht="15.75" customHeight="1" x14ac:dyDescent="0.3">
      <c r="A17" s="20">
        <f t="shared" si="0"/>
        <v>14</v>
      </c>
      <c r="B17" s="20" t="s">
        <v>32</v>
      </c>
      <c r="C17" s="38" t="s">
        <v>149</v>
      </c>
      <c r="D17" s="20" t="s">
        <v>33</v>
      </c>
      <c r="E17" s="20" t="s">
        <v>34</v>
      </c>
      <c r="F17" s="20" t="s">
        <v>167</v>
      </c>
      <c r="G17" s="30" t="s">
        <v>95</v>
      </c>
      <c r="H17" s="21" t="s">
        <v>96</v>
      </c>
      <c r="I17" s="21" t="s">
        <v>97</v>
      </c>
      <c r="J17" s="37" t="s">
        <v>148</v>
      </c>
      <c r="K17" s="34" t="s">
        <v>114</v>
      </c>
      <c r="L17" s="34" t="s">
        <v>131</v>
      </c>
      <c r="M17" s="34">
        <v>35</v>
      </c>
      <c r="N17" s="35">
        <v>35221</v>
      </c>
      <c r="O17" s="20" t="s">
        <v>35</v>
      </c>
      <c r="P17" s="21" t="s">
        <v>170</v>
      </c>
      <c r="Q17" s="21" t="s">
        <v>171</v>
      </c>
      <c r="R17" s="17">
        <v>46007</v>
      </c>
      <c r="S17" s="18">
        <v>46007</v>
      </c>
      <c r="T17" s="18">
        <v>46009</v>
      </c>
      <c r="U17" s="31">
        <v>46017</v>
      </c>
      <c r="V17" s="36">
        <f>(U17-S17)</f>
        <v>10</v>
      </c>
      <c r="W17" s="31" t="s">
        <v>153</v>
      </c>
      <c r="X17" s="31">
        <v>46022</v>
      </c>
      <c r="Y17" s="31">
        <v>46022</v>
      </c>
      <c r="Z17" s="31">
        <v>46024</v>
      </c>
      <c r="AA17" s="31">
        <v>46027</v>
      </c>
      <c r="AB17" s="31">
        <v>46028</v>
      </c>
      <c r="AC17" s="31">
        <v>46028</v>
      </c>
      <c r="AD17" s="31">
        <v>46028</v>
      </c>
      <c r="AE17" s="31">
        <v>46031</v>
      </c>
      <c r="AF17" s="31">
        <v>46032</v>
      </c>
      <c r="AG17" s="20"/>
      <c r="AH17" s="20"/>
    </row>
    <row r="18" spans="1:34" s="32" customFormat="1" ht="15.65" customHeight="1" x14ac:dyDescent="0.3">
      <c r="A18" s="20">
        <f t="shared" si="0"/>
        <v>15</v>
      </c>
      <c r="B18" s="20" t="s">
        <v>32</v>
      </c>
      <c r="C18" s="38" t="s">
        <v>149</v>
      </c>
      <c r="D18" s="20" t="s">
        <v>33</v>
      </c>
      <c r="E18" s="20" t="s">
        <v>34</v>
      </c>
      <c r="F18" s="20" t="s">
        <v>152</v>
      </c>
      <c r="G18" s="21" t="s">
        <v>73</v>
      </c>
      <c r="H18" s="21" t="s">
        <v>74</v>
      </c>
      <c r="I18" s="21"/>
      <c r="J18" s="33" t="s">
        <v>140</v>
      </c>
      <c r="K18" s="20" t="s">
        <v>106</v>
      </c>
      <c r="L18" s="21" t="s">
        <v>123</v>
      </c>
      <c r="M18" s="34">
        <v>37</v>
      </c>
      <c r="N18" s="35">
        <v>35660</v>
      </c>
      <c r="O18" s="20" t="s">
        <v>35</v>
      </c>
      <c r="P18" s="21" t="s">
        <v>170</v>
      </c>
      <c r="Q18" s="21" t="s">
        <v>171</v>
      </c>
      <c r="R18" s="17">
        <v>46003</v>
      </c>
      <c r="S18" s="18">
        <v>46003</v>
      </c>
      <c r="T18" s="18">
        <v>46004</v>
      </c>
      <c r="U18" s="18">
        <v>46011</v>
      </c>
      <c r="V18" s="36">
        <f t="shared" ref="V18:V19" si="4">(U18-S18)</f>
        <v>8</v>
      </c>
      <c r="W18" s="31">
        <v>46013</v>
      </c>
      <c r="X18" s="31">
        <v>46016</v>
      </c>
      <c r="Y18" s="31">
        <v>46016</v>
      </c>
      <c r="Z18" s="31">
        <v>46019</v>
      </c>
      <c r="AA18" s="31">
        <v>46021</v>
      </c>
      <c r="AB18" s="31">
        <v>46021</v>
      </c>
      <c r="AC18" s="31">
        <v>46021</v>
      </c>
      <c r="AD18" s="31">
        <v>46022</v>
      </c>
      <c r="AE18" s="31">
        <v>46024</v>
      </c>
      <c r="AF18" s="31">
        <v>46024</v>
      </c>
      <c r="AG18" s="20"/>
      <c r="AH18" s="20"/>
    </row>
    <row r="19" spans="1:34" s="32" customFormat="1" ht="15.75" customHeight="1" x14ac:dyDescent="0.3">
      <c r="A19" s="20">
        <f t="shared" si="0"/>
        <v>16</v>
      </c>
      <c r="B19" s="20" t="s">
        <v>32</v>
      </c>
      <c r="C19" s="38" t="s">
        <v>149</v>
      </c>
      <c r="D19" s="20" t="s">
        <v>33</v>
      </c>
      <c r="E19" s="20" t="s">
        <v>34</v>
      </c>
      <c r="F19" s="20" t="s">
        <v>151</v>
      </c>
      <c r="G19" s="21" t="s">
        <v>87</v>
      </c>
      <c r="H19" s="21" t="s">
        <v>88</v>
      </c>
      <c r="I19" s="21"/>
      <c r="J19" s="33" t="s">
        <v>145</v>
      </c>
      <c r="K19" s="20" t="s">
        <v>111</v>
      </c>
      <c r="L19" s="21" t="s">
        <v>128</v>
      </c>
      <c r="M19" s="34">
        <v>37</v>
      </c>
      <c r="N19" s="35">
        <v>34942</v>
      </c>
      <c r="O19" s="20" t="s">
        <v>35</v>
      </c>
      <c r="P19" s="21" t="s">
        <v>170</v>
      </c>
      <c r="Q19" s="21" t="s">
        <v>171</v>
      </c>
      <c r="R19" s="17">
        <v>46003</v>
      </c>
      <c r="S19" s="18">
        <v>46003</v>
      </c>
      <c r="T19" s="18">
        <v>46004</v>
      </c>
      <c r="U19" s="18">
        <v>46011</v>
      </c>
      <c r="V19" s="36">
        <f t="shared" si="4"/>
        <v>8</v>
      </c>
      <c r="W19" s="31">
        <v>46013</v>
      </c>
      <c r="X19" s="31">
        <v>46016</v>
      </c>
      <c r="Y19" s="31">
        <v>46016</v>
      </c>
      <c r="Z19" s="31">
        <v>46019</v>
      </c>
      <c r="AA19" s="31">
        <v>46021</v>
      </c>
      <c r="AB19" s="31">
        <v>46021</v>
      </c>
      <c r="AC19" s="31">
        <v>46021</v>
      </c>
      <c r="AD19" s="31">
        <v>46022</v>
      </c>
      <c r="AE19" s="31">
        <v>46024</v>
      </c>
      <c r="AF19" s="31">
        <v>46025</v>
      </c>
      <c r="AG19" s="20"/>
      <c r="AH19" s="20"/>
    </row>
    <row r="20" spans="1:34" s="32" customFormat="1" ht="14.5" customHeight="1" x14ac:dyDescent="0.3">
      <c r="A20" s="20">
        <f t="shared" si="0"/>
        <v>17</v>
      </c>
      <c r="B20" s="20" t="s">
        <v>32</v>
      </c>
      <c r="C20" s="38" t="s">
        <v>149</v>
      </c>
      <c r="D20" s="20" t="s">
        <v>33</v>
      </c>
      <c r="E20" s="20" t="s">
        <v>34</v>
      </c>
      <c r="F20" s="20" t="s">
        <v>158</v>
      </c>
      <c r="G20" s="21" t="s">
        <v>49</v>
      </c>
      <c r="H20" s="21" t="s">
        <v>50</v>
      </c>
      <c r="I20" s="21" t="s">
        <v>51</v>
      </c>
      <c r="J20" s="33" t="s">
        <v>132</v>
      </c>
      <c r="K20" s="20" t="s">
        <v>98</v>
      </c>
      <c r="L20" s="21" t="s">
        <v>115</v>
      </c>
      <c r="M20" s="34">
        <v>35</v>
      </c>
      <c r="N20" s="35">
        <v>35375</v>
      </c>
      <c r="O20" s="20" t="s">
        <v>35</v>
      </c>
      <c r="P20" s="21" t="s">
        <v>170</v>
      </c>
      <c r="Q20" s="21" t="s">
        <v>171</v>
      </c>
      <c r="R20" s="17">
        <v>46012</v>
      </c>
      <c r="S20" s="18">
        <v>46012</v>
      </c>
      <c r="T20" s="18">
        <v>46014</v>
      </c>
      <c r="U20" s="31">
        <v>46021</v>
      </c>
      <c r="V20" s="36">
        <f>(U20-S20)</f>
        <v>9</v>
      </c>
      <c r="W20" s="31">
        <v>46024</v>
      </c>
      <c r="X20" s="31">
        <v>46028</v>
      </c>
      <c r="Y20" s="31">
        <v>46028</v>
      </c>
      <c r="Z20" s="31">
        <v>46029</v>
      </c>
      <c r="AA20" s="31">
        <v>46032</v>
      </c>
      <c r="AB20" s="31">
        <v>46033</v>
      </c>
      <c r="AC20" s="31">
        <v>46033</v>
      </c>
      <c r="AD20" s="31">
        <v>46035</v>
      </c>
      <c r="AE20" s="31">
        <v>46037</v>
      </c>
      <c r="AF20" s="31">
        <v>46039</v>
      </c>
      <c r="AG20" s="20"/>
      <c r="AH20" s="20"/>
    </row>
    <row r="23" spans="1:34" ht="79" customHeight="1" x14ac:dyDescent="0.3">
      <c r="A23" s="48" t="s">
        <v>169</v>
      </c>
      <c r="B23" s="48"/>
      <c r="C23" s="48"/>
      <c r="D23" s="48"/>
      <c r="E23" s="48"/>
      <c r="F23" s="29"/>
      <c r="G23" s="28"/>
      <c r="H23" s="28"/>
      <c r="I23" s="28"/>
    </row>
  </sheetData>
  <autoFilter ref="A3:AH19" xr:uid="{D6299FDD-3F30-473B-8199-09E64701524E}">
    <sortState ref="A11:AH19">
      <sortCondition ref="S3:S19"/>
    </sortState>
  </autoFilter>
  <mergeCells count="23">
    <mergeCell ref="A23:E23"/>
    <mergeCell ref="A1:A3"/>
    <mergeCell ref="B1:I1"/>
    <mergeCell ref="B2:B3"/>
    <mergeCell ref="C2:C3"/>
    <mergeCell ref="D2:D3"/>
    <mergeCell ref="E2:E3"/>
    <mergeCell ref="F2:F3"/>
    <mergeCell ref="G2:G3"/>
    <mergeCell ref="H2:H3"/>
    <mergeCell ref="I2:I3"/>
    <mergeCell ref="AE2:AG2"/>
    <mergeCell ref="L2:L3"/>
    <mergeCell ref="M2:M3"/>
    <mergeCell ref="N2:N3"/>
    <mergeCell ref="O2:O3"/>
    <mergeCell ref="P2:P3"/>
    <mergeCell ref="Q2:Q3"/>
    <mergeCell ref="S2:V2"/>
    <mergeCell ref="W2:X2"/>
    <mergeCell ref="Y2:Z2"/>
    <mergeCell ref="AA2:AB2"/>
    <mergeCell ref="AC2:AD2"/>
  </mergeCells>
  <conditionalFormatting sqref="G1:G1048576">
    <cfRule type="duplicateValues" dxfId="111" priority="2"/>
  </conditionalFormatting>
  <conditionalFormatting sqref="G13">
    <cfRule type="duplicateValues" dxfId="110" priority="127"/>
    <cfRule type="duplicateValues" dxfId="109" priority="128"/>
    <cfRule type="duplicateValues" dxfId="108" priority="129"/>
    <cfRule type="duplicateValues" dxfId="107" priority="130"/>
    <cfRule type="duplicateValues" dxfId="106" priority="131"/>
    <cfRule type="duplicateValues" dxfId="105" priority="132"/>
    <cfRule type="duplicateValues" dxfId="104" priority="133"/>
    <cfRule type="duplicateValues" dxfId="103" priority="134"/>
    <cfRule type="duplicateValues" dxfId="102" priority="135"/>
    <cfRule type="duplicateValues" dxfId="101" priority="136"/>
    <cfRule type="duplicateValues" dxfId="100" priority="137"/>
    <cfRule type="duplicateValues" dxfId="99" priority="138"/>
    <cfRule type="duplicateValues" dxfId="98" priority="139"/>
    <cfRule type="duplicateValues" dxfId="97" priority="140"/>
    <cfRule type="duplicateValues" dxfId="96" priority="141"/>
    <cfRule type="duplicateValues" dxfId="95" priority="142"/>
    <cfRule type="duplicateValues" dxfId="94" priority="143"/>
    <cfRule type="duplicateValues" dxfId="93" priority="144"/>
    <cfRule type="duplicateValues" dxfId="92" priority="145"/>
    <cfRule type="duplicateValues" dxfId="91" priority="146"/>
    <cfRule type="duplicateValues" dxfId="90" priority="147"/>
    <cfRule type="duplicateValues" dxfId="89" priority="148"/>
    <cfRule type="duplicateValues" dxfId="88" priority="149"/>
    <cfRule type="duplicateValues" dxfId="87" priority="150"/>
    <cfRule type="duplicateValues" dxfId="86" priority="151"/>
    <cfRule type="duplicateValues" dxfId="85" priority="152"/>
    <cfRule type="duplicateValues" dxfId="84" priority="153"/>
    <cfRule type="duplicateValues" dxfId="83" priority="154"/>
    <cfRule type="duplicateValues" dxfId="82" priority="155"/>
    <cfRule type="duplicateValues" dxfId="81" priority="156"/>
    <cfRule type="duplicateValues" dxfId="80" priority="157"/>
    <cfRule type="duplicateValues" dxfId="79" priority="158"/>
    <cfRule type="duplicateValues" dxfId="78" priority="159"/>
    <cfRule type="duplicateValues" dxfId="77" priority="160"/>
    <cfRule type="duplicateValues" dxfId="76" priority="161"/>
    <cfRule type="duplicateValues" dxfId="75" priority="162"/>
    <cfRule type="duplicateValues" dxfId="74" priority="163"/>
    <cfRule type="duplicateValues" dxfId="73" priority="164"/>
    <cfRule type="duplicateValues" dxfId="72" priority="165"/>
    <cfRule type="duplicateValues" dxfId="71" priority="166"/>
    <cfRule type="duplicateValues" dxfId="70" priority="167"/>
    <cfRule type="duplicateValues" dxfId="69" priority="168"/>
    <cfRule type="duplicateValues" dxfId="68" priority="169"/>
    <cfRule type="duplicateValues" dxfId="67" priority="170"/>
    <cfRule type="duplicateValues" dxfId="66" priority="171"/>
    <cfRule type="duplicateValues" dxfId="65" priority="172"/>
    <cfRule type="duplicateValues" dxfId="64" priority="173"/>
    <cfRule type="duplicateValues" dxfId="63" priority="174"/>
    <cfRule type="duplicateValues" dxfId="62" priority="175"/>
    <cfRule type="duplicateValues" dxfId="61" priority="176"/>
    <cfRule type="duplicateValues" dxfId="60" priority="177"/>
    <cfRule type="duplicateValues" dxfId="59" priority="178"/>
    <cfRule type="duplicateValues" dxfId="58" priority="179"/>
    <cfRule type="duplicateValues" dxfId="57" priority="180"/>
    <cfRule type="duplicateValues" dxfId="56" priority="181"/>
    <cfRule type="duplicateValues" dxfId="55" priority="182"/>
    <cfRule type="duplicateValues" dxfId="54" priority="183"/>
    <cfRule type="duplicateValues" dxfId="53" priority="184"/>
    <cfRule type="duplicateValues" dxfId="52" priority="185"/>
    <cfRule type="duplicateValues" dxfId="51" priority="186"/>
    <cfRule type="duplicateValues" dxfId="50" priority="187"/>
    <cfRule type="duplicateValues" dxfId="49" priority="188"/>
    <cfRule type="duplicateValues" dxfId="48" priority="189"/>
    <cfRule type="duplicateValues" dxfId="47" priority="190"/>
    <cfRule type="duplicateValues" dxfId="46" priority="191"/>
    <cfRule type="duplicateValues" dxfId="45" priority="192"/>
    <cfRule type="duplicateValues" dxfId="44" priority="193"/>
    <cfRule type="duplicateValues" dxfId="43" priority="488"/>
  </conditionalFormatting>
  <conditionalFormatting sqref="G14:G15 G4:G12 G17:G20">
    <cfRule type="duplicateValues" dxfId="42" priority="2791"/>
    <cfRule type="duplicateValues" dxfId="41" priority="2792"/>
    <cfRule type="duplicateValues" dxfId="40" priority="2793"/>
    <cfRule type="duplicateValues" dxfId="39" priority="2794"/>
    <cfRule type="duplicateValues" dxfId="38" priority="2795"/>
    <cfRule type="duplicateValues" dxfId="37" priority="2796"/>
    <cfRule type="duplicateValues" dxfId="36" priority="2797"/>
  </conditionalFormatting>
  <conditionalFormatting sqref="G16 G13">
    <cfRule type="duplicateValues" dxfId="35" priority="68"/>
  </conditionalFormatting>
  <conditionalFormatting sqref="G16">
    <cfRule type="duplicateValues" dxfId="34" priority="70"/>
    <cfRule type="duplicateValues" dxfId="33" priority="77"/>
    <cfRule type="duplicateValues" dxfId="32" priority="78"/>
    <cfRule type="duplicateValues" dxfId="31" priority="79"/>
    <cfRule type="duplicateValues" dxfId="30" priority="80"/>
    <cfRule type="duplicateValues" dxfId="29" priority="81"/>
  </conditionalFormatting>
  <conditionalFormatting sqref="G21:G1048576 G1:G3">
    <cfRule type="duplicateValues" dxfId="28" priority="490"/>
    <cfRule type="duplicateValues" dxfId="27" priority="492"/>
    <cfRule type="duplicateValues" dxfId="26" priority="2400"/>
  </conditionalFormatting>
  <conditionalFormatting sqref="G24:G1048576 G1:G3">
    <cfRule type="duplicateValues" dxfId="25" priority="1230"/>
    <cfRule type="duplicateValues" dxfId="24" priority="1231"/>
    <cfRule type="duplicateValues" dxfId="23" priority="1232"/>
    <cfRule type="duplicateValues" dxfId="22" priority="1236"/>
  </conditionalFormatting>
  <conditionalFormatting sqref="G24:G1048576">
    <cfRule type="duplicateValues" dxfId="21" priority="550"/>
  </conditionalFormatting>
  <conditionalFormatting sqref="H14:H15 H4:H12 H17:H20">
    <cfRule type="duplicateValues" dxfId="20" priority="2812"/>
    <cfRule type="duplicateValues" dxfId="19" priority="2813"/>
    <cfRule type="duplicateValues" dxfId="18" priority="2814"/>
  </conditionalFormatting>
  <conditionalFormatting sqref="H16">
    <cfRule type="duplicateValues" dxfId="17" priority="74"/>
    <cfRule type="duplicateValues" dxfId="16" priority="75"/>
    <cfRule type="duplicateValues" dxfId="15" priority="76"/>
  </conditionalFormatting>
  <conditionalFormatting sqref="H13:I13">
    <cfRule type="duplicateValues" dxfId="14" priority="100"/>
    <cfRule type="duplicateValues" dxfId="13" priority="489"/>
  </conditionalFormatting>
  <conditionalFormatting sqref="H14:I15 H4:I12 H17:I20">
    <cfRule type="duplicateValues" dxfId="12" priority="2821"/>
  </conditionalFormatting>
  <conditionalFormatting sqref="H16:I16">
    <cfRule type="duplicateValues" dxfId="11" priority="69"/>
  </conditionalFormatting>
  <conditionalFormatting sqref="I14:I15 I4:I12 I17:I20">
    <cfRule type="duplicateValues" dxfId="10" priority="2824"/>
    <cfRule type="duplicateValues" dxfId="9" priority="2825"/>
    <cfRule type="duplicateValues" dxfId="8" priority="2826"/>
  </conditionalFormatting>
  <conditionalFormatting sqref="I16">
    <cfRule type="duplicateValues" dxfId="7" priority="71"/>
    <cfRule type="duplicateValues" dxfId="6" priority="72"/>
    <cfRule type="duplicateValues" dxfId="5" priority="73"/>
  </conditionalFormatting>
  <conditionalFormatting sqref="K13">
    <cfRule type="duplicateValues" dxfId="4" priority="46"/>
  </conditionalFormatting>
  <conditionalFormatting sqref="K14:K15 K4:K12 K17:K20">
    <cfRule type="duplicateValues" dxfId="3" priority="2833"/>
    <cfRule type="duplicateValues" dxfId="2" priority="2834"/>
  </conditionalFormatting>
  <conditionalFormatting sqref="K16">
    <cfRule type="duplicateValues" dxfId="1" priority="35"/>
    <cfRule type="duplicateValues" dxfId="0" priority="36"/>
  </conditionalFormatting>
  <pageMargins left="0.7" right="0.7" top="0.75" bottom="0.75" header="0.3" footer="0.3"/>
  <pageSetup paperSize="9" orientation="portrait" r:id="rId1"/>
  <ignoredErrors>
    <ignoredError sqref="J7:J13 J14:J1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9C1A-72B3-4E75-A167-A87AF5975D5B}">
  <dimension ref="D5:Q7"/>
  <sheetViews>
    <sheetView topLeftCell="A10" workbookViewId="0">
      <selection activeCell="A22" sqref="A22"/>
    </sheetView>
  </sheetViews>
  <sheetFormatPr defaultRowHeight="14.5" x14ac:dyDescent="0.35"/>
  <cols>
    <col min="4" max="4" width="3.54296875" bestFit="1" customWidth="1"/>
    <col min="5" max="6" width="10.453125" bestFit="1" customWidth="1"/>
    <col min="7" max="7" width="10.81640625" customWidth="1"/>
    <col min="8" max="8" width="13.81640625" bestFit="1" customWidth="1"/>
    <col min="9" max="9" width="11.54296875" customWidth="1"/>
    <col min="10" max="10" width="6.81640625" bestFit="1" customWidth="1"/>
    <col min="11" max="11" width="16.453125" customWidth="1"/>
    <col min="12" max="12" width="9.453125" bestFit="1" customWidth="1"/>
    <col min="13" max="13" width="19.7265625" customWidth="1"/>
    <col min="14" max="14" width="6.54296875" bestFit="1" customWidth="1"/>
    <col min="15" max="15" width="9.54296875" customWidth="1"/>
    <col min="16" max="16" width="9.54296875" bestFit="1" customWidth="1"/>
    <col min="17" max="17" width="10.81640625" bestFit="1" customWidth="1"/>
  </cols>
  <sheetData>
    <row r="5" spans="4:17" ht="43.5" x14ac:dyDescent="0.35">
      <c r="D5" s="22" t="s">
        <v>37</v>
      </c>
      <c r="E5" s="22" t="s">
        <v>38</v>
      </c>
      <c r="F5" s="23" t="s">
        <v>39</v>
      </c>
      <c r="G5" s="23" t="s">
        <v>40</v>
      </c>
      <c r="H5" s="23" t="s">
        <v>36</v>
      </c>
      <c r="I5" s="23" t="s">
        <v>41</v>
      </c>
      <c r="J5" s="23" t="s">
        <v>42</v>
      </c>
      <c r="K5" s="23" t="s">
        <v>43</v>
      </c>
      <c r="L5" s="23" t="s">
        <v>44</v>
      </c>
      <c r="M5" s="23" t="s">
        <v>45</v>
      </c>
      <c r="N5" s="23" t="s">
        <v>46</v>
      </c>
      <c r="O5" s="23" t="s">
        <v>47</v>
      </c>
      <c r="P5" s="22" t="s">
        <v>30</v>
      </c>
      <c r="Q5" s="22" t="s">
        <v>48</v>
      </c>
    </row>
    <row r="6" spans="4:17" x14ac:dyDescent="0.35">
      <c r="D6" s="16">
        <v>1</v>
      </c>
      <c r="E6" s="22" t="s">
        <v>150</v>
      </c>
      <c r="F6" s="24">
        <v>17</v>
      </c>
      <c r="G6" s="16">
        <v>0</v>
      </c>
      <c r="H6" s="16">
        <v>0</v>
      </c>
      <c r="I6" s="16">
        <v>0</v>
      </c>
      <c r="J6" s="16">
        <v>6</v>
      </c>
      <c r="K6" s="16">
        <v>0</v>
      </c>
      <c r="L6" s="16">
        <v>0</v>
      </c>
      <c r="M6" s="16">
        <v>0</v>
      </c>
      <c r="N6" s="16">
        <v>5</v>
      </c>
      <c r="O6" s="16">
        <v>0</v>
      </c>
      <c r="P6" s="16">
        <v>6</v>
      </c>
      <c r="Q6" s="16">
        <f>SUM(G6:P6)</f>
        <v>17</v>
      </c>
    </row>
    <row r="7" spans="4:17" x14ac:dyDescent="0.35">
      <c r="D7" s="25"/>
      <c r="E7" s="25"/>
      <c r="F7" s="25"/>
      <c r="G7" s="16"/>
      <c r="H7" s="25"/>
      <c r="I7" s="25"/>
      <c r="J7" s="25"/>
      <c r="K7" s="25"/>
      <c r="L7" s="25"/>
      <c r="M7" s="25"/>
      <c r="N7" s="25"/>
      <c r="O7" s="26">
        <f>SUM(O6:O6)</f>
        <v>0</v>
      </c>
      <c r="P7" s="27">
        <f>SUM(P6:P6)</f>
        <v>6</v>
      </c>
      <c r="Q7" s="26">
        <f>SUM(Q6:Q6)</f>
        <v>17</v>
      </c>
    </row>
  </sheetData>
  <pageMargins left="0.7" right="0.7" top="0.75" bottom="0.75" header="0.3" footer="0.3"/>
  <ignoredErrors>
    <ignoredError sqref="Q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TFM - DAR December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Domtila -tracking</dc:creator>
  <cp:lastModifiedBy>Sreehari Syamakalla</cp:lastModifiedBy>
  <cp:lastPrinted>2025-11-21T06:22:16Z</cp:lastPrinted>
  <dcterms:created xsi:type="dcterms:W3CDTF">2025-11-17T08:29:56Z</dcterms:created>
  <dcterms:modified xsi:type="dcterms:W3CDTF">2026-01-20T04:47:07Z</dcterms:modified>
</cp:coreProperties>
</file>