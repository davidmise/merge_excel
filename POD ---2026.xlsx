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30407A3-5C8A-4698-B5E2-CC219B2FFBCA}" xr6:coauthVersionLast="36" xr6:coauthVersionMax="36" xr10:uidLastSave="{00000000-0000-0000-0000-000000000000}"/>
  <bookViews>
    <workbookView xWindow="0" yWindow="0" windowWidth="19200" windowHeight="7670" activeTab="1" xr2:uid="{911FB319-52A2-47F9-A924-6906AB4511B0}"/>
  </bookViews>
  <sheets>
    <sheet name="November" sheetId="2" r:id="rId1"/>
    <sheet name="December" sheetId="1" r:id="rId2"/>
    <sheet name="SITES WITHOUT W.B" sheetId="3" r:id="rId3"/>
  </sheets>
  <externalReferences>
    <externalReference r:id="rId4"/>
    <externalReference r:id="rId5"/>
    <externalReference r:id="rId6"/>
  </externalReferences>
  <definedNames>
    <definedName name="_xlnm._FilterDatabase" localSheetId="1" hidden="1">December!$A$86:$Q$86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5" i="1" l="1"/>
  <c r="I114" i="1"/>
  <c r="I113" i="1"/>
  <c r="I112" i="1"/>
  <c r="I111" i="1"/>
  <c r="I110" i="1"/>
  <c r="I109" i="1"/>
  <c r="I108" i="1"/>
  <c r="I107" i="1"/>
  <c r="I106" i="1"/>
  <c r="I105" i="1"/>
  <c r="I104" i="1"/>
  <c r="I103" i="1"/>
  <c r="H30" i="1" l="1"/>
  <c r="H29" i="1"/>
  <c r="H28" i="1"/>
  <c r="H27" i="1"/>
  <c r="H115" i="1" l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1" i="1"/>
  <c r="H91" i="1"/>
  <c r="H90" i="1"/>
  <c r="H100" i="1"/>
  <c r="H89" i="1"/>
  <c r="H99" i="1"/>
  <c r="H98" i="1"/>
  <c r="H97" i="1"/>
  <c r="H88" i="1"/>
  <c r="H96" i="1"/>
  <c r="H95" i="1"/>
  <c r="H94" i="1"/>
  <c r="H87" i="1"/>
  <c r="H93" i="1"/>
  <c r="H92" i="1"/>
  <c r="H85" i="1"/>
  <c r="H84" i="1"/>
  <c r="H83" i="1"/>
  <c r="H82" i="1"/>
  <c r="H81" i="1"/>
  <c r="H80" i="1"/>
  <c r="H78" i="1"/>
  <c r="H77" i="1"/>
  <c r="H76" i="1"/>
  <c r="H75" i="1"/>
  <c r="H74" i="1"/>
  <c r="H73" i="1"/>
  <c r="H72" i="1"/>
  <c r="H71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3" i="1"/>
  <c r="H51" i="1"/>
  <c r="H52" i="1"/>
  <c r="H50" i="1"/>
  <c r="H49" i="1"/>
  <c r="H48" i="1"/>
  <c r="H47" i="1"/>
  <c r="H46" i="1"/>
  <c r="H45" i="1"/>
  <c r="H44" i="1"/>
  <c r="H43" i="1"/>
  <c r="H42" i="1"/>
  <c r="H41" i="1"/>
  <c r="H39" i="1"/>
  <c r="H38" i="1"/>
  <c r="H37" i="1"/>
  <c r="H36" i="1"/>
  <c r="H35" i="1"/>
  <c r="H34" i="1"/>
  <c r="H33" i="1"/>
  <c r="H32" i="1"/>
  <c r="H26" i="1"/>
  <c r="H24" i="1"/>
  <c r="H23" i="1"/>
  <c r="H25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A30" i="1"/>
  <c r="A29" i="1"/>
  <c r="A28" i="1"/>
  <c r="A27" i="1"/>
  <c r="A26" i="1"/>
  <c r="A24" i="1"/>
  <c r="A23" i="1"/>
  <c r="A25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G4" i="2"/>
  <c r="G2" i="2"/>
</calcChain>
</file>

<file path=xl/sharedStrings.xml><?xml version="1.0" encoding="utf-8"?>
<sst xmlns="http://schemas.openxmlformats.org/spreadsheetml/2006/main" count="1183" uniqueCount="394">
  <si>
    <t>SN</t>
  </si>
  <si>
    <t xml:space="preserve">S/ORDER </t>
  </si>
  <si>
    <t>TRUCK</t>
  </si>
  <si>
    <t>DRIVER NAME</t>
  </si>
  <si>
    <t>Loading  Date</t>
  </si>
  <si>
    <t>Offloading Date</t>
  </si>
  <si>
    <t>Days since offloaded</t>
  </si>
  <si>
    <t>Current location</t>
  </si>
  <si>
    <t>Transporter</t>
  </si>
  <si>
    <t>Loading point</t>
  </si>
  <si>
    <t>Client</t>
  </si>
  <si>
    <t>Destination</t>
  </si>
  <si>
    <t>Telephone</t>
  </si>
  <si>
    <t xml:space="preserve">B/Lading </t>
  </si>
  <si>
    <t>Pod Status</t>
  </si>
  <si>
    <t>Remark</t>
  </si>
  <si>
    <t>T440BVZ</t>
  </si>
  <si>
    <t>EZEKIA EDWARD KYEJO</t>
  </si>
  <si>
    <t>OVERLAND</t>
  </si>
  <si>
    <t>DCG/KISARAWE</t>
  </si>
  <si>
    <t>GLENCORE</t>
  </si>
  <si>
    <t>KCC MINE</t>
  </si>
  <si>
    <t>255758 151860</t>
  </si>
  <si>
    <t>RECEIVED</t>
  </si>
  <si>
    <t>COMPLETED</t>
  </si>
  <si>
    <t>T339DWZ</t>
  </si>
  <si>
    <t>OMARY HASHIM MBUNDA</t>
  </si>
  <si>
    <t>255745848380</t>
  </si>
  <si>
    <t>T363DCA</t>
  </si>
  <si>
    <t>EMMANUEL ANGWILILE MWANDENUKA</t>
  </si>
  <si>
    <t>255768070557</t>
  </si>
  <si>
    <t>T561EHZ</t>
  </si>
  <si>
    <t>NYASAHIRA WARYOBA DAMAS</t>
  </si>
  <si>
    <t>255768398248/255624878248</t>
  </si>
  <si>
    <t>T949BZF</t>
  </si>
  <si>
    <t>CORNEL AUGUSTINO KUSOGA</t>
  </si>
  <si>
    <t>KCC</t>
  </si>
  <si>
    <t>255655 446337</t>
  </si>
  <si>
    <t>T347DWZ</t>
  </si>
  <si>
    <t>RASHID STAMILI SALUM</t>
  </si>
  <si>
    <t>255757213121</t>
  </si>
  <si>
    <t>T860DVK</t>
  </si>
  <si>
    <t>SHABAN SEIF KAMWELWE</t>
  </si>
  <si>
    <t>255765 802311</t>
  </si>
  <si>
    <t>T588CJT</t>
  </si>
  <si>
    <t>HAMAD HASSAN ABELEU</t>
  </si>
  <si>
    <t>255765251608</t>
  </si>
  <si>
    <t>T656DQF</t>
  </si>
  <si>
    <t>BATWEL  MATHIAS NYEREGETE</t>
  </si>
  <si>
    <t>255784 308055</t>
  </si>
  <si>
    <t>T189EGH</t>
  </si>
  <si>
    <t>HARUOB MANSOORY SULEIMAN</t>
  </si>
  <si>
    <t>255713 423221</t>
  </si>
  <si>
    <t>T545BXN</t>
  </si>
  <si>
    <t>MATHAYO DANFORD LUHANGA</t>
  </si>
  <si>
    <t>255752 300096</t>
  </si>
  <si>
    <t>T664BXN</t>
  </si>
  <si>
    <t>ISSA MKADARA SHAME</t>
  </si>
  <si>
    <t>255789 125020</t>
  </si>
  <si>
    <t>T762CRG</t>
  </si>
  <si>
    <t>FRENK PETRO MALIMA</t>
  </si>
  <si>
    <t>255759 063628</t>
  </si>
  <si>
    <t>T221EES</t>
  </si>
  <si>
    <t>KHAMIS ATHMAN KASUBI</t>
  </si>
  <si>
    <t>255655226536</t>
  </si>
  <si>
    <t>T850CQL</t>
  </si>
  <si>
    <t>ADABERT SWEETBERT CHILUMBA</t>
  </si>
  <si>
    <t>255679 446488</t>
  </si>
  <si>
    <t>T226DNF</t>
  </si>
  <si>
    <t>ABDALLAH SAID NYAMONDE</t>
  </si>
  <si>
    <t>255694 083410</t>
  </si>
  <si>
    <t>T936DEY</t>
  </si>
  <si>
    <t>ALLY MOHAMEDI MTUNGAKOA</t>
  </si>
  <si>
    <t>255753178217</t>
  </si>
  <si>
    <t>T363EFR</t>
  </si>
  <si>
    <t>SAID RAMADHAN JUMA</t>
  </si>
  <si>
    <t>255785 603309/255782 477172</t>
  </si>
  <si>
    <t>T687BVB</t>
  </si>
  <si>
    <t>MBARAKA ABDALLAH ATHUMAN</t>
  </si>
  <si>
    <t>255760 631522</t>
  </si>
  <si>
    <t>T309EES</t>
  </si>
  <si>
    <t>JOHNSON FADHIL ALMAS</t>
  </si>
  <si>
    <t>255786412710</t>
  </si>
  <si>
    <t>T884ECV</t>
  </si>
  <si>
    <t>DAMAS CHARLES MSWAHIL</t>
  </si>
  <si>
    <t>255762 344902/255712 563896</t>
  </si>
  <si>
    <t>COMPLETE</t>
  </si>
  <si>
    <t>T893CJS</t>
  </si>
  <si>
    <t>AMAN COSTANTINE MCHOMVU</t>
  </si>
  <si>
    <t>255788589133</t>
  </si>
  <si>
    <t>T371EFR</t>
  </si>
  <si>
    <t>ROMANUSY ZABRON MSEMWA</t>
  </si>
  <si>
    <t>255787016070</t>
  </si>
  <si>
    <t>T713DMS</t>
  </si>
  <si>
    <t>HUSSEIN WAMBURA BARAZA</t>
  </si>
  <si>
    <t>255719 078207</t>
  </si>
  <si>
    <t>T373DCA</t>
  </si>
  <si>
    <t>SEIF MOHAMEDI HASSAN</t>
  </si>
  <si>
    <t>255765 172527</t>
  </si>
  <si>
    <t>T329DWZ</t>
  </si>
  <si>
    <t>JORDAN NICODEMUS MATWEGULA</t>
  </si>
  <si>
    <t>255714823879/255788668331</t>
  </si>
  <si>
    <t>T628BVP</t>
  </si>
  <si>
    <t>SALUMU KIBWANA SEKIBO</t>
  </si>
  <si>
    <t>255682 613195/255689 566320</t>
  </si>
  <si>
    <t>T168EES</t>
  </si>
  <si>
    <t>KASHINJE BUKUMBI JEREMIAN</t>
  </si>
  <si>
    <t>KAYUSI COELESTINE ALFRED</t>
  </si>
  <si>
    <t>255759 948930</t>
  </si>
  <si>
    <t>T787CCY</t>
  </si>
  <si>
    <t>BAKARI OMARI MSAFA</t>
  </si>
  <si>
    <t>CFS/VINGUNGUTI</t>
  </si>
  <si>
    <t>SICODEX</t>
  </si>
  <si>
    <t>PUMP LAMIKAL/SICODEX</t>
  </si>
  <si>
    <t>255714 742424</t>
  </si>
  <si>
    <t>1-B       ( D)</t>
  </si>
  <si>
    <t>T940DEY</t>
  </si>
  <si>
    <t>SAID JUMA NASSOR</t>
  </si>
  <si>
    <t>255712 039050</t>
  </si>
  <si>
    <t>T858DVK</t>
  </si>
  <si>
    <t>ABDALLAH OMARY MNONJI</t>
  </si>
  <si>
    <t>255785 280075</t>
  </si>
  <si>
    <t>T182EES</t>
  </si>
  <si>
    <t>HEMED MWIDADI ALLY</t>
  </si>
  <si>
    <t>PUMPI LAMIKAL/SICODEX</t>
  </si>
  <si>
    <t>255675180013</t>
  </si>
  <si>
    <t>T706EHZ</t>
  </si>
  <si>
    <t>IDDY MOSHI IDDY</t>
  </si>
  <si>
    <t>255625 885988</t>
  </si>
  <si>
    <t>T545DMH</t>
  </si>
  <si>
    <t>PATRICK EMMANUEL MPEZYA</t>
  </si>
  <si>
    <t>PUMPI</t>
  </si>
  <si>
    <t>255713 702973</t>
  </si>
  <si>
    <t>T356EFR</t>
  </si>
  <si>
    <t>SAID AHMED ABBAS</t>
  </si>
  <si>
    <t>255754 432845</t>
  </si>
  <si>
    <t>T381EFR</t>
  </si>
  <si>
    <t>ABASI YAHAYA ALLY</t>
  </si>
  <si>
    <t>255684 880193/255765 598265</t>
  </si>
  <si>
    <t>T939DEY</t>
  </si>
  <si>
    <t xml:space="preserve">JOHNBOSCO JACOB KAINUNULA </t>
  </si>
  <si>
    <t>SIMCO</t>
  </si>
  <si>
    <t>SIMCO/LIKASI</t>
  </si>
  <si>
    <t>255683 854587</t>
  </si>
  <si>
    <t>SULF-2025-036-01</t>
  </si>
  <si>
    <t>T770ENQ</t>
  </si>
  <si>
    <t xml:space="preserve">IBRAHIM EZEKIEL PHILIPO </t>
  </si>
  <si>
    <t>255762885636</t>
  </si>
  <si>
    <t>T355DZH</t>
  </si>
  <si>
    <t>CHARLES OMARI NYATEGA</t>
  </si>
  <si>
    <t>KAIPENG</t>
  </si>
  <si>
    <t>255758 159486</t>
  </si>
  <si>
    <t>T294DRM</t>
  </si>
  <si>
    <t>NICODEMUS JORDAN MATWEGULA</t>
  </si>
  <si>
    <t>255621 955644/255692 541095</t>
  </si>
  <si>
    <t>T344DWZ</t>
  </si>
  <si>
    <t>ABDALLAH ATHUMAN MUIRA</t>
  </si>
  <si>
    <t>255787 130500/255716 206877</t>
  </si>
  <si>
    <t>T499DMH</t>
  </si>
  <si>
    <t>YUSUPH MASHAKA OMARY</t>
  </si>
  <si>
    <t>255688 215165</t>
  </si>
  <si>
    <t>T343DWZ</t>
  </si>
  <si>
    <t>GEORGE MARTIN CHOKOLA</t>
  </si>
  <si>
    <t>255769 595993</t>
  </si>
  <si>
    <t>T620DPV</t>
  </si>
  <si>
    <t>NASSORO THABITI KASSIMU</t>
  </si>
  <si>
    <t>255674996452</t>
  </si>
  <si>
    <t>T490DQH</t>
  </si>
  <si>
    <t>BAKARI ATHUMAN MJAKEO</t>
  </si>
  <si>
    <t>255753444245/255685386056</t>
  </si>
  <si>
    <t>T693CXU</t>
  </si>
  <si>
    <t>MALANDO DAUD KASWAHILI</t>
  </si>
  <si>
    <t>255692766345</t>
  </si>
  <si>
    <t>T211DNF</t>
  </si>
  <si>
    <t>KASSIM YUNUS MWAKANYAMALE</t>
  </si>
  <si>
    <t>KPM LIKASI</t>
  </si>
  <si>
    <t>255655819624</t>
  </si>
  <si>
    <t>NOT RECEIVED</t>
  </si>
  <si>
    <t>PENDING</t>
  </si>
  <si>
    <t>T770CRG</t>
  </si>
  <si>
    <t>DANIEL ANDALILE FOKILE</t>
  </si>
  <si>
    <t>255712477255</t>
  </si>
  <si>
    <t>T764EAE</t>
  </si>
  <si>
    <t xml:space="preserve">MSAFIRI HOSEA MPOGOLE </t>
  </si>
  <si>
    <t>255692427742/255765333533</t>
  </si>
  <si>
    <t>SICODEX-LIKASI</t>
  </si>
  <si>
    <t>LIKASI/SICODEX</t>
  </si>
  <si>
    <t>T443DZH</t>
  </si>
  <si>
    <t>BAKARI ALLY SHANI</t>
  </si>
  <si>
    <t>SALISA/ KICD</t>
  </si>
  <si>
    <t>MUTANDA MINE</t>
  </si>
  <si>
    <t>255787 559797/255674 248460</t>
  </si>
  <si>
    <t>MEDUW4644540</t>
  </si>
  <si>
    <t>T355DWZ</t>
  </si>
  <si>
    <t>VULISTER BEATUS TEMU</t>
  </si>
  <si>
    <t>MUMI</t>
  </si>
  <si>
    <t>255655 232959/255782 810300</t>
  </si>
  <si>
    <t>T896ECV</t>
  </si>
  <si>
    <t>SAMWEL JAMES SANIDA</t>
  </si>
  <si>
    <t>255763364285</t>
  </si>
  <si>
    <t>T305DRF</t>
  </si>
  <si>
    <t>STEPHEN PEASON MTAMBI</t>
  </si>
  <si>
    <t>255766 368843</t>
  </si>
  <si>
    <t>T336DWZ</t>
  </si>
  <si>
    <t>JEREMIA MAX NDEMBO</t>
  </si>
  <si>
    <t>255713 485817</t>
  </si>
  <si>
    <t>T446DZH</t>
  </si>
  <si>
    <t>SUDI HALIFA MIZOZO</t>
  </si>
  <si>
    <t>255715077062/255755496441</t>
  </si>
  <si>
    <t>T505DQH</t>
  </si>
  <si>
    <t>ALLY MOHAMEDI KAJO</t>
  </si>
  <si>
    <t>255655363333/255787826868</t>
  </si>
  <si>
    <t>T899ECV</t>
  </si>
  <si>
    <t>KIKWALA ADOLPH KASWIZA</t>
  </si>
  <si>
    <t>255686 996544</t>
  </si>
  <si>
    <t xml:space="preserve"> T277DTA</t>
  </si>
  <si>
    <t>JUMA SEPH SHUNDA</t>
  </si>
  <si>
    <t>MBARAKA</t>
  </si>
  <si>
    <t>255766749335</t>
  </si>
  <si>
    <t>T170EBA</t>
  </si>
  <si>
    <t>SALUM JUNAIDI MDOSI</t>
  </si>
  <si>
    <t>255698382540</t>
  </si>
  <si>
    <t>T364DCA</t>
  </si>
  <si>
    <t>JONAS TUMAINIELI MWENDE</t>
  </si>
  <si>
    <t>255712 484993</t>
  </si>
  <si>
    <t>T145EES</t>
  </si>
  <si>
    <t>HUDHAIFA KAZEMBWE HILALY</t>
  </si>
  <si>
    <t>255766 721814</t>
  </si>
  <si>
    <t>T310DRF</t>
  </si>
  <si>
    <t>SHABANI ABDALLAH NZUGILO</t>
  </si>
  <si>
    <t>255782 419701/255752 444375</t>
  </si>
  <si>
    <t>T357DZH</t>
  </si>
  <si>
    <t>MANASE WILBAD MSOFE</t>
  </si>
  <si>
    <t>255759217934</t>
  </si>
  <si>
    <t>T710DMS</t>
  </si>
  <si>
    <t>BAKARI SAID KIBARATI</t>
  </si>
  <si>
    <t>255754 821504</t>
  </si>
  <si>
    <t>MEDUW4676849</t>
  </si>
  <si>
    <t>T501DMH</t>
  </si>
  <si>
    <t>BLASIUS DANIEL LAY</t>
  </si>
  <si>
    <t>255655 265165</t>
  </si>
  <si>
    <t>T338EFR</t>
  </si>
  <si>
    <t>NDANDA MATHIAS GEORGE</t>
  </si>
  <si>
    <t>255786 925786</t>
  </si>
  <si>
    <t>T554ENQ</t>
  </si>
  <si>
    <t>TWAHA HASSAN BIYOMBO</t>
  </si>
  <si>
    <t>255754236034</t>
  </si>
  <si>
    <t>T815ENP</t>
  </si>
  <si>
    <t>MICHAEL JOHN POMBO</t>
  </si>
  <si>
    <t>255689700553</t>
  </si>
  <si>
    <t>T424DZH</t>
  </si>
  <si>
    <t>KITWANA RAMADHANI KUCHEMA</t>
  </si>
  <si>
    <t>255785 241337</t>
  </si>
  <si>
    <t>T771EAE</t>
  </si>
  <si>
    <t>BAKARI MOHAMMED KHATIBU</t>
  </si>
  <si>
    <t>255694048278</t>
  </si>
  <si>
    <t>T353DWZ</t>
  </si>
  <si>
    <t>HEMEDI JUMANNE IDDI</t>
  </si>
  <si>
    <t>255750102804</t>
  </si>
  <si>
    <t>T623DPV</t>
  </si>
  <si>
    <t>FREDRICK LUCAS NYAMHANGA</t>
  </si>
  <si>
    <t>255687330668</t>
  </si>
  <si>
    <t xml:space="preserve">RECEIVED </t>
  </si>
  <si>
    <t>T324BZY</t>
  </si>
  <si>
    <t xml:space="preserve">ALEX GOMEL ROBERT </t>
  </si>
  <si>
    <t>255653786588</t>
  </si>
  <si>
    <t>T873CJS</t>
  </si>
  <si>
    <t>SHABANI SAID ATHUMANI</t>
  </si>
  <si>
    <t>255741312119</t>
  </si>
  <si>
    <t>T624DPV</t>
  </si>
  <si>
    <t>RAMADHANI SHABANI OMARY</t>
  </si>
  <si>
    <t>TFM</t>
  </si>
  <si>
    <t>255682 407144</t>
  </si>
  <si>
    <t>T275DTA</t>
  </si>
  <si>
    <t>RAMADHANI ATHUMANI SALEHE</t>
  </si>
  <si>
    <t>SALUM</t>
  </si>
  <si>
    <t>255688932310</t>
  </si>
  <si>
    <t>T663CJT</t>
  </si>
  <si>
    <t>IDDY SHABAN RAMADHAN </t>
  </si>
  <si>
    <t>255755240624</t>
  </si>
  <si>
    <t>T642CJT</t>
  </si>
  <si>
    <t>ATHUMANI ERASTO NGULWARA</t>
  </si>
  <si>
    <t>TANGA PORT</t>
  </si>
  <si>
    <t>TANGA TO MUTANDA</t>
  </si>
  <si>
    <t>255786 940980</t>
  </si>
  <si>
    <t>LOQINTAN504</t>
  </si>
  <si>
    <t>T971CAS</t>
  </si>
  <si>
    <t xml:space="preserve">CHAME YASSIN SHEBE </t>
  </si>
  <si>
    <t>255755245192/255683 195166</t>
  </si>
  <si>
    <t>T708DMS</t>
  </si>
  <si>
    <t>HURUKA SALUMU MOHAMEDI</t>
  </si>
  <si>
    <t>255655142190/255740114366/255784477813</t>
  </si>
  <si>
    <t>T352DWZ</t>
  </si>
  <si>
    <t>FRANCIS JOHN HAULE</t>
  </si>
  <si>
    <t>255753347686</t>
  </si>
  <si>
    <t>T148DDY</t>
  </si>
  <si>
    <t>EDWARD LAWRENCE MSIMBE</t>
  </si>
  <si>
    <t>255652893071</t>
  </si>
  <si>
    <t>T301BZY</t>
  </si>
  <si>
    <t>HASHIM AHMAD HASHIM</t>
  </si>
  <si>
    <t>255787424578</t>
  </si>
  <si>
    <t>T204DYR</t>
  </si>
  <si>
    <t>HASSAN YAHAYA MWEKWALUMA</t>
  </si>
  <si>
    <t>255692 786247</t>
  </si>
  <si>
    <t>T198DYR</t>
  </si>
  <si>
    <t>FADHILI MOHAMED SASAMALO</t>
  </si>
  <si>
    <t>255684075821/255713279468</t>
  </si>
  <si>
    <t>T444DZH</t>
  </si>
  <si>
    <t>MOHAMED ISMAIL MOHAMED</t>
  </si>
  <si>
    <t>255620654248/255758 707404</t>
  </si>
  <si>
    <t>T597DPW</t>
  </si>
  <si>
    <t>ABDALLAH ANDREA MICHAEL</t>
  </si>
  <si>
    <t>255657639263</t>
  </si>
  <si>
    <t>T442DZH</t>
  </si>
  <si>
    <t xml:space="preserve">EMMANUEL EDWARD KYEJO </t>
  </si>
  <si>
    <t>255752 486553</t>
  </si>
  <si>
    <t>T630DPW</t>
  </si>
  <si>
    <t>MICHAEL SIZYA KASELE</t>
  </si>
  <si>
    <t>255797830783</t>
  </si>
  <si>
    <t>T725DPW</t>
  </si>
  <si>
    <t>SHABANI RASHIDI MWIPI</t>
  </si>
  <si>
    <t>255783440428</t>
  </si>
  <si>
    <t>T580DPW</t>
  </si>
  <si>
    <t>MICHAEL PAULO MZALIFU</t>
  </si>
  <si>
    <t>255610 025468</t>
  </si>
  <si>
    <t>T586DPW</t>
  </si>
  <si>
    <t xml:space="preserve">ANTHONY ANDREW MBANGA </t>
  </si>
  <si>
    <t>255793795100</t>
  </si>
  <si>
    <t>T365CXX</t>
  </si>
  <si>
    <t>SHUKURU ISAYA BISHE</t>
  </si>
  <si>
    <t xml:space="preserve">TALANA </t>
  </si>
  <si>
    <t>DEZIWA MINE/KOLWEZI</t>
  </si>
  <si>
    <t>255675387914/255782087014</t>
  </si>
  <si>
    <t>MEDUUL769160/A</t>
  </si>
  <si>
    <t>MEDUUL769855</t>
  </si>
  <si>
    <t>T774CRG</t>
  </si>
  <si>
    <t>MOHAMMED ALLY MATIMBWA</t>
  </si>
  <si>
    <t>255716 222448</t>
  </si>
  <si>
    <t>T614DPV</t>
  </si>
  <si>
    <t>MOHAMED OMAR SALEHE</t>
  </si>
  <si>
    <t>255769957599</t>
  </si>
  <si>
    <t>T781CRG</t>
  </si>
  <si>
    <t>JUMA RAJABU SAID</t>
  </si>
  <si>
    <t>255784787434</t>
  </si>
  <si>
    <t>T533BXN</t>
  </si>
  <si>
    <t>SADUKI BONIFACE MAGESA</t>
  </si>
  <si>
    <t>255744 675502</t>
  </si>
  <si>
    <t>T229DNF</t>
  </si>
  <si>
    <t>PETER MAURICE MAPUNDA</t>
  </si>
  <si>
    <t>255764 115742</t>
  </si>
  <si>
    <t>MEDUUL796194</t>
  </si>
  <si>
    <t>T482DZH</t>
  </si>
  <si>
    <t>ABDUL MOHAMED SATAL</t>
  </si>
  <si>
    <t>255783 357905</t>
  </si>
  <si>
    <t>T341DWZ</t>
  </si>
  <si>
    <t>MOHAMED MSHANA OMARI</t>
  </si>
  <si>
    <t>255714 857271</t>
  </si>
  <si>
    <t>T859CQL</t>
  </si>
  <si>
    <t>TARIKI SAID OMAR</t>
  </si>
  <si>
    <t>255717763148</t>
  </si>
  <si>
    <t>T134ENZ</t>
  </si>
  <si>
    <t>YUSUPH KIBWANA KIGOLA</t>
  </si>
  <si>
    <t>MOHAMED EDHA</t>
  </si>
  <si>
    <t>255786718143</t>
  </si>
  <si>
    <t>T197EES</t>
  </si>
  <si>
    <t>RASHIDI ABDALLAH MIRAMBO</t>
  </si>
  <si>
    <t>255674052241</t>
  </si>
  <si>
    <t>T162DDY</t>
  </si>
  <si>
    <t>ZABRON DANIEL OLAL</t>
  </si>
  <si>
    <t>255785 074817</t>
  </si>
  <si>
    <t>ALEX CHALRES PASCHAL</t>
  </si>
  <si>
    <t>TANGA</t>
  </si>
  <si>
    <t>255658 360815/255625 360815</t>
  </si>
  <si>
    <t>105970LYG065</t>
  </si>
  <si>
    <t>BASHI</t>
  </si>
  <si>
    <t>SHITURU/LIKASI</t>
  </si>
  <si>
    <t>CBW2520LT131</t>
  </si>
  <si>
    <t>T320CFY</t>
  </si>
  <si>
    <t>MORICE MWEMEZI KATUNZI</t>
  </si>
  <si>
    <t>255713723072</t>
  </si>
  <si>
    <t>OFFLOADING</t>
  </si>
  <si>
    <t>SITESWITHOUTWEIGHBRIDGE</t>
  </si>
  <si>
    <t>LUBUMBASHI</t>
  </si>
  <si>
    <t>KPM-LIKASI</t>
  </si>
  <si>
    <t>SICODEXKOLWEZI</t>
  </si>
  <si>
    <t>DEZIWA</t>
  </si>
  <si>
    <t>Kasumbalesa (ZAM)</t>
  </si>
  <si>
    <t>Nakonde (ZAM) - Kasumbalesa (ZAM)</t>
  </si>
  <si>
    <t>IN TRANSIT</t>
  </si>
  <si>
    <t>Sakania (DRC)</t>
  </si>
  <si>
    <t xml:space="preserve">Tunduma </t>
  </si>
  <si>
    <t>T613CKK/T161DDY</t>
  </si>
  <si>
    <t>T329EES/T203EES</t>
  </si>
  <si>
    <t>KISENDA ENROUTE TO KCC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</si>
</sst>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09]dd\-mmm\-yy;@"/>
    <numFmt numFmtId="165" formatCode="[$-409]d\-mmm\-yy;@"/>
    <numFmt numFmtId="166" formatCode="m/d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</font>
    <font>
      <b/>
      <i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1" xfId="0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5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0" fillId="0" borderId="0" xfId="0" applyNumberFormat="1"/>
    <xf numFmtId="0" fontId="0" fillId="2" borderId="1" xfId="0" applyFill="1" applyBorder="1"/>
    <xf numFmtId="0" fontId="0" fillId="0" borderId="2" xfId="0" applyBorder="1"/>
    <xf numFmtId="0" fontId="0" fillId="3" borderId="1" xfId="0" applyFill="1" applyBorder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4" fillId="6" borderId="0" xfId="0" applyFont="1" applyFill="1"/>
    <xf numFmtId="166" fontId="4" fillId="6" borderId="0" xfId="0" applyNumberFormat="1" applyFont="1" applyFill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165" fontId="7" fillId="3" borderId="1" xfId="0" applyNumberFormat="1" applyFont="1" applyFill="1" applyBorder="1" applyAlignment="1">
      <alignment horizontal="center"/>
    </xf>
    <xf numFmtId="0" fontId="3" fillId="6" borderId="0" xfId="0" applyFont="1" applyFill="1"/>
    <xf numFmtId="0" fontId="2" fillId="0" borderId="0" xfId="0" applyFont="1"/>
  </cellXfs>
  <cellStyles count="2">
    <cellStyle name="Comma 2 7" xfId="1" xr:uid="{84A48872-FF4C-4A02-A90F-70CAB815C983}"/>
    <cellStyle name="Normal" xfId="0" builtinId="0"/>
  </cellStyles>
  <dxfs count="69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CLIENTS%20REPORTS/_CURRENT%20REPORTS/IMPORT%20REPORTS/TALANA%20NORTH%20BOUND%20TRACKING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CLIENTS%20REPORTS/_CURRENT%20REPORTS/IMPORT%20REPORTS/KCC%20PO%20C003636963%20TRACKING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CLIENTS%20REPORTS/_CURRENT%20REPORTS/IMPORT%20REPORTS/MUMI%20PO%20C003034886%20TRACKING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LANA"/>
      <sheetName val="SUMMARY"/>
    </sheetNames>
    <sheetDataSet>
      <sheetData sheetId="0">
        <row r="4">
          <cell r="B4" t="str">
            <v>T533BXN</v>
          </cell>
          <cell r="C4" t="str">
            <v>T963ASG</v>
          </cell>
          <cell r="D4" t="str">
            <v>T517EFH</v>
          </cell>
          <cell r="E4" t="str">
            <v>MEDUUL769855</v>
          </cell>
          <cell r="F4" t="str">
            <v>DESTINATION</v>
          </cell>
        </row>
        <row r="5">
          <cell r="B5" t="str">
            <v>T774CRG</v>
          </cell>
          <cell r="C5" t="str">
            <v>T949CTU</v>
          </cell>
          <cell r="D5" t="str">
            <v>T678EFH</v>
          </cell>
          <cell r="E5" t="str">
            <v>MEDUUL769855</v>
          </cell>
          <cell r="F5" t="str">
            <v>DESTINATION</v>
          </cell>
        </row>
        <row r="6">
          <cell r="B6" t="str">
            <v>T197EES</v>
          </cell>
          <cell r="C6" t="str">
            <v>T739CWH</v>
          </cell>
          <cell r="D6"/>
          <cell r="E6" t="str">
            <v>MEDUUL796194</v>
          </cell>
          <cell r="F6" t="str">
            <v>DESTINATION</v>
          </cell>
        </row>
        <row r="7">
          <cell r="B7" t="str">
            <v>T341DWZ</v>
          </cell>
          <cell r="C7" t="str">
            <v>T116DXM</v>
          </cell>
          <cell r="D7" t="str">
            <v>T117DXM</v>
          </cell>
          <cell r="E7" t="str">
            <v>MEDUUL796194</v>
          </cell>
          <cell r="F7" t="str">
            <v>DESTINATION</v>
          </cell>
        </row>
        <row r="8">
          <cell r="B8" t="str">
            <v>T859CQL</v>
          </cell>
          <cell r="C8" t="str">
            <v>T332BXG</v>
          </cell>
          <cell r="D8" t="str">
            <v>T228EMM</v>
          </cell>
          <cell r="E8" t="str">
            <v>MEDUUL796194</v>
          </cell>
          <cell r="F8" t="str">
            <v>K-LESA DRC</v>
          </cell>
        </row>
        <row r="9">
          <cell r="B9" t="str">
            <v>T134ENZ</v>
          </cell>
          <cell r="C9" t="str">
            <v>T925EPP</v>
          </cell>
          <cell r="D9"/>
          <cell r="E9" t="str">
            <v>MEDUUL796194</v>
          </cell>
          <cell r="F9" t="str">
            <v>K-LESA DRC</v>
          </cell>
        </row>
        <row r="10">
          <cell r="B10" t="str">
            <v>T162DDY</v>
          </cell>
          <cell r="C10" t="str">
            <v>T488AUU</v>
          </cell>
          <cell r="D10"/>
          <cell r="E10" t="str">
            <v>MEDUUL796194</v>
          </cell>
          <cell r="F10" t="str">
            <v>K-LESA ZMB</v>
          </cell>
        </row>
        <row r="11">
          <cell r="B11" t="str">
            <v>T614DPV</v>
          </cell>
          <cell r="C11" t="str">
            <v>T530CTF</v>
          </cell>
          <cell r="D11" t="str">
            <v>T196EMP</v>
          </cell>
          <cell r="E11" t="str">
            <v>MEDUUL769855</v>
          </cell>
          <cell r="F11" t="str">
            <v>KONKOLA</v>
          </cell>
        </row>
        <row r="12">
          <cell r="B12" t="str">
            <v>T482DZH</v>
          </cell>
          <cell r="C12" t="str">
            <v>T342EBB</v>
          </cell>
          <cell r="D12" t="str">
            <v>T564EBB</v>
          </cell>
          <cell r="E12" t="str">
            <v>MEDUUL796194</v>
          </cell>
          <cell r="F12" t="str">
            <v>KONKOLA</v>
          </cell>
        </row>
        <row r="13">
          <cell r="B13" t="str">
            <v>T365CXX</v>
          </cell>
          <cell r="C13" t="str">
            <v>T298BWW</v>
          </cell>
          <cell r="D13"/>
          <cell r="E13" t="str">
            <v>MEDUUL769160/A</v>
          </cell>
          <cell r="F13" t="str">
            <v>KONKOLA</v>
          </cell>
        </row>
        <row r="14">
          <cell r="B14" t="str">
            <v>T365CXX</v>
          </cell>
          <cell r="C14" t="str">
            <v>T298BWW</v>
          </cell>
          <cell r="D14"/>
          <cell r="E14" t="str">
            <v>MEDUUL769855</v>
          </cell>
          <cell r="F14" t="str">
            <v>KONKOLA</v>
          </cell>
        </row>
        <row r="15">
          <cell r="B15" t="str">
            <v>T229DNF</v>
          </cell>
          <cell r="C15" t="str">
            <v>T756BYV</v>
          </cell>
          <cell r="D15" t="str">
            <v>T397DSM</v>
          </cell>
          <cell r="E15" t="str">
            <v>MEDUUL796194</v>
          </cell>
          <cell r="F15" t="str">
            <v>NDOLA</v>
          </cell>
        </row>
        <row r="16">
          <cell r="B16" t="str">
            <v>T781CRG</v>
          </cell>
          <cell r="C16" t="str">
            <v>T695BMY</v>
          </cell>
          <cell r="D16" t="str">
            <v>T580DTR</v>
          </cell>
          <cell r="E16" t="str">
            <v>MEDUUL769855</v>
          </cell>
          <cell r="F16" t="str">
            <v>NAKONDE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DQ 009"/>
      <sheetName val="Background Info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X0106643"/>
      <sheetName val="SCX0106644"/>
      <sheetName val="MEDUW4644540"/>
      <sheetName val="MEDUW4676849"/>
      <sheetName val="MEDUW4891471"/>
      <sheetName val="Background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1AE5-D7D0-4BB6-BFB9-07BD6736A0D8}">
  <dimension ref="A1:P12"/>
  <sheetViews>
    <sheetView workbookViewId="0">
      <selection activeCell="C4" sqref="C4"/>
    </sheetView>
  </sheetViews>
  <sheetFormatPr defaultRowHeight="14.5" x14ac:dyDescent="0.35"/>
  <cols>
    <col min="1" max="1" width="6.54296875" customWidth="1"/>
    <col min="2" max="2" width="9.1796875" customWidth="1"/>
    <col min="3" max="3" width="15" bestFit="1" customWidth="1"/>
    <col min="4" max="4" width="25.1796875" customWidth="1"/>
    <col min="5" max="5" width="11.7265625" customWidth="1"/>
    <col min="6" max="6" width="13.26953125" customWidth="1"/>
    <col min="7" max="7" width="9.1796875" customWidth="1"/>
    <col min="8" max="8" width="13.26953125" customWidth="1"/>
    <col min="9" max="9" width="11" customWidth="1"/>
    <col min="10" max="10" width="16.26953125" customWidth="1"/>
    <col min="11" max="11" width="10.26953125" customWidth="1"/>
    <col min="12" max="12" width="23.26953125" bestFit="1" customWidth="1"/>
    <col min="13" max="13" width="36.26953125" customWidth="1"/>
    <col min="14" max="14" width="13.81640625" customWidth="1"/>
    <col min="15" max="15" width="14.81640625" customWidth="1"/>
    <col min="16" max="16" width="24.26953125" customWidth="1"/>
  </cols>
  <sheetData>
    <row r="1" spans="1:16" s="5" customFormat="1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4" t="s">
        <v>14</v>
      </c>
      <c r="P1" s="4" t="s">
        <v>15</v>
      </c>
    </row>
    <row r="2" spans="1:16" ht="12" customHeight="1" x14ac:dyDescent="0.35">
      <c r="A2" s="6">
        <v>1</v>
      </c>
      <c r="B2" s="6">
        <v>28837</v>
      </c>
      <c r="C2" s="18" t="s">
        <v>391</v>
      </c>
      <c r="D2" s="18" t="s">
        <v>370</v>
      </c>
      <c r="E2" s="7">
        <v>45969</v>
      </c>
      <c r="F2" s="7"/>
      <c r="G2" s="8">
        <f t="shared" ref="G2" ca="1" si="0">TODAY()-F2</f>
        <v>46044</v>
      </c>
      <c r="H2" s="9"/>
      <c r="I2" s="10" t="s">
        <v>18</v>
      </c>
      <c r="J2" s="6" t="s">
        <v>371</v>
      </c>
      <c r="K2" s="6" t="s">
        <v>20</v>
      </c>
      <c r="L2" s="6" t="s">
        <v>283</v>
      </c>
      <c r="M2" s="19" t="s">
        <v>372</v>
      </c>
      <c r="N2" s="6" t="s">
        <v>373</v>
      </c>
      <c r="O2" s="9"/>
      <c r="P2" s="9"/>
    </row>
    <row r="3" spans="1:16" ht="18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16" ht="14.25" customHeight="1" x14ac:dyDescent="0.35">
      <c r="A4" s="6">
        <v>1</v>
      </c>
      <c r="B4" s="6">
        <v>29200</v>
      </c>
      <c r="C4" s="14" t="s">
        <v>377</v>
      </c>
      <c r="D4" s="15" t="s">
        <v>378</v>
      </c>
      <c r="E4" s="7">
        <v>45991</v>
      </c>
      <c r="F4" s="9"/>
      <c r="G4" s="8">
        <f ca="1">TODAY()-F4</f>
        <v>46044</v>
      </c>
      <c r="H4" s="11"/>
      <c r="I4" s="10" t="s">
        <v>18</v>
      </c>
      <c r="J4" s="6" t="s">
        <v>282</v>
      </c>
      <c r="K4" s="6" t="s">
        <v>374</v>
      </c>
      <c r="L4" s="6" t="s">
        <v>375</v>
      </c>
      <c r="M4" s="16" t="s">
        <v>379</v>
      </c>
      <c r="N4" s="6" t="s">
        <v>376</v>
      </c>
      <c r="O4" s="6"/>
      <c r="P4" s="6"/>
    </row>
    <row r="5" spans="1:16" ht="18" customHeight="1" x14ac:dyDescent="0.3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spans="1:16" ht="14.25" customHeight="1" x14ac:dyDescent="0.35"/>
    <row r="7" spans="1:16" x14ac:dyDescent="0.35">
      <c r="D7" s="20"/>
    </row>
    <row r="8" spans="1:16" x14ac:dyDescent="0.35">
      <c r="D8" s="20"/>
    </row>
    <row r="9" spans="1:16" x14ac:dyDescent="0.35">
      <c r="D9" s="20"/>
    </row>
    <row r="10" spans="1:16" x14ac:dyDescent="0.35">
      <c r="D10" s="20"/>
    </row>
    <row r="11" spans="1:16" x14ac:dyDescent="0.35">
      <c r="D11" s="20"/>
    </row>
    <row r="12" spans="1:16" x14ac:dyDescent="0.35">
      <c r="D12" s="20"/>
    </row>
  </sheetData>
  <conditionalFormatting sqref="C1">
    <cfRule type="duplicateValues" dxfId="68" priority="2252"/>
  </conditionalFormatting>
  <conditionalFormatting sqref="C1">
    <cfRule type="duplicateValues" dxfId="67" priority="2251"/>
  </conditionalFormatting>
  <conditionalFormatting sqref="C1">
    <cfRule type="duplicateValues" dxfId="66" priority="2250"/>
  </conditionalFormatting>
  <conditionalFormatting sqref="C1">
    <cfRule type="duplicateValues" dxfId="65" priority="2249"/>
  </conditionalFormatting>
  <conditionalFormatting sqref="C1">
    <cfRule type="duplicateValues" dxfId="64" priority="2248"/>
  </conditionalFormatting>
  <conditionalFormatting sqref="C1">
    <cfRule type="duplicateValues" dxfId="63" priority="2244"/>
    <cfRule type="duplicateValues" dxfId="62" priority="2245"/>
    <cfRule type="duplicateValues" dxfId="61" priority="2246"/>
    <cfRule type="duplicateValues" dxfId="60" priority="2247"/>
  </conditionalFormatting>
  <conditionalFormatting sqref="C1">
    <cfRule type="duplicateValues" dxfId="59" priority="2243"/>
  </conditionalFormatting>
  <conditionalFormatting sqref="C1">
    <cfRule type="duplicateValues" dxfId="58" priority="2240"/>
    <cfRule type="duplicateValues" dxfId="57" priority="2241"/>
    <cfRule type="duplicateValues" dxfId="56" priority="2242"/>
  </conditionalFormatting>
  <conditionalFormatting sqref="C1">
    <cfRule type="duplicateValues" dxfId="55" priority="2238"/>
    <cfRule type="duplicateValues" dxfId="54" priority="2239"/>
  </conditionalFormatting>
  <conditionalFormatting sqref="C1">
    <cfRule type="duplicateValues" dxfId="53" priority="2237"/>
  </conditionalFormatting>
  <conditionalFormatting sqref="C1">
    <cfRule type="duplicateValues" dxfId="52" priority="2236"/>
  </conditionalFormatting>
  <conditionalFormatting sqref="C1">
    <cfRule type="duplicateValues" dxfId="51" priority="2235"/>
  </conditionalFormatting>
  <conditionalFormatting sqref="C1">
    <cfRule type="duplicateValues" dxfId="50" priority="2234"/>
  </conditionalFormatting>
  <conditionalFormatting sqref="C1">
    <cfRule type="duplicateValues" dxfId="49" priority="2233"/>
  </conditionalFormatting>
  <conditionalFormatting sqref="C1">
    <cfRule type="duplicateValues" dxfId="48" priority="2232"/>
  </conditionalFormatting>
  <conditionalFormatting sqref="C1">
    <cfRule type="duplicateValues" dxfId="47" priority="2231"/>
  </conditionalFormatting>
  <conditionalFormatting sqref="C1">
    <cfRule type="duplicateValues" dxfId="46" priority="2230"/>
  </conditionalFormatting>
  <conditionalFormatting sqref="C1">
    <cfRule type="duplicateValues" dxfId="45" priority="2229"/>
  </conditionalFormatting>
  <conditionalFormatting sqref="C1">
    <cfRule type="duplicateValues" dxfId="44" priority="2227"/>
    <cfRule type="duplicateValues" dxfId="43" priority="2228"/>
  </conditionalFormatting>
  <conditionalFormatting sqref="C1">
    <cfRule type="duplicateValues" dxfId="42" priority="2226"/>
  </conditionalFormatting>
  <conditionalFormatting sqref="C1">
    <cfRule type="duplicateValues" dxfId="41" priority="2225"/>
  </conditionalFormatting>
  <conditionalFormatting sqref="C1">
    <cfRule type="duplicateValues" dxfId="40" priority="2224"/>
  </conditionalFormatting>
  <conditionalFormatting sqref="D4">
    <cfRule type="containsText" dxfId="39" priority="747" operator="containsText" text="TBA">
      <formula>NOT(ISERROR(SEARCH("TBA",D4)))</formula>
    </cfRule>
  </conditionalFormatting>
  <conditionalFormatting sqref="C15:C1048576 C1:C2 C4:C6">
    <cfRule type="duplicateValues" dxfId="38" priority="206"/>
    <cfRule type="duplicateValues" dxfId="37" priority="207"/>
  </conditionalFormatting>
  <conditionalFormatting sqref="C6 C1:C2 C15:C1048576">
    <cfRule type="duplicateValues" dxfId="36" priority="34"/>
  </conditionalFormatting>
  <conditionalFormatting sqref="C6 C15:C1048576">
    <cfRule type="duplicateValues" dxfId="35" priority="33"/>
  </conditionalFormatting>
  <conditionalFormatting sqref="C15:C1048576">
    <cfRule type="duplicateValues" dxfId="34" priority="32"/>
  </conditionalFormatting>
  <conditionalFormatting sqref="C9:C1048576 C1:C2 C4:C6">
    <cfRule type="duplicateValues" dxfId="33" priority="5"/>
  </conditionalFormatting>
  <conditionalFormatting sqref="C4">
    <cfRule type="duplicateValues" dxfId="32" priority="2255"/>
    <cfRule type="duplicateValues" dxfId="31" priority="2256"/>
    <cfRule type="duplicateValues" dxfId="30" priority="2257"/>
    <cfRule type="duplicateValues" dxfId="29" priority="2258"/>
    <cfRule type="duplicateValues" dxfId="28" priority="2259"/>
    <cfRule type="duplicateValues" dxfId="27" priority="2260"/>
    <cfRule type="duplicateValues" dxfId="26" priority="2261"/>
    <cfRule type="duplicateValues" dxfId="25" priority="2262"/>
    <cfRule type="duplicateValues" dxfId="24" priority="2263"/>
    <cfRule type="duplicateValues" dxfId="23" priority="2264"/>
    <cfRule type="duplicateValues" dxfId="22" priority="2265"/>
    <cfRule type="duplicateValues" dxfId="21" priority="2266"/>
    <cfRule type="duplicateValues" dxfId="20" priority="2267"/>
    <cfRule type="duplicateValues" dxfId="19" priority="2268"/>
    <cfRule type="duplicateValues" dxfId="18" priority="2269"/>
    <cfRule type="duplicateValues" dxfId="17" priority="2270"/>
    <cfRule type="duplicateValues" dxfId="16" priority="2271"/>
    <cfRule type="duplicateValues" dxfId="15" priority="2272"/>
    <cfRule type="duplicateValues" dxfId="14" priority="2273"/>
    <cfRule type="duplicateValues" dxfId="13" priority="2274"/>
    <cfRule type="duplicateValues" dxfId="12" priority="2275"/>
    <cfRule type="duplicateValues" dxfId="11" priority="2276"/>
    <cfRule type="duplicateValues" dxfId="10" priority="2277"/>
    <cfRule type="duplicateValues" dxfId="9" priority="2278"/>
  </conditionalFormatting>
  <conditionalFormatting sqref="C4">
    <cfRule type="duplicateValues" dxfId="8" priority="2279"/>
  </conditionalFormatting>
  <conditionalFormatting sqref="C3">
    <cfRule type="duplicateValues" dxfId="7" priority="2"/>
    <cfRule type="duplicateValues" dxfId="6" priority="3"/>
  </conditionalFormatting>
  <conditionalFormatting sqref="C3">
    <cfRule type="duplicateValues" dxfId="5" priority="1"/>
  </conditionalFormatting>
  <conditionalFormatting sqref="C3">
    <cfRule type="duplicateValues" dxfId="4" priority="4"/>
  </conditionalFormatting>
  <conditionalFormatting sqref="C4:C5">
    <cfRule type="duplicateValues" dxfId="3" priority="236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AF4CF-6B54-4353-9953-AC5C9004971C}">
  <dimension ref="A1:Q117"/>
  <sheetViews>
    <sheetView tabSelected="1" topLeftCell="E1" zoomScale="115" zoomScaleNormal="115" workbookViewId="0">
      <selection activeCell="H130" sqref="H130"/>
    </sheetView>
  </sheetViews>
  <sheetFormatPr defaultRowHeight="14.5" x14ac:dyDescent="0.35"/>
  <cols>
    <col min="1" max="1" width="4.54296875" bestFit="1" customWidth="1"/>
    <col min="2" max="2" width="4.54296875" style="34" customWidth="1"/>
    <col min="3" max="3" width="10.90625" hidden="1" customWidth="1"/>
    <col min="4" max="4" width="14.1796875" bestFit="1" customWidth="1"/>
    <col min="5" max="5" width="31.453125" customWidth="1"/>
    <col min="6" max="6" width="16.08984375" bestFit="1" customWidth="1"/>
    <col min="7" max="7" width="18" bestFit="1" customWidth="1"/>
    <col min="8" max="8" width="15.81640625" customWidth="1"/>
    <col min="9" max="9" width="29.453125" bestFit="1" customWidth="1"/>
    <col min="10" max="10" width="14" bestFit="1" customWidth="1"/>
    <col min="11" max="11" width="15.90625" hidden="1" customWidth="1"/>
    <col min="12" max="12" width="8.90625" hidden="1" customWidth="1"/>
    <col min="13" max="13" width="20.08984375" bestFit="1" customWidth="1"/>
    <col min="14" max="14" width="36" bestFit="1" customWidth="1"/>
    <col min="15" max="15" width="14.81640625" hidden="1" customWidth="1"/>
    <col min="16" max="16" width="12.54296875" bestFit="1" customWidth="1"/>
    <col min="17" max="17" width="10" bestFit="1" customWidth="1"/>
  </cols>
  <sheetData>
    <row r="1" spans="1:17" s="26" customFormat="1" ht="36" customHeight="1" x14ac:dyDescent="0.4">
      <c r="A1" s="25" t="s">
        <v>0</v>
      </c>
      <c r="B1" s="25" t="s">
        <v>0</v>
      </c>
      <c r="C1" s="25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9</v>
      </c>
      <c r="L1" s="25" t="s">
        <v>10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</row>
    <row r="2" spans="1:17" s="24" customFormat="1" ht="13" hidden="1" x14ac:dyDescent="0.3">
      <c r="A2" s="12">
        <f t="shared" ref="A2:A30" si="0">ROW()-1</f>
        <v>1</v>
      </c>
      <c r="B2" s="30"/>
      <c r="C2" s="12">
        <v>29254</v>
      </c>
      <c r="D2" s="12" t="s">
        <v>16</v>
      </c>
      <c r="E2" s="12" t="s">
        <v>17</v>
      </c>
      <c r="F2" s="17">
        <v>45996</v>
      </c>
      <c r="G2" s="17">
        <v>46018</v>
      </c>
      <c r="H2" s="12">
        <f t="shared" ref="H2:H26" ca="1" si="1">TODAY()-G2</f>
        <v>26</v>
      </c>
      <c r="I2" s="12"/>
      <c r="J2" s="12" t="s">
        <v>18</v>
      </c>
      <c r="K2" s="12" t="s">
        <v>19</v>
      </c>
      <c r="L2" s="12" t="s">
        <v>20</v>
      </c>
      <c r="M2" s="12" t="s">
        <v>21</v>
      </c>
      <c r="N2" s="12" t="s">
        <v>22</v>
      </c>
      <c r="O2" s="12">
        <v>1</v>
      </c>
      <c r="P2" s="29" t="s">
        <v>23</v>
      </c>
      <c r="Q2" s="30" t="s">
        <v>24</v>
      </c>
    </row>
    <row r="3" spans="1:17" s="24" customFormat="1" ht="13" hidden="1" x14ac:dyDescent="0.3">
      <c r="A3" s="12">
        <f t="shared" si="0"/>
        <v>2</v>
      </c>
      <c r="B3" s="30"/>
      <c r="C3" s="12">
        <v>29257</v>
      </c>
      <c r="D3" s="12" t="s">
        <v>25</v>
      </c>
      <c r="E3" s="12" t="s">
        <v>26</v>
      </c>
      <c r="F3" s="17">
        <v>45996</v>
      </c>
      <c r="G3" s="17">
        <v>46018</v>
      </c>
      <c r="H3" s="12">
        <f t="shared" ca="1" si="1"/>
        <v>26</v>
      </c>
      <c r="I3" s="12"/>
      <c r="J3" s="12" t="s">
        <v>18</v>
      </c>
      <c r="K3" s="12" t="s">
        <v>19</v>
      </c>
      <c r="L3" s="12" t="s">
        <v>20</v>
      </c>
      <c r="M3" s="12" t="s">
        <v>21</v>
      </c>
      <c r="N3" s="12" t="s">
        <v>27</v>
      </c>
      <c r="O3" s="12">
        <v>1</v>
      </c>
      <c r="P3" s="29" t="s">
        <v>23</v>
      </c>
      <c r="Q3" s="30" t="s">
        <v>24</v>
      </c>
    </row>
    <row r="4" spans="1:17" s="24" customFormat="1" ht="13" hidden="1" x14ac:dyDescent="0.3">
      <c r="A4" s="12">
        <f t="shared" si="0"/>
        <v>3</v>
      </c>
      <c r="B4" s="30"/>
      <c r="C4" s="12">
        <v>29265</v>
      </c>
      <c r="D4" s="12" t="s">
        <v>28</v>
      </c>
      <c r="E4" s="12" t="s">
        <v>29</v>
      </c>
      <c r="F4" s="17">
        <v>45996</v>
      </c>
      <c r="G4" s="17">
        <v>46018</v>
      </c>
      <c r="H4" s="12">
        <f t="shared" ca="1" si="1"/>
        <v>26</v>
      </c>
      <c r="I4" s="12"/>
      <c r="J4" s="12" t="s">
        <v>18</v>
      </c>
      <c r="K4" s="12" t="s">
        <v>19</v>
      </c>
      <c r="L4" s="12" t="s">
        <v>20</v>
      </c>
      <c r="M4" s="12" t="s">
        <v>21</v>
      </c>
      <c r="N4" s="12" t="s">
        <v>30</v>
      </c>
      <c r="O4" s="12">
        <v>1</v>
      </c>
      <c r="P4" s="29" t="s">
        <v>23</v>
      </c>
      <c r="Q4" s="30" t="s">
        <v>24</v>
      </c>
    </row>
    <row r="5" spans="1:17" s="24" customFormat="1" ht="13" hidden="1" x14ac:dyDescent="0.3">
      <c r="A5" s="12">
        <f t="shared" si="0"/>
        <v>4</v>
      </c>
      <c r="B5" s="30"/>
      <c r="C5" s="12">
        <v>29252</v>
      </c>
      <c r="D5" s="12" t="s">
        <v>31</v>
      </c>
      <c r="E5" s="12" t="s">
        <v>32</v>
      </c>
      <c r="F5" s="17">
        <v>45996</v>
      </c>
      <c r="G5" s="17">
        <v>46024</v>
      </c>
      <c r="H5" s="12">
        <f t="shared" ca="1" si="1"/>
        <v>20</v>
      </c>
      <c r="I5" s="12"/>
      <c r="J5" s="12" t="s">
        <v>18</v>
      </c>
      <c r="K5" s="12" t="s">
        <v>19</v>
      </c>
      <c r="L5" s="12" t="s">
        <v>20</v>
      </c>
      <c r="M5" s="12" t="s">
        <v>21</v>
      </c>
      <c r="N5" s="12" t="s">
        <v>33</v>
      </c>
      <c r="O5" s="12">
        <v>1</v>
      </c>
      <c r="P5" s="29" t="s">
        <v>23</v>
      </c>
      <c r="Q5" s="30" t="s">
        <v>24</v>
      </c>
    </row>
    <row r="6" spans="1:17" s="24" customFormat="1" ht="13" hidden="1" x14ac:dyDescent="0.3">
      <c r="A6" s="12">
        <f t="shared" si="0"/>
        <v>5</v>
      </c>
      <c r="B6" s="30"/>
      <c r="C6" s="12">
        <v>29255</v>
      </c>
      <c r="D6" s="12" t="s">
        <v>34</v>
      </c>
      <c r="E6" s="12" t="s">
        <v>35</v>
      </c>
      <c r="F6" s="17">
        <v>45996</v>
      </c>
      <c r="G6" s="17">
        <v>46024</v>
      </c>
      <c r="H6" s="12">
        <f t="shared" ca="1" si="1"/>
        <v>20</v>
      </c>
      <c r="I6" s="12" t="s">
        <v>36</v>
      </c>
      <c r="J6" s="12" t="s">
        <v>18</v>
      </c>
      <c r="K6" s="12" t="s">
        <v>19</v>
      </c>
      <c r="L6" s="12" t="s">
        <v>20</v>
      </c>
      <c r="M6" s="12" t="s">
        <v>21</v>
      </c>
      <c r="N6" s="12" t="s">
        <v>37</v>
      </c>
      <c r="O6" s="12">
        <v>1</v>
      </c>
      <c r="P6" s="29" t="s">
        <v>23</v>
      </c>
      <c r="Q6" s="30" t="s">
        <v>24</v>
      </c>
    </row>
    <row r="7" spans="1:17" s="24" customFormat="1" ht="13" hidden="1" x14ac:dyDescent="0.3">
      <c r="A7" s="12">
        <f t="shared" si="0"/>
        <v>6</v>
      </c>
      <c r="B7" s="30"/>
      <c r="C7" s="12">
        <v>29256</v>
      </c>
      <c r="D7" s="12" t="s">
        <v>38</v>
      </c>
      <c r="E7" s="12" t="s">
        <v>39</v>
      </c>
      <c r="F7" s="17">
        <v>45996</v>
      </c>
      <c r="G7" s="17">
        <v>46024</v>
      </c>
      <c r="H7" s="12">
        <f t="shared" ca="1" si="1"/>
        <v>20</v>
      </c>
      <c r="I7" s="12"/>
      <c r="J7" s="12" t="s">
        <v>18</v>
      </c>
      <c r="K7" s="12" t="s">
        <v>19</v>
      </c>
      <c r="L7" s="12" t="s">
        <v>20</v>
      </c>
      <c r="M7" s="12" t="s">
        <v>21</v>
      </c>
      <c r="N7" s="12" t="s">
        <v>40</v>
      </c>
      <c r="O7" s="12">
        <v>1</v>
      </c>
      <c r="P7" s="29" t="s">
        <v>23</v>
      </c>
      <c r="Q7" s="30" t="s">
        <v>24</v>
      </c>
    </row>
    <row r="8" spans="1:17" s="24" customFormat="1" ht="13" hidden="1" x14ac:dyDescent="0.3">
      <c r="A8" s="12">
        <f t="shared" si="0"/>
        <v>7</v>
      </c>
      <c r="B8" s="30"/>
      <c r="C8" s="12">
        <v>29292</v>
      </c>
      <c r="D8" s="12" t="s">
        <v>41</v>
      </c>
      <c r="E8" s="12" t="s">
        <v>42</v>
      </c>
      <c r="F8" s="17">
        <v>45996</v>
      </c>
      <c r="G8" s="17">
        <v>46020</v>
      </c>
      <c r="H8" s="12">
        <f t="shared" ca="1" si="1"/>
        <v>24</v>
      </c>
      <c r="I8" s="12"/>
      <c r="J8" s="12" t="s">
        <v>18</v>
      </c>
      <c r="K8" s="12" t="s">
        <v>19</v>
      </c>
      <c r="L8" s="12" t="s">
        <v>20</v>
      </c>
      <c r="M8" s="12" t="s">
        <v>21</v>
      </c>
      <c r="N8" s="12" t="s">
        <v>43</v>
      </c>
      <c r="O8" s="12">
        <v>1</v>
      </c>
      <c r="P8" s="29" t="s">
        <v>23</v>
      </c>
      <c r="Q8" s="30" t="s">
        <v>24</v>
      </c>
    </row>
    <row r="9" spans="1:17" s="24" customFormat="1" ht="13" hidden="1" x14ac:dyDescent="0.3">
      <c r="A9" s="12">
        <f t="shared" si="0"/>
        <v>8</v>
      </c>
      <c r="B9" s="30"/>
      <c r="C9" s="12">
        <v>29291</v>
      </c>
      <c r="D9" s="12" t="s">
        <v>44</v>
      </c>
      <c r="E9" s="12" t="s">
        <v>45</v>
      </c>
      <c r="F9" s="17">
        <v>45996</v>
      </c>
      <c r="G9" s="17">
        <v>46026</v>
      </c>
      <c r="H9" s="12">
        <f t="shared" ca="1" si="1"/>
        <v>18</v>
      </c>
      <c r="I9" s="12" t="s">
        <v>36</v>
      </c>
      <c r="J9" s="12" t="s">
        <v>18</v>
      </c>
      <c r="K9" s="12" t="s">
        <v>19</v>
      </c>
      <c r="L9" s="12" t="s">
        <v>20</v>
      </c>
      <c r="M9" s="12" t="s">
        <v>21</v>
      </c>
      <c r="N9" s="12" t="s">
        <v>46</v>
      </c>
      <c r="O9" s="12">
        <v>1</v>
      </c>
      <c r="P9" s="29" t="s">
        <v>23</v>
      </c>
      <c r="Q9" s="30" t="s">
        <v>24</v>
      </c>
    </row>
    <row r="10" spans="1:17" s="24" customFormat="1" ht="13" hidden="1" x14ac:dyDescent="0.3">
      <c r="A10" s="12">
        <f t="shared" si="0"/>
        <v>9</v>
      </c>
      <c r="B10" s="30"/>
      <c r="C10" s="12">
        <v>29287</v>
      </c>
      <c r="D10" s="12" t="s">
        <v>47</v>
      </c>
      <c r="E10" s="12" t="s">
        <v>48</v>
      </c>
      <c r="F10" s="17">
        <v>45997</v>
      </c>
      <c r="G10" s="17">
        <v>46026</v>
      </c>
      <c r="H10" s="12">
        <f t="shared" ca="1" si="1"/>
        <v>18</v>
      </c>
      <c r="I10" s="12" t="s">
        <v>36</v>
      </c>
      <c r="J10" s="12" t="s">
        <v>18</v>
      </c>
      <c r="K10" s="12" t="s">
        <v>19</v>
      </c>
      <c r="L10" s="12" t="s">
        <v>20</v>
      </c>
      <c r="M10" s="12" t="s">
        <v>21</v>
      </c>
      <c r="N10" s="12" t="s">
        <v>49</v>
      </c>
      <c r="O10" s="12">
        <v>1</v>
      </c>
      <c r="P10" s="29" t="s">
        <v>23</v>
      </c>
      <c r="Q10" s="30" t="s">
        <v>24</v>
      </c>
    </row>
    <row r="11" spans="1:17" s="24" customFormat="1" ht="13" hidden="1" x14ac:dyDescent="0.3">
      <c r="A11" s="12">
        <f t="shared" si="0"/>
        <v>10</v>
      </c>
      <c r="B11" s="30"/>
      <c r="C11" s="12">
        <v>29290</v>
      </c>
      <c r="D11" s="12" t="s">
        <v>50</v>
      </c>
      <c r="E11" s="12" t="s">
        <v>51</v>
      </c>
      <c r="F11" s="17">
        <v>45997</v>
      </c>
      <c r="G11" s="17">
        <v>46020</v>
      </c>
      <c r="H11" s="12">
        <f t="shared" ca="1" si="1"/>
        <v>24</v>
      </c>
      <c r="I11" s="12"/>
      <c r="J11" s="12" t="s">
        <v>18</v>
      </c>
      <c r="K11" s="12" t="s">
        <v>19</v>
      </c>
      <c r="L11" s="12" t="s">
        <v>20</v>
      </c>
      <c r="M11" s="12" t="s">
        <v>21</v>
      </c>
      <c r="N11" s="12" t="s">
        <v>52</v>
      </c>
      <c r="O11" s="12">
        <v>1</v>
      </c>
      <c r="P11" s="29" t="s">
        <v>23</v>
      </c>
      <c r="Q11" s="30" t="s">
        <v>24</v>
      </c>
    </row>
    <row r="12" spans="1:17" s="24" customFormat="1" ht="13" hidden="1" x14ac:dyDescent="0.3">
      <c r="A12" s="12">
        <f t="shared" si="0"/>
        <v>11</v>
      </c>
      <c r="B12" s="30"/>
      <c r="C12" s="12">
        <v>29253</v>
      </c>
      <c r="D12" s="12" t="s">
        <v>53</v>
      </c>
      <c r="E12" s="12" t="s">
        <v>54</v>
      </c>
      <c r="F12" s="17">
        <v>45997</v>
      </c>
      <c r="G12" s="17">
        <v>46026</v>
      </c>
      <c r="H12" s="12">
        <f t="shared" ca="1" si="1"/>
        <v>18</v>
      </c>
      <c r="I12" s="12" t="s">
        <v>36</v>
      </c>
      <c r="J12" s="12" t="s">
        <v>18</v>
      </c>
      <c r="K12" s="12" t="s">
        <v>19</v>
      </c>
      <c r="L12" s="12" t="s">
        <v>20</v>
      </c>
      <c r="M12" s="12" t="s">
        <v>21</v>
      </c>
      <c r="N12" s="12" t="s">
        <v>55</v>
      </c>
      <c r="O12" s="12">
        <v>1</v>
      </c>
      <c r="P12" s="29" t="s">
        <v>23</v>
      </c>
      <c r="Q12" s="30" t="s">
        <v>24</v>
      </c>
    </row>
    <row r="13" spans="1:17" s="24" customFormat="1" ht="13" hidden="1" x14ac:dyDescent="0.3">
      <c r="A13" s="12">
        <f t="shared" si="0"/>
        <v>12</v>
      </c>
      <c r="B13" s="30"/>
      <c r="C13" s="12">
        <v>29266</v>
      </c>
      <c r="D13" s="12" t="s">
        <v>56</v>
      </c>
      <c r="E13" s="12" t="s">
        <v>57</v>
      </c>
      <c r="F13" s="17">
        <v>45997</v>
      </c>
      <c r="G13" s="17">
        <v>46024</v>
      </c>
      <c r="H13" s="12">
        <f t="shared" ca="1" si="1"/>
        <v>20</v>
      </c>
      <c r="I13" s="12" t="s">
        <v>36</v>
      </c>
      <c r="J13" s="12" t="s">
        <v>18</v>
      </c>
      <c r="K13" s="12" t="s">
        <v>19</v>
      </c>
      <c r="L13" s="12" t="s">
        <v>20</v>
      </c>
      <c r="M13" s="12" t="s">
        <v>21</v>
      </c>
      <c r="N13" s="12" t="s">
        <v>58</v>
      </c>
      <c r="O13" s="12">
        <v>1</v>
      </c>
      <c r="P13" s="29" t="s">
        <v>23</v>
      </c>
      <c r="Q13" s="30" t="s">
        <v>24</v>
      </c>
    </row>
    <row r="14" spans="1:17" s="24" customFormat="1" ht="14.25" hidden="1" customHeight="1" x14ac:dyDescent="0.3">
      <c r="A14" s="12">
        <f t="shared" si="0"/>
        <v>13</v>
      </c>
      <c r="B14" s="30"/>
      <c r="C14" s="12">
        <v>29297</v>
      </c>
      <c r="D14" s="12" t="s">
        <v>59</v>
      </c>
      <c r="E14" s="12" t="s">
        <v>60</v>
      </c>
      <c r="F14" s="17">
        <v>45998</v>
      </c>
      <c r="G14" s="17">
        <v>46021</v>
      </c>
      <c r="H14" s="12">
        <f t="shared" ca="1" si="1"/>
        <v>23</v>
      </c>
      <c r="I14" s="12"/>
      <c r="J14" s="12" t="s">
        <v>18</v>
      </c>
      <c r="K14" s="12" t="s">
        <v>19</v>
      </c>
      <c r="L14" s="12" t="s">
        <v>20</v>
      </c>
      <c r="M14" s="12" t="s">
        <v>21</v>
      </c>
      <c r="N14" s="12" t="s">
        <v>61</v>
      </c>
      <c r="O14" s="12">
        <v>1</v>
      </c>
      <c r="P14" s="29" t="s">
        <v>23</v>
      </c>
      <c r="Q14" s="30" t="s">
        <v>24</v>
      </c>
    </row>
    <row r="15" spans="1:17" s="24" customFormat="1" ht="13" hidden="1" x14ac:dyDescent="0.3">
      <c r="A15" s="12">
        <f t="shared" si="0"/>
        <v>14</v>
      </c>
      <c r="B15" s="30"/>
      <c r="C15" s="12">
        <v>29286</v>
      </c>
      <c r="D15" s="12" t="s">
        <v>62</v>
      </c>
      <c r="E15" s="12" t="s">
        <v>63</v>
      </c>
      <c r="F15" s="17">
        <v>45999</v>
      </c>
      <c r="G15" s="17">
        <v>46026</v>
      </c>
      <c r="H15" s="12">
        <f t="shared" ca="1" si="1"/>
        <v>18</v>
      </c>
      <c r="I15" s="12" t="s">
        <v>36</v>
      </c>
      <c r="J15" s="12" t="s">
        <v>18</v>
      </c>
      <c r="K15" s="12" t="s">
        <v>19</v>
      </c>
      <c r="L15" s="12" t="s">
        <v>20</v>
      </c>
      <c r="M15" s="12" t="s">
        <v>21</v>
      </c>
      <c r="N15" s="12" t="s">
        <v>64</v>
      </c>
      <c r="O15" s="12">
        <v>1</v>
      </c>
      <c r="P15" s="29" t="s">
        <v>23</v>
      </c>
      <c r="Q15" s="30" t="s">
        <v>24</v>
      </c>
    </row>
    <row r="16" spans="1:17" s="24" customFormat="1" ht="13" hidden="1" x14ac:dyDescent="0.3">
      <c r="A16" s="12">
        <f t="shared" si="0"/>
        <v>15</v>
      </c>
      <c r="B16" s="30"/>
      <c r="C16" s="12">
        <v>29289</v>
      </c>
      <c r="D16" s="12" t="s">
        <v>65</v>
      </c>
      <c r="E16" s="12" t="s">
        <v>66</v>
      </c>
      <c r="F16" s="17">
        <v>45999</v>
      </c>
      <c r="G16" s="17">
        <v>46026</v>
      </c>
      <c r="H16" s="12">
        <f t="shared" ca="1" si="1"/>
        <v>18</v>
      </c>
      <c r="I16" s="12" t="s">
        <v>36</v>
      </c>
      <c r="J16" s="12" t="s">
        <v>18</v>
      </c>
      <c r="K16" s="12" t="s">
        <v>19</v>
      </c>
      <c r="L16" s="12" t="s">
        <v>20</v>
      </c>
      <c r="M16" s="12" t="s">
        <v>21</v>
      </c>
      <c r="N16" s="12" t="s">
        <v>67</v>
      </c>
      <c r="O16" s="12">
        <v>1</v>
      </c>
      <c r="P16" s="29" t="s">
        <v>23</v>
      </c>
      <c r="Q16" s="30" t="s">
        <v>24</v>
      </c>
    </row>
    <row r="17" spans="1:17" s="24" customFormat="1" ht="13" hidden="1" x14ac:dyDescent="0.3">
      <c r="A17" s="12">
        <f t="shared" si="0"/>
        <v>16</v>
      </c>
      <c r="B17" s="30"/>
      <c r="C17" s="12">
        <v>29293</v>
      </c>
      <c r="D17" s="12" t="s">
        <v>68</v>
      </c>
      <c r="E17" s="12" t="s">
        <v>69</v>
      </c>
      <c r="F17" s="17">
        <v>45999</v>
      </c>
      <c r="G17" s="17">
        <v>46021</v>
      </c>
      <c r="H17" s="12">
        <f t="shared" ca="1" si="1"/>
        <v>23</v>
      </c>
      <c r="I17" s="12" t="s">
        <v>36</v>
      </c>
      <c r="J17" s="12" t="s">
        <v>18</v>
      </c>
      <c r="K17" s="12" t="s">
        <v>19</v>
      </c>
      <c r="L17" s="12" t="s">
        <v>20</v>
      </c>
      <c r="M17" s="12" t="s">
        <v>21</v>
      </c>
      <c r="N17" s="12" t="s">
        <v>70</v>
      </c>
      <c r="O17" s="12">
        <v>1</v>
      </c>
      <c r="P17" s="29" t="s">
        <v>23</v>
      </c>
      <c r="Q17" s="30" t="s">
        <v>24</v>
      </c>
    </row>
    <row r="18" spans="1:17" s="24" customFormat="1" ht="15.75" hidden="1" customHeight="1" x14ac:dyDescent="0.3">
      <c r="A18" s="12">
        <f t="shared" si="0"/>
        <v>17</v>
      </c>
      <c r="B18" s="30"/>
      <c r="C18" s="12">
        <v>29294</v>
      </c>
      <c r="D18" s="12" t="s">
        <v>71</v>
      </c>
      <c r="E18" s="12" t="s">
        <v>72</v>
      </c>
      <c r="F18" s="17">
        <v>45999</v>
      </c>
      <c r="G18" s="17">
        <v>46021</v>
      </c>
      <c r="H18" s="12">
        <f t="shared" ca="1" si="1"/>
        <v>23</v>
      </c>
      <c r="I18" s="12"/>
      <c r="J18" s="12" t="s">
        <v>18</v>
      </c>
      <c r="K18" s="12" t="s">
        <v>19</v>
      </c>
      <c r="L18" s="12" t="s">
        <v>20</v>
      </c>
      <c r="M18" s="12" t="s">
        <v>21</v>
      </c>
      <c r="N18" s="12" t="s">
        <v>73</v>
      </c>
      <c r="O18" s="12">
        <v>1</v>
      </c>
      <c r="P18" s="29" t="s">
        <v>23</v>
      </c>
      <c r="Q18" s="30" t="s">
        <v>24</v>
      </c>
    </row>
    <row r="19" spans="1:17" s="24" customFormat="1" ht="13" hidden="1" x14ac:dyDescent="0.3">
      <c r="A19" s="12">
        <f t="shared" si="0"/>
        <v>18</v>
      </c>
      <c r="B19" s="30"/>
      <c r="C19" s="12">
        <v>29268</v>
      </c>
      <c r="D19" s="12" t="s">
        <v>74</v>
      </c>
      <c r="E19" s="12" t="s">
        <v>75</v>
      </c>
      <c r="F19" s="17">
        <v>45999</v>
      </c>
      <c r="G19" s="17">
        <v>46026</v>
      </c>
      <c r="H19" s="12">
        <f t="shared" ca="1" si="1"/>
        <v>18</v>
      </c>
      <c r="I19" s="12" t="s">
        <v>36</v>
      </c>
      <c r="J19" s="12" t="s">
        <v>18</v>
      </c>
      <c r="K19" s="12" t="s">
        <v>19</v>
      </c>
      <c r="L19" s="12" t="s">
        <v>20</v>
      </c>
      <c r="M19" s="12" t="s">
        <v>21</v>
      </c>
      <c r="N19" s="12" t="s">
        <v>76</v>
      </c>
      <c r="O19" s="12">
        <v>1</v>
      </c>
      <c r="P19" s="29" t="s">
        <v>23</v>
      </c>
      <c r="Q19" s="30" t="s">
        <v>24</v>
      </c>
    </row>
    <row r="20" spans="1:17" s="24" customFormat="1" ht="13" hidden="1" x14ac:dyDescent="0.3">
      <c r="A20" s="12">
        <f t="shared" si="0"/>
        <v>19</v>
      </c>
      <c r="B20" s="30"/>
      <c r="C20" s="12">
        <v>29284</v>
      </c>
      <c r="D20" s="12" t="s">
        <v>77</v>
      </c>
      <c r="E20" s="12" t="s">
        <v>78</v>
      </c>
      <c r="F20" s="17">
        <v>45999</v>
      </c>
      <c r="G20" s="17">
        <v>46024</v>
      </c>
      <c r="H20" s="12">
        <f t="shared" ca="1" si="1"/>
        <v>20</v>
      </c>
      <c r="I20" s="12" t="s">
        <v>36</v>
      </c>
      <c r="J20" s="12" t="s">
        <v>18</v>
      </c>
      <c r="K20" s="12" t="s">
        <v>19</v>
      </c>
      <c r="L20" s="12" t="s">
        <v>20</v>
      </c>
      <c r="M20" s="12" t="s">
        <v>21</v>
      </c>
      <c r="N20" s="12" t="s">
        <v>79</v>
      </c>
      <c r="O20" s="12">
        <v>1</v>
      </c>
      <c r="P20" s="29" t="s">
        <v>23</v>
      </c>
      <c r="Q20" s="30" t="s">
        <v>24</v>
      </c>
    </row>
    <row r="21" spans="1:17" s="24" customFormat="1" ht="15" hidden="1" customHeight="1" x14ac:dyDescent="0.3">
      <c r="A21" s="12">
        <f t="shared" si="0"/>
        <v>20</v>
      </c>
      <c r="B21" s="30"/>
      <c r="C21" s="12">
        <v>29288</v>
      </c>
      <c r="D21" s="12" t="s">
        <v>80</v>
      </c>
      <c r="E21" s="12" t="s">
        <v>81</v>
      </c>
      <c r="F21" s="17">
        <v>45998</v>
      </c>
      <c r="G21" s="17">
        <v>46026</v>
      </c>
      <c r="H21" s="12">
        <f t="shared" ca="1" si="1"/>
        <v>18</v>
      </c>
      <c r="I21" s="12" t="s">
        <v>36</v>
      </c>
      <c r="J21" s="12" t="s">
        <v>18</v>
      </c>
      <c r="K21" s="12" t="s">
        <v>19</v>
      </c>
      <c r="L21" s="12" t="s">
        <v>20</v>
      </c>
      <c r="M21" s="12" t="s">
        <v>21</v>
      </c>
      <c r="N21" s="12" t="s">
        <v>82</v>
      </c>
      <c r="O21" s="12">
        <v>1</v>
      </c>
      <c r="P21" s="29" t="s">
        <v>23</v>
      </c>
      <c r="Q21" s="30" t="s">
        <v>24</v>
      </c>
    </row>
    <row r="22" spans="1:17" s="24" customFormat="1" ht="13" hidden="1" x14ac:dyDescent="0.3">
      <c r="A22" s="12">
        <f t="shared" si="0"/>
        <v>21</v>
      </c>
      <c r="B22" s="30"/>
      <c r="C22" s="12">
        <v>29280</v>
      </c>
      <c r="D22" s="12" t="s">
        <v>83</v>
      </c>
      <c r="E22" s="12" t="s">
        <v>84</v>
      </c>
      <c r="F22" s="17">
        <v>45997</v>
      </c>
      <c r="G22" s="17">
        <v>46035</v>
      </c>
      <c r="H22" s="12">
        <f t="shared" ca="1" si="1"/>
        <v>9</v>
      </c>
      <c r="I22" s="12"/>
      <c r="J22" s="12" t="s">
        <v>18</v>
      </c>
      <c r="K22" s="12" t="s">
        <v>19</v>
      </c>
      <c r="L22" s="12" t="s">
        <v>20</v>
      </c>
      <c r="M22" s="12" t="s">
        <v>21</v>
      </c>
      <c r="N22" s="12" t="s">
        <v>85</v>
      </c>
      <c r="O22" s="12">
        <v>1</v>
      </c>
      <c r="P22" s="29" t="s">
        <v>23</v>
      </c>
      <c r="Q22" s="30" t="s">
        <v>86</v>
      </c>
    </row>
    <row r="23" spans="1:17" s="24" customFormat="1" ht="13" hidden="1" x14ac:dyDescent="0.3">
      <c r="A23" s="12">
        <f t="shared" si="0"/>
        <v>22</v>
      </c>
      <c r="B23" s="30"/>
      <c r="C23" s="12">
        <v>29281</v>
      </c>
      <c r="D23" s="12" t="s">
        <v>90</v>
      </c>
      <c r="E23" s="12" t="s">
        <v>91</v>
      </c>
      <c r="F23" s="17">
        <v>46001</v>
      </c>
      <c r="G23" s="17">
        <v>46035</v>
      </c>
      <c r="H23" s="12">
        <f t="shared" ca="1" si="1"/>
        <v>9</v>
      </c>
      <c r="I23" s="12"/>
      <c r="J23" s="12" t="s">
        <v>18</v>
      </c>
      <c r="K23" s="12" t="s">
        <v>19</v>
      </c>
      <c r="L23" s="12" t="s">
        <v>20</v>
      </c>
      <c r="M23" s="12" t="s">
        <v>21</v>
      </c>
      <c r="N23" s="12" t="s">
        <v>92</v>
      </c>
      <c r="O23" s="12">
        <v>1</v>
      </c>
      <c r="P23" s="29" t="s">
        <v>23</v>
      </c>
      <c r="Q23" s="30" t="s">
        <v>86</v>
      </c>
    </row>
    <row r="24" spans="1:17" s="24" customFormat="1" ht="13" hidden="1" x14ac:dyDescent="0.3">
      <c r="A24" s="12">
        <f t="shared" si="0"/>
        <v>23</v>
      </c>
      <c r="B24" s="30"/>
      <c r="C24" s="12">
        <v>29296</v>
      </c>
      <c r="D24" s="12" t="s">
        <v>93</v>
      </c>
      <c r="E24" s="12" t="s">
        <v>94</v>
      </c>
      <c r="F24" s="17">
        <v>45999</v>
      </c>
      <c r="G24" s="17">
        <v>46035</v>
      </c>
      <c r="H24" s="12">
        <f t="shared" ca="1" si="1"/>
        <v>9</v>
      </c>
      <c r="I24" s="12"/>
      <c r="J24" s="12" t="s">
        <v>18</v>
      </c>
      <c r="K24" s="12" t="s">
        <v>19</v>
      </c>
      <c r="L24" s="12" t="s">
        <v>20</v>
      </c>
      <c r="M24" s="12" t="s">
        <v>21</v>
      </c>
      <c r="N24" s="12" t="s">
        <v>95</v>
      </c>
      <c r="O24" s="12">
        <v>1</v>
      </c>
      <c r="P24" s="29" t="s">
        <v>23</v>
      </c>
      <c r="Q24" s="30" t="s">
        <v>86</v>
      </c>
    </row>
    <row r="25" spans="1:17" s="24" customFormat="1" ht="14.25" hidden="1" customHeight="1" x14ac:dyDescent="0.3">
      <c r="A25" s="12">
        <f t="shared" si="0"/>
        <v>24</v>
      </c>
      <c r="B25" s="30">
        <v>1</v>
      </c>
      <c r="C25" s="12">
        <v>29251</v>
      </c>
      <c r="D25" s="12" t="s">
        <v>87</v>
      </c>
      <c r="E25" s="12" t="s">
        <v>88</v>
      </c>
      <c r="F25" s="17">
        <v>45996</v>
      </c>
      <c r="G25" s="17">
        <v>46035</v>
      </c>
      <c r="H25" s="12">
        <f t="shared" ca="1" si="1"/>
        <v>9</v>
      </c>
      <c r="I25" s="12" t="s">
        <v>36</v>
      </c>
      <c r="J25" s="12" t="s">
        <v>18</v>
      </c>
      <c r="K25" s="12" t="s">
        <v>19</v>
      </c>
      <c r="L25" s="12" t="s">
        <v>20</v>
      </c>
      <c r="M25" s="12" t="s">
        <v>21</v>
      </c>
      <c r="N25" s="12" t="s">
        <v>89</v>
      </c>
      <c r="O25" s="12">
        <v>1</v>
      </c>
      <c r="P25" s="29" t="s">
        <v>23</v>
      </c>
      <c r="Q25" s="12" t="s">
        <v>24</v>
      </c>
    </row>
    <row r="26" spans="1:17" s="24" customFormat="1" ht="13" hidden="1" x14ac:dyDescent="0.3">
      <c r="A26" s="12">
        <f t="shared" si="0"/>
        <v>25</v>
      </c>
      <c r="B26" s="30">
        <v>1</v>
      </c>
      <c r="C26" s="12">
        <v>29267</v>
      </c>
      <c r="D26" s="12" t="s">
        <v>96</v>
      </c>
      <c r="E26" s="12" t="s">
        <v>97</v>
      </c>
      <c r="F26" s="17">
        <v>45998</v>
      </c>
      <c r="G26" s="17">
        <v>46039</v>
      </c>
      <c r="H26" s="12">
        <f t="shared" ca="1" si="1"/>
        <v>5</v>
      </c>
      <c r="I26" s="12" t="s">
        <v>36</v>
      </c>
      <c r="J26" s="12" t="s">
        <v>18</v>
      </c>
      <c r="K26" s="12" t="s">
        <v>19</v>
      </c>
      <c r="L26" s="12" t="s">
        <v>20</v>
      </c>
      <c r="M26" s="12" t="s">
        <v>21</v>
      </c>
      <c r="N26" s="12" t="s">
        <v>98</v>
      </c>
      <c r="O26" s="12">
        <v>1</v>
      </c>
      <c r="P26" s="29" t="s">
        <v>23</v>
      </c>
      <c r="Q26" s="12" t="s">
        <v>86</v>
      </c>
    </row>
    <row r="27" spans="1:17" s="24" customFormat="1" ht="13" hidden="1" x14ac:dyDescent="0.3">
      <c r="A27" s="12">
        <f t="shared" si="0"/>
        <v>26</v>
      </c>
      <c r="B27" s="30">
        <v>3</v>
      </c>
      <c r="C27" s="12">
        <v>29258</v>
      </c>
      <c r="D27" s="12" t="s">
        <v>99</v>
      </c>
      <c r="E27" s="12" t="s">
        <v>100</v>
      </c>
      <c r="F27" s="17">
        <v>45996</v>
      </c>
      <c r="G27" s="32" t="s">
        <v>388</v>
      </c>
      <c r="H27" s="12" t="e">
        <f t="shared" ref="H27:H30" ca="1" si="2">TODAY()-G27</f>
        <v>#VALUE!</v>
      </c>
      <c r="I27" s="30" t="s">
        <v>386</v>
      </c>
      <c r="J27" s="12" t="s">
        <v>18</v>
      </c>
      <c r="K27" s="12" t="s">
        <v>19</v>
      </c>
      <c r="L27" s="12" t="s">
        <v>20</v>
      </c>
      <c r="M27" s="12" t="s">
        <v>21</v>
      </c>
      <c r="N27" s="12" t="s">
        <v>101</v>
      </c>
      <c r="O27" s="12">
        <v>1</v>
      </c>
      <c r="P27" s="32" t="s">
        <v>388</v>
      </c>
      <c r="Q27" s="32" t="s">
        <v>388</v>
      </c>
    </row>
    <row r="28" spans="1:17" s="24" customFormat="1" ht="13" hidden="1" x14ac:dyDescent="0.3">
      <c r="A28" s="12">
        <f t="shared" si="0"/>
        <v>27</v>
      </c>
      <c r="B28" s="30">
        <v>4</v>
      </c>
      <c r="C28" s="12">
        <v>29264</v>
      </c>
      <c r="D28" s="12" t="s">
        <v>102</v>
      </c>
      <c r="E28" s="12" t="s">
        <v>103</v>
      </c>
      <c r="F28" s="17">
        <v>45996</v>
      </c>
      <c r="G28" s="32" t="s">
        <v>388</v>
      </c>
      <c r="H28" s="12" t="e">
        <f t="shared" ca="1" si="2"/>
        <v>#VALUE!</v>
      </c>
      <c r="I28" s="30" t="s">
        <v>386</v>
      </c>
      <c r="J28" s="12" t="s">
        <v>18</v>
      </c>
      <c r="K28" s="12" t="s">
        <v>19</v>
      </c>
      <c r="L28" s="12" t="s">
        <v>20</v>
      </c>
      <c r="M28" s="12" t="s">
        <v>21</v>
      </c>
      <c r="N28" s="12" t="s">
        <v>104</v>
      </c>
      <c r="O28" s="12">
        <v>1</v>
      </c>
      <c r="P28" s="32" t="s">
        <v>388</v>
      </c>
      <c r="Q28" s="32" t="s">
        <v>388</v>
      </c>
    </row>
    <row r="29" spans="1:17" s="24" customFormat="1" ht="13" hidden="1" x14ac:dyDescent="0.3">
      <c r="A29" s="12">
        <f t="shared" si="0"/>
        <v>28</v>
      </c>
      <c r="B29" s="30">
        <v>5</v>
      </c>
      <c r="C29" s="12">
        <v>29283</v>
      </c>
      <c r="D29" s="12" t="s">
        <v>105</v>
      </c>
      <c r="E29" s="12" t="s">
        <v>106</v>
      </c>
      <c r="F29" s="17">
        <v>45997</v>
      </c>
      <c r="G29" s="32" t="s">
        <v>388</v>
      </c>
      <c r="H29" s="12" t="e">
        <f t="shared" ca="1" si="2"/>
        <v>#VALUE!</v>
      </c>
      <c r="I29" s="30" t="s">
        <v>386</v>
      </c>
      <c r="J29" s="12" t="s">
        <v>18</v>
      </c>
      <c r="K29" s="12" t="s">
        <v>19</v>
      </c>
      <c r="L29" s="12" t="s">
        <v>20</v>
      </c>
      <c r="M29" s="12" t="s">
        <v>21</v>
      </c>
      <c r="N29" s="12">
        <v>255766539737</v>
      </c>
      <c r="O29" s="12">
        <v>1</v>
      </c>
      <c r="P29" s="32" t="s">
        <v>388</v>
      </c>
      <c r="Q29" s="32" t="s">
        <v>388</v>
      </c>
    </row>
    <row r="30" spans="1:17" s="24" customFormat="1" ht="13" hidden="1" x14ac:dyDescent="0.3">
      <c r="A30" s="12">
        <f t="shared" si="0"/>
        <v>29</v>
      </c>
      <c r="B30" s="30">
        <v>6</v>
      </c>
      <c r="C30" s="12">
        <v>29295</v>
      </c>
      <c r="D30" s="12" t="s">
        <v>392</v>
      </c>
      <c r="E30" s="12" t="s">
        <v>107</v>
      </c>
      <c r="F30" s="17">
        <v>45999</v>
      </c>
      <c r="G30" s="32" t="s">
        <v>388</v>
      </c>
      <c r="H30" s="12" t="e">
        <f t="shared" ca="1" si="2"/>
        <v>#VALUE!</v>
      </c>
      <c r="I30" s="30" t="s">
        <v>386</v>
      </c>
      <c r="J30" s="12" t="s">
        <v>18</v>
      </c>
      <c r="K30" s="12" t="s">
        <v>19</v>
      </c>
      <c r="L30" s="12" t="s">
        <v>20</v>
      </c>
      <c r="M30" s="12" t="s">
        <v>21</v>
      </c>
      <c r="N30" s="12" t="s">
        <v>108</v>
      </c>
      <c r="O30" s="12">
        <v>1</v>
      </c>
      <c r="P30" s="32" t="s">
        <v>388</v>
      </c>
      <c r="Q30" s="32" t="s">
        <v>388</v>
      </c>
    </row>
    <row r="31" spans="1:17" s="5" customFormat="1" ht="13.5" hidden="1" customHeight="1" x14ac:dyDescent="0.3">
      <c r="A31" s="27"/>
      <c r="B31" s="30">
        <v>7</v>
      </c>
      <c r="C31" s="27"/>
      <c r="D31" s="27"/>
      <c r="E31" s="27"/>
      <c r="F31" s="28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spans="1:17" s="24" customFormat="1" ht="13" hidden="1" x14ac:dyDescent="0.3">
      <c r="A32" s="12">
        <v>1</v>
      </c>
      <c r="B32" s="30">
        <v>8</v>
      </c>
      <c r="C32" s="12">
        <v>29217</v>
      </c>
      <c r="D32" s="12" t="s">
        <v>109</v>
      </c>
      <c r="E32" s="12" t="s">
        <v>110</v>
      </c>
      <c r="F32" s="17">
        <v>45993</v>
      </c>
      <c r="G32" s="17">
        <v>46013</v>
      </c>
      <c r="H32" s="12">
        <f t="shared" ref="H32:H39" ca="1" si="3">TODAY()-G32</f>
        <v>31</v>
      </c>
      <c r="I32" s="12"/>
      <c r="J32" s="12" t="s">
        <v>18</v>
      </c>
      <c r="K32" s="12" t="s">
        <v>111</v>
      </c>
      <c r="L32" s="12" t="s">
        <v>112</v>
      </c>
      <c r="M32" s="12" t="s">
        <v>113</v>
      </c>
      <c r="N32" s="12" t="s">
        <v>114</v>
      </c>
      <c r="O32" s="12" t="s">
        <v>115</v>
      </c>
      <c r="P32" s="29" t="s">
        <v>23</v>
      </c>
      <c r="Q32" s="12" t="s">
        <v>86</v>
      </c>
    </row>
    <row r="33" spans="1:17" s="24" customFormat="1" ht="13" hidden="1" x14ac:dyDescent="0.3">
      <c r="A33" s="12">
        <v>2</v>
      </c>
      <c r="B33" s="30">
        <v>9</v>
      </c>
      <c r="C33" s="12">
        <v>29259</v>
      </c>
      <c r="D33" s="12" t="s">
        <v>116</v>
      </c>
      <c r="E33" s="12" t="s">
        <v>117</v>
      </c>
      <c r="F33" s="17">
        <v>45993</v>
      </c>
      <c r="G33" s="17">
        <v>46024</v>
      </c>
      <c r="H33" s="12">
        <f t="shared" ca="1" si="3"/>
        <v>20</v>
      </c>
      <c r="I33" s="12" t="s">
        <v>36</v>
      </c>
      <c r="J33" s="12" t="s">
        <v>18</v>
      </c>
      <c r="K33" s="12" t="s">
        <v>111</v>
      </c>
      <c r="L33" s="12" t="s">
        <v>112</v>
      </c>
      <c r="M33" s="12" t="s">
        <v>113</v>
      </c>
      <c r="N33" s="12" t="s">
        <v>118</v>
      </c>
      <c r="O33" s="12" t="s">
        <v>115</v>
      </c>
      <c r="P33" s="29" t="s">
        <v>23</v>
      </c>
      <c r="Q33" s="12" t="s">
        <v>86</v>
      </c>
    </row>
    <row r="34" spans="1:17" s="24" customFormat="1" ht="13" hidden="1" x14ac:dyDescent="0.3">
      <c r="A34" s="12">
        <v>3</v>
      </c>
      <c r="B34" s="30">
        <v>10</v>
      </c>
      <c r="C34" s="12">
        <v>29260</v>
      </c>
      <c r="D34" s="12" t="s">
        <v>119</v>
      </c>
      <c r="E34" s="12" t="s">
        <v>120</v>
      </c>
      <c r="F34" s="17">
        <v>45993</v>
      </c>
      <c r="G34" s="17">
        <v>46017</v>
      </c>
      <c r="H34" s="12">
        <f t="shared" ca="1" si="3"/>
        <v>27</v>
      </c>
      <c r="I34" s="12"/>
      <c r="J34" s="12" t="s">
        <v>18</v>
      </c>
      <c r="K34" s="12" t="s">
        <v>111</v>
      </c>
      <c r="L34" s="12" t="s">
        <v>112</v>
      </c>
      <c r="M34" s="12" t="s">
        <v>113</v>
      </c>
      <c r="N34" s="12" t="s">
        <v>121</v>
      </c>
      <c r="O34" s="12" t="s">
        <v>115</v>
      </c>
      <c r="P34" s="29" t="s">
        <v>23</v>
      </c>
      <c r="Q34" s="12" t="s">
        <v>86</v>
      </c>
    </row>
    <row r="35" spans="1:17" s="24" customFormat="1" ht="13" hidden="1" x14ac:dyDescent="0.3">
      <c r="A35" s="12">
        <v>4</v>
      </c>
      <c r="B35" s="30">
        <v>11</v>
      </c>
      <c r="C35" s="12">
        <v>29261</v>
      </c>
      <c r="D35" s="12" t="s">
        <v>122</v>
      </c>
      <c r="E35" s="12" t="s">
        <v>123</v>
      </c>
      <c r="F35" s="17">
        <v>45993</v>
      </c>
      <c r="G35" s="17">
        <v>46013</v>
      </c>
      <c r="H35" s="12">
        <f t="shared" ca="1" si="3"/>
        <v>31</v>
      </c>
      <c r="I35" s="12" t="s">
        <v>36</v>
      </c>
      <c r="J35" s="12" t="s">
        <v>18</v>
      </c>
      <c r="K35" s="12" t="s">
        <v>111</v>
      </c>
      <c r="L35" s="12" t="s">
        <v>112</v>
      </c>
      <c r="M35" s="12" t="s">
        <v>124</v>
      </c>
      <c r="N35" s="12" t="s">
        <v>125</v>
      </c>
      <c r="O35" s="12" t="s">
        <v>115</v>
      </c>
      <c r="P35" s="29" t="s">
        <v>23</v>
      </c>
      <c r="Q35" s="12" t="s">
        <v>86</v>
      </c>
    </row>
    <row r="36" spans="1:17" s="24" customFormat="1" ht="13" hidden="1" x14ac:dyDescent="0.3">
      <c r="A36" s="12">
        <v>5</v>
      </c>
      <c r="B36" s="30">
        <v>12</v>
      </c>
      <c r="C36" s="12">
        <v>29262</v>
      </c>
      <c r="D36" s="12" t="s">
        <v>126</v>
      </c>
      <c r="E36" s="12" t="s">
        <v>127</v>
      </c>
      <c r="F36" s="17">
        <v>45993</v>
      </c>
      <c r="G36" s="17">
        <v>46013</v>
      </c>
      <c r="H36" s="12">
        <f t="shared" ca="1" si="3"/>
        <v>31</v>
      </c>
      <c r="I36" s="12" t="s">
        <v>36</v>
      </c>
      <c r="J36" s="12" t="s">
        <v>18</v>
      </c>
      <c r="K36" s="12" t="s">
        <v>111</v>
      </c>
      <c r="L36" s="12" t="s">
        <v>112</v>
      </c>
      <c r="M36" s="12" t="s">
        <v>124</v>
      </c>
      <c r="N36" s="12" t="s">
        <v>128</v>
      </c>
      <c r="O36" s="12" t="s">
        <v>115</v>
      </c>
      <c r="P36" s="29" t="s">
        <v>23</v>
      </c>
      <c r="Q36" s="12" t="s">
        <v>86</v>
      </c>
    </row>
    <row r="37" spans="1:17" s="24" customFormat="1" ht="13" hidden="1" x14ac:dyDescent="0.3">
      <c r="A37" s="12">
        <v>6</v>
      </c>
      <c r="B37" s="30">
        <v>13</v>
      </c>
      <c r="C37" s="12">
        <v>29263</v>
      </c>
      <c r="D37" s="12" t="s">
        <v>129</v>
      </c>
      <c r="E37" s="12" t="s">
        <v>130</v>
      </c>
      <c r="F37" s="17">
        <v>45993</v>
      </c>
      <c r="G37" s="17">
        <v>46014</v>
      </c>
      <c r="H37" s="12">
        <f t="shared" ca="1" si="3"/>
        <v>30</v>
      </c>
      <c r="I37" s="12" t="s">
        <v>131</v>
      </c>
      <c r="J37" s="12" t="s">
        <v>18</v>
      </c>
      <c r="K37" s="12" t="s">
        <v>111</v>
      </c>
      <c r="L37" s="12" t="s">
        <v>112</v>
      </c>
      <c r="M37" s="12" t="s">
        <v>124</v>
      </c>
      <c r="N37" s="12" t="s">
        <v>132</v>
      </c>
      <c r="O37" s="12" t="s">
        <v>115</v>
      </c>
      <c r="P37" s="29" t="s">
        <v>23</v>
      </c>
      <c r="Q37" s="12" t="s">
        <v>86</v>
      </c>
    </row>
    <row r="38" spans="1:17" s="24" customFormat="1" ht="13" hidden="1" x14ac:dyDescent="0.3">
      <c r="A38" s="12">
        <v>7</v>
      </c>
      <c r="B38" s="30">
        <v>14</v>
      </c>
      <c r="C38" s="12">
        <v>29227</v>
      </c>
      <c r="D38" s="12" t="s">
        <v>133</v>
      </c>
      <c r="E38" s="12" t="s">
        <v>134</v>
      </c>
      <c r="F38" s="17">
        <v>45993</v>
      </c>
      <c r="G38" s="17">
        <v>46013</v>
      </c>
      <c r="H38" s="12">
        <f t="shared" ca="1" si="3"/>
        <v>31</v>
      </c>
      <c r="I38" s="12"/>
      <c r="J38" s="12" t="s">
        <v>18</v>
      </c>
      <c r="K38" s="12" t="s">
        <v>111</v>
      </c>
      <c r="L38" s="12" t="s">
        <v>112</v>
      </c>
      <c r="M38" s="12" t="s">
        <v>113</v>
      </c>
      <c r="N38" s="12" t="s">
        <v>135</v>
      </c>
      <c r="O38" s="12" t="s">
        <v>115</v>
      </c>
      <c r="P38" s="29" t="s">
        <v>23</v>
      </c>
      <c r="Q38" s="12" t="s">
        <v>86</v>
      </c>
    </row>
    <row r="39" spans="1:17" s="24" customFormat="1" ht="13" hidden="1" x14ac:dyDescent="0.3">
      <c r="A39" s="12">
        <v>8</v>
      </c>
      <c r="B39" s="30">
        <v>15</v>
      </c>
      <c r="C39" s="12">
        <v>29215</v>
      </c>
      <c r="D39" s="12" t="s">
        <v>136</v>
      </c>
      <c r="E39" s="12" t="s">
        <v>137</v>
      </c>
      <c r="F39" s="17">
        <v>45993</v>
      </c>
      <c r="G39" s="17">
        <v>46014</v>
      </c>
      <c r="H39" s="12">
        <f t="shared" ca="1" si="3"/>
        <v>30</v>
      </c>
      <c r="I39" s="12"/>
      <c r="J39" s="12" t="s">
        <v>18</v>
      </c>
      <c r="K39" s="12" t="s">
        <v>111</v>
      </c>
      <c r="L39" s="12" t="s">
        <v>112</v>
      </c>
      <c r="M39" s="12" t="s">
        <v>113</v>
      </c>
      <c r="N39" s="12" t="s">
        <v>138</v>
      </c>
      <c r="O39" s="12" t="s">
        <v>115</v>
      </c>
      <c r="P39" s="29" t="s">
        <v>23</v>
      </c>
      <c r="Q39" s="12" t="s">
        <v>86</v>
      </c>
    </row>
    <row r="40" spans="1:17" s="5" customFormat="1" ht="13.5" hidden="1" customHeight="1" x14ac:dyDescent="0.3">
      <c r="A40" s="27"/>
      <c r="B40" s="33"/>
      <c r="C40" s="27"/>
      <c r="D40" s="27"/>
      <c r="E40" s="27"/>
      <c r="F40" s="28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</row>
    <row r="41" spans="1:17" s="24" customFormat="1" ht="13" hidden="1" x14ac:dyDescent="0.3">
      <c r="A41" s="12">
        <v>1</v>
      </c>
      <c r="B41" s="30"/>
      <c r="C41" s="12">
        <v>29331</v>
      </c>
      <c r="D41" s="12" t="s">
        <v>139</v>
      </c>
      <c r="E41" s="12" t="s">
        <v>140</v>
      </c>
      <c r="F41" s="17">
        <v>46003</v>
      </c>
      <c r="G41" s="17">
        <v>46025</v>
      </c>
      <c r="H41" s="12">
        <f t="shared" ref="H41:H53" ca="1" si="4">TODAY()-G41</f>
        <v>19</v>
      </c>
      <c r="I41" s="12" t="s">
        <v>141</v>
      </c>
      <c r="J41" s="12" t="s">
        <v>18</v>
      </c>
      <c r="K41" s="12" t="s">
        <v>19</v>
      </c>
      <c r="L41" s="12" t="s">
        <v>20</v>
      </c>
      <c r="M41" s="12" t="s">
        <v>142</v>
      </c>
      <c r="N41" s="12" t="s">
        <v>143</v>
      </c>
      <c r="O41" s="12" t="s">
        <v>144</v>
      </c>
      <c r="P41" s="29" t="s">
        <v>23</v>
      </c>
      <c r="Q41" s="12" t="s">
        <v>86</v>
      </c>
    </row>
    <row r="42" spans="1:17" s="24" customFormat="1" ht="13" hidden="1" x14ac:dyDescent="0.3">
      <c r="A42" s="12">
        <v>8</v>
      </c>
      <c r="B42" s="30"/>
      <c r="C42" s="12">
        <v>29343</v>
      </c>
      <c r="D42" s="12" t="s">
        <v>145</v>
      </c>
      <c r="E42" s="12" t="s">
        <v>146</v>
      </c>
      <c r="F42" s="17">
        <v>46003</v>
      </c>
      <c r="G42" s="17">
        <v>46025</v>
      </c>
      <c r="H42" s="12">
        <f t="shared" ca="1" si="4"/>
        <v>19</v>
      </c>
      <c r="I42" s="12" t="s">
        <v>141</v>
      </c>
      <c r="J42" s="12" t="s">
        <v>18</v>
      </c>
      <c r="K42" s="12" t="s">
        <v>19</v>
      </c>
      <c r="L42" s="12" t="s">
        <v>20</v>
      </c>
      <c r="M42" s="12" t="s">
        <v>142</v>
      </c>
      <c r="N42" s="12" t="s">
        <v>147</v>
      </c>
      <c r="O42" s="12" t="s">
        <v>144</v>
      </c>
      <c r="P42" s="29" t="s">
        <v>23</v>
      </c>
      <c r="Q42" s="12" t="s">
        <v>86</v>
      </c>
    </row>
    <row r="43" spans="1:17" s="24" customFormat="1" ht="13" hidden="1" x14ac:dyDescent="0.3">
      <c r="A43" s="12">
        <v>10</v>
      </c>
      <c r="B43" s="30"/>
      <c r="C43" s="12">
        <v>29345</v>
      </c>
      <c r="D43" s="12" t="s">
        <v>148</v>
      </c>
      <c r="E43" s="12" t="s">
        <v>149</v>
      </c>
      <c r="F43" s="17">
        <v>46003</v>
      </c>
      <c r="G43" s="17">
        <v>46023</v>
      </c>
      <c r="H43" s="12">
        <f t="shared" ca="1" si="4"/>
        <v>21</v>
      </c>
      <c r="I43" s="12" t="s">
        <v>150</v>
      </c>
      <c r="J43" s="12" t="s">
        <v>18</v>
      </c>
      <c r="K43" s="12" t="s">
        <v>19</v>
      </c>
      <c r="L43" s="12" t="s">
        <v>20</v>
      </c>
      <c r="M43" s="12" t="s">
        <v>142</v>
      </c>
      <c r="N43" s="12" t="s">
        <v>151</v>
      </c>
      <c r="O43" s="12" t="s">
        <v>144</v>
      </c>
      <c r="P43" s="29" t="s">
        <v>23</v>
      </c>
      <c r="Q43" s="12" t="s">
        <v>86</v>
      </c>
    </row>
    <row r="44" spans="1:17" s="24" customFormat="1" ht="13" hidden="1" x14ac:dyDescent="0.3">
      <c r="A44" s="12">
        <v>12</v>
      </c>
      <c r="B44" s="30"/>
      <c r="C44" s="12">
        <v>29347</v>
      </c>
      <c r="D44" s="12" t="s">
        <v>152</v>
      </c>
      <c r="E44" s="12" t="s">
        <v>153</v>
      </c>
      <c r="F44" s="17">
        <v>46003</v>
      </c>
      <c r="G44" s="17">
        <v>46025</v>
      </c>
      <c r="H44" s="12">
        <f t="shared" ca="1" si="4"/>
        <v>19</v>
      </c>
      <c r="I44" s="12" t="s">
        <v>141</v>
      </c>
      <c r="J44" s="12" t="s">
        <v>18</v>
      </c>
      <c r="K44" s="12" t="s">
        <v>19</v>
      </c>
      <c r="L44" s="12" t="s">
        <v>20</v>
      </c>
      <c r="M44" s="12" t="s">
        <v>142</v>
      </c>
      <c r="N44" s="12" t="s">
        <v>154</v>
      </c>
      <c r="O44" s="12" t="s">
        <v>144</v>
      </c>
      <c r="P44" s="29" t="s">
        <v>23</v>
      </c>
      <c r="Q44" s="12" t="s">
        <v>86</v>
      </c>
    </row>
    <row r="45" spans="1:17" s="24" customFormat="1" ht="13" hidden="1" x14ac:dyDescent="0.3">
      <c r="A45" s="12">
        <v>3</v>
      </c>
      <c r="B45" s="30"/>
      <c r="C45" s="12">
        <v>29335</v>
      </c>
      <c r="D45" s="12" t="s">
        <v>155</v>
      </c>
      <c r="E45" s="12" t="s">
        <v>156</v>
      </c>
      <c r="F45" s="17">
        <v>46003</v>
      </c>
      <c r="G45" s="17">
        <v>46025</v>
      </c>
      <c r="H45" s="12">
        <f t="shared" ca="1" si="4"/>
        <v>19</v>
      </c>
      <c r="I45" s="12" t="s">
        <v>141</v>
      </c>
      <c r="J45" s="12" t="s">
        <v>18</v>
      </c>
      <c r="K45" s="12" t="s">
        <v>19</v>
      </c>
      <c r="L45" s="12" t="s">
        <v>20</v>
      </c>
      <c r="M45" s="12" t="s">
        <v>142</v>
      </c>
      <c r="N45" s="12" t="s">
        <v>157</v>
      </c>
      <c r="O45" s="12" t="s">
        <v>144</v>
      </c>
      <c r="P45" s="29" t="s">
        <v>23</v>
      </c>
      <c r="Q45" s="12" t="s">
        <v>86</v>
      </c>
    </row>
    <row r="46" spans="1:17" s="24" customFormat="1" ht="13" hidden="1" x14ac:dyDescent="0.3">
      <c r="A46" s="12">
        <v>4</v>
      </c>
      <c r="B46" s="30"/>
      <c r="C46" s="12">
        <v>29337</v>
      </c>
      <c r="D46" s="12" t="s">
        <v>158</v>
      </c>
      <c r="E46" s="12" t="s">
        <v>159</v>
      </c>
      <c r="F46" s="17">
        <v>46003</v>
      </c>
      <c r="G46" s="17">
        <v>46025</v>
      </c>
      <c r="H46" s="12">
        <f t="shared" ca="1" si="4"/>
        <v>19</v>
      </c>
      <c r="I46" s="12" t="s">
        <v>141</v>
      </c>
      <c r="J46" s="12" t="s">
        <v>18</v>
      </c>
      <c r="K46" s="12" t="s">
        <v>19</v>
      </c>
      <c r="L46" s="12" t="s">
        <v>20</v>
      </c>
      <c r="M46" s="12" t="s">
        <v>142</v>
      </c>
      <c r="N46" s="12" t="s">
        <v>160</v>
      </c>
      <c r="O46" s="12" t="s">
        <v>144</v>
      </c>
      <c r="P46" s="29" t="s">
        <v>23</v>
      </c>
      <c r="Q46" s="12" t="s">
        <v>86</v>
      </c>
    </row>
    <row r="47" spans="1:17" s="24" customFormat="1" ht="13" hidden="1" x14ac:dyDescent="0.3">
      <c r="A47" s="12">
        <v>2</v>
      </c>
      <c r="B47" s="30"/>
      <c r="C47" s="12">
        <v>29334</v>
      </c>
      <c r="D47" s="12" t="s">
        <v>161</v>
      </c>
      <c r="E47" s="12" t="s">
        <v>162</v>
      </c>
      <c r="F47" s="17">
        <v>46003</v>
      </c>
      <c r="G47" s="17">
        <v>46029</v>
      </c>
      <c r="H47" s="12">
        <f t="shared" ca="1" si="4"/>
        <v>15</v>
      </c>
      <c r="I47" s="12" t="s">
        <v>141</v>
      </c>
      <c r="J47" s="12" t="s">
        <v>18</v>
      </c>
      <c r="K47" s="12" t="s">
        <v>19</v>
      </c>
      <c r="L47" s="12" t="s">
        <v>20</v>
      </c>
      <c r="M47" s="12" t="s">
        <v>142</v>
      </c>
      <c r="N47" s="12" t="s">
        <v>163</v>
      </c>
      <c r="O47" s="12" t="s">
        <v>144</v>
      </c>
      <c r="P47" s="29" t="s">
        <v>23</v>
      </c>
      <c r="Q47" s="12" t="s">
        <v>86</v>
      </c>
    </row>
    <row r="48" spans="1:17" s="24" customFormat="1" ht="13" hidden="1" x14ac:dyDescent="0.3">
      <c r="A48" s="12">
        <v>13</v>
      </c>
      <c r="B48" s="30"/>
      <c r="C48" s="12">
        <v>29348</v>
      </c>
      <c r="D48" s="12" t="s">
        <v>164</v>
      </c>
      <c r="E48" s="12" t="s">
        <v>165</v>
      </c>
      <c r="F48" s="17">
        <v>46003</v>
      </c>
      <c r="G48" s="17">
        <v>46029</v>
      </c>
      <c r="H48" s="12">
        <f t="shared" ca="1" si="4"/>
        <v>15</v>
      </c>
      <c r="I48" s="12" t="s">
        <v>141</v>
      </c>
      <c r="J48" s="12" t="s">
        <v>18</v>
      </c>
      <c r="K48" s="12" t="s">
        <v>19</v>
      </c>
      <c r="L48" s="12" t="s">
        <v>20</v>
      </c>
      <c r="M48" s="12" t="s">
        <v>142</v>
      </c>
      <c r="N48" s="12" t="s">
        <v>166</v>
      </c>
      <c r="O48" s="12" t="s">
        <v>144</v>
      </c>
      <c r="P48" s="29" t="s">
        <v>23</v>
      </c>
      <c r="Q48" s="12" t="s">
        <v>86</v>
      </c>
    </row>
    <row r="49" spans="1:17" s="24" customFormat="1" ht="13" hidden="1" x14ac:dyDescent="0.3">
      <c r="A49" s="12">
        <v>5</v>
      </c>
      <c r="B49" s="30"/>
      <c r="C49" s="12">
        <v>29339</v>
      </c>
      <c r="D49" s="12" t="s">
        <v>167</v>
      </c>
      <c r="E49" s="12" t="s">
        <v>168</v>
      </c>
      <c r="F49" s="17">
        <v>46003</v>
      </c>
      <c r="G49" s="17">
        <v>46030</v>
      </c>
      <c r="H49" s="12">
        <f t="shared" ca="1" si="4"/>
        <v>14</v>
      </c>
      <c r="I49" s="12" t="s">
        <v>141</v>
      </c>
      <c r="J49" s="12" t="s">
        <v>18</v>
      </c>
      <c r="K49" s="12" t="s">
        <v>19</v>
      </c>
      <c r="L49" s="12" t="s">
        <v>20</v>
      </c>
      <c r="M49" s="12" t="s">
        <v>142</v>
      </c>
      <c r="N49" s="12" t="s">
        <v>169</v>
      </c>
      <c r="O49" s="12" t="s">
        <v>144</v>
      </c>
      <c r="P49" s="29" t="s">
        <v>23</v>
      </c>
      <c r="Q49" s="12" t="s">
        <v>86</v>
      </c>
    </row>
    <row r="50" spans="1:17" s="24" customFormat="1" ht="13" hidden="1" x14ac:dyDescent="0.3">
      <c r="A50" s="12">
        <v>6</v>
      </c>
      <c r="B50" s="30"/>
      <c r="C50" s="12">
        <v>29341</v>
      </c>
      <c r="D50" s="12" t="s">
        <v>170</v>
      </c>
      <c r="E50" s="12" t="s">
        <v>171</v>
      </c>
      <c r="F50" s="17">
        <v>46004</v>
      </c>
      <c r="G50" s="17">
        <v>46034</v>
      </c>
      <c r="H50" s="12">
        <f t="shared" ca="1" si="4"/>
        <v>10</v>
      </c>
      <c r="I50" s="12"/>
      <c r="J50" s="12" t="s">
        <v>18</v>
      </c>
      <c r="K50" s="12" t="s">
        <v>19</v>
      </c>
      <c r="L50" s="12" t="s">
        <v>20</v>
      </c>
      <c r="M50" s="12" t="s">
        <v>142</v>
      </c>
      <c r="N50" s="12" t="s">
        <v>172</v>
      </c>
      <c r="O50" s="12" t="s">
        <v>144</v>
      </c>
      <c r="P50" s="29" t="s">
        <v>23</v>
      </c>
      <c r="Q50" s="12" t="s">
        <v>86</v>
      </c>
    </row>
    <row r="51" spans="1:17" s="24" customFormat="1" ht="13" hidden="1" x14ac:dyDescent="0.3">
      <c r="A51" s="12">
        <v>9</v>
      </c>
      <c r="B51" s="30"/>
      <c r="C51" s="12">
        <v>29344</v>
      </c>
      <c r="D51" s="12" t="s">
        <v>179</v>
      </c>
      <c r="E51" s="12" t="s">
        <v>180</v>
      </c>
      <c r="F51" s="17">
        <v>46004</v>
      </c>
      <c r="G51" s="17">
        <v>46034</v>
      </c>
      <c r="H51" s="12">
        <f t="shared" ca="1" si="4"/>
        <v>10</v>
      </c>
      <c r="I51" s="12"/>
      <c r="J51" s="12" t="s">
        <v>18</v>
      </c>
      <c r="K51" s="12" t="s">
        <v>19</v>
      </c>
      <c r="L51" s="12" t="s">
        <v>20</v>
      </c>
      <c r="M51" s="12" t="s">
        <v>142</v>
      </c>
      <c r="N51" s="12" t="s">
        <v>181</v>
      </c>
      <c r="O51" s="12" t="s">
        <v>144</v>
      </c>
      <c r="P51" s="29" t="s">
        <v>23</v>
      </c>
      <c r="Q51" s="12" t="s">
        <v>86</v>
      </c>
    </row>
    <row r="52" spans="1:17" s="24" customFormat="1" ht="13" hidden="1" x14ac:dyDescent="0.3">
      <c r="A52" s="12">
        <v>7</v>
      </c>
      <c r="B52" s="30">
        <v>1</v>
      </c>
      <c r="C52" s="12">
        <v>29342</v>
      </c>
      <c r="D52" s="12" t="s">
        <v>173</v>
      </c>
      <c r="E52" s="12" t="s">
        <v>174</v>
      </c>
      <c r="F52" s="17">
        <v>46003</v>
      </c>
      <c r="G52" s="17">
        <v>46034</v>
      </c>
      <c r="H52" s="12">
        <f t="shared" ca="1" si="4"/>
        <v>10</v>
      </c>
      <c r="I52" s="12" t="s">
        <v>175</v>
      </c>
      <c r="J52" s="12" t="s">
        <v>18</v>
      </c>
      <c r="K52" s="12" t="s">
        <v>19</v>
      </c>
      <c r="L52" s="12" t="s">
        <v>20</v>
      </c>
      <c r="M52" s="12" t="s">
        <v>142</v>
      </c>
      <c r="N52" s="12" t="s">
        <v>176</v>
      </c>
      <c r="O52" s="12" t="s">
        <v>144</v>
      </c>
      <c r="P52" s="29" t="s">
        <v>23</v>
      </c>
      <c r="Q52" s="12" t="s">
        <v>24</v>
      </c>
    </row>
    <row r="53" spans="1:17" s="24" customFormat="1" ht="13" hidden="1" x14ac:dyDescent="0.3">
      <c r="A53" s="12">
        <v>11</v>
      </c>
      <c r="B53" s="30">
        <v>2</v>
      </c>
      <c r="C53" s="12">
        <v>29346</v>
      </c>
      <c r="D53" s="12" t="s">
        <v>182</v>
      </c>
      <c r="E53" s="12" t="s">
        <v>183</v>
      </c>
      <c r="F53" s="17">
        <v>46003</v>
      </c>
      <c r="G53" s="17">
        <v>46036</v>
      </c>
      <c r="H53" s="12">
        <f t="shared" ca="1" si="4"/>
        <v>8</v>
      </c>
      <c r="I53" s="12" t="s">
        <v>175</v>
      </c>
      <c r="J53" s="12" t="s">
        <v>18</v>
      </c>
      <c r="K53" s="12" t="s">
        <v>19</v>
      </c>
      <c r="L53" s="12" t="s">
        <v>20</v>
      </c>
      <c r="M53" s="12" t="s">
        <v>142</v>
      </c>
      <c r="N53" s="12" t="s">
        <v>184</v>
      </c>
      <c r="O53" s="12" t="s">
        <v>144</v>
      </c>
      <c r="P53" s="29" t="s">
        <v>23</v>
      </c>
      <c r="Q53" s="12" t="s">
        <v>24</v>
      </c>
    </row>
    <row r="54" spans="1:17" s="5" customFormat="1" ht="13.5" hidden="1" customHeight="1" x14ac:dyDescent="0.3">
      <c r="A54" s="27"/>
      <c r="B54" s="33"/>
      <c r="C54" s="27"/>
      <c r="D54" s="27"/>
      <c r="E54" s="27"/>
      <c r="F54" s="28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</row>
    <row r="55" spans="1:17" s="5" customFormat="1" ht="13.5" hidden="1" customHeight="1" x14ac:dyDescent="0.3">
      <c r="A55" s="27"/>
      <c r="B55" s="33"/>
      <c r="C55" s="27"/>
      <c r="D55" s="27"/>
      <c r="E55" s="27"/>
      <c r="F55" s="28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1:17" s="24" customFormat="1" ht="13" hidden="1" x14ac:dyDescent="0.3">
      <c r="A56" s="12">
        <v>1</v>
      </c>
      <c r="B56" s="30"/>
      <c r="C56" s="12">
        <v>29505</v>
      </c>
      <c r="D56" s="12" t="s">
        <v>187</v>
      </c>
      <c r="E56" s="12" t="s">
        <v>188</v>
      </c>
      <c r="F56" s="17">
        <v>46008</v>
      </c>
      <c r="G56" s="17">
        <v>46035</v>
      </c>
      <c r="H56" s="12">
        <f t="shared" ref="H56:H72" ca="1" si="5">TODAY()-G56</f>
        <v>9</v>
      </c>
      <c r="I56" s="12"/>
      <c r="J56" s="12" t="s">
        <v>18</v>
      </c>
      <c r="K56" s="12" t="s">
        <v>189</v>
      </c>
      <c r="L56" s="12" t="s">
        <v>20</v>
      </c>
      <c r="M56" s="12" t="s">
        <v>190</v>
      </c>
      <c r="N56" s="12" t="s">
        <v>191</v>
      </c>
      <c r="O56" s="12" t="s">
        <v>192</v>
      </c>
      <c r="P56" s="29" t="s">
        <v>23</v>
      </c>
      <c r="Q56" s="12" t="s">
        <v>86</v>
      </c>
    </row>
    <row r="57" spans="1:17" s="24" customFormat="1" ht="13" hidden="1" x14ac:dyDescent="0.3">
      <c r="A57" s="12">
        <v>2</v>
      </c>
      <c r="B57" s="30"/>
      <c r="C57" s="12">
        <v>29562</v>
      </c>
      <c r="D57" s="12" t="s">
        <v>193</v>
      </c>
      <c r="E57" s="12" t="s">
        <v>194</v>
      </c>
      <c r="F57" s="17">
        <v>46008</v>
      </c>
      <c r="G57" s="17">
        <v>46034</v>
      </c>
      <c r="H57" s="12">
        <f t="shared" ca="1" si="5"/>
        <v>10</v>
      </c>
      <c r="I57" s="12" t="s">
        <v>195</v>
      </c>
      <c r="J57" s="12" t="s">
        <v>18</v>
      </c>
      <c r="K57" s="12" t="s">
        <v>189</v>
      </c>
      <c r="L57" s="12" t="s">
        <v>20</v>
      </c>
      <c r="M57" s="12" t="s">
        <v>190</v>
      </c>
      <c r="N57" s="12" t="s">
        <v>196</v>
      </c>
      <c r="O57" s="12" t="s">
        <v>192</v>
      </c>
      <c r="P57" s="29" t="s">
        <v>23</v>
      </c>
      <c r="Q57" s="12" t="s">
        <v>86</v>
      </c>
    </row>
    <row r="58" spans="1:17" s="24" customFormat="1" ht="13" hidden="1" x14ac:dyDescent="0.3">
      <c r="A58" s="12">
        <v>4</v>
      </c>
      <c r="B58" s="30"/>
      <c r="C58" s="12">
        <v>29564</v>
      </c>
      <c r="D58" s="12" t="s">
        <v>197</v>
      </c>
      <c r="E58" s="12" t="s">
        <v>198</v>
      </c>
      <c r="F58" s="17">
        <v>46008</v>
      </c>
      <c r="G58" s="17">
        <v>46034</v>
      </c>
      <c r="H58" s="12">
        <f t="shared" ca="1" si="5"/>
        <v>10</v>
      </c>
      <c r="I58" s="12"/>
      <c r="J58" s="12" t="s">
        <v>18</v>
      </c>
      <c r="K58" s="12" t="s">
        <v>189</v>
      </c>
      <c r="L58" s="12" t="s">
        <v>20</v>
      </c>
      <c r="M58" s="12" t="s">
        <v>190</v>
      </c>
      <c r="N58" s="12" t="s">
        <v>199</v>
      </c>
      <c r="O58" s="12" t="s">
        <v>192</v>
      </c>
      <c r="P58" s="29" t="s">
        <v>23</v>
      </c>
      <c r="Q58" s="12" t="s">
        <v>86</v>
      </c>
    </row>
    <row r="59" spans="1:17" s="24" customFormat="1" ht="13" hidden="1" x14ac:dyDescent="0.3">
      <c r="A59" s="12">
        <v>6</v>
      </c>
      <c r="B59" s="30"/>
      <c r="C59" s="12">
        <v>29571</v>
      </c>
      <c r="D59" s="12" t="s">
        <v>200</v>
      </c>
      <c r="E59" s="12" t="s">
        <v>201</v>
      </c>
      <c r="F59" s="17">
        <v>46010</v>
      </c>
      <c r="G59" s="17">
        <v>46037</v>
      </c>
      <c r="H59" s="12">
        <f t="shared" ca="1" si="5"/>
        <v>7</v>
      </c>
      <c r="I59" s="12"/>
      <c r="J59" s="12" t="s">
        <v>18</v>
      </c>
      <c r="K59" s="12" t="s">
        <v>189</v>
      </c>
      <c r="L59" s="12" t="s">
        <v>20</v>
      </c>
      <c r="M59" s="12" t="s">
        <v>190</v>
      </c>
      <c r="N59" s="12" t="s">
        <v>202</v>
      </c>
      <c r="O59" s="12" t="s">
        <v>192</v>
      </c>
      <c r="P59" s="29" t="s">
        <v>23</v>
      </c>
      <c r="Q59" s="12" t="s">
        <v>86</v>
      </c>
    </row>
    <row r="60" spans="1:17" s="24" customFormat="1" ht="13" hidden="1" x14ac:dyDescent="0.3">
      <c r="A60" s="12">
        <v>8</v>
      </c>
      <c r="B60" s="30"/>
      <c r="C60" s="12">
        <v>29572</v>
      </c>
      <c r="D60" s="12" t="s">
        <v>203</v>
      </c>
      <c r="E60" s="12" t="s">
        <v>204</v>
      </c>
      <c r="F60" s="17">
        <v>46008</v>
      </c>
      <c r="G60" s="17">
        <v>46034</v>
      </c>
      <c r="H60" s="12">
        <f t="shared" ca="1" si="5"/>
        <v>10</v>
      </c>
      <c r="I60" s="12"/>
      <c r="J60" s="12" t="s">
        <v>18</v>
      </c>
      <c r="K60" s="12" t="s">
        <v>189</v>
      </c>
      <c r="L60" s="12" t="s">
        <v>20</v>
      </c>
      <c r="M60" s="12" t="s">
        <v>190</v>
      </c>
      <c r="N60" s="12" t="s">
        <v>205</v>
      </c>
      <c r="O60" s="12" t="s">
        <v>192</v>
      </c>
      <c r="P60" s="29" t="s">
        <v>23</v>
      </c>
      <c r="Q60" s="12" t="s">
        <v>86</v>
      </c>
    </row>
    <row r="61" spans="1:17" s="24" customFormat="1" ht="13" hidden="1" x14ac:dyDescent="0.3">
      <c r="A61" s="12">
        <v>9</v>
      </c>
      <c r="B61" s="30"/>
      <c r="C61" s="12">
        <v>29573</v>
      </c>
      <c r="D61" s="12" t="s">
        <v>206</v>
      </c>
      <c r="E61" s="12" t="s">
        <v>207</v>
      </c>
      <c r="F61" s="17">
        <v>46010</v>
      </c>
      <c r="G61" s="17">
        <v>46034</v>
      </c>
      <c r="H61" s="12">
        <f t="shared" ca="1" si="5"/>
        <v>10</v>
      </c>
      <c r="I61" s="12"/>
      <c r="J61" s="12" t="s">
        <v>18</v>
      </c>
      <c r="K61" s="12" t="s">
        <v>189</v>
      </c>
      <c r="L61" s="12" t="s">
        <v>20</v>
      </c>
      <c r="M61" s="12" t="s">
        <v>190</v>
      </c>
      <c r="N61" s="12" t="s">
        <v>208</v>
      </c>
      <c r="O61" s="12" t="s">
        <v>192</v>
      </c>
      <c r="P61" s="29" t="s">
        <v>23</v>
      </c>
      <c r="Q61" s="12" t="s">
        <v>86</v>
      </c>
    </row>
    <row r="62" spans="1:17" s="24" customFormat="1" ht="13" hidden="1" x14ac:dyDescent="0.3">
      <c r="A62" s="12">
        <v>10</v>
      </c>
      <c r="B62" s="30"/>
      <c r="C62" s="12">
        <v>29574</v>
      </c>
      <c r="D62" s="12" t="s">
        <v>209</v>
      </c>
      <c r="E62" s="12" t="s">
        <v>210</v>
      </c>
      <c r="F62" s="17">
        <v>46010</v>
      </c>
      <c r="G62" s="17">
        <v>46034</v>
      </c>
      <c r="H62" s="12">
        <f t="shared" ca="1" si="5"/>
        <v>10</v>
      </c>
      <c r="I62" s="12" t="s">
        <v>195</v>
      </c>
      <c r="J62" s="12" t="s">
        <v>18</v>
      </c>
      <c r="K62" s="12" t="s">
        <v>189</v>
      </c>
      <c r="L62" s="12" t="s">
        <v>20</v>
      </c>
      <c r="M62" s="12" t="s">
        <v>190</v>
      </c>
      <c r="N62" s="12" t="s">
        <v>211</v>
      </c>
      <c r="O62" s="12" t="s">
        <v>192</v>
      </c>
      <c r="P62" s="29" t="s">
        <v>23</v>
      </c>
      <c r="Q62" s="12" t="s">
        <v>86</v>
      </c>
    </row>
    <row r="63" spans="1:17" s="24" customFormat="1" ht="13" hidden="1" x14ac:dyDescent="0.3">
      <c r="A63" s="12">
        <v>11</v>
      </c>
      <c r="B63" s="30"/>
      <c r="C63" s="12">
        <v>29575</v>
      </c>
      <c r="D63" s="12" t="s">
        <v>212</v>
      </c>
      <c r="E63" s="12" t="s">
        <v>213</v>
      </c>
      <c r="F63" s="17">
        <v>46008</v>
      </c>
      <c r="G63" s="17">
        <v>46031</v>
      </c>
      <c r="H63" s="12">
        <f t="shared" ca="1" si="5"/>
        <v>13</v>
      </c>
      <c r="I63" s="12" t="s">
        <v>195</v>
      </c>
      <c r="J63" s="12" t="s">
        <v>18</v>
      </c>
      <c r="K63" s="12" t="s">
        <v>189</v>
      </c>
      <c r="L63" s="12" t="s">
        <v>20</v>
      </c>
      <c r="M63" s="12" t="s">
        <v>190</v>
      </c>
      <c r="N63" s="12" t="s">
        <v>214</v>
      </c>
      <c r="O63" s="12" t="s">
        <v>192</v>
      </c>
      <c r="P63" s="29" t="s">
        <v>23</v>
      </c>
      <c r="Q63" s="12" t="s">
        <v>86</v>
      </c>
    </row>
    <row r="64" spans="1:17" s="24" customFormat="1" ht="13" hidden="1" x14ac:dyDescent="0.3">
      <c r="A64" s="12">
        <v>13</v>
      </c>
      <c r="B64" s="30"/>
      <c r="C64" s="12">
        <v>29577</v>
      </c>
      <c r="D64" s="12" t="s">
        <v>215</v>
      </c>
      <c r="E64" s="12" t="s">
        <v>216</v>
      </c>
      <c r="F64" s="17">
        <v>46008</v>
      </c>
      <c r="G64" s="17">
        <v>46031</v>
      </c>
      <c r="H64" s="12">
        <f t="shared" ca="1" si="5"/>
        <v>13</v>
      </c>
      <c r="I64" s="12" t="s">
        <v>195</v>
      </c>
      <c r="J64" s="12" t="s">
        <v>217</v>
      </c>
      <c r="K64" s="12" t="s">
        <v>189</v>
      </c>
      <c r="L64" s="12" t="s">
        <v>20</v>
      </c>
      <c r="M64" s="12" t="s">
        <v>190</v>
      </c>
      <c r="N64" s="12" t="s">
        <v>218</v>
      </c>
      <c r="O64" s="12" t="s">
        <v>192</v>
      </c>
      <c r="P64" s="29" t="s">
        <v>23</v>
      </c>
      <c r="Q64" s="12" t="s">
        <v>86</v>
      </c>
    </row>
    <row r="65" spans="1:17" s="24" customFormat="1" ht="13" hidden="1" x14ac:dyDescent="0.3">
      <c r="A65" s="12">
        <v>14</v>
      </c>
      <c r="B65" s="30">
        <v>1</v>
      </c>
      <c r="C65" s="12">
        <v>29578</v>
      </c>
      <c r="D65" s="12" t="s">
        <v>219</v>
      </c>
      <c r="E65" s="12" t="s">
        <v>220</v>
      </c>
      <c r="F65" s="17">
        <v>46008</v>
      </c>
      <c r="G65" s="17">
        <v>46034</v>
      </c>
      <c r="H65" s="12">
        <f t="shared" ca="1" si="5"/>
        <v>10</v>
      </c>
      <c r="I65" s="12" t="s">
        <v>195</v>
      </c>
      <c r="J65" s="12" t="s">
        <v>217</v>
      </c>
      <c r="K65" s="12" t="s">
        <v>189</v>
      </c>
      <c r="L65" s="12" t="s">
        <v>20</v>
      </c>
      <c r="M65" s="12" t="s">
        <v>190</v>
      </c>
      <c r="N65" s="12" t="s">
        <v>221</v>
      </c>
      <c r="O65" s="12" t="s">
        <v>192</v>
      </c>
      <c r="P65" s="29" t="s">
        <v>23</v>
      </c>
      <c r="Q65" s="12" t="s">
        <v>24</v>
      </c>
    </row>
    <row r="66" spans="1:17" s="24" customFormat="1" ht="13" hidden="1" x14ac:dyDescent="0.3">
      <c r="A66" s="12">
        <v>5</v>
      </c>
      <c r="B66" s="30">
        <v>1</v>
      </c>
      <c r="C66" s="12">
        <v>29570</v>
      </c>
      <c r="D66" s="12" t="s">
        <v>222</v>
      </c>
      <c r="E66" s="12" t="s">
        <v>223</v>
      </c>
      <c r="F66" s="17">
        <v>46008</v>
      </c>
      <c r="G66" s="17">
        <v>46039</v>
      </c>
      <c r="H66" s="12">
        <f t="shared" ca="1" si="5"/>
        <v>5</v>
      </c>
      <c r="I66" s="12" t="s">
        <v>195</v>
      </c>
      <c r="J66" s="12" t="s">
        <v>18</v>
      </c>
      <c r="K66" s="12" t="s">
        <v>189</v>
      </c>
      <c r="L66" s="12" t="s">
        <v>20</v>
      </c>
      <c r="M66" s="12" t="s">
        <v>190</v>
      </c>
      <c r="N66" s="12" t="s">
        <v>224</v>
      </c>
      <c r="O66" s="12" t="s">
        <v>192</v>
      </c>
      <c r="P66" s="29" t="s">
        <v>23</v>
      </c>
      <c r="Q66" s="12" t="s">
        <v>24</v>
      </c>
    </row>
    <row r="67" spans="1:17" s="24" customFormat="1" ht="13" hidden="1" x14ac:dyDescent="0.3">
      <c r="A67" s="12">
        <v>12</v>
      </c>
      <c r="B67" s="30">
        <v>2</v>
      </c>
      <c r="C67" s="12">
        <v>29576</v>
      </c>
      <c r="D67" s="12" t="s">
        <v>225</v>
      </c>
      <c r="E67" s="12" t="s">
        <v>226</v>
      </c>
      <c r="F67" s="17">
        <v>46008</v>
      </c>
      <c r="G67" s="17">
        <v>46039</v>
      </c>
      <c r="H67" s="12">
        <f t="shared" ca="1" si="5"/>
        <v>5</v>
      </c>
      <c r="I67" s="12" t="s">
        <v>195</v>
      </c>
      <c r="J67" s="12" t="s">
        <v>18</v>
      </c>
      <c r="K67" s="12" t="s">
        <v>189</v>
      </c>
      <c r="L67" s="12" t="s">
        <v>20</v>
      </c>
      <c r="M67" s="12" t="s">
        <v>190</v>
      </c>
      <c r="N67" s="12" t="s">
        <v>227</v>
      </c>
      <c r="O67" s="12" t="s">
        <v>192</v>
      </c>
      <c r="P67" s="29" t="s">
        <v>23</v>
      </c>
      <c r="Q67" s="12" t="s">
        <v>24</v>
      </c>
    </row>
    <row r="68" spans="1:17" s="24" customFormat="1" hidden="1" x14ac:dyDescent="0.35">
      <c r="A68" s="12">
        <v>3</v>
      </c>
      <c r="B68" s="30">
        <v>4</v>
      </c>
      <c r="C68" s="12">
        <v>29524</v>
      </c>
      <c r="D68" s="12" t="s">
        <v>228</v>
      </c>
      <c r="E68" s="12" t="s">
        <v>229</v>
      </c>
      <c r="F68" s="17">
        <v>46008</v>
      </c>
      <c r="G68" s="32" t="s">
        <v>388</v>
      </c>
      <c r="H68" s="12" t="e">
        <f t="shared" ca="1" si="5"/>
        <v>#VALUE!</v>
      </c>
      <c r="I68" s="31" t="s">
        <v>387</v>
      </c>
      <c r="J68" s="12" t="s">
        <v>18</v>
      </c>
      <c r="K68" s="12" t="s">
        <v>189</v>
      </c>
      <c r="L68" s="12" t="s">
        <v>20</v>
      </c>
      <c r="M68" s="12" t="s">
        <v>190</v>
      </c>
      <c r="N68" s="12" t="s">
        <v>230</v>
      </c>
      <c r="O68" s="12" t="s">
        <v>192</v>
      </c>
      <c r="P68" s="32" t="s">
        <v>388</v>
      </c>
      <c r="Q68" s="32" t="s">
        <v>388</v>
      </c>
    </row>
    <row r="69" spans="1:17" s="24" customFormat="1" hidden="1" x14ac:dyDescent="0.35">
      <c r="A69" s="12">
        <v>7</v>
      </c>
      <c r="B69" s="30">
        <v>5</v>
      </c>
      <c r="C69" s="12">
        <v>29582</v>
      </c>
      <c r="D69" s="12" t="s">
        <v>231</v>
      </c>
      <c r="E69" s="12" t="s">
        <v>232</v>
      </c>
      <c r="F69" s="17">
        <v>46010</v>
      </c>
      <c r="G69" s="32" t="s">
        <v>388</v>
      </c>
      <c r="H69" s="12" t="e">
        <f t="shared" ca="1" si="5"/>
        <v>#VALUE!</v>
      </c>
      <c r="I69" s="31" t="s">
        <v>386</v>
      </c>
      <c r="J69" s="12" t="s">
        <v>18</v>
      </c>
      <c r="K69" s="12" t="s">
        <v>189</v>
      </c>
      <c r="L69" s="12" t="s">
        <v>20</v>
      </c>
      <c r="M69" s="12" t="s">
        <v>190</v>
      </c>
      <c r="N69" s="12" t="s">
        <v>233</v>
      </c>
      <c r="O69" s="12" t="s">
        <v>192</v>
      </c>
      <c r="P69" s="32" t="s">
        <v>388</v>
      </c>
      <c r="Q69" s="32" t="s">
        <v>388</v>
      </c>
    </row>
    <row r="70" spans="1:17" s="5" customFormat="1" ht="13.5" hidden="1" customHeight="1" x14ac:dyDescent="0.3">
      <c r="A70" s="27"/>
      <c r="B70" s="33"/>
      <c r="C70" s="27"/>
      <c r="D70" s="27"/>
      <c r="E70" s="27"/>
      <c r="F70" s="28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</row>
    <row r="71" spans="1:17" s="24" customFormat="1" ht="13" hidden="1" x14ac:dyDescent="0.3">
      <c r="A71" s="12">
        <v>1</v>
      </c>
      <c r="B71" s="30"/>
      <c r="C71" s="12">
        <v>29555</v>
      </c>
      <c r="D71" s="12" t="s">
        <v>234</v>
      </c>
      <c r="E71" s="12" t="s">
        <v>235</v>
      </c>
      <c r="F71" s="17">
        <v>46010</v>
      </c>
      <c r="G71" s="17">
        <v>46037</v>
      </c>
      <c r="H71" s="12">
        <f t="shared" ca="1" si="5"/>
        <v>7</v>
      </c>
      <c r="I71" s="12"/>
      <c r="J71" s="12" t="s">
        <v>18</v>
      </c>
      <c r="K71" s="12" t="s">
        <v>189</v>
      </c>
      <c r="L71" s="12" t="s">
        <v>20</v>
      </c>
      <c r="M71" s="12" t="s">
        <v>190</v>
      </c>
      <c r="N71" s="12" t="s">
        <v>236</v>
      </c>
      <c r="O71" s="12" t="s">
        <v>237</v>
      </c>
      <c r="P71" s="29" t="s">
        <v>23</v>
      </c>
      <c r="Q71" s="12" t="s">
        <v>86</v>
      </c>
    </row>
    <row r="72" spans="1:17" s="24" customFormat="1" ht="13" hidden="1" x14ac:dyDescent="0.3">
      <c r="A72" s="12">
        <v>3</v>
      </c>
      <c r="B72" s="30"/>
      <c r="C72" s="12">
        <v>29520</v>
      </c>
      <c r="D72" s="12" t="s">
        <v>238</v>
      </c>
      <c r="E72" s="12" t="s">
        <v>239</v>
      </c>
      <c r="F72" s="17">
        <v>46008</v>
      </c>
      <c r="G72" s="17">
        <v>46031</v>
      </c>
      <c r="H72" s="12">
        <f t="shared" ca="1" si="5"/>
        <v>13</v>
      </c>
      <c r="I72" s="12" t="s">
        <v>195</v>
      </c>
      <c r="J72" s="12" t="s">
        <v>18</v>
      </c>
      <c r="K72" s="12" t="s">
        <v>189</v>
      </c>
      <c r="L72" s="12" t="s">
        <v>20</v>
      </c>
      <c r="M72" s="12" t="s">
        <v>190</v>
      </c>
      <c r="N72" s="12" t="s">
        <v>240</v>
      </c>
      <c r="O72" s="12" t="s">
        <v>237</v>
      </c>
      <c r="P72" s="29" t="s">
        <v>23</v>
      </c>
      <c r="Q72" s="12" t="s">
        <v>86</v>
      </c>
    </row>
    <row r="73" spans="1:17" s="24" customFormat="1" ht="13" hidden="1" x14ac:dyDescent="0.3">
      <c r="A73" s="12">
        <v>4</v>
      </c>
      <c r="B73" s="30"/>
      <c r="C73" s="12">
        <v>29525</v>
      </c>
      <c r="D73" s="12" t="s">
        <v>241</v>
      </c>
      <c r="E73" s="12" t="s">
        <v>242</v>
      </c>
      <c r="F73" s="17">
        <v>46008</v>
      </c>
      <c r="G73" s="17">
        <v>46031</v>
      </c>
      <c r="H73" s="12">
        <f t="shared" ref="H73:H113" ca="1" si="6">TODAY()-G73</f>
        <v>13</v>
      </c>
      <c r="I73" s="12" t="s">
        <v>195</v>
      </c>
      <c r="J73" s="12" t="s">
        <v>18</v>
      </c>
      <c r="K73" s="12" t="s">
        <v>189</v>
      </c>
      <c r="L73" s="12" t="s">
        <v>20</v>
      </c>
      <c r="M73" s="12" t="s">
        <v>190</v>
      </c>
      <c r="N73" s="12" t="s">
        <v>243</v>
      </c>
      <c r="O73" s="12" t="s">
        <v>237</v>
      </c>
      <c r="P73" s="29" t="s">
        <v>23</v>
      </c>
      <c r="Q73" s="12" t="s">
        <v>86</v>
      </c>
    </row>
    <row r="74" spans="1:17" s="24" customFormat="1" ht="13" hidden="1" x14ac:dyDescent="0.3">
      <c r="A74" s="12">
        <v>5</v>
      </c>
      <c r="B74" s="30"/>
      <c r="C74" s="12">
        <v>29386</v>
      </c>
      <c r="D74" s="12" t="s">
        <v>244</v>
      </c>
      <c r="E74" s="12" t="s">
        <v>245</v>
      </c>
      <c r="F74" s="17">
        <v>46008</v>
      </c>
      <c r="G74" s="17">
        <v>46031</v>
      </c>
      <c r="H74" s="12">
        <f t="shared" ca="1" si="6"/>
        <v>13</v>
      </c>
      <c r="I74" s="12"/>
      <c r="J74" s="12" t="s">
        <v>18</v>
      </c>
      <c r="K74" s="12" t="s">
        <v>189</v>
      </c>
      <c r="L74" s="12" t="s">
        <v>20</v>
      </c>
      <c r="M74" s="12" t="s">
        <v>190</v>
      </c>
      <c r="N74" s="12" t="s">
        <v>246</v>
      </c>
      <c r="O74" s="12" t="s">
        <v>237</v>
      </c>
      <c r="P74" s="29" t="s">
        <v>23</v>
      </c>
      <c r="Q74" s="12" t="s">
        <v>86</v>
      </c>
    </row>
    <row r="75" spans="1:17" s="24" customFormat="1" ht="13" hidden="1" x14ac:dyDescent="0.3">
      <c r="A75" s="12">
        <v>7</v>
      </c>
      <c r="B75" s="30"/>
      <c r="C75" s="12">
        <v>29581</v>
      </c>
      <c r="D75" s="12" t="s">
        <v>247</v>
      </c>
      <c r="E75" s="12" t="s">
        <v>248</v>
      </c>
      <c r="F75" s="17">
        <v>46010</v>
      </c>
      <c r="G75" s="17">
        <v>46037</v>
      </c>
      <c r="H75" s="12">
        <f t="shared" ca="1" si="6"/>
        <v>7</v>
      </c>
      <c r="I75" s="12" t="s">
        <v>195</v>
      </c>
      <c r="J75" s="12" t="s">
        <v>18</v>
      </c>
      <c r="K75" s="12" t="s">
        <v>189</v>
      </c>
      <c r="L75" s="12" t="s">
        <v>20</v>
      </c>
      <c r="M75" s="12" t="s">
        <v>190</v>
      </c>
      <c r="N75" s="12" t="s">
        <v>249</v>
      </c>
      <c r="O75" s="12" t="s">
        <v>237</v>
      </c>
      <c r="P75" s="29" t="s">
        <v>23</v>
      </c>
      <c r="Q75" s="12" t="s">
        <v>86</v>
      </c>
    </row>
    <row r="76" spans="1:17" s="24" customFormat="1" ht="13" x14ac:dyDescent="0.3">
      <c r="A76" s="12">
        <v>2</v>
      </c>
      <c r="B76" s="30">
        <v>1</v>
      </c>
      <c r="C76" s="12">
        <v>29579</v>
      </c>
      <c r="D76" s="12" t="s">
        <v>250</v>
      </c>
      <c r="E76" s="12" t="s">
        <v>251</v>
      </c>
      <c r="F76" s="17">
        <v>46009</v>
      </c>
      <c r="G76" s="17">
        <v>46039</v>
      </c>
      <c r="H76" s="12">
        <f t="shared" ca="1" si="6"/>
        <v>5</v>
      </c>
      <c r="I76" s="29" t="s">
        <v>195</v>
      </c>
      <c r="J76" s="12" t="s">
        <v>18</v>
      </c>
      <c r="K76" s="12" t="s">
        <v>189</v>
      </c>
      <c r="L76" s="12" t="s">
        <v>20</v>
      </c>
      <c r="M76" s="12" t="s">
        <v>190</v>
      </c>
      <c r="N76" s="12" t="s">
        <v>252</v>
      </c>
      <c r="O76" s="12" t="s">
        <v>237</v>
      </c>
      <c r="P76" s="29" t="s">
        <v>177</v>
      </c>
      <c r="Q76" s="12" t="s">
        <v>178</v>
      </c>
    </row>
    <row r="77" spans="1:17" s="24" customFormat="1" ht="13" hidden="1" x14ac:dyDescent="0.3">
      <c r="A77" s="12">
        <v>8</v>
      </c>
      <c r="B77" s="30">
        <v>2</v>
      </c>
      <c r="C77" s="12">
        <v>29556</v>
      </c>
      <c r="D77" s="12" t="s">
        <v>253</v>
      </c>
      <c r="E77" s="12" t="s">
        <v>254</v>
      </c>
      <c r="F77" s="17">
        <v>46008</v>
      </c>
      <c r="G77" s="17">
        <v>46039</v>
      </c>
      <c r="H77" s="12">
        <f t="shared" ca="1" si="6"/>
        <v>5</v>
      </c>
      <c r="I77" s="12" t="s">
        <v>195</v>
      </c>
      <c r="J77" s="12" t="s">
        <v>18</v>
      </c>
      <c r="K77" s="12" t="s">
        <v>189</v>
      </c>
      <c r="L77" s="12" t="s">
        <v>20</v>
      </c>
      <c r="M77" s="12" t="s">
        <v>190</v>
      </c>
      <c r="N77" s="12" t="s">
        <v>255</v>
      </c>
      <c r="O77" s="12" t="s">
        <v>237</v>
      </c>
      <c r="P77" s="29" t="s">
        <v>23</v>
      </c>
      <c r="Q77" s="12" t="s">
        <v>24</v>
      </c>
    </row>
    <row r="78" spans="1:17" s="24" customFormat="1" hidden="1" x14ac:dyDescent="0.35">
      <c r="A78" s="12">
        <v>6</v>
      </c>
      <c r="B78" s="30">
        <v>3</v>
      </c>
      <c r="C78" s="12">
        <v>29580</v>
      </c>
      <c r="D78" s="12" t="s">
        <v>256</v>
      </c>
      <c r="E78" s="12" t="s">
        <v>257</v>
      </c>
      <c r="F78" s="17">
        <v>46010</v>
      </c>
      <c r="G78" s="32" t="s">
        <v>388</v>
      </c>
      <c r="H78" s="12" t="e">
        <f t="shared" ca="1" si="6"/>
        <v>#VALUE!</v>
      </c>
      <c r="I78" s="31" t="s">
        <v>387</v>
      </c>
      <c r="J78" s="12" t="s">
        <v>18</v>
      </c>
      <c r="K78" s="12" t="s">
        <v>189</v>
      </c>
      <c r="L78" s="12" t="s">
        <v>20</v>
      </c>
      <c r="M78" s="12" t="s">
        <v>190</v>
      </c>
      <c r="N78" s="12" t="s">
        <v>258</v>
      </c>
      <c r="O78" s="12" t="s">
        <v>237</v>
      </c>
      <c r="P78" s="32" t="s">
        <v>388</v>
      </c>
      <c r="Q78" s="32" t="s">
        <v>388</v>
      </c>
    </row>
    <row r="79" spans="1:17" s="5" customFormat="1" ht="13.5" hidden="1" customHeight="1" x14ac:dyDescent="0.3">
      <c r="A79" s="27"/>
      <c r="B79" s="33"/>
      <c r="C79" s="27"/>
      <c r="D79" s="27"/>
      <c r="E79" s="27"/>
      <c r="F79" s="28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</row>
    <row r="80" spans="1:17" s="24" customFormat="1" ht="13" hidden="1" x14ac:dyDescent="0.3">
      <c r="A80" s="12">
        <v>1</v>
      </c>
      <c r="B80" s="30"/>
      <c r="C80" s="12">
        <v>29598</v>
      </c>
      <c r="D80" s="12" t="s">
        <v>259</v>
      </c>
      <c r="E80" s="12" t="s">
        <v>260</v>
      </c>
      <c r="F80" s="17">
        <v>46010</v>
      </c>
      <c r="G80" s="17">
        <v>46034</v>
      </c>
      <c r="H80" s="12">
        <f t="shared" ref="H80:H85" ca="1" si="7">TODAY()-G80</f>
        <v>10</v>
      </c>
      <c r="I80" s="12" t="s">
        <v>185</v>
      </c>
      <c r="J80" s="12" t="s">
        <v>18</v>
      </c>
      <c r="K80" s="12" t="s">
        <v>111</v>
      </c>
      <c r="L80" s="12" t="s">
        <v>112</v>
      </c>
      <c r="M80" s="12" t="s">
        <v>186</v>
      </c>
      <c r="N80" s="12" t="s">
        <v>261</v>
      </c>
      <c r="O80" s="12" t="s">
        <v>115</v>
      </c>
      <c r="P80" s="29" t="s">
        <v>262</v>
      </c>
      <c r="Q80" s="12" t="s">
        <v>86</v>
      </c>
    </row>
    <row r="81" spans="1:17" s="24" customFormat="1" ht="13" hidden="1" x14ac:dyDescent="0.3">
      <c r="A81" s="12">
        <v>3</v>
      </c>
      <c r="B81" s="30"/>
      <c r="C81" s="12">
        <v>29602</v>
      </c>
      <c r="D81" s="12" t="s">
        <v>263</v>
      </c>
      <c r="E81" s="12" t="s">
        <v>264</v>
      </c>
      <c r="F81" s="17">
        <v>46010</v>
      </c>
      <c r="G81" s="17">
        <v>46029</v>
      </c>
      <c r="H81" s="12">
        <f t="shared" ca="1" si="7"/>
        <v>15</v>
      </c>
      <c r="I81" s="12" t="s">
        <v>185</v>
      </c>
      <c r="J81" s="12" t="s">
        <v>18</v>
      </c>
      <c r="K81" s="12" t="s">
        <v>111</v>
      </c>
      <c r="L81" s="12" t="s">
        <v>112</v>
      </c>
      <c r="M81" s="12" t="s">
        <v>186</v>
      </c>
      <c r="N81" s="12" t="s">
        <v>265</v>
      </c>
      <c r="O81" s="12" t="s">
        <v>115</v>
      </c>
      <c r="P81" s="29" t="s">
        <v>262</v>
      </c>
      <c r="Q81" s="12" t="s">
        <v>86</v>
      </c>
    </row>
    <row r="82" spans="1:17" s="24" customFormat="1" ht="13" hidden="1" x14ac:dyDescent="0.3">
      <c r="A82" s="12">
        <v>4</v>
      </c>
      <c r="B82" s="30"/>
      <c r="C82" s="12">
        <v>29604</v>
      </c>
      <c r="D82" s="12" t="s">
        <v>266</v>
      </c>
      <c r="E82" s="12" t="s">
        <v>267</v>
      </c>
      <c r="F82" s="17">
        <v>46010</v>
      </c>
      <c r="G82" s="17">
        <v>46029</v>
      </c>
      <c r="H82" s="12">
        <f t="shared" ca="1" si="7"/>
        <v>15</v>
      </c>
      <c r="I82" s="12" t="s">
        <v>185</v>
      </c>
      <c r="J82" s="12" t="s">
        <v>18</v>
      </c>
      <c r="K82" s="12" t="s">
        <v>111</v>
      </c>
      <c r="L82" s="12" t="s">
        <v>112</v>
      </c>
      <c r="M82" s="12" t="s">
        <v>186</v>
      </c>
      <c r="N82" s="12" t="s">
        <v>268</v>
      </c>
      <c r="O82" s="12" t="s">
        <v>115</v>
      </c>
      <c r="P82" s="29" t="s">
        <v>262</v>
      </c>
      <c r="Q82" s="12" t="s">
        <v>86</v>
      </c>
    </row>
    <row r="83" spans="1:17" s="24" customFormat="1" ht="13" hidden="1" x14ac:dyDescent="0.3">
      <c r="A83" s="12">
        <v>6</v>
      </c>
      <c r="B83" s="30"/>
      <c r="C83" s="12">
        <v>29606</v>
      </c>
      <c r="D83" s="12" t="s">
        <v>269</v>
      </c>
      <c r="E83" s="12" t="s">
        <v>270</v>
      </c>
      <c r="F83" s="17">
        <v>46010</v>
      </c>
      <c r="G83" s="17">
        <v>46034</v>
      </c>
      <c r="H83" s="12">
        <f t="shared" ca="1" si="7"/>
        <v>10</v>
      </c>
      <c r="I83" s="12" t="s">
        <v>271</v>
      </c>
      <c r="J83" s="12" t="s">
        <v>18</v>
      </c>
      <c r="K83" s="12" t="s">
        <v>111</v>
      </c>
      <c r="L83" s="12" t="s">
        <v>112</v>
      </c>
      <c r="M83" s="12" t="s">
        <v>186</v>
      </c>
      <c r="N83" s="12" t="s">
        <v>272</v>
      </c>
      <c r="O83" s="12" t="s">
        <v>115</v>
      </c>
      <c r="P83" s="29" t="s">
        <v>262</v>
      </c>
      <c r="Q83" s="12" t="s">
        <v>86</v>
      </c>
    </row>
    <row r="84" spans="1:17" s="24" customFormat="1" ht="13" hidden="1" x14ac:dyDescent="0.3">
      <c r="A84" s="12">
        <v>7</v>
      </c>
      <c r="B84" s="30"/>
      <c r="C84" s="12">
        <v>29608</v>
      </c>
      <c r="D84" s="12" t="s">
        <v>273</v>
      </c>
      <c r="E84" s="12" t="s">
        <v>274</v>
      </c>
      <c r="F84" s="17">
        <v>46010</v>
      </c>
      <c r="G84" s="17">
        <v>46034</v>
      </c>
      <c r="H84" s="12">
        <f t="shared" ca="1" si="7"/>
        <v>10</v>
      </c>
      <c r="I84" s="12" t="s">
        <v>271</v>
      </c>
      <c r="J84" s="12" t="s">
        <v>275</v>
      </c>
      <c r="K84" s="12" t="s">
        <v>111</v>
      </c>
      <c r="L84" s="12" t="s">
        <v>112</v>
      </c>
      <c r="M84" s="12" t="s">
        <v>186</v>
      </c>
      <c r="N84" s="12" t="s">
        <v>276</v>
      </c>
      <c r="O84" s="12" t="s">
        <v>115</v>
      </c>
      <c r="P84" s="29" t="s">
        <v>262</v>
      </c>
      <c r="Q84" s="12" t="s">
        <v>86</v>
      </c>
    </row>
    <row r="85" spans="1:17" s="24" customFormat="1" ht="13" hidden="1" x14ac:dyDescent="0.3">
      <c r="A85" s="12">
        <v>8</v>
      </c>
      <c r="B85" s="30"/>
      <c r="C85" s="12">
        <v>29600</v>
      </c>
      <c r="D85" s="12" t="s">
        <v>277</v>
      </c>
      <c r="E85" s="12" t="s">
        <v>278</v>
      </c>
      <c r="F85" s="17">
        <v>46010</v>
      </c>
      <c r="G85" s="17">
        <v>46034</v>
      </c>
      <c r="H85" s="12">
        <f t="shared" ca="1" si="7"/>
        <v>10</v>
      </c>
      <c r="I85" s="12" t="s">
        <v>271</v>
      </c>
      <c r="J85" s="12" t="s">
        <v>18</v>
      </c>
      <c r="K85" s="12" t="s">
        <v>111</v>
      </c>
      <c r="L85" s="12" t="s">
        <v>112</v>
      </c>
      <c r="M85" s="12" t="s">
        <v>186</v>
      </c>
      <c r="N85" s="12" t="s">
        <v>279</v>
      </c>
      <c r="O85" s="12" t="s">
        <v>115</v>
      </c>
      <c r="P85" s="29" t="s">
        <v>262</v>
      </c>
      <c r="Q85" s="12" t="s">
        <v>86</v>
      </c>
    </row>
    <row r="86" spans="1:17" s="5" customFormat="1" ht="13.5" customHeight="1" x14ac:dyDescent="0.3">
      <c r="A86" s="27"/>
      <c r="B86" s="33"/>
      <c r="C86" s="27"/>
      <c r="D86" s="27"/>
      <c r="E86" s="27"/>
      <c r="F86" s="28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</row>
    <row r="87" spans="1:17" s="24" customFormat="1" ht="13" x14ac:dyDescent="0.3">
      <c r="A87" s="12">
        <v>3</v>
      </c>
      <c r="B87" s="30">
        <v>3</v>
      </c>
      <c r="C87" s="12">
        <v>29687</v>
      </c>
      <c r="D87" s="12" t="s">
        <v>289</v>
      </c>
      <c r="E87" s="12" t="s">
        <v>290</v>
      </c>
      <c r="F87" s="17">
        <v>46015</v>
      </c>
      <c r="G87" s="17">
        <v>46043</v>
      </c>
      <c r="H87" s="12">
        <f ca="1">TODAY()-G87</f>
        <v>1</v>
      </c>
      <c r="I87" s="29" t="s">
        <v>393</v>
      </c>
      <c r="J87" s="12" t="s">
        <v>18</v>
      </c>
      <c r="K87" s="12" t="s">
        <v>282</v>
      </c>
      <c r="L87" s="12" t="s">
        <v>20</v>
      </c>
      <c r="M87" s="12" t="s">
        <v>283</v>
      </c>
      <c r="N87" s="12" t="s">
        <v>291</v>
      </c>
      <c r="O87" s="12" t="s">
        <v>285</v>
      </c>
      <c r="P87" s="29" t="s">
        <v>177</v>
      </c>
      <c r="Q87" s="12" t="s">
        <v>178</v>
      </c>
    </row>
    <row r="88" spans="1:17" s="24" customFormat="1" ht="13" x14ac:dyDescent="0.3">
      <c r="A88" s="12">
        <v>7</v>
      </c>
      <c r="B88" s="30">
        <v>7</v>
      </c>
      <c r="C88" s="12">
        <v>29649</v>
      </c>
      <c r="D88" s="12" t="s">
        <v>301</v>
      </c>
      <c r="E88" s="12" t="s">
        <v>302</v>
      </c>
      <c r="F88" s="17">
        <v>46015</v>
      </c>
      <c r="G88" s="17">
        <v>46043</v>
      </c>
      <c r="H88" s="12">
        <f ca="1">TODAY()-G88</f>
        <v>1</v>
      </c>
      <c r="I88" s="29" t="s">
        <v>393</v>
      </c>
      <c r="J88" s="12" t="s">
        <v>18</v>
      </c>
      <c r="K88" s="12" t="s">
        <v>282</v>
      </c>
      <c r="L88" s="12" t="s">
        <v>20</v>
      </c>
      <c r="M88" s="12" t="s">
        <v>283</v>
      </c>
      <c r="N88" s="12" t="s">
        <v>303</v>
      </c>
      <c r="O88" s="12" t="s">
        <v>285</v>
      </c>
      <c r="P88" s="29" t="s">
        <v>177</v>
      </c>
      <c r="Q88" s="12" t="s">
        <v>178</v>
      </c>
    </row>
    <row r="89" spans="1:17" s="24" customFormat="1" ht="13" x14ac:dyDescent="0.3">
      <c r="A89" s="12">
        <v>11</v>
      </c>
      <c r="B89" s="30">
        <v>11</v>
      </c>
      <c r="C89" s="12">
        <v>29692</v>
      </c>
      <c r="D89" s="12" t="s">
        <v>313</v>
      </c>
      <c r="E89" s="12" t="s">
        <v>314</v>
      </c>
      <c r="F89" s="17">
        <v>46015</v>
      </c>
      <c r="G89" s="17">
        <v>46043</v>
      </c>
      <c r="H89" s="12">
        <f ca="1">TODAY()-G89</f>
        <v>1</v>
      </c>
      <c r="I89" s="29" t="s">
        <v>393</v>
      </c>
      <c r="J89" s="12" t="s">
        <v>18</v>
      </c>
      <c r="K89" s="12" t="s">
        <v>282</v>
      </c>
      <c r="L89" s="12" t="s">
        <v>20</v>
      </c>
      <c r="M89" s="12" t="s">
        <v>283</v>
      </c>
      <c r="N89" s="12" t="s">
        <v>315</v>
      </c>
      <c r="O89" s="12" t="s">
        <v>285</v>
      </c>
      <c r="P89" s="29" t="s">
        <v>177</v>
      </c>
      <c r="Q89" s="12" t="s">
        <v>178</v>
      </c>
    </row>
    <row r="90" spans="1:17" s="24" customFormat="1" ht="13" x14ac:dyDescent="0.3">
      <c r="A90" s="12">
        <v>13</v>
      </c>
      <c r="B90" s="30">
        <v>13</v>
      </c>
      <c r="C90" s="12">
        <v>29695</v>
      </c>
      <c r="D90" s="12" t="s">
        <v>319</v>
      </c>
      <c r="E90" s="12" t="s">
        <v>320</v>
      </c>
      <c r="F90" s="17">
        <v>46017</v>
      </c>
      <c r="G90" s="17">
        <v>46043</v>
      </c>
      <c r="H90" s="12">
        <f ca="1">TODAY()-G90</f>
        <v>1</v>
      </c>
      <c r="I90" s="29" t="s">
        <v>393</v>
      </c>
      <c r="J90" s="12" t="s">
        <v>18</v>
      </c>
      <c r="K90" s="12" t="s">
        <v>282</v>
      </c>
      <c r="L90" s="12" t="s">
        <v>20</v>
      </c>
      <c r="M90" s="12" t="s">
        <v>283</v>
      </c>
      <c r="N90" s="12" t="s">
        <v>321</v>
      </c>
      <c r="O90" s="12" t="s">
        <v>285</v>
      </c>
      <c r="P90" s="29" t="s">
        <v>177</v>
      </c>
      <c r="Q90" s="12" t="s">
        <v>178</v>
      </c>
    </row>
    <row r="91" spans="1:17" s="24" customFormat="1" ht="13" x14ac:dyDescent="0.3">
      <c r="A91" s="12">
        <v>14</v>
      </c>
      <c r="B91" s="30">
        <v>14</v>
      </c>
      <c r="C91" s="12">
        <v>29696</v>
      </c>
      <c r="D91" s="12" t="s">
        <v>322</v>
      </c>
      <c r="E91" s="12" t="s">
        <v>323</v>
      </c>
      <c r="F91" s="17">
        <v>46020</v>
      </c>
      <c r="G91" s="17">
        <v>46043</v>
      </c>
      <c r="H91" s="12">
        <f ca="1">TODAY()-G91</f>
        <v>1</v>
      </c>
      <c r="I91" s="29" t="s">
        <v>393</v>
      </c>
      <c r="J91" s="12" t="s">
        <v>18</v>
      </c>
      <c r="K91" s="12" t="s">
        <v>282</v>
      </c>
      <c r="L91" s="12" t="s">
        <v>20</v>
      </c>
      <c r="M91" s="12" t="s">
        <v>283</v>
      </c>
      <c r="N91" s="12" t="s">
        <v>324</v>
      </c>
      <c r="O91" s="12" t="s">
        <v>285</v>
      </c>
      <c r="P91" s="29" t="s">
        <v>177</v>
      </c>
      <c r="Q91" s="12" t="s">
        <v>178</v>
      </c>
    </row>
    <row r="92" spans="1:17" s="24" customFormat="1" ht="13" hidden="1" x14ac:dyDescent="0.3">
      <c r="A92" s="12">
        <v>1</v>
      </c>
      <c r="B92" s="30">
        <v>1</v>
      </c>
      <c r="C92" s="12">
        <v>29685</v>
      </c>
      <c r="D92" s="12" t="s">
        <v>280</v>
      </c>
      <c r="E92" s="12" t="s">
        <v>281</v>
      </c>
      <c r="F92" s="17">
        <v>46015</v>
      </c>
      <c r="G92" s="32" t="s">
        <v>388</v>
      </c>
      <c r="H92" s="12" t="e">
        <f ca="1">TODAY()-G92</f>
        <v>#VALUE!</v>
      </c>
      <c r="I92" s="12" t="s">
        <v>387</v>
      </c>
      <c r="J92" s="12" t="s">
        <v>18</v>
      </c>
      <c r="K92" s="12" t="s">
        <v>282</v>
      </c>
      <c r="L92" s="12" t="s">
        <v>20</v>
      </c>
      <c r="M92" s="12" t="s">
        <v>283</v>
      </c>
      <c r="N92" s="12" t="s">
        <v>284</v>
      </c>
      <c r="O92" s="12" t="s">
        <v>285</v>
      </c>
      <c r="P92" s="32" t="s">
        <v>388</v>
      </c>
      <c r="Q92" s="32" t="s">
        <v>388</v>
      </c>
    </row>
    <row r="93" spans="1:17" s="24" customFormat="1" ht="13" hidden="1" x14ac:dyDescent="0.3">
      <c r="A93" s="12">
        <v>2</v>
      </c>
      <c r="B93" s="30">
        <v>2</v>
      </c>
      <c r="C93" s="12">
        <v>29686</v>
      </c>
      <c r="D93" s="12" t="s">
        <v>286</v>
      </c>
      <c r="E93" s="12" t="s">
        <v>287</v>
      </c>
      <c r="F93" s="17">
        <v>46017</v>
      </c>
      <c r="G93" s="32" t="s">
        <v>388</v>
      </c>
      <c r="H93" s="12" t="e">
        <f ca="1">TODAY()-G93</f>
        <v>#VALUE!</v>
      </c>
      <c r="I93" s="12" t="s">
        <v>389</v>
      </c>
      <c r="J93" s="12" t="s">
        <v>18</v>
      </c>
      <c r="K93" s="12" t="s">
        <v>282</v>
      </c>
      <c r="L93" s="12" t="s">
        <v>20</v>
      </c>
      <c r="M93" s="12" t="s">
        <v>283</v>
      </c>
      <c r="N93" s="12" t="s">
        <v>288</v>
      </c>
      <c r="O93" s="12" t="s">
        <v>285</v>
      </c>
      <c r="P93" s="32" t="s">
        <v>388</v>
      </c>
      <c r="Q93" s="32" t="s">
        <v>388</v>
      </c>
    </row>
    <row r="94" spans="1:17" s="24" customFormat="1" ht="13" hidden="1" x14ac:dyDescent="0.3">
      <c r="A94" s="12">
        <v>4</v>
      </c>
      <c r="B94" s="30">
        <v>4</v>
      </c>
      <c r="C94" s="12">
        <v>29688</v>
      </c>
      <c r="D94" s="12" t="s">
        <v>292</v>
      </c>
      <c r="E94" s="12" t="s">
        <v>293</v>
      </c>
      <c r="F94" s="17">
        <v>46017</v>
      </c>
      <c r="G94" s="32" t="s">
        <v>388</v>
      </c>
      <c r="H94" s="12" t="e">
        <f ca="1">TODAY()-G94</f>
        <v>#VALUE!</v>
      </c>
      <c r="I94" s="12" t="s">
        <v>387</v>
      </c>
      <c r="J94" s="12" t="s">
        <v>18</v>
      </c>
      <c r="K94" s="12" t="s">
        <v>282</v>
      </c>
      <c r="L94" s="12" t="s">
        <v>20</v>
      </c>
      <c r="M94" s="12" t="s">
        <v>283</v>
      </c>
      <c r="N94" s="12" t="s">
        <v>294</v>
      </c>
      <c r="O94" s="12" t="s">
        <v>285</v>
      </c>
      <c r="P94" s="32" t="s">
        <v>388</v>
      </c>
      <c r="Q94" s="32" t="s">
        <v>388</v>
      </c>
    </row>
    <row r="95" spans="1:17" s="24" customFormat="1" ht="13" hidden="1" x14ac:dyDescent="0.3">
      <c r="A95" s="12">
        <v>5</v>
      </c>
      <c r="B95" s="30">
        <v>5</v>
      </c>
      <c r="C95" s="12">
        <v>29693</v>
      </c>
      <c r="D95" s="12" t="s">
        <v>295</v>
      </c>
      <c r="E95" s="12" t="s">
        <v>296</v>
      </c>
      <c r="F95" s="17">
        <v>46017</v>
      </c>
      <c r="G95" s="32" t="s">
        <v>388</v>
      </c>
      <c r="H95" s="12" t="e">
        <f ca="1">TODAY()-G95</f>
        <v>#VALUE!</v>
      </c>
      <c r="I95" s="12" t="s">
        <v>389</v>
      </c>
      <c r="J95" s="12" t="s">
        <v>18</v>
      </c>
      <c r="K95" s="12" t="s">
        <v>282</v>
      </c>
      <c r="L95" s="12" t="s">
        <v>20</v>
      </c>
      <c r="M95" s="12" t="s">
        <v>283</v>
      </c>
      <c r="N95" s="12" t="s">
        <v>297</v>
      </c>
      <c r="O95" s="12" t="s">
        <v>285</v>
      </c>
      <c r="P95" s="32" t="s">
        <v>388</v>
      </c>
      <c r="Q95" s="32" t="s">
        <v>388</v>
      </c>
    </row>
    <row r="96" spans="1:17" s="24" customFormat="1" ht="13" hidden="1" x14ac:dyDescent="0.3">
      <c r="A96" s="12">
        <v>6</v>
      </c>
      <c r="B96" s="30">
        <v>6</v>
      </c>
      <c r="C96" s="12">
        <v>29689</v>
      </c>
      <c r="D96" s="12" t="s">
        <v>298</v>
      </c>
      <c r="E96" s="12" t="s">
        <v>299</v>
      </c>
      <c r="F96" s="17">
        <v>46015</v>
      </c>
      <c r="G96" s="32" t="s">
        <v>388</v>
      </c>
      <c r="H96" s="12" t="e">
        <f ca="1">TODAY()-G96</f>
        <v>#VALUE!</v>
      </c>
      <c r="I96" s="12" t="s">
        <v>389</v>
      </c>
      <c r="J96" s="12" t="s">
        <v>18</v>
      </c>
      <c r="K96" s="12" t="s">
        <v>282</v>
      </c>
      <c r="L96" s="12" t="s">
        <v>20</v>
      </c>
      <c r="M96" s="12" t="s">
        <v>283</v>
      </c>
      <c r="N96" s="12" t="s">
        <v>300</v>
      </c>
      <c r="O96" s="12" t="s">
        <v>285</v>
      </c>
      <c r="P96" s="32" t="s">
        <v>388</v>
      </c>
      <c r="Q96" s="32" t="s">
        <v>388</v>
      </c>
    </row>
    <row r="97" spans="1:17" s="24" customFormat="1" ht="13" hidden="1" x14ac:dyDescent="0.3">
      <c r="A97" s="12">
        <v>8</v>
      </c>
      <c r="B97" s="30">
        <v>8</v>
      </c>
      <c r="C97" s="12">
        <v>29615</v>
      </c>
      <c r="D97" s="12" t="s">
        <v>304</v>
      </c>
      <c r="E97" s="12" t="s">
        <v>305</v>
      </c>
      <c r="F97" s="17">
        <v>46015</v>
      </c>
      <c r="G97" s="32" t="s">
        <v>388</v>
      </c>
      <c r="H97" s="12" t="e">
        <f ca="1">TODAY()-G97</f>
        <v>#VALUE!</v>
      </c>
      <c r="I97" s="12" t="s">
        <v>389</v>
      </c>
      <c r="J97" s="12" t="s">
        <v>18</v>
      </c>
      <c r="K97" s="12" t="s">
        <v>282</v>
      </c>
      <c r="L97" s="12" t="s">
        <v>20</v>
      </c>
      <c r="M97" s="12" t="s">
        <v>283</v>
      </c>
      <c r="N97" s="12" t="s">
        <v>306</v>
      </c>
      <c r="O97" s="12" t="s">
        <v>285</v>
      </c>
      <c r="P97" s="32" t="s">
        <v>388</v>
      </c>
      <c r="Q97" s="32" t="s">
        <v>388</v>
      </c>
    </row>
    <row r="98" spans="1:17" s="24" customFormat="1" ht="13" hidden="1" x14ac:dyDescent="0.3">
      <c r="A98" s="12">
        <v>9</v>
      </c>
      <c r="B98" s="30">
        <v>9</v>
      </c>
      <c r="C98" s="12">
        <v>29690</v>
      </c>
      <c r="D98" s="12" t="s">
        <v>307</v>
      </c>
      <c r="E98" s="12" t="s">
        <v>308</v>
      </c>
      <c r="F98" s="17">
        <v>46015</v>
      </c>
      <c r="G98" s="32" t="s">
        <v>388</v>
      </c>
      <c r="H98" s="12" t="e">
        <f ca="1">TODAY()-G98</f>
        <v>#VALUE!</v>
      </c>
      <c r="I98" s="12" t="s">
        <v>389</v>
      </c>
      <c r="J98" s="12" t="s">
        <v>18</v>
      </c>
      <c r="K98" s="12" t="s">
        <v>282</v>
      </c>
      <c r="L98" s="12" t="s">
        <v>20</v>
      </c>
      <c r="M98" s="12" t="s">
        <v>283</v>
      </c>
      <c r="N98" s="12" t="s">
        <v>309</v>
      </c>
      <c r="O98" s="12" t="s">
        <v>285</v>
      </c>
      <c r="P98" s="32" t="s">
        <v>388</v>
      </c>
      <c r="Q98" s="32" t="s">
        <v>388</v>
      </c>
    </row>
    <row r="99" spans="1:17" s="24" customFormat="1" ht="13" hidden="1" x14ac:dyDescent="0.3">
      <c r="A99" s="12">
        <v>10</v>
      </c>
      <c r="B99" s="30">
        <v>10</v>
      </c>
      <c r="C99" s="12">
        <v>29691</v>
      </c>
      <c r="D99" s="12" t="s">
        <v>310</v>
      </c>
      <c r="E99" s="12" t="s">
        <v>311</v>
      </c>
      <c r="F99" s="17">
        <v>46015</v>
      </c>
      <c r="G99" s="32" t="s">
        <v>388</v>
      </c>
      <c r="H99" s="12" t="e">
        <f ca="1">TODAY()-G99</f>
        <v>#VALUE!</v>
      </c>
      <c r="I99" s="12" t="s">
        <v>389</v>
      </c>
      <c r="J99" s="12" t="s">
        <v>18</v>
      </c>
      <c r="K99" s="12" t="s">
        <v>282</v>
      </c>
      <c r="L99" s="12" t="s">
        <v>20</v>
      </c>
      <c r="M99" s="12" t="s">
        <v>283</v>
      </c>
      <c r="N99" s="12" t="s">
        <v>312</v>
      </c>
      <c r="O99" s="12" t="s">
        <v>285</v>
      </c>
      <c r="P99" s="32" t="s">
        <v>388</v>
      </c>
      <c r="Q99" s="32" t="s">
        <v>388</v>
      </c>
    </row>
    <row r="100" spans="1:17" s="24" customFormat="1" ht="13" hidden="1" x14ac:dyDescent="0.3">
      <c r="A100" s="12">
        <v>12</v>
      </c>
      <c r="B100" s="30">
        <v>12</v>
      </c>
      <c r="C100" s="12">
        <v>29694</v>
      </c>
      <c r="D100" s="12" t="s">
        <v>316</v>
      </c>
      <c r="E100" s="12" t="s">
        <v>317</v>
      </c>
      <c r="F100" s="17">
        <v>46017</v>
      </c>
      <c r="G100" s="32" t="s">
        <v>388</v>
      </c>
      <c r="H100" s="12" t="e">
        <f ca="1">TODAY()-G100</f>
        <v>#VALUE!</v>
      </c>
      <c r="I100" s="12" t="s">
        <v>389</v>
      </c>
      <c r="J100" s="12" t="s">
        <v>18</v>
      </c>
      <c r="K100" s="12" t="s">
        <v>282</v>
      </c>
      <c r="L100" s="12" t="s">
        <v>20</v>
      </c>
      <c r="M100" s="12" t="s">
        <v>283</v>
      </c>
      <c r="N100" s="12" t="s">
        <v>318</v>
      </c>
      <c r="O100" s="12" t="s">
        <v>285</v>
      </c>
      <c r="P100" s="32" t="s">
        <v>388</v>
      </c>
      <c r="Q100" s="32" t="s">
        <v>388</v>
      </c>
    </row>
    <row r="101" spans="1:17" s="24" customFormat="1" ht="13" hidden="1" x14ac:dyDescent="0.3">
      <c r="A101" s="12">
        <v>15</v>
      </c>
      <c r="B101" s="30">
        <v>15</v>
      </c>
      <c r="C101" s="12">
        <v>29697</v>
      </c>
      <c r="D101" s="12" t="s">
        <v>325</v>
      </c>
      <c r="E101" s="12" t="s">
        <v>326</v>
      </c>
      <c r="F101" s="17">
        <v>46020</v>
      </c>
      <c r="G101" s="32" t="s">
        <v>388</v>
      </c>
      <c r="H101" s="12" t="e">
        <f ca="1">TODAY()-G101</f>
        <v>#VALUE!</v>
      </c>
      <c r="I101" s="12" t="s">
        <v>390</v>
      </c>
      <c r="J101" s="12" t="s">
        <v>18</v>
      </c>
      <c r="K101" s="12" t="s">
        <v>282</v>
      </c>
      <c r="L101" s="12" t="s">
        <v>20</v>
      </c>
      <c r="M101" s="12" t="s">
        <v>283</v>
      </c>
      <c r="N101" s="12" t="s">
        <v>327</v>
      </c>
      <c r="O101" s="12" t="s">
        <v>285</v>
      </c>
      <c r="P101" s="32" t="s">
        <v>388</v>
      </c>
      <c r="Q101" s="32" t="s">
        <v>388</v>
      </c>
    </row>
    <row r="102" spans="1:17" s="5" customFormat="1" ht="13.5" hidden="1" customHeight="1" x14ac:dyDescent="0.3">
      <c r="A102" s="27"/>
      <c r="B102" s="33"/>
      <c r="C102" s="27"/>
      <c r="D102" s="27"/>
      <c r="E102" s="27"/>
      <c r="F102" s="28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</row>
    <row r="103" spans="1:17" s="24" customFormat="1" ht="13" hidden="1" x14ac:dyDescent="0.3">
      <c r="A103" s="12">
        <v>1</v>
      </c>
      <c r="B103" s="30">
        <v>1</v>
      </c>
      <c r="C103" s="12">
        <v>29781</v>
      </c>
      <c r="D103" s="12" t="s">
        <v>328</v>
      </c>
      <c r="E103" s="12" t="s">
        <v>329</v>
      </c>
      <c r="F103" s="17">
        <v>46027</v>
      </c>
      <c r="G103" s="32" t="s">
        <v>388</v>
      </c>
      <c r="H103" s="12" t="e">
        <f t="shared" ca="1" si="6"/>
        <v>#VALUE!</v>
      </c>
      <c r="I103" s="12" t="str">
        <f>VLOOKUP(D103,[1]TALANA!$B$4:$F$16,5,0)</f>
        <v>KONKOLA</v>
      </c>
      <c r="J103" s="12" t="s">
        <v>18</v>
      </c>
      <c r="K103" s="12" t="s">
        <v>111</v>
      </c>
      <c r="L103" s="12" t="s">
        <v>330</v>
      </c>
      <c r="M103" s="12" t="s">
        <v>331</v>
      </c>
      <c r="N103" s="12" t="s">
        <v>332</v>
      </c>
      <c r="O103" s="12" t="s">
        <v>333</v>
      </c>
      <c r="P103" s="32" t="s">
        <v>388</v>
      </c>
      <c r="Q103" s="32" t="s">
        <v>388</v>
      </c>
    </row>
    <row r="104" spans="1:17" s="24" customFormat="1" ht="13" hidden="1" x14ac:dyDescent="0.3">
      <c r="A104" s="12">
        <v>2</v>
      </c>
      <c r="B104" s="30">
        <v>2</v>
      </c>
      <c r="C104" s="12">
        <v>29781</v>
      </c>
      <c r="D104" s="12" t="s">
        <v>328</v>
      </c>
      <c r="E104" s="12" t="s">
        <v>329</v>
      </c>
      <c r="F104" s="17">
        <v>46027</v>
      </c>
      <c r="G104" s="32" t="s">
        <v>388</v>
      </c>
      <c r="H104" s="12" t="e">
        <f t="shared" ca="1" si="6"/>
        <v>#VALUE!</v>
      </c>
      <c r="I104" s="12" t="str">
        <f>VLOOKUP(D104,[1]TALANA!$B$4:$F$16,5,0)</f>
        <v>KONKOLA</v>
      </c>
      <c r="J104" s="12" t="s">
        <v>18</v>
      </c>
      <c r="K104" s="12" t="s">
        <v>111</v>
      </c>
      <c r="L104" s="12" t="s">
        <v>330</v>
      </c>
      <c r="M104" s="12" t="s">
        <v>331</v>
      </c>
      <c r="N104" s="12" t="s">
        <v>332</v>
      </c>
      <c r="O104" s="12" t="s">
        <v>334</v>
      </c>
      <c r="P104" s="32" t="s">
        <v>388</v>
      </c>
      <c r="Q104" s="32" t="s">
        <v>388</v>
      </c>
    </row>
    <row r="105" spans="1:17" s="24" customFormat="1" ht="13" hidden="1" x14ac:dyDescent="0.3">
      <c r="A105" s="12">
        <v>3</v>
      </c>
      <c r="B105" s="30">
        <v>3</v>
      </c>
      <c r="C105" s="12">
        <v>29603</v>
      </c>
      <c r="D105" s="12" t="s">
        <v>335</v>
      </c>
      <c r="E105" s="12" t="s">
        <v>336</v>
      </c>
      <c r="F105" s="17">
        <v>46021</v>
      </c>
      <c r="G105" s="32" t="s">
        <v>388</v>
      </c>
      <c r="H105" s="12" t="e">
        <f t="shared" ca="1" si="6"/>
        <v>#VALUE!</v>
      </c>
      <c r="I105" s="12" t="str">
        <f>VLOOKUP(D105,[1]TALANA!$B$4:$F$16,5,0)</f>
        <v>DESTINATION</v>
      </c>
      <c r="J105" s="12" t="s">
        <v>18</v>
      </c>
      <c r="K105" s="12" t="s">
        <v>111</v>
      </c>
      <c r="L105" s="12" t="s">
        <v>330</v>
      </c>
      <c r="M105" s="12" t="s">
        <v>331</v>
      </c>
      <c r="N105" s="12" t="s">
        <v>337</v>
      </c>
      <c r="O105" s="12" t="s">
        <v>334</v>
      </c>
      <c r="P105" s="32" t="s">
        <v>388</v>
      </c>
      <c r="Q105" s="32" t="s">
        <v>388</v>
      </c>
    </row>
    <row r="106" spans="1:17" s="24" customFormat="1" ht="13" hidden="1" x14ac:dyDescent="0.3">
      <c r="A106" s="12">
        <v>4</v>
      </c>
      <c r="B106" s="30">
        <v>4</v>
      </c>
      <c r="C106" s="12">
        <v>29683</v>
      </c>
      <c r="D106" s="12" t="s">
        <v>338</v>
      </c>
      <c r="E106" s="12" t="s">
        <v>339</v>
      </c>
      <c r="F106" s="17">
        <v>46020</v>
      </c>
      <c r="G106" s="32" t="s">
        <v>388</v>
      </c>
      <c r="H106" s="12" t="e">
        <f t="shared" ca="1" si="6"/>
        <v>#VALUE!</v>
      </c>
      <c r="I106" s="12" t="str">
        <f>VLOOKUP(D106,[1]TALANA!$B$4:$F$16,5,0)</f>
        <v>KONKOLA</v>
      </c>
      <c r="J106" s="12" t="s">
        <v>18</v>
      </c>
      <c r="K106" s="12" t="s">
        <v>111</v>
      </c>
      <c r="L106" s="12" t="s">
        <v>330</v>
      </c>
      <c r="M106" s="12" t="s">
        <v>331</v>
      </c>
      <c r="N106" s="12" t="s">
        <v>340</v>
      </c>
      <c r="O106" s="12" t="s">
        <v>334</v>
      </c>
      <c r="P106" s="32" t="s">
        <v>388</v>
      </c>
      <c r="Q106" s="32" t="s">
        <v>388</v>
      </c>
    </row>
    <row r="107" spans="1:17" s="24" customFormat="1" ht="13" hidden="1" x14ac:dyDescent="0.3">
      <c r="A107" s="12">
        <v>5</v>
      </c>
      <c r="B107" s="30">
        <v>5</v>
      </c>
      <c r="C107" s="12">
        <v>29782</v>
      </c>
      <c r="D107" s="12" t="s">
        <v>341</v>
      </c>
      <c r="E107" s="12" t="s">
        <v>342</v>
      </c>
      <c r="F107" s="17">
        <v>46020</v>
      </c>
      <c r="G107" s="32" t="s">
        <v>388</v>
      </c>
      <c r="H107" s="12" t="e">
        <f t="shared" ca="1" si="6"/>
        <v>#VALUE!</v>
      </c>
      <c r="I107" s="12" t="str">
        <f>VLOOKUP(D107,[1]TALANA!$B$4:$F$16,5,0)</f>
        <v>NAKONDE</v>
      </c>
      <c r="J107" s="12" t="s">
        <v>18</v>
      </c>
      <c r="K107" s="12" t="s">
        <v>111</v>
      </c>
      <c r="L107" s="12" t="s">
        <v>330</v>
      </c>
      <c r="M107" s="12" t="s">
        <v>331</v>
      </c>
      <c r="N107" s="12" t="s">
        <v>343</v>
      </c>
      <c r="O107" s="12" t="s">
        <v>334</v>
      </c>
      <c r="P107" s="32" t="s">
        <v>388</v>
      </c>
      <c r="Q107" s="32" t="s">
        <v>388</v>
      </c>
    </row>
    <row r="108" spans="1:17" s="24" customFormat="1" ht="13" hidden="1" x14ac:dyDescent="0.3">
      <c r="A108" s="12">
        <v>6</v>
      </c>
      <c r="B108" s="30">
        <v>6</v>
      </c>
      <c r="C108" s="12">
        <v>29783</v>
      </c>
      <c r="D108" s="12" t="s">
        <v>344</v>
      </c>
      <c r="E108" s="12" t="s">
        <v>345</v>
      </c>
      <c r="F108" s="17">
        <v>46020</v>
      </c>
      <c r="G108" s="32" t="s">
        <v>388</v>
      </c>
      <c r="H108" s="12" t="e">
        <f t="shared" ca="1" si="6"/>
        <v>#VALUE!</v>
      </c>
      <c r="I108" s="12" t="str">
        <f>VLOOKUP(D108,[1]TALANA!$B$4:$F$16,5,0)</f>
        <v>DESTINATION</v>
      </c>
      <c r="J108" s="12" t="s">
        <v>18</v>
      </c>
      <c r="K108" s="12" t="s">
        <v>111</v>
      </c>
      <c r="L108" s="12" t="s">
        <v>330</v>
      </c>
      <c r="M108" s="12" t="s">
        <v>331</v>
      </c>
      <c r="N108" s="12" t="s">
        <v>346</v>
      </c>
      <c r="O108" s="12" t="s">
        <v>334</v>
      </c>
      <c r="P108" s="32" t="s">
        <v>388</v>
      </c>
      <c r="Q108" s="32" t="s">
        <v>388</v>
      </c>
    </row>
    <row r="109" spans="1:17" s="24" customFormat="1" ht="13" hidden="1" x14ac:dyDescent="0.3">
      <c r="A109" s="12">
        <v>7</v>
      </c>
      <c r="B109" s="30">
        <v>7</v>
      </c>
      <c r="C109" s="12">
        <v>29784</v>
      </c>
      <c r="D109" s="12" t="s">
        <v>347</v>
      </c>
      <c r="E109" s="12" t="s">
        <v>348</v>
      </c>
      <c r="F109" s="17">
        <v>46020</v>
      </c>
      <c r="G109" s="32" t="s">
        <v>388</v>
      </c>
      <c r="H109" s="12" t="e">
        <f t="shared" ca="1" si="6"/>
        <v>#VALUE!</v>
      </c>
      <c r="I109" s="12" t="str">
        <f>VLOOKUP(D109,[1]TALANA!$B$4:$F$16,5,0)</f>
        <v>NDOLA</v>
      </c>
      <c r="J109" s="12" t="s">
        <v>18</v>
      </c>
      <c r="K109" s="12" t="s">
        <v>111</v>
      </c>
      <c r="L109" s="12" t="s">
        <v>330</v>
      </c>
      <c r="M109" s="12" t="s">
        <v>331</v>
      </c>
      <c r="N109" s="12" t="s">
        <v>349</v>
      </c>
      <c r="O109" s="12" t="s">
        <v>350</v>
      </c>
      <c r="P109" s="32" t="s">
        <v>388</v>
      </c>
      <c r="Q109" s="32" t="s">
        <v>388</v>
      </c>
    </row>
    <row r="110" spans="1:17" s="24" customFormat="1" ht="13" hidden="1" x14ac:dyDescent="0.3">
      <c r="A110" s="12">
        <v>8</v>
      </c>
      <c r="B110" s="30">
        <v>8</v>
      </c>
      <c r="C110" s="12">
        <v>29785</v>
      </c>
      <c r="D110" s="12" t="s">
        <v>351</v>
      </c>
      <c r="E110" s="12" t="s">
        <v>352</v>
      </c>
      <c r="F110" s="17">
        <v>46020</v>
      </c>
      <c r="G110" s="32" t="s">
        <v>388</v>
      </c>
      <c r="H110" s="12" t="e">
        <f t="shared" ca="1" si="6"/>
        <v>#VALUE!</v>
      </c>
      <c r="I110" s="12" t="str">
        <f>VLOOKUP(D110,[1]TALANA!$B$4:$F$16,5,0)</f>
        <v>KONKOLA</v>
      </c>
      <c r="J110" s="12" t="s">
        <v>18</v>
      </c>
      <c r="K110" s="12" t="s">
        <v>111</v>
      </c>
      <c r="L110" s="12" t="s">
        <v>330</v>
      </c>
      <c r="M110" s="12" t="s">
        <v>331</v>
      </c>
      <c r="N110" s="12" t="s">
        <v>353</v>
      </c>
      <c r="O110" s="12" t="s">
        <v>350</v>
      </c>
      <c r="P110" s="32" t="s">
        <v>388</v>
      </c>
      <c r="Q110" s="32" t="s">
        <v>388</v>
      </c>
    </row>
    <row r="111" spans="1:17" s="24" customFormat="1" ht="13" hidden="1" x14ac:dyDescent="0.3">
      <c r="A111" s="12">
        <v>9</v>
      </c>
      <c r="B111" s="30">
        <v>9</v>
      </c>
      <c r="C111" s="12">
        <v>29786</v>
      </c>
      <c r="D111" s="12" t="s">
        <v>354</v>
      </c>
      <c r="E111" s="12" t="s">
        <v>355</v>
      </c>
      <c r="F111" s="17">
        <v>46020</v>
      </c>
      <c r="G111" s="32" t="s">
        <v>388</v>
      </c>
      <c r="H111" s="12" t="e">
        <f t="shared" ca="1" si="6"/>
        <v>#VALUE!</v>
      </c>
      <c r="I111" s="12" t="str">
        <f>VLOOKUP(D111,[1]TALANA!$B$4:$F$16,5,0)</f>
        <v>DESTINATION</v>
      </c>
      <c r="J111" s="12" t="s">
        <v>18</v>
      </c>
      <c r="K111" s="12" t="s">
        <v>111</v>
      </c>
      <c r="L111" s="12" t="s">
        <v>330</v>
      </c>
      <c r="M111" s="12" t="s">
        <v>331</v>
      </c>
      <c r="N111" s="12" t="s">
        <v>356</v>
      </c>
      <c r="O111" s="12" t="s">
        <v>350</v>
      </c>
      <c r="P111" s="32" t="s">
        <v>388</v>
      </c>
      <c r="Q111" s="32" t="s">
        <v>388</v>
      </c>
    </row>
    <row r="112" spans="1:17" s="24" customFormat="1" ht="13" hidden="1" x14ac:dyDescent="0.3">
      <c r="A112" s="12">
        <v>10</v>
      </c>
      <c r="B112" s="30">
        <v>10</v>
      </c>
      <c r="C112" s="12">
        <v>29787</v>
      </c>
      <c r="D112" s="12" t="s">
        <v>357</v>
      </c>
      <c r="E112" s="12" t="s">
        <v>358</v>
      </c>
      <c r="F112" s="17">
        <v>46021</v>
      </c>
      <c r="G112" s="32" t="s">
        <v>388</v>
      </c>
      <c r="H112" s="12" t="e">
        <f t="shared" ca="1" si="6"/>
        <v>#VALUE!</v>
      </c>
      <c r="I112" s="12" t="str">
        <f>VLOOKUP(D112,[1]TALANA!$B$4:$F$16,5,0)</f>
        <v>K-LESA DRC</v>
      </c>
      <c r="J112" s="12" t="s">
        <v>18</v>
      </c>
      <c r="K112" s="12" t="s">
        <v>111</v>
      </c>
      <c r="L112" s="12" t="s">
        <v>330</v>
      </c>
      <c r="M112" s="12" t="s">
        <v>331</v>
      </c>
      <c r="N112" s="12" t="s">
        <v>359</v>
      </c>
      <c r="O112" s="12" t="s">
        <v>350</v>
      </c>
      <c r="P112" s="32" t="s">
        <v>388</v>
      </c>
      <c r="Q112" s="32" t="s">
        <v>388</v>
      </c>
    </row>
    <row r="113" spans="1:17" s="24" customFormat="1" ht="13" hidden="1" x14ac:dyDescent="0.3">
      <c r="A113" s="12">
        <v>11</v>
      </c>
      <c r="B113" s="30">
        <v>11</v>
      </c>
      <c r="C113" s="12">
        <v>29788</v>
      </c>
      <c r="D113" s="12" t="s">
        <v>360</v>
      </c>
      <c r="E113" s="12" t="s">
        <v>361</v>
      </c>
      <c r="F113" s="17">
        <v>46021</v>
      </c>
      <c r="G113" s="32" t="s">
        <v>388</v>
      </c>
      <c r="H113" s="12" t="e">
        <f t="shared" ca="1" si="6"/>
        <v>#VALUE!</v>
      </c>
      <c r="I113" s="12" t="str">
        <f>VLOOKUP(D113,[1]TALANA!$B$4:$F$16,5,0)</f>
        <v>K-LESA DRC</v>
      </c>
      <c r="J113" s="12" t="s">
        <v>362</v>
      </c>
      <c r="K113" s="12" t="s">
        <v>111</v>
      </c>
      <c r="L113" s="12" t="s">
        <v>330</v>
      </c>
      <c r="M113" s="12" t="s">
        <v>331</v>
      </c>
      <c r="N113" s="12" t="s">
        <v>363</v>
      </c>
      <c r="O113" s="12" t="s">
        <v>350</v>
      </c>
      <c r="P113" s="32" t="s">
        <v>388</v>
      </c>
      <c r="Q113" s="32" t="s">
        <v>388</v>
      </c>
    </row>
    <row r="114" spans="1:17" s="24" customFormat="1" ht="13" hidden="1" x14ac:dyDescent="0.3">
      <c r="A114" s="12">
        <v>12</v>
      </c>
      <c r="B114" s="30">
        <v>12</v>
      </c>
      <c r="C114" s="12">
        <v>29789</v>
      </c>
      <c r="D114" s="12" t="s">
        <v>364</v>
      </c>
      <c r="E114" s="12" t="s">
        <v>365</v>
      </c>
      <c r="F114" s="17">
        <v>46021</v>
      </c>
      <c r="G114" s="32" t="s">
        <v>388</v>
      </c>
      <c r="H114" s="12" t="e">
        <f t="shared" ref="H114:H115" ca="1" si="8">TODAY()-G114</f>
        <v>#VALUE!</v>
      </c>
      <c r="I114" s="12" t="str">
        <f>VLOOKUP(D114,[1]TALANA!$B$4:$F$16,5,0)</f>
        <v>DESTINATION</v>
      </c>
      <c r="J114" s="12" t="s">
        <v>275</v>
      </c>
      <c r="K114" s="12" t="s">
        <v>111</v>
      </c>
      <c r="L114" s="12" t="s">
        <v>330</v>
      </c>
      <c r="M114" s="12" t="s">
        <v>331</v>
      </c>
      <c r="N114" s="12" t="s">
        <v>366</v>
      </c>
      <c r="O114" s="12" t="s">
        <v>350</v>
      </c>
      <c r="P114" s="32" t="s">
        <v>388</v>
      </c>
      <c r="Q114" s="32" t="s">
        <v>388</v>
      </c>
    </row>
    <row r="115" spans="1:17" s="24" customFormat="1" ht="13" hidden="1" x14ac:dyDescent="0.3">
      <c r="A115" s="12">
        <v>13</v>
      </c>
      <c r="B115" s="30">
        <v>13</v>
      </c>
      <c r="C115" s="12">
        <v>29790</v>
      </c>
      <c r="D115" s="12" t="s">
        <v>367</v>
      </c>
      <c r="E115" s="12" t="s">
        <v>368</v>
      </c>
      <c r="F115" s="17">
        <v>46020</v>
      </c>
      <c r="G115" s="32" t="s">
        <v>388</v>
      </c>
      <c r="H115" s="12" t="e">
        <f t="shared" ca="1" si="8"/>
        <v>#VALUE!</v>
      </c>
      <c r="I115" s="12" t="str">
        <f>VLOOKUP(D115,[1]TALANA!$B$4:$F$16,5,0)</f>
        <v>K-LESA ZMB</v>
      </c>
      <c r="J115" s="12" t="s">
        <v>18</v>
      </c>
      <c r="K115" s="12" t="s">
        <v>111</v>
      </c>
      <c r="L115" s="12" t="s">
        <v>330</v>
      </c>
      <c r="M115" s="12" t="s">
        <v>331</v>
      </c>
      <c r="N115" s="12" t="s">
        <v>369</v>
      </c>
      <c r="O115" s="12" t="s">
        <v>350</v>
      </c>
      <c r="P115" s="32" t="s">
        <v>388</v>
      </c>
      <c r="Q115" s="32" t="s">
        <v>388</v>
      </c>
    </row>
    <row r="116" spans="1:17" s="5" customFormat="1" ht="13.5" hidden="1" customHeight="1" x14ac:dyDescent="0.3">
      <c r="A116" s="27"/>
      <c r="B116" s="33"/>
      <c r="C116" s="27"/>
      <c r="D116" s="27"/>
      <c r="E116" s="27"/>
      <c r="F116" s="28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</row>
    <row r="117" spans="1:17" ht="14.25" customHeight="1" x14ac:dyDescent="0.35"/>
  </sheetData>
  <autoFilter ref="A86:Q86" xr:uid="{64C8BD99-C19C-4BFC-865C-AC29200B3884}">
    <sortState ref="A87:Q101">
      <sortCondition sortBy="cellColor" ref="I86" dxfId="1"/>
    </sortState>
  </autoFilter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832400DB-F2E2-45FB-A40E-740DB00A9106}">
          <x14:formula1>
            <xm:f>'[KCC PO C003636963 TRACKING REPORT.xlsx]Background Info'!#REF!</xm:f>
          </x14:formula1>
          <xm:sqref>I27:I30</xm:sqref>
        </x14:dataValidation>
        <x14:dataValidation type="list" allowBlank="1" showInputMessage="1" showErrorMessage="1" xr:uid="{302316AC-6C5B-43F1-80E2-F0D50B297E91}">
          <x14:formula1>
            <xm:f>'C:\Users\User\Dropbox\CLIENTS REPORTS\_CURRENT REPORTS\IMPORT REPORTS\[MUMI PO C003034886 TRACKING REPORT.xlsx]Background Info'!#REF!</xm:f>
          </x14:formula1>
          <xm:sqref>I68:I69 I78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EDE7-D415-4497-B935-0442CA27E435}">
  <dimension ref="A1:E5"/>
  <sheetViews>
    <sheetView workbookViewId="0">
      <selection activeCell="G27" sqref="G27"/>
    </sheetView>
  </sheetViews>
  <sheetFormatPr defaultRowHeight="14.5" x14ac:dyDescent="0.35"/>
  <cols>
    <col min="2" max="2" width="15.81640625" bestFit="1" customWidth="1"/>
  </cols>
  <sheetData>
    <row r="1" spans="1:5" x14ac:dyDescent="0.35">
      <c r="A1" s="9"/>
      <c r="B1" s="21" t="s">
        <v>380</v>
      </c>
      <c r="C1" s="21" t="s">
        <v>381</v>
      </c>
      <c r="D1" s="21"/>
      <c r="E1" s="21"/>
    </row>
    <row r="2" spans="1:5" x14ac:dyDescent="0.35">
      <c r="A2" s="9">
        <v>1</v>
      </c>
      <c r="B2" s="22" t="s">
        <v>382</v>
      </c>
    </row>
    <row r="3" spans="1:5" x14ac:dyDescent="0.35">
      <c r="A3" s="9">
        <v>2</v>
      </c>
      <c r="B3" s="23" t="s">
        <v>383</v>
      </c>
    </row>
    <row r="4" spans="1:5" x14ac:dyDescent="0.35">
      <c r="A4" s="9">
        <v>3</v>
      </c>
      <c r="B4" s="9" t="s">
        <v>384</v>
      </c>
    </row>
    <row r="5" spans="1:5" x14ac:dyDescent="0.35">
      <c r="A5" s="9">
        <v>4</v>
      </c>
      <c r="B5" s="9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November</vt:lpstr>
      <vt:lpstr>December</vt:lpstr>
      <vt:lpstr>SITES WITHOUT W.B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Sreehari Syamakalla</dc:creator>
  <cp:lastModifiedBy>Sreehari Syamakalla</cp:lastModifiedBy>
  <dcterms:created xsi:type="dcterms:W3CDTF">2026-01-19T13:14:50Z</dcterms:created>
  <dcterms:modified xsi:type="dcterms:W3CDTF">2026-01-22T13:35:52Z</dcterms:modified>
</cp:coreProperties>
</file>