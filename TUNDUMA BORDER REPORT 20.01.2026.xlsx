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k\Downloads\"/>
    </mc:Choice>
  </mc:AlternateContent>
  <xr:revisionPtr revIDLastSave="0" documentId="13_ncr:1_{EC210635-CDFF-4E37-A115-17D76CA6398F}" xr6:coauthVersionLast="47" xr6:coauthVersionMax="47" xr10:uidLastSave="{00000000-0000-0000-0000-000000000000}"/>
  <bookViews>
    <workbookView xWindow="-28920" yWindow="-2955" windowWidth="29040" windowHeight="15720" xr2:uid="{00000000-000D-0000-FFFF-FFFF00000000}"/>
  </bookViews>
  <sheets>
    <sheet name="IMPORT TUNDUMA" sheetId="1" r:id="rId1"/>
    <sheet name="EXPORT TUNDUMA " sheetId="5" r:id="rId2"/>
    <sheet name="Sheet1" sheetId="6" r:id="rId3"/>
    <sheet name="Sheet2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7" i="1"/>
  <c r="B12" i="1"/>
  <c r="B13" i="1"/>
  <c r="B14" i="1"/>
  <c r="B15" i="1"/>
  <c r="B16" i="1"/>
  <c r="B5" i="5" l="1"/>
  <c r="B4" i="1"/>
  <c r="B3" i="1"/>
</calcChain>
</file>

<file path=xl/sharedStrings.xml><?xml version="1.0" encoding="utf-8"?>
<sst xmlns="http://schemas.openxmlformats.org/spreadsheetml/2006/main" count="370" uniqueCount="207">
  <si>
    <t>IMPORT</t>
  </si>
  <si>
    <t>TRUCK</t>
  </si>
  <si>
    <t>LOCATION</t>
  </si>
  <si>
    <t>GOING</t>
  </si>
  <si>
    <t>DAYS</t>
  </si>
  <si>
    <t>TUNDUMA</t>
  </si>
  <si>
    <t>NAKONDE</t>
  </si>
  <si>
    <t>EXPORT</t>
  </si>
  <si>
    <t xml:space="preserve">REMARKS </t>
  </si>
  <si>
    <t>REMARKS</t>
  </si>
  <si>
    <t>S/N</t>
  </si>
  <si>
    <t>T781CRG</t>
  </si>
  <si>
    <t>T613CKK</t>
  </si>
  <si>
    <t>Under Ammendment</t>
  </si>
  <si>
    <t>T298DRF</t>
  </si>
  <si>
    <t>T586DPW</t>
  </si>
  <si>
    <t>T606DPW</t>
  </si>
  <si>
    <t>T638BVP</t>
  </si>
  <si>
    <t>T872CQL</t>
  </si>
  <si>
    <t>T660DQF</t>
  </si>
  <si>
    <t>T629DPW</t>
  </si>
  <si>
    <t>T495DQH</t>
  </si>
  <si>
    <t>T401EFR</t>
  </si>
  <si>
    <t>T445DZH</t>
  </si>
  <si>
    <t>B/Down [ mpemba]</t>
  </si>
  <si>
    <t>20.01.2026</t>
  </si>
  <si>
    <t xml:space="preserve">late  exit </t>
  </si>
  <si>
    <t>T830ENP</t>
  </si>
  <si>
    <t>T149EES</t>
  </si>
  <si>
    <t>T223EES</t>
  </si>
  <si>
    <t>T998DNE</t>
  </si>
  <si>
    <t>T796DRY</t>
  </si>
  <si>
    <t>T650DQF</t>
  </si>
  <si>
    <t>T643DPW</t>
  </si>
  <si>
    <t>T879CQL</t>
  </si>
  <si>
    <t>T318CFY</t>
  </si>
  <si>
    <t>T716DMS</t>
  </si>
  <si>
    <t>T711DMS</t>
  </si>
  <si>
    <t xml:space="preserve">Tanker  Report – 19/1/2026 </t>
  </si>
  <si>
    <t xml:space="preserve"> Going Tankers</t>
  </si>
  <si>
    <t xml:space="preserve"> *(TO KIBAHA / TUNDUMA) - LOCAL TRIPS</t>
  </si>
  <si>
    <t xml:space="preserve">T544DMH  </t>
  </si>
  <si>
    <t>SOKOTA YARD</t>
  </si>
  <si>
    <t xml:space="preserve">T133EES  </t>
  </si>
  <si>
    <t>EDHA YARD</t>
  </si>
  <si>
    <t>T310CLR</t>
  </si>
  <si>
    <t>(LAKE OIL) TANGA - LUBUMBASHI</t>
  </si>
  <si>
    <t>T337EFR</t>
  </si>
  <si>
    <t>SAKANIA ZMB (Clearance)</t>
  </si>
  <si>
    <t>T452EFR</t>
  </si>
  <si>
    <t>T828ENP</t>
  </si>
  <si>
    <t xml:space="preserve">T929EGG  </t>
  </si>
  <si>
    <t>(TO HIBBO LUBUMBASHI  2 -  AGO)</t>
  </si>
  <si>
    <t>T708EHZ</t>
  </si>
  <si>
    <t>WAITING TO OFFLOAD (day 4)</t>
  </si>
  <si>
    <t>T783EPC</t>
  </si>
  <si>
    <t>T789EPC</t>
  </si>
  <si>
    <t>T798EPC</t>
  </si>
  <si>
    <t>T806EPC</t>
  </si>
  <si>
    <t>T856EPC</t>
  </si>
  <si>
    <t>T860EPC</t>
  </si>
  <si>
    <t>T308EES</t>
  </si>
  <si>
    <t>WAITING TO OFFLOAD (day 2)</t>
  </si>
  <si>
    <t>T759EPC</t>
  </si>
  <si>
    <t>T961EGG</t>
  </si>
  <si>
    <t>T160EBA</t>
  </si>
  <si>
    <t>SAKANIA DRC (Clearance day 4)</t>
  </si>
  <si>
    <t>T453EFR</t>
  </si>
  <si>
    <t>T885EPC</t>
  </si>
  <si>
    <t>SERENJE</t>
  </si>
  <si>
    <t>(TO HIBBO LUBUMBASHI  3 -  AGO)</t>
  </si>
  <si>
    <t>T166EBA</t>
  </si>
  <si>
    <t>T168EBA</t>
  </si>
  <si>
    <t xml:space="preserve"> T191DWQ </t>
  </si>
  <si>
    <t>T368EFR</t>
  </si>
  <si>
    <t>T782EPC</t>
  </si>
  <si>
    <t>T807EPC</t>
  </si>
  <si>
    <t>T808EPC</t>
  </si>
  <si>
    <t>T820EPC</t>
  </si>
  <si>
    <t>T159EBA</t>
  </si>
  <si>
    <t>T761EPC</t>
  </si>
  <si>
    <t>T768EPC</t>
  </si>
  <si>
    <t>T835EPC</t>
  </si>
  <si>
    <t>T858EPC</t>
  </si>
  <si>
    <t>T889EPC</t>
  </si>
  <si>
    <t>T164EBA</t>
  </si>
  <si>
    <t>T365EFR</t>
  </si>
  <si>
    <t>T847EPC</t>
  </si>
  <si>
    <t>T876EPC</t>
  </si>
  <si>
    <t>T765EPC</t>
  </si>
  <si>
    <t>SAKANIA ZMB (Clearance day)</t>
  </si>
  <si>
    <t>T894EPC</t>
  </si>
  <si>
    <t>LAKE OIL DEPOT (Loaded waiting for realese day 3)</t>
  </si>
  <si>
    <t>T931EGG</t>
  </si>
  <si>
    <t>LAKE OIL DEPOT (Waiting to load day 2)</t>
  </si>
  <si>
    <t>(TO HIBBO LUBUMBASHI  4 -  AGO)</t>
  </si>
  <si>
    <t>T255DWQ</t>
  </si>
  <si>
    <t>T648EHZ</t>
  </si>
  <si>
    <t>T785EPC</t>
  </si>
  <si>
    <t>T877EPC</t>
  </si>
  <si>
    <t>T760EPC</t>
  </si>
  <si>
    <t>T162EBA</t>
  </si>
  <si>
    <t>T781EPC</t>
  </si>
  <si>
    <t>SAKANIA ZMB (Clearance day 2)</t>
  </si>
  <si>
    <t>T374EFR</t>
  </si>
  <si>
    <t>MBALA</t>
  </si>
  <si>
    <t>T188DWQ</t>
  </si>
  <si>
    <t>NDOLA</t>
  </si>
  <si>
    <t>T801EPC</t>
  </si>
  <si>
    <t>T253DWQ</t>
  </si>
  <si>
    <t>CHIMUTANDA</t>
  </si>
  <si>
    <t>T879EPC</t>
  </si>
  <si>
    <t>MPIKA</t>
  </si>
  <si>
    <t>T795EPC</t>
  </si>
  <si>
    <t>KAPIRI</t>
  </si>
  <si>
    <t>(TO HIBBO LUBUMBASHI  5 -  AGO)</t>
  </si>
  <si>
    <t>T241DWQ</t>
  </si>
  <si>
    <t>T355EFR</t>
  </si>
  <si>
    <t>T643EHZ</t>
  </si>
  <si>
    <t>T763EPC</t>
  </si>
  <si>
    <t>T907EPC</t>
  </si>
  <si>
    <t>T184DWQ</t>
  </si>
  <si>
    <t>T548EHZ</t>
  </si>
  <si>
    <t>KIBAHA</t>
  </si>
  <si>
    <t>T767EPC</t>
  </si>
  <si>
    <t>T802EPC</t>
  </si>
  <si>
    <t>T840EPC</t>
  </si>
  <si>
    <t>T900EPC</t>
  </si>
  <si>
    <t>(ROYAL ENERGIES) LUBUMBASHI -AGO</t>
  </si>
  <si>
    <t>T256DWQ</t>
  </si>
  <si>
    <t>KIGAMBONI</t>
  </si>
  <si>
    <t>T936EGG</t>
  </si>
  <si>
    <t>T964EGG</t>
  </si>
  <si>
    <t>T161EBA</t>
  </si>
  <si>
    <t>T377EFR</t>
  </si>
  <si>
    <t>T797EPC</t>
  </si>
  <si>
    <t>T843EPC</t>
  </si>
  <si>
    <t>T850EPC</t>
  </si>
  <si>
    <t>T962EGG</t>
  </si>
  <si>
    <t>T182DWQ</t>
  </si>
  <si>
    <t xml:space="preserve"> T234DWQ </t>
  </si>
  <si>
    <t>T812EPC</t>
  </si>
  <si>
    <t>T839EPC</t>
  </si>
  <si>
    <t>WORLD OIL DEPOT (Loaded waiting release day 5)</t>
  </si>
  <si>
    <t>T866EPC</t>
  </si>
  <si>
    <t>WORLD OIL DEPOT (Loaded waiting release day 4)</t>
  </si>
  <si>
    <t>T380EFR</t>
  </si>
  <si>
    <t>TUNDUMA(Clearance)</t>
  </si>
  <si>
    <t>T897EPC</t>
  </si>
  <si>
    <t>T574EHZ</t>
  </si>
  <si>
    <t>IGAWA</t>
  </si>
  <si>
    <t>T803EPC</t>
  </si>
  <si>
    <t>UYOLE</t>
  </si>
  <si>
    <t>T822EPC</t>
  </si>
  <si>
    <t>IRINGA</t>
  </si>
  <si>
    <t>T223EPE</t>
  </si>
  <si>
    <t>RUAHA</t>
  </si>
  <si>
    <t>T647EHZ</t>
  </si>
  <si>
    <t>T762EPC</t>
  </si>
  <si>
    <t>NYORORO</t>
  </si>
  <si>
    <t>T791EPC</t>
  </si>
  <si>
    <t>IGURUSI</t>
  </si>
  <si>
    <t>T799EPC</t>
  </si>
  <si>
    <t>T852EPC</t>
  </si>
  <si>
    <t>T170EJA</t>
  </si>
  <si>
    <t xml:space="preserve"> RETURN TANKERS WITH NO ALLOCATION </t>
  </si>
  <si>
    <t>T839EHZ</t>
  </si>
  <si>
    <t>SOKOTA YARD (Day 11) NO DRIVER</t>
  </si>
  <si>
    <t>T357EFR</t>
  </si>
  <si>
    <t>EDHA YARD  (Day 17) NO DRIVER</t>
  </si>
  <si>
    <t>T172EBA</t>
  </si>
  <si>
    <t>EDHA YARD  (Day 6)</t>
  </si>
  <si>
    <t>T171EJA</t>
  </si>
  <si>
    <t>EDHA YARD  (Day 6) ACCIDENT</t>
  </si>
  <si>
    <t>T328EJA</t>
  </si>
  <si>
    <t>EDHA YARD  (Day 6) NO DRIVER</t>
  </si>
  <si>
    <t>T339EFR</t>
  </si>
  <si>
    <t>EDHA YARD  (Day 6) SHORT</t>
  </si>
  <si>
    <t>T165EBA</t>
  </si>
  <si>
    <t>EDHA YARD  (Day 8) NO DRIVER</t>
  </si>
  <si>
    <t>T174EBA</t>
  </si>
  <si>
    <t>EDHA YARD  (Day 3 NO DRIVER</t>
  </si>
  <si>
    <t>T307EES</t>
  </si>
  <si>
    <t>KASUMBALESA</t>
  </si>
  <si>
    <t>T871EPC</t>
  </si>
  <si>
    <t>KAZIWE</t>
  </si>
  <si>
    <t>T232EES</t>
  </si>
  <si>
    <t>EKWENDENI</t>
  </si>
  <si>
    <t xml:space="preserve">Tanker  Report – 20/1/2026 </t>
  </si>
  <si>
    <t>SAKANIA ZMB</t>
  </si>
  <si>
    <t xml:space="preserve">SAKANIA DRC </t>
  </si>
  <si>
    <t>SN</t>
  </si>
  <si>
    <t>(TO HIBBO LUBUMBASHI   -  AGO)</t>
  </si>
  <si>
    <t>ROYAL</t>
  </si>
  <si>
    <t>CLIENT</t>
  </si>
  <si>
    <t>DURATION</t>
  </si>
  <si>
    <t>MTANDIKA</t>
  </si>
  <si>
    <t>MAKAMBAKO</t>
  </si>
  <si>
    <t>ILULA</t>
  </si>
  <si>
    <t>MBALAMAZIWA</t>
  </si>
  <si>
    <t>MISITU</t>
  </si>
  <si>
    <t>MLOWO</t>
  </si>
  <si>
    <t>B/DOWN AND MINOR REPAIRS</t>
  </si>
  <si>
    <t>WENR FOR FUNERAL</t>
  </si>
  <si>
    <t xml:space="preserve">DRIVING LISENCE RENEW </t>
  </si>
  <si>
    <t>ARRANGING FOR NIGHT CROSSING</t>
  </si>
  <si>
    <t>AWAITING FOR ZAMBIAN DOCUMENT (under assesment)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</si>
</sst>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4A597A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FA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/>
    <xf numFmtId="0" fontId="0" fillId="5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5" borderId="5" xfId="0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right"/>
    </xf>
    <xf numFmtId="0" fontId="1" fillId="4" borderId="4" xfId="0" applyFont="1" applyFill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2" fontId="0" fillId="4" borderId="1" xfId="0" applyNumberFormat="1" applyFill="1" applyBorder="1" applyAlignment="1">
      <alignment horizontal="center" vertical="center" wrapText="1"/>
    </xf>
    <xf numFmtId="0" fontId="0" fillId="4" borderId="0" xfId="0" applyFill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6" fillId="0" borderId="0" xfId="1" applyFont="1" applyFill="1" applyBorder="1" applyAlignment="1">
      <alignment horizontal="left" vertical="center"/>
    </xf>
    <xf numFmtId="0" fontId="0" fillId="2" borderId="1" xfId="0" applyFill="1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Comma 3" xfId="1" xr:uid="{A2037F34-06F4-4A01-B6BD-44484803E1F5}"/>
    <cellStyle name="Normal" xfId="0" builtinId="0"/>
  </cellStyles>
  <dxfs count="2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"/>
  <sheetViews>
    <sheetView tabSelected="1" zoomScale="85" zoomScaleNormal="85" workbookViewId="0">
      <selection activeCell="G27" sqref="G27"/>
    </sheetView>
  </sheetViews>
  <sheetFormatPr defaultRowHeight="15" x14ac:dyDescent="0.25"/>
  <cols>
    <col min="2" max="2" width="3.140625" customWidth="1"/>
    <col min="3" max="3" width="11.7109375" customWidth="1"/>
    <col min="4" max="4" width="16" customWidth="1"/>
    <col min="5" max="5" width="10.140625" customWidth="1"/>
    <col min="6" max="6" width="9.85546875" customWidth="1"/>
    <col min="7" max="7" width="53.28515625" bestFit="1" customWidth="1"/>
    <col min="9" max="9" width="12.28515625" customWidth="1"/>
    <col min="10" max="10" width="9.140625" customWidth="1"/>
    <col min="12" max="12" width="14.140625" customWidth="1"/>
    <col min="13" max="13" width="10.28515625" customWidth="1"/>
  </cols>
  <sheetData>
    <row r="1" spans="2:7" ht="21" x14ac:dyDescent="0.35">
      <c r="C1" s="7" t="s">
        <v>0</v>
      </c>
      <c r="D1" s="8" t="s">
        <v>25</v>
      </c>
      <c r="E1" s="2"/>
      <c r="F1" s="2"/>
    </row>
    <row r="2" spans="2:7" x14ac:dyDescent="0.25">
      <c r="B2" s="12"/>
      <c r="C2" s="2" t="s">
        <v>1</v>
      </c>
      <c r="D2" s="2" t="s">
        <v>2</v>
      </c>
      <c r="E2" s="2" t="s">
        <v>3</v>
      </c>
      <c r="F2" s="2" t="s">
        <v>4</v>
      </c>
      <c r="G2" s="10" t="s">
        <v>8</v>
      </c>
    </row>
    <row r="3" spans="2:7" x14ac:dyDescent="0.25">
      <c r="B3">
        <f>ROW()-2</f>
        <v>1</v>
      </c>
      <c r="C3" s="6" t="s">
        <v>11</v>
      </c>
      <c r="D3" s="4" t="s">
        <v>5</v>
      </c>
      <c r="E3" s="5" t="s">
        <v>0</v>
      </c>
      <c r="F3" s="20">
        <v>18</v>
      </c>
      <c r="G3" s="6" t="s">
        <v>202</v>
      </c>
    </row>
    <row r="4" spans="2:7" x14ac:dyDescent="0.25">
      <c r="B4">
        <f t="shared" ref="B4:B17" si="0">ROW()-2</f>
        <v>2</v>
      </c>
      <c r="C4" s="3" t="s">
        <v>15</v>
      </c>
      <c r="D4" s="29" t="s">
        <v>5</v>
      </c>
      <c r="E4" s="9" t="s">
        <v>0</v>
      </c>
      <c r="F4" s="20">
        <v>12</v>
      </c>
      <c r="G4" s="14" t="s">
        <v>204</v>
      </c>
    </row>
    <row r="5" spans="2:7" ht="15" customHeight="1" x14ac:dyDescent="0.25">
      <c r="B5">
        <f t="shared" si="0"/>
        <v>3</v>
      </c>
      <c r="C5" s="6" t="s">
        <v>14</v>
      </c>
      <c r="D5" s="4" t="s">
        <v>5</v>
      </c>
      <c r="E5" s="5" t="s">
        <v>0</v>
      </c>
      <c r="F5" s="20">
        <v>11</v>
      </c>
      <c r="G5" s="6" t="s">
        <v>203</v>
      </c>
    </row>
    <row r="6" spans="2:7" x14ac:dyDescent="0.25">
      <c r="B6">
        <f t="shared" si="0"/>
        <v>4</v>
      </c>
      <c r="C6" s="6" t="s">
        <v>18</v>
      </c>
      <c r="D6" s="4" t="s">
        <v>5</v>
      </c>
      <c r="E6" s="5" t="s">
        <v>0</v>
      </c>
      <c r="F6" s="20">
        <v>6</v>
      </c>
      <c r="G6" s="39" t="s">
        <v>202</v>
      </c>
    </row>
    <row r="7" spans="2:7" x14ac:dyDescent="0.25">
      <c r="B7">
        <f t="shared" si="0"/>
        <v>5</v>
      </c>
      <c r="C7" s="6" t="s">
        <v>32</v>
      </c>
      <c r="D7" s="4" t="s">
        <v>5</v>
      </c>
      <c r="E7" s="5" t="s">
        <v>0</v>
      </c>
      <c r="F7" s="3">
        <v>1</v>
      </c>
      <c r="G7" s="41"/>
    </row>
    <row r="8" spans="2:7" x14ac:dyDescent="0.25">
      <c r="B8">
        <f t="shared" si="0"/>
        <v>6</v>
      </c>
      <c r="C8" s="6" t="s">
        <v>27</v>
      </c>
      <c r="D8" s="4" t="s">
        <v>5</v>
      </c>
      <c r="E8" s="5" t="s">
        <v>0</v>
      </c>
      <c r="F8" s="3">
        <v>1</v>
      </c>
      <c r="G8" s="39" t="s">
        <v>205</v>
      </c>
    </row>
    <row r="9" spans="2:7" x14ac:dyDescent="0.25">
      <c r="B9">
        <f t="shared" si="0"/>
        <v>7</v>
      </c>
      <c r="C9" s="6" t="s">
        <v>28</v>
      </c>
      <c r="D9" s="4" t="s">
        <v>5</v>
      </c>
      <c r="E9" s="5" t="s">
        <v>0</v>
      </c>
      <c r="F9" s="3">
        <v>1</v>
      </c>
      <c r="G9" s="40"/>
    </row>
    <row r="10" spans="2:7" x14ac:dyDescent="0.25">
      <c r="B10">
        <f t="shared" si="0"/>
        <v>8</v>
      </c>
      <c r="C10" s="6" t="s">
        <v>29</v>
      </c>
      <c r="D10" s="4" t="s">
        <v>5</v>
      </c>
      <c r="E10" s="5" t="s">
        <v>0</v>
      </c>
      <c r="F10" s="3">
        <v>1</v>
      </c>
      <c r="G10" s="40"/>
    </row>
    <row r="11" spans="2:7" x14ac:dyDescent="0.25">
      <c r="B11">
        <f t="shared" si="0"/>
        <v>9</v>
      </c>
      <c r="C11" s="6" t="s">
        <v>30</v>
      </c>
      <c r="D11" s="4" t="s">
        <v>5</v>
      </c>
      <c r="E11" s="5" t="s">
        <v>0</v>
      </c>
      <c r="F11" s="3">
        <v>1</v>
      </c>
      <c r="G11" s="40"/>
    </row>
    <row r="12" spans="2:7" x14ac:dyDescent="0.25">
      <c r="B12">
        <f t="shared" si="0"/>
        <v>10</v>
      </c>
      <c r="C12" s="6" t="s">
        <v>33</v>
      </c>
      <c r="D12" s="4" t="s">
        <v>5</v>
      </c>
      <c r="E12" s="5" t="s">
        <v>0</v>
      </c>
      <c r="F12" s="3">
        <v>1</v>
      </c>
      <c r="G12" s="40"/>
    </row>
    <row r="13" spans="2:7" x14ac:dyDescent="0.25">
      <c r="B13">
        <f t="shared" si="0"/>
        <v>11</v>
      </c>
      <c r="C13" s="6" t="s">
        <v>34</v>
      </c>
      <c r="D13" s="4" t="s">
        <v>5</v>
      </c>
      <c r="E13" s="5" t="s">
        <v>0</v>
      </c>
      <c r="F13" s="3">
        <v>1</v>
      </c>
      <c r="G13" s="40"/>
    </row>
    <row r="14" spans="2:7" x14ac:dyDescent="0.25">
      <c r="B14">
        <f t="shared" si="0"/>
        <v>12</v>
      </c>
      <c r="C14" s="6" t="s">
        <v>35</v>
      </c>
      <c r="D14" s="4" t="s">
        <v>5</v>
      </c>
      <c r="E14" s="5" t="s">
        <v>0</v>
      </c>
      <c r="F14" s="3">
        <v>1</v>
      </c>
      <c r="G14" s="40"/>
    </row>
    <row r="15" spans="2:7" x14ac:dyDescent="0.25">
      <c r="B15">
        <f t="shared" si="0"/>
        <v>13</v>
      </c>
      <c r="C15" s="6" t="s">
        <v>36</v>
      </c>
      <c r="D15" s="4" t="s">
        <v>5</v>
      </c>
      <c r="E15" s="5" t="s">
        <v>0</v>
      </c>
      <c r="F15" s="3">
        <v>1</v>
      </c>
      <c r="G15" s="40"/>
    </row>
    <row r="16" spans="2:7" x14ac:dyDescent="0.25">
      <c r="B16">
        <f t="shared" si="0"/>
        <v>14</v>
      </c>
      <c r="C16" s="6" t="s">
        <v>37</v>
      </c>
      <c r="D16" s="4" t="s">
        <v>5</v>
      </c>
      <c r="E16" s="5" t="s">
        <v>0</v>
      </c>
      <c r="F16" s="3">
        <v>1</v>
      </c>
      <c r="G16" s="41"/>
    </row>
    <row r="17" spans="2:7" x14ac:dyDescent="0.25">
      <c r="B17">
        <f t="shared" si="0"/>
        <v>15</v>
      </c>
      <c r="C17" s="20" t="s">
        <v>31</v>
      </c>
      <c r="D17" s="4" t="s">
        <v>5</v>
      </c>
      <c r="E17" s="5" t="s">
        <v>0</v>
      </c>
      <c r="F17" s="3">
        <v>1</v>
      </c>
      <c r="G17" s="26" t="s">
        <v>206</v>
      </c>
    </row>
    <row r="18" spans="2:7" ht="15" customHeight="1" x14ac:dyDescent="0.25">
      <c r="C18" s="16"/>
      <c r="D18" s="16"/>
      <c r="E18" s="16"/>
      <c r="F18" s="16"/>
      <c r="G18" s="17" t="s">
        <v>9</v>
      </c>
    </row>
    <row r="19" spans="2:7" ht="15" customHeight="1" x14ac:dyDescent="0.25">
      <c r="C19" s="25"/>
    </row>
    <row r="20" spans="2:7" ht="15" customHeight="1" x14ac:dyDescent="0.25">
      <c r="C20" s="25"/>
    </row>
    <row r="21" spans="2:7" ht="15" customHeight="1" x14ac:dyDescent="0.25"/>
    <row r="22" spans="2:7" ht="15" customHeight="1" x14ac:dyDescent="0.25"/>
    <row r="23" spans="2:7" ht="15" customHeight="1" x14ac:dyDescent="0.25">
      <c r="C23" s="6" t="s">
        <v>16</v>
      </c>
    </row>
    <row r="24" spans="2:7" ht="15" customHeight="1" x14ac:dyDescent="0.25">
      <c r="C24" s="6" t="s">
        <v>17</v>
      </c>
    </row>
    <row r="25" spans="2:7" ht="15" customHeight="1" x14ac:dyDescent="0.25"/>
  </sheetData>
  <mergeCells count="2">
    <mergeCell ref="G8:G16"/>
    <mergeCell ref="G6:G7"/>
  </mergeCells>
  <conditionalFormatting sqref="C2">
    <cfRule type="duplicateValues" dxfId="212" priority="25150"/>
    <cfRule type="duplicateValues" dxfId="211" priority="71643"/>
    <cfRule type="duplicateValues" dxfId="210" priority="105906"/>
  </conditionalFormatting>
  <conditionalFormatting sqref="C3">
    <cfRule type="duplicateValues" dxfId="209" priority="113012"/>
    <cfRule type="duplicateValues" dxfId="208" priority="113013"/>
    <cfRule type="duplicateValues" dxfId="207" priority="113014"/>
  </conditionalFormatting>
  <conditionalFormatting sqref="C3:C4">
    <cfRule type="duplicateValues" dxfId="206" priority="113015"/>
  </conditionalFormatting>
  <conditionalFormatting sqref="C3:C5">
    <cfRule type="duplicateValues" dxfId="205" priority="114538"/>
    <cfRule type="duplicateValues" dxfId="204" priority="114539"/>
    <cfRule type="duplicateValues" dxfId="203" priority="114540"/>
    <cfRule type="duplicateValues" dxfId="202" priority="114541"/>
    <cfRule type="duplicateValues" dxfId="201" priority="114542"/>
  </conditionalFormatting>
  <conditionalFormatting sqref="C18 C3">
    <cfRule type="duplicateValues" dxfId="200" priority="111782"/>
  </conditionalFormatting>
  <conditionalFormatting sqref="C18 C3:C4">
    <cfRule type="duplicateValues" dxfId="199" priority="112999"/>
  </conditionalFormatting>
  <conditionalFormatting sqref="C18 C3:C5">
    <cfRule type="duplicateValues" dxfId="198" priority="114543"/>
    <cfRule type="duplicateValues" dxfId="197" priority="114544"/>
    <cfRule type="duplicateValues" dxfId="196" priority="114545"/>
  </conditionalFormatting>
  <conditionalFormatting sqref="C18">
    <cfRule type="duplicateValues" dxfId="195" priority="104"/>
    <cfRule type="duplicateValues" dxfId="194" priority="105"/>
    <cfRule type="duplicateValues" dxfId="193" priority="106"/>
    <cfRule type="duplicateValues" dxfId="192" priority="107"/>
    <cfRule type="duplicateValues" dxfId="191" priority="108"/>
    <cfRule type="duplicateValues" dxfId="190" priority="109"/>
    <cfRule type="duplicateValues" dxfId="189" priority="110"/>
    <cfRule type="duplicateValues" dxfId="188" priority="111"/>
    <cfRule type="duplicateValues" dxfId="187" priority="112"/>
    <cfRule type="duplicateValues" dxfId="186" priority="113"/>
    <cfRule type="duplicateValues" dxfId="185" priority="114"/>
    <cfRule type="duplicateValues" dxfId="184" priority="115"/>
    <cfRule type="duplicateValues" dxfId="183" priority="116"/>
    <cfRule type="duplicateValues" dxfId="182" priority="117"/>
    <cfRule type="duplicateValues" dxfId="181" priority="118"/>
    <cfRule type="duplicateValues" dxfId="180" priority="119"/>
    <cfRule type="duplicateValues" dxfId="179" priority="120"/>
    <cfRule type="duplicateValues" dxfId="178" priority="121"/>
    <cfRule type="duplicateValues" dxfId="177" priority="122"/>
    <cfRule type="duplicateValues" dxfId="176" priority="123"/>
    <cfRule type="duplicateValues" dxfId="175" priority="124"/>
    <cfRule type="duplicateValues" dxfId="174" priority="125"/>
    <cfRule type="duplicateValues" dxfId="173" priority="126"/>
    <cfRule type="duplicateValues" dxfId="172" priority="127"/>
    <cfRule type="duplicateValues" dxfId="171" priority="128"/>
    <cfRule type="duplicateValues" dxfId="170" priority="129"/>
    <cfRule type="duplicateValues" dxfId="169" priority="130"/>
    <cfRule type="duplicateValues" dxfId="168" priority="131"/>
    <cfRule type="duplicateValues" dxfId="167" priority="132"/>
    <cfRule type="duplicateValues" dxfId="166" priority="133"/>
    <cfRule type="duplicateValues" dxfId="165" priority="134"/>
    <cfRule type="duplicateValues" dxfId="164" priority="135"/>
    <cfRule type="duplicateValues" dxfId="163" priority="136"/>
    <cfRule type="duplicateValues" dxfId="162" priority="137"/>
    <cfRule type="duplicateValues" dxfId="161" priority="138"/>
    <cfRule type="duplicateValues" dxfId="160" priority="139"/>
    <cfRule type="duplicateValues" dxfId="159" priority="140"/>
    <cfRule type="duplicateValues" dxfId="158" priority="141"/>
    <cfRule type="duplicateValues" dxfId="157" priority="142"/>
    <cfRule type="duplicateValues" dxfId="156" priority="143"/>
    <cfRule type="duplicateValues" dxfId="155" priority="144"/>
    <cfRule type="duplicateValues" dxfId="154" priority="145"/>
    <cfRule type="duplicateValues" dxfId="153" priority="146"/>
    <cfRule type="duplicateValues" dxfId="152" priority="147"/>
    <cfRule type="duplicateValues" dxfId="151" priority="148"/>
    <cfRule type="duplicateValues" dxfId="150" priority="149"/>
    <cfRule type="duplicateValues" dxfId="149" priority="150"/>
    <cfRule type="duplicateValues" dxfId="148" priority="151"/>
    <cfRule type="duplicateValues" dxfId="147" priority="152"/>
    <cfRule type="duplicateValues" dxfId="146" priority="153"/>
    <cfRule type="duplicateValues" dxfId="145" priority="154"/>
    <cfRule type="duplicateValues" dxfId="144" priority="155"/>
    <cfRule type="duplicateValues" dxfId="143" priority="81661"/>
    <cfRule type="duplicateValues" dxfId="142" priority="86665"/>
    <cfRule type="duplicateValues" dxfId="141" priority="86666"/>
    <cfRule type="duplicateValues" dxfId="140" priority="86667"/>
    <cfRule type="duplicateValues" dxfId="139" priority="86668"/>
    <cfRule type="duplicateValues" dxfId="138" priority="105908"/>
    <cfRule type="duplicateValues" dxfId="137" priority="105909"/>
    <cfRule type="duplicateValues" dxfId="136" priority="105910"/>
    <cfRule type="duplicateValues" dxfId="135" priority="105911"/>
    <cfRule type="duplicateValues" dxfId="134" priority="105912"/>
    <cfRule type="duplicateValues" dxfId="133" priority="105913"/>
  </conditionalFormatting>
  <conditionalFormatting sqref="C23:C24 C3:C17">
    <cfRule type="duplicateValues" dxfId="132" priority="113676"/>
    <cfRule type="duplicateValues" dxfId="131" priority="114549"/>
    <cfRule type="duplicateValues" dxfId="130" priority="114550"/>
    <cfRule type="duplicateValues" dxfId="129" priority="114551"/>
    <cfRule type="duplicateValues" dxfId="128" priority="114552"/>
  </conditionalFormatting>
  <conditionalFormatting sqref="C18">
    <cfRule type="duplicateValues" dxfId="127" priority="115166"/>
  </conditionalFormatting>
  <conditionalFormatting sqref="C22">
    <cfRule type="duplicateValues" dxfId="126" priority="115176"/>
  </conditionalFormatting>
  <conditionalFormatting sqref="C25:C1048576 C22 C1:C5 C18">
    <cfRule type="duplicateValues" dxfId="125" priority="115178"/>
  </conditionalFormatting>
  <conditionalFormatting sqref="C25:C1048576 C22 C5 C1:C3">
    <cfRule type="duplicateValues" dxfId="124" priority="115181"/>
    <cfRule type="duplicateValues" dxfId="123" priority="115182"/>
    <cfRule type="duplicateValues" dxfId="122" priority="115183"/>
    <cfRule type="duplicateValues" dxfId="121" priority="115184"/>
  </conditionalFormatting>
  <conditionalFormatting sqref="C25:C1048576 C22 C5 C3">
    <cfRule type="duplicateValues" dxfId="120" priority="115193"/>
    <cfRule type="duplicateValues" dxfId="119" priority="115194"/>
    <cfRule type="duplicateValues" dxfId="118" priority="115195"/>
    <cfRule type="duplicateValues" dxfId="117" priority="115196"/>
  </conditionalFormatting>
  <conditionalFormatting sqref="C25:C1048576 C22 C5 C18 C1:C3">
    <cfRule type="duplicateValues" dxfId="116" priority="115205"/>
    <cfRule type="duplicateValues" dxfId="115" priority="115206"/>
    <cfRule type="duplicateValues" dxfId="114" priority="115207"/>
    <cfRule type="duplicateValues" dxfId="113" priority="115208"/>
    <cfRule type="duplicateValues" dxfId="112" priority="115209"/>
    <cfRule type="duplicateValues" dxfId="111" priority="115210"/>
    <cfRule type="duplicateValues" dxfId="110" priority="115211"/>
    <cfRule type="duplicateValues" dxfId="109" priority="115212"/>
    <cfRule type="duplicateValues" dxfId="108" priority="115213"/>
    <cfRule type="duplicateValues" dxfId="107" priority="115214"/>
    <cfRule type="duplicateValues" dxfId="106" priority="115215"/>
    <cfRule type="duplicateValues" dxfId="105" priority="115216"/>
    <cfRule type="duplicateValues" dxfId="104" priority="115217"/>
  </conditionalFormatting>
  <conditionalFormatting sqref="C2:C17">
    <cfRule type="duplicateValues" dxfId="103" priority="115540"/>
  </conditionalFormatting>
  <conditionalFormatting sqref="C3:C20 C23:C24">
    <cfRule type="duplicateValues" dxfId="102" priority="115548"/>
  </conditionalFormatting>
  <conditionalFormatting sqref="C3:C17">
    <cfRule type="duplicateValues" dxfId="101" priority="115550"/>
    <cfRule type="duplicateValues" dxfId="100" priority="115551"/>
  </conditionalFormatting>
  <conditionalFormatting sqref="C23:C24 C18">
    <cfRule type="duplicateValues" dxfId="99" priority="115552"/>
  </conditionalFormatting>
  <conditionalFormatting sqref="C23:C24 C3:C18">
    <cfRule type="duplicateValues" dxfId="98" priority="115661"/>
  </conditionalFormatting>
  <conditionalFormatting sqref="C23:C24 C3:C18">
    <cfRule type="duplicateValues" dxfId="97" priority="115663"/>
    <cfRule type="duplicateValues" dxfId="96" priority="11566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0"/>
  <sheetViews>
    <sheetView zoomScale="85" zoomScaleNormal="85" workbookViewId="0">
      <selection activeCell="C10" sqref="C10"/>
    </sheetView>
  </sheetViews>
  <sheetFormatPr defaultRowHeight="15" x14ac:dyDescent="0.25"/>
  <cols>
    <col min="2" max="2" width="4.7109375" style="1" customWidth="1"/>
    <col min="3" max="3" width="14" customWidth="1"/>
    <col min="4" max="4" width="16.28515625" customWidth="1"/>
    <col min="5" max="5" width="13.28515625" customWidth="1"/>
    <col min="7" max="7" width="27.140625" customWidth="1"/>
    <col min="8" max="8" width="10.85546875" customWidth="1"/>
  </cols>
  <sheetData>
    <row r="2" spans="2:15" ht="18.75" customHeight="1" x14ac:dyDescent="0.35">
      <c r="B2" s="27" t="s">
        <v>7</v>
      </c>
      <c r="C2" s="28"/>
      <c r="D2" s="8" t="s">
        <v>25</v>
      </c>
      <c r="E2" s="2"/>
      <c r="F2" s="2"/>
    </row>
    <row r="3" spans="2:15" ht="15" customHeight="1" x14ac:dyDescent="0.25">
      <c r="B3" s="11" t="s">
        <v>10</v>
      </c>
      <c r="C3" s="11" t="s">
        <v>1</v>
      </c>
      <c r="D3" s="11" t="s">
        <v>2</v>
      </c>
      <c r="E3" s="11" t="s">
        <v>3</v>
      </c>
      <c r="F3" s="11" t="s">
        <v>4</v>
      </c>
      <c r="G3" s="21" t="s">
        <v>9</v>
      </c>
    </row>
    <row r="4" spans="2:15" ht="15" customHeight="1" x14ac:dyDescent="0.25">
      <c r="B4" s="24">
        <v>1</v>
      </c>
      <c r="C4" s="6" t="s">
        <v>20</v>
      </c>
      <c r="D4" s="4" t="s">
        <v>5</v>
      </c>
      <c r="E4" s="9" t="s">
        <v>7</v>
      </c>
      <c r="F4" s="3">
        <v>4</v>
      </c>
      <c r="G4" s="12" t="s">
        <v>24</v>
      </c>
    </row>
    <row r="5" spans="2:15" ht="15" customHeight="1" x14ac:dyDescent="0.25">
      <c r="B5" s="15">
        <f>ROW()-3</f>
        <v>2</v>
      </c>
      <c r="C5" s="6" t="s">
        <v>19</v>
      </c>
      <c r="D5" s="4" t="s">
        <v>5</v>
      </c>
      <c r="E5" s="9" t="s">
        <v>7</v>
      </c>
      <c r="F5" s="3">
        <v>2</v>
      </c>
      <c r="G5" s="12"/>
    </row>
    <row r="6" spans="2:15" ht="15" customHeight="1" x14ac:dyDescent="0.25">
      <c r="B6" s="23">
        <v>2</v>
      </c>
      <c r="C6" s="6" t="s">
        <v>22</v>
      </c>
      <c r="D6" s="4" t="s">
        <v>5</v>
      </c>
      <c r="E6" s="9" t="s">
        <v>7</v>
      </c>
      <c r="F6" s="3">
        <v>1</v>
      </c>
      <c r="G6" s="12"/>
    </row>
    <row r="7" spans="2:15" ht="15" customHeight="1" x14ac:dyDescent="0.25">
      <c r="B7" s="23">
        <v>3</v>
      </c>
      <c r="C7" s="6" t="s">
        <v>23</v>
      </c>
      <c r="D7" s="4" t="s">
        <v>5</v>
      </c>
      <c r="E7" s="9" t="s">
        <v>7</v>
      </c>
      <c r="F7" s="3">
        <v>1</v>
      </c>
      <c r="G7" s="12"/>
    </row>
    <row r="8" spans="2:15" ht="14.45" customHeight="1" thickBot="1" x14ac:dyDescent="0.3">
      <c r="B8" s="13"/>
      <c r="C8" s="13"/>
      <c r="D8" s="13"/>
      <c r="E8" s="13"/>
      <c r="F8" s="13"/>
      <c r="G8" s="21" t="s">
        <v>9</v>
      </c>
      <c r="O8" s="18"/>
    </row>
    <row r="9" spans="2:15" ht="14.45" customHeight="1" thickBot="1" x14ac:dyDescent="0.3">
      <c r="B9" s="15">
        <v>1</v>
      </c>
      <c r="C9" s="6" t="s">
        <v>12</v>
      </c>
      <c r="D9" s="4" t="s">
        <v>6</v>
      </c>
      <c r="E9" s="9" t="s">
        <v>7</v>
      </c>
      <c r="F9" s="20">
        <v>14</v>
      </c>
      <c r="G9" s="12" t="s">
        <v>13</v>
      </c>
      <c r="O9" s="18"/>
    </row>
    <row r="10" spans="2:15" ht="14.45" customHeight="1" thickBot="1" x14ac:dyDescent="0.3">
      <c r="B10" s="15">
        <v>2</v>
      </c>
      <c r="C10" s="6" t="s">
        <v>21</v>
      </c>
      <c r="D10" s="4" t="s">
        <v>6</v>
      </c>
      <c r="E10" s="9" t="s">
        <v>7</v>
      </c>
      <c r="F10" s="20">
        <v>3</v>
      </c>
      <c r="G10" s="22" t="s">
        <v>26</v>
      </c>
      <c r="O10" s="19"/>
    </row>
  </sheetData>
  <mergeCells count="1">
    <mergeCell ref="B2:C2"/>
  </mergeCells>
  <conditionalFormatting sqref="B8">
    <cfRule type="duplicateValues" dxfId="95" priority="234"/>
    <cfRule type="duplicateValues" dxfId="94" priority="235"/>
    <cfRule type="duplicateValues" dxfId="93" priority="236"/>
    <cfRule type="duplicateValues" dxfId="92" priority="237"/>
    <cfRule type="duplicateValues" dxfId="91" priority="238"/>
    <cfRule type="duplicateValues" dxfId="90" priority="239"/>
    <cfRule type="duplicateValues" dxfId="89" priority="240"/>
    <cfRule type="duplicateValues" dxfId="88" priority="241"/>
    <cfRule type="duplicateValues" dxfId="87" priority="242"/>
    <cfRule type="duplicateValues" dxfId="86" priority="243"/>
    <cfRule type="duplicateValues" dxfId="85" priority="244"/>
    <cfRule type="duplicateValues" dxfId="84" priority="245"/>
    <cfRule type="duplicateValues" dxfId="83" priority="246"/>
    <cfRule type="duplicateValues" dxfId="82" priority="247"/>
    <cfRule type="duplicateValues" dxfId="81" priority="248"/>
    <cfRule type="duplicateValues" dxfId="80" priority="249"/>
    <cfRule type="duplicateValues" dxfId="79" priority="250"/>
    <cfRule type="duplicateValues" dxfId="78" priority="251"/>
    <cfRule type="duplicateValues" dxfId="77" priority="253"/>
    <cfRule type="duplicateValues" dxfId="76" priority="35622"/>
    <cfRule type="duplicateValues" dxfId="75" priority="35623"/>
    <cfRule type="duplicateValues" dxfId="74" priority="35624"/>
    <cfRule type="duplicateValues" dxfId="73" priority="35625"/>
    <cfRule type="duplicateValues" dxfId="72" priority="35626"/>
    <cfRule type="duplicateValues" dxfId="71" priority="35627"/>
    <cfRule type="duplicateValues" dxfId="70" priority="35628"/>
    <cfRule type="duplicateValues" dxfId="69" priority="35629"/>
    <cfRule type="duplicateValues" dxfId="68" priority="48371"/>
    <cfRule type="duplicateValues" dxfId="67" priority="54833"/>
    <cfRule type="duplicateValues" dxfId="66" priority="62278"/>
    <cfRule type="duplicateValues" dxfId="65" priority="66950"/>
    <cfRule type="duplicateValues" dxfId="64" priority="66953"/>
    <cfRule type="duplicateValues" dxfId="63" priority="66954"/>
    <cfRule type="duplicateValues" dxfId="62" priority="66955"/>
    <cfRule type="duplicateValues" dxfId="61" priority="66956"/>
    <cfRule type="duplicateValues" dxfId="60" priority="66957"/>
    <cfRule type="duplicateValues" dxfId="59" priority="66968"/>
    <cfRule type="duplicateValues" dxfId="58" priority="67121"/>
    <cfRule type="duplicateValues" dxfId="57" priority="67907"/>
    <cfRule type="duplicateValues" dxfId="56" priority="77657"/>
    <cfRule type="duplicateValues" dxfId="55" priority="77658"/>
    <cfRule type="duplicateValues" dxfId="54" priority="81065"/>
    <cfRule type="duplicateValues" dxfId="53" priority="81066"/>
    <cfRule type="duplicateValues" dxfId="52" priority="81067"/>
    <cfRule type="duplicateValues" dxfId="51" priority="81068"/>
    <cfRule type="duplicateValues" dxfId="50" priority="81208"/>
    <cfRule type="duplicateValues" dxfId="49" priority="81554"/>
    <cfRule type="duplicateValues" dxfId="48" priority="89479"/>
    <cfRule type="duplicateValues" dxfId="47" priority="103250"/>
    <cfRule type="duplicateValues" dxfId="46" priority="103251"/>
    <cfRule type="duplicateValues" dxfId="45" priority="103252"/>
    <cfRule type="duplicateValues" dxfId="44" priority="103253"/>
    <cfRule type="duplicateValues" dxfId="43" priority="103254"/>
  </conditionalFormatting>
  <conditionalFormatting sqref="B3:C3 B4">
    <cfRule type="duplicateValues" dxfId="42" priority="20048"/>
  </conditionalFormatting>
  <conditionalFormatting sqref="C3">
    <cfRule type="duplicateValues" dxfId="41" priority="71161"/>
  </conditionalFormatting>
  <conditionalFormatting sqref="C8:C9">
    <cfRule type="duplicateValues" dxfId="40" priority="108237"/>
    <cfRule type="duplicateValues" dxfId="39" priority="110745"/>
    <cfRule type="duplicateValues" dxfId="38" priority="110746"/>
    <cfRule type="duplicateValues" dxfId="37" priority="110747"/>
    <cfRule type="duplicateValues" dxfId="36" priority="114022"/>
  </conditionalFormatting>
  <conditionalFormatting sqref="C9">
    <cfRule type="duplicateValues" dxfId="35" priority="108238"/>
    <cfRule type="duplicateValues" dxfId="34" priority="108239"/>
    <cfRule type="duplicateValues" dxfId="33" priority="108240"/>
    <cfRule type="duplicateValues" dxfId="32" priority="110341"/>
    <cfRule type="duplicateValues" dxfId="31" priority="114023"/>
  </conditionalFormatting>
  <conditionalFormatting sqref="C9:C10 C6:C7">
    <cfRule type="duplicateValues" dxfId="30" priority="114987"/>
    <cfRule type="duplicateValues" dxfId="29" priority="114988"/>
  </conditionalFormatting>
  <conditionalFormatting sqref="C9:C10 C4:C7">
    <cfRule type="duplicateValues" dxfId="28" priority="114993"/>
  </conditionalFormatting>
  <conditionalFormatting sqref="B8 C1 B2:B4 C9:C1048576 C3:C7">
    <cfRule type="duplicateValues" dxfId="27" priority="114997"/>
    <cfRule type="duplicateValues" dxfId="26" priority="114998"/>
    <cfRule type="duplicateValues" dxfId="25" priority="114999"/>
    <cfRule type="duplicateValues" dxfId="24" priority="115000"/>
    <cfRule type="duplicateValues" dxfId="23" priority="115001"/>
  </conditionalFormatting>
  <conditionalFormatting sqref="B8 C9:C1048576 C1:C7">
    <cfRule type="duplicateValues" dxfId="22" priority="115032"/>
    <cfRule type="duplicateValues" dxfId="21" priority="115033"/>
    <cfRule type="duplicateValues" dxfId="20" priority="115034"/>
    <cfRule type="duplicateValues" dxfId="19" priority="115035"/>
    <cfRule type="duplicateValues" dxfId="18" priority="115036"/>
  </conditionalFormatting>
  <conditionalFormatting sqref="C9:C1048576 B2:B4 C3:C7">
    <cfRule type="duplicateValues" dxfId="17" priority="115057"/>
    <cfRule type="duplicateValues" dxfId="16" priority="115058"/>
  </conditionalFormatting>
  <conditionalFormatting sqref="C9:C1048576 C1 B2:B4 C3:C7">
    <cfRule type="duplicateValues" dxfId="15" priority="115067"/>
    <cfRule type="duplicateValues" dxfId="14" priority="115068"/>
  </conditionalFormatting>
  <conditionalFormatting sqref="C9:C1048576 C1:C7">
    <cfRule type="duplicateValues" dxfId="13" priority="115079"/>
  </conditionalFormatting>
  <conditionalFormatting sqref="C9:C1048576 C4:C7">
    <cfRule type="duplicateValues" dxfId="12" priority="115083"/>
    <cfRule type="duplicateValues" dxfId="11" priority="115084"/>
  </conditionalFormatting>
  <conditionalFormatting sqref="C8:C9 C4:C5">
    <cfRule type="duplicateValues" dxfId="10" priority="115103"/>
  </conditionalFormatting>
  <conditionalFormatting sqref="C9 C4:C5">
    <cfRule type="duplicateValues" dxfId="9" priority="115105"/>
  </conditionalFormatting>
  <conditionalFormatting sqref="C8:C10 C4:C6">
    <cfRule type="duplicateValues" dxfId="8" priority="115152"/>
  </conditionalFormatting>
  <conditionalFormatting sqref="C1:C1048576">
    <cfRule type="duplicateValues" dxfId="7" priority="115154"/>
  </conditionalFormatting>
  <conditionalFormatting sqref="C4:C7">
    <cfRule type="duplicateValues" dxfId="6" priority="11515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5388-ABDB-4046-A659-854E3AE60F7A}">
  <dimension ref="E11:G140"/>
  <sheetViews>
    <sheetView workbookViewId="0">
      <selection activeCell="M28" sqref="M28"/>
    </sheetView>
  </sheetViews>
  <sheetFormatPr defaultRowHeight="15" x14ac:dyDescent="0.25"/>
  <cols>
    <col min="6" max="6" width="38.42578125" bestFit="1" customWidth="1"/>
    <col min="7" max="7" width="45.5703125" bestFit="1" customWidth="1"/>
  </cols>
  <sheetData>
    <row r="11" spans="5:7" x14ac:dyDescent="0.25">
      <c r="F11" t="s">
        <v>188</v>
      </c>
    </row>
    <row r="12" spans="5:7" x14ac:dyDescent="0.25">
      <c r="F12" t="s">
        <v>39</v>
      </c>
    </row>
    <row r="14" spans="5:7" x14ac:dyDescent="0.25">
      <c r="F14" t="s">
        <v>40</v>
      </c>
    </row>
    <row r="15" spans="5:7" x14ac:dyDescent="0.25">
      <c r="E15">
        <v>1</v>
      </c>
      <c r="F15" t="s">
        <v>41</v>
      </c>
      <c r="G15" t="s">
        <v>42</v>
      </c>
    </row>
    <row r="16" spans="5:7" x14ac:dyDescent="0.25">
      <c r="E16">
        <v>2</v>
      </c>
      <c r="F16" t="s">
        <v>43</v>
      </c>
      <c r="G16" t="s">
        <v>44</v>
      </c>
    </row>
    <row r="17" spans="5:7" x14ac:dyDescent="0.25">
      <c r="E17">
        <v>3</v>
      </c>
      <c r="F17" t="s">
        <v>45</v>
      </c>
      <c r="G17" t="s">
        <v>42</v>
      </c>
    </row>
    <row r="20" spans="5:7" x14ac:dyDescent="0.25">
      <c r="F20" t="s">
        <v>46</v>
      </c>
    </row>
    <row r="21" spans="5:7" x14ac:dyDescent="0.25">
      <c r="E21">
        <v>1</v>
      </c>
      <c r="F21" t="s">
        <v>47</v>
      </c>
      <c r="G21" t="s">
        <v>48</v>
      </c>
    </row>
    <row r="22" spans="5:7" x14ac:dyDescent="0.25">
      <c r="E22">
        <v>2</v>
      </c>
      <c r="F22" t="s">
        <v>49</v>
      </c>
      <c r="G22" t="s">
        <v>48</v>
      </c>
    </row>
    <row r="23" spans="5:7" x14ac:dyDescent="0.25">
      <c r="E23">
        <v>3</v>
      </c>
      <c r="F23" t="s">
        <v>50</v>
      </c>
      <c r="G23" t="s">
        <v>48</v>
      </c>
    </row>
    <row r="24" spans="5:7" x14ac:dyDescent="0.25">
      <c r="E24">
        <v>4</v>
      </c>
      <c r="F24" t="s">
        <v>51</v>
      </c>
      <c r="G24" t="s">
        <v>48</v>
      </c>
    </row>
    <row r="27" spans="5:7" x14ac:dyDescent="0.25">
      <c r="F27" t="s">
        <v>52</v>
      </c>
    </row>
    <row r="28" spans="5:7" x14ac:dyDescent="0.25">
      <c r="E28">
        <v>1</v>
      </c>
      <c r="F28" t="s">
        <v>53</v>
      </c>
      <c r="G28" t="s">
        <v>54</v>
      </c>
    </row>
    <row r="29" spans="5:7" x14ac:dyDescent="0.25">
      <c r="E29">
        <v>2</v>
      </c>
      <c r="F29" t="s">
        <v>55</v>
      </c>
      <c r="G29" t="s">
        <v>54</v>
      </c>
    </row>
    <row r="30" spans="5:7" x14ac:dyDescent="0.25">
      <c r="E30">
        <v>3</v>
      </c>
      <c r="F30" t="s">
        <v>56</v>
      </c>
      <c r="G30" t="s">
        <v>54</v>
      </c>
    </row>
    <row r="31" spans="5:7" x14ac:dyDescent="0.25">
      <c r="E31">
        <v>4</v>
      </c>
      <c r="F31" t="s">
        <v>57</v>
      </c>
      <c r="G31" t="s">
        <v>54</v>
      </c>
    </row>
    <row r="32" spans="5:7" x14ac:dyDescent="0.25">
      <c r="E32">
        <v>5</v>
      </c>
      <c r="F32" t="s">
        <v>58</v>
      </c>
      <c r="G32" t="s">
        <v>54</v>
      </c>
    </row>
    <row r="33" spans="5:7" x14ac:dyDescent="0.25">
      <c r="E33">
        <v>6</v>
      </c>
      <c r="F33" t="s">
        <v>59</v>
      </c>
      <c r="G33" t="s">
        <v>54</v>
      </c>
    </row>
    <row r="34" spans="5:7" x14ac:dyDescent="0.25">
      <c r="E34">
        <v>7</v>
      </c>
      <c r="F34" t="s">
        <v>60</v>
      </c>
      <c r="G34" t="s">
        <v>54</v>
      </c>
    </row>
    <row r="35" spans="5:7" x14ac:dyDescent="0.25">
      <c r="E35">
        <v>8</v>
      </c>
      <c r="F35" t="s">
        <v>61</v>
      </c>
      <c r="G35" t="s">
        <v>62</v>
      </c>
    </row>
    <row r="36" spans="5:7" x14ac:dyDescent="0.25">
      <c r="E36">
        <v>9</v>
      </c>
      <c r="F36" t="s">
        <v>63</v>
      </c>
      <c r="G36" t="s">
        <v>62</v>
      </c>
    </row>
    <row r="37" spans="5:7" x14ac:dyDescent="0.25">
      <c r="E37">
        <v>10</v>
      </c>
      <c r="F37" t="s">
        <v>64</v>
      </c>
      <c r="G37" t="s">
        <v>62</v>
      </c>
    </row>
    <row r="38" spans="5:7" x14ac:dyDescent="0.25">
      <c r="E38">
        <v>11</v>
      </c>
      <c r="F38" t="s">
        <v>65</v>
      </c>
      <c r="G38" t="s">
        <v>66</v>
      </c>
    </row>
    <row r="39" spans="5:7" x14ac:dyDescent="0.25">
      <c r="E39">
        <v>12</v>
      </c>
      <c r="F39" t="s">
        <v>67</v>
      </c>
      <c r="G39" t="s">
        <v>66</v>
      </c>
    </row>
    <row r="40" spans="5:7" x14ac:dyDescent="0.25">
      <c r="E40">
        <v>13</v>
      </c>
      <c r="F40" t="s">
        <v>68</v>
      </c>
      <c r="G40" t="s">
        <v>69</v>
      </c>
    </row>
    <row r="44" spans="5:7" x14ac:dyDescent="0.25">
      <c r="F44" t="s">
        <v>70</v>
      </c>
    </row>
    <row r="45" spans="5:7" x14ac:dyDescent="0.25">
      <c r="E45">
        <v>1</v>
      </c>
      <c r="F45" t="s">
        <v>71</v>
      </c>
      <c r="G45" t="s">
        <v>54</v>
      </c>
    </row>
    <row r="46" spans="5:7" x14ac:dyDescent="0.25">
      <c r="E46">
        <v>2</v>
      </c>
      <c r="F46" t="s">
        <v>72</v>
      </c>
      <c r="G46" t="s">
        <v>54</v>
      </c>
    </row>
    <row r="47" spans="5:7" x14ac:dyDescent="0.25">
      <c r="E47">
        <v>3</v>
      </c>
      <c r="F47" t="s">
        <v>73</v>
      </c>
      <c r="G47" t="s">
        <v>54</v>
      </c>
    </row>
    <row r="48" spans="5:7" x14ac:dyDescent="0.25">
      <c r="E48">
        <v>4</v>
      </c>
      <c r="F48" t="s">
        <v>74</v>
      </c>
      <c r="G48" t="s">
        <v>54</v>
      </c>
    </row>
    <row r="49" spans="5:7" x14ac:dyDescent="0.25">
      <c r="E49">
        <v>5</v>
      </c>
      <c r="F49" t="s">
        <v>75</v>
      </c>
      <c r="G49" t="s">
        <v>54</v>
      </c>
    </row>
    <row r="50" spans="5:7" x14ac:dyDescent="0.25">
      <c r="E50">
        <v>6</v>
      </c>
      <c r="F50" t="s">
        <v>76</v>
      </c>
      <c r="G50" t="s">
        <v>54</v>
      </c>
    </row>
    <row r="51" spans="5:7" x14ac:dyDescent="0.25">
      <c r="E51">
        <v>7</v>
      </c>
      <c r="F51" t="s">
        <v>77</v>
      </c>
      <c r="G51" t="s">
        <v>54</v>
      </c>
    </row>
    <row r="52" spans="5:7" x14ac:dyDescent="0.25">
      <c r="E52">
        <v>8</v>
      </c>
      <c r="F52" t="s">
        <v>78</v>
      </c>
      <c r="G52" t="s">
        <v>54</v>
      </c>
    </row>
    <row r="53" spans="5:7" x14ac:dyDescent="0.25">
      <c r="E53">
        <v>9</v>
      </c>
      <c r="F53" t="s">
        <v>79</v>
      </c>
      <c r="G53" t="s">
        <v>54</v>
      </c>
    </row>
    <row r="54" spans="5:7" x14ac:dyDescent="0.25">
      <c r="E54">
        <v>10</v>
      </c>
      <c r="F54" t="s">
        <v>80</v>
      </c>
      <c r="G54" t="s">
        <v>62</v>
      </c>
    </row>
    <row r="55" spans="5:7" x14ac:dyDescent="0.25">
      <c r="E55">
        <v>11</v>
      </c>
      <c r="F55" t="s">
        <v>81</v>
      </c>
      <c r="G55" t="s">
        <v>62</v>
      </c>
    </row>
    <row r="56" spans="5:7" x14ac:dyDescent="0.25">
      <c r="E56">
        <v>12</v>
      </c>
      <c r="F56" t="s">
        <v>82</v>
      </c>
      <c r="G56" t="s">
        <v>62</v>
      </c>
    </row>
    <row r="57" spans="5:7" x14ac:dyDescent="0.25">
      <c r="E57">
        <v>13</v>
      </c>
      <c r="F57" t="s">
        <v>83</v>
      </c>
      <c r="G57" t="s">
        <v>62</v>
      </c>
    </row>
    <row r="58" spans="5:7" x14ac:dyDescent="0.25">
      <c r="E58">
        <v>14</v>
      </c>
      <c r="F58" t="s">
        <v>84</v>
      </c>
      <c r="G58" t="s">
        <v>62</v>
      </c>
    </row>
    <row r="59" spans="5:7" x14ac:dyDescent="0.25">
      <c r="E59">
        <v>15</v>
      </c>
      <c r="F59" t="s">
        <v>85</v>
      </c>
      <c r="G59" t="s">
        <v>66</v>
      </c>
    </row>
    <row r="60" spans="5:7" x14ac:dyDescent="0.25">
      <c r="E60">
        <v>16</v>
      </c>
      <c r="F60" t="s">
        <v>86</v>
      </c>
      <c r="G60" t="s">
        <v>66</v>
      </c>
    </row>
    <row r="61" spans="5:7" x14ac:dyDescent="0.25">
      <c r="E61">
        <v>17</v>
      </c>
      <c r="F61" t="s">
        <v>87</v>
      </c>
      <c r="G61" t="s">
        <v>66</v>
      </c>
    </row>
    <row r="62" spans="5:7" x14ac:dyDescent="0.25">
      <c r="E62">
        <v>18</v>
      </c>
      <c r="F62" t="s">
        <v>88</v>
      </c>
      <c r="G62" t="s">
        <v>66</v>
      </c>
    </row>
    <row r="63" spans="5:7" x14ac:dyDescent="0.25">
      <c r="E63">
        <v>19</v>
      </c>
      <c r="F63" t="s">
        <v>89</v>
      </c>
      <c r="G63" t="s">
        <v>90</v>
      </c>
    </row>
    <row r="64" spans="5:7" x14ac:dyDescent="0.25">
      <c r="E64">
        <v>20</v>
      </c>
      <c r="F64" s="30" t="s">
        <v>91</v>
      </c>
      <c r="G64" t="s">
        <v>92</v>
      </c>
    </row>
    <row r="65" spans="5:7" x14ac:dyDescent="0.25">
      <c r="E65">
        <v>21</v>
      </c>
      <c r="F65" s="30" t="s">
        <v>93</v>
      </c>
      <c r="G65" t="s">
        <v>94</v>
      </c>
    </row>
    <row r="68" spans="5:7" x14ac:dyDescent="0.25">
      <c r="F68" t="s">
        <v>95</v>
      </c>
    </row>
    <row r="69" spans="5:7" x14ac:dyDescent="0.25">
      <c r="E69">
        <v>1</v>
      </c>
      <c r="F69" t="s">
        <v>96</v>
      </c>
      <c r="G69" t="s">
        <v>54</v>
      </c>
    </row>
    <row r="70" spans="5:7" x14ac:dyDescent="0.25">
      <c r="E70">
        <v>2</v>
      </c>
      <c r="F70" t="s">
        <v>97</v>
      </c>
      <c r="G70" t="s">
        <v>54</v>
      </c>
    </row>
    <row r="71" spans="5:7" x14ac:dyDescent="0.25">
      <c r="E71">
        <v>3</v>
      </c>
      <c r="F71" t="s">
        <v>98</v>
      </c>
      <c r="G71" t="s">
        <v>54</v>
      </c>
    </row>
    <row r="72" spans="5:7" x14ac:dyDescent="0.25">
      <c r="E72">
        <v>4</v>
      </c>
      <c r="F72" t="s">
        <v>99</v>
      </c>
      <c r="G72" t="s">
        <v>62</v>
      </c>
    </row>
    <row r="73" spans="5:7" x14ac:dyDescent="0.25">
      <c r="E73">
        <v>5</v>
      </c>
      <c r="F73" t="s">
        <v>100</v>
      </c>
      <c r="G73" t="s">
        <v>62</v>
      </c>
    </row>
    <row r="74" spans="5:7" x14ac:dyDescent="0.25">
      <c r="E74">
        <v>6</v>
      </c>
      <c r="F74" t="s">
        <v>101</v>
      </c>
      <c r="G74" t="s">
        <v>66</v>
      </c>
    </row>
    <row r="75" spans="5:7" x14ac:dyDescent="0.25">
      <c r="E75">
        <v>7</v>
      </c>
      <c r="F75" t="s">
        <v>102</v>
      </c>
      <c r="G75" t="s">
        <v>103</v>
      </c>
    </row>
    <row r="76" spans="5:7" x14ac:dyDescent="0.25">
      <c r="E76">
        <v>8</v>
      </c>
      <c r="F76" t="s">
        <v>104</v>
      </c>
      <c r="G76" t="s">
        <v>105</v>
      </c>
    </row>
    <row r="77" spans="5:7" x14ac:dyDescent="0.25">
      <c r="E77">
        <v>9</v>
      </c>
      <c r="F77" t="s">
        <v>106</v>
      </c>
      <c r="G77" t="s">
        <v>107</v>
      </c>
    </row>
    <row r="78" spans="5:7" x14ac:dyDescent="0.25">
      <c r="E78">
        <v>10</v>
      </c>
      <c r="F78" t="s">
        <v>108</v>
      </c>
      <c r="G78" t="s">
        <v>107</v>
      </c>
    </row>
    <row r="79" spans="5:7" x14ac:dyDescent="0.25">
      <c r="E79">
        <v>11</v>
      </c>
      <c r="F79" t="s">
        <v>109</v>
      </c>
      <c r="G79" t="s">
        <v>110</v>
      </c>
    </row>
    <row r="80" spans="5:7" x14ac:dyDescent="0.25">
      <c r="E80">
        <v>12</v>
      </c>
      <c r="F80" t="s">
        <v>111</v>
      </c>
      <c r="G80" t="s">
        <v>112</v>
      </c>
    </row>
    <row r="81" spans="5:7" x14ac:dyDescent="0.25">
      <c r="E81">
        <v>13</v>
      </c>
      <c r="F81" t="s">
        <v>113</v>
      </c>
      <c r="G81" t="s">
        <v>114</v>
      </c>
    </row>
    <row r="84" spans="5:7" x14ac:dyDescent="0.25">
      <c r="F84" t="s">
        <v>115</v>
      </c>
    </row>
    <row r="85" spans="5:7" x14ac:dyDescent="0.25">
      <c r="E85">
        <v>1</v>
      </c>
      <c r="F85" s="31" t="s">
        <v>116</v>
      </c>
      <c r="G85" t="s">
        <v>44</v>
      </c>
    </row>
    <row r="86" spans="5:7" x14ac:dyDescent="0.25">
      <c r="E86">
        <v>2</v>
      </c>
      <c r="F86" s="31" t="s">
        <v>117</v>
      </c>
      <c r="G86" t="s">
        <v>44</v>
      </c>
    </row>
    <row r="87" spans="5:7" x14ac:dyDescent="0.25">
      <c r="E87">
        <v>3</v>
      </c>
      <c r="F87" s="32" t="s">
        <v>118</v>
      </c>
      <c r="G87" t="s">
        <v>44</v>
      </c>
    </row>
    <row r="88" spans="5:7" x14ac:dyDescent="0.25">
      <c r="E88">
        <v>4</v>
      </c>
      <c r="F88" s="33" t="s">
        <v>119</v>
      </c>
      <c r="G88" t="s">
        <v>44</v>
      </c>
    </row>
    <row r="89" spans="5:7" x14ac:dyDescent="0.25">
      <c r="E89">
        <v>5</v>
      </c>
      <c r="F89" s="33" t="s">
        <v>120</v>
      </c>
      <c r="G89" t="s">
        <v>42</v>
      </c>
    </row>
    <row r="90" spans="5:7" x14ac:dyDescent="0.25">
      <c r="E90">
        <v>6</v>
      </c>
      <c r="F90" s="34" t="s">
        <v>121</v>
      </c>
      <c r="G90" t="s">
        <v>44</v>
      </c>
    </row>
    <row r="91" spans="5:7" x14ac:dyDescent="0.25">
      <c r="E91">
        <v>7</v>
      </c>
      <c r="F91" s="31" t="s">
        <v>122</v>
      </c>
      <c r="G91" t="s">
        <v>123</v>
      </c>
    </row>
    <row r="92" spans="5:7" x14ac:dyDescent="0.25">
      <c r="E92">
        <v>8</v>
      </c>
      <c r="F92" s="33" t="s">
        <v>124</v>
      </c>
      <c r="G92" t="s">
        <v>42</v>
      </c>
    </row>
    <row r="93" spans="5:7" x14ac:dyDescent="0.25">
      <c r="E93">
        <v>9</v>
      </c>
      <c r="F93" s="33" t="s">
        <v>125</v>
      </c>
      <c r="G93" t="s">
        <v>42</v>
      </c>
    </row>
    <row r="94" spans="5:7" x14ac:dyDescent="0.25">
      <c r="E94">
        <v>10</v>
      </c>
      <c r="F94" s="33" t="s">
        <v>126</v>
      </c>
      <c r="G94" t="s">
        <v>44</v>
      </c>
    </row>
    <row r="95" spans="5:7" x14ac:dyDescent="0.25">
      <c r="E95">
        <v>11</v>
      </c>
      <c r="F95" s="31" t="s">
        <v>127</v>
      </c>
      <c r="G95" t="s">
        <v>123</v>
      </c>
    </row>
    <row r="99" spans="5:7" x14ac:dyDescent="0.25">
      <c r="F99" t="s">
        <v>128</v>
      </c>
    </row>
    <row r="100" spans="5:7" x14ac:dyDescent="0.25">
      <c r="E100">
        <v>1</v>
      </c>
      <c r="F100" s="30" t="s">
        <v>129</v>
      </c>
      <c r="G100" t="s">
        <v>130</v>
      </c>
    </row>
    <row r="101" spans="5:7" x14ac:dyDescent="0.25">
      <c r="E101">
        <v>2</v>
      </c>
      <c r="F101" s="30" t="s">
        <v>131</v>
      </c>
      <c r="G101" t="s">
        <v>130</v>
      </c>
    </row>
    <row r="102" spans="5:7" x14ac:dyDescent="0.25">
      <c r="E102">
        <v>3</v>
      </c>
      <c r="F102" s="30" t="s">
        <v>132</v>
      </c>
      <c r="G102" t="s">
        <v>130</v>
      </c>
    </row>
    <row r="103" spans="5:7" x14ac:dyDescent="0.25">
      <c r="E103">
        <v>4</v>
      </c>
      <c r="F103" s="30" t="s">
        <v>133</v>
      </c>
      <c r="G103" t="s">
        <v>130</v>
      </c>
    </row>
    <row r="104" spans="5:7" x14ac:dyDescent="0.25">
      <c r="E104">
        <v>5</v>
      </c>
      <c r="F104" s="30" t="s">
        <v>134</v>
      </c>
      <c r="G104" t="s">
        <v>130</v>
      </c>
    </row>
    <row r="105" spans="5:7" x14ac:dyDescent="0.25">
      <c r="E105">
        <v>6</v>
      </c>
      <c r="F105" s="30" t="s">
        <v>135</v>
      </c>
      <c r="G105" t="s">
        <v>130</v>
      </c>
    </row>
    <row r="106" spans="5:7" x14ac:dyDescent="0.25">
      <c r="E106">
        <v>7</v>
      </c>
      <c r="F106" s="30" t="s">
        <v>136</v>
      </c>
      <c r="G106" t="s">
        <v>130</v>
      </c>
    </row>
    <row r="107" spans="5:7" x14ac:dyDescent="0.25">
      <c r="E107">
        <v>8</v>
      </c>
      <c r="F107" s="30" t="s">
        <v>137</v>
      </c>
      <c r="G107" t="s">
        <v>130</v>
      </c>
    </row>
    <row r="108" spans="5:7" x14ac:dyDescent="0.25">
      <c r="E108">
        <v>9</v>
      </c>
      <c r="F108" s="30" t="s">
        <v>138</v>
      </c>
      <c r="G108" t="s">
        <v>130</v>
      </c>
    </row>
    <row r="109" spans="5:7" x14ac:dyDescent="0.25">
      <c r="E109">
        <v>10</v>
      </c>
      <c r="F109" s="30" t="s">
        <v>139</v>
      </c>
      <c r="G109" t="s">
        <v>130</v>
      </c>
    </row>
    <row r="110" spans="5:7" x14ac:dyDescent="0.25">
      <c r="E110">
        <v>11</v>
      </c>
      <c r="F110" t="s">
        <v>140</v>
      </c>
      <c r="G110" t="s">
        <v>130</v>
      </c>
    </row>
    <row r="111" spans="5:7" x14ac:dyDescent="0.25">
      <c r="E111">
        <v>12</v>
      </c>
      <c r="F111" t="s">
        <v>141</v>
      </c>
      <c r="G111" t="s">
        <v>130</v>
      </c>
    </row>
    <row r="112" spans="5:7" x14ac:dyDescent="0.25">
      <c r="E112">
        <v>13</v>
      </c>
      <c r="F112" s="30" t="s">
        <v>142</v>
      </c>
      <c r="G112" t="s">
        <v>143</v>
      </c>
    </row>
    <row r="113" spans="5:7" x14ac:dyDescent="0.25">
      <c r="E113">
        <v>14</v>
      </c>
      <c r="F113" s="30" t="s">
        <v>144</v>
      </c>
      <c r="G113" t="s">
        <v>145</v>
      </c>
    </row>
    <row r="114" spans="5:7" x14ac:dyDescent="0.25">
      <c r="E114">
        <v>15</v>
      </c>
      <c r="F114" t="s">
        <v>146</v>
      </c>
      <c r="G114" t="s">
        <v>147</v>
      </c>
    </row>
    <row r="115" spans="5:7" x14ac:dyDescent="0.25">
      <c r="E115">
        <v>16</v>
      </c>
      <c r="F115" t="s">
        <v>148</v>
      </c>
      <c r="G115" t="s">
        <v>147</v>
      </c>
    </row>
    <row r="116" spans="5:7" x14ac:dyDescent="0.25">
      <c r="E116">
        <v>17</v>
      </c>
      <c r="F116" t="s">
        <v>149</v>
      </c>
      <c r="G116" t="s">
        <v>150</v>
      </c>
    </row>
    <row r="117" spans="5:7" x14ac:dyDescent="0.25">
      <c r="E117">
        <v>18</v>
      </c>
      <c r="F117" t="s">
        <v>151</v>
      </c>
      <c r="G117" t="s">
        <v>152</v>
      </c>
    </row>
    <row r="118" spans="5:7" x14ac:dyDescent="0.25">
      <c r="E118">
        <v>19</v>
      </c>
      <c r="F118" t="s">
        <v>153</v>
      </c>
      <c r="G118" t="s">
        <v>154</v>
      </c>
    </row>
    <row r="119" spans="5:7" x14ac:dyDescent="0.25">
      <c r="E119">
        <v>20</v>
      </c>
      <c r="F119" t="s">
        <v>155</v>
      </c>
      <c r="G119" t="s">
        <v>156</v>
      </c>
    </row>
    <row r="120" spans="5:7" x14ac:dyDescent="0.25">
      <c r="E120">
        <v>21</v>
      </c>
      <c r="F120" t="s">
        <v>157</v>
      </c>
      <c r="G120" t="s">
        <v>105</v>
      </c>
    </row>
    <row r="121" spans="5:7" x14ac:dyDescent="0.25">
      <c r="E121">
        <v>22</v>
      </c>
      <c r="F121" t="s">
        <v>158</v>
      </c>
      <c r="G121" t="s">
        <v>159</v>
      </c>
    </row>
    <row r="122" spans="5:7" x14ac:dyDescent="0.25">
      <c r="E122">
        <v>23</v>
      </c>
      <c r="F122" t="s">
        <v>160</v>
      </c>
      <c r="G122" t="s">
        <v>161</v>
      </c>
    </row>
    <row r="123" spans="5:7" x14ac:dyDescent="0.25">
      <c r="E123">
        <v>24</v>
      </c>
      <c r="F123" t="s">
        <v>162</v>
      </c>
      <c r="G123" t="s">
        <v>154</v>
      </c>
    </row>
    <row r="124" spans="5:7" x14ac:dyDescent="0.25">
      <c r="E124">
        <v>25</v>
      </c>
      <c r="F124" t="s">
        <v>163</v>
      </c>
      <c r="G124" t="s">
        <v>156</v>
      </c>
    </row>
    <row r="125" spans="5:7" x14ac:dyDescent="0.25">
      <c r="E125">
        <v>26</v>
      </c>
      <c r="F125" t="s">
        <v>164</v>
      </c>
      <c r="G125" t="s">
        <v>42</v>
      </c>
    </row>
    <row r="129" spans="5:7" x14ac:dyDescent="0.25">
      <c r="F129" t="s">
        <v>165</v>
      </c>
    </row>
    <row r="130" spans="5:7" x14ac:dyDescent="0.25">
      <c r="E130">
        <v>1</v>
      </c>
      <c r="F130" t="s">
        <v>166</v>
      </c>
      <c r="G130" t="s">
        <v>167</v>
      </c>
    </row>
    <row r="131" spans="5:7" x14ac:dyDescent="0.25">
      <c r="E131">
        <v>2</v>
      </c>
      <c r="F131" t="s">
        <v>168</v>
      </c>
      <c r="G131" t="s">
        <v>169</v>
      </c>
    </row>
    <row r="132" spans="5:7" x14ac:dyDescent="0.25">
      <c r="E132">
        <v>3</v>
      </c>
      <c r="F132" t="s">
        <v>170</v>
      </c>
      <c r="G132" t="s">
        <v>171</v>
      </c>
    </row>
    <row r="133" spans="5:7" x14ac:dyDescent="0.25">
      <c r="E133">
        <v>4</v>
      </c>
      <c r="F133" t="s">
        <v>172</v>
      </c>
      <c r="G133" t="s">
        <v>173</v>
      </c>
    </row>
    <row r="134" spans="5:7" x14ac:dyDescent="0.25">
      <c r="E134">
        <v>5</v>
      </c>
      <c r="F134" t="s">
        <v>174</v>
      </c>
      <c r="G134" t="s">
        <v>175</v>
      </c>
    </row>
    <row r="135" spans="5:7" x14ac:dyDescent="0.25">
      <c r="E135">
        <v>6</v>
      </c>
      <c r="F135" t="s">
        <v>176</v>
      </c>
      <c r="G135" t="s">
        <v>177</v>
      </c>
    </row>
    <row r="136" spans="5:7" x14ac:dyDescent="0.25">
      <c r="E136">
        <v>7</v>
      </c>
      <c r="F136" t="s">
        <v>178</v>
      </c>
      <c r="G136" t="s">
        <v>179</v>
      </c>
    </row>
    <row r="137" spans="5:7" x14ac:dyDescent="0.25">
      <c r="E137">
        <v>8</v>
      </c>
      <c r="F137" t="s">
        <v>180</v>
      </c>
      <c r="G137" t="s">
        <v>181</v>
      </c>
    </row>
    <row r="138" spans="5:7" x14ac:dyDescent="0.25">
      <c r="E138">
        <v>9</v>
      </c>
      <c r="F138" t="s">
        <v>182</v>
      </c>
      <c r="G138" t="s">
        <v>183</v>
      </c>
    </row>
    <row r="139" spans="5:7" x14ac:dyDescent="0.25">
      <c r="E139">
        <v>10</v>
      </c>
      <c r="F139" t="s">
        <v>184</v>
      </c>
      <c r="G139" t="s">
        <v>185</v>
      </c>
    </row>
    <row r="140" spans="5:7" x14ac:dyDescent="0.25">
      <c r="E140">
        <v>11</v>
      </c>
      <c r="F140" t="s">
        <v>186</v>
      </c>
      <c r="G140" t="s">
        <v>187</v>
      </c>
    </row>
  </sheetData>
  <conditionalFormatting sqref="F85:F90">
    <cfRule type="duplicateValues" dxfId="5" priority="4"/>
    <cfRule type="duplicateValues" dxfId="4" priority="5"/>
    <cfRule type="duplicateValues" dxfId="3" priority="6"/>
  </conditionalFormatting>
  <conditionalFormatting sqref="F95">
    <cfRule type="duplicateValues" dxfId="2" priority="3"/>
  </conditionalFormatting>
  <conditionalFormatting sqref="F85:F95">
    <cfRule type="duplicateValues" dxfId="1" priority="2"/>
  </conditionalFormatting>
  <conditionalFormatting sqref="F130:F139 F14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E627-6631-4175-8240-F5A4F4387F04}">
  <dimension ref="F6:P38"/>
  <sheetViews>
    <sheetView topLeftCell="A22" workbookViewId="0">
      <selection activeCell="C58" sqref="C58"/>
    </sheetView>
  </sheetViews>
  <sheetFormatPr defaultRowHeight="15" x14ac:dyDescent="0.25"/>
  <cols>
    <col min="7" max="7" width="18.5703125" customWidth="1"/>
    <col min="8" max="8" width="25.42578125" customWidth="1"/>
    <col min="9" max="9" width="29.42578125" bestFit="1" customWidth="1"/>
    <col min="14" max="15" width="15.140625" customWidth="1"/>
    <col min="16" max="16" width="7" bestFit="1" customWidth="1"/>
  </cols>
  <sheetData>
    <row r="6" spans="6:9" x14ac:dyDescent="0.25">
      <c r="F6" s="12"/>
      <c r="G6" s="12" t="s">
        <v>38</v>
      </c>
      <c r="H6" s="12"/>
      <c r="I6" s="12"/>
    </row>
    <row r="7" spans="6:9" x14ac:dyDescent="0.25">
      <c r="F7" s="20" t="s">
        <v>191</v>
      </c>
      <c r="G7" s="20" t="s">
        <v>1</v>
      </c>
      <c r="H7" s="20" t="s">
        <v>2</v>
      </c>
      <c r="I7" s="35" t="s">
        <v>194</v>
      </c>
    </row>
    <row r="8" spans="6:9" x14ac:dyDescent="0.25">
      <c r="F8" s="6">
        <v>1</v>
      </c>
      <c r="G8" s="12" t="s">
        <v>146</v>
      </c>
      <c r="H8" s="12" t="s">
        <v>201</v>
      </c>
      <c r="I8" s="6" t="s">
        <v>193</v>
      </c>
    </row>
    <row r="9" spans="6:9" x14ac:dyDescent="0.25">
      <c r="F9" s="6">
        <v>2</v>
      </c>
      <c r="G9" s="12" t="s">
        <v>149</v>
      </c>
      <c r="H9" s="12" t="s">
        <v>200</v>
      </c>
      <c r="I9" s="6" t="s">
        <v>193</v>
      </c>
    </row>
    <row r="10" spans="6:9" x14ac:dyDescent="0.25">
      <c r="F10" s="6">
        <v>3</v>
      </c>
      <c r="G10" s="12" t="s">
        <v>151</v>
      </c>
      <c r="H10" s="12" t="s">
        <v>150</v>
      </c>
      <c r="I10" s="6" t="s">
        <v>193</v>
      </c>
    </row>
    <row r="11" spans="6:9" x14ac:dyDescent="0.25">
      <c r="F11" s="6">
        <v>4</v>
      </c>
      <c r="G11" s="12" t="s">
        <v>153</v>
      </c>
      <c r="H11" s="12" t="s">
        <v>196</v>
      </c>
      <c r="I11" s="6" t="s">
        <v>193</v>
      </c>
    </row>
    <row r="12" spans="6:9" x14ac:dyDescent="0.25">
      <c r="F12" s="6">
        <v>5</v>
      </c>
      <c r="G12" s="12" t="s">
        <v>155</v>
      </c>
      <c r="H12" s="12" t="s">
        <v>199</v>
      </c>
      <c r="I12" s="6" t="s">
        <v>193</v>
      </c>
    </row>
    <row r="13" spans="6:9" x14ac:dyDescent="0.25">
      <c r="F13" s="6">
        <v>6</v>
      </c>
      <c r="G13" s="12" t="s">
        <v>157</v>
      </c>
      <c r="H13" s="12" t="s">
        <v>123</v>
      </c>
      <c r="I13" s="6" t="s">
        <v>193</v>
      </c>
    </row>
    <row r="14" spans="6:9" x14ac:dyDescent="0.25">
      <c r="F14" s="6">
        <v>7</v>
      </c>
      <c r="G14" s="12" t="s">
        <v>158</v>
      </c>
      <c r="H14" s="12" t="s">
        <v>198</v>
      </c>
      <c r="I14" s="6" t="s">
        <v>193</v>
      </c>
    </row>
    <row r="15" spans="6:9" x14ac:dyDescent="0.25">
      <c r="F15" s="6">
        <v>8</v>
      </c>
      <c r="G15" s="12" t="s">
        <v>160</v>
      </c>
      <c r="H15" s="12" t="s">
        <v>197</v>
      </c>
      <c r="I15" s="6" t="s">
        <v>193</v>
      </c>
    </row>
    <row r="16" spans="6:9" x14ac:dyDescent="0.25">
      <c r="F16" s="6">
        <v>9</v>
      </c>
      <c r="G16" s="12" t="s">
        <v>162</v>
      </c>
      <c r="H16" s="12" t="s">
        <v>154</v>
      </c>
      <c r="I16" s="6" t="s">
        <v>193</v>
      </c>
    </row>
    <row r="17" spans="6:16" x14ac:dyDescent="0.25">
      <c r="F17" s="6">
        <v>10</v>
      </c>
      <c r="G17" s="12" t="s">
        <v>163</v>
      </c>
      <c r="H17" s="12" t="s">
        <v>196</v>
      </c>
      <c r="I17" s="6" t="s">
        <v>193</v>
      </c>
    </row>
    <row r="22" spans="6:16" x14ac:dyDescent="0.25">
      <c r="L22" s="38" t="s">
        <v>38</v>
      </c>
      <c r="M22" s="37"/>
      <c r="N22" s="37"/>
      <c r="O22" s="37"/>
      <c r="P22" s="36"/>
    </row>
    <row r="23" spans="6:16" x14ac:dyDescent="0.25">
      <c r="L23" s="20" t="s">
        <v>191</v>
      </c>
      <c r="M23" s="20" t="s">
        <v>1</v>
      </c>
      <c r="N23" s="20" t="s">
        <v>2</v>
      </c>
      <c r="O23" s="20" t="s">
        <v>195</v>
      </c>
      <c r="P23" s="35" t="s">
        <v>194</v>
      </c>
    </row>
    <row r="24" spans="6:16" x14ac:dyDescent="0.25">
      <c r="L24" s="6">
        <v>1</v>
      </c>
      <c r="M24" s="12" t="s">
        <v>148</v>
      </c>
      <c r="N24" s="6" t="s">
        <v>5</v>
      </c>
      <c r="O24" s="6">
        <v>1</v>
      </c>
      <c r="P24" s="12" t="s">
        <v>193</v>
      </c>
    </row>
    <row r="29" spans="6:16" x14ac:dyDescent="0.25">
      <c r="G29" s="20"/>
      <c r="H29" s="20" t="s">
        <v>192</v>
      </c>
      <c r="I29" s="20"/>
      <c r="J29" s="20"/>
    </row>
    <row r="30" spans="6:16" x14ac:dyDescent="0.25">
      <c r="G30" s="20" t="s">
        <v>191</v>
      </c>
      <c r="H30" s="20" t="s">
        <v>1</v>
      </c>
      <c r="I30" s="20" t="s">
        <v>2</v>
      </c>
      <c r="J30" s="20" t="s">
        <v>4</v>
      </c>
    </row>
    <row r="31" spans="6:16" x14ac:dyDescent="0.25">
      <c r="G31" s="6">
        <v>1</v>
      </c>
      <c r="H31" s="6" t="s">
        <v>65</v>
      </c>
      <c r="I31" s="6" t="s">
        <v>190</v>
      </c>
      <c r="J31" s="6">
        <v>4</v>
      </c>
    </row>
    <row r="32" spans="6:16" x14ac:dyDescent="0.25">
      <c r="G32" s="6">
        <v>2</v>
      </c>
      <c r="H32" s="6" t="s">
        <v>67</v>
      </c>
      <c r="I32" s="6" t="s">
        <v>190</v>
      </c>
      <c r="J32" s="6">
        <v>4</v>
      </c>
    </row>
    <row r="33" spans="7:10" x14ac:dyDescent="0.25">
      <c r="G33" s="6">
        <v>3</v>
      </c>
      <c r="H33" s="6" t="s">
        <v>85</v>
      </c>
      <c r="I33" s="6" t="s">
        <v>190</v>
      </c>
      <c r="J33" s="6">
        <v>4</v>
      </c>
    </row>
    <row r="34" spans="7:10" ht="14.25" customHeight="1" x14ac:dyDescent="0.25">
      <c r="G34" s="6">
        <v>4</v>
      </c>
      <c r="H34" s="6" t="s">
        <v>86</v>
      </c>
      <c r="I34" s="6" t="s">
        <v>190</v>
      </c>
      <c r="J34" s="6">
        <v>4</v>
      </c>
    </row>
    <row r="35" spans="7:10" x14ac:dyDescent="0.25">
      <c r="G35" s="6">
        <v>5</v>
      </c>
      <c r="H35" s="6" t="s">
        <v>87</v>
      </c>
      <c r="I35" s="6" t="s">
        <v>190</v>
      </c>
      <c r="J35" s="6">
        <v>4</v>
      </c>
    </row>
    <row r="36" spans="7:10" x14ac:dyDescent="0.25">
      <c r="G36" s="6">
        <v>6</v>
      </c>
      <c r="H36" s="6" t="s">
        <v>88</v>
      </c>
      <c r="I36" s="6" t="s">
        <v>190</v>
      </c>
      <c r="J36" s="6">
        <v>4</v>
      </c>
    </row>
    <row r="37" spans="7:10" x14ac:dyDescent="0.25">
      <c r="G37" s="6">
        <v>7</v>
      </c>
      <c r="H37" s="6" t="s">
        <v>101</v>
      </c>
      <c r="I37" s="6" t="s">
        <v>190</v>
      </c>
      <c r="J37" s="6">
        <v>4</v>
      </c>
    </row>
    <row r="38" spans="7:10" x14ac:dyDescent="0.25">
      <c r="G38" s="6">
        <v>8</v>
      </c>
      <c r="H38" s="6" t="s">
        <v>102</v>
      </c>
      <c r="I38" s="6" t="s">
        <v>189</v>
      </c>
      <c r="J38" s="6">
        <v>2</v>
      </c>
    </row>
  </sheetData>
  <mergeCells count="1">
    <mergeCell ref="L22:P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TUNDUMA</vt:lpstr>
      <vt:lpstr>EXPORT TUNDUMA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Salum</dc:creator>
  <cp:lastModifiedBy>Domtila -tracking</cp:lastModifiedBy>
  <dcterms:created xsi:type="dcterms:W3CDTF">2025-08-31T04:42:50Z</dcterms:created>
  <dcterms:modified xsi:type="dcterms:W3CDTF">2026-01-20T12:19:05Z</dcterms:modified>
</cp:coreProperties>
</file>