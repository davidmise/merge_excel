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ck\Dropbox\CLIENTS REPORTS\_CURRENT REPORTS\IMPORT REPORTS\"/>
    </mc:Choice>
  </mc:AlternateContent>
  <xr:revisionPtr revIDLastSave="0" documentId="13_ncr:1_{08B451EB-2974-4D41-AA51-596D59B3E2C1}" xr6:coauthVersionLast="47" xr6:coauthVersionMax="47" xr10:uidLastSave="{00000000-0000-0000-0000-000000000000}"/>
  <bookViews>
    <workbookView xWindow="-28920" yWindow="-2955" windowWidth="29040" windowHeight="15720" xr2:uid="{E10417C8-5F1A-4FB4-82C4-B4179157467F}"/>
  </bookViews>
  <sheets>
    <sheet name="TALANA" sheetId="1" r:id="rId1"/>
    <sheet name="SUMMARY" sheetId="2" r:id="rId2"/>
  </sheets>
  <definedNames>
    <definedName name="_xlnm._FilterDatabase" localSheetId="0" hidden="1">TALANA!$A$3:$AJ$3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0" i="2" l="1"/>
  <c r="J2" i="1" l="1"/>
  <c r="K2" i="1"/>
  <c r="I2" i="1"/>
  <c r="A8" i="1"/>
  <c r="A11" i="1"/>
  <c r="A10" i="1"/>
  <c r="A13" i="1"/>
  <c r="A7" i="1"/>
  <c r="A6" i="1"/>
  <c r="A5" i="1"/>
  <c r="A9" i="1"/>
  <c r="A4" i="1"/>
  <c r="A12" i="1"/>
  <c r="A14" i="1"/>
  <c r="A16" i="1"/>
  <c r="A15" i="1"/>
</calcChain>
</file>

<file path=xl/sharedStrings.xml><?xml version="1.0" encoding="utf-8"?>
<sst xmlns="http://schemas.openxmlformats.org/spreadsheetml/2006/main" count="176" uniqueCount="132">
  <si>
    <t>Overland - Tracking updates</t>
  </si>
  <si>
    <t>TALANA TRACKING REPORT</t>
  </si>
  <si>
    <t>Dar es salaam(Tanzania)</t>
  </si>
  <si>
    <t>Tunduma / Nakonde (Zambia)</t>
  </si>
  <si>
    <t>Kasumbalesa/Sakania/Whisky</t>
  </si>
  <si>
    <t>Sn.</t>
  </si>
  <si>
    <t>Truck</t>
  </si>
  <si>
    <t>Trailer</t>
  </si>
  <si>
    <t>Bol</t>
  </si>
  <si>
    <t>Current Location</t>
  </si>
  <si>
    <t>Comments</t>
  </si>
  <si>
    <t>BAGS LOADED</t>
  </si>
  <si>
    <t>Net</t>
  </si>
  <si>
    <t>Gross</t>
  </si>
  <si>
    <t xml:space="preserve">Gvm </t>
  </si>
  <si>
    <t>Driver Name</t>
  </si>
  <si>
    <t>Passport</t>
  </si>
  <si>
    <t>D/Licence</t>
  </si>
  <si>
    <t>Route</t>
  </si>
  <si>
    <t>Allocation Date</t>
  </si>
  <si>
    <t>Arrive At Loading point</t>
  </si>
  <si>
    <t>Loading</t>
  </si>
  <si>
    <t>Dispatch Dar</t>
  </si>
  <si>
    <t>Days</t>
  </si>
  <si>
    <t>Tunduma Arrival</t>
  </si>
  <si>
    <t>Tunduma desp</t>
  </si>
  <si>
    <t>Nakonde Arrival</t>
  </si>
  <si>
    <t>Nakonde Dispatch</t>
  </si>
  <si>
    <t>Zambia Side Arrival</t>
  </si>
  <si>
    <t>Drc Side Arrival</t>
  </si>
  <si>
    <t>Drc Side Dispatch</t>
  </si>
  <si>
    <t xml:space="preserve">Whiskey Arrival </t>
  </si>
  <si>
    <t xml:space="preserve">Whiskey desp </t>
  </si>
  <si>
    <t>Border days</t>
  </si>
  <si>
    <t>Arrival</t>
  </si>
  <si>
    <t>Offloaded</t>
  </si>
  <si>
    <t>Transit days</t>
  </si>
  <si>
    <t>Driver Contact</t>
  </si>
  <si>
    <t>NO</t>
  </si>
  <si>
    <t>Waiting to load  Dar</t>
  </si>
  <si>
    <t>waiting to release Dar</t>
  </si>
  <si>
    <t xml:space="preserve">In -Transit TZ </t>
  </si>
  <si>
    <t>At Tunduma Nakonde/ Borders</t>
  </si>
  <si>
    <t xml:space="preserve">In -Transit Zambia </t>
  </si>
  <si>
    <t>At k-lesa/ Borders</t>
  </si>
  <si>
    <t>At Whiskey Border</t>
  </si>
  <si>
    <t>In transit DRC</t>
  </si>
  <si>
    <t xml:space="preserve">Waiting to Offload </t>
  </si>
  <si>
    <t>Total</t>
  </si>
  <si>
    <t>T365CXX</t>
  </si>
  <si>
    <t>T774CRG</t>
  </si>
  <si>
    <t>T614DPV</t>
  </si>
  <si>
    <t>T781CRG</t>
  </si>
  <si>
    <t>T533BXN</t>
  </si>
  <si>
    <t>T229DNF</t>
  </si>
  <si>
    <t>T482DZH</t>
  </si>
  <si>
    <t>T341DWZ</t>
  </si>
  <si>
    <t>T134ENZ</t>
  </si>
  <si>
    <t>T197EES</t>
  </si>
  <si>
    <t>T162DDY</t>
  </si>
  <si>
    <t>T298BWW</t>
  </si>
  <si>
    <t>T949CTU</t>
  </si>
  <si>
    <t>T530CTF</t>
  </si>
  <si>
    <t>T695BMY</t>
  </si>
  <si>
    <t>T963ASG</t>
  </si>
  <si>
    <t>T756BYV</t>
  </si>
  <si>
    <t>T342EBB</t>
  </si>
  <si>
    <t>T116DXM</t>
  </si>
  <si>
    <t>T925EPP</t>
  </si>
  <si>
    <t>T739CWH</t>
  </si>
  <si>
    <t>Trailer II</t>
  </si>
  <si>
    <t>T678EFH</t>
  </si>
  <si>
    <t>T196EMP</t>
  </si>
  <si>
    <t>T580DTR</t>
  </si>
  <si>
    <t>T517EFH</t>
  </si>
  <si>
    <t>T397DSM</t>
  </si>
  <si>
    <t>T564EBB</t>
  </si>
  <si>
    <t>T117DXM</t>
  </si>
  <si>
    <t>MEDUUL769160/A</t>
  </si>
  <si>
    <t>MEDUUL769855</t>
  </si>
  <si>
    <t>MEDUUL796194</t>
  </si>
  <si>
    <t>SHUKURU ISAYA BISHE</t>
  </si>
  <si>
    <t>MOHAMMED ALLY MATIMBWA</t>
  </si>
  <si>
    <t>MOHAMED OMAR SALEHE</t>
  </si>
  <si>
    <t>JUMA RAJABU SAID</t>
  </si>
  <si>
    <t>SADUKI BONIFACE MAGESA</t>
  </si>
  <si>
    <t>PETER MAURICE MAPUNDA</t>
  </si>
  <si>
    <t>ABDUL MOHAMED SATAL</t>
  </si>
  <si>
    <t>MOHAMED MSHANA OMARI</t>
  </si>
  <si>
    <t>YUSUPH KIBWANA KIGOLA</t>
  </si>
  <si>
    <t>RASHIDI ABDALLAH MIRAMBO</t>
  </si>
  <si>
    <t>ZABRON DANIEL OLAL</t>
  </si>
  <si>
    <t>255675387914/255782087014</t>
  </si>
  <si>
    <t>255716 222448</t>
  </si>
  <si>
    <t>255784787434</t>
  </si>
  <si>
    <t>255744 675502</t>
  </si>
  <si>
    <t>255764 115742</t>
  </si>
  <si>
    <t>255783 357905</t>
  </si>
  <si>
    <t>255786718143</t>
  </si>
  <si>
    <t>255674052241</t>
  </si>
  <si>
    <t>255785 074817</t>
  </si>
  <si>
    <t>TAE672838</t>
  </si>
  <si>
    <t>TAE422055</t>
  </si>
  <si>
    <t>TAE516267</t>
  </si>
  <si>
    <t>TAE692271</t>
  </si>
  <si>
    <t>TAE702136</t>
  </si>
  <si>
    <t>TAE697184</t>
  </si>
  <si>
    <t>TAE910602</t>
  </si>
  <si>
    <t>TAE468034</t>
  </si>
  <si>
    <t>DEZIWA MINE/KOLWEZI</t>
  </si>
  <si>
    <r>
      <t>Offloading Site</t>
    </r>
    <r>
      <rPr>
        <b/>
        <sz val="10"/>
        <color rgb="FFFF0000"/>
        <rFont val="Calibri"/>
        <family val="2"/>
      </rPr>
      <t>- /DEZIWA MINE/KOLWEZI</t>
    </r>
  </si>
  <si>
    <t>En route to CFS</t>
  </si>
  <si>
    <t>Clearing Agent - Cosmos Afrique</t>
  </si>
  <si>
    <t xml:space="preserve">  Cargo Type: Deziwa_TALM0498_400mt MgO </t>
  </si>
  <si>
    <t>T859CQL</t>
  </si>
  <si>
    <t>T332BXG</t>
  </si>
  <si>
    <t>T228EMM</t>
  </si>
  <si>
    <t>T488AUU</t>
  </si>
  <si>
    <t>TARIKI SAID OMAR</t>
  </si>
  <si>
    <t>255717763148</t>
  </si>
  <si>
    <t>255769957599</t>
  </si>
  <si>
    <t>255714 857271/255 769636767</t>
  </si>
  <si>
    <t>En route to Deziwa</t>
  </si>
  <si>
    <t>MISUGUSUGU</t>
  </si>
  <si>
    <t>KIBAHA</t>
  </si>
  <si>
    <t>UBUNGO</t>
  </si>
  <si>
    <t>MOROGORO</t>
  </si>
  <si>
    <t>EDHA YARD</t>
  </si>
  <si>
    <t>MKAMBARANI</t>
  </si>
  <si>
    <t>RUVU</t>
  </si>
  <si>
    <t>DOMA</t>
  </si>
  <si>
    <t>MBALA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</si>
</sst>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_(* #,##0.00_);_(* \(#,##0.00\);_(* &quot;-&quot;??_);_(@_)"/>
    <numFmt numFmtId="166" formatCode="&quot; &quot;#,##0&quot; &quot;;&quot; (&quot;#,##0&quot;)&quot;;&quot; -&quot;#&quot; &quot;;&quot; &quot;@&quot; &quot;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2060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C000"/>
        <bgColor rgb="FFFFC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C6E0B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D9D9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78">
    <xf numFmtId="0" fontId="0" fillId="0" borderId="0" xfId="0"/>
    <xf numFmtId="164" fontId="2" fillId="2" borderId="1" xfId="0" applyNumberFormat="1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vertical="center"/>
    </xf>
    <xf numFmtId="164" fontId="3" fillId="3" borderId="2" xfId="0" applyNumberFormat="1" applyFont="1" applyFill="1" applyBorder="1" applyAlignment="1">
      <alignment vertical="center"/>
    </xf>
    <xf numFmtId="164" fontId="2" fillId="3" borderId="2" xfId="0" applyNumberFormat="1" applyFont="1" applyFill="1" applyBorder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2" fontId="4" fillId="4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vertical="center"/>
    </xf>
    <xf numFmtId="164" fontId="2" fillId="2" borderId="5" xfId="0" applyNumberFormat="1" applyFont="1" applyFill="1" applyBorder="1" applyAlignment="1">
      <alignment vertical="center"/>
    </xf>
    <xf numFmtId="164" fontId="2" fillId="2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0" fillId="7" borderId="24" xfId="0" applyFill="1" applyBorder="1" applyAlignment="1">
      <alignment horizontal="center" vertical="center"/>
    </xf>
    <xf numFmtId="0" fontId="7" fillId="7" borderId="24" xfId="0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8" fillId="7" borderId="24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164" fontId="0" fillId="7" borderId="24" xfId="0" applyNumberFormat="1" applyFill="1" applyBorder="1" applyAlignment="1">
      <alignment horizontal="center" vertical="center"/>
    </xf>
    <xf numFmtId="1" fontId="0" fillId="8" borderId="24" xfId="0" applyNumberForma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9" fillId="9" borderId="24" xfId="0" applyNumberFormat="1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/>
    </xf>
    <xf numFmtId="0" fontId="0" fillId="7" borderId="24" xfId="0" applyFill="1" applyBorder="1" applyAlignment="1">
      <alignment horizontal="center"/>
    </xf>
    <xf numFmtId="164" fontId="0" fillId="7" borderId="24" xfId="0" applyNumberFormat="1" applyFill="1" applyBorder="1" applyAlignment="1">
      <alignment horizontal="center"/>
    </xf>
    <xf numFmtId="0" fontId="0" fillId="0" borderId="24" xfId="0" quotePrefix="1" applyBorder="1" applyAlignment="1">
      <alignment horizontal="center"/>
    </xf>
    <xf numFmtId="0" fontId="10" fillId="10" borderId="7" xfId="0" applyFont="1" applyFill="1" applyBorder="1" applyAlignment="1">
      <alignment horizontal="center" vertical="center" wrapText="1"/>
    </xf>
    <xf numFmtId="0" fontId="10" fillId="10" borderId="12" xfId="0" applyFont="1" applyFill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2" fillId="11" borderId="25" xfId="0" applyFont="1" applyFill="1" applyBorder="1" applyAlignment="1">
      <alignment horizontal="center" vertical="center" wrapText="1"/>
    </xf>
    <xf numFmtId="0" fontId="7" fillId="7" borderId="24" xfId="0" applyFont="1" applyFill="1" applyBorder="1" applyAlignment="1">
      <alignment horizontal="center"/>
    </xf>
    <xf numFmtId="0" fontId="4" fillId="4" borderId="24" xfId="0" applyFont="1" applyFill="1" applyBorder="1" applyAlignment="1">
      <alignment horizontal="center" vertical="center" wrapText="1"/>
    </xf>
    <xf numFmtId="0" fontId="0" fillId="0" borderId="24" xfId="0" applyBorder="1"/>
    <xf numFmtId="0" fontId="0" fillId="11" borderId="24" xfId="0" applyFill="1" applyBorder="1" applyAlignment="1">
      <alignment horizontal="center" vertical="center"/>
    </xf>
    <xf numFmtId="0" fontId="0" fillId="11" borderId="24" xfId="0" applyFill="1" applyBorder="1" applyAlignment="1">
      <alignment horizontal="center"/>
    </xf>
    <xf numFmtId="0" fontId="7" fillId="7" borderId="26" xfId="0" applyFont="1" applyFill="1" applyBorder="1" applyAlignment="1">
      <alignment horizontal="center" vertical="center"/>
    </xf>
    <xf numFmtId="0" fontId="7" fillId="0" borderId="26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7" borderId="24" xfId="0" quotePrefix="1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5" borderId="28" xfId="0" applyFont="1" applyFill="1" applyBorder="1" applyAlignment="1">
      <alignment horizontal="center" vertical="center" wrapText="1"/>
    </xf>
    <xf numFmtId="0" fontId="7" fillId="0" borderId="24" xfId="0" quotePrefix="1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4" xfId="0" applyBorder="1" applyAlignment="1">
      <alignment horizontal="center"/>
    </xf>
    <xf numFmtId="0" fontId="4" fillId="4" borderId="0" xfId="0" applyFont="1" applyFill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166" fontId="2" fillId="12" borderId="24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3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82E02-E0B2-4CE0-B7EE-F7E3FB7B70E7}">
  <dimension ref="A1:AJ19"/>
  <sheetViews>
    <sheetView tabSelected="1" zoomScaleNormal="100" workbookViewId="0">
      <pane xSplit="7" topLeftCell="H1" activePane="topRight" state="frozen"/>
      <selection activeCell="F1" sqref="F1"/>
      <selection pane="topRight" activeCell="F22" sqref="F22"/>
    </sheetView>
  </sheetViews>
  <sheetFormatPr defaultRowHeight="15" x14ac:dyDescent="0.25"/>
  <cols>
    <col min="1" max="1" width="6" customWidth="1"/>
    <col min="2" max="2" width="13.42578125" customWidth="1"/>
    <col min="3" max="4" width="17.85546875" customWidth="1"/>
    <col min="5" max="5" width="24.28515625" customWidth="1"/>
    <col min="6" max="6" width="18.5703125" customWidth="1"/>
    <col min="7" max="7" width="27.7109375" customWidth="1"/>
    <col min="8" max="11" width="17.85546875" bestFit="1" customWidth="1"/>
    <col min="12" max="12" width="29.85546875" bestFit="1" customWidth="1"/>
    <col min="13" max="14" width="17.85546875" bestFit="1" customWidth="1"/>
    <col min="15" max="15" width="22.28515625" bestFit="1" customWidth="1"/>
    <col min="16" max="16" width="17.85546875" bestFit="1" customWidth="1"/>
    <col min="17" max="17" width="12.7109375" bestFit="1" customWidth="1"/>
    <col min="18" max="18" width="13.42578125" customWidth="1"/>
    <col min="19" max="19" width="10.140625" bestFit="1" customWidth="1"/>
    <col min="20" max="20" width="8.42578125" bestFit="1" customWidth="1"/>
    <col min="21" max="21" width="10.5703125" customWidth="1"/>
    <col min="22" max="22" width="10.85546875" customWidth="1"/>
    <col min="23" max="24" width="10.5703125" customWidth="1"/>
    <col min="25" max="25" width="8.42578125" bestFit="1" customWidth="1"/>
    <col min="26" max="26" width="10.140625" bestFit="1" customWidth="1"/>
    <col min="27" max="27" width="11" customWidth="1"/>
    <col min="28" max="28" width="11.5703125" customWidth="1"/>
    <col min="29" max="29" width="10.28515625" customWidth="1"/>
    <col min="30" max="30" width="9.5703125" customWidth="1"/>
    <col min="31" max="31" width="10.28515625" bestFit="1" customWidth="1"/>
    <col min="32" max="32" width="9.5703125" customWidth="1"/>
    <col min="33" max="33" width="11.42578125" customWidth="1"/>
    <col min="34" max="34" width="8.42578125" bestFit="1" customWidth="1"/>
    <col min="35" max="35" width="10.85546875" bestFit="1" customWidth="1"/>
    <col min="36" max="36" width="26.85546875" bestFit="1" customWidth="1"/>
  </cols>
  <sheetData>
    <row r="1" spans="1:36" ht="24" customHeight="1" thickBot="1" x14ac:dyDescent="0.3">
      <c r="A1" s="1" t="s">
        <v>0</v>
      </c>
      <c r="B1" s="2"/>
      <c r="C1" s="2"/>
      <c r="D1" s="2"/>
      <c r="E1" s="3" t="s">
        <v>1</v>
      </c>
      <c r="F1" s="3"/>
      <c r="G1" s="4"/>
      <c r="H1" s="5"/>
      <c r="I1" s="6"/>
      <c r="J1" s="6"/>
      <c r="K1" s="6"/>
      <c r="L1" s="6"/>
      <c r="M1" s="7"/>
      <c r="N1" s="7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67"/>
      <c r="AG1" s="67"/>
      <c r="AH1" s="67"/>
      <c r="AI1" s="67"/>
    </row>
    <row r="2" spans="1:36" ht="24.75" customHeight="1" thickBot="1" x14ac:dyDescent="0.3">
      <c r="A2" s="9" t="s">
        <v>113</v>
      </c>
      <c r="B2" s="10"/>
      <c r="C2" s="10"/>
      <c r="D2" s="10"/>
      <c r="E2" s="10"/>
      <c r="F2" s="10"/>
      <c r="G2" s="11"/>
      <c r="H2" s="11"/>
      <c r="I2" s="77">
        <f>SUM(I4:I17)</f>
        <v>400000</v>
      </c>
      <c r="J2" s="77">
        <f>SUM(J4:J17)</f>
        <v>404000</v>
      </c>
      <c r="K2" s="77">
        <f>SUM(K4:K17)</f>
        <v>705500</v>
      </c>
      <c r="L2" s="12"/>
      <c r="M2" s="13"/>
      <c r="N2" s="13"/>
      <c r="O2" s="14"/>
      <c r="P2" s="14"/>
      <c r="Q2" s="68" t="s">
        <v>2</v>
      </c>
      <c r="R2" s="69"/>
      <c r="S2" s="69"/>
      <c r="T2" s="70"/>
      <c r="U2" s="71" t="s">
        <v>3</v>
      </c>
      <c r="V2" s="72"/>
      <c r="W2" s="72"/>
      <c r="X2" s="73"/>
      <c r="Y2" s="74" t="s">
        <v>4</v>
      </c>
      <c r="Z2" s="75"/>
      <c r="AA2" s="75"/>
      <c r="AB2" s="75"/>
      <c r="AC2" s="75"/>
      <c r="AD2" s="75"/>
      <c r="AE2" s="75"/>
      <c r="AF2" s="76" t="s">
        <v>110</v>
      </c>
      <c r="AG2" s="76"/>
      <c r="AH2" s="76"/>
      <c r="AI2" s="76"/>
    </row>
    <row r="3" spans="1:36" ht="25.5" x14ac:dyDescent="0.25">
      <c r="A3" s="15" t="s">
        <v>5</v>
      </c>
      <c r="B3" s="16" t="s">
        <v>6</v>
      </c>
      <c r="C3" s="17" t="s">
        <v>7</v>
      </c>
      <c r="D3" s="53" t="s">
        <v>70</v>
      </c>
      <c r="E3" s="18" t="s">
        <v>8</v>
      </c>
      <c r="F3" s="19" t="s">
        <v>9</v>
      </c>
      <c r="G3" s="20" t="s">
        <v>10</v>
      </c>
      <c r="H3" s="21" t="s">
        <v>11</v>
      </c>
      <c r="I3" s="21" t="s">
        <v>12</v>
      </c>
      <c r="J3" s="21" t="s">
        <v>13</v>
      </c>
      <c r="K3" s="22" t="s">
        <v>14</v>
      </c>
      <c r="L3" s="62" t="s">
        <v>15</v>
      </c>
      <c r="M3" s="23" t="s">
        <v>16</v>
      </c>
      <c r="N3" s="24" t="s">
        <v>17</v>
      </c>
      <c r="O3" s="18" t="s">
        <v>18</v>
      </c>
      <c r="P3" s="25" t="s">
        <v>19</v>
      </c>
      <c r="Q3" s="23" t="s">
        <v>20</v>
      </c>
      <c r="R3" s="23" t="s">
        <v>21</v>
      </c>
      <c r="S3" s="23" t="s">
        <v>22</v>
      </c>
      <c r="T3" s="26" t="s">
        <v>23</v>
      </c>
      <c r="U3" s="27" t="s">
        <v>24</v>
      </c>
      <c r="V3" s="28" t="s">
        <v>25</v>
      </c>
      <c r="W3" s="28" t="s">
        <v>26</v>
      </c>
      <c r="X3" s="28" t="s">
        <v>27</v>
      </c>
      <c r="Y3" s="29" t="s">
        <v>23</v>
      </c>
      <c r="Z3" s="30" t="s">
        <v>28</v>
      </c>
      <c r="AA3" s="30" t="s">
        <v>29</v>
      </c>
      <c r="AB3" s="30" t="s">
        <v>30</v>
      </c>
      <c r="AC3" s="30" t="s">
        <v>31</v>
      </c>
      <c r="AD3" s="30" t="s">
        <v>32</v>
      </c>
      <c r="AE3" s="20" t="s">
        <v>33</v>
      </c>
      <c r="AF3" s="30" t="s">
        <v>34</v>
      </c>
      <c r="AG3" s="30" t="s">
        <v>35</v>
      </c>
      <c r="AH3" s="31" t="s">
        <v>23</v>
      </c>
      <c r="AI3" s="63" t="s">
        <v>36</v>
      </c>
      <c r="AJ3" s="32" t="s">
        <v>37</v>
      </c>
    </row>
    <row r="4" spans="1:36" s="42" customFormat="1" x14ac:dyDescent="0.25">
      <c r="A4" s="33">
        <f t="shared" ref="A4:A16" si="0">ROW()-3</f>
        <v>1</v>
      </c>
      <c r="B4" s="45" t="s">
        <v>52</v>
      </c>
      <c r="C4" s="37" t="s">
        <v>63</v>
      </c>
      <c r="D4" s="37" t="s">
        <v>73</v>
      </c>
      <c r="E4" s="37" t="s">
        <v>79</v>
      </c>
      <c r="F4" s="34" t="s">
        <v>128</v>
      </c>
      <c r="G4" s="34" t="s">
        <v>122</v>
      </c>
      <c r="H4" s="36">
        <v>35</v>
      </c>
      <c r="I4" s="37">
        <v>35000</v>
      </c>
      <c r="J4" s="37">
        <v>35350</v>
      </c>
      <c r="K4" s="37">
        <v>56000</v>
      </c>
      <c r="L4" s="38" t="s">
        <v>84</v>
      </c>
      <c r="M4" s="37" t="s">
        <v>102</v>
      </c>
      <c r="N4" s="37">
        <v>4001664322</v>
      </c>
      <c r="O4" s="37" t="s">
        <v>109</v>
      </c>
      <c r="P4" s="46">
        <v>46015</v>
      </c>
      <c r="Q4" s="46">
        <v>46016</v>
      </c>
      <c r="R4" s="46">
        <v>46018</v>
      </c>
      <c r="S4" s="46">
        <v>46020</v>
      </c>
      <c r="T4" s="40"/>
      <c r="U4" s="39"/>
      <c r="V4" s="39"/>
      <c r="W4" s="39"/>
      <c r="X4" s="39"/>
      <c r="Y4" s="40"/>
      <c r="Z4" s="39"/>
      <c r="AA4" s="39"/>
      <c r="AB4" s="39"/>
      <c r="AC4" s="39"/>
      <c r="AD4" s="39"/>
      <c r="AE4" s="40"/>
      <c r="AF4" s="39"/>
      <c r="AG4" s="39"/>
      <c r="AH4" s="40"/>
      <c r="AI4" s="40"/>
      <c r="AJ4" s="47" t="s">
        <v>94</v>
      </c>
    </row>
    <row r="5" spans="1:36" s="42" customFormat="1" x14ac:dyDescent="0.25">
      <c r="A5" s="33">
        <f t="shared" si="0"/>
        <v>2</v>
      </c>
      <c r="B5" s="34" t="s">
        <v>54</v>
      </c>
      <c r="C5" s="35" t="s">
        <v>65</v>
      </c>
      <c r="D5" s="35" t="s">
        <v>75</v>
      </c>
      <c r="E5" s="37" t="s">
        <v>80</v>
      </c>
      <c r="F5" s="34" t="s">
        <v>129</v>
      </c>
      <c r="G5" s="34" t="s">
        <v>122</v>
      </c>
      <c r="H5" s="36">
        <v>35</v>
      </c>
      <c r="I5" s="37">
        <v>35000</v>
      </c>
      <c r="J5" s="37">
        <v>35350</v>
      </c>
      <c r="K5" s="37">
        <v>56000</v>
      </c>
      <c r="L5" s="41" t="s">
        <v>86</v>
      </c>
      <c r="M5" s="35" t="s">
        <v>104</v>
      </c>
      <c r="N5" s="35">
        <v>4000237926</v>
      </c>
      <c r="O5" s="37" t="s">
        <v>109</v>
      </c>
      <c r="P5" s="46">
        <v>46015</v>
      </c>
      <c r="Q5" s="46">
        <v>46016</v>
      </c>
      <c r="R5" s="46">
        <v>46018</v>
      </c>
      <c r="S5" s="46">
        <v>46020</v>
      </c>
      <c r="T5" s="40"/>
      <c r="U5" s="39"/>
      <c r="V5" s="39"/>
      <c r="W5" s="39"/>
      <c r="X5" s="39"/>
      <c r="Y5" s="40"/>
      <c r="Z5" s="39"/>
      <c r="AA5" s="39"/>
      <c r="AB5" s="39"/>
      <c r="AC5" s="39"/>
      <c r="AD5" s="39"/>
      <c r="AE5" s="40"/>
      <c r="AF5" s="39"/>
      <c r="AG5" s="39"/>
      <c r="AH5" s="40"/>
      <c r="AI5" s="40"/>
      <c r="AJ5" s="35" t="s">
        <v>96</v>
      </c>
    </row>
    <row r="6" spans="1:36" s="42" customFormat="1" x14ac:dyDescent="0.25">
      <c r="A6" s="33">
        <f t="shared" si="0"/>
        <v>3</v>
      </c>
      <c r="B6" s="34" t="s">
        <v>55</v>
      </c>
      <c r="C6" s="34" t="s">
        <v>66</v>
      </c>
      <c r="D6" s="34" t="s">
        <v>76</v>
      </c>
      <c r="E6" s="37" t="s">
        <v>80</v>
      </c>
      <c r="F6" s="34" t="s">
        <v>126</v>
      </c>
      <c r="G6" s="34" t="s">
        <v>122</v>
      </c>
      <c r="H6" s="36">
        <v>35</v>
      </c>
      <c r="I6" s="37">
        <v>35000</v>
      </c>
      <c r="J6" s="37">
        <v>35350</v>
      </c>
      <c r="K6" s="37">
        <v>56000</v>
      </c>
      <c r="L6" s="45" t="s">
        <v>87</v>
      </c>
      <c r="M6" s="34" t="s">
        <v>105</v>
      </c>
      <c r="N6" s="34">
        <v>4003162413</v>
      </c>
      <c r="O6" s="37" t="s">
        <v>109</v>
      </c>
      <c r="P6" s="46">
        <v>46015</v>
      </c>
      <c r="Q6" s="46">
        <v>46016</v>
      </c>
      <c r="R6" s="46">
        <v>46018</v>
      </c>
      <c r="S6" s="46">
        <v>46020</v>
      </c>
      <c r="T6" s="40"/>
      <c r="U6" s="39"/>
      <c r="V6" s="39"/>
      <c r="W6" s="39"/>
      <c r="X6" s="39"/>
      <c r="Y6" s="40"/>
      <c r="Z6" s="39"/>
      <c r="AA6" s="39"/>
      <c r="AB6" s="39"/>
      <c r="AC6" s="39"/>
      <c r="AD6" s="39"/>
      <c r="AE6" s="40"/>
      <c r="AF6" s="39"/>
      <c r="AG6" s="39"/>
      <c r="AH6" s="40"/>
      <c r="AI6" s="40"/>
      <c r="AJ6" s="34" t="s">
        <v>97</v>
      </c>
    </row>
    <row r="7" spans="1:36" s="42" customFormat="1" x14ac:dyDescent="0.25">
      <c r="A7" s="33">
        <f t="shared" si="0"/>
        <v>4</v>
      </c>
      <c r="B7" s="34" t="s">
        <v>56</v>
      </c>
      <c r="C7" s="44" t="s">
        <v>67</v>
      </c>
      <c r="D7" s="37" t="s">
        <v>77</v>
      </c>
      <c r="E7" s="37" t="s">
        <v>80</v>
      </c>
      <c r="F7" s="34" t="s">
        <v>126</v>
      </c>
      <c r="G7" s="34" t="s">
        <v>122</v>
      </c>
      <c r="H7" s="36">
        <v>35</v>
      </c>
      <c r="I7" s="37">
        <v>35000</v>
      </c>
      <c r="J7" s="37">
        <v>35350</v>
      </c>
      <c r="K7" s="37">
        <v>56000</v>
      </c>
      <c r="L7" s="44" t="s">
        <v>88</v>
      </c>
      <c r="M7" s="44" t="s">
        <v>106</v>
      </c>
      <c r="N7" s="44">
        <v>4000345085</v>
      </c>
      <c r="O7" s="37" t="s">
        <v>109</v>
      </c>
      <c r="P7" s="46">
        <v>46015</v>
      </c>
      <c r="Q7" s="46">
        <v>46016</v>
      </c>
      <c r="R7" s="46">
        <v>46018</v>
      </c>
      <c r="S7" s="46">
        <v>46020</v>
      </c>
      <c r="T7" s="40"/>
      <c r="U7" s="39"/>
      <c r="V7" s="39"/>
      <c r="W7" s="39"/>
      <c r="X7" s="39"/>
      <c r="Y7" s="40"/>
      <c r="Z7" s="39"/>
      <c r="AA7" s="39"/>
      <c r="AB7" s="39"/>
      <c r="AC7" s="39"/>
      <c r="AD7" s="39"/>
      <c r="AE7" s="40"/>
      <c r="AF7" s="39"/>
      <c r="AG7" s="39"/>
      <c r="AH7" s="40"/>
      <c r="AI7" s="40"/>
      <c r="AJ7" s="44" t="s">
        <v>121</v>
      </c>
    </row>
    <row r="8" spans="1:36" s="42" customFormat="1" x14ac:dyDescent="0.25">
      <c r="A8" s="33">
        <f t="shared" si="0"/>
        <v>5</v>
      </c>
      <c r="B8" s="34" t="s">
        <v>59</v>
      </c>
      <c r="C8" s="34" t="s">
        <v>117</v>
      </c>
      <c r="D8" s="54"/>
      <c r="E8" s="37" t="s">
        <v>80</v>
      </c>
      <c r="F8" s="34" t="s">
        <v>124</v>
      </c>
      <c r="G8" s="34" t="s">
        <v>122</v>
      </c>
      <c r="H8" s="34">
        <v>30</v>
      </c>
      <c r="I8" s="65">
        <v>30000</v>
      </c>
      <c r="J8" s="65">
        <v>30300</v>
      </c>
      <c r="K8" s="65">
        <v>48500</v>
      </c>
      <c r="L8" s="65" t="s">
        <v>91</v>
      </c>
      <c r="M8" s="65" t="s">
        <v>108</v>
      </c>
      <c r="N8" s="65">
        <v>4004836289</v>
      </c>
      <c r="O8" s="65" t="s">
        <v>109</v>
      </c>
      <c r="P8" s="46">
        <v>46015</v>
      </c>
      <c r="Q8" s="46">
        <v>46018</v>
      </c>
      <c r="R8" s="46">
        <v>46019</v>
      </c>
      <c r="S8" s="46">
        <v>46020</v>
      </c>
      <c r="T8" s="40"/>
      <c r="U8" s="39"/>
      <c r="V8" s="39"/>
      <c r="W8" s="39"/>
      <c r="X8" s="39"/>
      <c r="Y8" s="40"/>
      <c r="Z8" s="39"/>
      <c r="AA8" s="39"/>
      <c r="AB8" s="39"/>
      <c r="AC8" s="39"/>
      <c r="AD8" s="39"/>
      <c r="AE8" s="40"/>
      <c r="AF8" s="39"/>
      <c r="AG8" s="39"/>
      <c r="AH8" s="40"/>
      <c r="AI8" s="40"/>
      <c r="AJ8" s="37" t="s">
        <v>100</v>
      </c>
    </row>
    <row r="9" spans="1:36" s="42" customFormat="1" x14ac:dyDescent="0.25">
      <c r="A9" s="33">
        <f t="shared" si="0"/>
        <v>6</v>
      </c>
      <c r="B9" s="34" t="s">
        <v>53</v>
      </c>
      <c r="C9" s="35" t="s">
        <v>64</v>
      </c>
      <c r="D9" s="35" t="s">
        <v>74</v>
      </c>
      <c r="E9" s="37" t="s">
        <v>79</v>
      </c>
      <c r="F9" s="34" t="s">
        <v>125</v>
      </c>
      <c r="G9" s="34" t="s">
        <v>122</v>
      </c>
      <c r="H9" s="36">
        <v>35</v>
      </c>
      <c r="I9" s="37">
        <v>35000</v>
      </c>
      <c r="J9" s="37">
        <v>35350</v>
      </c>
      <c r="K9" s="37">
        <v>56000</v>
      </c>
      <c r="L9" s="59" t="s">
        <v>85</v>
      </c>
      <c r="M9" s="44" t="s">
        <v>103</v>
      </c>
      <c r="N9" s="37">
        <v>4001779448</v>
      </c>
      <c r="O9" s="37" t="s">
        <v>109</v>
      </c>
      <c r="P9" s="46">
        <v>46015</v>
      </c>
      <c r="Q9" s="46">
        <v>46016</v>
      </c>
      <c r="R9" s="46">
        <v>46020</v>
      </c>
      <c r="S9" s="46">
        <v>46020</v>
      </c>
      <c r="T9" s="40"/>
      <c r="U9" s="39"/>
      <c r="V9" s="39"/>
      <c r="W9" s="39"/>
      <c r="X9" s="39"/>
      <c r="Y9" s="40"/>
      <c r="Z9" s="39"/>
      <c r="AA9" s="39"/>
      <c r="AB9" s="39"/>
      <c r="AC9" s="39"/>
      <c r="AD9" s="39"/>
      <c r="AE9" s="40"/>
      <c r="AF9" s="39"/>
      <c r="AG9" s="39"/>
      <c r="AH9" s="40"/>
      <c r="AI9" s="40"/>
      <c r="AJ9" s="37" t="s">
        <v>95</v>
      </c>
    </row>
    <row r="10" spans="1:36" s="42" customFormat="1" x14ac:dyDescent="0.25">
      <c r="A10" s="33">
        <f t="shared" si="0"/>
        <v>7</v>
      </c>
      <c r="B10" s="45" t="s">
        <v>57</v>
      </c>
      <c r="C10" s="37" t="s">
        <v>68</v>
      </c>
      <c r="D10" s="41"/>
      <c r="E10" s="37" t="s">
        <v>80</v>
      </c>
      <c r="F10" s="34" t="s">
        <v>126</v>
      </c>
      <c r="G10" s="34" t="s">
        <v>122</v>
      </c>
      <c r="H10" s="36">
        <v>30</v>
      </c>
      <c r="I10" s="37">
        <v>30000</v>
      </c>
      <c r="J10" s="37">
        <v>30300</v>
      </c>
      <c r="K10" s="37">
        <v>56000</v>
      </c>
      <c r="L10" s="37" t="s">
        <v>89</v>
      </c>
      <c r="M10" s="37"/>
      <c r="N10" s="37">
        <v>4000197160</v>
      </c>
      <c r="O10" s="37" t="s">
        <v>109</v>
      </c>
      <c r="P10" s="46">
        <v>46015</v>
      </c>
      <c r="Q10" s="46">
        <v>46020</v>
      </c>
      <c r="R10" s="46">
        <v>46020</v>
      </c>
      <c r="S10" s="46">
        <v>46020</v>
      </c>
      <c r="T10" s="40"/>
      <c r="U10" s="39"/>
      <c r="V10" s="39"/>
      <c r="W10" s="39"/>
      <c r="X10" s="39"/>
      <c r="Y10" s="40"/>
      <c r="Z10" s="39"/>
      <c r="AA10" s="39"/>
      <c r="AB10" s="39"/>
      <c r="AC10" s="39"/>
      <c r="AD10" s="39"/>
      <c r="AE10" s="40"/>
      <c r="AF10" s="39"/>
      <c r="AG10" s="39"/>
      <c r="AH10" s="40"/>
      <c r="AI10" s="40"/>
      <c r="AJ10" s="47" t="s">
        <v>98</v>
      </c>
    </row>
    <row r="11" spans="1:36" s="42" customFormat="1" x14ac:dyDescent="0.25">
      <c r="A11" s="33">
        <f t="shared" si="0"/>
        <v>8</v>
      </c>
      <c r="B11" s="52" t="s">
        <v>58</v>
      </c>
      <c r="C11" s="52" t="s">
        <v>69</v>
      </c>
      <c r="D11" s="54"/>
      <c r="E11" s="37" t="s">
        <v>80</v>
      </c>
      <c r="F11" s="34" t="s">
        <v>130</v>
      </c>
      <c r="G11" s="34" t="s">
        <v>122</v>
      </c>
      <c r="H11" s="36">
        <v>30</v>
      </c>
      <c r="I11" s="37">
        <v>30000</v>
      </c>
      <c r="J11" s="37">
        <v>30300</v>
      </c>
      <c r="K11" s="37">
        <v>56000</v>
      </c>
      <c r="L11" s="45" t="s">
        <v>90</v>
      </c>
      <c r="M11" s="44" t="s">
        <v>107</v>
      </c>
      <c r="N11" s="45">
        <v>4005243914</v>
      </c>
      <c r="O11" s="37" t="s">
        <v>109</v>
      </c>
      <c r="P11" s="46">
        <v>46015</v>
      </c>
      <c r="Q11" s="46">
        <v>46020</v>
      </c>
      <c r="R11" s="46">
        <v>46020</v>
      </c>
      <c r="S11" s="46">
        <v>46021</v>
      </c>
      <c r="T11" s="40"/>
      <c r="U11" s="39"/>
      <c r="V11" s="39"/>
      <c r="W11" s="39"/>
      <c r="X11" s="39"/>
      <c r="Y11" s="40"/>
      <c r="Z11" s="39"/>
      <c r="AA11" s="39"/>
      <c r="AB11" s="39"/>
      <c r="AC11" s="39"/>
      <c r="AD11" s="39"/>
      <c r="AE11" s="40"/>
      <c r="AF11" s="39"/>
      <c r="AG11" s="43"/>
      <c r="AH11" s="40"/>
      <c r="AI11" s="40"/>
      <c r="AJ11" s="47" t="s">
        <v>99</v>
      </c>
    </row>
    <row r="12" spans="1:36" s="42" customFormat="1" x14ac:dyDescent="0.25">
      <c r="A12" s="33">
        <f t="shared" si="0"/>
        <v>9</v>
      </c>
      <c r="B12" s="34" t="s">
        <v>51</v>
      </c>
      <c r="C12" s="44" t="s">
        <v>62</v>
      </c>
      <c r="D12" s="44" t="s">
        <v>72</v>
      </c>
      <c r="E12" s="37" t="s">
        <v>79</v>
      </c>
      <c r="F12" s="34" t="s">
        <v>123</v>
      </c>
      <c r="G12" s="34" t="s">
        <v>122</v>
      </c>
      <c r="H12" s="36">
        <v>35</v>
      </c>
      <c r="I12" s="37">
        <v>35000</v>
      </c>
      <c r="J12" s="37">
        <v>35350</v>
      </c>
      <c r="K12" s="37">
        <v>56000</v>
      </c>
      <c r="L12" s="58" t="s">
        <v>83</v>
      </c>
      <c r="M12" s="44"/>
      <c r="N12" s="44">
        <v>4000967169</v>
      </c>
      <c r="O12" s="37" t="s">
        <v>109</v>
      </c>
      <c r="P12" s="46">
        <v>46015</v>
      </c>
      <c r="Q12" s="46">
        <v>46018</v>
      </c>
      <c r="R12" s="46">
        <v>46019</v>
      </c>
      <c r="S12" s="46">
        <v>46021</v>
      </c>
      <c r="T12" s="40"/>
      <c r="U12" s="39"/>
      <c r="V12" s="39"/>
      <c r="W12" s="39"/>
      <c r="X12" s="39"/>
      <c r="Y12" s="40"/>
      <c r="Z12" s="39"/>
      <c r="AA12" s="39"/>
      <c r="AB12" s="39"/>
      <c r="AC12" s="39"/>
      <c r="AD12" s="39"/>
      <c r="AE12" s="40"/>
      <c r="AF12" s="39"/>
      <c r="AG12" s="39"/>
      <c r="AH12" s="40"/>
      <c r="AI12" s="40"/>
      <c r="AJ12" s="64" t="s">
        <v>120</v>
      </c>
    </row>
    <row r="13" spans="1:36" s="42" customFormat="1" ht="15.75" customHeight="1" x14ac:dyDescent="0.25">
      <c r="A13" s="33">
        <f t="shared" si="0"/>
        <v>10</v>
      </c>
      <c r="B13" s="45" t="s">
        <v>114</v>
      </c>
      <c r="C13" s="45" t="s">
        <v>115</v>
      </c>
      <c r="D13" s="45" t="s">
        <v>116</v>
      </c>
      <c r="E13" s="37" t="s">
        <v>80</v>
      </c>
      <c r="F13" s="34" t="s">
        <v>131</v>
      </c>
      <c r="G13" s="34" t="s">
        <v>122</v>
      </c>
      <c r="H13" s="36">
        <v>35</v>
      </c>
      <c r="I13" s="37">
        <v>35000</v>
      </c>
      <c r="J13" s="37">
        <v>35350</v>
      </c>
      <c r="K13" s="37">
        <v>56000</v>
      </c>
      <c r="L13" s="45" t="s">
        <v>118</v>
      </c>
      <c r="M13" s="37"/>
      <c r="N13" s="45">
        <v>4001394313</v>
      </c>
      <c r="O13" s="37" t="s">
        <v>109</v>
      </c>
      <c r="P13" s="46">
        <v>46015</v>
      </c>
      <c r="Q13" s="46">
        <v>46020</v>
      </c>
      <c r="R13" s="46">
        <v>46020</v>
      </c>
      <c r="S13" s="46">
        <v>46021</v>
      </c>
      <c r="T13" s="40"/>
      <c r="U13" s="39"/>
      <c r="V13" s="39"/>
      <c r="W13" s="39"/>
      <c r="X13" s="39"/>
      <c r="Y13" s="40"/>
      <c r="Z13" s="39"/>
      <c r="AA13" s="39"/>
      <c r="AB13" s="39"/>
      <c r="AC13" s="39"/>
      <c r="AD13" s="39"/>
      <c r="AE13" s="40"/>
      <c r="AF13" s="39"/>
      <c r="AG13" s="39"/>
      <c r="AH13" s="40"/>
      <c r="AI13" s="40"/>
      <c r="AJ13" s="60" t="s">
        <v>119</v>
      </c>
    </row>
    <row r="14" spans="1:36" s="42" customFormat="1" x14ac:dyDescent="0.25">
      <c r="A14" s="33">
        <f t="shared" si="0"/>
        <v>11</v>
      </c>
      <c r="B14" s="52" t="s">
        <v>50</v>
      </c>
      <c r="C14" s="34" t="s">
        <v>61</v>
      </c>
      <c r="D14" s="34" t="s">
        <v>71</v>
      </c>
      <c r="E14" s="37" t="s">
        <v>79</v>
      </c>
      <c r="F14" s="34" t="s">
        <v>131</v>
      </c>
      <c r="G14" s="34" t="s">
        <v>122</v>
      </c>
      <c r="H14" s="36">
        <v>35</v>
      </c>
      <c r="I14" s="37">
        <v>35000</v>
      </c>
      <c r="J14" s="37">
        <v>35350</v>
      </c>
      <c r="K14" s="37">
        <v>56000</v>
      </c>
      <c r="L14" s="57" t="s">
        <v>82</v>
      </c>
      <c r="M14" s="34" t="s">
        <v>101</v>
      </c>
      <c r="N14" s="34">
        <v>4004947726</v>
      </c>
      <c r="O14" s="37" t="s">
        <v>109</v>
      </c>
      <c r="P14" s="46">
        <v>46015</v>
      </c>
      <c r="Q14" s="46">
        <v>46020</v>
      </c>
      <c r="R14" s="46">
        <v>46020</v>
      </c>
      <c r="S14" s="46">
        <v>46021</v>
      </c>
      <c r="T14" s="40"/>
      <c r="U14" s="39"/>
      <c r="V14" s="39"/>
      <c r="W14" s="39"/>
      <c r="X14" s="39"/>
      <c r="Y14" s="40"/>
      <c r="Z14" s="39"/>
      <c r="AA14" s="39"/>
      <c r="AB14" s="39"/>
      <c r="AC14" s="39"/>
      <c r="AD14" s="39"/>
      <c r="AE14" s="40"/>
      <c r="AF14" s="39"/>
      <c r="AG14" s="43"/>
      <c r="AH14" s="40"/>
      <c r="AI14" s="40"/>
      <c r="AJ14" s="34" t="s">
        <v>93</v>
      </c>
    </row>
    <row r="15" spans="1:36" s="42" customFormat="1" x14ac:dyDescent="0.25">
      <c r="A15" s="33">
        <f t="shared" si="0"/>
        <v>12</v>
      </c>
      <c r="B15" s="34" t="s">
        <v>49</v>
      </c>
      <c r="C15" s="35" t="s">
        <v>60</v>
      </c>
      <c r="D15" s="34"/>
      <c r="E15" s="55" t="s">
        <v>78</v>
      </c>
      <c r="F15" s="34" t="s">
        <v>127</v>
      </c>
      <c r="G15" s="34" t="s">
        <v>111</v>
      </c>
      <c r="H15" s="36">
        <v>20</v>
      </c>
      <c r="I15" s="37">
        <v>20000</v>
      </c>
      <c r="J15" s="61">
        <v>20200</v>
      </c>
      <c r="K15" s="37">
        <v>48500</v>
      </c>
      <c r="L15" s="45" t="s">
        <v>81</v>
      </c>
      <c r="M15" s="45"/>
      <c r="N15" s="45">
        <v>4003701534</v>
      </c>
      <c r="O15" s="37" t="s">
        <v>109</v>
      </c>
      <c r="P15" s="46">
        <v>46015</v>
      </c>
      <c r="Q15" s="54"/>
      <c r="R15" s="39"/>
      <c r="S15" s="39"/>
      <c r="T15" s="40"/>
      <c r="U15" s="39"/>
      <c r="V15" s="39"/>
      <c r="W15" s="39"/>
      <c r="X15" s="39"/>
      <c r="Y15" s="40"/>
      <c r="Z15" s="39"/>
      <c r="AA15" s="39"/>
      <c r="AB15" s="39"/>
      <c r="AC15" s="39"/>
      <c r="AD15" s="39"/>
      <c r="AE15" s="40"/>
      <c r="AF15" s="39"/>
      <c r="AG15" s="39"/>
      <c r="AH15" s="40"/>
      <c r="AI15" s="40"/>
      <c r="AJ15" s="60" t="s">
        <v>92</v>
      </c>
    </row>
    <row r="16" spans="1:36" s="42" customFormat="1" x14ac:dyDescent="0.25">
      <c r="A16" s="33">
        <f t="shared" si="0"/>
        <v>13</v>
      </c>
      <c r="B16" s="34" t="s">
        <v>49</v>
      </c>
      <c r="C16" s="35" t="s">
        <v>60</v>
      </c>
      <c r="D16" s="45"/>
      <c r="E16" s="56" t="s">
        <v>79</v>
      </c>
      <c r="F16" s="34" t="s">
        <v>127</v>
      </c>
      <c r="G16" s="34" t="s">
        <v>111</v>
      </c>
      <c r="H16" s="36">
        <v>10</v>
      </c>
      <c r="I16" s="37">
        <v>10000</v>
      </c>
      <c r="J16" s="61">
        <v>10100</v>
      </c>
      <c r="K16" s="37">
        <v>48500</v>
      </c>
      <c r="L16" s="45" t="s">
        <v>81</v>
      </c>
      <c r="M16" s="45"/>
      <c r="N16" s="45">
        <v>4003701534</v>
      </c>
      <c r="O16" s="37" t="s">
        <v>109</v>
      </c>
      <c r="P16" s="46">
        <v>46015</v>
      </c>
      <c r="Q16" s="54"/>
      <c r="R16" s="39"/>
      <c r="S16" s="39"/>
      <c r="T16" s="40"/>
      <c r="U16" s="39"/>
      <c r="V16" s="39"/>
      <c r="W16" s="39"/>
      <c r="X16" s="39"/>
      <c r="Y16" s="40"/>
      <c r="Z16" s="39"/>
      <c r="AA16" s="39"/>
      <c r="AB16" s="39"/>
      <c r="AC16" s="39"/>
      <c r="AD16" s="39"/>
      <c r="AE16" s="40"/>
      <c r="AF16" s="39"/>
      <c r="AG16" s="43"/>
      <c r="AH16" s="40"/>
      <c r="AI16" s="40"/>
      <c r="AJ16" s="60" t="s">
        <v>92</v>
      </c>
    </row>
    <row r="19" spans="2:3" x14ac:dyDescent="0.25">
      <c r="B19" s="66" t="s">
        <v>112</v>
      </c>
      <c r="C19" s="66"/>
    </row>
  </sheetData>
  <mergeCells count="6">
    <mergeCell ref="B19:C19"/>
    <mergeCell ref="AF1:AI1"/>
    <mergeCell ref="Q2:T2"/>
    <mergeCell ref="U2:X2"/>
    <mergeCell ref="Y2:AE2"/>
    <mergeCell ref="AF2:AI2"/>
  </mergeCells>
  <conditionalFormatting sqref="B18:B1048576 B1:B3">
    <cfRule type="duplicateValues" dxfId="309" priority="315"/>
  </conditionalFormatting>
  <conditionalFormatting sqref="B15:B16">
    <cfRule type="duplicateValues" dxfId="308" priority="81"/>
    <cfRule type="duplicateValues" dxfId="307" priority="82"/>
    <cfRule type="duplicateValues" dxfId="306" priority="83"/>
    <cfRule type="duplicateValues" dxfId="305" priority="84"/>
    <cfRule type="duplicateValues" dxfId="304" priority="85"/>
    <cfRule type="duplicateValues" dxfId="303" priority="86"/>
    <cfRule type="duplicateValues" dxfId="302" priority="87"/>
    <cfRule type="duplicateValues" dxfId="301" priority="88"/>
    <cfRule type="duplicateValues" dxfId="300" priority="89"/>
    <cfRule type="duplicateValues" dxfId="299" priority="90"/>
    <cfRule type="duplicateValues" dxfId="298" priority="91"/>
    <cfRule type="duplicateValues" dxfId="297" priority="92"/>
    <cfRule type="duplicateValues" dxfId="296" priority="93"/>
    <cfRule type="duplicateValues" dxfId="295" priority="94"/>
    <cfRule type="duplicateValues" dxfId="294" priority="95"/>
    <cfRule type="duplicateValues" dxfId="293" priority="96"/>
    <cfRule type="duplicateValues" dxfId="292" priority="97"/>
    <cfRule type="duplicateValues" dxfId="291" priority="98"/>
    <cfRule type="duplicateValues" dxfId="290" priority="99"/>
    <cfRule type="duplicateValues" dxfId="289" priority="100"/>
    <cfRule type="duplicateValues" dxfId="288" priority="101"/>
    <cfRule type="duplicateValues" dxfId="287" priority="102"/>
    <cfRule type="duplicateValues" dxfId="286" priority="103"/>
    <cfRule type="duplicateValues" dxfId="285" priority="104"/>
    <cfRule type="duplicateValues" dxfId="284" priority="105"/>
    <cfRule type="duplicateValues" dxfId="283" priority="106"/>
    <cfRule type="duplicateValues" dxfId="282" priority="107"/>
    <cfRule type="duplicateValues" dxfId="281" priority="108"/>
    <cfRule type="duplicateValues" dxfId="280" priority="109"/>
    <cfRule type="duplicateValues" dxfId="279" priority="110"/>
    <cfRule type="duplicateValues" dxfId="278" priority="111"/>
    <cfRule type="duplicateValues" dxfId="277" priority="112"/>
    <cfRule type="duplicateValues" dxfId="276" priority="113"/>
    <cfRule type="duplicateValues" dxfId="275" priority="114"/>
    <cfRule type="duplicateValues" dxfId="274" priority="115"/>
    <cfRule type="duplicateValues" dxfId="273" priority="116"/>
    <cfRule type="duplicateValues" dxfId="272" priority="117"/>
    <cfRule type="duplicateValues" dxfId="271" priority="118"/>
    <cfRule type="duplicateValues" dxfId="270" priority="119"/>
    <cfRule type="duplicateValues" dxfId="269" priority="120"/>
  </conditionalFormatting>
  <conditionalFormatting sqref="B14">
    <cfRule type="duplicateValues" dxfId="268" priority="279"/>
    <cfRule type="duplicateValues" dxfId="267" priority="280"/>
    <cfRule type="duplicateValues" dxfId="266" priority="281"/>
    <cfRule type="duplicateValues" dxfId="265" priority="282"/>
    <cfRule type="duplicateValues" dxfId="264" priority="283"/>
    <cfRule type="duplicateValues" dxfId="263" priority="284"/>
    <cfRule type="duplicateValues" dxfId="262" priority="285"/>
    <cfRule type="duplicateValues" dxfId="261" priority="286"/>
    <cfRule type="duplicateValues" dxfId="260" priority="287"/>
    <cfRule type="duplicateValues" dxfId="259" priority="288"/>
    <cfRule type="duplicateValues" dxfId="258" priority="289"/>
    <cfRule type="duplicateValues" dxfId="257" priority="290"/>
    <cfRule type="duplicateValues" dxfId="256" priority="291"/>
    <cfRule type="duplicateValues" dxfId="255" priority="292"/>
    <cfRule type="duplicateValues" dxfId="254" priority="293"/>
    <cfRule type="duplicateValues" dxfId="253" priority="294"/>
    <cfRule type="duplicateValues" dxfId="252" priority="295"/>
    <cfRule type="duplicateValues" dxfId="251" priority="296"/>
    <cfRule type="duplicateValues" dxfId="250" priority="297"/>
    <cfRule type="duplicateValues" dxfId="249" priority="298"/>
    <cfRule type="duplicateValues" dxfId="248" priority="299"/>
    <cfRule type="duplicateValues" dxfId="247" priority="300"/>
    <cfRule type="duplicateValues" dxfId="246" priority="301"/>
    <cfRule type="duplicateValues" dxfId="245" priority="302"/>
    <cfRule type="duplicateValues" dxfId="244" priority="303"/>
    <cfRule type="duplicateValues" dxfId="243" priority="304"/>
    <cfRule type="duplicateValues" dxfId="242" priority="305"/>
    <cfRule type="duplicateValues" dxfId="241" priority="306"/>
    <cfRule type="duplicateValues" dxfId="240" priority="307"/>
    <cfRule type="duplicateValues" dxfId="239" priority="308"/>
    <cfRule type="duplicateValues" dxfId="238" priority="309"/>
    <cfRule type="duplicateValues" dxfId="237" priority="310"/>
    <cfRule type="duplicateValues" dxfId="236" priority="311"/>
    <cfRule type="duplicateValues" dxfId="235" priority="312"/>
    <cfRule type="duplicateValues" dxfId="234" priority="313"/>
  </conditionalFormatting>
  <conditionalFormatting sqref="B12">
    <cfRule type="duplicateValues" dxfId="233" priority="234"/>
    <cfRule type="duplicateValues" dxfId="232" priority="235"/>
    <cfRule type="duplicateValues" dxfId="231" priority="236"/>
    <cfRule type="duplicateValues" dxfId="230" priority="237"/>
    <cfRule type="duplicateValues" dxfId="229" priority="238"/>
    <cfRule type="duplicateValues" dxfId="228" priority="239"/>
    <cfRule type="duplicateValues" dxfId="227" priority="240"/>
    <cfRule type="duplicateValues" dxfId="226" priority="241"/>
    <cfRule type="duplicateValues" dxfId="225" priority="242"/>
    <cfRule type="duplicateValues" dxfId="224" priority="243"/>
    <cfRule type="duplicateValues" dxfId="223" priority="244"/>
    <cfRule type="duplicateValues" dxfId="222" priority="245"/>
    <cfRule type="duplicateValues" dxfId="221" priority="246"/>
    <cfRule type="duplicateValues" dxfId="220" priority="247"/>
    <cfRule type="duplicateValues" dxfId="219" priority="248"/>
    <cfRule type="duplicateValues" dxfId="218" priority="249"/>
    <cfRule type="duplicateValues" dxfId="217" priority="250"/>
    <cfRule type="duplicateValues" dxfId="216" priority="251"/>
    <cfRule type="duplicateValues" dxfId="215" priority="252"/>
    <cfRule type="duplicateValues" dxfId="214" priority="253"/>
    <cfRule type="duplicateValues" dxfId="213" priority="254"/>
    <cfRule type="duplicateValues" dxfId="212" priority="255"/>
    <cfRule type="duplicateValues" dxfId="211" priority="256"/>
    <cfRule type="duplicateValues" dxfId="210" priority="257"/>
    <cfRule type="duplicateValues" dxfId="209" priority="258"/>
    <cfRule type="duplicateValues" dxfId="208" priority="259"/>
    <cfRule type="duplicateValues" dxfId="207" priority="260"/>
    <cfRule type="duplicateValues" dxfId="206" priority="261"/>
    <cfRule type="duplicateValues" dxfId="205" priority="262"/>
    <cfRule type="duplicateValues" dxfId="204" priority="263"/>
    <cfRule type="duplicateValues" dxfId="203" priority="264"/>
    <cfRule type="duplicateValues" dxfId="202" priority="265"/>
    <cfRule type="duplicateValues" dxfId="201" priority="266"/>
    <cfRule type="duplicateValues" dxfId="200" priority="267"/>
    <cfRule type="duplicateValues" dxfId="199" priority="268"/>
    <cfRule type="duplicateValues" dxfId="198" priority="269"/>
    <cfRule type="duplicateValues" dxfId="197" priority="270"/>
    <cfRule type="duplicateValues" dxfId="196" priority="271"/>
    <cfRule type="duplicateValues" dxfId="195" priority="272"/>
    <cfRule type="duplicateValues" dxfId="194" priority="273"/>
    <cfRule type="duplicateValues" dxfId="193" priority="274"/>
    <cfRule type="duplicateValues" dxfId="192" priority="275"/>
    <cfRule type="duplicateValues" dxfId="191" priority="276"/>
    <cfRule type="duplicateValues" dxfId="190" priority="277"/>
    <cfRule type="duplicateValues" dxfId="189" priority="278"/>
  </conditionalFormatting>
  <conditionalFormatting sqref="B9">
    <cfRule type="duplicateValues" dxfId="188" priority="210"/>
    <cfRule type="duplicateValues" dxfId="187" priority="211"/>
    <cfRule type="duplicateValues" dxfId="186" priority="212"/>
    <cfRule type="duplicateValues" dxfId="185" priority="213"/>
    <cfRule type="duplicateValues" dxfId="184" priority="214"/>
    <cfRule type="duplicateValues" dxfId="183" priority="215"/>
    <cfRule type="duplicateValues" dxfId="182" priority="216"/>
    <cfRule type="duplicateValues" dxfId="181" priority="217"/>
    <cfRule type="duplicateValues" dxfId="180" priority="218"/>
    <cfRule type="duplicateValues" dxfId="179" priority="219"/>
    <cfRule type="duplicateValues" dxfId="178" priority="220"/>
    <cfRule type="duplicateValues" dxfId="177" priority="221"/>
    <cfRule type="duplicateValues" dxfId="176" priority="222"/>
    <cfRule type="duplicateValues" dxfId="175" priority="223"/>
    <cfRule type="duplicateValues" dxfId="174" priority="224"/>
    <cfRule type="duplicateValues" dxfId="173" priority="225"/>
    <cfRule type="duplicateValues" dxfId="172" priority="226"/>
    <cfRule type="duplicateValues" dxfId="171" priority="227"/>
    <cfRule type="duplicateValues" dxfId="170" priority="228"/>
    <cfRule type="duplicateValues" dxfId="169" priority="229"/>
    <cfRule type="duplicateValues" dxfId="168" priority="230"/>
    <cfRule type="duplicateValues" dxfId="167" priority="231"/>
    <cfRule type="duplicateValues" dxfId="166" priority="232"/>
    <cfRule type="duplicateValues" dxfId="165" priority="233"/>
  </conditionalFormatting>
  <conditionalFormatting sqref="B5">
    <cfRule type="duplicateValues" dxfId="164" priority="166"/>
    <cfRule type="duplicateValues" dxfId="163" priority="167"/>
    <cfRule type="duplicateValues" dxfId="162" priority="168"/>
    <cfRule type="duplicateValues" dxfId="161" priority="169"/>
    <cfRule type="duplicateValues" dxfId="160" priority="170"/>
    <cfRule type="duplicateValues" dxfId="159" priority="171"/>
    <cfRule type="duplicateValues" dxfId="158" priority="172"/>
    <cfRule type="duplicateValues" dxfId="157" priority="173"/>
    <cfRule type="duplicateValues" dxfId="156" priority="174"/>
    <cfRule type="duplicateValues" dxfId="155" priority="175"/>
    <cfRule type="duplicateValues" dxfId="154" priority="176"/>
    <cfRule type="duplicateValues" dxfId="153" priority="177"/>
    <cfRule type="duplicateValues" dxfId="152" priority="178"/>
    <cfRule type="duplicateValues" dxfId="151" priority="179"/>
    <cfRule type="duplicateValues" dxfId="150" priority="180"/>
    <cfRule type="duplicateValues" dxfId="149" priority="181"/>
    <cfRule type="duplicateValues" dxfId="148" priority="182"/>
    <cfRule type="duplicateValues" dxfId="147" priority="183"/>
    <cfRule type="duplicateValues" dxfId="146" priority="184"/>
    <cfRule type="duplicateValues" dxfId="145" priority="185"/>
    <cfRule type="duplicateValues" dxfId="144" priority="186"/>
    <cfRule type="duplicateValues" dxfId="143" priority="187"/>
    <cfRule type="duplicateValues" dxfId="142" priority="188"/>
    <cfRule type="duplicateValues" dxfId="141" priority="189"/>
    <cfRule type="duplicateValues" dxfId="140" priority="190"/>
    <cfRule type="duplicateValues" dxfId="139" priority="191"/>
    <cfRule type="duplicateValues" dxfId="138" priority="192"/>
    <cfRule type="duplicateValues" dxfId="137" priority="193"/>
    <cfRule type="duplicateValues" dxfId="136" priority="194"/>
    <cfRule type="duplicateValues" dxfId="135" priority="195"/>
    <cfRule type="duplicateValues" dxfId="134" priority="196"/>
    <cfRule type="duplicateValues" dxfId="133" priority="197"/>
    <cfRule type="duplicateValues" dxfId="132" priority="198"/>
    <cfRule type="duplicateValues" dxfId="131" priority="199"/>
    <cfRule type="duplicateValues" dxfId="130" priority="200"/>
    <cfRule type="duplicateValues" dxfId="129" priority="201"/>
    <cfRule type="duplicateValues" dxfId="128" priority="202"/>
    <cfRule type="duplicateValues" dxfId="127" priority="203"/>
    <cfRule type="duplicateValues" dxfId="126" priority="204"/>
    <cfRule type="duplicateValues" dxfId="125" priority="205"/>
    <cfRule type="duplicateValues" dxfId="124" priority="206"/>
    <cfRule type="duplicateValues" dxfId="123" priority="207"/>
    <cfRule type="duplicateValues" dxfId="122" priority="208"/>
    <cfRule type="duplicateValues" dxfId="121" priority="209"/>
  </conditionalFormatting>
  <conditionalFormatting sqref="B6">
    <cfRule type="duplicateValues" dxfId="120" priority="165"/>
  </conditionalFormatting>
  <conditionalFormatting sqref="B11">
    <cfRule type="duplicateValues" dxfId="119" priority="314"/>
  </conditionalFormatting>
  <conditionalFormatting sqref="B8">
    <cfRule type="duplicateValues" dxfId="118" priority="41"/>
    <cfRule type="duplicateValues" dxfId="117" priority="42"/>
    <cfRule type="duplicateValues" dxfId="116" priority="43"/>
    <cfRule type="duplicateValues" dxfId="115" priority="44"/>
    <cfRule type="duplicateValues" dxfId="114" priority="45"/>
    <cfRule type="duplicateValues" dxfId="113" priority="46"/>
    <cfRule type="duplicateValues" dxfId="112" priority="47"/>
    <cfRule type="duplicateValues" dxfId="111" priority="48"/>
    <cfRule type="duplicateValues" dxfId="110" priority="49"/>
    <cfRule type="duplicateValues" dxfId="109" priority="50"/>
    <cfRule type="duplicateValues" dxfId="108" priority="51"/>
    <cfRule type="duplicateValues" dxfId="107" priority="52"/>
    <cfRule type="duplicateValues" dxfId="106" priority="53"/>
    <cfRule type="duplicateValues" dxfId="105" priority="54"/>
    <cfRule type="duplicateValues" dxfId="104" priority="55"/>
    <cfRule type="duplicateValues" dxfId="103" priority="56"/>
    <cfRule type="duplicateValues" dxfId="102" priority="57"/>
    <cfRule type="duplicateValues" dxfId="101" priority="58"/>
    <cfRule type="duplicateValues" dxfId="100" priority="59"/>
    <cfRule type="duplicateValues" dxfId="99" priority="60"/>
    <cfRule type="duplicateValues" dxfId="98" priority="61"/>
    <cfRule type="duplicateValues" dxfId="97" priority="62"/>
    <cfRule type="duplicateValues" dxfId="96" priority="63"/>
    <cfRule type="duplicateValues" dxfId="95" priority="64"/>
    <cfRule type="duplicateValues" dxfId="94" priority="65"/>
    <cfRule type="duplicateValues" dxfId="93" priority="66"/>
    <cfRule type="duplicateValues" dxfId="92" priority="67"/>
    <cfRule type="duplicateValues" dxfId="91" priority="68"/>
    <cfRule type="duplicateValues" dxfId="90" priority="69"/>
    <cfRule type="duplicateValues" dxfId="89" priority="70"/>
    <cfRule type="duplicateValues" dxfId="88" priority="71"/>
    <cfRule type="duplicateValues" dxfId="87" priority="72"/>
    <cfRule type="duplicateValues" dxfId="86" priority="73"/>
    <cfRule type="duplicateValues" dxfId="85" priority="74"/>
    <cfRule type="duplicateValues" dxfId="84" priority="75"/>
    <cfRule type="duplicateValues" dxfId="83" priority="76"/>
    <cfRule type="duplicateValues" dxfId="82" priority="77"/>
    <cfRule type="duplicateValues" dxfId="81" priority="78"/>
    <cfRule type="duplicateValues" dxfId="80" priority="79"/>
    <cfRule type="duplicateValues" dxfId="79" priority="80"/>
  </conditionalFormatting>
  <conditionalFormatting sqref="B5">
    <cfRule type="containsText" dxfId="78" priority="121" operator="containsText" text="TBA">
      <formula>NOT(ISERROR(SEARCH("TBA",B5)))</formula>
    </cfRule>
  </conditionalFormatting>
  <conditionalFormatting sqref="C5">
    <cfRule type="containsText" dxfId="77" priority="35" operator="containsText" text="TBA">
      <formula>NOT(ISERROR(SEARCH("TBA",C5)))</formula>
    </cfRule>
  </conditionalFormatting>
  <conditionalFormatting sqref="C15:C16">
    <cfRule type="duplicateValues" dxfId="76" priority="26"/>
    <cfRule type="duplicateValues" dxfId="75" priority="27"/>
    <cfRule type="duplicateValues" dxfId="74" priority="28"/>
  </conditionalFormatting>
  <conditionalFormatting sqref="C5">
    <cfRule type="duplicateValues" dxfId="73" priority="32"/>
    <cfRule type="duplicateValues" dxfId="72" priority="33"/>
    <cfRule type="duplicateValues" dxfId="71" priority="34"/>
  </conditionalFormatting>
  <conditionalFormatting sqref="C14">
    <cfRule type="duplicateValues" dxfId="70" priority="39"/>
    <cfRule type="duplicateValues" dxfId="69" priority="40"/>
  </conditionalFormatting>
  <conditionalFormatting sqref="C12">
    <cfRule type="duplicateValues" dxfId="68" priority="36"/>
    <cfRule type="duplicateValues" dxfId="67" priority="37"/>
    <cfRule type="duplicateValues" dxfId="66" priority="38"/>
  </conditionalFormatting>
  <conditionalFormatting sqref="D5">
    <cfRule type="containsText" dxfId="65" priority="14" operator="containsText" text="TBA">
      <formula>NOT(ISERROR(SEARCH("TBA",D5)))</formula>
    </cfRule>
  </conditionalFormatting>
  <conditionalFormatting sqref="D14">
    <cfRule type="duplicateValues" dxfId="64" priority="18"/>
    <cfRule type="duplicateValues" dxfId="63" priority="19"/>
  </conditionalFormatting>
  <conditionalFormatting sqref="D12">
    <cfRule type="duplicateValues" dxfId="62" priority="15"/>
    <cfRule type="duplicateValues" dxfId="61" priority="16"/>
    <cfRule type="duplicateValues" dxfId="60" priority="17"/>
  </conditionalFormatting>
  <conditionalFormatting sqref="D15">
    <cfRule type="duplicateValues" dxfId="59" priority="20"/>
    <cfRule type="duplicateValues" dxfId="58" priority="21"/>
    <cfRule type="duplicateValues" dxfId="57" priority="22"/>
  </conditionalFormatting>
  <conditionalFormatting sqref="D5">
    <cfRule type="duplicateValues" dxfId="56" priority="11"/>
    <cfRule type="duplicateValues" dxfId="55" priority="12"/>
    <cfRule type="duplicateValues" dxfId="54" priority="13"/>
  </conditionalFormatting>
  <conditionalFormatting sqref="L12">
    <cfRule type="duplicateValues" dxfId="53" priority="10"/>
  </conditionalFormatting>
  <conditionalFormatting sqref="L9">
    <cfRule type="duplicateValues" dxfId="52" priority="9"/>
  </conditionalFormatting>
  <conditionalFormatting sqref="AJ11">
    <cfRule type="duplicateValues" dxfId="51" priority="6"/>
  </conditionalFormatting>
  <conditionalFormatting sqref="M14">
    <cfRule type="duplicateValues" dxfId="50" priority="5"/>
  </conditionalFormatting>
  <conditionalFormatting sqref="N14">
    <cfRule type="duplicateValues" dxfId="49" priority="4"/>
  </conditionalFormatting>
  <conditionalFormatting sqref="C8">
    <cfRule type="duplicateValues" dxfId="48" priority="1"/>
    <cfRule type="duplicateValues" dxfId="47" priority="2"/>
    <cfRule type="duplicateValues" dxfId="46" priority="3"/>
  </conditionalFormatting>
  <conditionalFormatting sqref="B7">
    <cfRule type="duplicateValues" dxfId="45" priority="317"/>
    <cfRule type="duplicateValues" dxfId="44" priority="318"/>
    <cfRule type="duplicateValues" dxfId="43" priority="319"/>
    <cfRule type="duplicateValues" dxfId="42" priority="320"/>
    <cfRule type="duplicateValues" dxfId="41" priority="321"/>
    <cfRule type="duplicateValues" dxfId="40" priority="322"/>
    <cfRule type="duplicateValues" dxfId="39" priority="323"/>
    <cfRule type="duplicateValues" dxfId="38" priority="324"/>
    <cfRule type="duplicateValues" dxfId="37" priority="325"/>
    <cfRule type="duplicateValues" dxfId="36" priority="326"/>
    <cfRule type="duplicateValues" dxfId="35" priority="327"/>
    <cfRule type="duplicateValues" dxfId="34" priority="328"/>
    <cfRule type="duplicateValues" dxfId="33" priority="329"/>
    <cfRule type="duplicateValues" dxfId="32" priority="330"/>
    <cfRule type="duplicateValues" dxfId="31" priority="331"/>
    <cfRule type="duplicateValues" dxfId="30" priority="332"/>
    <cfRule type="duplicateValues" dxfId="29" priority="333"/>
    <cfRule type="duplicateValues" dxfId="28" priority="334"/>
    <cfRule type="duplicateValues" dxfId="27" priority="335"/>
    <cfRule type="duplicateValues" dxfId="26" priority="336"/>
    <cfRule type="duplicateValues" dxfId="25" priority="337"/>
    <cfRule type="duplicateValues" dxfId="24" priority="338"/>
    <cfRule type="duplicateValues" dxfId="23" priority="339"/>
    <cfRule type="duplicateValues" dxfId="22" priority="340"/>
    <cfRule type="duplicateValues" dxfId="21" priority="341"/>
    <cfRule type="duplicateValues" dxfId="20" priority="342"/>
    <cfRule type="duplicateValues" dxfId="19" priority="343"/>
    <cfRule type="duplicateValues" dxfId="18" priority="344"/>
    <cfRule type="duplicateValues" dxfId="17" priority="345"/>
    <cfRule type="duplicateValues" dxfId="16" priority="346"/>
    <cfRule type="duplicateValues" dxfId="15" priority="347"/>
    <cfRule type="duplicateValues" dxfId="14" priority="348"/>
    <cfRule type="duplicateValues" dxfId="13" priority="349"/>
    <cfRule type="duplicateValues" dxfId="12" priority="350"/>
    <cfRule type="duplicateValues" dxfId="11" priority="351"/>
    <cfRule type="duplicateValues" dxfId="10" priority="352"/>
    <cfRule type="duplicateValues" dxfId="9" priority="353"/>
    <cfRule type="duplicateValues" dxfId="8" priority="354"/>
    <cfRule type="duplicateValues" dxfId="7" priority="355"/>
    <cfRule type="duplicateValues" dxfId="6" priority="356"/>
    <cfRule type="duplicateValues" dxfId="5" priority="357"/>
    <cfRule type="duplicateValues" dxfId="4" priority="358"/>
  </conditionalFormatting>
  <conditionalFormatting sqref="C7">
    <cfRule type="duplicateValues" dxfId="3" priority="359"/>
    <cfRule type="duplicateValues" dxfId="2" priority="360"/>
    <cfRule type="duplicateValues" dxfId="1" priority="361"/>
  </conditionalFormatting>
  <conditionalFormatting sqref="L7">
    <cfRule type="duplicateValues" dxfId="0" priority="36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7119F-C42D-4B11-8395-23CD633BCF4D}">
  <dimension ref="E8:P10"/>
  <sheetViews>
    <sheetView workbookViewId="0">
      <selection activeCell="G18" sqref="G18"/>
    </sheetView>
  </sheetViews>
  <sheetFormatPr defaultRowHeight="15" x14ac:dyDescent="0.25"/>
  <cols>
    <col min="6" max="6" width="8" bestFit="1" customWidth="1"/>
    <col min="7" max="7" width="7.5703125" bestFit="1" customWidth="1"/>
    <col min="8" max="8" width="7" bestFit="1" customWidth="1"/>
    <col min="15" max="15" width="8.85546875" bestFit="1" customWidth="1"/>
  </cols>
  <sheetData>
    <row r="8" spans="5:16" ht="15.75" thickBot="1" x14ac:dyDescent="0.3"/>
    <row r="9" spans="5:16" ht="75" x14ac:dyDescent="0.25">
      <c r="E9" s="48" t="s">
        <v>38</v>
      </c>
      <c r="F9" s="49" t="s">
        <v>39</v>
      </c>
      <c r="G9" s="49" t="s">
        <v>40</v>
      </c>
      <c r="H9" s="49" t="s">
        <v>41</v>
      </c>
      <c r="I9" s="49" t="s">
        <v>42</v>
      </c>
      <c r="J9" s="49" t="s">
        <v>43</v>
      </c>
      <c r="K9" s="49" t="s">
        <v>44</v>
      </c>
      <c r="L9" s="49" t="s">
        <v>45</v>
      </c>
      <c r="M9" s="49" t="s">
        <v>46</v>
      </c>
      <c r="N9" s="49" t="s">
        <v>47</v>
      </c>
      <c r="O9" s="49" t="s">
        <v>35</v>
      </c>
      <c r="P9" s="49" t="s">
        <v>48</v>
      </c>
    </row>
    <row r="10" spans="5:16" ht="15.75" thickBot="1" x14ac:dyDescent="0.3">
      <c r="E10" s="50">
        <v>1</v>
      </c>
      <c r="F10" s="50">
        <v>0</v>
      </c>
      <c r="G10" s="50">
        <v>0</v>
      </c>
      <c r="H10" s="50">
        <v>11</v>
      </c>
      <c r="I10" s="50"/>
      <c r="J10" s="50"/>
      <c r="K10" s="50"/>
      <c r="L10" s="50"/>
      <c r="M10" s="50"/>
      <c r="N10" s="50"/>
      <c r="O10" s="50"/>
      <c r="P10" s="51">
        <f>SUM(F10:O10)</f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TALANA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Domtila -tracking</dc:creator>
  <cp:lastModifiedBy>Domtila -tracking</cp:lastModifiedBy>
  <dcterms:created xsi:type="dcterms:W3CDTF">2025-12-27T07:53:14Z</dcterms:created>
  <dcterms:modified xsi:type="dcterms:W3CDTF">2025-12-31T04:23:13Z</dcterms:modified>
</cp:coreProperties>
</file>