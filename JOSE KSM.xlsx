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um\Downloads\"/>
    </mc:Choice>
  </mc:AlternateContent>
  <xr:revisionPtr revIDLastSave="0" documentId="13_ncr:1_{B264AC0F-3758-44DD-A108-8FDE32C22C38}" xr6:coauthVersionLast="47" xr6:coauthVersionMax="47" xr10:uidLastSave="{00000000-0000-0000-0000-000000000000}"/>
  <bookViews>
    <workbookView xWindow="-120" yWindow="-120" windowWidth="20730" windowHeight="11040" firstSheet="18" activeTab="18" xr2:uid="{8DC22726-6140-4F48-B238-819A4FAA9561}"/>
  </bookViews>
  <sheets>
    <sheet name="11.8.2025" sheetId="3" state="hidden" r:id="rId1"/>
    <sheet name="12.8.2025" sheetId="1" state="hidden" r:id="rId2"/>
    <sheet name="13.8.2025" sheetId="4" state="hidden" r:id="rId3"/>
    <sheet name="14.8.2025" sheetId="5" state="hidden" r:id="rId4"/>
    <sheet name="15.8.2025" sheetId="6" state="hidden" r:id="rId5"/>
    <sheet name="18.8.2025 " sheetId="7" state="hidden" r:id="rId6"/>
    <sheet name="20.8.2025 " sheetId="8" state="hidden" r:id="rId7"/>
    <sheet name="23.8.2025" sheetId="9" state="hidden" r:id="rId8"/>
    <sheet name="25.8.2025" sheetId="10" state="hidden" r:id="rId9"/>
    <sheet name="03.9.2025 " sheetId="11" state="hidden" r:id="rId10"/>
    <sheet name="08.9.2025" sheetId="12" state="hidden" r:id="rId11"/>
    <sheet name="17.9.2025" sheetId="13" state="hidden" r:id="rId12"/>
    <sheet name="23.9.2025" sheetId="14" state="hidden" r:id="rId13"/>
    <sheet name="26.9.2025" sheetId="15" state="hidden" r:id="rId14"/>
    <sheet name="27.9.2025" sheetId="16" state="hidden" r:id="rId15"/>
    <sheet name="6.10.2025" sheetId="17" state="hidden" r:id="rId16"/>
    <sheet name="8.10.2025" sheetId="18" state="hidden" r:id="rId17"/>
    <sheet name="23.11.2025" sheetId="19" state="hidden" r:id="rId18"/>
    <sheet name="20.01.2026" sheetId="20" r:id="rId19"/>
    <sheet name="Sheet1" sheetId="21" state="hidden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20" l="1"/>
  <c r="I40" i="20"/>
  <c r="I35" i="20"/>
  <c r="I34" i="20"/>
  <c r="I33" i="20"/>
  <c r="I32" i="20"/>
  <c r="I27" i="20"/>
  <c r="I26" i="20"/>
  <c r="I25" i="20"/>
  <c r="I24" i="20"/>
  <c r="I23" i="20"/>
  <c r="I22" i="20"/>
  <c r="I21" i="20"/>
  <c r="I16" i="20"/>
  <c r="I15" i="20"/>
  <c r="A4" i="20" l="1"/>
  <c r="I22" i="19" l="1"/>
  <c r="I34" i="19"/>
  <c r="I33" i="19"/>
  <c r="I32" i="19"/>
  <c r="I31" i="19"/>
  <c r="I30" i="19"/>
  <c r="I29" i="19"/>
  <c r="I28" i="19"/>
  <c r="I27" i="19"/>
  <c r="A28" i="19"/>
  <c r="A29" i="19"/>
  <c r="A30" i="19"/>
  <c r="A31" i="19"/>
  <c r="A32" i="19"/>
  <c r="A33" i="19"/>
  <c r="A34" i="19"/>
  <c r="A27" i="19"/>
  <c r="A22" i="19"/>
  <c r="I14" i="19"/>
  <c r="I13" i="19"/>
  <c r="A10" i="19" l="1"/>
  <c r="A11" i="19"/>
  <c r="A12" i="19"/>
  <c r="A13" i="19"/>
  <c r="A14" i="19"/>
  <c r="A15" i="19"/>
  <c r="A9" i="19"/>
  <c r="A32" i="18" l="1"/>
  <c r="A33" i="18"/>
  <c r="A27" i="18"/>
  <c r="A18" i="18"/>
  <c r="A19" i="18"/>
  <c r="A20" i="18"/>
  <c r="A21" i="18"/>
  <c r="A17" i="18"/>
  <c r="A5" i="18"/>
  <c r="A6" i="18"/>
  <c r="A7" i="18"/>
  <c r="A8" i="18"/>
  <c r="A9" i="18"/>
  <c r="A10" i="18"/>
  <c r="A11" i="18"/>
  <c r="A4" i="18"/>
  <c r="I11" i="18"/>
  <c r="I10" i="18"/>
  <c r="I9" i="18"/>
  <c r="I8" i="18"/>
  <c r="I7" i="18"/>
  <c r="I6" i="18"/>
  <c r="I5" i="18"/>
  <c r="I4" i="18"/>
  <c r="I33" i="18"/>
  <c r="I32" i="18"/>
  <c r="I27" i="18"/>
  <c r="A23" i="17"/>
  <c r="A24" i="17"/>
  <c r="A25" i="17"/>
  <c r="A26" i="17"/>
  <c r="A27" i="17"/>
  <c r="A28" i="17"/>
  <c r="A29" i="17"/>
  <c r="A30" i="17"/>
  <c r="A31" i="17"/>
  <c r="A32" i="17"/>
  <c r="A33" i="17"/>
  <c r="A22" i="17"/>
  <c r="I23" i="17"/>
  <c r="I24" i="17"/>
  <c r="I25" i="17"/>
  <c r="I26" i="17"/>
  <c r="I27" i="17"/>
  <c r="I28" i="17"/>
  <c r="I30" i="17"/>
  <c r="I29" i="17"/>
  <c r="I31" i="17"/>
  <c r="I32" i="17"/>
  <c r="I22" i="17"/>
  <c r="I17" i="17"/>
  <c r="I33" i="17"/>
  <c r="A17" i="17" l="1"/>
  <c r="A37" i="16" l="1"/>
  <c r="A38" i="16"/>
  <c r="A39" i="16"/>
  <c r="A40" i="16"/>
  <c r="A41" i="16"/>
  <c r="A42" i="16"/>
  <c r="A43" i="16"/>
  <c r="A44" i="16"/>
  <c r="A45" i="16"/>
  <c r="A46" i="16"/>
  <c r="A47" i="16"/>
  <c r="A36" i="16"/>
  <c r="A30" i="16"/>
  <c r="A29" i="16"/>
  <c r="A28" i="16"/>
  <c r="A22" i="16"/>
  <c r="A21" i="16"/>
  <c r="A20" i="16"/>
  <c r="A19" i="16"/>
  <c r="A18" i="16"/>
  <c r="A17" i="16"/>
  <c r="A16" i="16"/>
  <c r="A15" i="16"/>
  <c r="A14" i="16"/>
  <c r="A13" i="16"/>
  <c r="A7" i="16"/>
  <c r="A29" i="15"/>
  <c r="A30" i="15"/>
  <c r="A28" i="15"/>
  <c r="A49" i="15"/>
  <c r="A50" i="15"/>
  <c r="A14" i="15"/>
  <c r="A15" i="15"/>
  <c r="A16" i="15"/>
  <c r="A17" i="15"/>
  <c r="A18" i="15"/>
  <c r="A19" i="15"/>
  <c r="A20" i="15"/>
  <c r="A21" i="15"/>
  <c r="A22" i="15"/>
  <c r="A13" i="15"/>
  <c r="A48" i="15" l="1"/>
  <c r="A37" i="15"/>
  <c r="A38" i="15"/>
  <c r="A39" i="15"/>
  <c r="A40" i="15"/>
  <c r="A41" i="15"/>
  <c r="A42" i="15"/>
  <c r="A43" i="15"/>
  <c r="A44" i="15"/>
  <c r="A45" i="15"/>
  <c r="A46" i="15"/>
  <c r="A47" i="15"/>
  <c r="A36" i="15"/>
  <c r="A7" i="15"/>
  <c r="A55" i="14"/>
  <c r="A54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23" i="14"/>
  <c r="A8" i="14"/>
  <c r="A9" i="14"/>
  <c r="A10" i="14"/>
  <c r="A11" i="14"/>
  <c r="A12" i="14"/>
  <c r="A13" i="14"/>
  <c r="A14" i="14"/>
  <c r="A15" i="14"/>
  <c r="A16" i="14"/>
  <c r="A41" i="14"/>
  <c r="A42" i="14"/>
  <c r="A43" i="14"/>
  <c r="A44" i="14"/>
  <c r="A45" i="14"/>
  <c r="A46" i="14"/>
  <c r="A47" i="14"/>
  <c r="A48" i="14"/>
  <c r="A7" i="14"/>
  <c r="A40" i="13"/>
  <c r="A41" i="13"/>
  <c r="A39" i="13"/>
  <c r="A26" i="13"/>
  <c r="A27" i="13"/>
  <c r="A28" i="13"/>
  <c r="A29" i="13"/>
  <c r="A30" i="13"/>
  <c r="A31" i="13"/>
  <c r="A13" i="13"/>
  <c r="A14" i="13"/>
  <c r="A16" i="13"/>
  <c r="A17" i="13"/>
  <c r="A18" i="13"/>
  <c r="A19" i="13"/>
  <c r="A32" i="13"/>
  <c r="A33" i="13"/>
  <c r="A20" i="13"/>
  <c r="A15" i="13"/>
  <c r="A7" i="13"/>
  <c r="A58" i="12" l="1"/>
  <c r="A59" i="12"/>
  <c r="A60" i="12"/>
  <c r="A57" i="12"/>
  <c r="A47" i="12"/>
  <c r="A48" i="12"/>
  <c r="A49" i="12"/>
  <c r="A50" i="12"/>
  <c r="A51" i="12"/>
  <c r="A52" i="12"/>
  <c r="A46" i="12"/>
  <c r="A36" i="12"/>
  <c r="A37" i="12"/>
  <c r="A38" i="12"/>
  <c r="A39" i="12"/>
  <c r="A40" i="12"/>
  <c r="A35" i="12"/>
  <c r="A23" i="12"/>
  <c r="A24" i="12"/>
  <c r="A25" i="12"/>
  <c r="A26" i="12"/>
  <c r="A27" i="12"/>
  <c r="A28" i="12"/>
  <c r="A29" i="12"/>
  <c r="A22" i="12"/>
  <c r="A8" i="12"/>
  <c r="A9" i="12"/>
  <c r="A10" i="12"/>
  <c r="A11" i="12"/>
  <c r="A12" i="12"/>
  <c r="A13" i="12"/>
  <c r="A14" i="12"/>
  <c r="A15" i="12"/>
  <c r="A16" i="12"/>
  <c r="A7" i="12"/>
  <c r="A53" i="11" l="1"/>
  <c r="A54" i="11"/>
  <c r="A55" i="11"/>
  <c r="A56" i="11"/>
  <c r="A57" i="11"/>
  <c r="A58" i="11"/>
  <c r="A59" i="11"/>
  <c r="A52" i="11"/>
  <c r="A38" i="11"/>
  <c r="A39" i="11"/>
  <c r="A3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17" i="11"/>
  <c r="A8" i="11"/>
  <c r="A9" i="11"/>
  <c r="A10" i="11"/>
  <c r="A11" i="11"/>
  <c r="A12" i="11"/>
  <c r="A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overland</author>
  </authors>
  <commentList>
    <comment ref="F4" authorId="0" shapeId="0" xr:uid="{E0B9933C-352B-4DA0-B825-BF5B43503961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15" authorId="0" shapeId="0" xr:uid="{1B70A3D7-C414-4745-BEA7-A43DC01934B8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16" authorId="0" shapeId="0" xr:uid="{2700AD98-623A-412F-A459-CD7AD42A96EB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1" authorId="0" shapeId="0" xr:uid="{D2AB6014-CF71-46CA-90DE-2651AD942228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2" authorId="0" shapeId="0" xr:uid="{E593C056-10CD-40AB-9ADB-915BB139B94F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3" authorId="0" shapeId="0" xr:uid="{2347A9DA-9D36-4CDB-A70E-E8E1B6F496A4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4" authorId="0" shapeId="0" xr:uid="{114E1DB1-A520-4300-B858-EAE8ED273F90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5" authorId="0" shapeId="0" xr:uid="{0DA6C583-AA64-421F-AE0F-344003D5C236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6" authorId="0" shapeId="0" xr:uid="{510F6D8F-DC34-404E-AEBC-E9B097525B80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  <comment ref="F27" authorId="0" shapeId="0" xr:uid="{F2C84A19-4B4A-4D8A-B539-E951FD42D7F5}">
      <text>
        <r>
          <rPr>
            <b/>
            <sz val="9"/>
            <color indexed="81"/>
            <rFont val="Tahoma"/>
            <family val="2"/>
          </rPr>
          <t>overland:</t>
        </r>
        <r>
          <rPr>
            <sz val="9"/>
            <color indexed="81"/>
            <rFont val="Tahoma"/>
            <family val="2"/>
          </rPr>
          <t xml:space="preserve">
tumezicancel kwa Willy amepatiwa Jose</t>
        </r>
      </text>
    </comment>
  </commentList>
</comments>
</file>

<file path=xl/sharedStrings.xml><?xml version="1.0" encoding="utf-8"?>
<sst xmlns="http://schemas.openxmlformats.org/spreadsheetml/2006/main" count="5455" uniqueCount="286">
  <si>
    <t>TUNDUMA</t>
  </si>
  <si>
    <t>NO</t>
  </si>
  <si>
    <t>TRUCK NO</t>
  </si>
  <si>
    <t>LOCATION</t>
  </si>
  <si>
    <t>CLIENT</t>
  </si>
  <si>
    <t>CONSIGNEE</t>
  </si>
  <si>
    <t>RUNNER</t>
  </si>
  <si>
    <t>AGENT</t>
  </si>
  <si>
    <t>DAYS</t>
  </si>
  <si>
    <t>BORDER</t>
  </si>
  <si>
    <t>T621CKK</t>
  </si>
  <si>
    <t>SLS</t>
  </si>
  <si>
    <t>KCC</t>
  </si>
  <si>
    <t>AGL</t>
  </si>
  <si>
    <t xml:space="preserve">K-LESA </t>
  </si>
  <si>
    <t>T449EFR</t>
  </si>
  <si>
    <t>CONNEX</t>
  </si>
  <si>
    <t>T904ECV</t>
  </si>
  <si>
    <t>T354DWZ</t>
  </si>
  <si>
    <t xml:space="preserve">DOUANE </t>
  </si>
  <si>
    <t>T859EBS</t>
  </si>
  <si>
    <t>NAKONDE TO K-LESA</t>
  </si>
  <si>
    <t>JOSE</t>
  </si>
  <si>
    <t>T212EES</t>
  </si>
  <si>
    <t>T477DZH</t>
  </si>
  <si>
    <t>T336EFR</t>
  </si>
  <si>
    <t>T859CQL</t>
  </si>
  <si>
    <t>T588CJT</t>
  </si>
  <si>
    <t>T971CAS</t>
  </si>
  <si>
    <t>T708DMS</t>
  </si>
  <si>
    <t xml:space="preserve"> K-LESA DRC</t>
  </si>
  <si>
    <t xml:space="preserve">DELAY REMARKS </t>
  </si>
  <si>
    <t>T767EAE</t>
  </si>
  <si>
    <t>K-LESA/DRC</t>
  </si>
  <si>
    <t>T334DWZ</t>
  </si>
  <si>
    <t>T884ECV</t>
  </si>
  <si>
    <t>T214EES</t>
  </si>
  <si>
    <t>T180EES</t>
  </si>
  <si>
    <t>T679CJT</t>
  </si>
  <si>
    <t>T152EJA</t>
  </si>
  <si>
    <t xml:space="preserve"> LOCATION</t>
  </si>
  <si>
    <t>T349DWZ</t>
  </si>
  <si>
    <t>T893CJS</t>
  </si>
  <si>
    <t>T621DPV</t>
  </si>
  <si>
    <t>NDOLA</t>
  </si>
  <si>
    <t>T320CFY</t>
  </si>
  <si>
    <t>T332DWZ</t>
  </si>
  <si>
    <t>T630DPW</t>
  </si>
  <si>
    <t>TUNDUMA TO K-LESA</t>
  </si>
  <si>
    <t>T885ECV</t>
  </si>
  <si>
    <t>T331DWZ</t>
  </si>
  <si>
    <t>DISPATCH</t>
  </si>
  <si>
    <t>T354DCA</t>
  </si>
  <si>
    <t>DOUANE</t>
  </si>
  <si>
    <t>T159DDY</t>
  </si>
  <si>
    <t>T706EHZ</t>
  </si>
  <si>
    <t>MKM</t>
  </si>
  <si>
    <t>K-LESA</t>
  </si>
  <si>
    <t>T399DZH</t>
  </si>
  <si>
    <t>T901ECV</t>
  </si>
  <si>
    <t>T480DZH</t>
  </si>
  <si>
    <t>T352DWZ</t>
  </si>
  <si>
    <t>T858DVK</t>
  </si>
  <si>
    <t>T307DRF</t>
  </si>
  <si>
    <t>KAPIRI</t>
  </si>
  <si>
    <t>BALUBA</t>
  </si>
  <si>
    <t>NAKONDE</t>
  </si>
  <si>
    <t>K-LESA/ZM</t>
  </si>
  <si>
    <t xml:space="preserve"> K-LESA ZMB</t>
  </si>
  <si>
    <t>PENSULO</t>
  </si>
  <si>
    <t>CHINSALI</t>
  </si>
  <si>
    <t>KAMANGU</t>
  </si>
  <si>
    <t>T704EHZ</t>
  </si>
  <si>
    <t>T356EFR</t>
  </si>
  <si>
    <t>T141EES</t>
  </si>
  <si>
    <t>T338EFR</t>
  </si>
  <si>
    <t>T896ECV</t>
  </si>
  <si>
    <t>T443DZH</t>
  </si>
  <si>
    <t>T320DWU</t>
  </si>
  <si>
    <t>T704DRY</t>
  </si>
  <si>
    <t>T298DRF</t>
  </si>
  <si>
    <t>T292DRM</t>
  </si>
  <si>
    <t>T650CJT</t>
  </si>
  <si>
    <t>T785CCY</t>
  </si>
  <si>
    <t>T597DPW</t>
  </si>
  <si>
    <t>T364EFR</t>
  </si>
  <si>
    <t>T703DRY</t>
  </si>
  <si>
    <t>T962CAS</t>
  </si>
  <si>
    <t>T935BZF</t>
  </si>
  <si>
    <t>T426BVZ</t>
  </si>
  <si>
    <t>T249CVP</t>
  </si>
  <si>
    <t>ISOKA</t>
  </si>
  <si>
    <t>T229DNF</t>
  </si>
  <si>
    <t>T545DMH</t>
  </si>
  <si>
    <t>SHIWANG`ANDU</t>
  </si>
  <si>
    <t>KALUNGU</t>
  </si>
  <si>
    <t>CHIKWANDA</t>
  </si>
  <si>
    <t>EXCELLEN MINES</t>
  </si>
  <si>
    <t>FUNGURUME</t>
  </si>
  <si>
    <t>MUTAKA DILOMBA</t>
  </si>
  <si>
    <t>KOLWEZI</t>
  </si>
  <si>
    <t>KISAMFU</t>
  </si>
  <si>
    <t>KISENDA</t>
  </si>
  <si>
    <t>KANYAKA</t>
  </si>
  <si>
    <t>LUBUMBASHI</t>
  </si>
  <si>
    <t>CHIMUTANDA</t>
  </si>
  <si>
    <t>T764EAE</t>
  </si>
  <si>
    <t>T139EES</t>
  </si>
  <si>
    <t>T355DZH</t>
  </si>
  <si>
    <t>T651BZY</t>
  </si>
  <si>
    <t>K-LESA/ZMB</t>
  </si>
  <si>
    <t>T781CRG</t>
  </si>
  <si>
    <t>BRILLIANT</t>
  </si>
  <si>
    <t>MANONO LITHIUM SAS</t>
  </si>
  <si>
    <t>SAS</t>
  </si>
  <si>
    <t>T580DMJ</t>
  </si>
  <si>
    <t>T854EBS</t>
  </si>
  <si>
    <t>T357DZH</t>
  </si>
  <si>
    <t>KITWE</t>
  </si>
  <si>
    <t>SERENJE</t>
  </si>
  <si>
    <t>KANONA</t>
  </si>
  <si>
    <t>T709EHZ</t>
  </si>
  <si>
    <t>BASHI</t>
  </si>
  <si>
    <t>SHITURU</t>
  </si>
  <si>
    <t>GN GROUP SERVICE SARL</t>
  </si>
  <si>
    <t>T448EFR</t>
  </si>
  <si>
    <t>T664BXN</t>
  </si>
  <si>
    <t>T341DWZ</t>
  </si>
  <si>
    <t>T505DQH</t>
  </si>
  <si>
    <t>T933DEY</t>
  </si>
  <si>
    <t>T516DQH</t>
  </si>
  <si>
    <t>CHITEMBO</t>
  </si>
  <si>
    <t>MUBANGA</t>
  </si>
  <si>
    <t>MPIKA</t>
  </si>
  <si>
    <t>CHILONGA</t>
  </si>
  <si>
    <t>T304CLR</t>
  </si>
  <si>
    <t>T335DWZ</t>
  </si>
  <si>
    <t>T440BVZ</t>
  </si>
  <si>
    <t>T373BVZ</t>
  </si>
  <si>
    <t>T145EES</t>
  </si>
  <si>
    <t>T168EES</t>
  </si>
  <si>
    <t>T198DYR</t>
  </si>
  <si>
    <t>MPULO</t>
  </si>
  <si>
    <t>MKUSHI</t>
  </si>
  <si>
    <t>CHIMOTO</t>
  </si>
  <si>
    <t>WHISKEY</t>
  </si>
  <si>
    <t>T186EES</t>
  </si>
  <si>
    <t>TALANA</t>
  </si>
  <si>
    <t>LA COMPAGNIE MINIERE DE KAMBOVE SAS</t>
  </si>
  <si>
    <t>T204DYR</t>
  </si>
  <si>
    <t>T208DYR</t>
  </si>
  <si>
    <t>T444DZH</t>
  </si>
  <si>
    <t>T487DEG</t>
  </si>
  <si>
    <t>T299DRF</t>
  </si>
  <si>
    <t>T872CQL</t>
  </si>
  <si>
    <t>T658BVB</t>
  </si>
  <si>
    <t>T189EGH</t>
  </si>
  <si>
    <t>T895ECV</t>
  </si>
  <si>
    <t>T357DWZ</t>
  </si>
  <si>
    <t>T358DWZ</t>
  </si>
  <si>
    <t>T154DDY</t>
  </si>
  <si>
    <t>T638BVP</t>
  </si>
  <si>
    <t>T798CCY</t>
  </si>
  <si>
    <t>T401EFR</t>
  </si>
  <si>
    <t>T578DMJ</t>
  </si>
  <si>
    <t>MKASI</t>
  </si>
  <si>
    <t>T497DMH</t>
  </si>
  <si>
    <t>T297EJA</t>
  </si>
  <si>
    <t>T722BVB</t>
  </si>
  <si>
    <t>MANNE DES BRAVES</t>
  </si>
  <si>
    <t>T709DMS</t>
  </si>
  <si>
    <t>MULEWA</t>
  </si>
  <si>
    <t>KASHITU</t>
  </si>
  <si>
    <t>T622DPV</t>
  </si>
  <si>
    <t>T324BZY</t>
  </si>
  <si>
    <t>T446EFR</t>
  </si>
  <si>
    <t>POSEIDON</t>
  </si>
  <si>
    <t>BROTHER MINING SASU</t>
  </si>
  <si>
    <t>CARGO CONGO</t>
  </si>
  <si>
    <t>T353DWZ</t>
  </si>
  <si>
    <t>T711DMS</t>
  </si>
  <si>
    <t>T857CJS</t>
  </si>
  <si>
    <t>T473DZH</t>
  </si>
  <si>
    <t>T596CJT</t>
  </si>
  <si>
    <t>T599BXN</t>
  </si>
  <si>
    <t>T203EES</t>
  </si>
  <si>
    <t>T197EES</t>
  </si>
  <si>
    <t>T360CXX</t>
  </si>
  <si>
    <t>T484DCZ</t>
  </si>
  <si>
    <t>T939DEY</t>
  </si>
  <si>
    <t>T684BZY</t>
  </si>
  <si>
    <t>T255CVP</t>
  </si>
  <si>
    <t>T751CRG</t>
  </si>
  <si>
    <t>T512DQH</t>
  </si>
  <si>
    <t>KAOLE</t>
  </si>
  <si>
    <t>T334EFR</t>
  </si>
  <si>
    <t>T541DMH</t>
  </si>
  <si>
    <t>T863CJS</t>
  </si>
  <si>
    <t>T903ECV</t>
  </si>
  <si>
    <t>T231DNF</t>
  </si>
  <si>
    <t>T879CQL</t>
  </si>
  <si>
    <t>T551DCZ</t>
  </si>
  <si>
    <t>T342DWZ</t>
  </si>
  <si>
    <t>T868CJS</t>
  </si>
  <si>
    <t>T157EES</t>
  </si>
  <si>
    <t>T717DMS</t>
  </si>
  <si>
    <t>T887CJS</t>
  </si>
  <si>
    <t>T663CJT</t>
  </si>
  <si>
    <t>T158DDY</t>
  </si>
  <si>
    <t>T640DPW</t>
  </si>
  <si>
    <t>T351DWZ</t>
  </si>
  <si>
    <t>T881EBS</t>
  </si>
  <si>
    <t>T699DRY</t>
  </si>
  <si>
    <t>T311EES</t>
  </si>
  <si>
    <t>T207DYR</t>
  </si>
  <si>
    <t>T500DMH</t>
  </si>
  <si>
    <t>MATUMBO</t>
  </si>
  <si>
    <t>BULAYA</t>
  </si>
  <si>
    <t>T628BVP</t>
  </si>
  <si>
    <t>T149DDY</t>
  </si>
  <si>
    <t>TBA</t>
  </si>
  <si>
    <t xml:space="preserve">GLENCORE </t>
  </si>
  <si>
    <t>MMT</t>
  </si>
  <si>
    <t>T859DVK</t>
  </si>
  <si>
    <t>T459DZH</t>
  </si>
  <si>
    <t>T787CCY</t>
  </si>
  <si>
    <t>T890ECV</t>
  </si>
  <si>
    <t>T193DYR</t>
  </si>
  <si>
    <t>T796DRY</t>
  </si>
  <si>
    <t>T716DMS</t>
  </si>
  <si>
    <t>T223EES</t>
  </si>
  <si>
    <t>SHIWANGAMU</t>
  </si>
  <si>
    <t>MUMI</t>
  </si>
  <si>
    <t>DOUANE EXPRESS</t>
  </si>
  <si>
    <t>CONNEXAFRICA</t>
  </si>
  <si>
    <t>COSMOS</t>
  </si>
  <si>
    <t>DATE</t>
  </si>
  <si>
    <t>T696CXU</t>
  </si>
  <si>
    <t>T619DPV</t>
  </si>
  <si>
    <t>T582DMJ</t>
  </si>
  <si>
    <t>T714DMS</t>
  </si>
  <si>
    <t>T362DCA</t>
  </si>
  <si>
    <t>T106DMZ</t>
  </si>
  <si>
    <t>T134EES</t>
  </si>
  <si>
    <t>T356DWZ</t>
  </si>
  <si>
    <t>T610CKK</t>
  </si>
  <si>
    <t>T206DYR</t>
  </si>
  <si>
    <t>T321CFY</t>
  </si>
  <si>
    <t xml:space="preserve">CONNEX </t>
  </si>
  <si>
    <t>T613CKK</t>
  </si>
  <si>
    <t>T362EFR</t>
  </si>
  <si>
    <t>T638DPW</t>
  </si>
  <si>
    <t>CHITIWA</t>
  </si>
  <si>
    <t>T816ENP</t>
  </si>
  <si>
    <t>T611DPW</t>
  </si>
  <si>
    <t>T710EHZ</t>
  </si>
  <si>
    <t>T475DZH</t>
  </si>
  <si>
    <t>T582ENQ</t>
  </si>
  <si>
    <t>T166DDY</t>
  </si>
  <si>
    <t>T583ENQ</t>
  </si>
  <si>
    <t>TRUCKS</t>
  </si>
  <si>
    <t>STATUS</t>
  </si>
  <si>
    <t>Tunduma</t>
  </si>
  <si>
    <t>Waiting for amended pre alert</t>
  </si>
  <si>
    <t>Iringa</t>
  </si>
  <si>
    <t>Missing  pre alert documents</t>
  </si>
  <si>
    <t>Nyororo</t>
  </si>
  <si>
    <t>Misugusugu</t>
  </si>
  <si>
    <t>Kibaha</t>
  </si>
  <si>
    <t>Kisarawe</t>
  </si>
  <si>
    <t>T329DWZ</t>
  </si>
  <si>
    <r>
      <t>T613CKK</t>
    </r>
    <r>
      <rPr>
        <b/>
        <sz val="11"/>
        <color rgb="FFFF0000"/>
        <rFont val="Calibri"/>
        <family val="2"/>
        <scheme val="minor"/>
      </rPr>
      <t>(T161DDY)</t>
    </r>
  </si>
  <si>
    <t xml:space="preserve">MUMI </t>
  </si>
  <si>
    <t>STE MINIERE DEZIWA SAS</t>
  </si>
  <si>
    <t>T301BZY</t>
  </si>
  <si>
    <t>SAKANIA</t>
  </si>
  <si>
    <t>T642CJT</t>
  </si>
  <si>
    <t>T148DDY</t>
  </si>
  <si>
    <t>SAKANIA ZMB</t>
  </si>
  <si>
    <t>T586DPW</t>
  </si>
  <si>
    <t>SAKANIA DRC</t>
  </si>
  <si>
    <t>KONKOLA</t>
  </si>
  <si>
    <t xml:space="preserve">KASHITU </t>
  </si>
  <si>
    <t>SAKANIA ZM</t>
  </si>
  <si>
    <r>
      <t xml:space="preserve">T203EES </t>
    </r>
    <r>
      <rPr>
        <b/>
        <sz val="11"/>
        <color rgb="FFFF0000"/>
        <rFont val="Calibri"/>
        <family val="2"/>
        <scheme val="minor"/>
      </rPr>
      <t>(T307EES)</t>
    </r>
  </si>
  <si>
    <t>COSMOS AFRIQUE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</si>
</sst>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4A597A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22" fontId="5" fillId="4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3" fillId="4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14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15" fontId="16" fillId="2" borderId="1" xfId="0" applyNumberFormat="1" applyFont="1" applyFill="1" applyBorder="1" applyAlignment="1">
      <alignment horizontal="center"/>
    </xf>
    <xf numFmtId="1" fontId="16" fillId="2" borderId="7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5" fontId="8" fillId="2" borderId="1" xfId="0" applyNumberFormat="1" applyFont="1" applyFill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15" fontId="16" fillId="2" borderId="6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5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5" fontId="16" fillId="2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Border="1"/>
    <xf numFmtId="0" fontId="11" fillId="6" borderId="1" xfId="0" applyFont="1" applyFill="1" applyBorder="1"/>
    <xf numFmtId="0" fontId="11" fillId="3" borderId="1" xfId="0" applyFont="1" applyFill="1" applyBorder="1"/>
    <xf numFmtId="0" fontId="7" fillId="0" borderId="0" xfId="0" applyFont="1" applyAlignment="1">
      <alignment horizontal="center"/>
    </xf>
    <xf numFmtId="0" fontId="7" fillId="2" borderId="0" xfId="0" applyFont="1" applyFill="1"/>
    <xf numFmtId="1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0" fontId="7" fillId="0" borderId="0" xfId="0" applyFont="1"/>
    <xf numFmtId="1" fontId="19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5" fontId="0" fillId="2" borderId="0" xfId="0" applyNumberFormat="1" applyFill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/>
    </xf>
    <xf numFmtId="0" fontId="0" fillId="0" borderId="0" xfId="0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1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4" borderId="0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15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0" xfId="0" applyFont="1" applyBorder="1"/>
  </cellXfs>
  <cellStyles count="1">
    <cellStyle name="Normal" xfId="0" builtinId="0"/>
  </cellStyles>
  <dxfs count="26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7503-3D84-46C0-9E02-97AE91B89E76}">
  <dimension ref="A1:J56"/>
  <sheetViews>
    <sheetView workbookViewId="0">
      <selection activeCell="M44" sqref="M44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11.140625" bestFit="1" customWidth="1"/>
    <col min="9" max="9" width="9.28515625" bestFit="1" customWidth="1"/>
  </cols>
  <sheetData>
    <row r="1" spans="1:10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t="15" customHeight="1" x14ac:dyDescent="0.25">
      <c r="A3" s="3">
        <v>1</v>
      </c>
      <c r="B3" s="21" t="s">
        <v>52</v>
      </c>
      <c r="C3" s="4" t="s">
        <v>0</v>
      </c>
      <c r="D3" s="7" t="s">
        <v>11</v>
      </c>
      <c r="E3" s="7" t="s">
        <v>12</v>
      </c>
      <c r="F3" s="24" t="s">
        <v>22</v>
      </c>
      <c r="G3" s="24" t="s">
        <v>53</v>
      </c>
      <c r="H3" s="24">
        <v>5</v>
      </c>
      <c r="I3" s="22"/>
      <c r="J3" s="8" t="s">
        <v>14</v>
      </c>
    </row>
    <row r="4" spans="1:10" x14ac:dyDescent="0.25">
      <c r="A4" s="3">
        <v>2</v>
      </c>
      <c r="B4" s="30" t="s">
        <v>55</v>
      </c>
      <c r="C4" s="31" t="s">
        <v>0</v>
      </c>
      <c r="D4" s="21" t="s">
        <v>11</v>
      </c>
      <c r="E4" s="7" t="s">
        <v>56</v>
      </c>
      <c r="F4" s="24" t="s">
        <v>22</v>
      </c>
      <c r="G4" s="7" t="s">
        <v>16</v>
      </c>
      <c r="H4" s="24">
        <v>1</v>
      </c>
      <c r="I4" s="24"/>
      <c r="J4" s="8" t="s">
        <v>57</v>
      </c>
    </row>
    <row r="5" spans="1:10" x14ac:dyDescent="0.25">
      <c r="A5" s="3">
        <v>3</v>
      </c>
      <c r="B5" s="30" t="s">
        <v>59</v>
      </c>
      <c r="C5" s="31" t="s">
        <v>0</v>
      </c>
      <c r="D5" s="24" t="s">
        <v>11</v>
      </c>
      <c r="E5" s="7" t="s">
        <v>56</v>
      </c>
      <c r="F5" s="24" t="s">
        <v>22</v>
      </c>
      <c r="G5" s="7" t="s">
        <v>16</v>
      </c>
      <c r="H5" s="24">
        <v>1</v>
      </c>
      <c r="I5" s="24"/>
      <c r="J5" s="8" t="s">
        <v>57</v>
      </c>
    </row>
    <row r="6" spans="1:10" x14ac:dyDescent="0.25">
      <c r="A6" s="3">
        <v>4</v>
      </c>
      <c r="B6" s="30" t="s">
        <v>60</v>
      </c>
      <c r="C6" s="31" t="s">
        <v>0</v>
      </c>
      <c r="D6" s="24" t="s">
        <v>11</v>
      </c>
      <c r="E6" s="7" t="s">
        <v>56</v>
      </c>
      <c r="F6" s="24" t="s">
        <v>22</v>
      </c>
      <c r="G6" s="7" t="s">
        <v>16</v>
      </c>
      <c r="H6" s="24">
        <v>1</v>
      </c>
      <c r="I6" s="24"/>
      <c r="J6" s="8" t="s">
        <v>57</v>
      </c>
    </row>
    <row r="7" spans="1:10" x14ac:dyDescent="0.25">
      <c r="A7" s="3">
        <v>5</v>
      </c>
      <c r="B7" s="30" t="s">
        <v>61</v>
      </c>
      <c r="C7" s="31" t="s">
        <v>0</v>
      </c>
      <c r="D7" s="24" t="s">
        <v>11</v>
      </c>
      <c r="E7" s="7" t="s">
        <v>56</v>
      </c>
      <c r="F7" s="24" t="s">
        <v>22</v>
      </c>
      <c r="G7" s="7" t="s">
        <v>16</v>
      </c>
      <c r="H7" s="24">
        <v>1</v>
      </c>
      <c r="I7" s="24"/>
      <c r="J7" s="8" t="s">
        <v>57</v>
      </c>
    </row>
    <row r="8" spans="1:10" x14ac:dyDescent="0.25">
      <c r="A8" s="3">
        <v>6</v>
      </c>
      <c r="B8" s="30" t="s">
        <v>62</v>
      </c>
      <c r="C8" s="31" t="s">
        <v>0</v>
      </c>
      <c r="D8" s="24" t="s">
        <v>11</v>
      </c>
      <c r="E8" s="7" t="s">
        <v>56</v>
      </c>
      <c r="F8" s="24" t="s">
        <v>22</v>
      </c>
      <c r="G8" s="7" t="s">
        <v>16</v>
      </c>
      <c r="H8" s="24">
        <v>1</v>
      </c>
      <c r="I8" s="24"/>
      <c r="J8" s="8" t="s">
        <v>57</v>
      </c>
    </row>
    <row r="9" spans="1:10" x14ac:dyDescent="0.25">
      <c r="A9" s="3">
        <v>7</v>
      </c>
      <c r="B9" s="30" t="s">
        <v>63</v>
      </c>
      <c r="C9" s="31" t="s">
        <v>0</v>
      </c>
      <c r="D9" s="24" t="s">
        <v>11</v>
      </c>
      <c r="E9" s="7" t="s">
        <v>56</v>
      </c>
      <c r="F9" s="24" t="s">
        <v>22</v>
      </c>
      <c r="G9" s="7" t="s">
        <v>16</v>
      </c>
      <c r="H9" s="24">
        <v>1</v>
      </c>
      <c r="I9" s="24"/>
      <c r="J9" s="8" t="s">
        <v>57</v>
      </c>
    </row>
    <row r="10" spans="1:10" x14ac:dyDescent="0.25">
      <c r="A10" s="9"/>
      <c r="B10" s="19"/>
      <c r="C10" s="11"/>
      <c r="D10" s="18"/>
      <c r="E10" s="10"/>
      <c r="F10" s="10"/>
      <c r="G10" s="10"/>
      <c r="H10" s="10"/>
      <c r="I10" s="10"/>
      <c r="J10" s="13"/>
    </row>
    <row r="12" spans="1:10" x14ac:dyDescent="0.25">
      <c r="A12" s="111" t="s">
        <v>21</v>
      </c>
      <c r="B12" s="111"/>
      <c r="C12" s="111"/>
      <c r="D12" s="111"/>
      <c r="E12" s="111"/>
      <c r="F12" s="111"/>
      <c r="G12" s="111"/>
      <c r="H12" s="111"/>
      <c r="I12" s="111"/>
      <c r="J12" s="111"/>
    </row>
    <row r="13" spans="1:10" ht="15.75" x14ac:dyDescent="0.25">
      <c r="A13" s="1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/>
      <c r="J13" s="2" t="s">
        <v>9</v>
      </c>
    </row>
    <row r="14" spans="1:10" x14ac:dyDescent="0.25">
      <c r="A14" s="3">
        <v>1</v>
      </c>
      <c r="B14" s="26" t="s">
        <v>26</v>
      </c>
      <c r="C14" s="4" t="s">
        <v>44</v>
      </c>
      <c r="D14" s="7" t="s">
        <v>11</v>
      </c>
      <c r="E14" s="6" t="s">
        <v>12</v>
      </c>
      <c r="F14" s="6" t="s">
        <v>22</v>
      </c>
      <c r="G14" s="6" t="s">
        <v>16</v>
      </c>
      <c r="H14" s="24"/>
      <c r="I14" s="6"/>
      <c r="J14" s="8" t="s">
        <v>14</v>
      </c>
    </row>
    <row r="15" spans="1:10" x14ac:dyDescent="0.25">
      <c r="A15" s="3">
        <v>2</v>
      </c>
      <c r="B15" s="28" t="s">
        <v>43</v>
      </c>
      <c r="C15" s="4" t="s">
        <v>64</v>
      </c>
      <c r="D15" s="7" t="s">
        <v>11</v>
      </c>
      <c r="E15" s="6" t="s">
        <v>12</v>
      </c>
      <c r="F15" s="6" t="s">
        <v>22</v>
      </c>
      <c r="G15" s="6" t="s">
        <v>13</v>
      </c>
      <c r="H15" s="6"/>
      <c r="I15" s="6"/>
      <c r="J15" s="8" t="s">
        <v>14</v>
      </c>
    </row>
    <row r="16" spans="1:10" ht="15" customHeight="1" x14ac:dyDescent="0.25">
      <c r="A16" s="3">
        <v>3</v>
      </c>
      <c r="B16" s="25" t="s">
        <v>54</v>
      </c>
      <c r="C16" s="4" t="s">
        <v>65</v>
      </c>
      <c r="D16" s="7" t="s">
        <v>11</v>
      </c>
      <c r="E16" s="7" t="s">
        <v>12</v>
      </c>
      <c r="F16" s="24" t="s">
        <v>22</v>
      </c>
      <c r="G16" s="24" t="s">
        <v>16</v>
      </c>
      <c r="H16" s="22"/>
      <c r="I16" s="22"/>
      <c r="J16" s="8" t="s">
        <v>14</v>
      </c>
    </row>
    <row r="17" spans="1:10" x14ac:dyDescent="0.25">
      <c r="A17" s="3">
        <v>4</v>
      </c>
      <c r="B17" s="30" t="s">
        <v>58</v>
      </c>
      <c r="C17" s="31" t="s">
        <v>66</v>
      </c>
      <c r="D17" s="21" t="s">
        <v>11</v>
      </c>
      <c r="E17" s="7" t="s">
        <v>56</v>
      </c>
      <c r="F17" s="24" t="s">
        <v>22</v>
      </c>
      <c r="G17" s="7" t="s">
        <v>16</v>
      </c>
      <c r="H17" s="24"/>
      <c r="I17" s="24"/>
      <c r="J17" s="8" t="s">
        <v>57</v>
      </c>
    </row>
    <row r="18" spans="1:10" x14ac:dyDescent="0.25">
      <c r="A18" s="9"/>
      <c r="B18" s="20"/>
      <c r="C18" s="11"/>
      <c r="D18" s="18"/>
      <c r="E18" s="10"/>
      <c r="F18" s="10"/>
      <c r="G18" s="10"/>
      <c r="H18" s="10"/>
      <c r="I18" s="10"/>
      <c r="J18" s="13"/>
    </row>
    <row r="19" spans="1:10" x14ac:dyDescent="0.25">
      <c r="A19" s="9"/>
      <c r="B19" s="20"/>
      <c r="C19" s="11"/>
      <c r="D19" s="18"/>
      <c r="E19" s="10"/>
      <c r="F19" s="10"/>
      <c r="G19" s="10"/>
      <c r="H19" s="10"/>
      <c r="I19" s="10"/>
      <c r="J19" s="13"/>
    </row>
    <row r="20" spans="1:10" hidden="1" x14ac:dyDescent="0.25">
      <c r="A20" s="9"/>
      <c r="B20" s="20"/>
      <c r="C20" s="11"/>
      <c r="D20" s="18"/>
      <c r="E20" s="10"/>
      <c r="F20" s="10"/>
      <c r="G20" s="10"/>
      <c r="H20" s="10"/>
      <c r="I20" s="10"/>
      <c r="J20" s="13"/>
    </row>
    <row r="21" spans="1:10" hidden="1" x14ac:dyDescent="0.25">
      <c r="A21" s="9"/>
      <c r="B21" s="20"/>
      <c r="C21" s="11"/>
      <c r="D21" s="18"/>
      <c r="E21" s="10"/>
      <c r="F21" s="10"/>
      <c r="G21" s="10"/>
      <c r="H21" s="10"/>
      <c r="I21" s="10"/>
      <c r="J21" s="13"/>
    </row>
    <row r="22" spans="1:10" hidden="1" x14ac:dyDescent="0.25">
      <c r="A22" s="9"/>
      <c r="B22" s="20"/>
      <c r="C22" s="11"/>
      <c r="D22" s="18"/>
      <c r="E22" s="10"/>
      <c r="F22" s="10"/>
      <c r="G22" s="10"/>
      <c r="H22" s="10"/>
      <c r="I22" s="10"/>
      <c r="J22" s="13"/>
    </row>
    <row r="23" spans="1:10" hidden="1" x14ac:dyDescent="0.25">
      <c r="A23" s="9"/>
      <c r="B23" s="10"/>
      <c r="C23" s="11"/>
      <c r="D23" s="12"/>
      <c r="E23" s="10"/>
      <c r="F23" s="12"/>
      <c r="G23" s="10"/>
      <c r="H23" s="10"/>
      <c r="I23" s="10"/>
      <c r="J23" s="13"/>
    </row>
    <row r="24" spans="1:10" hidden="1" x14ac:dyDescent="0.25"/>
    <row r="25" spans="1:10" hidden="1" x14ac:dyDescent="0.25"/>
    <row r="26" spans="1:10" ht="15.75" hidden="1" x14ac:dyDescent="0.25">
      <c r="A26" s="112" t="s">
        <v>51</v>
      </c>
      <c r="B26" s="112"/>
      <c r="C26" s="112"/>
      <c r="D26" s="112"/>
      <c r="E26" s="112"/>
      <c r="F26" s="112"/>
      <c r="G26" s="112"/>
      <c r="H26" s="112"/>
      <c r="I26" s="112"/>
      <c r="J26" s="112"/>
    </row>
    <row r="27" spans="1:10" ht="15.75" hidden="1" x14ac:dyDescent="0.25">
      <c r="A27" s="1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/>
      <c r="J27" s="2" t="s">
        <v>9</v>
      </c>
    </row>
    <row r="28" spans="1:10" hidden="1" x14ac:dyDescent="0.25">
      <c r="A28" s="16">
        <v>1</v>
      </c>
      <c r="B28" s="6" t="s">
        <v>32</v>
      </c>
      <c r="C28" s="17" t="s">
        <v>51</v>
      </c>
      <c r="D28" s="7" t="s">
        <v>11</v>
      </c>
      <c r="E28" s="6" t="s">
        <v>12</v>
      </c>
      <c r="F28" s="6" t="s">
        <v>22</v>
      </c>
      <c r="G28" s="6" t="s">
        <v>19</v>
      </c>
      <c r="H28" s="8">
        <v>9</v>
      </c>
      <c r="I28" s="6"/>
      <c r="J28" s="8" t="s">
        <v>14</v>
      </c>
    </row>
    <row r="29" spans="1:10" hidden="1" x14ac:dyDescent="0.25">
      <c r="A29" s="16">
        <v>6</v>
      </c>
      <c r="B29" s="7" t="s">
        <v>35</v>
      </c>
      <c r="C29" s="17" t="s">
        <v>51</v>
      </c>
      <c r="D29" s="7" t="s">
        <v>11</v>
      </c>
      <c r="E29" s="6" t="s">
        <v>12</v>
      </c>
      <c r="F29" s="6" t="s">
        <v>22</v>
      </c>
      <c r="G29" s="6" t="s">
        <v>19</v>
      </c>
      <c r="H29" s="8">
        <v>9</v>
      </c>
      <c r="I29" s="6"/>
      <c r="J29" s="8" t="s">
        <v>14</v>
      </c>
    </row>
    <row r="30" spans="1:10" hidden="1" x14ac:dyDescent="0.25">
      <c r="A30" s="3">
        <v>13</v>
      </c>
      <c r="B30" s="6" t="s">
        <v>29</v>
      </c>
      <c r="C30" s="17" t="s">
        <v>51</v>
      </c>
      <c r="D30" s="7" t="s">
        <v>11</v>
      </c>
      <c r="E30" s="6" t="s">
        <v>12</v>
      </c>
      <c r="F30" s="6" t="s">
        <v>22</v>
      </c>
      <c r="G30" s="6" t="s">
        <v>19</v>
      </c>
      <c r="H30" s="8">
        <v>6</v>
      </c>
      <c r="I30" s="6"/>
      <c r="J30" s="8" t="s">
        <v>14</v>
      </c>
    </row>
    <row r="33" spans="1:10" ht="15.75" x14ac:dyDescent="0.25">
      <c r="A33" s="113" t="s">
        <v>30</v>
      </c>
      <c r="B33" s="113"/>
      <c r="C33" s="113"/>
      <c r="D33" s="113"/>
      <c r="E33" s="113"/>
      <c r="F33" s="113"/>
      <c r="G33" s="113"/>
      <c r="H33" s="113"/>
      <c r="I33" s="113"/>
      <c r="J33" s="113"/>
    </row>
    <row r="34" spans="1:10" ht="29.45" customHeight="1" x14ac:dyDescent="0.25">
      <c r="A34" s="14" t="s">
        <v>1</v>
      </c>
      <c r="B34" s="15" t="s">
        <v>2</v>
      </c>
      <c r="C34" s="15" t="s">
        <v>40</v>
      </c>
      <c r="D34" s="15" t="s">
        <v>4</v>
      </c>
      <c r="E34" s="15" t="s">
        <v>5</v>
      </c>
      <c r="F34" s="15" t="s">
        <v>6</v>
      </c>
      <c r="G34" s="15" t="s">
        <v>7</v>
      </c>
      <c r="H34" s="15" t="s">
        <v>8</v>
      </c>
      <c r="I34" s="15" t="s">
        <v>31</v>
      </c>
      <c r="J34" s="15" t="s">
        <v>9</v>
      </c>
    </row>
    <row r="35" spans="1:10" x14ac:dyDescent="0.25">
      <c r="A35" s="16">
        <v>1</v>
      </c>
      <c r="B35" s="26" t="s">
        <v>34</v>
      </c>
      <c r="C35" s="17" t="s">
        <v>33</v>
      </c>
      <c r="D35" s="7" t="s">
        <v>11</v>
      </c>
      <c r="E35" s="6" t="s">
        <v>12</v>
      </c>
      <c r="F35" s="6" t="s">
        <v>22</v>
      </c>
      <c r="G35" s="6" t="s">
        <v>19</v>
      </c>
      <c r="H35" s="8">
        <v>14</v>
      </c>
      <c r="I35" s="6"/>
      <c r="J35" s="8" t="s">
        <v>14</v>
      </c>
    </row>
    <row r="36" spans="1:10" x14ac:dyDescent="0.25">
      <c r="A36" s="3">
        <v>2</v>
      </c>
      <c r="B36" s="26" t="s">
        <v>37</v>
      </c>
      <c r="C36" s="17" t="s">
        <v>33</v>
      </c>
      <c r="D36" s="7" t="s">
        <v>11</v>
      </c>
      <c r="E36" s="6" t="s">
        <v>12</v>
      </c>
      <c r="F36" s="6" t="s">
        <v>22</v>
      </c>
      <c r="G36" s="6" t="s">
        <v>19</v>
      </c>
      <c r="H36" s="8">
        <v>12</v>
      </c>
      <c r="I36" s="6"/>
      <c r="J36" s="8" t="s">
        <v>14</v>
      </c>
    </row>
    <row r="37" spans="1:10" x14ac:dyDescent="0.25">
      <c r="A37" s="3">
        <v>3</v>
      </c>
      <c r="B37" s="26" t="s">
        <v>38</v>
      </c>
      <c r="C37" s="17" t="s">
        <v>33</v>
      </c>
      <c r="D37" s="7" t="s">
        <v>11</v>
      </c>
      <c r="E37" s="6" t="s">
        <v>12</v>
      </c>
      <c r="F37" s="6" t="s">
        <v>22</v>
      </c>
      <c r="G37" s="6" t="s">
        <v>19</v>
      </c>
      <c r="H37" s="8">
        <v>12</v>
      </c>
      <c r="I37" s="6"/>
      <c r="J37" s="8" t="s">
        <v>14</v>
      </c>
    </row>
    <row r="38" spans="1:10" x14ac:dyDescent="0.25">
      <c r="A38" s="3">
        <v>4</v>
      </c>
      <c r="B38" s="26" t="s">
        <v>39</v>
      </c>
      <c r="C38" s="17" t="s">
        <v>33</v>
      </c>
      <c r="D38" s="7" t="s">
        <v>11</v>
      </c>
      <c r="E38" s="6" t="s">
        <v>12</v>
      </c>
      <c r="F38" s="6" t="s">
        <v>22</v>
      </c>
      <c r="G38" s="6" t="s">
        <v>19</v>
      </c>
      <c r="H38" s="8">
        <v>12</v>
      </c>
      <c r="I38" s="6"/>
      <c r="J38" s="8" t="s">
        <v>14</v>
      </c>
    </row>
    <row r="39" spans="1:10" x14ac:dyDescent="0.25">
      <c r="A39" s="3">
        <v>5</v>
      </c>
      <c r="B39" s="26" t="s">
        <v>23</v>
      </c>
      <c r="C39" s="17" t="s">
        <v>33</v>
      </c>
      <c r="D39" s="7" t="s">
        <v>11</v>
      </c>
      <c r="E39" s="6" t="s">
        <v>12</v>
      </c>
      <c r="F39" s="6" t="s">
        <v>22</v>
      </c>
      <c r="G39" s="6" t="s">
        <v>16</v>
      </c>
      <c r="H39" s="8">
        <v>9</v>
      </c>
      <c r="I39" s="6"/>
      <c r="J39" s="8" t="s">
        <v>14</v>
      </c>
    </row>
    <row r="40" spans="1:10" x14ac:dyDescent="0.25">
      <c r="A40" s="3">
        <v>6</v>
      </c>
      <c r="B40" s="26" t="s">
        <v>25</v>
      </c>
      <c r="C40" s="17" t="s">
        <v>33</v>
      </c>
      <c r="D40" s="7" t="s">
        <v>11</v>
      </c>
      <c r="E40" s="6" t="s">
        <v>12</v>
      </c>
      <c r="F40" s="6" t="s">
        <v>22</v>
      </c>
      <c r="G40" s="6" t="s">
        <v>13</v>
      </c>
      <c r="H40" s="8">
        <v>9</v>
      </c>
      <c r="I40" s="6"/>
      <c r="J40" s="8" t="s">
        <v>14</v>
      </c>
    </row>
    <row r="41" spans="1:10" x14ac:dyDescent="0.25">
      <c r="A41" s="3">
        <v>7</v>
      </c>
      <c r="B41" s="29" t="s">
        <v>49</v>
      </c>
      <c r="C41" s="17" t="s">
        <v>33</v>
      </c>
      <c r="D41" s="7" t="s">
        <v>11</v>
      </c>
      <c r="E41" s="6" t="s">
        <v>12</v>
      </c>
      <c r="F41" s="6" t="s">
        <v>22</v>
      </c>
      <c r="G41" s="24" t="s">
        <v>13</v>
      </c>
      <c r="H41" s="8">
        <v>9</v>
      </c>
      <c r="I41" s="22"/>
      <c r="J41" s="8" t="s">
        <v>14</v>
      </c>
    </row>
    <row r="42" spans="1:10" x14ac:dyDescent="0.25">
      <c r="A42" s="3">
        <v>8</v>
      </c>
      <c r="B42" s="26" t="s">
        <v>27</v>
      </c>
      <c r="C42" s="17" t="s">
        <v>33</v>
      </c>
      <c r="D42" s="7" t="s">
        <v>11</v>
      </c>
      <c r="E42" s="6" t="s">
        <v>12</v>
      </c>
      <c r="F42" s="6" t="s">
        <v>22</v>
      </c>
      <c r="G42" s="6" t="s">
        <v>19</v>
      </c>
      <c r="H42" s="8">
        <v>8</v>
      </c>
      <c r="I42" s="6"/>
      <c r="J42" s="8" t="s">
        <v>14</v>
      </c>
    </row>
    <row r="43" spans="1:10" x14ac:dyDescent="0.25">
      <c r="A43" s="3">
        <v>9</v>
      </c>
      <c r="B43" s="29" t="s">
        <v>50</v>
      </c>
      <c r="C43" s="17" t="s">
        <v>33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8</v>
      </c>
      <c r="I43" s="22"/>
      <c r="J43" s="8" t="s">
        <v>14</v>
      </c>
    </row>
    <row r="44" spans="1:10" x14ac:dyDescent="0.25">
      <c r="A44" s="3">
        <v>10</v>
      </c>
      <c r="B44" s="26" t="s">
        <v>36</v>
      </c>
      <c r="C44" s="17" t="s">
        <v>33</v>
      </c>
      <c r="D44" s="7" t="s">
        <v>11</v>
      </c>
      <c r="E44" s="6" t="s">
        <v>12</v>
      </c>
      <c r="F44" s="6" t="s">
        <v>22</v>
      </c>
      <c r="G44" s="6" t="s">
        <v>19</v>
      </c>
      <c r="H44" s="8">
        <v>7</v>
      </c>
      <c r="I44" s="6"/>
      <c r="J44" s="8" t="s">
        <v>14</v>
      </c>
    </row>
    <row r="45" spans="1:10" x14ac:dyDescent="0.25">
      <c r="A45" s="3">
        <v>11</v>
      </c>
      <c r="B45" s="26" t="s">
        <v>28</v>
      </c>
      <c r="C45" s="17" t="s">
        <v>33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7</v>
      </c>
      <c r="I45" s="6"/>
      <c r="J45" s="8" t="s">
        <v>14</v>
      </c>
    </row>
    <row r="46" spans="1:10" x14ac:dyDescent="0.25">
      <c r="A46" s="3">
        <v>12</v>
      </c>
      <c r="B46" s="29" t="s">
        <v>17</v>
      </c>
      <c r="C46" s="17" t="s">
        <v>33</v>
      </c>
      <c r="D46" s="5" t="s">
        <v>11</v>
      </c>
      <c r="E46" s="6" t="s">
        <v>12</v>
      </c>
      <c r="F46" s="6" t="s">
        <v>22</v>
      </c>
      <c r="G46" s="6" t="s">
        <v>16</v>
      </c>
      <c r="H46" s="8">
        <v>7</v>
      </c>
      <c r="I46" s="6"/>
      <c r="J46" s="8" t="s">
        <v>14</v>
      </c>
    </row>
    <row r="47" spans="1:10" x14ac:dyDescent="0.25">
      <c r="A47" s="3">
        <v>13</v>
      </c>
      <c r="B47" s="28" t="s">
        <v>45</v>
      </c>
      <c r="C47" s="17" t="s">
        <v>33</v>
      </c>
      <c r="D47" s="7" t="s">
        <v>11</v>
      </c>
      <c r="E47" s="6" t="s">
        <v>12</v>
      </c>
      <c r="F47" s="6" t="s">
        <v>22</v>
      </c>
      <c r="G47" s="6" t="s">
        <v>19</v>
      </c>
      <c r="H47" s="8">
        <v>7</v>
      </c>
      <c r="I47" s="6"/>
      <c r="J47" s="8" t="s">
        <v>14</v>
      </c>
    </row>
    <row r="48" spans="1:10" x14ac:dyDescent="0.25">
      <c r="A48" s="3">
        <v>14</v>
      </c>
      <c r="B48" s="26" t="s">
        <v>24</v>
      </c>
      <c r="C48" s="17" t="s">
        <v>33</v>
      </c>
      <c r="D48" s="7" t="s">
        <v>11</v>
      </c>
      <c r="E48" s="6" t="s">
        <v>12</v>
      </c>
      <c r="F48" s="6" t="s">
        <v>22</v>
      </c>
      <c r="G48" s="6" t="s">
        <v>19</v>
      </c>
      <c r="H48" s="8">
        <v>6</v>
      </c>
      <c r="I48" s="6"/>
      <c r="J48" s="8" t="s">
        <v>14</v>
      </c>
    </row>
    <row r="49" spans="1:10" x14ac:dyDescent="0.25">
      <c r="A49" s="3">
        <v>15</v>
      </c>
      <c r="B49" s="29" t="s">
        <v>18</v>
      </c>
      <c r="C49" s="17" t="s">
        <v>33</v>
      </c>
      <c r="D49" s="5" t="s">
        <v>11</v>
      </c>
      <c r="E49" s="6" t="s">
        <v>12</v>
      </c>
      <c r="F49" s="6" t="s">
        <v>22</v>
      </c>
      <c r="G49" s="6" t="s">
        <v>19</v>
      </c>
      <c r="H49" s="8">
        <v>6</v>
      </c>
      <c r="I49" s="6"/>
      <c r="J49" s="8" t="s">
        <v>14</v>
      </c>
    </row>
    <row r="50" spans="1:10" x14ac:dyDescent="0.25">
      <c r="A50" s="3">
        <v>16</v>
      </c>
      <c r="B50" s="29" t="s">
        <v>15</v>
      </c>
      <c r="C50" s="17" t="s">
        <v>33</v>
      </c>
      <c r="D50" s="5" t="s">
        <v>11</v>
      </c>
      <c r="E50" s="6" t="s">
        <v>12</v>
      </c>
      <c r="F50" s="6" t="s">
        <v>22</v>
      </c>
      <c r="G50" s="6" t="s">
        <v>16</v>
      </c>
      <c r="H50" s="8">
        <v>6</v>
      </c>
      <c r="I50" s="6"/>
      <c r="J50" s="8" t="s">
        <v>14</v>
      </c>
    </row>
    <row r="51" spans="1:10" x14ac:dyDescent="0.25">
      <c r="A51" s="3">
        <v>17</v>
      </c>
      <c r="B51" s="29" t="s">
        <v>20</v>
      </c>
      <c r="C51" s="17" t="s">
        <v>33</v>
      </c>
      <c r="D51" s="5" t="s">
        <v>11</v>
      </c>
      <c r="E51" s="6" t="s">
        <v>12</v>
      </c>
      <c r="F51" s="6" t="s">
        <v>22</v>
      </c>
      <c r="G51" s="6" t="s">
        <v>19</v>
      </c>
      <c r="H51" s="8">
        <v>6</v>
      </c>
      <c r="I51" s="6"/>
      <c r="J51" s="8" t="s">
        <v>14</v>
      </c>
    </row>
    <row r="52" spans="1:10" x14ac:dyDescent="0.25">
      <c r="A52" s="3">
        <v>18</v>
      </c>
      <c r="B52" s="28" t="s">
        <v>47</v>
      </c>
      <c r="C52" s="17" t="s">
        <v>33</v>
      </c>
      <c r="D52" s="21" t="s">
        <v>11</v>
      </c>
      <c r="E52" s="21" t="s">
        <v>12</v>
      </c>
      <c r="F52" s="6" t="s">
        <v>22</v>
      </c>
      <c r="G52" s="24" t="s">
        <v>13</v>
      </c>
      <c r="H52" s="8">
        <v>4</v>
      </c>
      <c r="I52" s="23"/>
      <c r="J52" s="8" t="s">
        <v>14</v>
      </c>
    </row>
    <row r="53" spans="1:10" x14ac:dyDescent="0.25">
      <c r="A53" s="3">
        <v>19</v>
      </c>
      <c r="B53" s="28" t="s">
        <v>46</v>
      </c>
      <c r="C53" s="17" t="s">
        <v>33</v>
      </c>
      <c r="D53" s="21" t="s">
        <v>11</v>
      </c>
      <c r="E53" s="21" t="s">
        <v>12</v>
      </c>
      <c r="F53" s="6" t="s">
        <v>22</v>
      </c>
      <c r="G53" s="6" t="s">
        <v>16</v>
      </c>
      <c r="H53" s="8">
        <v>4</v>
      </c>
      <c r="I53" s="23"/>
      <c r="J53" s="8" t="s">
        <v>14</v>
      </c>
    </row>
    <row r="54" spans="1:10" x14ac:dyDescent="0.25">
      <c r="A54" s="3">
        <v>20</v>
      </c>
      <c r="B54" s="28" t="s">
        <v>41</v>
      </c>
      <c r="C54" s="17" t="s">
        <v>33</v>
      </c>
      <c r="D54" s="7" t="s">
        <v>11</v>
      </c>
      <c r="E54" s="6" t="s">
        <v>12</v>
      </c>
      <c r="F54" s="6" t="s">
        <v>22</v>
      </c>
      <c r="G54" s="6" t="s">
        <v>16</v>
      </c>
      <c r="H54" s="8">
        <v>3</v>
      </c>
      <c r="I54" s="6"/>
      <c r="J54" s="8" t="s">
        <v>14</v>
      </c>
    </row>
    <row r="55" spans="1:10" x14ac:dyDescent="0.25">
      <c r="A55" s="3">
        <v>21</v>
      </c>
      <c r="B55" s="27" t="s">
        <v>10</v>
      </c>
      <c r="C55" s="17" t="s">
        <v>33</v>
      </c>
      <c r="D55" s="5" t="s">
        <v>11</v>
      </c>
      <c r="E55" s="6" t="s">
        <v>12</v>
      </c>
      <c r="F55" s="6" t="s">
        <v>22</v>
      </c>
      <c r="G55" s="6" t="s">
        <v>13</v>
      </c>
      <c r="H55" s="8">
        <v>2</v>
      </c>
      <c r="I55" s="6"/>
      <c r="J55" s="8" t="s">
        <v>14</v>
      </c>
    </row>
    <row r="56" spans="1:10" x14ac:dyDescent="0.25">
      <c r="A56" s="3">
        <v>22</v>
      </c>
      <c r="B56" s="28" t="s">
        <v>42</v>
      </c>
      <c r="C56" s="17" t="s">
        <v>33</v>
      </c>
      <c r="D56" s="7" t="s">
        <v>11</v>
      </c>
      <c r="E56" s="6" t="s">
        <v>12</v>
      </c>
      <c r="F56" s="6" t="s">
        <v>22</v>
      </c>
      <c r="G56" s="6" t="s">
        <v>16</v>
      </c>
      <c r="H56" s="8">
        <v>2</v>
      </c>
      <c r="I56" s="6"/>
      <c r="J56" s="8" t="s">
        <v>14</v>
      </c>
    </row>
  </sheetData>
  <mergeCells count="4">
    <mergeCell ref="A1:J1"/>
    <mergeCell ref="A12:J12"/>
    <mergeCell ref="A26:J26"/>
    <mergeCell ref="A33:J33"/>
  </mergeCells>
  <conditionalFormatting sqref="A24:A25">
    <cfRule type="duplicateValues" dxfId="2640" priority="9"/>
  </conditionalFormatting>
  <conditionalFormatting sqref="B1:B3 B10:B16 B18:B1048576">
    <cfRule type="duplicateValues" dxfId="2639" priority="18"/>
  </conditionalFormatting>
  <conditionalFormatting sqref="B1:B1048576">
    <cfRule type="duplicateValues" dxfId="2638" priority="1"/>
    <cfRule type="duplicateValues" dxfId="2637" priority="2"/>
    <cfRule type="duplicateValues" dxfId="2636" priority="3"/>
    <cfRule type="duplicateValues" dxfId="2635" priority="17"/>
  </conditionalFormatting>
  <conditionalFormatting sqref="B4">
    <cfRule type="duplicateValues" dxfId="2634" priority="4"/>
    <cfRule type="duplicateValues" dxfId="2633" priority="5"/>
  </conditionalFormatting>
  <conditionalFormatting sqref="B5:B9 B17">
    <cfRule type="duplicateValues" dxfId="2632" priority="6"/>
    <cfRule type="duplicateValues" dxfId="2631" priority="7"/>
  </conditionalFormatting>
  <conditionalFormatting sqref="B16 B3">
    <cfRule type="duplicateValues" dxfId="2630" priority="15"/>
  </conditionalFormatting>
  <conditionalFormatting sqref="B17 B4:B9">
    <cfRule type="duplicateValues" dxfId="2629" priority="8"/>
  </conditionalFormatting>
  <conditionalFormatting sqref="B18:B1048576 B10:B15 B1:B2">
    <cfRule type="duplicateValues" dxfId="2628" priority="19"/>
    <cfRule type="duplicateValues" dxfId="2627" priority="20"/>
    <cfRule type="duplicateValues" dxfId="2626" priority="21"/>
    <cfRule type="duplicateValues" dxfId="2625" priority="22"/>
  </conditionalFormatting>
  <conditionalFormatting sqref="B41 B18:B38 B43:B44 B57:B1048576">
    <cfRule type="duplicateValues" dxfId="2624" priority="26"/>
  </conditionalFormatting>
  <conditionalFormatting sqref="B48 B11 B2 B13:B14 B27:B32 B34:B40 B44:B45 B42 B23:B25">
    <cfRule type="duplicateValues" dxfId="2623" priority="16" stopIfTrue="1"/>
  </conditionalFormatting>
  <conditionalFormatting sqref="B49:B51 B46:B47 B15 B54:B56 B18:B22 B10">
    <cfRule type="duplicateValues" dxfId="2622" priority="10"/>
    <cfRule type="duplicateValues" dxfId="2621" priority="11" stopIfTrue="1"/>
  </conditionalFormatting>
  <conditionalFormatting sqref="B52:B53">
    <cfRule type="duplicateValues" dxfId="2620" priority="12"/>
    <cfRule type="duplicateValues" dxfId="2619" priority="13"/>
    <cfRule type="duplicateValues" dxfId="2618" priority="14"/>
  </conditionalFormatting>
  <conditionalFormatting sqref="B54:B1048576 B18:B51 B1:B2 B10:B15">
    <cfRule type="duplicateValues" dxfId="2617" priority="23"/>
    <cfRule type="duplicateValues" dxfId="2616" priority="24"/>
    <cfRule type="duplicateValues" dxfId="2615" priority="25"/>
  </conditionalFormatting>
  <conditionalFormatting sqref="B58:B1048576">
    <cfRule type="duplicateValues" dxfId="2614" priority="27"/>
    <cfRule type="duplicateValues" dxfId="2613" priority="2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3F90-E709-49FC-90EA-7F53969BF255}">
  <dimension ref="A1:J54"/>
  <sheetViews>
    <sheetView workbookViewId="0">
      <selection activeCell="H69" sqref="H69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11.140625" bestFit="1" customWidth="1"/>
    <col min="9" max="9" width="9.28515625" bestFit="1" customWidth="1"/>
  </cols>
  <sheetData>
    <row r="1" spans="1:10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t="15" customHeight="1" x14ac:dyDescent="0.25">
      <c r="A3" s="3">
        <v>1</v>
      </c>
      <c r="B3" s="21" t="s">
        <v>52</v>
      </c>
      <c r="C3" s="4" t="s">
        <v>0</v>
      </c>
      <c r="D3" s="7" t="s">
        <v>11</v>
      </c>
      <c r="E3" s="7" t="s">
        <v>12</v>
      </c>
      <c r="F3" s="24" t="s">
        <v>22</v>
      </c>
      <c r="G3" s="24" t="s">
        <v>53</v>
      </c>
      <c r="H3" s="24">
        <v>5</v>
      </c>
      <c r="I3" s="22"/>
      <c r="J3" s="8" t="s">
        <v>14</v>
      </c>
    </row>
    <row r="4" spans="1:10" x14ac:dyDescent="0.25">
      <c r="A4" s="3">
        <v>2</v>
      </c>
      <c r="B4" s="30" t="s">
        <v>55</v>
      </c>
      <c r="C4" s="31" t="s">
        <v>0</v>
      </c>
      <c r="D4" s="21" t="s">
        <v>11</v>
      </c>
      <c r="E4" s="7" t="s">
        <v>56</v>
      </c>
      <c r="F4" s="24" t="s">
        <v>22</v>
      </c>
      <c r="G4" s="7" t="s">
        <v>16</v>
      </c>
      <c r="H4" s="24">
        <v>1</v>
      </c>
      <c r="I4" s="24"/>
      <c r="J4" s="8" t="s">
        <v>57</v>
      </c>
    </row>
    <row r="5" spans="1:10" x14ac:dyDescent="0.25">
      <c r="A5" s="3">
        <v>3</v>
      </c>
      <c r="B5" s="30" t="s">
        <v>59</v>
      </c>
      <c r="C5" s="31" t="s">
        <v>0</v>
      </c>
      <c r="D5" s="24" t="s">
        <v>11</v>
      </c>
      <c r="E5" s="7" t="s">
        <v>56</v>
      </c>
      <c r="F5" s="24" t="s">
        <v>22</v>
      </c>
      <c r="G5" s="7" t="s">
        <v>16</v>
      </c>
      <c r="H5" s="24">
        <v>1</v>
      </c>
      <c r="I5" s="24"/>
      <c r="J5" s="8" t="s">
        <v>57</v>
      </c>
    </row>
    <row r="6" spans="1:10" x14ac:dyDescent="0.25">
      <c r="A6" s="3">
        <v>4</v>
      </c>
      <c r="B6" s="30" t="s">
        <v>60</v>
      </c>
      <c r="C6" s="31" t="s">
        <v>0</v>
      </c>
      <c r="D6" s="24" t="s">
        <v>11</v>
      </c>
      <c r="E6" s="7" t="s">
        <v>56</v>
      </c>
      <c r="F6" s="24" t="s">
        <v>22</v>
      </c>
      <c r="G6" s="7" t="s">
        <v>16</v>
      </c>
      <c r="H6" s="24">
        <v>1</v>
      </c>
      <c r="I6" s="24"/>
      <c r="J6" s="8" t="s">
        <v>57</v>
      </c>
    </row>
    <row r="7" spans="1:10" x14ac:dyDescent="0.25">
      <c r="A7" s="3">
        <v>5</v>
      </c>
      <c r="B7" s="30" t="s">
        <v>61</v>
      </c>
      <c r="C7" s="31" t="s">
        <v>0</v>
      </c>
      <c r="D7" s="24" t="s">
        <v>11</v>
      </c>
      <c r="E7" s="7" t="s">
        <v>56</v>
      </c>
      <c r="F7" s="24" t="s">
        <v>22</v>
      </c>
      <c r="G7" s="7" t="s">
        <v>16</v>
      </c>
      <c r="H7" s="24">
        <v>1</v>
      </c>
      <c r="I7" s="24"/>
      <c r="J7" s="8" t="s">
        <v>57</v>
      </c>
    </row>
    <row r="8" spans="1:10" x14ac:dyDescent="0.25">
      <c r="A8" s="3">
        <v>6</v>
      </c>
      <c r="B8" s="30" t="s">
        <v>62</v>
      </c>
      <c r="C8" s="31" t="s">
        <v>0</v>
      </c>
      <c r="D8" s="24" t="s">
        <v>11</v>
      </c>
      <c r="E8" s="7" t="s">
        <v>56</v>
      </c>
      <c r="F8" s="24" t="s">
        <v>22</v>
      </c>
      <c r="G8" s="7" t="s">
        <v>16</v>
      </c>
      <c r="H8" s="24">
        <v>1</v>
      </c>
      <c r="I8" s="24"/>
      <c r="J8" s="8" t="s">
        <v>57</v>
      </c>
    </row>
    <row r="9" spans="1:10" x14ac:dyDescent="0.25">
      <c r="A9" s="3">
        <v>7</v>
      </c>
      <c r="B9" s="30" t="s">
        <v>63</v>
      </c>
      <c r="C9" s="31" t="s">
        <v>0</v>
      </c>
      <c r="D9" s="24" t="s">
        <v>11</v>
      </c>
      <c r="E9" s="7" t="s">
        <v>56</v>
      </c>
      <c r="F9" s="24" t="s">
        <v>22</v>
      </c>
      <c r="G9" s="7" t="s">
        <v>16</v>
      </c>
      <c r="H9" s="24">
        <v>1</v>
      </c>
      <c r="I9" s="24"/>
      <c r="J9" s="8" t="s">
        <v>57</v>
      </c>
    </row>
    <row r="10" spans="1:10" x14ac:dyDescent="0.25">
      <c r="A10" s="9"/>
      <c r="B10" s="19"/>
      <c r="C10" s="11"/>
      <c r="D10" s="18"/>
      <c r="E10" s="10"/>
      <c r="F10" s="10"/>
      <c r="G10" s="10"/>
      <c r="H10" s="10"/>
      <c r="I10" s="10"/>
      <c r="J10" s="13"/>
    </row>
    <row r="12" spans="1:10" x14ac:dyDescent="0.25">
      <c r="A12" s="111" t="s">
        <v>21</v>
      </c>
      <c r="B12" s="111"/>
      <c r="C12" s="111"/>
      <c r="D12" s="111"/>
      <c r="E12" s="111"/>
      <c r="F12" s="111"/>
      <c r="G12" s="111"/>
      <c r="H12" s="111"/>
      <c r="I12" s="111"/>
      <c r="J12" s="111"/>
    </row>
    <row r="13" spans="1:10" ht="15.75" x14ac:dyDescent="0.25">
      <c r="A13" s="1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/>
      <c r="J13" s="2" t="s">
        <v>9</v>
      </c>
    </row>
    <row r="14" spans="1:10" x14ac:dyDescent="0.25">
      <c r="A14" s="3">
        <v>2</v>
      </c>
      <c r="B14" s="30" t="s">
        <v>43</v>
      </c>
      <c r="C14" s="4" t="s">
        <v>64</v>
      </c>
      <c r="D14" s="7" t="s">
        <v>11</v>
      </c>
      <c r="E14" s="6" t="s">
        <v>12</v>
      </c>
      <c r="F14" s="6" t="s">
        <v>22</v>
      </c>
      <c r="G14" s="6" t="s">
        <v>13</v>
      </c>
      <c r="H14" s="6"/>
      <c r="I14" s="6"/>
      <c r="J14" s="8" t="s">
        <v>14</v>
      </c>
    </row>
    <row r="15" spans="1:10" ht="15" customHeight="1" x14ac:dyDescent="0.25">
      <c r="A15" s="3">
        <v>3</v>
      </c>
      <c r="B15" s="21" t="s">
        <v>54</v>
      </c>
      <c r="C15" s="4" t="s">
        <v>65</v>
      </c>
      <c r="D15" s="7" t="s">
        <v>11</v>
      </c>
      <c r="E15" s="7" t="s">
        <v>12</v>
      </c>
      <c r="F15" s="24" t="s">
        <v>22</v>
      </c>
      <c r="G15" s="24" t="s">
        <v>16</v>
      </c>
      <c r="H15" s="22"/>
      <c r="I15" s="22"/>
      <c r="J15" s="8" t="s">
        <v>14</v>
      </c>
    </row>
    <row r="16" spans="1:10" x14ac:dyDescent="0.25">
      <c r="A16" s="9"/>
      <c r="B16" s="20"/>
      <c r="C16" s="11"/>
      <c r="D16" s="18"/>
      <c r="E16" s="10"/>
      <c r="F16" s="10"/>
      <c r="G16" s="10"/>
      <c r="H16" s="10"/>
      <c r="I16" s="10"/>
      <c r="J16" s="13"/>
    </row>
    <row r="17" spans="1:10" x14ac:dyDescent="0.25">
      <c r="A17" s="9"/>
      <c r="B17" s="20"/>
      <c r="C17" s="11"/>
      <c r="D17" s="18"/>
      <c r="E17" s="10"/>
      <c r="F17" s="10"/>
      <c r="G17" s="10"/>
      <c r="H17" s="10"/>
      <c r="I17" s="10"/>
      <c r="J17" s="13"/>
    </row>
    <row r="18" spans="1:10" x14ac:dyDescent="0.25">
      <c r="A18" s="111" t="s">
        <v>21</v>
      </c>
      <c r="B18" s="111"/>
      <c r="C18" s="111"/>
      <c r="D18" s="111"/>
      <c r="E18" s="111"/>
      <c r="F18" s="111"/>
      <c r="G18" s="111"/>
      <c r="H18" s="111"/>
      <c r="I18" s="111"/>
      <c r="J18" s="111"/>
    </row>
    <row r="19" spans="1:10" ht="15.75" x14ac:dyDescent="0.25">
      <c r="A19" s="1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/>
      <c r="J19" s="2" t="s">
        <v>9</v>
      </c>
    </row>
    <row r="20" spans="1:10" x14ac:dyDescent="0.25">
      <c r="A20" s="3">
        <v>1</v>
      </c>
      <c r="B20" s="7" t="s">
        <v>26</v>
      </c>
      <c r="C20" s="4" t="s">
        <v>44</v>
      </c>
      <c r="D20" s="7" t="s">
        <v>11</v>
      </c>
      <c r="E20" s="6" t="s">
        <v>12</v>
      </c>
      <c r="F20" s="6" t="s">
        <v>22</v>
      </c>
      <c r="G20" s="6" t="s">
        <v>16</v>
      </c>
      <c r="H20" s="24"/>
      <c r="I20" s="6"/>
      <c r="J20" s="8" t="s">
        <v>14</v>
      </c>
    </row>
    <row r="21" spans="1:10" x14ac:dyDescent="0.25">
      <c r="A21" s="3">
        <v>4</v>
      </c>
      <c r="B21" s="30" t="s">
        <v>58</v>
      </c>
      <c r="C21" s="31" t="s">
        <v>66</v>
      </c>
      <c r="D21" s="21" t="s">
        <v>11</v>
      </c>
      <c r="E21" s="7" t="s">
        <v>56</v>
      </c>
      <c r="F21" s="24" t="s">
        <v>22</v>
      </c>
      <c r="G21" s="7" t="s">
        <v>16</v>
      </c>
      <c r="H21" s="24"/>
      <c r="I21" s="24"/>
      <c r="J21" s="8" t="s">
        <v>57</v>
      </c>
    </row>
    <row r="24" spans="1:10" ht="15.75" x14ac:dyDescent="0.25">
      <c r="A24" s="112" t="s">
        <v>51</v>
      </c>
      <c r="B24" s="112"/>
      <c r="C24" s="112"/>
      <c r="D24" s="112"/>
      <c r="E24" s="112"/>
      <c r="F24" s="112"/>
      <c r="G24" s="112"/>
      <c r="H24" s="112"/>
      <c r="I24" s="112"/>
      <c r="J24" s="112"/>
    </row>
    <row r="25" spans="1:10" ht="15.75" x14ac:dyDescent="0.25">
      <c r="A25" s="1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/>
      <c r="J25" s="2" t="s">
        <v>9</v>
      </c>
    </row>
    <row r="26" spans="1:10" x14ac:dyDescent="0.25">
      <c r="A26" s="16">
        <v>1</v>
      </c>
      <c r="B26" s="6" t="s">
        <v>32</v>
      </c>
      <c r="C26" s="17" t="s">
        <v>51</v>
      </c>
      <c r="D26" s="7" t="s">
        <v>11</v>
      </c>
      <c r="E26" s="6" t="s">
        <v>12</v>
      </c>
      <c r="F26" s="6" t="s">
        <v>22</v>
      </c>
      <c r="G26" s="6" t="s">
        <v>19</v>
      </c>
      <c r="H26" s="8">
        <v>9</v>
      </c>
      <c r="I26" s="6"/>
      <c r="J26" s="8" t="s">
        <v>14</v>
      </c>
    </row>
    <row r="27" spans="1:10" x14ac:dyDescent="0.25">
      <c r="A27" s="16">
        <v>6</v>
      </c>
      <c r="B27" s="7" t="s">
        <v>35</v>
      </c>
      <c r="C27" s="17" t="s">
        <v>51</v>
      </c>
      <c r="D27" s="7" t="s">
        <v>11</v>
      </c>
      <c r="E27" s="6" t="s">
        <v>12</v>
      </c>
      <c r="F27" s="6" t="s">
        <v>22</v>
      </c>
      <c r="G27" s="6" t="s">
        <v>19</v>
      </c>
      <c r="H27" s="8">
        <v>9</v>
      </c>
      <c r="I27" s="6"/>
      <c r="J27" s="8" t="s">
        <v>14</v>
      </c>
    </row>
    <row r="28" spans="1:10" x14ac:dyDescent="0.25">
      <c r="A28" s="3">
        <v>13</v>
      </c>
      <c r="B28" s="6" t="s">
        <v>29</v>
      </c>
      <c r="C28" s="17" t="s">
        <v>51</v>
      </c>
      <c r="D28" s="7" t="s">
        <v>11</v>
      </c>
      <c r="E28" s="6" t="s">
        <v>12</v>
      </c>
      <c r="F28" s="6" t="s">
        <v>22</v>
      </c>
      <c r="G28" s="6" t="s">
        <v>19</v>
      </c>
      <c r="H28" s="8">
        <v>6</v>
      </c>
      <c r="I28" s="6"/>
      <c r="J28" s="8" t="s">
        <v>14</v>
      </c>
    </row>
    <row r="31" spans="1:10" ht="15.75" x14ac:dyDescent="0.25">
      <c r="A31" s="113" t="s">
        <v>30</v>
      </c>
      <c r="B31" s="113"/>
      <c r="C31" s="113"/>
      <c r="D31" s="113"/>
      <c r="E31" s="113"/>
      <c r="F31" s="113"/>
      <c r="G31" s="113"/>
      <c r="H31" s="113"/>
      <c r="I31" s="113"/>
      <c r="J31" s="113"/>
    </row>
    <row r="32" spans="1:10" ht="29.45" customHeight="1" x14ac:dyDescent="0.25">
      <c r="A32" s="14" t="s">
        <v>1</v>
      </c>
      <c r="B32" s="15" t="s">
        <v>2</v>
      </c>
      <c r="C32" s="15" t="s">
        <v>40</v>
      </c>
      <c r="D32" s="15" t="s">
        <v>4</v>
      </c>
      <c r="E32" s="15" t="s">
        <v>5</v>
      </c>
      <c r="F32" s="15" t="s">
        <v>6</v>
      </c>
      <c r="G32" s="15" t="s">
        <v>7</v>
      </c>
      <c r="H32" s="15" t="s">
        <v>8</v>
      </c>
      <c r="I32" s="15" t="s">
        <v>31</v>
      </c>
      <c r="J32" s="15" t="s">
        <v>9</v>
      </c>
    </row>
    <row r="33" spans="1:10" x14ac:dyDescent="0.25">
      <c r="A33" s="16">
        <v>1</v>
      </c>
      <c r="B33" s="26" t="s">
        <v>34</v>
      </c>
      <c r="C33" s="17" t="s">
        <v>33</v>
      </c>
      <c r="D33" s="7" t="s">
        <v>11</v>
      </c>
      <c r="E33" s="6" t="s">
        <v>12</v>
      </c>
      <c r="F33" s="6" t="s">
        <v>22</v>
      </c>
      <c r="G33" s="6" t="s">
        <v>19</v>
      </c>
      <c r="H33" s="8">
        <v>14</v>
      </c>
      <c r="I33" s="6"/>
      <c r="J33" s="8" t="s">
        <v>14</v>
      </c>
    </row>
    <row r="34" spans="1:10" x14ac:dyDescent="0.25">
      <c r="A34" s="3">
        <v>2</v>
      </c>
      <c r="B34" s="26" t="s">
        <v>37</v>
      </c>
      <c r="C34" s="17" t="s">
        <v>33</v>
      </c>
      <c r="D34" s="7" t="s">
        <v>11</v>
      </c>
      <c r="E34" s="6" t="s">
        <v>12</v>
      </c>
      <c r="F34" s="6" t="s">
        <v>22</v>
      </c>
      <c r="G34" s="6" t="s">
        <v>19</v>
      </c>
      <c r="H34" s="8">
        <v>12</v>
      </c>
      <c r="I34" s="6"/>
      <c r="J34" s="8" t="s">
        <v>14</v>
      </c>
    </row>
    <row r="35" spans="1:10" x14ac:dyDescent="0.25">
      <c r="A35" s="3">
        <v>3</v>
      </c>
      <c r="B35" s="26" t="s">
        <v>38</v>
      </c>
      <c r="C35" s="17" t="s">
        <v>33</v>
      </c>
      <c r="D35" s="7" t="s">
        <v>11</v>
      </c>
      <c r="E35" s="6" t="s">
        <v>12</v>
      </c>
      <c r="F35" s="6" t="s">
        <v>22</v>
      </c>
      <c r="G35" s="6" t="s">
        <v>19</v>
      </c>
      <c r="H35" s="8">
        <v>12</v>
      </c>
      <c r="I35" s="6"/>
      <c r="J35" s="8" t="s">
        <v>14</v>
      </c>
    </row>
    <row r="36" spans="1:10" x14ac:dyDescent="0.25">
      <c r="A36" s="3">
        <v>4</v>
      </c>
      <c r="B36" s="26" t="s">
        <v>39</v>
      </c>
      <c r="C36" s="17" t="s">
        <v>33</v>
      </c>
      <c r="D36" s="7" t="s">
        <v>11</v>
      </c>
      <c r="E36" s="6" t="s">
        <v>12</v>
      </c>
      <c r="F36" s="6" t="s">
        <v>22</v>
      </c>
      <c r="G36" s="6" t="s">
        <v>19</v>
      </c>
      <c r="H36" s="8">
        <v>12</v>
      </c>
      <c r="I36" s="6"/>
      <c r="J36" s="8" t="s">
        <v>14</v>
      </c>
    </row>
    <row r="37" spans="1:10" x14ac:dyDescent="0.25">
      <c r="A37" s="3">
        <v>5</v>
      </c>
      <c r="B37" s="26" t="s">
        <v>23</v>
      </c>
      <c r="C37" s="17" t="s">
        <v>33</v>
      </c>
      <c r="D37" s="7" t="s">
        <v>11</v>
      </c>
      <c r="E37" s="6" t="s">
        <v>12</v>
      </c>
      <c r="F37" s="6" t="s">
        <v>22</v>
      </c>
      <c r="G37" s="6" t="s">
        <v>16</v>
      </c>
      <c r="H37" s="8">
        <v>9</v>
      </c>
      <c r="I37" s="6"/>
      <c r="J37" s="8" t="s">
        <v>14</v>
      </c>
    </row>
    <row r="38" spans="1:10" x14ac:dyDescent="0.25">
      <c r="A38" s="3">
        <v>6</v>
      </c>
      <c r="B38" s="26" t="s">
        <v>25</v>
      </c>
      <c r="C38" s="17" t="s">
        <v>33</v>
      </c>
      <c r="D38" s="7" t="s">
        <v>11</v>
      </c>
      <c r="E38" s="6" t="s">
        <v>12</v>
      </c>
      <c r="F38" s="6" t="s">
        <v>22</v>
      </c>
      <c r="G38" s="6" t="s">
        <v>13</v>
      </c>
      <c r="H38" s="8">
        <v>9</v>
      </c>
      <c r="I38" s="6"/>
      <c r="J38" s="8" t="s">
        <v>14</v>
      </c>
    </row>
    <row r="39" spans="1:10" x14ac:dyDescent="0.25">
      <c r="A39" s="3">
        <v>7</v>
      </c>
      <c r="B39" s="29" t="s">
        <v>49</v>
      </c>
      <c r="C39" s="17" t="s">
        <v>33</v>
      </c>
      <c r="D39" s="7" t="s">
        <v>11</v>
      </c>
      <c r="E39" s="6" t="s">
        <v>12</v>
      </c>
      <c r="F39" s="6" t="s">
        <v>22</v>
      </c>
      <c r="G39" s="24" t="s">
        <v>13</v>
      </c>
      <c r="H39" s="8">
        <v>9</v>
      </c>
      <c r="I39" s="22"/>
      <c r="J39" s="8" t="s">
        <v>14</v>
      </c>
    </row>
    <row r="40" spans="1:10" x14ac:dyDescent="0.25">
      <c r="A40" s="3">
        <v>8</v>
      </c>
      <c r="B40" s="26" t="s">
        <v>27</v>
      </c>
      <c r="C40" s="17" t="s">
        <v>33</v>
      </c>
      <c r="D40" s="7" t="s">
        <v>11</v>
      </c>
      <c r="E40" s="6" t="s">
        <v>12</v>
      </c>
      <c r="F40" s="6" t="s">
        <v>22</v>
      </c>
      <c r="G40" s="6" t="s">
        <v>19</v>
      </c>
      <c r="H40" s="8">
        <v>8</v>
      </c>
      <c r="I40" s="6"/>
      <c r="J40" s="8" t="s">
        <v>14</v>
      </c>
    </row>
    <row r="41" spans="1:10" x14ac:dyDescent="0.25">
      <c r="A41" s="3">
        <v>9</v>
      </c>
      <c r="B41" s="29" t="s">
        <v>50</v>
      </c>
      <c r="C41" s="17" t="s">
        <v>33</v>
      </c>
      <c r="D41" s="7" t="s">
        <v>11</v>
      </c>
      <c r="E41" s="6" t="s">
        <v>12</v>
      </c>
      <c r="F41" s="6" t="s">
        <v>22</v>
      </c>
      <c r="G41" s="6" t="s">
        <v>19</v>
      </c>
      <c r="H41" s="8">
        <v>8</v>
      </c>
      <c r="I41" s="22"/>
      <c r="J41" s="8" t="s">
        <v>14</v>
      </c>
    </row>
    <row r="42" spans="1:10" x14ac:dyDescent="0.25">
      <c r="A42" s="3">
        <v>10</v>
      </c>
      <c r="B42" s="26" t="s">
        <v>36</v>
      </c>
      <c r="C42" s="17" t="s">
        <v>33</v>
      </c>
      <c r="D42" s="7" t="s">
        <v>11</v>
      </c>
      <c r="E42" s="6" t="s">
        <v>12</v>
      </c>
      <c r="F42" s="6" t="s">
        <v>22</v>
      </c>
      <c r="G42" s="6" t="s">
        <v>19</v>
      </c>
      <c r="H42" s="8">
        <v>7</v>
      </c>
      <c r="I42" s="6"/>
      <c r="J42" s="8" t="s">
        <v>14</v>
      </c>
    </row>
    <row r="43" spans="1:10" x14ac:dyDescent="0.25">
      <c r="A43" s="3">
        <v>11</v>
      </c>
      <c r="B43" s="26" t="s">
        <v>28</v>
      </c>
      <c r="C43" s="17" t="s">
        <v>33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7</v>
      </c>
      <c r="I43" s="6"/>
      <c r="J43" s="8" t="s">
        <v>14</v>
      </c>
    </row>
    <row r="44" spans="1:10" x14ac:dyDescent="0.25">
      <c r="A44" s="3">
        <v>12</v>
      </c>
      <c r="B44" s="29" t="s">
        <v>17</v>
      </c>
      <c r="C44" s="17" t="s">
        <v>33</v>
      </c>
      <c r="D44" s="5" t="s">
        <v>11</v>
      </c>
      <c r="E44" s="6" t="s">
        <v>12</v>
      </c>
      <c r="F44" s="6" t="s">
        <v>22</v>
      </c>
      <c r="G44" s="6" t="s">
        <v>16</v>
      </c>
      <c r="H44" s="8">
        <v>7</v>
      </c>
      <c r="I44" s="6"/>
      <c r="J44" s="8" t="s">
        <v>14</v>
      </c>
    </row>
    <row r="45" spans="1:10" x14ac:dyDescent="0.25">
      <c r="A45" s="3">
        <v>13</v>
      </c>
      <c r="B45" s="28" t="s">
        <v>45</v>
      </c>
      <c r="C45" s="17" t="s">
        <v>33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7</v>
      </c>
      <c r="I45" s="6"/>
      <c r="J45" s="8" t="s">
        <v>14</v>
      </c>
    </row>
    <row r="46" spans="1:10" x14ac:dyDescent="0.25">
      <c r="A46" s="3">
        <v>14</v>
      </c>
      <c r="B46" s="26" t="s">
        <v>24</v>
      </c>
      <c r="C46" s="17" t="s">
        <v>33</v>
      </c>
      <c r="D46" s="7" t="s">
        <v>11</v>
      </c>
      <c r="E46" s="6" t="s">
        <v>12</v>
      </c>
      <c r="F46" s="6" t="s">
        <v>22</v>
      </c>
      <c r="G46" s="6" t="s">
        <v>19</v>
      </c>
      <c r="H46" s="8">
        <v>6</v>
      </c>
      <c r="I46" s="6"/>
      <c r="J46" s="8" t="s">
        <v>14</v>
      </c>
    </row>
    <row r="47" spans="1:10" x14ac:dyDescent="0.25">
      <c r="A47" s="3">
        <v>15</v>
      </c>
      <c r="B47" s="29" t="s">
        <v>18</v>
      </c>
      <c r="C47" s="17" t="s">
        <v>33</v>
      </c>
      <c r="D47" s="5" t="s">
        <v>11</v>
      </c>
      <c r="E47" s="6" t="s">
        <v>12</v>
      </c>
      <c r="F47" s="6" t="s">
        <v>22</v>
      </c>
      <c r="G47" s="6" t="s">
        <v>19</v>
      </c>
      <c r="H47" s="8">
        <v>6</v>
      </c>
      <c r="I47" s="6"/>
      <c r="J47" s="8" t="s">
        <v>14</v>
      </c>
    </row>
    <row r="48" spans="1:10" x14ac:dyDescent="0.25">
      <c r="A48" s="3">
        <v>16</v>
      </c>
      <c r="B48" s="29" t="s">
        <v>15</v>
      </c>
      <c r="C48" s="17" t="s">
        <v>33</v>
      </c>
      <c r="D48" s="5" t="s">
        <v>11</v>
      </c>
      <c r="E48" s="6" t="s">
        <v>12</v>
      </c>
      <c r="F48" s="6" t="s">
        <v>22</v>
      </c>
      <c r="G48" s="6" t="s">
        <v>16</v>
      </c>
      <c r="H48" s="8">
        <v>6</v>
      </c>
      <c r="I48" s="6"/>
      <c r="J48" s="8" t="s">
        <v>14</v>
      </c>
    </row>
    <row r="49" spans="1:10" x14ac:dyDescent="0.25">
      <c r="A49" s="3">
        <v>17</v>
      </c>
      <c r="B49" s="29" t="s">
        <v>20</v>
      </c>
      <c r="C49" s="17" t="s">
        <v>33</v>
      </c>
      <c r="D49" s="5" t="s">
        <v>11</v>
      </c>
      <c r="E49" s="6" t="s">
        <v>12</v>
      </c>
      <c r="F49" s="6" t="s">
        <v>22</v>
      </c>
      <c r="G49" s="6" t="s">
        <v>19</v>
      </c>
      <c r="H49" s="8">
        <v>6</v>
      </c>
      <c r="I49" s="6"/>
      <c r="J49" s="8" t="s">
        <v>14</v>
      </c>
    </row>
    <row r="50" spans="1:10" x14ac:dyDescent="0.25">
      <c r="A50" s="3">
        <v>18</v>
      </c>
      <c r="B50" s="28" t="s">
        <v>47</v>
      </c>
      <c r="C50" s="17" t="s">
        <v>33</v>
      </c>
      <c r="D50" s="21" t="s">
        <v>11</v>
      </c>
      <c r="E50" s="21" t="s">
        <v>12</v>
      </c>
      <c r="F50" s="6" t="s">
        <v>22</v>
      </c>
      <c r="G50" s="24" t="s">
        <v>13</v>
      </c>
      <c r="H50" s="8">
        <v>4</v>
      </c>
      <c r="I50" s="23"/>
      <c r="J50" s="8" t="s">
        <v>14</v>
      </c>
    </row>
    <row r="51" spans="1:10" x14ac:dyDescent="0.25">
      <c r="A51" s="3">
        <v>19</v>
      </c>
      <c r="B51" s="28" t="s">
        <v>46</v>
      </c>
      <c r="C51" s="17" t="s">
        <v>33</v>
      </c>
      <c r="D51" s="21" t="s">
        <v>11</v>
      </c>
      <c r="E51" s="21" t="s">
        <v>12</v>
      </c>
      <c r="F51" s="6" t="s">
        <v>22</v>
      </c>
      <c r="G51" s="6" t="s">
        <v>16</v>
      </c>
      <c r="H51" s="8">
        <v>4</v>
      </c>
      <c r="I51" s="23"/>
      <c r="J51" s="8" t="s">
        <v>14</v>
      </c>
    </row>
    <row r="52" spans="1:10" x14ac:dyDescent="0.25">
      <c r="A52" s="3">
        <v>20</v>
      </c>
      <c r="B52" s="28" t="s">
        <v>41</v>
      </c>
      <c r="C52" s="17" t="s">
        <v>33</v>
      </c>
      <c r="D52" s="7" t="s">
        <v>11</v>
      </c>
      <c r="E52" s="6" t="s">
        <v>12</v>
      </c>
      <c r="F52" s="6" t="s">
        <v>22</v>
      </c>
      <c r="G52" s="6" t="s">
        <v>16</v>
      </c>
      <c r="H52" s="8">
        <v>3</v>
      </c>
      <c r="I52" s="6"/>
      <c r="J52" s="8" t="s">
        <v>14</v>
      </c>
    </row>
    <row r="53" spans="1:10" x14ac:dyDescent="0.25">
      <c r="A53" s="3">
        <v>21</v>
      </c>
      <c r="B53" s="27" t="s">
        <v>10</v>
      </c>
      <c r="C53" s="17" t="s">
        <v>33</v>
      </c>
      <c r="D53" s="5" t="s">
        <v>11</v>
      </c>
      <c r="E53" s="6" t="s">
        <v>12</v>
      </c>
      <c r="F53" s="6" t="s">
        <v>22</v>
      </c>
      <c r="G53" s="6" t="s">
        <v>13</v>
      </c>
      <c r="H53" s="8">
        <v>2</v>
      </c>
      <c r="I53" s="6"/>
      <c r="J53" s="8" t="s">
        <v>14</v>
      </c>
    </row>
    <row r="54" spans="1:10" x14ac:dyDescent="0.25">
      <c r="A54" s="3">
        <v>22</v>
      </c>
      <c r="B54" s="28" t="s">
        <v>42</v>
      </c>
      <c r="C54" s="17" t="s">
        <v>33</v>
      </c>
      <c r="D54" s="7" t="s">
        <v>11</v>
      </c>
      <c r="E54" s="6" t="s">
        <v>12</v>
      </c>
      <c r="F54" s="6" t="s">
        <v>22</v>
      </c>
      <c r="G54" s="6" t="s">
        <v>16</v>
      </c>
      <c r="H54" s="8">
        <v>2</v>
      </c>
      <c r="I54" s="6"/>
      <c r="J54" s="8" t="s">
        <v>14</v>
      </c>
    </row>
  </sheetData>
  <mergeCells count="5">
    <mergeCell ref="A31:J31"/>
    <mergeCell ref="A24:J24"/>
    <mergeCell ref="A12:J12"/>
    <mergeCell ref="A1:J1"/>
    <mergeCell ref="A18:J18"/>
  </mergeCells>
  <conditionalFormatting sqref="A22:A23">
    <cfRule type="duplicateValues" dxfId="2612" priority="101"/>
  </conditionalFormatting>
  <conditionalFormatting sqref="B1:B2 B10:B14 B52:B1048576 B22:B49 B16:B20">
    <cfRule type="duplicateValues" dxfId="2611" priority="564"/>
    <cfRule type="duplicateValues" dxfId="2610" priority="565"/>
    <cfRule type="duplicateValues" dxfId="2609" priority="566"/>
  </conditionalFormatting>
  <conditionalFormatting sqref="B1:B3 B22:B1048576 B10:B20">
    <cfRule type="duplicateValues" dxfId="2608" priority="516"/>
  </conditionalFormatting>
  <conditionalFormatting sqref="B1:B1048576">
    <cfRule type="duplicateValues" dxfId="2607" priority="4"/>
    <cfRule type="duplicateValues" dxfId="2606" priority="521"/>
    <cfRule type="duplicateValues" dxfId="2605" priority="522"/>
    <cfRule type="duplicateValues" dxfId="2604" priority="523"/>
    <cfRule type="duplicateValues" dxfId="2603" priority="524"/>
  </conditionalFormatting>
  <conditionalFormatting sqref="B4">
    <cfRule type="duplicateValues" dxfId="2602" priority="60"/>
    <cfRule type="duplicateValues" dxfId="2601" priority="61"/>
  </conditionalFormatting>
  <conditionalFormatting sqref="B4:B9">
    <cfRule type="duplicateValues" dxfId="2600" priority="515"/>
  </conditionalFormatting>
  <conditionalFormatting sqref="B5:B9">
    <cfRule type="duplicateValues" dxfId="2599" priority="512"/>
    <cfRule type="duplicateValues" dxfId="2598" priority="513"/>
  </conditionalFormatting>
  <conditionalFormatting sqref="B10:B14 B1:B2 B22:B1048576 B16:B20">
    <cfRule type="duplicateValues" dxfId="2597" priority="533"/>
    <cfRule type="duplicateValues" dxfId="2596" priority="534"/>
    <cfRule type="duplicateValues" dxfId="2595" priority="535"/>
    <cfRule type="duplicateValues" dxfId="2594" priority="536"/>
  </conditionalFormatting>
  <conditionalFormatting sqref="B15 B3">
    <cfRule type="duplicateValues" dxfId="2593" priority="393"/>
  </conditionalFormatting>
  <conditionalFormatting sqref="B21">
    <cfRule type="duplicateValues" dxfId="2592" priority="1"/>
    <cfRule type="duplicateValues" dxfId="2591" priority="2"/>
    <cfRule type="duplicateValues" dxfId="2590" priority="3"/>
  </conditionalFormatting>
  <conditionalFormatting sqref="B39 B16:B17 B41:B42 B55:B1048576 B22:B36">
    <cfRule type="duplicateValues" dxfId="2589" priority="557"/>
  </conditionalFormatting>
  <conditionalFormatting sqref="B46 B11 B2 B13 B25:B30 B32:B38 B42:B43 B40 B22:B23 B19:B20">
    <cfRule type="duplicateValues" dxfId="2588" priority="445" stopIfTrue="1"/>
  </conditionalFormatting>
  <conditionalFormatting sqref="B47:B49 B44:B45 B14 B52:B54 B16:B17 B10">
    <cfRule type="duplicateValues" dxfId="2587" priority="114"/>
    <cfRule type="duplicateValues" dxfId="2586" priority="115" stopIfTrue="1"/>
  </conditionalFormatting>
  <conditionalFormatting sqref="B50:B51">
    <cfRule type="duplicateValues" dxfId="2585" priority="245"/>
    <cfRule type="duplicateValues" dxfId="2584" priority="246"/>
    <cfRule type="duplicateValues" dxfId="2583" priority="247"/>
  </conditionalFormatting>
  <conditionalFormatting sqref="B56:B1048576">
    <cfRule type="duplicateValues" dxfId="2582" priority="585"/>
    <cfRule type="duplicateValues" dxfId="2581" priority="58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A470-F590-4656-B6A8-0A1B45B2A7AA}">
  <dimension ref="A1:J54"/>
  <sheetViews>
    <sheetView workbookViewId="0">
      <selection activeCell="C54" sqref="C54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11.140625" bestFit="1" customWidth="1"/>
    <col min="9" max="9" width="9.28515625" bestFit="1" customWidth="1"/>
  </cols>
  <sheetData>
    <row r="1" spans="1:10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t="15" customHeight="1" x14ac:dyDescent="0.25">
      <c r="A3" s="3">
        <v>1</v>
      </c>
      <c r="B3" s="21" t="s">
        <v>52</v>
      </c>
      <c r="C3" s="4" t="s">
        <v>0</v>
      </c>
      <c r="D3" s="7" t="s">
        <v>11</v>
      </c>
      <c r="E3" s="7" t="s">
        <v>12</v>
      </c>
      <c r="F3" s="24" t="s">
        <v>22</v>
      </c>
      <c r="G3" s="24" t="s">
        <v>53</v>
      </c>
      <c r="H3" s="24">
        <v>5</v>
      </c>
      <c r="I3" s="22"/>
      <c r="J3" s="8" t="s">
        <v>14</v>
      </c>
    </row>
    <row r="4" spans="1:10" x14ac:dyDescent="0.25">
      <c r="A4" s="3">
        <v>2</v>
      </c>
      <c r="B4" s="30" t="s">
        <v>59</v>
      </c>
      <c r="C4" s="31" t="s">
        <v>0</v>
      </c>
      <c r="D4" s="24" t="s">
        <v>11</v>
      </c>
      <c r="E4" s="7" t="s">
        <v>56</v>
      </c>
      <c r="F4" s="24" t="s">
        <v>22</v>
      </c>
      <c r="G4" s="7" t="s">
        <v>16</v>
      </c>
      <c r="H4" s="24">
        <v>1</v>
      </c>
      <c r="I4" s="24"/>
      <c r="J4" s="8" t="s">
        <v>57</v>
      </c>
    </row>
    <row r="5" spans="1:10" x14ac:dyDescent="0.25">
      <c r="A5" s="3">
        <v>3</v>
      </c>
      <c r="B5" s="30" t="s">
        <v>63</v>
      </c>
      <c r="C5" s="31" t="s">
        <v>0</v>
      </c>
      <c r="D5" s="24" t="s">
        <v>11</v>
      </c>
      <c r="E5" s="7" t="s">
        <v>56</v>
      </c>
      <c r="F5" s="24" t="s">
        <v>22</v>
      </c>
      <c r="G5" s="7" t="s">
        <v>16</v>
      </c>
      <c r="H5" s="24">
        <v>1</v>
      </c>
      <c r="I5" s="24"/>
      <c r="J5" s="8" t="s">
        <v>57</v>
      </c>
    </row>
    <row r="6" spans="1:10" x14ac:dyDescent="0.25">
      <c r="A6" s="9"/>
      <c r="B6" s="19"/>
      <c r="C6" s="11"/>
      <c r="D6" s="18"/>
      <c r="E6" s="10"/>
      <c r="F6" s="10"/>
      <c r="G6" s="10"/>
      <c r="H6" s="10"/>
      <c r="I6" s="10"/>
      <c r="J6" s="13"/>
    </row>
    <row r="8" spans="1:10" x14ac:dyDescent="0.25">
      <c r="A8" s="111" t="s">
        <v>21</v>
      </c>
      <c r="B8" s="111"/>
      <c r="C8" s="111"/>
      <c r="D8" s="111"/>
      <c r="E8" s="111"/>
      <c r="F8" s="111"/>
      <c r="G8" s="111"/>
      <c r="H8" s="111"/>
      <c r="I8" s="111"/>
      <c r="J8" s="111"/>
    </row>
    <row r="9" spans="1:10" ht="15.75" x14ac:dyDescent="0.25">
      <c r="A9" s="1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/>
      <c r="J9" s="2" t="s">
        <v>9</v>
      </c>
    </row>
    <row r="10" spans="1:10" x14ac:dyDescent="0.25">
      <c r="A10" s="3">
        <v>1</v>
      </c>
      <c r="B10" s="30" t="s">
        <v>55</v>
      </c>
      <c r="C10" s="31" t="s">
        <v>69</v>
      </c>
      <c r="D10" s="21" t="s">
        <v>11</v>
      </c>
      <c r="E10" s="7" t="s">
        <v>56</v>
      </c>
      <c r="F10" s="24" t="s">
        <v>22</v>
      </c>
      <c r="G10" s="7" t="s">
        <v>16</v>
      </c>
      <c r="H10" s="24">
        <v>1</v>
      </c>
      <c r="I10" s="24"/>
      <c r="J10" s="8" t="s">
        <v>57</v>
      </c>
    </row>
    <row r="11" spans="1:10" x14ac:dyDescent="0.25">
      <c r="A11" s="3">
        <v>2</v>
      </c>
      <c r="B11" s="30" t="s">
        <v>60</v>
      </c>
      <c r="C11" s="31" t="s">
        <v>69</v>
      </c>
      <c r="D11" s="24" t="s">
        <v>11</v>
      </c>
      <c r="E11" s="7" t="s">
        <v>56</v>
      </c>
      <c r="F11" s="24" t="s">
        <v>22</v>
      </c>
      <c r="G11" s="7" t="s">
        <v>16</v>
      </c>
      <c r="H11" s="24">
        <v>1</v>
      </c>
      <c r="I11" s="24"/>
      <c r="J11" s="8" t="s">
        <v>57</v>
      </c>
    </row>
    <row r="12" spans="1:10" x14ac:dyDescent="0.25">
      <c r="A12" s="3">
        <v>3</v>
      </c>
      <c r="B12" s="30" t="s">
        <v>61</v>
      </c>
      <c r="C12" s="31" t="s">
        <v>70</v>
      </c>
      <c r="D12" s="24" t="s">
        <v>11</v>
      </c>
      <c r="E12" s="7" t="s">
        <v>56</v>
      </c>
      <c r="F12" s="24" t="s">
        <v>22</v>
      </c>
      <c r="G12" s="7" t="s">
        <v>16</v>
      </c>
      <c r="H12" s="24">
        <v>1</v>
      </c>
      <c r="I12" s="24"/>
      <c r="J12" s="8" t="s">
        <v>57</v>
      </c>
    </row>
    <row r="13" spans="1:10" x14ac:dyDescent="0.25">
      <c r="A13" s="3">
        <v>4</v>
      </c>
      <c r="B13" s="30" t="s">
        <v>62</v>
      </c>
      <c r="C13" s="31" t="s">
        <v>71</v>
      </c>
      <c r="D13" s="24" t="s">
        <v>11</v>
      </c>
      <c r="E13" s="7" t="s">
        <v>56</v>
      </c>
      <c r="F13" s="24" t="s">
        <v>22</v>
      </c>
      <c r="G13" s="7" t="s">
        <v>16</v>
      </c>
      <c r="H13" s="24">
        <v>1</v>
      </c>
      <c r="I13" s="24"/>
      <c r="J13" s="8" t="s">
        <v>57</v>
      </c>
    </row>
    <row r="14" spans="1:10" x14ac:dyDescent="0.25">
      <c r="A14" s="9"/>
      <c r="B14" s="20"/>
      <c r="C14" s="11"/>
      <c r="D14" s="18"/>
      <c r="E14" s="10"/>
      <c r="F14" s="10"/>
      <c r="G14" s="10"/>
      <c r="H14" s="10"/>
      <c r="I14" s="10"/>
      <c r="J14" s="13"/>
    </row>
    <row r="15" spans="1:10" x14ac:dyDescent="0.25">
      <c r="A15" s="9"/>
      <c r="B15" s="20"/>
      <c r="C15" s="11"/>
      <c r="D15" s="18"/>
      <c r="E15" s="10"/>
      <c r="F15" s="10"/>
      <c r="G15" s="10"/>
      <c r="H15" s="10"/>
      <c r="I15" s="10"/>
      <c r="J15" s="13"/>
    </row>
    <row r="16" spans="1:10" ht="15.75" x14ac:dyDescent="0.25">
      <c r="A16" s="113" t="s">
        <v>68</v>
      </c>
      <c r="B16" s="113"/>
      <c r="C16" s="113"/>
      <c r="D16" s="113"/>
      <c r="E16" s="113"/>
      <c r="F16" s="113"/>
      <c r="G16" s="113"/>
      <c r="H16" s="113"/>
      <c r="I16" s="113"/>
      <c r="J16" s="113"/>
    </row>
    <row r="17" spans="1:10" ht="15.75" x14ac:dyDescent="0.25">
      <c r="A17" s="1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/>
      <c r="J17" s="2" t="s">
        <v>9</v>
      </c>
    </row>
    <row r="18" spans="1:10" x14ac:dyDescent="0.25">
      <c r="A18" s="3">
        <v>1</v>
      </c>
      <c r="B18" s="7" t="s">
        <v>26</v>
      </c>
      <c r="C18" s="17" t="s">
        <v>67</v>
      </c>
      <c r="D18" s="7" t="s">
        <v>11</v>
      </c>
      <c r="E18" s="6" t="s">
        <v>12</v>
      </c>
      <c r="F18" s="6" t="s">
        <v>22</v>
      </c>
      <c r="G18" s="6" t="s">
        <v>16</v>
      </c>
      <c r="H18" s="24">
        <v>1</v>
      </c>
      <c r="I18" s="6"/>
      <c r="J18" s="8" t="s">
        <v>14</v>
      </c>
    </row>
    <row r="19" spans="1:10" x14ac:dyDescent="0.25">
      <c r="A19" s="3">
        <v>2</v>
      </c>
      <c r="B19" s="30" t="s">
        <v>58</v>
      </c>
      <c r="C19" s="17" t="s">
        <v>67</v>
      </c>
      <c r="D19" s="21" t="s">
        <v>11</v>
      </c>
      <c r="E19" s="7" t="s">
        <v>56</v>
      </c>
      <c r="F19" s="24" t="s">
        <v>22</v>
      </c>
      <c r="G19" s="7" t="s">
        <v>16</v>
      </c>
      <c r="H19" s="24">
        <v>1</v>
      </c>
      <c r="I19" s="24"/>
      <c r="J19" s="8" t="s">
        <v>57</v>
      </c>
    </row>
    <row r="21" spans="1:10" hidden="1" x14ac:dyDescent="0.25"/>
    <row r="22" spans="1:10" ht="15.75" hidden="1" x14ac:dyDescent="0.25">
      <c r="A22" s="112" t="s">
        <v>51</v>
      </c>
      <c r="B22" s="112"/>
      <c r="C22" s="112"/>
      <c r="D22" s="112"/>
      <c r="E22" s="112"/>
      <c r="F22" s="112"/>
      <c r="G22" s="112"/>
      <c r="H22" s="112"/>
      <c r="I22" s="112"/>
      <c r="J22" s="112"/>
    </row>
    <row r="23" spans="1:10" ht="15.75" hidden="1" x14ac:dyDescent="0.25">
      <c r="A23" s="1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/>
      <c r="J23" s="2" t="s">
        <v>9</v>
      </c>
    </row>
    <row r="24" spans="1:10" hidden="1" x14ac:dyDescent="0.25">
      <c r="A24" s="3">
        <v>1</v>
      </c>
      <c r="B24" s="6" t="s">
        <v>32</v>
      </c>
      <c r="C24" s="17" t="s">
        <v>51</v>
      </c>
      <c r="D24" s="7" t="s">
        <v>11</v>
      </c>
      <c r="E24" s="6" t="s">
        <v>12</v>
      </c>
      <c r="F24" s="6" t="s">
        <v>22</v>
      </c>
      <c r="G24" s="6" t="s">
        <v>19</v>
      </c>
      <c r="H24" s="8">
        <v>9</v>
      </c>
      <c r="I24" s="6"/>
      <c r="J24" s="8" t="s">
        <v>14</v>
      </c>
    </row>
    <row r="25" spans="1:10" hidden="1" x14ac:dyDescent="0.25">
      <c r="A25" s="16">
        <v>6</v>
      </c>
      <c r="B25" s="7" t="s">
        <v>35</v>
      </c>
      <c r="C25" s="17" t="s">
        <v>51</v>
      </c>
      <c r="D25" s="7" t="s">
        <v>11</v>
      </c>
      <c r="E25" s="6" t="s">
        <v>12</v>
      </c>
      <c r="F25" s="6" t="s">
        <v>22</v>
      </c>
      <c r="G25" s="6" t="s">
        <v>19</v>
      </c>
      <c r="H25" s="8">
        <v>9</v>
      </c>
      <c r="I25" s="6"/>
      <c r="J25" s="8" t="s">
        <v>14</v>
      </c>
    </row>
    <row r="26" spans="1:10" hidden="1" x14ac:dyDescent="0.25">
      <c r="A26" s="3">
        <v>13</v>
      </c>
      <c r="B26" s="6" t="s">
        <v>29</v>
      </c>
      <c r="C26" s="17" t="s">
        <v>51</v>
      </c>
      <c r="D26" s="7" t="s">
        <v>11</v>
      </c>
      <c r="E26" s="6" t="s">
        <v>12</v>
      </c>
      <c r="F26" s="6" t="s">
        <v>22</v>
      </c>
      <c r="G26" s="6" t="s">
        <v>19</v>
      </c>
      <c r="H26" s="8">
        <v>6</v>
      </c>
      <c r="I26" s="6"/>
      <c r="J26" s="8" t="s">
        <v>14</v>
      </c>
    </row>
    <row r="27" spans="1:10" hidden="1" x14ac:dyDescent="0.25">
      <c r="A27" s="3">
        <v>5</v>
      </c>
      <c r="B27" s="26" t="s">
        <v>23</v>
      </c>
      <c r="C27" s="17" t="s">
        <v>51</v>
      </c>
      <c r="D27" s="7" t="s">
        <v>11</v>
      </c>
      <c r="E27" s="6" t="s">
        <v>12</v>
      </c>
      <c r="F27" s="6" t="s">
        <v>22</v>
      </c>
      <c r="G27" s="6" t="s">
        <v>16</v>
      </c>
      <c r="H27" s="8">
        <v>9</v>
      </c>
      <c r="I27" s="6"/>
      <c r="J27" s="8" t="s">
        <v>14</v>
      </c>
    </row>
    <row r="28" spans="1:10" hidden="1" x14ac:dyDescent="0.25">
      <c r="A28" s="3">
        <v>14</v>
      </c>
      <c r="B28" s="26" t="s">
        <v>24</v>
      </c>
      <c r="C28" s="17" t="s">
        <v>51</v>
      </c>
      <c r="D28" s="7" t="s">
        <v>11</v>
      </c>
      <c r="E28" s="6" t="s">
        <v>12</v>
      </c>
      <c r="F28" s="6" t="s">
        <v>22</v>
      </c>
      <c r="G28" s="6" t="s">
        <v>19</v>
      </c>
      <c r="H28" s="8">
        <v>6</v>
      </c>
      <c r="I28" s="6"/>
      <c r="J28" s="8" t="s">
        <v>14</v>
      </c>
    </row>
    <row r="29" spans="1:10" hidden="1" x14ac:dyDescent="0.25">
      <c r="A29" s="16">
        <v>1</v>
      </c>
      <c r="B29" s="26" t="s">
        <v>34</v>
      </c>
      <c r="C29" s="17" t="s">
        <v>51</v>
      </c>
      <c r="D29" s="7" t="s">
        <v>11</v>
      </c>
      <c r="E29" s="6" t="s">
        <v>12</v>
      </c>
      <c r="F29" s="6" t="s">
        <v>22</v>
      </c>
      <c r="G29" s="6" t="s">
        <v>19</v>
      </c>
      <c r="H29" s="8">
        <v>14</v>
      </c>
      <c r="I29" s="6"/>
      <c r="J29" s="8" t="s">
        <v>14</v>
      </c>
    </row>
    <row r="30" spans="1:10" hidden="1" x14ac:dyDescent="0.25">
      <c r="A30" s="3">
        <v>2</v>
      </c>
      <c r="B30" s="26" t="s">
        <v>37</v>
      </c>
      <c r="C30" s="17" t="s">
        <v>51</v>
      </c>
      <c r="D30" s="7" t="s">
        <v>11</v>
      </c>
      <c r="E30" s="6" t="s">
        <v>12</v>
      </c>
      <c r="F30" s="6" t="s">
        <v>22</v>
      </c>
      <c r="G30" s="6" t="s">
        <v>19</v>
      </c>
      <c r="H30" s="8">
        <v>12</v>
      </c>
      <c r="I30" s="6"/>
      <c r="J30" s="8" t="s">
        <v>14</v>
      </c>
    </row>
    <row r="31" spans="1:10" hidden="1" x14ac:dyDescent="0.25">
      <c r="A31" s="3">
        <v>3</v>
      </c>
      <c r="B31" s="26" t="s">
        <v>38</v>
      </c>
      <c r="C31" s="17" t="s">
        <v>51</v>
      </c>
      <c r="D31" s="7" t="s">
        <v>11</v>
      </c>
      <c r="E31" s="6" t="s">
        <v>12</v>
      </c>
      <c r="F31" s="6" t="s">
        <v>22</v>
      </c>
      <c r="G31" s="6" t="s">
        <v>19</v>
      </c>
      <c r="H31" s="8">
        <v>12</v>
      </c>
      <c r="I31" s="6"/>
      <c r="J31" s="8" t="s">
        <v>14</v>
      </c>
    </row>
    <row r="32" spans="1:10" hidden="1" x14ac:dyDescent="0.25">
      <c r="A32" s="3">
        <v>4</v>
      </c>
      <c r="B32" s="26" t="s">
        <v>39</v>
      </c>
      <c r="C32" s="17" t="s">
        <v>51</v>
      </c>
      <c r="D32" s="7" t="s">
        <v>11</v>
      </c>
      <c r="E32" s="6" t="s">
        <v>12</v>
      </c>
      <c r="F32" s="6" t="s">
        <v>22</v>
      </c>
      <c r="G32" s="6" t="s">
        <v>19</v>
      </c>
      <c r="H32" s="8">
        <v>12</v>
      </c>
      <c r="I32" s="6"/>
      <c r="J32" s="8" t="s">
        <v>14</v>
      </c>
    </row>
    <row r="33" spans="1:10" hidden="1" x14ac:dyDescent="0.25">
      <c r="A33" s="3">
        <v>6</v>
      </c>
      <c r="B33" s="26" t="s">
        <v>25</v>
      </c>
      <c r="C33" s="17" t="s">
        <v>51</v>
      </c>
      <c r="D33" s="7" t="s">
        <v>11</v>
      </c>
      <c r="E33" s="6" t="s">
        <v>12</v>
      </c>
      <c r="F33" s="6" t="s">
        <v>22</v>
      </c>
      <c r="G33" s="6" t="s">
        <v>13</v>
      </c>
      <c r="H33" s="8">
        <v>9</v>
      </c>
      <c r="I33" s="6"/>
      <c r="J33" s="8" t="s">
        <v>14</v>
      </c>
    </row>
    <row r="34" spans="1:10" hidden="1" x14ac:dyDescent="0.25">
      <c r="A34" s="3">
        <v>7</v>
      </c>
      <c r="B34" s="29" t="s">
        <v>49</v>
      </c>
      <c r="C34" s="17" t="s">
        <v>51</v>
      </c>
      <c r="D34" s="7" t="s">
        <v>11</v>
      </c>
      <c r="E34" s="6" t="s">
        <v>12</v>
      </c>
      <c r="F34" s="6" t="s">
        <v>22</v>
      </c>
      <c r="G34" s="24" t="s">
        <v>13</v>
      </c>
      <c r="H34" s="8">
        <v>9</v>
      </c>
      <c r="I34" s="22"/>
      <c r="J34" s="8" t="s">
        <v>14</v>
      </c>
    </row>
    <row r="35" spans="1:10" hidden="1" x14ac:dyDescent="0.25">
      <c r="A35" s="3">
        <v>9</v>
      </c>
      <c r="B35" s="29" t="s">
        <v>50</v>
      </c>
      <c r="C35" s="17" t="s">
        <v>51</v>
      </c>
      <c r="D35" s="7" t="s">
        <v>11</v>
      </c>
      <c r="E35" s="6" t="s">
        <v>12</v>
      </c>
      <c r="F35" s="6" t="s">
        <v>22</v>
      </c>
      <c r="G35" s="6" t="s">
        <v>19</v>
      </c>
      <c r="H35" s="8">
        <v>8</v>
      </c>
      <c r="I35" s="22"/>
      <c r="J35" s="8" t="s">
        <v>14</v>
      </c>
    </row>
    <row r="36" spans="1:10" hidden="1" x14ac:dyDescent="0.25">
      <c r="A36" s="3">
        <v>10</v>
      </c>
      <c r="B36" s="26" t="s">
        <v>36</v>
      </c>
      <c r="C36" s="17" t="s">
        <v>51</v>
      </c>
      <c r="D36" s="7" t="s">
        <v>11</v>
      </c>
      <c r="E36" s="6" t="s">
        <v>12</v>
      </c>
      <c r="F36" s="6" t="s">
        <v>22</v>
      </c>
      <c r="G36" s="6" t="s">
        <v>19</v>
      </c>
      <c r="H36" s="8">
        <v>7</v>
      </c>
      <c r="I36" s="6"/>
      <c r="J36" s="8" t="s">
        <v>14</v>
      </c>
    </row>
    <row r="37" spans="1:10" hidden="1" x14ac:dyDescent="0.25">
      <c r="A37" s="3">
        <v>15</v>
      </c>
      <c r="B37" s="29" t="s">
        <v>18</v>
      </c>
      <c r="C37" s="17" t="s">
        <v>51</v>
      </c>
      <c r="D37" s="5" t="s">
        <v>11</v>
      </c>
      <c r="E37" s="6" t="s">
        <v>12</v>
      </c>
      <c r="F37" s="6" t="s">
        <v>22</v>
      </c>
      <c r="G37" s="6" t="s">
        <v>19</v>
      </c>
      <c r="H37" s="8">
        <v>6</v>
      </c>
      <c r="I37" s="6"/>
      <c r="J37" s="8" t="s">
        <v>14</v>
      </c>
    </row>
    <row r="40" spans="1:10" ht="15.75" x14ac:dyDescent="0.25">
      <c r="A40" s="113" t="s">
        <v>30</v>
      </c>
      <c r="B40" s="113"/>
      <c r="C40" s="113"/>
      <c r="D40" s="113"/>
      <c r="E40" s="113"/>
      <c r="F40" s="113"/>
      <c r="G40" s="113"/>
      <c r="H40" s="113"/>
      <c r="I40" s="113"/>
      <c r="J40" s="113"/>
    </row>
    <row r="41" spans="1:10" ht="29.45" customHeight="1" x14ac:dyDescent="0.25">
      <c r="A41" s="14" t="s">
        <v>1</v>
      </c>
      <c r="B41" s="15" t="s">
        <v>2</v>
      </c>
      <c r="C41" s="15" t="s">
        <v>40</v>
      </c>
      <c r="D41" s="15" t="s">
        <v>4</v>
      </c>
      <c r="E41" s="15" t="s">
        <v>5</v>
      </c>
      <c r="F41" s="15" t="s">
        <v>6</v>
      </c>
      <c r="G41" s="15" t="s">
        <v>7</v>
      </c>
      <c r="H41" s="15" t="s">
        <v>8</v>
      </c>
      <c r="I41" s="15" t="s">
        <v>31</v>
      </c>
      <c r="J41" s="15" t="s">
        <v>9</v>
      </c>
    </row>
    <row r="42" spans="1:10" x14ac:dyDescent="0.25">
      <c r="A42" s="3">
        <v>1</v>
      </c>
      <c r="B42" s="26" t="s">
        <v>27</v>
      </c>
      <c r="C42" s="17" t="s">
        <v>33</v>
      </c>
      <c r="D42" s="7" t="s">
        <v>11</v>
      </c>
      <c r="E42" s="6" t="s">
        <v>12</v>
      </c>
      <c r="F42" s="6" t="s">
        <v>22</v>
      </c>
      <c r="G42" s="6" t="s">
        <v>19</v>
      </c>
      <c r="H42" s="8">
        <v>8</v>
      </c>
      <c r="I42" s="6"/>
      <c r="J42" s="8" t="s">
        <v>14</v>
      </c>
    </row>
    <row r="43" spans="1:10" x14ac:dyDescent="0.25">
      <c r="A43" s="3">
        <v>2</v>
      </c>
      <c r="B43" s="26" t="s">
        <v>28</v>
      </c>
      <c r="C43" s="17" t="s">
        <v>33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7</v>
      </c>
      <c r="I43" s="6"/>
      <c r="J43" s="8" t="s">
        <v>14</v>
      </c>
    </row>
    <row r="44" spans="1:10" x14ac:dyDescent="0.25">
      <c r="A44" s="3">
        <v>3</v>
      </c>
      <c r="B44" s="29" t="s">
        <v>17</v>
      </c>
      <c r="C44" s="17" t="s">
        <v>33</v>
      </c>
      <c r="D44" s="5" t="s">
        <v>11</v>
      </c>
      <c r="E44" s="6" t="s">
        <v>12</v>
      </c>
      <c r="F44" s="6" t="s">
        <v>22</v>
      </c>
      <c r="G44" s="6" t="s">
        <v>16</v>
      </c>
      <c r="H44" s="8">
        <v>7</v>
      </c>
      <c r="I44" s="6"/>
      <c r="J44" s="8" t="s">
        <v>14</v>
      </c>
    </row>
    <row r="45" spans="1:10" x14ac:dyDescent="0.25">
      <c r="A45" s="3">
        <v>4</v>
      </c>
      <c r="B45" s="28" t="s">
        <v>45</v>
      </c>
      <c r="C45" s="17" t="s">
        <v>33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7</v>
      </c>
      <c r="I45" s="6"/>
      <c r="J45" s="8" t="s">
        <v>14</v>
      </c>
    </row>
    <row r="46" spans="1:10" x14ac:dyDescent="0.25">
      <c r="A46" s="3">
        <v>5</v>
      </c>
      <c r="B46" s="29" t="s">
        <v>15</v>
      </c>
      <c r="C46" s="17" t="s">
        <v>33</v>
      </c>
      <c r="D46" s="5" t="s">
        <v>11</v>
      </c>
      <c r="E46" s="6" t="s">
        <v>12</v>
      </c>
      <c r="F46" s="6" t="s">
        <v>22</v>
      </c>
      <c r="G46" s="6" t="s">
        <v>16</v>
      </c>
      <c r="H46" s="8">
        <v>6</v>
      </c>
      <c r="I46" s="6"/>
      <c r="J46" s="8" t="s">
        <v>14</v>
      </c>
    </row>
    <row r="47" spans="1:10" x14ac:dyDescent="0.25">
      <c r="A47" s="3">
        <v>6</v>
      </c>
      <c r="B47" s="29" t="s">
        <v>20</v>
      </c>
      <c r="C47" s="17" t="s">
        <v>33</v>
      </c>
      <c r="D47" s="5" t="s">
        <v>11</v>
      </c>
      <c r="E47" s="6" t="s">
        <v>12</v>
      </c>
      <c r="F47" s="6" t="s">
        <v>22</v>
      </c>
      <c r="G47" s="6" t="s">
        <v>19</v>
      </c>
      <c r="H47" s="8">
        <v>6</v>
      </c>
      <c r="I47" s="6"/>
      <c r="J47" s="8" t="s">
        <v>14</v>
      </c>
    </row>
    <row r="48" spans="1:10" x14ac:dyDescent="0.25">
      <c r="A48" s="3">
        <v>7</v>
      </c>
      <c r="B48" s="28" t="s">
        <v>47</v>
      </c>
      <c r="C48" s="17" t="s">
        <v>33</v>
      </c>
      <c r="D48" s="21" t="s">
        <v>11</v>
      </c>
      <c r="E48" s="21" t="s">
        <v>12</v>
      </c>
      <c r="F48" s="6" t="s">
        <v>22</v>
      </c>
      <c r="G48" s="24" t="s">
        <v>13</v>
      </c>
      <c r="H48" s="8">
        <v>4</v>
      </c>
      <c r="I48" s="23"/>
      <c r="J48" s="8" t="s">
        <v>14</v>
      </c>
    </row>
    <row r="49" spans="1:10" x14ac:dyDescent="0.25">
      <c r="A49" s="3">
        <v>8</v>
      </c>
      <c r="B49" s="28" t="s">
        <v>46</v>
      </c>
      <c r="C49" s="17" t="s">
        <v>33</v>
      </c>
      <c r="D49" s="21" t="s">
        <v>11</v>
      </c>
      <c r="E49" s="21" t="s">
        <v>12</v>
      </c>
      <c r="F49" s="6" t="s">
        <v>22</v>
      </c>
      <c r="G49" s="6" t="s">
        <v>16</v>
      </c>
      <c r="H49" s="8">
        <v>4</v>
      </c>
      <c r="I49" s="23"/>
      <c r="J49" s="8" t="s">
        <v>14</v>
      </c>
    </row>
    <row r="50" spans="1:10" x14ac:dyDescent="0.25">
      <c r="A50" s="3">
        <v>9</v>
      </c>
      <c r="B50" s="28" t="s">
        <v>41</v>
      </c>
      <c r="C50" s="17" t="s">
        <v>33</v>
      </c>
      <c r="D50" s="7" t="s">
        <v>11</v>
      </c>
      <c r="E50" s="6" t="s">
        <v>12</v>
      </c>
      <c r="F50" s="6" t="s">
        <v>22</v>
      </c>
      <c r="G50" s="6" t="s">
        <v>16</v>
      </c>
      <c r="H50" s="8">
        <v>3</v>
      </c>
      <c r="I50" s="6"/>
      <c r="J50" s="8" t="s">
        <v>14</v>
      </c>
    </row>
    <row r="51" spans="1:10" x14ac:dyDescent="0.25">
      <c r="A51" s="3">
        <v>10</v>
      </c>
      <c r="B51" s="27" t="s">
        <v>10</v>
      </c>
      <c r="C51" s="17" t="s">
        <v>33</v>
      </c>
      <c r="D51" s="5" t="s">
        <v>11</v>
      </c>
      <c r="E51" s="6" t="s">
        <v>12</v>
      </c>
      <c r="F51" s="6" t="s">
        <v>22</v>
      </c>
      <c r="G51" s="6" t="s">
        <v>13</v>
      </c>
      <c r="H51" s="8">
        <v>2</v>
      </c>
      <c r="I51" s="6"/>
      <c r="J51" s="8" t="s">
        <v>14</v>
      </c>
    </row>
    <row r="52" spans="1:10" x14ac:dyDescent="0.25">
      <c r="A52" s="3">
        <v>11</v>
      </c>
      <c r="B52" s="28" t="s">
        <v>42</v>
      </c>
      <c r="C52" s="17" t="s">
        <v>33</v>
      </c>
      <c r="D52" s="7" t="s">
        <v>11</v>
      </c>
      <c r="E52" s="6" t="s">
        <v>12</v>
      </c>
      <c r="F52" s="6" t="s">
        <v>22</v>
      </c>
      <c r="G52" s="6" t="s">
        <v>16</v>
      </c>
      <c r="H52" s="8">
        <v>2</v>
      </c>
      <c r="I52" s="6"/>
      <c r="J52" s="8" t="s">
        <v>14</v>
      </c>
    </row>
    <row r="53" spans="1:10" x14ac:dyDescent="0.25">
      <c r="A53" s="3">
        <v>12</v>
      </c>
      <c r="B53" s="30" t="s">
        <v>43</v>
      </c>
      <c r="C53" s="17" t="s">
        <v>33</v>
      </c>
      <c r="D53" s="7" t="s">
        <v>11</v>
      </c>
      <c r="E53" s="6" t="s">
        <v>12</v>
      </c>
      <c r="F53" s="6" t="s">
        <v>22</v>
      </c>
      <c r="G53" s="6" t="s">
        <v>13</v>
      </c>
      <c r="H53" s="24">
        <v>1</v>
      </c>
      <c r="I53" s="6"/>
      <c r="J53" s="8" t="s">
        <v>14</v>
      </c>
    </row>
    <row r="54" spans="1:10" ht="15" customHeight="1" x14ac:dyDescent="0.25">
      <c r="A54" s="3">
        <v>13</v>
      </c>
      <c r="B54" s="30" t="s">
        <v>54</v>
      </c>
      <c r="C54" s="17" t="s">
        <v>33</v>
      </c>
      <c r="D54" s="7" t="s">
        <v>11</v>
      </c>
      <c r="E54" s="7" t="s">
        <v>12</v>
      </c>
      <c r="F54" s="24" t="s">
        <v>22</v>
      </c>
      <c r="G54" s="24" t="s">
        <v>16</v>
      </c>
      <c r="H54" s="24">
        <v>1</v>
      </c>
      <c r="I54" s="22"/>
      <c r="J54" s="8" t="s">
        <v>14</v>
      </c>
    </row>
  </sheetData>
  <mergeCells count="5">
    <mergeCell ref="A1:J1"/>
    <mergeCell ref="A8:J8"/>
    <mergeCell ref="A16:J16"/>
    <mergeCell ref="A22:J22"/>
    <mergeCell ref="A40:J40"/>
  </mergeCells>
  <conditionalFormatting sqref="A20:A21">
    <cfRule type="duplicateValues" dxfId="2580" priority="24"/>
  </conditionalFormatting>
  <conditionalFormatting sqref="B1:B1048576">
    <cfRule type="duplicateValues" dxfId="2579" priority="1"/>
    <cfRule type="duplicateValues" dxfId="2578" priority="2"/>
    <cfRule type="duplicateValues" dxfId="2577" priority="5"/>
    <cfRule type="duplicateValues" dxfId="2576" priority="809"/>
    <cfRule type="duplicateValues" dxfId="2575" priority="810"/>
    <cfRule type="duplicateValues" dxfId="2574" priority="811"/>
    <cfRule type="duplicateValues" dxfId="2573" priority="812"/>
  </conditionalFormatting>
  <conditionalFormatting sqref="B7 B2 B9 B23:B33 B38:B39 B36 B41:B43 B20:B21 B17:B18">
    <cfRule type="duplicateValues" dxfId="2572" priority="864" stopIfTrue="1"/>
  </conditionalFormatting>
  <conditionalFormatting sqref="B10">
    <cfRule type="duplicateValues" dxfId="2571" priority="22"/>
    <cfRule type="duplicateValues" dxfId="2570" priority="23"/>
  </conditionalFormatting>
  <conditionalFormatting sqref="B10:B13 B4:B5">
    <cfRule type="duplicateValues" dxfId="2569" priority="968"/>
  </conditionalFormatting>
  <conditionalFormatting sqref="B11:B13 B4:B5">
    <cfRule type="duplicateValues" dxfId="2568" priority="867"/>
    <cfRule type="duplicateValues" dxfId="2567" priority="868"/>
  </conditionalFormatting>
  <conditionalFormatting sqref="B19">
    <cfRule type="duplicateValues" dxfId="2566" priority="8"/>
    <cfRule type="duplicateValues" dxfId="2565" priority="9"/>
    <cfRule type="duplicateValues" dxfId="2564" priority="10"/>
  </conditionalFormatting>
  <conditionalFormatting sqref="B20:B1048576 B1:B3 B6:B9 B14:B18">
    <cfRule type="duplicateValues" dxfId="2563" priority="804"/>
  </conditionalFormatting>
  <conditionalFormatting sqref="B44:B47 B37 B50:B53 B14:B15 B6">
    <cfRule type="duplicateValues" dxfId="2562" priority="25"/>
    <cfRule type="duplicateValues" dxfId="2561" priority="26" stopIfTrue="1"/>
  </conditionalFormatting>
  <conditionalFormatting sqref="B48:B49">
    <cfRule type="duplicateValues" dxfId="2560" priority="27"/>
    <cfRule type="duplicateValues" dxfId="2559" priority="28"/>
    <cfRule type="duplicateValues" dxfId="2558" priority="29"/>
  </conditionalFormatting>
  <conditionalFormatting sqref="B54 B3">
    <cfRule type="duplicateValues" dxfId="2557" priority="30"/>
  </conditionalFormatting>
  <conditionalFormatting sqref="B55:B1048576 B1:B2 B20:B53 B6:B9 B14:B18">
    <cfRule type="duplicateValues" dxfId="2556" priority="835"/>
    <cfRule type="duplicateValues" dxfId="2555" priority="836"/>
    <cfRule type="duplicateValues" dxfId="2554" priority="837"/>
    <cfRule type="duplicateValues" dxfId="2553" priority="838"/>
  </conditionalFormatting>
  <conditionalFormatting sqref="B55:B1048576 B1:B2 B50:B53 B20:B47 B6:B9 B14:B18">
    <cfRule type="duplicateValues" dxfId="2552" priority="859"/>
    <cfRule type="duplicateValues" dxfId="2551" priority="860"/>
    <cfRule type="duplicateValues" dxfId="2550" priority="861"/>
  </conditionalFormatting>
  <conditionalFormatting sqref="B55:B1048576 B20:B26 B34:B36 B38:B41 B29:B32 B14:B16">
    <cfRule type="duplicateValues" dxfId="2549" priority="821"/>
  </conditionalFormatting>
  <conditionalFormatting sqref="B56:B1048576">
    <cfRule type="duplicateValues" dxfId="2548" priority="802"/>
    <cfRule type="duplicateValues" dxfId="2547" priority="829"/>
    <cfRule type="duplicateValues" dxfId="2546" priority="83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4B3B-377E-4314-9224-FCC61EF5A825}">
  <dimension ref="A1:J54"/>
  <sheetViews>
    <sheetView workbookViewId="0">
      <selection activeCell="M48" sqref="M48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11.140625" bestFit="1" customWidth="1"/>
    <col min="9" max="9" width="9.28515625" bestFit="1" customWidth="1"/>
  </cols>
  <sheetData>
    <row r="1" spans="1:10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t="15" customHeight="1" x14ac:dyDescent="0.25">
      <c r="A3" s="3">
        <v>1</v>
      </c>
      <c r="B3" s="21" t="s">
        <v>52</v>
      </c>
      <c r="C3" s="4" t="s">
        <v>0</v>
      </c>
      <c r="D3" s="7" t="s">
        <v>11</v>
      </c>
      <c r="E3" s="7" t="s">
        <v>12</v>
      </c>
      <c r="F3" s="24" t="s">
        <v>22</v>
      </c>
      <c r="G3" s="24" t="s">
        <v>53</v>
      </c>
      <c r="H3" s="24">
        <v>5</v>
      </c>
      <c r="I3" s="22"/>
      <c r="J3" s="8" t="s">
        <v>14</v>
      </c>
    </row>
    <row r="4" spans="1:10" x14ac:dyDescent="0.25">
      <c r="A4" s="3">
        <v>2</v>
      </c>
      <c r="B4" s="30" t="s">
        <v>59</v>
      </c>
      <c r="C4" s="31" t="s">
        <v>0</v>
      </c>
      <c r="D4" s="24" t="s">
        <v>11</v>
      </c>
      <c r="E4" s="7" t="s">
        <v>56</v>
      </c>
      <c r="F4" s="24" t="s">
        <v>22</v>
      </c>
      <c r="G4" s="7" t="s">
        <v>16</v>
      </c>
      <c r="H4" s="24">
        <v>1</v>
      </c>
      <c r="I4" s="24"/>
      <c r="J4" s="8" t="s">
        <v>57</v>
      </c>
    </row>
    <row r="5" spans="1:10" x14ac:dyDescent="0.25">
      <c r="A5" s="3">
        <v>3</v>
      </c>
      <c r="B5" s="30" t="s">
        <v>63</v>
      </c>
      <c r="C5" s="31" t="s">
        <v>0</v>
      </c>
      <c r="D5" s="24" t="s">
        <v>11</v>
      </c>
      <c r="E5" s="7" t="s">
        <v>56</v>
      </c>
      <c r="F5" s="24" t="s">
        <v>22</v>
      </c>
      <c r="G5" s="7" t="s">
        <v>16</v>
      </c>
      <c r="H5" s="24">
        <v>1</v>
      </c>
      <c r="I5" s="24"/>
      <c r="J5" s="8" t="s">
        <v>57</v>
      </c>
    </row>
    <row r="6" spans="1:10" x14ac:dyDescent="0.25">
      <c r="A6" s="9"/>
      <c r="B6" s="19"/>
      <c r="C6" s="11"/>
      <c r="D6" s="18"/>
      <c r="E6" s="10"/>
      <c r="F6" s="10"/>
      <c r="G6" s="10"/>
      <c r="H6" s="10"/>
      <c r="I6" s="10"/>
      <c r="J6" s="13"/>
    </row>
    <row r="8" spans="1:10" x14ac:dyDescent="0.25">
      <c r="A8" s="111" t="s">
        <v>21</v>
      </c>
      <c r="B8" s="111"/>
      <c r="C8" s="111"/>
      <c r="D8" s="111"/>
      <c r="E8" s="111"/>
      <c r="F8" s="111"/>
      <c r="G8" s="111"/>
      <c r="H8" s="111"/>
      <c r="I8" s="111"/>
      <c r="J8" s="111"/>
    </row>
    <row r="9" spans="1:10" ht="15.75" x14ac:dyDescent="0.25">
      <c r="A9" s="1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/>
      <c r="J9" s="2" t="s">
        <v>9</v>
      </c>
    </row>
    <row r="10" spans="1:10" x14ac:dyDescent="0.25">
      <c r="A10" s="3">
        <v>1</v>
      </c>
      <c r="B10" s="30" t="s">
        <v>55</v>
      </c>
      <c r="C10" s="31" t="s">
        <v>69</v>
      </c>
      <c r="D10" s="21" t="s">
        <v>11</v>
      </c>
      <c r="E10" s="7" t="s">
        <v>56</v>
      </c>
      <c r="F10" s="24" t="s">
        <v>22</v>
      </c>
      <c r="G10" s="7" t="s">
        <v>16</v>
      </c>
      <c r="H10" s="24">
        <v>1</v>
      </c>
      <c r="I10" s="24"/>
      <c r="J10" s="8" t="s">
        <v>57</v>
      </c>
    </row>
    <row r="11" spans="1:10" x14ac:dyDescent="0.25">
      <c r="A11" s="3">
        <v>2</v>
      </c>
      <c r="B11" s="30" t="s">
        <v>60</v>
      </c>
      <c r="C11" s="31" t="s">
        <v>69</v>
      </c>
      <c r="D11" s="24" t="s">
        <v>11</v>
      </c>
      <c r="E11" s="7" t="s">
        <v>56</v>
      </c>
      <c r="F11" s="24" t="s">
        <v>22</v>
      </c>
      <c r="G11" s="7" t="s">
        <v>16</v>
      </c>
      <c r="H11" s="24">
        <v>1</v>
      </c>
      <c r="I11" s="24"/>
      <c r="J11" s="8" t="s">
        <v>57</v>
      </c>
    </row>
    <row r="12" spans="1:10" x14ac:dyDescent="0.25">
      <c r="A12" s="3">
        <v>3</v>
      </c>
      <c r="B12" s="30" t="s">
        <v>61</v>
      </c>
      <c r="C12" s="31" t="s">
        <v>70</v>
      </c>
      <c r="D12" s="24" t="s">
        <v>11</v>
      </c>
      <c r="E12" s="7" t="s">
        <v>56</v>
      </c>
      <c r="F12" s="24" t="s">
        <v>22</v>
      </c>
      <c r="G12" s="7" t="s">
        <v>16</v>
      </c>
      <c r="H12" s="24">
        <v>1</v>
      </c>
      <c r="I12" s="24"/>
      <c r="J12" s="8" t="s">
        <v>57</v>
      </c>
    </row>
    <row r="13" spans="1:10" x14ac:dyDescent="0.25">
      <c r="A13" s="3">
        <v>4</v>
      </c>
      <c r="B13" s="30" t="s">
        <v>62</v>
      </c>
      <c r="C13" s="31" t="s">
        <v>71</v>
      </c>
      <c r="D13" s="24" t="s">
        <v>11</v>
      </c>
      <c r="E13" s="7" t="s">
        <v>56</v>
      </c>
      <c r="F13" s="24" t="s">
        <v>22</v>
      </c>
      <c r="G13" s="7" t="s">
        <v>16</v>
      </c>
      <c r="H13" s="24">
        <v>1</v>
      </c>
      <c r="I13" s="24"/>
      <c r="J13" s="8" t="s">
        <v>57</v>
      </c>
    </row>
    <row r="14" spans="1:10" x14ac:dyDescent="0.25">
      <c r="A14" s="9"/>
      <c r="B14" s="20"/>
      <c r="C14" s="11"/>
      <c r="D14" s="18"/>
      <c r="E14" s="10"/>
      <c r="F14" s="10"/>
      <c r="G14" s="10"/>
      <c r="H14" s="10"/>
      <c r="I14" s="10"/>
      <c r="J14" s="13"/>
    </row>
    <row r="15" spans="1:10" x14ac:dyDescent="0.25">
      <c r="A15" s="9"/>
      <c r="B15" s="20"/>
      <c r="C15" s="11"/>
      <c r="D15" s="18"/>
      <c r="E15" s="10"/>
      <c r="F15" s="10"/>
      <c r="G15" s="10"/>
      <c r="H15" s="10"/>
      <c r="I15" s="10"/>
      <c r="J15" s="13"/>
    </row>
    <row r="16" spans="1:10" ht="15.75" x14ac:dyDescent="0.25">
      <c r="A16" s="113" t="s">
        <v>68</v>
      </c>
      <c r="B16" s="113"/>
      <c r="C16" s="113"/>
      <c r="D16" s="113"/>
      <c r="E16" s="113"/>
      <c r="F16" s="113"/>
      <c r="G16" s="113"/>
      <c r="H16" s="113"/>
      <c r="I16" s="113"/>
      <c r="J16" s="113"/>
    </row>
    <row r="17" spans="1:10" ht="15.75" x14ac:dyDescent="0.25">
      <c r="A17" s="1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/>
      <c r="J17" s="2" t="s">
        <v>9</v>
      </c>
    </row>
    <row r="18" spans="1:10" x14ac:dyDescent="0.25">
      <c r="A18" s="3">
        <v>1</v>
      </c>
      <c r="B18" s="7" t="s">
        <v>26</v>
      </c>
      <c r="C18" s="17" t="s">
        <v>67</v>
      </c>
      <c r="D18" s="7" t="s">
        <v>11</v>
      </c>
      <c r="E18" s="6" t="s">
        <v>12</v>
      </c>
      <c r="F18" s="6" t="s">
        <v>22</v>
      </c>
      <c r="G18" s="6" t="s">
        <v>16</v>
      </c>
      <c r="H18" s="24">
        <v>1</v>
      </c>
      <c r="I18" s="6"/>
      <c r="J18" s="8" t="s">
        <v>14</v>
      </c>
    </row>
    <row r="19" spans="1:10" x14ac:dyDescent="0.25">
      <c r="A19" s="3">
        <v>2</v>
      </c>
      <c r="B19" s="30" t="s">
        <v>58</v>
      </c>
      <c r="C19" s="17" t="s">
        <v>67</v>
      </c>
      <c r="D19" s="21" t="s">
        <v>11</v>
      </c>
      <c r="E19" s="7" t="s">
        <v>56</v>
      </c>
      <c r="F19" s="24" t="s">
        <v>22</v>
      </c>
      <c r="G19" s="7" t="s">
        <v>16</v>
      </c>
      <c r="H19" s="24">
        <v>1</v>
      </c>
      <c r="I19" s="24"/>
      <c r="J19" s="8" t="s">
        <v>57</v>
      </c>
    </row>
    <row r="21" spans="1:10" hidden="1" x14ac:dyDescent="0.25"/>
    <row r="22" spans="1:10" ht="15.75" hidden="1" x14ac:dyDescent="0.25">
      <c r="A22" s="112" t="s">
        <v>51</v>
      </c>
      <c r="B22" s="112"/>
      <c r="C22" s="112"/>
      <c r="D22" s="112"/>
      <c r="E22" s="112"/>
      <c r="F22" s="112"/>
      <c r="G22" s="112"/>
      <c r="H22" s="112"/>
      <c r="I22" s="112"/>
      <c r="J22" s="112"/>
    </row>
    <row r="23" spans="1:10" ht="15.75" hidden="1" x14ac:dyDescent="0.25">
      <c r="A23" s="1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/>
      <c r="J23" s="2" t="s">
        <v>9</v>
      </c>
    </row>
    <row r="24" spans="1:10" hidden="1" x14ac:dyDescent="0.25">
      <c r="A24" s="3">
        <v>1</v>
      </c>
      <c r="B24" s="6" t="s">
        <v>32</v>
      </c>
      <c r="C24" s="17" t="s">
        <v>51</v>
      </c>
      <c r="D24" s="7" t="s">
        <v>11</v>
      </c>
      <c r="E24" s="6" t="s">
        <v>12</v>
      </c>
      <c r="F24" s="6" t="s">
        <v>22</v>
      </c>
      <c r="G24" s="6" t="s">
        <v>19</v>
      </c>
      <c r="H24" s="8">
        <v>9</v>
      </c>
      <c r="I24" s="6"/>
      <c r="J24" s="8" t="s">
        <v>14</v>
      </c>
    </row>
    <row r="25" spans="1:10" hidden="1" x14ac:dyDescent="0.25">
      <c r="A25" s="16">
        <v>6</v>
      </c>
      <c r="B25" s="7" t="s">
        <v>35</v>
      </c>
      <c r="C25" s="17" t="s">
        <v>51</v>
      </c>
      <c r="D25" s="7" t="s">
        <v>11</v>
      </c>
      <c r="E25" s="6" t="s">
        <v>12</v>
      </c>
      <c r="F25" s="6" t="s">
        <v>22</v>
      </c>
      <c r="G25" s="6" t="s">
        <v>19</v>
      </c>
      <c r="H25" s="8">
        <v>9</v>
      </c>
      <c r="I25" s="6"/>
      <c r="J25" s="8" t="s">
        <v>14</v>
      </c>
    </row>
    <row r="26" spans="1:10" hidden="1" x14ac:dyDescent="0.25">
      <c r="A26" s="3">
        <v>13</v>
      </c>
      <c r="B26" s="6" t="s">
        <v>29</v>
      </c>
      <c r="C26" s="17" t="s">
        <v>51</v>
      </c>
      <c r="D26" s="7" t="s">
        <v>11</v>
      </c>
      <c r="E26" s="6" t="s">
        <v>12</v>
      </c>
      <c r="F26" s="6" t="s">
        <v>22</v>
      </c>
      <c r="G26" s="6" t="s">
        <v>19</v>
      </c>
      <c r="H26" s="8">
        <v>6</v>
      </c>
      <c r="I26" s="6"/>
      <c r="J26" s="8" t="s">
        <v>14</v>
      </c>
    </row>
    <row r="27" spans="1:10" hidden="1" x14ac:dyDescent="0.25">
      <c r="A27" s="3">
        <v>5</v>
      </c>
      <c r="B27" s="26" t="s">
        <v>23</v>
      </c>
      <c r="C27" s="17" t="s">
        <v>51</v>
      </c>
      <c r="D27" s="7" t="s">
        <v>11</v>
      </c>
      <c r="E27" s="6" t="s">
        <v>12</v>
      </c>
      <c r="F27" s="6" t="s">
        <v>22</v>
      </c>
      <c r="G27" s="6" t="s">
        <v>16</v>
      </c>
      <c r="H27" s="8">
        <v>9</v>
      </c>
      <c r="I27" s="6"/>
      <c r="J27" s="8" t="s">
        <v>14</v>
      </c>
    </row>
    <row r="28" spans="1:10" hidden="1" x14ac:dyDescent="0.25">
      <c r="A28" s="3">
        <v>14</v>
      </c>
      <c r="B28" s="26" t="s">
        <v>24</v>
      </c>
      <c r="C28" s="17" t="s">
        <v>51</v>
      </c>
      <c r="D28" s="7" t="s">
        <v>11</v>
      </c>
      <c r="E28" s="6" t="s">
        <v>12</v>
      </c>
      <c r="F28" s="6" t="s">
        <v>22</v>
      </c>
      <c r="G28" s="6" t="s">
        <v>19</v>
      </c>
      <c r="H28" s="8">
        <v>6</v>
      </c>
      <c r="I28" s="6"/>
      <c r="J28" s="8" t="s">
        <v>14</v>
      </c>
    </row>
    <row r="29" spans="1:10" hidden="1" x14ac:dyDescent="0.25">
      <c r="A29" s="16">
        <v>1</v>
      </c>
      <c r="B29" s="26" t="s">
        <v>34</v>
      </c>
      <c r="C29" s="17" t="s">
        <v>51</v>
      </c>
      <c r="D29" s="7" t="s">
        <v>11</v>
      </c>
      <c r="E29" s="6" t="s">
        <v>12</v>
      </c>
      <c r="F29" s="6" t="s">
        <v>22</v>
      </c>
      <c r="G29" s="6" t="s">
        <v>19</v>
      </c>
      <c r="H29" s="8">
        <v>14</v>
      </c>
      <c r="I29" s="6"/>
      <c r="J29" s="8" t="s">
        <v>14</v>
      </c>
    </row>
    <row r="30" spans="1:10" hidden="1" x14ac:dyDescent="0.25">
      <c r="A30" s="3">
        <v>2</v>
      </c>
      <c r="B30" s="26" t="s">
        <v>37</v>
      </c>
      <c r="C30" s="17" t="s">
        <v>51</v>
      </c>
      <c r="D30" s="7" t="s">
        <v>11</v>
      </c>
      <c r="E30" s="6" t="s">
        <v>12</v>
      </c>
      <c r="F30" s="6" t="s">
        <v>22</v>
      </c>
      <c r="G30" s="6" t="s">
        <v>19</v>
      </c>
      <c r="H30" s="8">
        <v>12</v>
      </c>
      <c r="I30" s="6"/>
      <c r="J30" s="8" t="s">
        <v>14</v>
      </c>
    </row>
    <row r="31" spans="1:10" hidden="1" x14ac:dyDescent="0.25">
      <c r="A31" s="3">
        <v>3</v>
      </c>
      <c r="B31" s="26" t="s">
        <v>38</v>
      </c>
      <c r="C31" s="17" t="s">
        <v>51</v>
      </c>
      <c r="D31" s="7" t="s">
        <v>11</v>
      </c>
      <c r="E31" s="6" t="s">
        <v>12</v>
      </c>
      <c r="F31" s="6" t="s">
        <v>22</v>
      </c>
      <c r="G31" s="6" t="s">
        <v>19</v>
      </c>
      <c r="H31" s="8">
        <v>12</v>
      </c>
      <c r="I31" s="6"/>
      <c r="J31" s="8" t="s">
        <v>14</v>
      </c>
    </row>
    <row r="32" spans="1:10" hidden="1" x14ac:dyDescent="0.25">
      <c r="A32" s="3">
        <v>4</v>
      </c>
      <c r="B32" s="26" t="s">
        <v>39</v>
      </c>
      <c r="C32" s="17" t="s">
        <v>51</v>
      </c>
      <c r="D32" s="7" t="s">
        <v>11</v>
      </c>
      <c r="E32" s="6" t="s">
        <v>12</v>
      </c>
      <c r="F32" s="6" t="s">
        <v>22</v>
      </c>
      <c r="G32" s="6" t="s">
        <v>19</v>
      </c>
      <c r="H32" s="8">
        <v>12</v>
      </c>
      <c r="I32" s="6"/>
      <c r="J32" s="8" t="s">
        <v>14</v>
      </c>
    </row>
    <row r="33" spans="1:10" hidden="1" x14ac:dyDescent="0.25">
      <c r="A33" s="3">
        <v>6</v>
      </c>
      <c r="B33" s="26" t="s">
        <v>25</v>
      </c>
      <c r="C33" s="17" t="s">
        <v>51</v>
      </c>
      <c r="D33" s="7" t="s">
        <v>11</v>
      </c>
      <c r="E33" s="6" t="s">
        <v>12</v>
      </c>
      <c r="F33" s="6" t="s">
        <v>22</v>
      </c>
      <c r="G33" s="6" t="s">
        <v>13</v>
      </c>
      <c r="H33" s="8">
        <v>9</v>
      </c>
      <c r="I33" s="6"/>
      <c r="J33" s="8" t="s">
        <v>14</v>
      </c>
    </row>
    <row r="34" spans="1:10" hidden="1" x14ac:dyDescent="0.25">
      <c r="A34" s="3">
        <v>7</v>
      </c>
      <c r="B34" s="29" t="s">
        <v>49</v>
      </c>
      <c r="C34" s="17" t="s">
        <v>51</v>
      </c>
      <c r="D34" s="7" t="s">
        <v>11</v>
      </c>
      <c r="E34" s="6" t="s">
        <v>12</v>
      </c>
      <c r="F34" s="6" t="s">
        <v>22</v>
      </c>
      <c r="G34" s="24" t="s">
        <v>13</v>
      </c>
      <c r="H34" s="8">
        <v>9</v>
      </c>
      <c r="I34" s="22"/>
      <c r="J34" s="8" t="s">
        <v>14</v>
      </c>
    </row>
    <row r="35" spans="1:10" hidden="1" x14ac:dyDescent="0.25">
      <c r="A35" s="3">
        <v>9</v>
      </c>
      <c r="B35" s="29" t="s">
        <v>50</v>
      </c>
      <c r="C35" s="17" t="s">
        <v>51</v>
      </c>
      <c r="D35" s="7" t="s">
        <v>11</v>
      </c>
      <c r="E35" s="6" t="s">
        <v>12</v>
      </c>
      <c r="F35" s="6" t="s">
        <v>22</v>
      </c>
      <c r="G35" s="6" t="s">
        <v>19</v>
      </c>
      <c r="H35" s="8">
        <v>8</v>
      </c>
      <c r="I35" s="22"/>
      <c r="J35" s="8" t="s">
        <v>14</v>
      </c>
    </row>
    <row r="36" spans="1:10" hidden="1" x14ac:dyDescent="0.25">
      <c r="A36" s="3">
        <v>10</v>
      </c>
      <c r="B36" s="26" t="s">
        <v>36</v>
      </c>
      <c r="C36" s="17" t="s">
        <v>51</v>
      </c>
      <c r="D36" s="7" t="s">
        <v>11</v>
      </c>
      <c r="E36" s="6" t="s">
        <v>12</v>
      </c>
      <c r="F36" s="6" t="s">
        <v>22</v>
      </c>
      <c r="G36" s="6" t="s">
        <v>19</v>
      </c>
      <c r="H36" s="8">
        <v>7</v>
      </c>
      <c r="I36" s="6"/>
      <c r="J36" s="8" t="s">
        <v>14</v>
      </c>
    </row>
    <row r="37" spans="1:10" hidden="1" x14ac:dyDescent="0.25">
      <c r="A37" s="3">
        <v>15</v>
      </c>
      <c r="B37" s="29" t="s">
        <v>18</v>
      </c>
      <c r="C37" s="17" t="s">
        <v>51</v>
      </c>
      <c r="D37" s="5" t="s">
        <v>11</v>
      </c>
      <c r="E37" s="6" t="s">
        <v>12</v>
      </c>
      <c r="F37" s="6" t="s">
        <v>22</v>
      </c>
      <c r="G37" s="6" t="s">
        <v>19</v>
      </c>
      <c r="H37" s="8">
        <v>6</v>
      </c>
      <c r="I37" s="6"/>
      <c r="J37" s="8" t="s">
        <v>14</v>
      </c>
    </row>
    <row r="40" spans="1:10" ht="15.75" x14ac:dyDescent="0.25">
      <c r="A40" s="113" t="s">
        <v>30</v>
      </c>
      <c r="B40" s="113"/>
      <c r="C40" s="113"/>
      <c r="D40" s="113"/>
      <c r="E40" s="113"/>
      <c r="F40" s="113"/>
      <c r="G40" s="113"/>
      <c r="H40" s="113"/>
      <c r="I40" s="113"/>
      <c r="J40" s="113"/>
    </row>
    <row r="41" spans="1:10" ht="29.45" customHeight="1" x14ac:dyDescent="0.25">
      <c r="A41" s="14" t="s">
        <v>1</v>
      </c>
      <c r="B41" s="15" t="s">
        <v>2</v>
      </c>
      <c r="C41" s="15" t="s">
        <v>40</v>
      </c>
      <c r="D41" s="15" t="s">
        <v>4</v>
      </c>
      <c r="E41" s="15" t="s">
        <v>5</v>
      </c>
      <c r="F41" s="15" t="s">
        <v>6</v>
      </c>
      <c r="G41" s="15" t="s">
        <v>7</v>
      </c>
      <c r="H41" s="15" t="s">
        <v>8</v>
      </c>
      <c r="I41" s="15" t="s">
        <v>31</v>
      </c>
      <c r="J41" s="15" t="s">
        <v>9</v>
      </c>
    </row>
    <row r="42" spans="1:10" x14ac:dyDescent="0.25">
      <c r="A42" s="3">
        <v>1</v>
      </c>
      <c r="B42" s="26" t="s">
        <v>27</v>
      </c>
      <c r="C42" s="17" t="s">
        <v>33</v>
      </c>
      <c r="D42" s="7" t="s">
        <v>11</v>
      </c>
      <c r="E42" s="6" t="s">
        <v>12</v>
      </c>
      <c r="F42" s="6" t="s">
        <v>22</v>
      </c>
      <c r="G42" s="6" t="s">
        <v>19</v>
      </c>
      <c r="H42" s="8">
        <v>8</v>
      </c>
      <c r="I42" s="6"/>
      <c r="J42" s="8" t="s">
        <v>14</v>
      </c>
    </row>
    <row r="43" spans="1:10" x14ac:dyDescent="0.25">
      <c r="A43" s="3">
        <v>2</v>
      </c>
      <c r="B43" s="26" t="s">
        <v>28</v>
      </c>
      <c r="C43" s="17" t="s">
        <v>33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7</v>
      </c>
      <c r="I43" s="6"/>
      <c r="J43" s="8" t="s">
        <v>14</v>
      </c>
    </row>
    <row r="44" spans="1:10" x14ac:dyDescent="0.25">
      <c r="A44" s="3">
        <v>3</v>
      </c>
      <c r="B44" s="29" t="s">
        <v>17</v>
      </c>
      <c r="C44" s="17" t="s">
        <v>33</v>
      </c>
      <c r="D44" s="5" t="s">
        <v>11</v>
      </c>
      <c r="E44" s="6" t="s">
        <v>12</v>
      </c>
      <c r="F44" s="6" t="s">
        <v>22</v>
      </c>
      <c r="G44" s="6" t="s">
        <v>16</v>
      </c>
      <c r="H44" s="8">
        <v>7</v>
      </c>
      <c r="I44" s="6"/>
      <c r="J44" s="8" t="s">
        <v>14</v>
      </c>
    </row>
    <row r="45" spans="1:10" x14ac:dyDescent="0.25">
      <c r="A45" s="3">
        <v>4</v>
      </c>
      <c r="B45" s="28" t="s">
        <v>45</v>
      </c>
      <c r="C45" s="17" t="s">
        <v>33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7</v>
      </c>
      <c r="I45" s="6"/>
      <c r="J45" s="8" t="s">
        <v>14</v>
      </c>
    </row>
    <row r="46" spans="1:10" x14ac:dyDescent="0.25">
      <c r="A46" s="3">
        <v>5</v>
      </c>
      <c r="B46" s="29" t="s">
        <v>15</v>
      </c>
      <c r="C46" s="17" t="s">
        <v>33</v>
      </c>
      <c r="D46" s="5" t="s">
        <v>11</v>
      </c>
      <c r="E46" s="6" t="s">
        <v>12</v>
      </c>
      <c r="F46" s="6" t="s">
        <v>22</v>
      </c>
      <c r="G46" s="6" t="s">
        <v>16</v>
      </c>
      <c r="H46" s="8">
        <v>6</v>
      </c>
      <c r="I46" s="6"/>
      <c r="J46" s="8" t="s">
        <v>14</v>
      </c>
    </row>
    <row r="47" spans="1:10" x14ac:dyDescent="0.25">
      <c r="A47" s="3">
        <v>6</v>
      </c>
      <c r="B47" s="29" t="s">
        <v>20</v>
      </c>
      <c r="C47" s="17" t="s">
        <v>33</v>
      </c>
      <c r="D47" s="5" t="s">
        <v>11</v>
      </c>
      <c r="E47" s="6" t="s">
        <v>12</v>
      </c>
      <c r="F47" s="6" t="s">
        <v>22</v>
      </c>
      <c r="G47" s="6" t="s">
        <v>19</v>
      </c>
      <c r="H47" s="8">
        <v>6</v>
      </c>
      <c r="I47" s="6"/>
      <c r="J47" s="8" t="s">
        <v>14</v>
      </c>
    </row>
    <row r="48" spans="1:10" x14ac:dyDescent="0.25">
      <c r="A48" s="3">
        <v>7</v>
      </c>
      <c r="B48" s="28" t="s">
        <v>47</v>
      </c>
      <c r="C48" s="17" t="s">
        <v>33</v>
      </c>
      <c r="D48" s="21" t="s">
        <v>11</v>
      </c>
      <c r="E48" s="21" t="s">
        <v>12</v>
      </c>
      <c r="F48" s="6" t="s">
        <v>22</v>
      </c>
      <c r="G48" s="24" t="s">
        <v>13</v>
      </c>
      <c r="H48" s="8">
        <v>4</v>
      </c>
      <c r="I48" s="23"/>
      <c r="J48" s="8" t="s">
        <v>14</v>
      </c>
    </row>
    <row r="49" spans="1:10" x14ac:dyDescent="0.25">
      <c r="A49" s="3">
        <v>8</v>
      </c>
      <c r="B49" s="28" t="s">
        <v>46</v>
      </c>
      <c r="C49" s="17" t="s">
        <v>33</v>
      </c>
      <c r="D49" s="21" t="s">
        <v>11</v>
      </c>
      <c r="E49" s="21" t="s">
        <v>12</v>
      </c>
      <c r="F49" s="6" t="s">
        <v>22</v>
      </c>
      <c r="G49" s="6" t="s">
        <v>16</v>
      </c>
      <c r="H49" s="8">
        <v>4</v>
      </c>
      <c r="I49" s="23"/>
      <c r="J49" s="8" t="s">
        <v>14</v>
      </c>
    </row>
    <row r="50" spans="1:10" x14ac:dyDescent="0.25">
      <c r="A50" s="3">
        <v>9</v>
      </c>
      <c r="B50" s="28" t="s">
        <v>41</v>
      </c>
      <c r="C50" s="17" t="s">
        <v>33</v>
      </c>
      <c r="D50" s="7" t="s">
        <v>11</v>
      </c>
      <c r="E50" s="6" t="s">
        <v>12</v>
      </c>
      <c r="F50" s="6" t="s">
        <v>22</v>
      </c>
      <c r="G50" s="6" t="s">
        <v>16</v>
      </c>
      <c r="H50" s="8">
        <v>3</v>
      </c>
      <c r="I50" s="6"/>
      <c r="J50" s="8" t="s">
        <v>14</v>
      </c>
    </row>
    <row r="51" spans="1:10" x14ac:dyDescent="0.25">
      <c r="A51" s="3">
        <v>10</v>
      </c>
      <c r="B51" s="27" t="s">
        <v>10</v>
      </c>
      <c r="C51" s="17" t="s">
        <v>33</v>
      </c>
      <c r="D51" s="5" t="s">
        <v>11</v>
      </c>
      <c r="E51" s="6" t="s">
        <v>12</v>
      </c>
      <c r="F51" s="6" t="s">
        <v>22</v>
      </c>
      <c r="G51" s="6" t="s">
        <v>13</v>
      </c>
      <c r="H51" s="8">
        <v>2</v>
      </c>
      <c r="I51" s="6"/>
      <c r="J51" s="8" t="s">
        <v>14</v>
      </c>
    </row>
    <row r="52" spans="1:10" x14ac:dyDescent="0.25">
      <c r="A52" s="3">
        <v>11</v>
      </c>
      <c r="B52" s="28" t="s">
        <v>42</v>
      </c>
      <c r="C52" s="17" t="s">
        <v>33</v>
      </c>
      <c r="D52" s="7" t="s">
        <v>11</v>
      </c>
      <c r="E52" s="6" t="s">
        <v>12</v>
      </c>
      <c r="F52" s="6" t="s">
        <v>22</v>
      </c>
      <c r="G52" s="6" t="s">
        <v>16</v>
      </c>
      <c r="H52" s="8">
        <v>2</v>
      </c>
      <c r="I52" s="6"/>
      <c r="J52" s="8" t="s">
        <v>14</v>
      </c>
    </row>
    <row r="53" spans="1:10" x14ac:dyDescent="0.25">
      <c r="A53" s="3">
        <v>12</v>
      </c>
      <c r="B53" s="30" t="s">
        <v>43</v>
      </c>
      <c r="C53" s="17" t="s">
        <v>33</v>
      </c>
      <c r="D53" s="7" t="s">
        <v>11</v>
      </c>
      <c r="E53" s="6" t="s">
        <v>12</v>
      </c>
      <c r="F53" s="6" t="s">
        <v>22</v>
      </c>
      <c r="G53" s="6" t="s">
        <v>13</v>
      </c>
      <c r="H53" s="24">
        <v>1</v>
      </c>
      <c r="I53" s="6"/>
      <c r="J53" s="8" t="s">
        <v>14</v>
      </c>
    </row>
    <row r="54" spans="1:10" ht="15" customHeight="1" x14ac:dyDescent="0.25">
      <c r="A54" s="3">
        <v>13</v>
      </c>
      <c r="B54" s="30" t="s">
        <v>54</v>
      </c>
      <c r="C54" s="17" t="s">
        <v>33</v>
      </c>
      <c r="D54" s="7" t="s">
        <v>11</v>
      </c>
      <c r="E54" s="7" t="s">
        <v>12</v>
      </c>
      <c r="F54" s="24" t="s">
        <v>22</v>
      </c>
      <c r="G54" s="24" t="s">
        <v>16</v>
      </c>
      <c r="H54" s="24">
        <v>1</v>
      </c>
      <c r="I54" s="22"/>
      <c r="J54" s="8" t="s">
        <v>14</v>
      </c>
    </row>
  </sheetData>
  <mergeCells count="5">
    <mergeCell ref="A1:J1"/>
    <mergeCell ref="A8:J8"/>
    <mergeCell ref="A16:J16"/>
    <mergeCell ref="A22:J22"/>
    <mergeCell ref="A40:J40"/>
  </mergeCells>
  <conditionalFormatting sqref="A20:A21">
    <cfRule type="duplicateValues" dxfId="2545" priority="9"/>
  </conditionalFormatting>
  <conditionalFormatting sqref="B1:B1048576">
    <cfRule type="duplicateValues" dxfId="2544" priority="1"/>
    <cfRule type="duplicateValues" dxfId="2543" priority="2"/>
    <cfRule type="duplicateValues" dxfId="2542" priority="3"/>
    <cfRule type="duplicateValues" dxfId="2541" priority="18"/>
    <cfRule type="duplicateValues" dxfId="2540" priority="19"/>
    <cfRule type="duplicateValues" dxfId="2539" priority="20"/>
    <cfRule type="duplicateValues" dxfId="2538" priority="21"/>
  </conditionalFormatting>
  <conditionalFormatting sqref="B7 B2 B9 B23:B33 B38:B39 B36 B41:B43 B20:B21 B17:B18">
    <cfRule type="duplicateValues" dxfId="2537" priority="32" stopIfTrue="1"/>
  </conditionalFormatting>
  <conditionalFormatting sqref="B10">
    <cfRule type="duplicateValues" dxfId="2536" priority="7"/>
    <cfRule type="duplicateValues" dxfId="2535" priority="8"/>
  </conditionalFormatting>
  <conditionalFormatting sqref="B10:B13 B4:B5">
    <cfRule type="duplicateValues" dxfId="2534" priority="35"/>
  </conditionalFormatting>
  <conditionalFormatting sqref="B11:B13 B4:B5">
    <cfRule type="duplicateValues" dxfId="2533" priority="33"/>
    <cfRule type="duplicateValues" dxfId="2532" priority="34"/>
  </conditionalFormatting>
  <conditionalFormatting sqref="B19">
    <cfRule type="duplicateValues" dxfId="2531" priority="4"/>
    <cfRule type="duplicateValues" dxfId="2530" priority="5"/>
    <cfRule type="duplicateValues" dxfId="2529" priority="6"/>
  </conditionalFormatting>
  <conditionalFormatting sqref="B20:B1048576 B1:B3 B6:B9 B14:B18">
    <cfRule type="duplicateValues" dxfId="2528" priority="17"/>
  </conditionalFormatting>
  <conditionalFormatting sqref="B44:B47 B37 B50:B53 B14:B15 B6">
    <cfRule type="duplicateValues" dxfId="2527" priority="10"/>
    <cfRule type="duplicateValues" dxfId="2526" priority="11" stopIfTrue="1"/>
  </conditionalFormatting>
  <conditionalFormatting sqref="B48:B49">
    <cfRule type="duplicateValues" dxfId="2525" priority="12"/>
    <cfRule type="duplicateValues" dxfId="2524" priority="13"/>
    <cfRule type="duplicateValues" dxfId="2523" priority="14"/>
  </conditionalFormatting>
  <conditionalFormatting sqref="B54 B3">
    <cfRule type="duplicateValues" dxfId="2522" priority="15"/>
  </conditionalFormatting>
  <conditionalFormatting sqref="B55:B1048576 B1:B2 B20:B53 B6:B9 B14:B18">
    <cfRule type="duplicateValues" dxfId="2521" priority="25"/>
    <cfRule type="duplicateValues" dxfId="2520" priority="26"/>
    <cfRule type="duplicateValues" dxfId="2519" priority="27"/>
    <cfRule type="duplicateValues" dxfId="2518" priority="28"/>
  </conditionalFormatting>
  <conditionalFormatting sqref="B55:B1048576 B1:B2 B50:B53 B20:B47 B6:B9 B14:B18">
    <cfRule type="duplicateValues" dxfId="2517" priority="29"/>
    <cfRule type="duplicateValues" dxfId="2516" priority="30"/>
    <cfRule type="duplicateValues" dxfId="2515" priority="31"/>
  </conditionalFormatting>
  <conditionalFormatting sqref="B55:B1048576 B20:B26 B34:B36 B38:B41 B29:B32 B14:B16">
    <cfRule type="duplicateValues" dxfId="2514" priority="22"/>
  </conditionalFormatting>
  <conditionalFormatting sqref="B56:B1048576">
    <cfRule type="duplicateValues" dxfId="2513" priority="16"/>
    <cfRule type="duplicateValues" dxfId="2512" priority="23"/>
    <cfRule type="duplicateValues" dxfId="2511" priority="2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D64D-245C-49D1-A28C-925C25AF7352}">
  <dimension ref="A1:J85"/>
  <sheetViews>
    <sheetView topLeftCell="A39" workbookViewId="0">
      <selection activeCell="A35" sqref="A35:XFD39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11.140625" bestFit="1" customWidth="1"/>
    <col min="9" max="9" width="9.28515625" bestFit="1" customWidth="1"/>
  </cols>
  <sheetData>
    <row r="1" spans="1:10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x14ac:dyDescent="0.25">
      <c r="A3" s="32">
        <v>1</v>
      </c>
      <c r="B3" s="33" t="s">
        <v>74</v>
      </c>
      <c r="C3" s="4" t="s">
        <v>0</v>
      </c>
      <c r="D3" s="24" t="s">
        <v>11</v>
      </c>
      <c r="E3" s="7" t="s">
        <v>56</v>
      </c>
      <c r="F3" s="7" t="s">
        <v>22</v>
      </c>
      <c r="G3" s="24" t="s">
        <v>16</v>
      </c>
      <c r="H3" s="22"/>
      <c r="I3" s="22"/>
      <c r="J3" s="24" t="s">
        <v>57</v>
      </c>
    </row>
    <row r="4" spans="1:10" x14ac:dyDescent="0.25">
      <c r="A4" s="32">
        <v>2</v>
      </c>
      <c r="B4" s="33" t="s">
        <v>85</v>
      </c>
      <c r="C4" s="4" t="s">
        <v>0</v>
      </c>
      <c r="D4" s="24" t="s">
        <v>11</v>
      </c>
      <c r="E4" s="7" t="s">
        <v>56</v>
      </c>
      <c r="F4" s="7" t="s">
        <v>22</v>
      </c>
      <c r="G4" s="24" t="s">
        <v>16</v>
      </c>
      <c r="H4" s="22"/>
      <c r="I4" s="22"/>
      <c r="J4" s="24" t="s">
        <v>57</v>
      </c>
    </row>
    <row r="5" spans="1:10" x14ac:dyDescent="0.25">
      <c r="A5" s="32">
        <v>3</v>
      </c>
      <c r="B5" s="33" t="s">
        <v>86</v>
      </c>
      <c r="C5" s="4" t="s">
        <v>0</v>
      </c>
      <c r="D5" s="24" t="s">
        <v>11</v>
      </c>
      <c r="E5" s="7" t="s">
        <v>56</v>
      </c>
      <c r="F5" s="7" t="s">
        <v>22</v>
      </c>
      <c r="G5" s="24" t="s">
        <v>16</v>
      </c>
      <c r="H5" s="22"/>
      <c r="I5" s="22"/>
      <c r="J5" s="24" t="s">
        <v>57</v>
      </c>
    </row>
    <row r="6" spans="1:10" x14ac:dyDescent="0.25">
      <c r="A6" s="32">
        <v>4</v>
      </c>
      <c r="B6" s="33" t="s">
        <v>90</v>
      </c>
      <c r="C6" s="4" t="s">
        <v>0</v>
      </c>
      <c r="D6" s="24" t="s">
        <v>11</v>
      </c>
      <c r="E6" s="7" t="s">
        <v>56</v>
      </c>
      <c r="F6" s="7" t="s">
        <v>22</v>
      </c>
      <c r="G6" s="24" t="s">
        <v>16</v>
      </c>
      <c r="H6" s="22"/>
      <c r="I6" s="22"/>
      <c r="J6" s="24" t="s">
        <v>57</v>
      </c>
    </row>
    <row r="7" spans="1:10" x14ac:dyDescent="0.25">
      <c r="A7" s="32">
        <v>5</v>
      </c>
      <c r="B7" s="33" t="s">
        <v>84</v>
      </c>
      <c r="C7" s="4" t="s">
        <v>0</v>
      </c>
      <c r="D7" s="24" t="s">
        <v>11</v>
      </c>
      <c r="E7" s="7" t="s">
        <v>56</v>
      </c>
      <c r="F7" s="7" t="s">
        <v>22</v>
      </c>
      <c r="G7" s="24" t="s">
        <v>16</v>
      </c>
      <c r="H7" s="22"/>
      <c r="I7" s="22"/>
      <c r="J7" s="24" t="s">
        <v>57</v>
      </c>
    </row>
    <row r="8" spans="1:10" x14ac:dyDescent="0.25">
      <c r="A8" s="9"/>
      <c r="B8" s="19"/>
      <c r="C8" s="11"/>
      <c r="D8" s="18"/>
      <c r="E8" s="10"/>
      <c r="F8" s="10"/>
      <c r="G8" s="10"/>
      <c r="H8" s="10"/>
      <c r="I8" s="10"/>
      <c r="J8" s="13"/>
    </row>
    <row r="10" spans="1:10" x14ac:dyDescent="0.25">
      <c r="A10" s="111" t="s">
        <v>21</v>
      </c>
      <c r="B10" s="111"/>
      <c r="C10" s="111"/>
      <c r="D10" s="111"/>
      <c r="E10" s="111"/>
      <c r="F10" s="111"/>
      <c r="G10" s="111"/>
      <c r="H10" s="111"/>
      <c r="I10" s="111"/>
      <c r="J10" s="111"/>
    </row>
    <row r="11" spans="1:10" ht="15.75" x14ac:dyDescent="0.25">
      <c r="A11" s="1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/>
      <c r="J11" s="2" t="s">
        <v>9</v>
      </c>
    </row>
    <row r="12" spans="1:10" ht="15" customHeight="1" x14ac:dyDescent="0.25">
      <c r="A12" s="32">
        <v>5</v>
      </c>
      <c r="B12" s="21" t="s">
        <v>52</v>
      </c>
      <c r="C12" s="4" t="s">
        <v>94</v>
      </c>
      <c r="D12" s="7" t="s">
        <v>11</v>
      </c>
      <c r="E12" s="7" t="s">
        <v>12</v>
      </c>
      <c r="F12" s="24" t="s">
        <v>22</v>
      </c>
      <c r="G12" s="24" t="s">
        <v>53</v>
      </c>
      <c r="H12" s="24"/>
      <c r="I12" s="22"/>
      <c r="J12" s="8" t="s">
        <v>14</v>
      </c>
    </row>
    <row r="13" spans="1:10" x14ac:dyDescent="0.25">
      <c r="A13" s="32">
        <v>9</v>
      </c>
      <c r="B13" s="33" t="s">
        <v>72</v>
      </c>
      <c r="C13" s="4" t="s">
        <v>95</v>
      </c>
      <c r="D13" s="24" t="s">
        <v>11</v>
      </c>
      <c r="E13" s="7" t="s">
        <v>56</v>
      </c>
      <c r="F13" s="7" t="s">
        <v>22</v>
      </c>
      <c r="G13" s="24" t="s">
        <v>16</v>
      </c>
      <c r="H13" s="22"/>
      <c r="I13" s="22"/>
      <c r="J13" s="24" t="s">
        <v>57</v>
      </c>
    </row>
    <row r="14" spans="1:10" x14ac:dyDescent="0.25">
      <c r="A14" s="32">
        <v>10</v>
      </c>
      <c r="B14" s="33" t="s">
        <v>73</v>
      </c>
      <c r="C14" s="4" t="s">
        <v>66</v>
      </c>
      <c r="D14" s="24" t="s">
        <v>11</v>
      </c>
      <c r="E14" s="7" t="s">
        <v>56</v>
      </c>
      <c r="F14" s="7" t="s">
        <v>22</v>
      </c>
      <c r="G14" s="24" t="s">
        <v>16</v>
      </c>
      <c r="H14" s="22"/>
      <c r="I14" s="22"/>
      <c r="J14" s="24" t="s">
        <v>57</v>
      </c>
    </row>
    <row r="15" spans="1:10" x14ac:dyDescent="0.25">
      <c r="A15" s="32">
        <v>11</v>
      </c>
      <c r="B15" s="33" t="s">
        <v>75</v>
      </c>
      <c r="C15" s="4" t="s">
        <v>95</v>
      </c>
      <c r="D15" s="24" t="s">
        <v>11</v>
      </c>
      <c r="E15" s="7" t="s">
        <v>56</v>
      </c>
      <c r="F15" s="7" t="s">
        <v>22</v>
      </c>
      <c r="G15" s="24" t="s">
        <v>16</v>
      </c>
      <c r="H15" s="22"/>
      <c r="I15" s="22"/>
      <c r="J15" s="24" t="s">
        <v>57</v>
      </c>
    </row>
    <row r="16" spans="1:10" x14ac:dyDescent="0.25">
      <c r="A16" s="32">
        <v>12</v>
      </c>
      <c r="B16" s="33" t="s">
        <v>76</v>
      </c>
      <c r="C16" s="4" t="s">
        <v>95</v>
      </c>
      <c r="D16" s="24" t="s">
        <v>11</v>
      </c>
      <c r="E16" s="7" t="s">
        <v>56</v>
      </c>
      <c r="F16" s="7" t="s">
        <v>22</v>
      </c>
      <c r="G16" s="24" t="s">
        <v>16</v>
      </c>
      <c r="H16" s="22"/>
      <c r="I16" s="22"/>
      <c r="J16" s="24" t="s">
        <v>57</v>
      </c>
    </row>
    <row r="17" spans="1:10" x14ac:dyDescent="0.25">
      <c r="A17" s="32">
        <v>13</v>
      </c>
      <c r="B17" s="33" t="s">
        <v>77</v>
      </c>
      <c r="C17" s="4" t="s">
        <v>94</v>
      </c>
      <c r="D17" s="24" t="s">
        <v>11</v>
      </c>
      <c r="E17" s="7" t="s">
        <v>56</v>
      </c>
      <c r="F17" s="7" t="s">
        <v>22</v>
      </c>
      <c r="G17" s="24" t="s">
        <v>16</v>
      </c>
      <c r="H17" s="22"/>
      <c r="I17" s="22"/>
      <c r="J17" s="24" t="s">
        <v>57</v>
      </c>
    </row>
    <row r="18" spans="1:10" x14ac:dyDescent="0.25">
      <c r="A18" s="32">
        <v>14</v>
      </c>
      <c r="B18" s="33" t="s">
        <v>78</v>
      </c>
      <c r="C18" s="4" t="s">
        <v>91</v>
      </c>
      <c r="D18" s="24" t="s">
        <v>11</v>
      </c>
      <c r="E18" s="7" t="s">
        <v>56</v>
      </c>
      <c r="F18" s="7" t="s">
        <v>22</v>
      </c>
      <c r="G18" s="24" t="s">
        <v>16</v>
      </c>
      <c r="H18" s="22"/>
      <c r="I18" s="22"/>
      <c r="J18" s="24" t="s">
        <v>57</v>
      </c>
    </row>
    <row r="19" spans="1:10" x14ac:dyDescent="0.25">
      <c r="A19" s="32">
        <v>15</v>
      </c>
      <c r="B19" s="33" t="s">
        <v>79</v>
      </c>
      <c r="C19" s="4" t="s">
        <v>70</v>
      </c>
      <c r="D19" s="24" t="s">
        <v>11</v>
      </c>
      <c r="E19" s="7" t="s">
        <v>56</v>
      </c>
      <c r="F19" s="7" t="s">
        <v>22</v>
      </c>
      <c r="G19" s="24" t="s">
        <v>16</v>
      </c>
      <c r="H19" s="22"/>
      <c r="I19" s="22"/>
      <c r="J19" s="24" t="s">
        <v>57</v>
      </c>
    </row>
    <row r="20" spans="1:10" x14ac:dyDescent="0.25">
      <c r="A20" s="32">
        <v>16</v>
      </c>
      <c r="B20" s="33" t="s">
        <v>80</v>
      </c>
      <c r="C20" s="4" t="s">
        <v>105</v>
      </c>
      <c r="D20" s="24" t="s">
        <v>11</v>
      </c>
      <c r="E20" s="7" t="s">
        <v>56</v>
      </c>
      <c r="F20" s="7" t="s">
        <v>22</v>
      </c>
      <c r="G20" s="24" t="s">
        <v>16</v>
      </c>
      <c r="H20" s="22"/>
      <c r="I20" s="22"/>
      <c r="J20" s="24" t="s">
        <v>57</v>
      </c>
    </row>
    <row r="21" spans="1:10" x14ac:dyDescent="0.25">
      <c r="A21" s="32">
        <v>17</v>
      </c>
      <c r="B21" s="33" t="s">
        <v>82</v>
      </c>
      <c r="C21" s="4" t="s">
        <v>96</v>
      </c>
      <c r="D21" s="24" t="s">
        <v>11</v>
      </c>
      <c r="E21" s="7" t="s">
        <v>56</v>
      </c>
      <c r="F21" s="7" t="s">
        <v>22</v>
      </c>
      <c r="G21" s="24" t="s">
        <v>16</v>
      </c>
      <c r="H21" s="22"/>
      <c r="I21" s="22"/>
      <c r="J21" s="24" t="s">
        <v>57</v>
      </c>
    </row>
    <row r="22" spans="1:10" x14ac:dyDescent="0.25">
      <c r="A22" s="32">
        <v>18</v>
      </c>
      <c r="B22" s="33" t="s">
        <v>83</v>
      </c>
      <c r="C22" s="4" t="s">
        <v>96</v>
      </c>
      <c r="D22" s="24" t="s">
        <v>11</v>
      </c>
      <c r="E22" s="7" t="s">
        <v>56</v>
      </c>
      <c r="F22" s="7" t="s">
        <v>22</v>
      </c>
      <c r="G22" s="24" t="s">
        <v>16</v>
      </c>
      <c r="H22" s="22"/>
      <c r="I22" s="22"/>
      <c r="J22" s="24" t="s">
        <v>57</v>
      </c>
    </row>
    <row r="23" spans="1:10" x14ac:dyDescent="0.25">
      <c r="A23" s="32">
        <v>19</v>
      </c>
      <c r="B23" s="33" t="s">
        <v>87</v>
      </c>
      <c r="C23" s="4" t="s">
        <v>91</v>
      </c>
      <c r="D23" s="24" t="s">
        <v>11</v>
      </c>
      <c r="E23" s="7" t="s">
        <v>56</v>
      </c>
      <c r="F23" s="7" t="s">
        <v>22</v>
      </c>
      <c r="G23" s="24" t="s">
        <v>16</v>
      </c>
      <c r="H23" s="22"/>
      <c r="I23" s="22"/>
      <c r="J23" s="24" t="s">
        <v>57</v>
      </c>
    </row>
    <row r="24" spans="1:10" x14ac:dyDescent="0.25">
      <c r="A24" s="32">
        <v>20</v>
      </c>
      <c r="B24" s="33" t="s">
        <v>88</v>
      </c>
      <c r="C24" s="4" t="s">
        <v>91</v>
      </c>
      <c r="D24" s="24" t="s">
        <v>11</v>
      </c>
      <c r="E24" s="7" t="s">
        <v>56</v>
      </c>
      <c r="F24" s="7" t="s">
        <v>22</v>
      </c>
      <c r="G24" s="24" t="s">
        <v>16</v>
      </c>
      <c r="H24" s="22"/>
      <c r="I24" s="22"/>
      <c r="J24" s="24" t="s">
        <v>57</v>
      </c>
    </row>
    <row r="25" spans="1:10" x14ac:dyDescent="0.25">
      <c r="A25" s="32">
        <v>21</v>
      </c>
      <c r="B25" s="33" t="s">
        <v>89</v>
      </c>
      <c r="C25" s="4" t="s">
        <v>66</v>
      </c>
      <c r="D25" s="24" t="s">
        <v>11</v>
      </c>
      <c r="E25" s="7" t="s">
        <v>56</v>
      </c>
      <c r="F25" s="7" t="s">
        <v>22</v>
      </c>
      <c r="G25" s="24" t="s">
        <v>16</v>
      </c>
      <c r="H25" s="22"/>
      <c r="I25" s="22"/>
      <c r="J25" s="24" t="s">
        <v>57</v>
      </c>
    </row>
    <row r="26" spans="1:10" x14ac:dyDescent="0.25">
      <c r="A26" s="9"/>
      <c r="B26" s="20"/>
      <c r="C26" s="11"/>
      <c r="D26" s="18"/>
      <c r="E26" s="10"/>
      <c r="F26" s="10"/>
      <c r="G26" s="10"/>
      <c r="H26" s="10"/>
      <c r="I26" s="10"/>
      <c r="J26" s="13"/>
    </row>
    <row r="27" spans="1:10" x14ac:dyDescent="0.25">
      <c r="A27" s="9"/>
      <c r="B27" s="20"/>
      <c r="C27" s="11"/>
      <c r="D27" s="18"/>
      <c r="E27" s="10"/>
      <c r="F27" s="10"/>
      <c r="G27" s="10"/>
      <c r="H27" s="10"/>
      <c r="I27" s="10"/>
      <c r="J27" s="13"/>
    </row>
    <row r="28" spans="1:10" ht="15.75" x14ac:dyDescent="0.25">
      <c r="A28" s="113" t="s">
        <v>68</v>
      </c>
      <c r="B28" s="113"/>
      <c r="C28" s="113"/>
      <c r="D28" s="113"/>
      <c r="E28" s="113"/>
      <c r="F28" s="113"/>
      <c r="G28" s="113"/>
      <c r="H28" s="113"/>
      <c r="I28" s="113"/>
      <c r="J28" s="113"/>
    </row>
    <row r="29" spans="1:10" ht="15.75" x14ac:dyDescent="0.25">
      <c r="A29" s="1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/>
      <c r="J29" s="2" t="s">
        <v>9</v>
      </c>
    </row>
    <row r="30" spans="1:10" x14ac:dyDescent="0.25">
      <c r="A30" s="32">
        <v>1</v>
      </c>
      <c r="B30" s="33" t="s">
        <v>81</v>
      </c>
      <c r="C30" s="17" t="s">
        <v>110</v>
      </c>
      <c r="D30" s="24" t="s">
        <v>11</v>
      </c>
      <c r="E30" s="7" t="s">
        <v>56</v>
      </c>
      <c r="F30" s="7" t="s">
        <v>22</v>
      </c>
      <c r="G30" s="24" t="s">
        <v>16</v>
      </c>
      <c r="H30" s="22"/>
      <c r="I30" s="22"/>
      <c r="J30" s="24" t="s">
        <v>57</v>
      </c>
    </row>
    <row r="31" spans="1:10" x14ac:dyDescent="0.25">
      <c r="A31" s="32">
        <v>2</v>
      </c>
      <c r="B31" s="30" t="s">
        <v>63</v>
      </c>
      <c r="C31" s="17" t="s">
        <v>110</v>
      </c>
      <c r="D31" s="24" t="s">
        <v>11</v>
      </c>
      <c r="E31" s="7" t="s">
        <v>56</v>
      </c>
      <c r="F31" s="24" t="s">
        <v>22</v>
      </c>
      <c r="G31" s="7" t="s">
        <v>16</v>
      </c>
      <c r="H31" s="24"/>
      <c r="I31" s="24"/>
      <c r="J31" s="8" t="s">
        <v>57</v>
      </c>
    </row>
    <row r="32" spans="1:10" x14ac:dyDescent="0.25">
      <c r="A32" s="32">
        <v>3</v>
      </c>
      <c r="B32" s="30" t="s">
        <v>61</v>
      </c>
      <c r="C32" s="17" t="s">
        <v>110</v>
      </c>
      <c r="D32" s="24" t="s">
        <v>11</v>
      </c>
      <c r="E32" s="7" t="s">
        <v>56</v>
      </c>
      <c r="F32" s="24" t="s">
        <v>22</v>
      </c>
      <c r="G32" s="7" t="s">
        <v>16</v>
      </c>
      <c r="H32" s="24"/>
      <c r="I32" s="24"/>
      <c r="J32" s="8" t="s">
        <v>57</v>
      </c>
    </row>
    <row r="36" spans="1:10" ht="15.75" x14ac:dyDescent="0.25">
      <c r="A36" s="112" t="s">
        <v>51</v>
      </c>
      <c r="B36" s="112"/>
      <c r="C36" s="112"/>
      <c r="D36" s="112"/>
      <c r="E36" s="112"/>
      <c r="F36" s="112"/>
      <c r="G36" s="112"/>
      <c r="H36" s="112"/>
      <c r="I36" s="112"/>
      <c r="J36" s="112"/>
    </row>
    <row r="37" spans="1:10" ht="15.75" x14ac:dyDescent="0.25">
      <c r="A37" s="1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/>
      <c r="J37" s="2" t="s">
        <v>9</v>
      </c>
    </row>
    <row r="38" spans="1:10" x14ac:dyDescent="0.25">
      <c r="A38" s="3">
        <v>1</v>
      </c>
      <c r="B38" s="6" t="s">
        <v>32</v>
      </c>
      <c r="C38" s="17" t="s">
        <v>97</v>
      </c>
      <c r="D38" s="7" t="s">
        <v>11</v>
      </c>
      <c r="E38" s="6" t="s">
        <v>12</v>
      </c>
      <c r="F38" s="6" t="s">
        <v>22</v>
      </c>
      <c r="G38" s="6" t="s">
        <v>19</v>
      </c>
      <c r="H38" s="8">
        <v>9</v>
      </c>
      <c r="I38" s="6"/>
      <c r="J38" s="8" t="s">
        <v>14</v>
      </c>
    </row>
    <row r="39" spans="1:10" x14ac:dyDescent="0.25">
      <c r="A39" s="16">
        <v>6</v>
      </c>
      <c r="B39" s="7" t="s">
        <v>35</v>
      </c>
      <c r="C39" s="17" t="s">
        <v>12</v>
      </c>
      <c r="D39" s="7" t="s">
        <v>11</v>
      </c>
      <c r="E39" s="6" t="s">
        <v>12</v>
      </c>
      <c r="F39" s="6" t="s">
        <v>22</v>
      </c>
      <c r="G39" s="6" t="s">
        <v>19</v>
      </c>
      <c r="H39" s="8">
        <v>9</v>
      </c>
      <c r="I39" s="6"/>
      <c r="J39" s="8" t="s">
        <v>14</v>
      </c>
    </row>
    <row r="40" spans="1:10" x14ac:dyDescent="0.25">
      <c r="A40" s="3">
        <v>13</v>
      </c>
      <c r="B40" s="6" t="s">
        <v>29</v>
      </c>
      <c r="C40" s="17" t="s">
        <v>97</v>
      </c>
      <c r="D40" s="7" t="s">
        <v>11</v>
      </c>
      <c r="E40" s="6" t="s">
        <v>12</v>
      </c>
      <c r="F40" s="6" t="s">
        <v>22</v>
      </c>
      <c r="G40" s="6" t="s">
        <v>19</v>
      </c>
      <c r="H40" s="8">
        <v>6</v>
      </c>
      <c r="I40" s="6"/>
      <c r="J40" s="8" t="s">
        <v>14</v>
      </c>
    </row>
    <row r="41" spans="1:10" x14ac:dyDescent="0.25">
      <c r="A41" s="3">
        <v>5</v>
      </c>
      <c r="B41" s="26" t="s">
        <v>23</v>
      </c>
      <c r="C41" s="17" t="s">
        <v>98</v>
      </c>
      <c r="D41" s="7" t="s">
        <v>11</v>
      </c>
      <c r="E41" s="6" t="s">
        <v>12</v>
      </c>
      <c r="F41" s="6" t="s">
        <v>22</v>
      </c>
      <c r="G41" s="6" t="s">
        <v>16</v>
      </c>
      <c r="H41" s="8">
        <v>9</v>
      </c>
      <c r="I41" s="6"/>
      <c r="J41" s="8" t="s">
        <v>14</v>
      </c>
    </row>
    <row r="42" spans="1:10" x14ac:dyDescent="0.25">
      <c r="A42" s="3">
        <v>14</v>
      </c>
      <c r="B42" s="26" t="s">
        <v>24</v>
      </c>
      <c r="C42" s="17" t="s">
        <v>99</v>
      </c>
      <c r="D42" s="7" t="s">
        <v>11</v>
      </c>
      <c r="E42" s="6" t="s">
        <v>12</v>
      </c>
      <c r="F42" s="6" t="s">
        <v>22</v>
      </c>
      <c r="G42" s="6" t="s">
        <v>19</v>
      </c>
      <c r="H42" s="8">
        <v>6</v>
      </c>
      <c r="I42" s="6"/>
      <c r="J42" s="8" t="s">
        <v>14</v>
      </c>
    </row>
    <row r="43" spans="1:10" x14ac:dyDescent="0.25">
      <c r="A43" s="16">
        <v>1</v>
      </c>
      <c r="B43" s="26" t="s">
        <v>34</v>
      </c>
      <c r="C43" s="17" t="s">
        <v>12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14</v>
      </c>
      <c r="I43" s="6"/>
      <c r="J43" s="8" t="s">
        <v>14</v>
      </c>
    </row>
    <row r="44" spans="1:10" x14ac:dyDescent="0.25">
      <c r="A44" s="3">
        <v>2</v>
      </c>
      <c r="B44" s="26" t="s">
        <v>37</v>
      </c>
      <c r="C44" s="17" t="s">
        <v>12</v>
      </c>
      <c r="D44" s="7" t="s">
        <v>11</v>
      </c>
      <c r="E44" s="6" t="s">
        <v>12</v>
      </c>
      <c r="F44" s="6" t="s">
        <v>22</v>
      </c>
      <c r="G44" s="6" t="s">
        <v>19</v>
      </c>
      <c r="H44" s="8">
        <v>12</v>
      </c>
      <c r="I44" s="6"/>
      <c r="J44" s="8" t="s">
        <v>14</v>
      </c>
    </row>
    <row r="45" spans="1:10" x14ac:dyDescent="0.25">
      <c r="A45" s="3">
        <v>3</v>
      </c>
      <c r="B45" s="26" t="s">
        <v>38</v>
      </c>
      <c r="C45" s="17" t="s">
        <v>12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12</v>
      </c>
      <c r="I45" s="6"/>
      <c r="J45" s="8" t="s">
        <v>14</v>
      </c>
    </row>
    <row r="46" spans="1:10" x14ac:dyDescent="0.25">
      <c r="A46" s="3">
        <v>4</v>
      </c>
      <c r="B46" s="26" t="s">
        <v>39</v>
      </c>
      <c r="C46" s="17" t="s">
        <v>12</v>
      </c>
      <c r="D46" s="7" t="s">
        <v>11</v>
      </c>
      <c r="E46" s="6" t="s">
        <v>12</v>
      </c>
      <c r="F46" s="6" t="s">
        <v>22</v>
      </c>
      <c r="G46" s="6" t="s">
        <v>19</v>
      </c>
      <c r="H46" s="8">
        <v>12</v>
      </c>
      <c r="I46" s="6"/>
      <c r="J46" s="8" t="s">
        <v>14</v>
      </c>
    </row>
    <row r="47" spans="1:10" x14ac:dyDescent="0.25">
      <c r="A47" s="3">
        <v>6</v>
      </c>
      <c r="B47" s="26" t="s">
        <v>25</v>
      </c>
      <c r="C47" s="17" t="s">
        <v>12</v>
      </c>
      <c r="D47" s="7" t="s">
        <v>11</v>
      </c>
      <c r="E47" s="6" t="s">
        <v>12</v>
      </c>
      <c r="F47" s="6" t="s">
        <v>22</v>
      </c>
      <c r="G47" s="6" t="s">
        <v>13</v>
      </c>
      <c r="H47" s="8">
        <v>9</v>
      </c>
      <c r="I47" s="6"/>
      <c r="J47" s="8" t="s">
        <v>14</v>
      </c>
    </row>
    <row r="48" spans="1:10" x14ac:dyDescent="0.25">
      <c r="A48" s="3">
        <v>7</v>
      </c>
      <c r="B48" s="29" t="s">
        <v>49</v>
      </c>
      <c r="C48" s="17" t="s">
        <v>12</v>
      </c>
      <c r="D48" s="7" t="s">
        <v>11</v>
      </c>
      <c r="E48" s="6" t="s">
        <v>12</v>
      </c>
      <c r="F48" s="6" t="s">
        <v>22</v>
      </c>
      <c r="G48" s="24" t="s">
        <v>13</v>
      </c>
      <c r="H48" s="8">
        <v>9</v>
      </c>
      <c r="I48" s="22"/>
      <c r="J48" s="8" t="s">
        <v>14</v>
      </c>
    </row>
    <row r="49" spans="1:10" x14ac:dyDescent="0.25">
      <c r="A49" s="3">
        <v>9</v>
      </c>
      <c r="B49" s="29" t="s">
        <v>50</v>
      </c>
      <c r="C49" s="17" t="s">
        <v>100</v>
      </c>
      <c r="D49" s="7" t="s">
        <v>11</v>
      </c>
      <c r="E49" s="6" t="s">
        <v>12</v>
      </c>
      <c r="F49" s="6" t="s">
        <v>22</v>
      </c>
      <c r="G49" s="6" t="s">
        <v>19</v>
      </c>
      <c r="H49" s="8">
        <v>8</v>
      </c>
      <c r="I49" s="22"/>
      <c r="J49" s="8" t="s">
        <v>14</v>
      </c>
    </row>
    <row r="50" spans="1:10" x14ac:dyDescent="0.25">
      <c r="A50" s="3">
        <v>10</v>
      </c>
      <c r="B50" s="26" t="s">
        <v>36</v>
      </c>
      <c r="C50" s="17" t="s">
        <v>12</v>
      </c>
      <c r="D50" s="7" t="s">
        <v>11</v>
      </c>
      <c r="E50" s="6" t="s">
        <v>12</v>
      </c>
      <c r="F50" s="6" t="s">
        <v>22</v>
      </c>
      <c r="G50" s="6" t="s">
        <v>19</v>
      </c>
      <c r="H50" s="8">
        <v>7</v>
      </c>
      <c r="I50" s="6"/>
      <c r="J50" s="8" t="s">
        <v>14</v>
      </c>
    </row>
    <row r="51" spans="1:10" x14ac:dyDescent="0.25">
      <c r="A51" s="3">
        <v>15</v>
      </c>
      <c r="B51" s="29" t="s">
        <v>18</v>
      </c>
      <c r="C51" s="17" t="s">
        <v>12</v>
      </c>
      <c r="D51" s="5" t="s">
        <v>11</v>
      </c>
      <c r="E51" s="6" t="s">
        <v>12</v>
      </c>
      <c r="F51" s="6" t="s">
        <v>22</v>
      </c>
      <c r="G51" s="6" t="s">
        <v>19</v>
      </c>
      <c r="H51" s="8">
        <v>6</v>
      </c>
      <c r="I51" s="6"/>
      <c r="J51" s="8" t="s">
        <v>14</v>
      </c>
    </row>
    <row r="52" spans="1:10" x14ac:dyDescent="0.25">
      <c r="A52" s="3">
        <v>1</v>
      </c>
      <c r="B52" s="26" t="s">
        <v>27</v>
      </c>
      <c r="C52" s="17" t="s">
        <v>100</v>
      </c>
      <c r="D52" s="7" t="s">
        <v>11</v>
      </c>
      <c r="E52" s="6" t="s">
        <v>12</v>
      </c>
      <c r="F52" s="6" t="s">
        <v>22</v>
      </c>
      <c r="G52" s="6" t="s">
        <v>19</v>
      </c>
      <c r="H52" s="8">
        <v>9</v>
      </c>
      <c r="I52" s="6"/>
      <c r="J52" s="8" t="s">
        <v>14</v>
      </c>
    </row>
    <row r="53" spans="1:10" x14ac:dyDescent="0.25">
      <c r="A53" s="3">
        <v>2</v>
      </c>
      <c r="B53" s="26" t="s">
        <v>28</v>
      </c>
      <c r="C53" s="17" t="s">
        <v>101</v>
      </c>
      <c r="D53" s="7" t="s">
        <v>11</v>
      </c>
      <c r="E53" s="6" t="s">
        <v>12</v>
      </c>
      <c r="F53" s="6" t="s">
        <v>22</v>
      </c>
      <c r="G53" s="6" t="s">
        <v>19</v>
      </c>
      <c r="H53" s="8">
        <v>8</v>
      </c>
      <c r="I53" s="6"/>
      <c r="J53" s="8" t="s">
        <v>14</v>
      </c>
    </row>
    <row r="54" spans="1:10" x14ac:dyDescent="0.25">
      <c r="A54" s="3">
        <v>3</v>
      </c>
      <c r="B54" s="29" t="s">
        <v>17</v>
      </c>
      <c r="C54" s="17" t="s">
        <v>101</v>
      </c>
      <c r="D54" s="5" t="s">
        <v>11</v>
      </c>
      <c r="E54" s="6" t="s">
        <v>12</v>
      </c>
      <c r="F54" s="6" t="s">
        <v>22</v>
      </c>
      <c r="G54" s="6" t="s">
        <v>16</v>
      </c>
      <c r="H54" s="8">
        <v>8</v>
      </c>
      <c r="I54" s="6"/>
      <c r="J54" s="8" t="s">
        <v>14</v>
      </c>
    </row>
    <row r="55" spans="1:10" x14ac:dyDescent="0.25">
      <c r="A55" s="3">
        <v>4</v>
      </c>
      <c r="B55" s="28" t="s">
        <v>45</v>
      </c>
      <c r="C55" s="17" t="s">
        <v>102</v>
      </c>
      <c r="D55" s="7" t="s">
        <v>11</v>
      </c>
      <c r="E55" s="6" t="s">
        <v>12</v>
      </c>
      <c r="F55" s="6" t="s">
        <v>22</v>
      </c>
      <c r="G55" s="6" t="s">
        <v>19</v>
      </c>
      <c r="H55" s="8">
        <v>8</v>
      </c>
      <c r="I55" s="6"/>
      <c r="J55" s="8" t="s">
        <v>14</v>
      </c>
    </row>
    <row r="56" spans="1:10" x14ac:dyDescent="0.25">
      <c r="A56" s="3">
        <v>6</v>
      </c>
      <c r="B56" s="29" t="s">
        <v>20</v>
      </c>
      <c r="C56" s="17" t="s">
        <v>101</v>
      </c>
      <c r="D56" s="5" t="s">
        <v>11</v>
      </c>
      <c r="E56" s="6" t="s">
        <v>12</v>
      </c>
      <c r="F56" s="6" t="s">
        <v>22</v>
      </c>
      <c r="G56" s="6" t="s">
        <v>19</v>
      </c>
      <c r="H56" s="8">
        <v>7</v>
      </c>
      <c r="I56" s="6"/>
      <c r="J56" s="8" t="s">
        <v>14</v>
      </c>
    </row>
    <row r="57" spans="1:10" x14ac:dyDescent="0.25">
      <c r="A57" s="3">
        <v>8</v>
      </c>
      <c r="B57" s="28" t="s">
        <v>46</v>
      </c>
      <c r="C57" s="17" t="s">
        <v>101</v>
      </c>
      <c r="D57" s="21" t="s">
        <v>11</v>
      </c>
      <c r="E57" s="21" t="s">
        <v>12</v>
      </c>
      <c r="F57" s="6" t="s">
        <v>22</v>
      </c>
      <c r="G57" s="6" t="s">
        <v>16</v>
      </c>
      <c r="H57" s="8">
        <v>5</v>
      </c>
      <c r="I57" s="23"/>
      <c r="J57" s="8" t="s">
        <v>14</v>
      </c>
    </row>
    <row r="58" spans="1:10" x14ac:dyDescent="0.25">
      <c r="A58" s="3">
        <v>10</v>
      </c>
      <c r="B58" s="27" t="s">
        <v>10</v>
      </c>
      <c r="C58" s="17" t="s">
        <v>104</v>
      </c>
      <c r="D58" s="5" t="s">
        <v>11</v>
      </c>
      <c r="E58" s="6" t="s">
        <v>12</v>
      </c>
      <c r="F58" s="6" t="s">
        <v>22</v>
      </c>
      <c r="G58" s="6" t="s">
        <v>13</v>
      </c>
      <c r="H58" s="8">
        <v>3</v>
      </c>
      <c r="I58" s="6"/>
      <c r="J58" s="8" t="s">
        <v>14</v>
      </c>
    </row>
    <row r="59" spans="1:10" x14ac:dyDescent="0.25">
      <c r="A59" s="3">
        <v>1</v>
      </c>
      <c r="B59" s="29" t="s">
        <v>15</v>
      </c>
      <c r="C59" s="17" t="s">
        <v>103</v>
      </c>
      <c r="D59" s="5" t="s">
        <v>11</v>
      </c>
      <c r="E59" s="6" t="s">
        <v>12</v>
      </c>
      <c r="F59" s="6" t="s">
        <v>22</v>
      </c>
      <c r="G59" s="6" t="s">
        <v>16</v>
      </c>
      <c r="H59" s="8">
        <v>7</v>
      </c>
      <c r="I59" s="6"/>
      <c r="J59" s="8" t="s">
        <v>14</v>
      </c>
    </row>
    <row r="60" spans="1:10" x14ac:dyDescent="0.25">
      <c r="A60" s="3">
        <v>2</v>
      </c>
      <c r="B60" s="28" t="s">
        <v>47</v>
      </c>
      <c r="C60" s="17" t="s">
        <v>103</v>
      </c>
      <c r="D60" s="21" t="s">
        <v>11</v>
      </c>
      <c r="E60" s="21" t="s">
        <v>12</v>
      </c>
      <c r="F60" s="6" t="s">
        <v>22</v>
      </c>
      <c r="G60" s="24" t="s">
        <v>13</v>
      </c>
      <c r="H60" s="8">
        <v>5</v>
      </c>
      <c r="I60" s="23"/>
      <c r="J60" s="8" t="s">
        <v>14</v>
      </c>
    </row>
    <row r="61" spans="1:10" x14ac:dyDescent="0.25">
      <c r="A61" s="3">
        <v>3</v>
      </c>
      <c r="B61" s="28" t="s">
        <v>41</v>
      </c>
      <c r="C61" s="17" t="s">
        <v>103</v>
      </c>
      <c r="D61" s="7" t="s">
        <v>11</v>
      </c>
      <c r="E61" s="6" t="s">
        <v>12</v>
      </c>
      <c r="F61" s="6" t="s">
        <v>22</v>
      </c>
      <c r="G61" s="6" t="s">
        <v>16</v>
      </c>
      <c r="H61" s="8">
        <v>4</v>
      </c>
      <c r="I61" s="6"/>
      <c r="J61" s="8" t="s">
        <v>14</v>
      </c>
    </row>
    <row r="62" spans="1:10" x14ac:dyDescent="0.25">
      <c r="A62" s="3">
        <v>4</v>
      </c>
      <c r="B62" s="28" t="s">
        <v>42</v>
      </c>
      <c r="C62" s="17" t="s">
        <v>103</v>
      </c>
      <c r="D62" s="7" t="s">
        <v>11</v>
      </c>
      <c r="E62" s="6" t="s">
        <v>12</v>
      </c>
      <c r="F62" s="6" t="s">
        <v>22</v>
      </c>
      <c r="G62" s="6" t="s">
        <v>16</v>
      </c>
      <c r="H62" s="8">
        <v>3</v>
      </c>
      <c r="I62" s="6"/>
      <c r="J62" s="8" t="s">
        <v>14</v>
      </c>
    </row>
    <row r="63" spans="1:10" x14ac:dyDescent="0.25">
      <c r="A63" s="3">
        <v>5</v>
      </c>
      <c r="B63" s="30" t="s">
        <v>43</v>
      </c>
      <c r="C63" s="17" t="s">
        <v>103</v>
      </c>
      <c r="D63" s="7" t="s">
        <v>11</v>
      </c>
      <c r="E63" s="6" t="s">
        <v>12</v>
      </c>
      <c r="F63" s="6" t="s">
        <v>22</v>
      </c>
      <c r="G63" s="6" t="s">
        <v>13</v>
      </c>
      <c r="H63" s="24">
        <v>2</v>
      </c>
      <c r="I63" s="6"/>
      <c r="J63" s="8" t="s">
        <v>14</v>
      </c>
    </row>
    <row r="66" spans="1:10" ht="15.75" x14ac:dyDescent="0.25">
      <c r="A66" s="113" t="s">
        <v>30</v>
      </c>
      <c r="B66" s="113"/>
      <c r="C66" s="113"/>
      <c r="D66" s="113"/>
      <c r="E66" s="113"/>
      <c r="F66" s="113"/>
      <c r="G66" s="113"/>
      <c r="H66" s="113"/>
      <c r="I66" s="113"/>
      <c r="J66" s="113"/>
    </row>
    <row r="67" spans="1:10" ht="29.45" customHeight="1" x14ac:dyDescent="0.25">
      <c r="A67" s="14" t="s">
        <v>1</v>
      </c>
      <c r="B67" s="15" t="s">
        <v>2</v>
      </c>
      <c r="C67" s="15" t="s">
        <v>40</v>
      </c>
      <c r="D67" s="15" t="s">
        <v>4</v>
      </c>
      <c r="E67" s="15" t="s">
        <v>5</v>
      </c>
      <c r="F67" s="15" t="s">
        <v>6</v>
      </c>
      <c r="G67" s="15" t="s">
        <v>7</v>
      </c>
      <c r="H67" s="15" t="s">
        <v>8</v>
      </c>
      <c r="I67" s="15" t="s">
        <v>31</v>
      </c>
      <c r="J67" s="15" t="s">
        <v>9</v>
      </c>
    </row>
    <row r="68" spans="1:10" ht="15" customHeight="1" x14ac:dyDescent="0.25">
      <c r="A68" s="3">
        <v>1</v>
      </c>
      <c r="B68" s="30" t="s">
        <v>54</v>
      </c>
      <c r="C68" s="17" t="s">
        <v>33</v>
      </c>
      <c r="D68" s="7" t="s">
        <v>11</v>
      </c>
      <c r="E68" s="7" t="s">
        <v>12</v>
      </c>
      <c r="F68" s="24" t="s">
        <v>22</v>
      </c>
      <c r="G68" s="24" t="s">
        <v>16</v>
      </c>
      <c r="H68" s="24">
        <v>4</v>
      </c>
      <c r="I68" s="22"/>
      <c r="J68" s="8" t="s">
        <v>14</v>
      </c>
    </row>
    <row r="69" spans="1:10" x14ac:dyDescent="0.25">
      <c r="A69" s="3">
        <v>2</v>
      </c>
      <c r="B69" s="30" t="s">
        <v>58</v>
      </c>
      <c r="C69" s="17" t="s">
        <v>33</v>
      </c>
      <c r="D69" s="21" t="s">
        <v>11</v>
      </c>
      <c r="E69" s="7" t="s">
        <v>56</v>
      </c>
      <c r="F69" s="24" t="s">
        <v>22</v>
      </c>
      <c r="G69" s="7" t="s">
        <v>16</v>
      </c>
      <c r="H69" s="24">
        <v>3</v>
      </c>
      <c r="I69" s="24"/>
      <c r="J69" s="8" t="s">
        <v>57</v>
      </c>
    </row>
    <row r="70" spans="1:10" x14ac:dyDescent="0.25">
      <c r="A70" s="3">
        <v>3</v>
      </c>
      <c r="B70" s="7" t="s">
        <v>26</v>
      </c>
      <c r="C70" s="17" t="s">
        <v>33</v>
      </c>
      <c r="D70" s="7" t="s">
        <v>11</v>
      </c>
      <c r="E70" s="6" t="s">
        <v>12</v>
      </c>
      <c r="F70" s="6" t="s">
        <v>22</v>
      </c>
      <c r="G70" s="6" t="s">
        <v>16</v>
      </c>
      <c r="H70" s="24">
        <v>2</v>
      </c>
      <c r="I70" s="6"/>
      <c r="J70" s="8" t="s">
        <v>14</v>
      </c>
    </row>
    <row r="71" spans="1:10" x14ac:dyDescent="0.25">
      <c r="A71" s="32">
        <v>3</v>
      </c>
      <c r="B71" s="30" t="s">
        <v>55</v>
      </c>
      <c r="C71" s="17" t="s">
        <v>33</v>
      </c>
      <c r="D71" s="21" t="s">
        <v>11</v>
      </c>
      <c r="E71" s="7" t="s">
        <v>56</v>
      </c>
      <c r="F71" s="24" t="s">
        <v>22</v>
      </c>
      <c r="G71" s="7" t="s">
        <v>16</v>
      </c>
      <c r="H71" s="24">
        <v>2</v>
      </c>
      <c r="I71" s="24"/>
      <c r="J71" s="8" t="s">
        <v>57</v>
      </c>
    </row>
    <row r="72" spans="1:10" x14ac:dyDescent="0.25">
      <c r="A72" s="32">
        <v>4</v>
      </c>
      <c r="B72" s="30" t="s">
        <v>60</v>
      </c>
      <c r="C72" s="17" t="s">
        <v>33</v>
      </c>
      <c r="D72" s="24" t="s">
        <v>11</v>
      </c>
      <c r="E72" s="7" t="s">
        <v>56</v>
      </c>
      <c r="F72" s="24" t="s">
        <v>22</v>
      </c>
      <c r="G72" s="7" t="s">
        <v>16</v>
      </c>
      <c r="H72" s="24">
        <v>2</v>
      </c>
      <c r="I72" s="24"/>
      <c r="J72" s="8" t="s">
        <v>57</v>
      </c>
    </row>
    <row r="73" spans="1:10" x14ac:dyDescent="0.25">
      <c r="A73" s="32">
        <v>1</v>
      </c>
      <c r="B73" s="33" t="s">
        <v>92</v>
      </c>
      <c r="C73" s="17" t="s">
        <v>33</v>
      </c>
      <c r="D73" s="24" t="s">
        <v>11</v>
      </c>
      <c r="E73" s="7" t="s">
        <v>56</v>
      </c>
      <c r="F73" s="24" t="s">
        <v>22</v>
      </c>
      <c r="G73" s="24" t="s">
        <v>16</v>
      </c>
      <c r="H73" s="24">
        <v>1</v>
      </c>
      <c r="I73" s="22"/>
      <c r="J73" s="24" t="s">
        <v>57</v>
      </c>
    </row>
    <row r="74" spans="1:10" x14ac:dyDescent="0.25">
      <c r="A74" s="32">
        <v>2</v>
      </c>
      <c r="B74" s="33" t="s">
        <v>93</v>
      </c>
      <c r="C74" s="17" t="s">
        <v>33</v>
      </c>
      <c r="D74" s="24" t="s">
        <v>11</v>
      </c>
      <c r="E74" s="7" t="s">
        <v>56</v>
      </c>
      <c r="F74" s="24" t="s">
        <v>22</v>
      </c>
      <c r="G74" s="24" t="s">
        <v>16</v>
      </c>
      <c r="H74" s="24">
        <v>1</v>
      </c>
      <c r="I74" s="22"/>
      <c r="J74" s="24" t="s">
        <v>57</v>
      </c>
    </row>
    <row r="75" spans="1:10" x14ac:dyDescent="0.25">
      <c r="A75" s="32">
        <v>4</v>
      </c>
      <c r="B75" s="30" t="s">
        <v>62</v>
      </c>
      <c r="C75" s="17" t="s">
        <v>33</v>
      </c>
      <c r="D75" s="24" t="s">
        <v>11</v>
      </c>
      <c r="E75" s="7" t="s">
        <v>56</v>
      </c>
      <c r="F75" s="24" t="s">
        <v>22</v>
      </c>
      <c r="G75" s="7" t="s">
        <v>16</v>
      </c>
      <c r="H75" s="24">
        <v>1</v>
      </c>
      <c r="I75" s="24"/>
      <c r="J75" s="8" t="s">
        <v>57</v>
      </c>
    </row>
    <row r="76" spans="1:10" x14ac:dyDescent="0.25">
      <c r="A76" s="32">
        <v>6</v>
      </c>
      <c r="B76" s="30" t="s">
        <v>59</v>
      </c>
      <c r="C76" s="17" t="s">
        <v>33</v>
      </c>
      <c r="D76" s="24" t="s">
        <v>11</v>
      </c>
      <c r="E76" s="7" t="s">
        <v>56</v>
      </c>
      <c r="F76" s="24" t="s">
        <v>22</v>
      </c>
      <c r="G76" s="7" t="s">
        <v>16</v>
      </c>
      <c r="H76" s="24">
        <v>1</v>
      </c>
      <c r="I76" s="24"/>
      <c r="J76" s="8" t="s">
        <v>57</v>
      </c>
    </row>
    <row r="77" spans="1:10" ht="12.6" customHeight="1" x14ac:dyDescent="0.25"/>
    <row r="79" spans="1:10" x14ac:dyDescent="0.25">
      <c r="B79" s="30" t="s">
        <v>106</v>
      </c>
    </row>
    <row r="80" spans="1:10" x14ac:dyDescent="0.25">
      <c r="B80" s="30" t="s">
        <v>107</v>
      </c>
    </row>
    <row r="81" spans="2:2" x14ac:dyDescent="0.25">
      <c r="B81" s="34" t="s">
        <v>61</v>
      </c>
    </row>
    <row r="82" spans="2:2" x14ac:dyDescent="0.25">
      <c r="B82" s="34" t="s">
        <v>81</v>
      </c>
    </row>
    <row r="83" spans="2:2" x14ac:dyDescent="0.25">
      <c r="B83" s="34" t="s">
        <v>63</v>
      </c>
    </row>
    <row r="84" spans="2:2" x14ac:dyDescent="0.25">
      <c r="B84" s="33" t="s">
        <v>108</v>
      </c>
    </row>
    <row r="85" spans="2:2" x14ac:dyDescent="0.25">
      <c r="B85" s="33" t="s">
        <v>109</v>
      </c>
    </row>
  </sheetData>
  <mergeCells count="5">
    <mergeCell ref="A1:J1"/>
    <mergeCell ref="A10:J10"/>
    <mergeCell ref="A28:J28"/>
    <mergeCell ref="A36:J36"/>
    <mergeCell ref="A66:J66"/>
  </mergeCells>
  <conditionalFormatting sqref="A34:A35">
    <cfRule type="duplicateValues" dxfId="2510" priority="263"/>
  </conditionalFormatting>
  <conditionalFormatting sqref="B1:B1048576">
    <cfRule type="duplicateValues" dxfId="2509" priority="1"/>
  </conditionalFormatting>
  <conditionalFormatting sqref="B30 B13:B25 B3:B7">
    <cfRule type="duplicateValues" dxfId="2508" priority="195"/>
    <cfRule type="duplicateValues" dxfId="2507" priority="196"/>
    <cfRule type="duplicateValues" dxfId="2506" priority="197"/>
    <cfRule type="duplicateValues" dxfId="2505" priority="198"/>
  </conditionalFormatting>
  <conditionalFormatting sqref="B31:B32 B34:B72 B26:B29 B1:B2 B8:B12 B75:B78 B86:B1048576">
    <cfRule type="duplicateValues" dxfId="2504" priority="1933"/>
    <cfRule type="duplicateValues" dxfId="2503" priority="1934"/>
    <cfRule type="duplicateValues" dxfId="2502" priority="1935"/>
    <cfRule type="duplicateValues" dxfId="2501" priority="1936"/>
    <cfRule type="duplicateValues" dxfId="2500" priority="1937"/>
    <cfRule type="duplicateValues" dxfId="2499" priority="1938"/>
    <cfRule type="duplicateValues" dxfId="2498" priority="1939"/>
  </conditionalFormatting>
  <conditionalFormatting sqref="B31:B32 B75:B76 B71:B72">
    <cfRule type="duplicateValues" dxfId="2497" priority="1811"/>
  </conditionalFormatting>
  <conditionalFormatting sqref="B31:B32 B75:B76 B72">
    <cfRule type="duplicateValues" dxfId="2496" priority="1816"/>
    <cfRule type="duplicateValues" dxfId="2495" priority="1817"/>
  </conditionalFormatting>
  <conditionalFormatting sqref="B34:B56 B61:B67 B58:B59 B1:B2 B8:B11 B26:B29 B70 B77:B78 B86:B1048576">
    <cfRule type="duplicateValues" dxfId="2494" priority="1842"/>
    <cfRule type="duplicateValues" dxfId="2493" priority="1843"/>
    <cfRule type="duplicateValues" dxfId="2492" priority="1844"/>
  </conditionalFormatting>
  <conditionalFormatting sqref="B34:B67 B1:B2 B8:B11 B26:B29 B70 B77:B78 B86:B1048576">
    <cfRule type="duplicateValues" dxfId="2491" priority="1872"/>
    <cfRule type="duplicateValues" dxfId="2490" priority="1873"/>
    <cfRule type="duplicateValues" dxfId="2489" priority="1874"/>
    <cfRule type="duplicateValues" dxfId="2488" priority="1875"/>
  </conditionalFormatting>
  <conditionalFormatting sqref="B34:B68 B1:B2 B8:B12 B26:B29 B70 B77:B78 B86:B1048576">
    <cfRule type="duplicateValues" dxfId="2487" priority="1904"/>
  </conditionalFormatting>
  <conditionalFormatting sqref="B37:B47 B9 B2 B11 B64:B65 B50 B67 B52:B53 B34:B35 B29 B70">
    <cfRule type="duplicateValues" dxfId="2486" priority="1670" stopIfTrue="1"/>
  </conditionalFormatting>
  <conditionalFormatting sqref="B60 B57">
    <cfRule type="duplicateValues" dxfId="2485" priority="266"/>
    <cfRule type="duplicateValues" dxfId="2484" priority="267"/>
    <cfRule type="duplicateValues" dxfId="2483" priority="268"/>
  </conditionalFormatting>
  <conditionalFormatting sqref="B61:B63 B58:B59 B54:B56 B51 B26:B27 B8">
    <cfRule type="duplicateValues" dxfId="2482" priority="1288"/>
    <cfRule type="duplicateValues" dxfId="2481" priority="1289" stopIfTrue="1"/>
  </conditionalFormatting>
  <conditionalFormatting sqref="B64:B67 B34:B40 B48:B50 B43:B46 B26:B28 B77:B78 B86:B1048576">
    <cfRule type="duplicateValues" dxfId="2480" priority="1913"/>
  </conditionalFormatting>
  <conditionalFormatting sqref="B68 B12">
    <cfRule type="duplicateValues" dxfId="2479" priority="269"/>
  </conditionalFormatting>
  <conditionalFormatting sqref="B69">
    <cfRule type="duplicateValues" dxfId="2478" priority="258"/>
    <cfRule type="duplicateValues" dxfId="2477" priority="259"/>
    <cfRule type="duplicateValues" dxfId="2476" priority="260"/>
  </conditionalFormatting>
  <conditionalFormatting sqref="B71">
    <cfRule type="duplicateValues" dxfId="2475" priority="261"/>
    <cfRule type="duplicateValues" dxfId="2474" priority="262"/>
  </conditionalFormatting>
  <conditionalFormatting sqref="B73:B74">
    <cfRule type="duplicateValues" dxfId="2473" priority="162"/>
    <cfRule type="duplicateValues" dxfId="2472" priority="163"/>
    <cfRule type="duplicateValues" dxfId="2471" priority="164"/>
    <cfRule type="duplicateValues" dxfId="2470" priority="165"/>
    <cfRule type="duplicateValues" dxfId="2469" priority="166"/>
    <cfRule type="duplicateValues" dxfId="2468" priority="167"/>
  </conditionalFormatting>
  <conditionalFormatting sqref="B75:B78 B1:B72 B86:B1048576">
    <cfRule type="duplicateValues" dxfId="2467" priority="1838"/>
  </conditionalFormatting>
  <conditionalFormatting sqref="B77:B78 B86:B1048576">
    <cfRule type="duplicateValues" dxfId="2466" priority="1921"/>
    <cfRule type="duplicateValues" dxfId="2465" priority="1922"/>
    <cfRule type="duplicateValues" dxfId="2464" priority="1923"/>
  </conditionalFormatting>
  <conditionalFormatting sqref="B79">
    <cfRule type="duplicateValues" dxfId="2463" priority="69"/>
    <cfRule type="duplicateValues" dxfId="2462" priority="70"/>
  </conditionalFormatting>
  <conditionalFormatting sqref="B79:B83">
    <cfRule type="duplicateValues" dxfId="2461" priority="71"/>
  </conditionalFormatting>
  <conditionalFormatting sqref="B79:B85">
    <cfRule type="duplicateValues" dxfId="2460" priority="72"/>
  </conditionalFormatting>
  <conditionalFormatting sqref="B80">
    <cfRule type="duplicateValues" dxfId="2459" priority="66"/>
    <cfRule type="duplicateValues" dxfId="2458" priority="67"/>
    <cfRule type="duplicateValues" dxfId="2457" priority="68"/>
  </conditionalFormatting>
  <conditionalFormatting sqref="B81">
    <cfRule type="duplicateValues" dxfId="2456" priority="49"/>
    <cfRule type="duplicateValues" dxfId="2455" priority="50"/>
    <cfRule type="duplicateValues" dxfId="2454" priority="51"/>
    <cfRule type="duplicateValues" dxfId="2453" priority="52"/>
    <cfRule type="duplicateValues" dxfId="2452" priority="53"/>
    <cfRule type="duplicateValues" dxfId="2451" priority="54"/>
    <cfRule type="duplicateValues" dxfId="2450" priority="55"/>
    <cfRule type="duplicateValues" dxfId="2449" priority="56"/>
    <cfRule type="duplicateValues" dxfId="2448" priority="57"/>
    <cfRule type="duplicateValues" dxfId="2447" priority="58"/>
    <cfRule type="duplicateValues" dxfId="2446" priority="59"/>
    <cfRule type="duplicateValues" dxfId="2445" priority="60"/>
    <cfRule type="duplicateValues" dxfId="2444" priority="61"/>
    <cfRule type="duplicateValues" dxfId="2443" priority="62"/>
    <cfRule type="duplicateValues" dxfId="2442" priority="63"/>
    <cfRule type="duplicateValues" dxfId="2441" priority="64"/>
    <cfRule type="duplicateValues" dxfId="2440" priority="65"/>
  </conditionalFormatting>
  <conditionalFormatting sqref="B82">
    <cfRule type="duplicateValues" dxfId="2439" priority="34"/>
    <cfRule type="duplicateValues" dxfId="2438" priority="35"/>
    <cfRule type="duplicateValues" dxfId="2437" priority="36"/>
    <cfRule type="duplicateValues" dxfId="2436" priority="37"/>
  </conditionalFormatting>
  <conditionalFormatting sqref="B82:B83">
    <cfRule type="duplicateValues" dxfId="2435" priority="28"/>
    <cfRule type="duplicateValues" dxfId="2434" priority="29"/>
    <cfRule type="duplicateValues" dxfId="2433" priority="30"/>
    <cfRule type="duplicateValues" dxfId="2432" priority="31"/>
    <cfRule type="duplicateValues" dxfId="2431" priority="32"/>
    <cfRule type="duplicateValues" dxfId="2430" priority="33"/>
    <cfRule type="duplicateValues" dxfId="2429" priority="41"/>
  </conditionalFormatting>
  <conditionalFormatting sqref="B83">
    <cfRule type="duplicateValues" dxfId="2428" priority="38"/>
    <cfRule type="duplicateValues" dxfId="2427" priority="39"/>
    <cfRule type="duplicateValues" dxfId="2426" priority="40"/>
    <cfRule type="duplicateValues" dxfId="2425" priority="42"/>
    <cfRule type="duplicateValues" dxfId="2424" priority="43"/>
    <cfRule type="duplicateValues" dxfId="2423" priority="44"/>
    <cfRule type="duplicateValues" dxfId="2422" priority="45"/>
    <cfRule type="duplicateValues" dxfId="2421" priority="46"/>
    <cfRule type="duplicateValues" dxfId="2420" priority="47"/>
    <cfRule type="duplicateValues" dxfId="2419" priority="48"/>
  </conditionalFormatting>
  <conditionalFormatting sqref="B84">
    <cfRule type="duplicateValues" dxfId="2418" priority="15"/>
    <cfRule type="duplicateValues" dxfId="2417" priority="16"/>
    <cfRule type="duplicateValues" dxfId="2416" priority="17"/>
    <cfRule type="duplicateValues" dxfId="2415" priority="18"/>
    <cfRule type="duplicateValues" dxfId="2414" priority="19"/>
    <cfRule type="duplicateValues" dxfId="2413" priority="20"/>
    <cfRule type="duplicateValues" dxfId="2412" priority="21"/>
    <cfRule type="duplicateValues" dxfId="2411" priority="22"/>
    <cfRule type="duplicateValues" dxfId="2410" priority="23"/>
    <cfRule type="duplicateValues" dxfId="2409" priority="24"/>
    <cfRule type="duplicateValues" dxfId="2408" priority="25"/>
    <cfRule type="duplicateValues" dxfId="2407" priority="26"/>
    <cfRule type="duplicateValues" dxfId="2406" priority="27"/>
  </conditionalFormatting>
  <conditionalFormatting sqref="B85">
    <cfRule type="duplicateValues" dxfId="2405" priority="2"/>
    <cfRule type="duplicateValues" dxfId="2404" priority="3"/>
    <cfRule type="duplicateValues" dxfId="2403" priority="4"/>
    <cfRule type="duplicateValues" dxfId="2402" priority="5"/>
    <cfRule type="duplicateValues" dxfId="2401" priority="6"/>
    <cfRule type="duplicateValues" dxfId="2400" priority="7"/>
    <cfRule type="duplicateValues" dxfId="2399" priority="8"/>
    <cfRule type="duplicateValues" dxfId="2398" priority="9"/>
    <cfRule type="duplicateValues" dxfId="2397" priority="10"/>
    <cfRule type="duplicateValues" dxfId="2396" priority="11"/>
    <cfRule type="duplicateValues" dxfId="2395" priority="12"/>
    <cfRule type="duplicateValues" dxfId="2394" priority="13"/>
    <cfRule type="duplicateValues" dxfId="2393" priority="14"/>
  </conditionalFormatting>
  <conditionalFormatting sqref="B86:B1048576 B1:B78">
    <cfRule type="duplicateValues" dxfId="2392" priority="79"/>
  </conditionalFormatting>
  <conditionalFormatting sqref="B86:B1048576">
    <cfRule type="duplicateValues" dxfId="2391" priority="183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EF68-F10F-46E9-9E08-632CDF5D62B8}">
  <dimension ref="A1:J85"/>
  <sheetViews>
    <sheetView topLeftCell="A19" workbookViewId="0">
      <selection activeCell="A5" sqref="A5:J85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11.140625" bestFit="1" customWidth="1"/>
    <col min="9" max="9" width="9.28515625" bestFit="1" customWidth="1"/>
  </cols>
  <sheetData>
    <row r="1" spans="1:10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hidden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0" hidden="1" x14ac:dyDescent="0.25"/>
    <row r="5" spans="1:10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ht="15.75" x14ac:dyDescent="0.25">
      <c r="A6" s="1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0" x14ac:dyDescent="0.25">
      <c r="A7" s="32">
        <v>1</v>
      </c>
      <c r="B7" s="33" t="s">
        <v>84</v>
      </c>
      <c r="C7" s="36" t="s">
        <v>0</v>
      </c>
      <c r="D7" s="24" t="s">
        <v>11</v>
      </c>
      <c r="E7" s="7" t="s">
        <v>56</v>
      </c>
      <c r="F7" s="7" t="s">
        <v>22</v>
      </c>
      <c r="G7" s="24" t="s">
        <v>16</v>
      </c>
      <c r="H7" s="22"/>
      <c r="I7" s="22"/>
      <c r="J7" s="24" t="s">
        <v>57</v>
      </c>
    </row>
    <row r="8" spans="1:10" s="37" customFormat="1" x14ac:dyDescent="0.25">
      <c r="A8" s="32">
        <v>2</v>
      </c>
      <c r="B8" s="35" t="s">
        <v>111</v>
      </c>
      <c r="C8" s="36" t="s">
        <v>0</v>
      </c>
      <c r="D8" s="24" t="s">
        <v>112</v>
      </c>
      <c r="E8" s="7" t="s">
        <v>113</v>
      </c>
      <c r="F8" s="7" t="s">
        <v>22</v>
      </c>
      <c r="G8" s="24" t="s">
        <v>114</v>
      </c>
      <c r="H8" s="24"/>
      <c r="I8" s="24"/>
      <c r="J8" s="24" t="s">
        <v>57</v>
      </c>
    </row>
    <row r="9" spans="1:10" s="37" customFormat="1" x14ac:dyDescent="0.25">
      <c r="A9" s="32">
        <v>3</v>
      </c>
      <c r="B9" s="35" t="s">
        <v>115</v>
      </c>
      <c r="C9" s="36" t="s">
        <v>0</v>
      </c>
      <c r="D9" s="24" t="s">
        <v>112</v>
      </c>
      <c r="E9" s="7" t="s">
        <v>113</v>
      </c>
      <c r="F9" s="7" t="s">
        <v>22</v>
      </c>
      <c r="G9" s="24" t="s">
        <v>114</v>
      </c>
      <c r="H9" s="24"/>
      <c r="I9" s="24"/>
      <c r="J9" s="24" t="s">
        <v>57</v>
      </c>
    </row>
    <row r="10" spans="1:10" s="37" customFormat="1" x14ac:dyDescent="0.25">
      <c r="A10" s="32">
        <v>4</v>
      </c>
      <c r="B10" s="21" t="s">
        <v>116</v>
      </c>
      <c r="C10" s="36" t="s">
        <v>0</v>
      </c>
      <c r="D10" s="24" t="s">
        <v>112</v>
      </c>
      <c r="E10" s="7" t="s">
        <v>113</v>
      </c>
      <c r="F10" s="7" t="s">
        <v>22</v>
      </c>
      <c r="G10" s="24" t="s">
        <v>114</v>
      </c>
      <c r="H10" s="24"/>
      <c r="I10" s="24"/>
      <c r="J10" s="24" t="s">
        <v>57</v>
      </c>
    </row>
    <row r="11" spans="1:10" s="37" customFormat="1" x14ac:dyDescent="0.25">
      <c r="A11" s="32">
        <v>5</v>
      </c>
      <c r="B11" s="21" t="s">
        <v>117</v>
      </c>
      <c r="C11" s="36" t="s">
        <v>0</v>
      </c>
      <c r="D11" s="24" t="s">
        <v>11</v>
      </c>
      <c r="E11" s="24" t="s">
        <v>56</v>
      </c>
      <c r="F11" s="7" t="s">
        <v>22</v>
      </c>
      <c r="G11" s="24" t="s">
        <v>16</v>
      </c>
      <c r="H11" s="24"/>
      <c r="I11" s="24"/>
      <c r="J11" s="24" t="s">
        <v>57</v>
      </c>
    </row>
    <row r="12" spans="1:10" s="37" customFormat="1" x14ac:dyDescent="0.25">
      <c r="A12" s="13"/>
      <c r="B12" s="38"/>
      <c r="C12" s="39"/>
      <c r="F12" s="12"/>
    </row>
    <row r="13" spans="1:10" x14ac:dyDescent="0.25">
      <c r="A13" s="9"/>
      <c r="B13" s="20"/>
      <c r="C13" s="11"/>
      <c r="D13" s="18"/>
      <c r="E13" s="10"/>
      <c r="F13" s="10"/>
      <c r="G13" s="10"/>
      <c r="H13" s="10"/>
      <c r="I13" s="10"/>
      <c r="J13" s="13"/>
    </row>
    <row r="14" spans="1:10" x14ac:dyDescent="0.25">
      <c r="A14" s="111" t="s">
        <v>21</v>
      </c>
      <c r="B14" s="111"/>
      <c r="C14" s="111"/>
      <c r="D14" s="111"/>
      <c r="E14" s="111"/>
      <c r="F14" s="111"/>
      <c r="G14" s="111"/>
      <c r="H14" s="111"/>
      <c r="I14" s="111"/>
      <c r="J14" s="111"/>
    </row>
    <row r="15" spans="1:10" ht="15.75" x14ac:dyDescent="0.25">
      <c r="A15" s="1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/>
      <c r="J15" s="2" t="s">
        <v>9</v>
      </c>
    </row>
    <row r="16" spans="1:10" ht="15" customHeight="1" x14ac:dyDescent="0.25">
      <c r="A16" s="32">
        <v>1</v>
      </c>
      <c r="B16" s="21" t="s">
        <v>52</v>
      </c>
      <c r="C16" s="4" t="s">
        <v>118</v>
      </c>
      <c r="D16" s="7" t="s">
        <v>11</v>
      </c>
      <c r="E16" s="7" t="s">
        <v>12</v>
      </c>
      <c r="F16" s="24" t="s">
        <v>22</v>
      </c>
      <c r="G16" s="24" t="s">
        <v>53</v>
      </c>
      <c r="H16" s="24"/>
      <c r="I16" s="22"/>
      <c r="J16" s="8" t="s">
        <v>14</v>
      </c>
    </row>
    <row r="17" spans="1:10" x14ac:dyDescent="0.25">
      <c r="A17" s="32">
        <v>2</v>
      </c>
      <c r="B17" s="33" t="s">
        <v>72</v>
      </c>
      <c r="C17" s="4" t="s">
        <v>118</v>
      </c>
      <c r="D17" s="24" t="s">
        <v>11</v>
      </c>
      <c r="E17" s="7" t="s">
        <v>56</v>
      </c>
      <c r="F17" s="7" t="s">
        <v>22</v>
      </c>
      <c r="G17" s="24" t="s">
        <v>16</v>
      </c>
      <c r="H17" s="22"/>
      <c r="I17" s="22"/>
      <c r="J17" s="24" t="s">
        <v>57</v>
      </c>
    </row>
    <row r="18" spans="1:10" x14ac:dyDescent="0.25">
      <c r="A18" s="32">
        <v>3</v>
      </c>
      <c r="B18" s="33" t="s">
        <v>73</v>
      </c>
      <c r="C18" s="4" t="s">
        <v>118</v>
      </c>
      <c r="D18" s="24" t="s">
        <v>11</v>
      </c>
      <c r="E18" s="7" t="s">
        <v>56</v>
      </c>
      <c r="F18" s="7" t="s">
        <v>22</v>
      </c>
      <c r="G18" s="24" t="s">
        <v>16</v>
      </c>
      <c r="H18" s="22"/>
      <c r="I18" s="22"/>
      <c r="J18" s="24" t="s">
        <v>57</v>
      </c>
    </row>
    <row r="19" spans="1:10" x14ac:dyDescent="0.25">
      <c r="A19" s="32">
        <v>4</v>
      </c>
      <c r="B19" s="33" t="s">
        <v>75</v>
      </c>
      <c r="C19" s="4" t="s">
        <v>118</v>
      </c>
      <c r="D19" s="24" t="s">
        <v>11</v>
      </c>
      <c r="E19" s="7" t="s">
        <v>56</v>
      </c>
      <c r="F19" s="7" t="s">
        <v>22</v>
      </c>
      <c r="G19" s="24" t="s">
        <v>16</v>
      </c>
      <c r="H19" s="22"/>
      <c r="I19" s="22"/>
      <c r="J19" s="24" t="s">
        <v>57</v>
      </c>
    </row>
    <row r="20" spans="1:10" x14ac:dyDescent="0.25">
      <c r="A20" s="32">
        <v>5</v>
      </c>
      <c r="B20" s="33" t="s">
        <v>76</v>
      </c>
      <c r="C20" s="4" t="s">
        <v>118</v>
      </c>
      <c r="D20" s="24" t="s">
        <v>11</v>
      </c>
      <c r="E20" s="7" t="s">
        <v>56</v>
      </c>
      <c r="F20" s="7" t="s">
        <v>22</v>
      </c>
      <c r="G20" s="24" t="s">
        <v>16</v>
      </c>
      <c r="H20" s="22"/>
      <c r="I20" s="22"/>
      <c r="J20" s="24" t="s">
        <v>57</v>
      </c>
    </row>
    <row r="21" spans="1:10" x14ac:dyDescent="0.25">
      <c r="A21" s="32">
        <v>6</v>
      </c>
      <c r="B21" s="33" t="s">
        <v>78</v>
      </c>
      <c r="C21" s="4" t="s">
        <v>118</v>
      </c>
      <c r="D21" s="24" t="s">
        <v>11</v>
      </c>
      <c r="E21" s="7" t="s">
        <v>56</v>
      </c>
      <c r="F21" s="7" t="s">
        <v>22</v>
      </c>
      <c r="G21" s="24" t="s">
        <v>16</v>
      </c>
      <c r="H21" s="22"/>
      <c r="I21" s="22"/>
      <c r="J21" s="24" t="s">
        <v>57</v>
      </c>
    </row>
    <row r="22" spans="1:10" x14ac:dyDescent="0.25">
      <c r="A22" s="32">
        <v>7</v>
      </c>
      <c r="B22" s="33" t="s">
        <v>79</v>
      </c>
      <c r="C22" s="4" t="s">
        <v>118</v>
      </c>
      <c r="D22" s="24" t="s">
        <v>11</v>
      </c>
      <c r="E22" s="7" t="s">
        <v>56</v>
      </c>
      <c r="F22" s="7" t="s">
        <v>22</v>
      </c>
      <c r="G22" s="24" t="s">
        <v>16</v>
      </c>
      <c r="H22" s="22"/>
      <c r="I22" s="22"/>
      <c r="J22" s="24" t="s">
        <v>57</v>
      </c>
    </row>
    <row r="23" spans="1:10" x14ac:dyDescent="0.25">
      <c r="A23" s="32">
        <v>8</v>
      </c>
      <c r="B23" s="33" t="s">
        <v>83</v>
      </c>
      <c r="C23" s="4" t="s">
        <v>44</v>
      </c>
      <c r="D23" s="24" t="s">
        <v>11</v>
      </c>
      <c r="E23" s="7" t="s">
        <v>56</v>
      </c>
      <c r="F23" s="7" t="s">
        <v>22</v>
      </c>
      <c r="G23" s="24" t="s">
        <v>16</v>
      </c>
      <c r="H23" s="22"/>
      <c r="I23" s="22"/>
      <c r="J23" s="24" t="s">
        <v>57</v>
      </c>
    </row>
    <row r="24" spans="1:10" x14ac:dyDescent="0.25">
      <c r="A24" s="32">
        <v>9</v>
      </c>
      <c r="B24" s="33" t="s">
        <v>88</v>
      </c>
      <c r="C24" s="4" t="s">
        <v>118</v>
      </c>
      <c r="D24" s="24" t="s">
        <v>11</v>
      </c>
      <c r="E24" s="7" t="s">
        <v>56</v>
      </c>
      <c r="F24" s="7" t="s">
        <v>22</v>
      </c>
      <c r="G24" s="24" t="s">
        <v>16</v>
      </c>
      <c r="H24" s="22"/>
      <c r="I24" s="22"/>
      <c r="J24" s="24" t="s">
        <v>57</v>
      </c>
    </row>
    <row r="25" spans="1:10" x14ac:dyDescent="0.25">
      <c r="A25" s="32">
        <v>10</v>
      </c>
      <c r="B25" s="33" t="s">
        <v>89</v>
      </c>
      <c r="C25" s="4" t="s">
        <v>119</v>
      </c>
      <c r="D25" s="24" t="s">
        <v>11</v>
      </c>
      <c r="E25" s="7" t="s">
        <v>56</v>
      </c>
      <c r="F25" s="7" t="s">
        <v>22</v>
      </c>
      <c r="G25" s="24" t="s">
        <v>16</v>
      </c>
      <c r="H25" s="22"/>
      <c r="I25" s="22"/>
      <c r="J25" s="24" t="s">
        <v>57</v>
      </c>
    </row>
    <row r="26" spans="1:10" x14ac:dyDescent="0.25">
      <c r="A26" s="32">
        <v>11</v>
      </c>
      <c r="B26" s="33" t="s">
        <v>74</v>
      </c>
      <c r="C26" s="4" t="s">
        <v>120</v>
      </c>
      <c r="D26" s="24" t="s">
        <v>11</v>
      </c>
      <c r="E26" s="7" t="s">
        <v>56</v>
      </c>
      <c r="F26" s="7" t="s">
        <v>22</v>
      </c>
      <c r="G26" s="24" t="s">
        <v>16</v>
      </c>
      <c r="H26" s="22"/>
      <c r="I26" s="22"/>
      <c r="J26" s="24" t="s">
        <v>57</v>
      </c>
    </row>
    <row r="27" spans="1:10" x14ac:dyDescent="0.25">
      <c r="A27" s="32">
        <v>12</v>
      </c>
      <c r="B27" s="33" t="s">
        <v>85</v>
      </c>
      <c r="C27" s="4" t="s">
        <v>120</v>
      </c>
      <c r="D27" s="24" t="s">
        <v>11</v>
      </c>
      <c r="E27" s="7" t="s">
        <v>56</v>
      </c>
      <c r="F27" s="7" t="s">
        <v>22</v>
      </c>
      <c r="G27" s="24" t="s">
        <v>16</v>
      </c>
      <c r="H27" s="22"/>
      <c r="I27" s="22"/>
      <c r="J27" s="24" t="s">
        <v>57</v>
      </c>
    </row>
    <row r="28" spans="1:10" x14ac:dyDescent="0.25">
      <c r="A28" s="32">
        <v>13</v>
      </c>
      <c r="B28" s="33" t="s">
        <v>86</v>
      </c>
      <c r="C28" s="4" t="s">
        <v>44</v>
      </c>
      <c r="D28" s="24" t="s">
        <v>11</v>
      </c>
      <c r="E28" s="7" t="s">
        <v>56</v>
      </c>
      <c r="F28" s="7" t="s">
        <v>22</v>
      </c>
      <c r="G28" s="24" t="s">
        <v>16</v>
      </c>
      <c r="H28" s="22"/>
      <c r="I28" s="22"/>
      <c r="J28" s="24" t="s">
        <v>57</v>
      </c>
    </row>
    <row r="29" spans="1:10" x14ac:dyDescent="0.25">
      <c r="A29" s="32">
        <v>14</v>
      </c>
      <c r="B29" s="33" t="s">
        <v>90</v>
      </c>
      <c r="C29" s="4" t="s">
        <v>119</v>
      </c>
      <c r="D29" s="24" t="s">
        <v>11</v>
      </c>
      <c r="E29" s="7" t="s">
        <v>56</v>
      </c>
      <c r="F29" s="7" t="s">
        <v>22</v>
      </c>
      <c r="G29" s="24" t="s">
        <v>16</v>
      </c>
      <c r="H29" s="22"/>
      <c r="I29" s="22"/>
      <c r="J29" s="24" t="s">
        <v>57</v>
      </c>
    </row>
    <row r="30" spans="1:10" x14ac:dyDescent="0.25">
      <c r="A30" s="9"/>
      <c r="B30" s="20"/>
      <c r="C30" s="11"/>
      <c r="D30" s="18"/>
      <c r="E30" s="10"/>
      <c r="F30" s="10"/>
      <c r="G30" s="10"/>
      <c r="H30" s="10"/>
      <c r="I30" s="10"/>
      <c r="J30" s="13"/>
    </row>
    <row r="31" spans="1:10" x14ac:dyDescent="0.25">
      <c r="A31" s="9"/>
      <c r="B31" s="20"/>
      <c r="C31" s="11"/>
      <c r="D31" s="18"/>
      <c r="E31" s="10"/>
      <c r="F31" s="10"/>
      <c r="G31" s="10"/>
      <c r="H31" s="10"/>
      <c r="I31" s="10"/>
      <c r="J31" s="13"/>
    </row>
    <row r="32" spans="1:10" ht="15.75" x14ac:dyDescent="0.25">
      <c r="A32" s="113" t="s">
        <v>68</v>
      </c>
      <c r="B32" s="113"/>
      <c r="C32" s="113"/>
      <c r="D32" s="113"/>
      <c r="E32" s="113"/>
      <c r="F32" s="113"/>
      <c r="G32" s="113"/>
      <c r="H32" s="113"/>
      <c r="I32" s="113"/>
      <c r="J32" s="113"/>
    </row>
    <row r="33" spans="1:10" ht="15.75" x14ac:dyDescent="0.25">
      <c r="A33" s="1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/>
      <c r="J33" s="2" t="s">
        <v>9</v>
      </c>
    </row>
    <row r="34" spans="1:10" x14ac:dyDescent="0.25">
      <c r="A34" s="32">
        <v>1</v>
      </c>
      <c r="B34" s="33" t="s">
        <v>77</v>
      </c>
      <c r="C34" s="17" t="s">
        <v>110</v>
      </c>
      <c r="D34" s="24" t="s">
        <v>11</v>
      </c>
      <c r="E34" s="7" t="s">
        <v>56</v>
      </c>
      <c r="F34" s="7" t="s">
        <v>22</v>
      </c>
      <c r="G34" s="24" t="s">
        <v>16</v>
      </c>
      <c r="H34" s="24">
        <v>2</v>
      </c>
      <c r="I34" s="22"/>
      <c r="J34" s="24" t="s">
        <v>57</v>
      </c>
    </row>
    <row r="35" spans="1:10" x14ac:dyDescent="0.25">
      <c r="A35" s="32">
        <v>2</v>
      </c>
      <c r="B35" s="33" t="s">
        <v>80</v>
      </c>
      <c r="C35" s="17" t="s">
        <v>110</v>
      </c>
      <c r="D35" s="24" t="s">
        <v>11</v>
      </c>
      <c r="E35" s="7" t="s">
        <v>56</v>
      </c>
      <c r="F35" s="7" t="s">
        <v>22</v>
      </c>
      <c r="G35" s="24" t="s">
        <v>16</v>
      </c>
      <c r="H35" s="24">
        <v>2</v>
      </c>
      <c r="I35" s="22"/>
      <c r="J35" s="24" t="s">
        <v>57</v>
      </c>
    </row>
    <row r="36" spans="1:10" x14ac:dyDescent="0.25">
      <c r="A36" s="32">
        <v>3</v>
      </c>
      <c r="B36" s="33" t="s">
        <v>82</v>
      </c>
      <c r="C36" s="17" t="s">
        <v>110</v>
      </c>
      <c r="D36" s="24" t="s">
        <v>11</v>
      </c>
      <c r="E36" s="7" t="s">
        <v>56</v>
      </c>
      <c r="F36" s="7" t="s">
        <v>22</v>
      </c>
      <c r="G36" s="24" t="s">
        <v>16</v>
      </c>
      <c r="H36" s="24">
        <v>2</v>
      </c>
      <c r="I36" s="22"/>
      <c r="J36" s="24" t="s">
        <v>57</v>
      </c>
    </row>
    <row r="37" spans="1:10" x14ac:dyDescent="0.25">
      <c r="A37" s="32">
        <v>4</v>
      </c>
      <c r="B37" s="33" t="s">
        <v>87</v>
      </c>
      <c r="C37" s="17" t="s">
        <v>110</v>
      </c>
      <c r="D37" s="24" t="s">
        <v>11</v>
      </c>
      <c r="E37" s="7" t="s">
        <v>56</v>
      </c>
      <c r="F37" s="7" t="s">
        <v>22</v>
      </c>
      <c r="G37" s="24" t="s">
        <v>16</v>
      </c>
      <c r="H37" s="24">
        <v>2</v>
      </c>
      <c r="I37" s="22"/>
      <c r="J37" s="24" t="s">
        <v>57</v>
      </c>
    </row>
    <row r="38" spans="1:10" ht="15" customHeight="1" x14ac:dyDescent="0.25"/>
    <row r="39" spans="1:10" ht="15" customHeight="1" x14ac:dyDescent="0.25"/>
    <row r="40" spans="1:10" ht="15" hidden="1" customHeight="1" x14ac:dyDescent="0.25"/>
    <row r="41" spans="1:10" ht="15" hidden="1" customHeight="1" x14ac:dyDescent="0.25">
      <c r="A41" s="112" t="s">
        <v>51</v>
      </c>
      <c r="B41" s="112"/>
      <c r="C41" s="112"/>
      <c r="D41" s="112"/>
      <c r="E41" s="112"/>
      <c r="F41" s="112"/>
      <c r="G41" s="112"/>
      <c r="H41" s="112"/>
      <c r="I41" s="112"/>
      <c r="J41" s="112"/>
    </row>
    <row r="42" spans="1:10" ht="15" hidden="1" customHeight="1" x14ac:dyDescent="0.25">
      <c r="A42" s="1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/>
      <c r="J42" s="2" t="s">
        <v>9</v>
      </c>
    </row>
    <row r="43" spans="1:10" ht="15" hidden="1" customHeight="1" x14ac:dyDescent="0.25">
      <c r="A43" s="3">
        <v>1</v>
      </c>
      <c r="B43" s="6" t="s">
        <v>32</v>
      </c>
      <c r="C43" s="17" t="s">
        <v>97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9</v>
      </c>
      <c r="I43" s="6"/>
      <c r="J43" s="8" t="s">
        <v>14</v>
      </c>
    </row>
    <row r="44" spans="1:10" ht="15" hidden="1" customHeight="1" x14ac:dyDescent="0.25">
      <c r="A44" s="16">
        <v>6</v>
      </c>
      <c r="B44" s="7" t="s">
        <v>35</v>
      </c>
      <c r="C44" s="17" t="s">
        <v>12</v>
      </c>
      <c r="D44" s="7" t="s">
        <v>11</v>
      </c>
      <c r="E44" s="6" t="s">
        <v>12</v>
      </c>
      <c r="F44" s="6" t="s">
        <v>22</v>
      </c>
      <c r="G44" s="6" t="s">
        <v>19</v>
      </c>
      <c r="H44" s="8">
        <v>9</v>
      </c>
      <c r="I44" s="6"/>
      <c r="J44" s="8" t="s">
        <v>14</v>
      </c>
    </row>
    <row r="45" spans="1:10" ht="15" hidden="1" customHeight="1" x14ac:dyDescent="0.25">
      <c r="A45" s="3">
        <v>13</v>
      </c>
      <c r="B45" s="6" t="s">
        <v>29</v>
      </c>
      <c r="C45" s="17" t="s">
        <v>97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6</v>
      </c>
      <c r="I45" s="6"/>
      <c r="J45" s="8" t="s">
        <v>14</v>
      </c>
    </row>
    <row r="46" spans="1:10" ht="15" hidden="1" customHeight="1" x14ac:dyDescent="0.25">
      <c r="A46" s="3">
        <v>5</v>
      </c>
      <c r="B46" s="26" t="s">
        <v>23</v>
      </c>
      <c r="C46" s="17" t="s">
        <v>98</v>
      </c>
      <c r="D46" s="7" t="s">
        <v>11</v>
      </c>
      <c r="E46" s="6" t="s">
        <v>12</v>
      </c>
      <c r="F46" s="6" t="s">
        <v>22</v>
      </c>
      <c r="G46" s="6" t="s">
        <v>16</v>
      </c>
      <c r="H46" s="8">
        <v>9</v>
      </c>
      <c r="I46" s="6"/>
      <c r="J46" s="8" t="s">
        <v>14</v>
      </c>
    </row>
    <row r="47" spans="1:10" ht="15" hidden="1" customHeight="1" x14ac:dyDescent="0.25">
      <c r="A47" s="3">
        <v>14</v>
      </c>
      <c r="B47" s="26" t="s">
        <v>24</v>
      </c>
      <c r="C47" s="17" t="s">
        <v>99</v>
      </c>
      <c r="D47" s="7" t="s">
        <v>11</v>
      </c>
      <c r="E47" s="6" t="s">
        <v>12</v>
      </c>
      <c r="F47" s="6" t="s">
        <v>22</v>
      </c>
      <c r="G47" s="6" t="s">
        <v>19</v>
      </c>
      <c r="H47" s="8">
        <v>6</v>
      </c>
      <c r="I47" s="6"/>
      <c r="J47" s="8" t="s">
        <v>14</v>
      </c>
    </row>
    <row r="48" spans="1:10" ht="15" hidden="1" customHeight="1" x14ac:dyDescent="0.25">
      <c r="A48" s="16">
        <v>1</v>
      </c>
      <c r="B48" s="26" t="s">
        <v>34</v>
      </c>
      <c r="C48" s="17" t="s">
        <v>12</v>
      </c>
      <c r="D48" s="7" t="s">
        <v>11</v>
      </c>
      <c r="E48" s="6" t="s">
        <v>12</v>
      </c>
      <c r="F48" s="6" t="s">
        <v>22</v>
      </c>
      <c r="G48" s="6" t="s">
        <v>19</v>
      </c>
      <c r="H48" s="8">
        <v>14</v>
      </c>
      <c r="I48" s="6"/>
      <c r="J48" s="8" t="s">
        <v>14</v>
      </c>
    </row>
    <row r="49" spans="1:10" ht="15" hidden="1" customHeight="1" x14ac:dyDescent="0.25">
      <c r="A49" s="3">
        <v>2</v>
      </c>
      <c r="B49" s="26" t="s">
        <v>37</v>
      </c>
      <c r="C49" s="17" t="s">
        <v>12</v>
      </c>
      <c r="D49" s="7" t="s">
        <v>11</v>
      </c>
      <c r="E49" s="6" t="s">
        <v>12</v>
      </c>
      <c r="F49" s="6" t="s">
        <v>22</v>
      </c>
      <c r="G49" s="6" t="s">
        <v>19</v>
      </c>
      <c r="H49" s="8">
        <v>12</v>
      </c>
      <c r="I49" s="6"/>
      <c r="J49" s="8" t="s">
        <v>14</v>
      </c>
    </row>
    <row r="50" spans="1:10" ht="15" hidden="1" customHeight="1" x14ac:dyDescent="0.25">
      <c r="A50" s="3">
        <v>3</v>
      </c>
      <c r="B50" s="26" t="s">
        <v>38</v>
      </c>
      <c r="C50" s="17" t="s">
        <v>12</v>
      </c>
      <c r="D50" s="7" t="s">
        <v>11</v>
      </c>
      <c r="E50" s="6" t="s">
        <v>12</v>
      </c>
      <c r="F50" s="6" t="s">
        <v>22</v>
      </c>
      <c r="G50" s="6" t="s">
        <v>19</v>
      </c>
      <c r="H50" s="8">
        <v>12</v>
      </c>
      <c r="I50" s="6"/>
      <c r="J50" s="8" t="s">
        <v>14</v>
      </c>
    </row>
    <row r="51" spans="1:10" ht="15" hidden="1" customHeight="1" x14ac:dyDescent="0.25">
      <c r="A51" s="3">
        <v>4</v>
      </c>
      <c r="B51" s="26" t="s">
        <v>39</v>
      </c>
      <c r="C51" s="17" t="s">
        <v>12</v>
      </c>
      <c r="D51" s="7" t="s">
        <v>11</v>
      </c>
      <c r="E51" s="6" t="s">
        <v>12</v>
      </c>
      <c r="F51" s="6" t="s">
        <v>22</v>
      </c>
      <c r="G51" s="6" t="s">
        <v>19</v>
      </c>
      <c r="H51" s="8">
        <v>12</v>
      </c>
      <c r="I51" s="6"/>
      <c r="J51" s="8" t="s">
        <v>14</v>
      </c>
    </row>
    <row r="52" spans="1:10" ht="15" hidden="1" customHeight="1" x14ac:dyDescent="0.25">
      <c r="A52" s="3">
        <v>6</v>
      </c>
      <c r="B52" s="26" t="s">
        <v>25</v>
      </c>
      <c r="C52" s="17" t="s">
        <v>12</v>
      </c>
      <c r="D52" s="7" t="s">
        <v>11</v>
      </c>
      <c r="E52" s="6" t="s">
        <v>12</v>
      </c>
      <c r="F52" s="6" t="s">
        <v>22</v>
      </c>
      <c r="G52" s="6" t="s">
        <v>13</v>
      </c>
      <c r="H52" s="8">
        <v>9</v>
      </c>
      <c r="I52" s="6"/>
      <c r="J52" s="8" t="s">
        <v>14</v>
      </c>
    </row>
    <row r="53" spans="1:10" ht="15" hidden="1" customHeight="1" x14ac:dyDescent="0.25">
      <c r="A53" s="3">
        <v>7</v>
      </c>
      <c r="B53" s="29" t="s">
        <v>49</v>
      </c>
      <c r="C53" s="17" t="s">
        <v>12</v>
      </c>
      <c r="D53" s="7" t="s">
        <v>11</v>
      </c>
      <c r="E53" s="6" t="s">
        <v>12</v>
      </c>
      <c r="F53" s="6" t="s">
        <v>22</v>
      </c>
      <c r="G53" s="24" t="s">
        <v>13</v>
      </c>
      <c r="H53" s="8">
        <v>9</v>
      </c>
      <c r="I53" s="22"/>
      <c r="J53" s="8" t="s">
        <v>14</v>
      </c>
    </row>
    <row r="54" spans="1:10" ht="15" hidden="1" customHeight="1" x14ac:dyDescent="0.25">
      <c r="A54" s="3">
        <v>9</v>
      </c>
      <c r="B54" s="29" t="s">
        <v>50</v>
      </c>
      <c r="C54" s="17" t="s">
        <v>100</v>
      </c>
      <c r="D54" s="7" t="s">
        <v>11</v>
      </c>
      <c r="E54" s="6" t="s">
        <v>12</v>
      </c>
      <c r="F54" s="6" t="s">
        <v>22</v>
      </c>
      <c r="G54" s="6" t="s">
        <v>19</v>
      </c>
      <c r="H54" s="8">
        <v>8</v>
      </c>
      <c r="I54" s="22"/>
      <c r="J54" s="8" t="s">
        <v>14</v>
      </c>
    </row>
    <row r="55" spans="1:10" ht="15" hidden="1" customHeight="1" x14ac:dyDescent="0.25">
      <c r="A55" s="3">
        <v>10</v>
      </c>
      <c r="B55" s="26" t="s">
        <v>36</v>
      </c>
      <c r="C55" s="17" t="s">
        <v>12</v>
      </c>
      <c r="D55" s="7" t="s">
        <v>11</v>
      </c>
      <c r="E55" s="6" t="s">
        <v>12</v>
      </c>
      <c r="F55" s="6" t="s">
        <v>22</v>
      </c>
      <c r="G55" s="6" t="s">
        <v>19</v>
      </c>
      <c r="H55" s="8">
        <v>7</v>
      </c>
      <c r="I55" s="6"/>
      <c r="J55" s="8" t="s">
        <v>14</v>
      </c>
    </row>
    <row r="56" spans="1:10" ht="15" hidden="1" customHeight="1" x14ac:dyDescent="0.25">
      <c r="A56" s="3">
        <v>15</v>
      </c>
      <c r="B56" s="29" t="s">
        <v>18</v>
      </c>
      <c r="C56" s="17" t="s">
        <v>12</v>
      </c>
      <c r="D56" s="5" t="s">
        <v>11</v>
      </c>
      <c r="E56" s="6" t="s">
        <v>12</v>
      </c>
      <c r="F56" s="6" t="s">
        <v>22</v>
      </c>
      <c r="G56" s="6" t="s">
        <v>19</v>
      </c>
      <c r="H56" s="8">
        <v>6</v>
      </c>
      <c r="I56" s="6"/>
      <c r="J56" s="8" t="s">
        <v>14</v>
      </c>
    </row>
    <row r="57" spans="1:10" ht="15" hidden="1" customHeight="1" x14ac:dyDescent="0.25">
      <c r="A57" s="3">
        <v>1</v>
      </c>
      <c r="B57" s="26" t="s">
        <v>27</v>
      </c>
      <c r="C57" s="17" t="s">
        <v>100</v>
      </c>
      <c r="D57" s="7" t="s">
        <v>11</v>
      </c>
      <c r="E57" s="6" t="s">
        <v>12</v>
      </c>
      <c r="F57" s="6" t="s">
        <v>22</v>
      </c>
      <c r="G57" s="6" t="s">
        <v>19</v>
      </c>
      <c r="H57" s="8">
        <v>9</v>
      </c>
      <c r="I57" s="6"/>
      <c r="J57" s="8" t="s">
        <v>14</v>
      </c>
    </row>
    <row r="58" spans="1:10" ht="15" hidden="1" customHeight="1" x14ac:dyDescent="0.25">
      <c r="A58" s="3">
        <v>2</v>
      </c>
      <c r="B58" s="26" t="s">
        <v>28</v>
      </c>
      <c r="C58" s="17" t="s">
        <v>101</v>
      </c>
      <c r="D58" s="7" t="s">
        <v>11</v>
      </c>
      <c r="E58" s="6" t="s">
        <v>12</v>
      </c>
      <c r="F58" s="6" t="s">
        <v>22</v>
      </c>
      <c r="G58" s="6" t="s">
        <v>19</v>
      </c>
      <c r="H58" s="8">
        <v>8</v>
      </c>
      <c r="I58" s="6"/>
      <c r="J58" s="8" t="s">
        <v>14</v>
      </c>
    </row>
    <row r="59" spans="1:10" ht="15" hidden="1" customHeight="1" x14ac:dyDescent="0.25">
      <c r="A59" s="3">
        <v>3</v>
      </c>
      <c r="B59" s="29" t="s">
        <v>17</v>
      </c>
      <c r="C59" s="17" t="s">
        <v>101</v>
      </c>
      <c r="D59" s="5" t="s">
        <v>11</v>
      </c>
      <c r="E59" s="6" t="s">
        <v>12</v>
      </c>
      <c r="F59" s="6" t="s">
        <v>22</v>
      </c>
      <c r="G59" s="6" t="s">
        <v>16</v>
      </c>
      <c r="H59" s="8">
        <v>8</v>
      </c>
      <c r="I59" s="6"/>
      <c r="J59" s="8" t="s">
        <v>14</v>
      </c>
    </row>
    <row r="60" spans="1:10" ht="15" hidden="1" customHeight="1" x14ac:dyDescent="0.25">
      <c r="A60" s="3">
        <v>4</v>
      </c>
      <c r="B60" s="28" t="s">
        <v>45</v>
      </c>
      <c r="C60" s="17" t="s">
        <v>102</v>
      </c>
      <c r="D60" s="7" t="s">
        <v>11</v>
      </c>
      <c r="E60" s="6" t="s">
        <v>12</v>
      </c>
      <c r="F60" s="6" t="s">
        <v>22</v>
      </c>
      <c r="G60" s="6" t="s">
        <v>19</v>
      </c>
      <c r="H60" s="8">
        <v>8</v>
      </c>
      <c r="I60" s="6"/>
      <c r="J60" s="8" t="s">
        <v>14</v>
      </c>
    </row>
    <row r="61" spans="1:10" ht="15" hidden="1" customHeight="1" x14ac:dyDescent="0.25">
      <c r="A61" s="3">
        <v>6</v>
      </c>
      <c r="B61" s="29" t="s">
        <v>20</v>
      </c>
      <c r="C61" s="17" t="s">
        <v>101</v>
      </c>
      <c r="D61" s="5" t="s">
        <v>11</v>
      </c>
      <c r="E61" s="6" t="s">
        <v>12</v>
      </c>
      <c r="F61" s="6" t="s">
        <v>22</v>
      </c>
      <c r="G61" s="6" t="s">
        <v>19</v>
      </c>
      <c r="H61" s="8">
        <v>7</v>
      </c>
      <c r="I61" s="6"/>
      <c r="J61" s="8" t="s">
        <v>14</v>
      </c>
    </row>
    <row r="62" spans="1:10" ht="15" hidden="1" customHeight="1" x14ac:dyDescent="0.25">
      <c r="A62" s="3">
        <v>8</v>
      </c>
      <c r="B62" s="28" t="s">
        <v>46</v>
      </c>
      <c r="C62" s="17" t="s">
        <v>101</v>
      </c>
      <c r="D62" s="21" t="s">
        <v>11</v>
      </c>
      <c r="E62" s="21" t="s">
        <v>12</v>
      </c>
      <c r="F62" s="6" t="s">
        <v>22</v>
      </c>
      <c r="G62" s="6" t="s">
        <v>16</v>
      </c>
      <c r="H62" s="8">
        <v>5</v>
      </c>
      <c r="I62" s="23"/>
      <c r="J62" s="8" t="s">
        <v>14</v>
      </c>
    </row>
    <row r="63" spans="1:10" ht="15" hidden="1" customHeight="1" x14ac:dyDescent="0.25">
      <c r="A63" s="3">
        <v>10</v>
      </c>
      <c r="B63" s="27" t="s">
        <v>10</v>
      </c>
      <c r="C63" s="17" t="s">
        <v>104</v>
      </c>
      <c r="D63" s="5" t="s">
        <v>11</v>
      </c>
      <c r="E63" s="6" t="s">
        <v>12</v>
      </c>
      <c r="F63" s="6" t="s">
        <v>22</v>
      </c>
      <c r="G63" s="6" t="s">
        <v>13</v>
      </c>
      <c r="H63" s="8">
        <v>3</v>
      </c>
      <c r="I63" s="6"/>
      <c r="J63" s="8" t="s">
        <v>14</v>
      </c>
    </row>
    <row r="64" spans="1:10" ht="15" hidden="1" customHeight="1" x14ac:dyDescent="0.25">
      <c r="A64" s="3">
        <v>1</v>
      </c>
      <c r="B64" s="29" t="s">
        <v>15</v>
      </c>
      <c r="C64" s="17" t="s">
        <v>103</v>
      </c>
      <c r="D64" s="5" t="s">
        <v>11</v>
      </c>
      <c r="E64" s="6" t="s">
        <v>12</v>
      </c>
      <c r="F64" s="6" t="s">
        <v>22</v>
      </c>
      <c r="G64" s="6" t="s">
        <v>16</v>
      </c>
      <c r="H64" s="8">
        <v>7</v>
      </c>
      <c r="I64" s="6"/>
      <c r="J64" s="8" t="s">
        <v>14</v>
      </c>
    </row>
    <row r="65" spans="1:10" ht="15" hidden="1" customHeight="1" x14ac:dyDescent="0.25">
      <c r="A65" s="3">
        <v>2</v>
      </c>
      <c r="B65" s="28" t="s">
        <v>47</v>
      </c>
      <c r="C65" s="17" t="s">
        <v>103</v>
      </c>
      <c r="D65" s="21" t="s">
        <v>11</v>
      </c>
      <c r="E65" s="21" t="s">
        <v>12</v>
      </c>
      <c r="F65" s="6" t="s">
        <v>22</v>
      </c>
      <c r="G65" s="24" t="s">
        <v>13</v>
      </c>
      <c r="H65" s="8">
        <v>5</v>
      </c>
      <c r="I65" s="23"/>
      <c r="J65" s="8" t="s">
        <v>14</v>
      </c>
    </row>
    <row r="66" spans="1:10" ht="15" hidden="1" customHeight="1" x14ac:dyDescent="0.25">
      <c r="A66" s="3">
        <v>3</v>
      </c>
      <c r="B66" s="28" t="s">
        <v>41</v>
      </c>
      <c r="C66" s="17" t="s">
        <v>103</v>
      </c>
      <c r="D66" s="7" t="s">
        <v>11</v>
      </c>
      <c r="E66" s="6" t="s">
        <v>12</v>
      </c>
      <c r="F66" s="6" t="s">
        <v>22</v>
      </c>
      <c r="G66" s="6" t="s">
        <v>16</v>
      </c>
      <c r="H66" s="8">
        <v>4</v>
      </c>
      <c r="I66" s="6"/>
      <c r="J66" s="8" t="s">
        <v>14</v>
      </c>
    </row>
    <row r="67" spans="1:10" ht="15" hidden="1" customHeight="1" x14ac:dyDescent="0.25">
      <c r="A67" s="3">
        <v>4</v>
      </c>
      <c r="B67" s="28" t="s">
        <v>42</v>
      </c>
      <c r="C67" s="17" t="s">
        <v>103</v>
      </c>
      <c r="D67" s="7" t="s">
        <v>11</v>
      </c>
      <c r="E67" s="6" t="s">
        <v>12</v>
      </c>
      <c r="F67" s="6" t="s">
        <v>22</v>
      </c>
      <c r="G67" s="6" t="s">
        <v>16</v>
      </c>
      <c r="H67" s="8">
        <v>3</v>
      </c>
      <c r="I67" s="6"/>
      <c r="J67" s="8" t="s">
        <v>14</v>
      </c>
    </row>
    <row r="68" spans="1:10" ht="15" hidden="1" customHeight="1" x14ac:dyDescent="0.25">
      <c r="A68" s="3">
        <v>5</v>
      </c>
      <c r="B68" s="30" t="s">
        <v>43</v>
      </c>
      <c r="C68" s="17" t="s">
        <v>103</v>
      </c>
      <c r="D68" s="7" t="s">
        <v>11</v>
      </c>
      <c r="E68" s="6" t="s">
        <v>12</v>
      </c>
      <c r="F68" s="6" t="s">
        <v>22</v>
      </c>
      <c r="G68" s="6" t="s">
        <v>13</v>
      </c>
      <c r="H68" s="24">
        <v>2</v>
      </c>
      <c r="I68" s="6"/>
      <c r="J68" s="8" t="s">
        <v>14</v>
      </c>
    </row>
    <row r="69" spans="1:10" ht="15" hidden="1" customHeight="1" x14ac:dyDescent="0.25">
      <c r="A69" s="3">
        <v>1</v>
      </c>
      <c r="B69" s="30" t="s">
        <v>54</v>
      </c>
      <c r="C69" s="17" t="s">
        <v>33</v>
      </c>
      <c r="D69" s="7" t="s">
        <v>11</v>
      </c>
      <c r="E69" s="7" t="s">
        <v>12</v>
      </c>
      <c r="F69" s="24" t="s">
        <v>22</v>
      </c>
      <c r="G69" s="24" t="s">
        <v>16</v>
      </c>
      <c r="H69" s="24">
        <v>5</v>
      </c>
      <c r="I69" s="22"/>
      <c r="J69" s="8" t="s">
        <v>14</v>
      </c>
    </row>
    <row r="72" spans="1:10" ht="15.75" x14ac:dyDescent="0.25">
      <c r="A72" s="113" t="s">
        <v>30</v>
      </c>
      <c r="B72" s="113"/>
      <c r="C72" s="113"/>
      <c r="D72" s="113"/>
      <c r="E72" s="113"/>
      <c r="F72" s="113"/>
      <c r="G72" s="113"/>
      <c r="H72" s="113"/>
      <c r="I72" s="113"/>
      <c r="J72" s="113"/>
    </row>
    <row r="73" spans="1:10" ht="29.45" customHeight="1" x14ac:dyDescent="0.25">
      <c r="A73" s="14" t="s">
        <v>1</v>
      </c>
      <c r="B73" s="15" t="s">
        <v>2</v>
      </c>
      <c r="C73" s="15" t="s">
        <v>40</v>
      </c>
      <c r="D73" s="15" t="s">
        <v>4</v>
      </c>
      <c r="E73" s="15" t="s">
        <v>5</v>
      </c>
      <c r="F73" s="15" t="s">
        <v>6</v>
      </c>
      <c r="G73" s="15" t="s">
        <v>7</v>
      </c>
      <c r="H73" s="15" t="s">
        <v>8</v>
      </c>
      <c r="I73" s="15" t="s">
        <v>31</v>
      </c>
      <c r="J73" s="15" t="s">
        <v>9</v>
      </c>
    </row>
    <row r="74" spans="1:10" x14ac:dyDescent="0.25">
      <c r="A74" s="3">
        <v>1</v>
      </c>
      <c r="B74" s="30" t="s">
        <v>58</v>
      </c>
      <c r="C74" s="17" t="s">
        <v>33</v>
      </c>
      <c r="D74" s="21" t="s">
        <v>11</v>
      </c>
      <c r="E74" s="7" t="s">
        <v>56</v>
      </c>
      <c r="F74" s="24" t="s">
        <v>22</v>
      </c>
      <c r="G74" s="7" t="s">
        <v>16</v>
      </c>
      <c r="H74" s="24">
        <v>4</v>
      </c>
      <c r="I74" s="24"/>
      <c r="J74" s="8" t="s">
        <v>57</v>
      </c>
    </row>
    <row r="75" spans="1:10" x14ac:dyDescent="0.25">
      <c r="A75" s="3">
        <v>2</v>
      </c>
      <c r="B75" s="7" t="s">
        <v>26</v>
      </c>
      <c r="C75" s="17" t="s">
        <v>33</v>
      </c>
      <c r="D75" s="7" t="s">
        <v>11</v>
      </c>
      <c r="E75" s="6" t="s">
        <v>12</v>
      </c>
      <c r="F75" s="6" t="s">
        <v>22</v>
      </c>
      <c r="G75" s="6" t="s">
        <v>16</v>
      </c>
      <c r="H75" s="24">
        <v>3</v>
      </c>
      <c r="I75" s="6"/>
      <c r="J75" s="8" t="s">
        <v>14</v>
      </c>
    </row>
    <row r="76" spans="1:10" x14ac:dyDescent="0.25">
      <c r="A76" s="32">
        <v>3</v>
      </c>
      <c r="B76" s="30" t="s">
        <v>55</v>
      </c>
      <c r="C76" s="17" t="s">
        <v>33</v>
      </c>
      <c r="D76" s="21" t="s">
        <v>11</v>
      </c>
      <c r="E76" s="7" t="s">
        <v>56</v>
      </c>
      <c r="F76" s="24" t="s">
        <v>22</v>
      </c>
      <c r="G76" s="7" t="s">
        <v>16</v>
      </c>
      <c r="H76" s="24">
        <v>3</v>
      </c>
      <c r="I76" s="24"/>
      <c r="J76" s="8" t="s">
        <v>57</v>
      </c>
    </row>
    <row r="77" spans="1:10" x14ac:dyDescent="0.25">
      <c r="A77" s="32">
        <v>4</v>
      </c>
      <c r="B77" s="30" t="s">
        <v>60</v>
      </c>
      <c r="C77" s="17" t="s">
        <v>33</v>
      </c>
      <c r="D77" s="24" t="s">
        <v>11</v>
      </c>
      <c r="E77" s="7" t="s">
        <v>56</v>
      </c>
      <c r="F77" s="24" t="s">
        <v>22</v>
      </c>
      <c r="G77" s="7" t="s">
        <v>16</v>
      </c>
      <c r="H77" s="24">
        <v>3</v>
      </c>
      <c r="I77" s="24"/>
      <c r="J77" s="8" t="s">
        <v>57</v>
      </c>
    </row>
    <row r="78" spans="1:10" x14ac:dyDescent="0.25">
      <c r="A78" s="32">
        <v>5</v>
      </c>
      <c r="B78" s="33" t="s">
        <v>92</v>
      </c>
      <c r="C78" s="17" t="s">
        <v>33</v>
      </c>
      <c r="D78" s="24" t="s">
        <v>11</v>
      </c>
      <c r="E78" s="7" t="s">
        <v>56</v>
      </c>
      <c r="F78" s="24" t="s">
        <v>22</v>
      </c>
      <c r="G78" s="24" t="s">
        <v>16</v>
      </c>
      <c r="H78" s="24">
        <v>2</v>
      </c>
      <c r="I78" s="22"/>
      <c r="J78" s="24" t="s">
        <v>57</v>
      </c>
    </row>
    <row r="79" spans="1:10" x14ac:dyDescent="0.25">
      <c r="A79" s="32">
        <v>6</v>
      </c>
      <c r="B79" s="33" t="s">
        <v>93</v>
      </c>
      <c r="C79" s="17" t="s">
        <v>33</v>
      </c>
      <c r="D79" s="24" t="s">
        <v>11</v>
      </c>
      <c r="E79" s="7" t="s">
        <v>56</v>
      </c>
      <c r="F79" s="24" t="s">
        <v>22</v>
      </c>
      <c r="G79" s="24" t="s">
        <v>16</v>
      </c>
      <c r="H79" s="24">
        <v>2</v>
      </c>
      <c r="I79" s="22"/>
      <c r="J79" s="24" t="s">
        <v>57</v>
      </c>
    </row>
    <row r="80" spans="1:10" x14ac:dyDescent="0.25">
      <c r="A80" s="32">
        <v>7</v>
      </c>
      <c r="B80" s="30" t="s">
        <v>62</v>
      </c>
      <c r="C80" s="17" t="s">
        <v>33</v>
      </c>
      <c r="D80" s="24" t="s">
        <v>11</v>
      </c>
      <c r="E80" s="7" t="s">
        <v>56</v>
      </c>
      <c r="F80" s="24" t="s">
        <v>22</v>
      </c>
      <c r="G80" s="7" t="s">
        <v>16</v>
      </c>
      <c r="H80" s="24">
        <v>2</v>
      </c>
      <c r="I80" s="24"/>
      <c r="J80" s="8" t="s">
        <v>57</v>
      </c>
    </row>
    <row r="81" spans="1:10" x14ac:dyDescent="0.25">
      <c r="A81" s="32">
        <v>8</v>
      </c>
      <c r="B81" s="30" t="s">
        <v>59</v>
      </c>
      <c r="C81" s="17" t="s">
        <v>33</v>
      </c>
      <c r="D81" s="24" t="s">
        <v>11</v>
      </c>
      <c r="E81" s="7" t="s">
        <v>56</v>
      </c>
      <c r="F81" s="24" t="s">
        <v>22</v>
      </c>
      <c r="G81" s="7" t="s">
        <v>16</v>
      </c>
      <c r="H81" s="24">
        <v>2</v>
      </c>
      <c r="I81" s="24"/>
      <c r="J81" s="8" t="s">
        <v>57</v>
      </c>
    </row>
    <row r="82" spans="1:10" x14ac:dyDescent="0.25">
      <c r="A82" s="32">
        <v>9</v>
      </c>
      <c r="B82" s="33" t="s">
        <v>81</v>
      </c>
      <c r="C82" s="17" t="s">
        <v>33</v>
      </c>
      <c r="D82" s="24" t="s">
        <v>11</v>
      </c>
      <c r="E82" s="7" t="s">
        <v>56</v>
      </c>
      <c r="F82" s="7" t="s">
        <v>22</v>
      </c>
      <c r="G82" s="24" t="s">
        <v>16</v>
      </c>
      <c r="H82" s="24">
        <v>1</v>
      </c>
      <c r="I82" s="22"/>
      <c r="J82" s="24" t="s">
        <v>57</v>
      </c>
    </row>
    <row r="83" spans="1:10" x14ac:dyDescent="0.25">
      <c r="A83" s="32">
        <v>10</v>
      </c>
      <c r="B83" s="30" t="s">
        <v>63</v>
      </c>
      <c r="C83" s="17" t="s">
        <v>33</v>
      </c>
      <c r="D83" s="24" t="s">
        <v>11</v>
      </c>
      <c r="E83" s="7" t="s">
        <v>56</v>
      </c>
      <c r="F83" s="24" t="s">
        <v>22</v>
      </c>
      <c r="G83" s="7" t="s">
        <v>16</v>
      </c>
      <c r="H83" s="24">
        <v>1</v>
      </c>
      <c r="I83" s="24"/>
      <c r="J83" s="8" t="s">
        <v>57</v>
      </c>
    </row>
    <row r="84" spans="1:10" x14ac:dyDescent="0.25">
      <c r="A84" s="32">
        <v>11</v>
      </c>
      <c r="B84" s="30" t="s">
        <v>61</v>
      </c>
      <c r="C84" s="17" t="s">
        <v>33</v>
      </c>
      <c r="D84" s="24" t="s">
        <v>11</v>
      </c>
      <c r="E84" s="7" t="s">
        <v>56</v>
      </c>
      <c r="F84" s="24" t="s">
        <v>22</v>
      </c>
      <c r="G84" s="7" t="s">
        <v>16</v>
      </c>
      <c r="H84" s="24">
        <v>1</v>
      </c>
      <c r="I84" s="24"/>
      <c r="J84" s="8" t="s">
        <v>57</v>
      </c>
    </row>
    <row r="85" spans="1:10" ht="12.6" customHeight="1" x14ac:dyDescent="0.25"/>
  </sheetData>
  <mergeCells count="6">
    <mergeCell ref="A1:J1"/>
    <mergeCell ref="A14:J14"/>
    <mergeCell ref="A32:J32"/>
    <mergeCell ref="A41:J41"/>
    <mergeCell ref="A72:J72"/>
    <mergeCell ref="A5:J5"/>
  </mergeCells>
  <conditionalFormatting sqref="A39:A40">
    <cfRule type="duplicateValues" dxfId="2390" priority="115"/>
  </conditionalFormatting>
  <conditionalFormatting sqref="B8:B9">
    <cfRule type="duplicateValues" dxfId="2389" priority="25"/>
  </conditionalFormatting>
  <conditionalFormatting sqref="B8:B12">
    <cfRule type="duplicateValues" dxfId="2388" priority="24"/>
  </conditionalFormatting>
  <conditionalFormatting sqref="B10:B12">
    <cfRule type="duplicateValues" dxfId="2387" priority="26"/>
  </conditionalFormatting>
  <conditionalFormatting sqref="B13">
    <cfRule type="duplicateValues" dxfId="2386" priority="2372"/>
    <cfRule type="duplicateValues" dxfId="2385" priority="2373"/>
    <cfRule type="duplicateValues" dxfId="2384" priority="2374"/>
    <cfRule type="duplicateValues" dxfId="2383" priority="2375"/>
    <cfRule type="duplicateValues" dxfId="2382" priority="2376"/>
    <cfRule type="duplicateValues" dxfId="2381" priority="2377"/>
    <cfRule type="duplicateValues" dxfId="2380" priority="2378"/>
    <cfRule type="duplicateValues" dxfId="2379" priority="2379"/>
    <cfRule type="duplicateValues" dxfId="2378" priority="2380"/>
    <cfRule type="duplicateValues" dxfId="2377" priority="2381"/>
    <cfRule type="duplicateValues" dxfId="2376" priority="2382"/>
    <cfRule type="duplicateValues" dxfId="2375" priority="2383"/>
    <cfRule type="duplicateValues" dxfId="2374" priority="2384"/>
    <cfRule type="duplicateValues" dxfId="2373" priority="2385"/>
    <cfRule type="duplicateValues" dxfId="2372" priority="2386"/>
    <cfRule type="duplicateValues" dxfId="2371" priority="2387"/>
    <cfRule type="duplicateValues" dxfId="2370" priority="2388" stopIfTrue="1"/>
  </conditionalFormatting>
  <conditionalFormatting sqref="B65 B62">
    <cfRule type="duplicateValues" dxfId="2369" priority="116"/>
    <cfRule type="duplicateValues" dxfId="2368" priority="117"/>
    <cfRule type="duplicateValues" dxfId="2367" priority="118"/>
  </conditionalFormatting>
  <conditionalFormatting sqref="B66:B68 B63:B64 B59:B61 B56 B30:B31 B3">
    <cfRule type="duplicateValues" dxfId="2366" priority="120"/>
    <cfRule type="duplicateValues" dxfId="2365" priority="121" stopIfTrue="1"/>
  </conditionalFormatting>
  <conditionalFormatting sqref="B69 B16">
    <cfRule type="duplicateValues" dxfId="2364" priority="119"/>
  </conditionalFormatting>
  <conditionalFormatting sqref="B74">
    <cfRule type="duplicateValues" dxfId="2363" priority="110"/>
    <cfRule type="duplicateValues" dxfId="2362" priority="111"/>
    <cfRule type="duplicateValues" dxfId="2361" priority="112"/>
  </conditionalFormatting>
  <conditionalFormatting sqref="B75 B42:B52 B4 B2 B15 B70:B71 B55 B73 B57:B58 B39:B40 B33 B6">
    <cfRule type="duplicateValues" dxfId="2360" priority="122" stopIfTrue="1"/>
  </conditionalFormatting>
  <conditionalFormatting sqref="B76">
    <cfRule type="duplicateValues" dxfId="2359" priority="113"/>
    <cfRule type="duplicateValues" dxfId="2358" priority="114"/>
  </conditionalFormatting>
  <conditionalFormatting sqref="B78:B79">
    <cfRule type="duplicateValues" dxfId="2357" priority="100"/>
    <cfRule type="duplicateValues" dxfId="2356" priority="101"/>
    <cfRule type="duplicateValues" dxfId="2355" priority="102"/>
    <cfRule type="duplicateValues" dxfId="2354" priority="103"/>
    <cfRule type="duplicateValues" dxfId="2353" priority="104"/>
    <cfRule type="duplicateValues" dxfId="2352" priority="105"/>
  </conditionalFormatting>
  <conditionalFormatting sqref="B82 B17:B29 B34:B37 B7">
    <cfRule type="duplicateValues" dxfId="2351" priority="106"/>
    <cfRule type="duplicateValues" dxfId="2350" priority="107"/>
    <cfRule type="duplicateValues" dxfId="2349" priority="108"/>
    <cfRule type="duplicateValues" dxfId="2348" priority="109"/>
  </conditionalFormatting>
  <conditionalFormatting sqref="B83:B84 B80:B81 B76:B77">
    <cfRule type="duplicateValues" dxfId="2347" priority="123"/>
  </conditionalFormatting>
  <conditionalFormatting sqref="B83:B84 B80:B81 B77">
    <cfRule type="duplicateValues" dxfId="2346" priority="124"/>
    <cfRule type="duplicateValues" dxfId="2345" priority="125"/>
  </conditionalFormatting>
  <conditionalFormatting sqref="B85 B39:B61 B66:B68 B70:B73 B63:B64 B30:B33 B75 B90:B1048576 B14:B15 B1:B6">
    <cfRule type="duplicateValues" dxfId="2344" priority="1975"/>
    <cfRule type="duplicateValues" dxfId="2343" priority="1976"/>
    <cfRule type="duplicateValues" dxfId="2342" priority="1977"/>
  </conditionalFormatting>
  <conditionalFormatting sqref="B85 B39:B68 B70:B73 B30:B33 B75 B90:B1048576 B14:B15 B1:B6">
    <cfRule type="duplicateValues" dxfId="2341" priority="2005"/>
    <cfRule type="duplicateValues" dxfId="2340" priority="2006"/>
    <cfRule type="duplicateValues" dxfId="2339" priority="2007"/>
    <cfRule type="duplicateValues" dxfId="2338" priority="2008"/>
  </conditionalFormatting>
  <conditionalFormatting sqref="B85 B39:B73 B30:B33 B75 B90:B1048576 B14:B16 B1:B6">
    <cfRule type="duplicateValues" dxfId="2337" priority="2564"/>
  </conditionalFormatting>
  <conditionalFormatting sqref="B85 B70:B73 B39:B45 B53:B55 B48:B51 B30:B32 B90:B1048576">
    <cfRule type="duplicateValues" dxfId="2336" priority="2045"/>
  </conditionalFormatting>
  <conditionalFormatting sqref="B85 B90:B1048576">
    <cfRule type="duplicateValues" dxfId="2335" priority="2053"/>
    <cfRule type="duplicateValues" dxfId="2334" priority="2054"/>
    <cfRule type="duplicateValues" dxfId="2333" priority="2055"/>
  </conditionalFormatting>
  <conditionalFormatting sqref="B90:B1048576 B13:B77 B80:B85 B1:B7">
    <cfRule type="duplicateValues" dxfId="2332" priority="1971"/>
  </conditionalFormatting>
  <conditionalFormatting sqref="B90:B1048576 B13:B85 B1:B7">
    <cfRule type="duplicateValues" dxfId="2331" priority="27"/>
  </conditionalFormatting>
  <conditionalFormatting sqref="B90:B1048576 B39:B77 B30:B33 B80:B81 B83:B85 B14:B16 B1:B6">
    <cfRule type="duplicateValues" dxfId="2330" priority="2220"/>
    <cfRule type="duplicateValues" dxfId="2329" priority="2221"/>
    <cfRule type="duplicateValues" dxfId="2328" priority="2222"/>
    <cfRule type="duplicateValues" dxfId="2327" priority="2223"/>
    <cfRule type="duplicateValues" dxfId="2326" priority="2224"/>
    <cfRule type="duplicateValues" dxfId="2325" priority="2225"/>
    <cfRule type="duplicateValues" dxfId="2324" priority="2226"/>
  </conditionalFormatting>
  <conditionalFormatting sqref="B90:B1048576">
    <cfRule type="duplicateValues" dxfId="2323" priority="196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129A-9FA8-497A-B524-CCBC6349B0DB}">
  <dimension ref="A1:J82"/>
  <sheetViews>
    <sheetView topLeftCell="A5" workbookViewId="0">
      <selection activeCell="A83" sqref="A83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21" bestFit="1" customWidth="1"/>
    <col min="9" max="9" width="9.28515625" bestFit="1" customWidth="1"/>
  </cols>
  <sheetData>
    <row r="1" spans="1:10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hidden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0" hidden="1" x14ac:dyDescent="0.25"/>
    <row r="5" spans="1:10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ht="15.75" x14ac:dyDescent="0.25">
      <c r="A6" s="1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0" x14ac:dyDescent="0.25">
      <c r="A7" s="32">
        <v>1</v>
      </c>
      <c r="B7" s="33" t="s">
        <v>84</v>
      </c>
      <c r="C7" s="36" t="s">
        <v>0</v>
      </c>
      <c r="D7" s="24" t="s">
        <v>11</v>
      </c>
      <c r="E7" s="7" t="s">
        <v>56</v>
      </c>
      <c r="F7" s="7" t="s">
        <v>22</v>
      </c>
      <c r="G7" s="24" t="s">
        <v>16</v>
      </c>
      <c r="H7" s="22"/>
      <c r="I7" s="22"/>
      <c r="J7" s="24" t="s">
        <v>57</v>
      </c>
    </row>
    <row r="8" spans="1:10" s="37" customFormat="1" x14ac:dyDescent="0.25">
      <c r="A8" s="32">
        <v>2</v>
      </c>
      <c r="B8" s="21" t="s">
        <v>117</v>
      </c>
      <c r="C8" s="36" t="s">
        <v>0</v>
      </c>
      <c r="D8" s="24" t="s">
        <v>11</v>
      </c>
      <c r="E8" s="24" t="s">
        <v>56</v>
      </c>
      <c r="F8" s="7" t="s">
        <v>22</v>
      </c>
      <c r="G8" s="24" t="s">
        <v>16</v>
      </c>
      <c r="H8" s="24"/>
      <c r="I8" s="24"/>
      <c r="J8" s="24" t="s">
        <v>57</v>
      </c>
    </row>
    <row r="9" spans="1:10" s="37" customFormat="1" x14ac:dyDescent="0.25">
      <c r="A9" s="13"/>
      <c r="B9" s="38"/>
      <c r="C9" s="39"/>
      <c r="F9" s="12"/>
    </row>
    <row r="10" spans="1:10" x14ac:dyDescent="0.25">
      <c r="A10" s="9"/>
      <c r="B10" s="20"/>
      <c r="C10" s="11"/>
      <c r="D10" s="18"/>
      <c r="E10" s="10"/>
      <c r="F10" s="10"/>
      <c r="G10" s="10"/>
      <c r="H10" s="10"/>
      <c r="I10" s="10"/>
      <c r="J10" s="13"/>
    </row>
    <row r="11" spans="1:10" x14ac:dyDescent="0.25">
      <c r="A11" s="111" t="s">
        <v>21</v>
      </c>
      <c r="B11" s="111"/>
      <c r="C11" s="111"/>
      <c r="D11" s="111"/>
      <c r="E11" s="111"/>
      <c r="F11" s="111"/>
      <c r="G11" s="111"/>
      <c r="H11" s="111"/>
      <c r="I11" s="111"/>
      <c r="J11" s="111"/>
    </row>
    <row r="12" spans="1:10" ht="15.75" x14ac:dyDescent="0.25">
      <c r="A12" s="1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/>
      <c r="J12" s="2" t="s">
        <v>9</v>
      </c>
    </row>
    <row r="13" spans="1:10" x14ac:dyDescent="0.25">
      <c r="A13" s="32">
        <v>1</v>
      </c>
      <c r="B13" s="33" t="s">
        <v>89</v>
      </c>
      <c r="C13" s="4" t="s">
        <v>119</v>
      </c>
      <c r="D13" s="24" t="s">
        <v>11</v>
      </c>
      <c r="E13" s="7" t="s">
        <v>56</v>
      </c>
      <c r="F13" s="7" t="s">
        <v>22</v>
      </c>
      <c r="G13" s="24" t="s">
        <v>16</v>
      </c>
      <c r="H13" s="22"/>
      <c r="I13" s="22"/>
      <c r="J13" s="24" t="s">
        <v>57</v>
      </c>
    </row>
    <row r="14" spans="1:10" x14ac:dyDescent="0.25">
      <c r="A14" s="32">
        <v>2</v>
      </c>
      <c r="B14" s="33" t="s">
        <v>74</v>
      </c>
      <c r="C14" s="4" t="s">
        <v>44</v>
      </c>
      <c r="D14" s="24" t="s">
        <v>11</v>
      </c>
      <c r="E14" s="7" t="s">
        <v>56</v>
      </c>
      <c r="F14" s="7" t="s">
        <v>22</v>
      </c>
      <c r="G14" s="24" t="s">
        <v>16</v>
      </c>
      <c r="H14" s="22"/>
      <c r="I14" s="22"/>
      <c r="J14" s="24" t="s">
        <v>57</v>
      </c>
    </row>
    <row r="15" spans="1:10" x14ac:dyDescent="0.25">
      <c r="A15" s="32">
        <v>3</v>
      </c>
      <c r="B15" s="33" t="s">
        <v>85</v>
      </c>
      <c r="C15" s="4" t="s">
        <v>64</v>
      </c>
      <c r="D15" s="24" t="s">
        <v>11</v>
      </c>
      <c r="E15" s="7" t="s">
        <v>56</v>
      </c>
      <c r="F15" s="7" t="s">
        <v>22</v>
      </c>
      <c r="G15" s="24" t="s">
        <v>16</v>
      </c>
      <c r="H15" s="22"/>
      <c r="I15" s="22"/>
      <c r="J15" s="24" t="s">
        <v>57</v>
      </c>
    </row>
    <row r="16" spans="1:10" x14ac:dyDescent="0.25">
      <c r="A16" s="32">
        <v>4</v>
      </c>
      <c r="B16" s="33" t="s">
        <v>90</v>
      </c>
      <c r="C16" s="4" t="s">
        <v>119</v>
      </c>
      <c r="D16" s="24" t="s">
        <v>11</v>
      </c>
      <c r="E16" s="7" t="s">
        <v>56</v>
      </c>
      <c r="F16" s="7" t="s">
        <v>22</v>
      </c>
      <c r="G16" s="24" t="s">
        <v>16</v>
      </c>
      <c r="H16" s="22"/>
      <c r="I16" s="22"/>
      <c r="J16" s="24" t="s">
        <v>57</v>
      </c>
    </row>
    <row r="17" spans="1:10" x14ac:dyDescent="0.25">
      <c r="A17" s="9"/>
      <c r="B17" s="20"/>
      <c r="C17" s="11"/>
      <c r="D17" s="18"/>
      <c r="E17" s="10"/>
      <c r="F17" s="10"/>
      <c r="G17" s="10"/>
      <c r="H17" s="10"/>
      <c r="I17" s="10"/>
      <c r="J17" s="13"/>
    </row>
    <row r="18" spans="1:10" x14ac:dyDescent="0.25">
      <c r="A18" s="9"/>
      <c r="B18" s="20"/>
      <c r="C18" s="11"/>
      <c r="D18" s="18"/>
      <c r="E18" s="10"/>
      <c r="F18" s="10"/>
      <c r="G18" s="10"/>
      <c r="H18" s="10"/>
      <c r="I18" s="10"/>
      <c r="J18" s="13"/>
    </row>
    <row r="19" spans="1:10" ht="15.75" x14ac:dyDescent="0.25">
      <c r="A19" s="113" t="s">
        <v>68</v>
      </c>
      <c r="B19" s="113"/>
      <c r="C19" s="113"/>
      <c r="D19" s="113"/>
      <c r="E19" s="113"/>
      <c r="F19" s="113"/>
      <c r="G19" s="113"/>
      <c r="H19" s="113"/>
      <c r="I19" s="113"/>
      <c r="J19" s="113"/>
    </row>
    <row r="20" spans="1:10" ht="15.75" x14ac:dyDescent="0.25">
      <c r="A20" s="1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/>
      <c r="J20" s="2" t="s">
        <v>9</v>
      </c>
    </row>
    <row r="21" spans="1:10" ht="15" customHeight="1" x14ac:dyDescent="0.25">
      <c r="A21" s="32">
        <v>2</v>
      </c>
      <c r="B21" s="30" t="s">
        <v>52</v>
      </c>
      <c r="C21" s="17" t="s">
        <v>110</v>
      </c>
      <c r="D21" s="7" t="s">
        <v>11</v>
      </c>
      <c r="E21" s="7" t="s">
        <v>12</v>
      </c>
      <c r="F21" s="24" t="s">
        <v>22</v>
      </c>
      <c r="G21" s="24" t="s">
        <v>53</v>
      </c>
      <c r="H21" s="24">
        <v>1</v>
      </c>
      <c r="I21" s="22"/>
      <c r="J21" s="8" t="s">
        <v>14</v>
      </c>
    </row>
    <row r="22" spans="1:10" x14ac:dyDescent="0.25">
      <c r="A22" s="32">
        <v>3</v>
      </c>
      <c r="B22" s="33" t="s">
        <v>73</v>
      </c>
      <c r="C22" s="17" t="s">
        <v>110</v>
      </c>
      <c r="D22" s="24" t="s">
        <v>11</v>
      </c>
      <c r="E22" s="7" t="s">
        <v>56</v>
      </c>
      <c r="F22" s="7" t="s">
        <v>22</v>
      </c>
      <c r="G22" s="24" t="s">
        <v>16</v>
      </c>
      <c r="H22" s="24">
        <v>1</v>
      </c>
      <c r="I22" s="22"/>
      <c r="J22" s="24" t="s">
        <v>57</v>
      </c>
    </row>
    <row r="23" spans="1:10" x14ac:dyDescent="0.25">
      <c r="A23" s="32">
        <v>4</v>
      </c>
      <c r="B23" s="33" t="s">
        <v>76</v>
      </c>
      <c r="C23" s="17" t="s">
        <v>110</v>
      </c>
      <c r="D23" s="24" t="s">
        <v>11</v>
      </c>
      <c r="E23" s="7" t="s">
        <v>56</v>
      </c>
      <c r="F23" s="7" t="s">
        <v>22</v>
      </c>
      <c r="G23" s="24" t="s">
        <v>16</v>
      </c>
      <c r="H23" s="24">
        <v>1</v>
      </c>
      <c r="I23" s="22"/>
      <c r="J23" s="24" t="s">
        <v>57</v>
      </c>
    </row>
    <row r="24" spans="1:10" x14ac:dyDescent="0.25">
      <c r="A24" s="32">
        <v>5</v>
      </c>
      <c r="B24" s="33" t="s">
        <v>83</v>
      </c>
      <c r="C24" s="17" t="s">
        <v>110</v>
      </c>
      <c r="D24" s="24" t="s">
        <v>11</v>
      </c>
      <c r="E24" s="7" t="s">
        <v>56</v>
      </c>
      <c r="F24" s="7" t="s">
        <v>22</v>
      </c>
      <c r="G24" s="24" t="s">
        <v>16</v>
      </c>
      <c r="H24" s="24">
        <v>1</v>
      </c>
      <c r="I24" s="22"/>
      <c r="J24" s="24" t="s">
        <v>57</v>
      </c>
    </row>
    <row r="25" spans="1:10" x14ac:dyDescent="0.25">
      <c r="A25" s="32">
        <v>6</v>
      </c>
      <c r="B25" s="33" t="s">
        <v>86</v>
      </c>
      <c r="C25" s="17" t="s">
        <v>110</v>
      </c>
      <c r="D25" s="24" t="s">
        <v>11</v>
      </c>
      <c r="E25" s="7" t="s">
        <v>56</v>
      </c>
      <c r="F25" s="7" t="s">
        <v>22</v>
      </c>
      <c r="G25" s="24" t="s">
        <v>16</v>
      </c>
      <c r="H25" s="24">
        <v>1</v>
      </c>
      <c r="I25" s="22"/>
      <c r="J25" s="24" t="s">
        <v>57</v>
      </c>
    </row>
    <row r="26" spans="1:10" ht="15" customHeight="1" x14ac:dyDescent="0.25"/>
    <row r="27" spans="1:10" ht="15" customHeight="1" x14ac:dyDescent="0.25"/>
    <row r="28" spans="1:10" ht="15" hidden="1" customHeight="1" x14ac:dyDescent="0.25"/>
    <row r="29" spans="1:10" ht="15" hidden="1" customHeight="1" x14ac:dyDescent="0.25">
      <c r="A29" s="112" t="s">
        <v>51</v>
      </c>
      <c r="B29" s="112"/>
      <c r="C29" s="112"/>
      <c r="D29" s="112"/>
      <c r="E29" s="112"/>
      <c r="F29" s="112"/>
      <c r="G29" s="112"/>
      <c r="H29" s="112"/>
      <c r="I29" s="112"/>
      <c r="J29" s="112"/>
    </row>
    <row r="30" spans="1:10" ht="15" hidden="1" customHeight="1" x14ac:dyDescent="0.25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/>
      <c r="J30" s="2" t="s">
        <v>9</v>
      </c>
    </row>
    <row r="31" spans="1:10" ht="15" hidden="1" customHeight="1" x14ac:dyDescent="0.25">
      <c r="A31" s="3">
        <v>1</v>
      </c>
      <c r="B31" s="6" t="s">
        <v>32</v>
      </c>
      <c r="C31" s="17" t="s">
        <v>97</v>
      </c>
      <c r="D31" s="7" t="s">
        <v>11</v>
      </c>
      <c r="E31" s="6" t="s">
        <v>12</v>
      </c>
      <c r="F31" s="6" t="s">
        <v>22</v>
      </c>
      <c r="G31" s="6" t="s">
        <v>19</v>
      </c>
      <c r="H31" s="8">
        <v>9</v>
      </c>
      <c r="I31" s="6"/>
      <c r="J31" s="8" t="s">
        <v>14</v>
      </c>
    </row>
    <row r="32" spans="1:10" ht="15" hidden="1" customHeight="1" x14ac:dyDescent="0.25">
      <c r="A32" s="16">
        <v>6</v>
      </c>
      <c r="B32" s="7" t="s">
        <v>35</v>
      </c>
      <c r="C32" s="17" t="s">
        <v>12</v>
      </c>
      <c r="D32" s="7" t="s">
        <v>11</v>
      </c>
      <c r="E32" s="6" t="s">
        <v>12</v>
      </c>
      <c r="F32" s="6" t="s">
        <v>22</v>
      </c>
      <c r="G32" s="6" t="s">
        <v>19</v>
      </c>
      <c r="H32" s="8">
        <v>9</v>
      </c>
      <c r="I32" s="6"/>
      <c r="J32" s="8" t="s">
        <v>14</v>
      </c>
    </row>
    <row r="33" spans="1:10" ht="15" hidden="1" customHeight="1" x14ac:dyDescent="0.25">
      <c r="A33" s="3">
        <v>13</v>
      </c>
      <c r="B33" s="6" t="s">
        <v>29</v>
      </c>
      <c r="C33" s="17" t="s">
        <v>97</v>
      </c>
      <c r="D33" s="7" t="s">
        <v>11</v>
      </c>
      <c r="E33" s="6" t="s">
        <v>12</v>
      </c>
      <c r="F33" s="6" t="s">
        <v>22</v>
      </c>
      <c r="G33" s="6" t="s">
        <v>19</v>
      </c>
      <c r="H33" s="8">
        <v>6</v>
      </c>
      <c r="I33" s="6"/>
      <c r="J33" s="8" t="s">
        <v>14</v>
      </c>
    </row>
    <row r="34" spans="1:10" ht="15" hidden="1" customHeight="1" x14ac:dyDescent="0.25">
      <c r="A34" s="3">
        <v>5</v>
      </c>
      <c r="B34" s="26" t="s">
        <v>23</v>
      </c>
      <c r="C34" s="17" t="s">
        <v>98</v>
      </c>
      <c r="D34" s="7" t="s">
        <v>11</v>
      </c>
      <c r="E34" s="6" t="s">
        <v>12</v>
      </c>
      <c r="F34" s="6" t="s">
        <v>22</v>
      </c>
      <c r="G34" s="6" t="s">
        <v>16</v>
      </c>
      <c r="H34" s="8">
        <v>9</v>
      </c>
      <c r="I34" s="6"/>
      <c r="J34" s="8" t="s">
        <v>14</v>
      </c>
    </row>
    <row r="35" spans="1:10" ht="15" hidden="1" customHeight="1" x14ac:dyDescent="0.25">
      <c r="A35" s="3">
        <v>14</v>
      </c>
      <c r="B35" s="26" t="s">
        <v>24</v>
      </c>
      <c r="C35" s="17" t="s">
        <v>99</v>
      </c>
      <c r="D35" s="7" t="s">
        <v>11</v>
      </c>
      <c r="E35" s="6" t="s">
        <v>12</v>
      </c>
      <c r="F35" s="6" t="s">
        <v>22</v>
      </c>
      <c r="G35" s="6" t="s">
        <v>19</v>
      </c>
      <c r="H35" s="8">
        <v>6</v>
      </c>
      <c r="I35" s="6"/>
      <c r="J35" s="8" t="s">
        <v>14</v>
      </c>
    </row>
    <row r="36" spans="1:10" ht="15" hidden="1" customHeight="1" x14ac:dyDescent="0.25">
      <c r="A36" s="16">
        <v>1</v>
      </c>
      <c r="B36" s="26" t="s">
        <v>34</v>
      </c>
      <c r="C36" s="17" t="s">
        <v>12</v>
      </c>
      <c r="D36" s="7" t="s">
        <v>11</v>
      </c>
      <c r="E36" s="6" t="s">
        <v>12</v>
      </c>
      <c r="F36" s="6" t="s">
        <v>22</v>
      </c>
      <c r="G36" s="6" t="s">
        <v>19</v>
      </c>
      <c r="H36" s="8">
        <v>14</v>
      </c>
      <c r="I36" s="6"/>
      <c r="J36" s="8" t="s">
        <v>14</v>
      </c>
    </row>
    <row r="37" spans="1:10" ht="15" hidden="1" customHeight="1" x14ac:dyDescent="0.25">
      <c r="A37" s="3">
        <v>2</v>
      </c>
      <c r="B37" s="26" t="s">
        <v>37</v>
      </c>
      <c r="C37" s="17" t="s">
        <v>12</v>
      </c>
      <c r="D37" s="7" t="s">
        <v>11</v>
      </c>
      <c r="E37" s="6" t="s">
        <v>12</v>
      </c>
      <c r="F37" s="6" t="s">
        <v>22</v>
      </c>
      <c r="G37" s="6" t="s">
        <v>19</v>
      </c>
      <c r="H37" s="8">
        <v>12</v>
      </c>
      <c r="I37" s="6"/>
      <c r="J37" s="8" t="s">
        <v>14</v>
      </c>
    </row>
    <row r="38" spans="1:10" ht="15" hidden="1" customHeight="1" x14ac:dyDescent="0.25">
      <c r="A38" s="3">
        <v>3</v>
      </c>
      <c r="B38" s="26" t="s">
        <v>38</v>
      </c>
      <c r="C38" s="17" t="s">
        <v>12</v>
      </c>
      <c r="D38" s="7" t="s">
        <v>11</v>
      </c>
      <c r="E38" s="6" t="s">
        <v>12</v>
      </c>
      <c r="F38" s="6" t="s">
        <v>22</v>
      </c>
      <c r="G38" s="6" t="s">
        <v>19</v>
      </c>
      <c r="H38" s="8">
        <v>12</v>
      </c>
      <c r="I38" s="6"/>
      <c r="J38" s="8" t="s">
        <v>14</v>
      </c>
    </row>
    <row r="39" spans="1:10" ht="15" hidden="1" customHeight="1" x14ac:dyDescent="0.25">
      <c r="A39" s="3">
        <v>4</v>
      </c>
      <c r="B39" s="26" t="s">
        <v>39</v>
      </c>
      <c r="C39" s="17" t="s">
        <v>12</v>
      </c>
      <c r="D39" s="7" t="s">
        <v>11</v>
      </c>
      <c r="E39" s="6" t="s">
        <v>12</v>
      </c>
      <c r="F39" s="6" t="s">
        <v>22</v>
      </c>
      <c r="G39" s="6" t="s">
        <v>19</v>
      </c>
      <c r="H39" s="8">
        <v>12</v>
      </c>
      <c r="I39" s="6"/>
      <c r="J39" s="8" t="s">
        <v>14</v>
      </c>
    </row>
    <row r="40" spans="1:10" ht="15" hidden="1" customHeight="1" x14ac:dyDescent="0.25">
      <c r="A40" s="3">
        <v>6</v>
      </c>
      <c r="B40" s="26" t="s">
        <v>25</v>
      </c>
      <c r="C40" s="17" t="s">
        <v>12</v>
      </c>
      <c r="D40" s="7" t="s">
        <v>11</v>
      </c>
      <c r="E40" s="6" t="s">
        <v>12</v>
      </c>
      <c r="F40" s="6" t="s">
        <v>22</v>
      </c>
      <c r="G40" s="6" t="s">
        <v>13</v>
      </c>
      <c r="H40" s="8">
        <v>9</v>
      </c>
      <c r="I40" s="6"/>
      <c r="J40" s="8" t="s">
        <v>14</v>
      </c>
    </row>
    <row r="41" spans="1:10" ht="15" hidden="1" customHeight="1" x14ac:dyDescent="0.25">
      <c r="A41" s="3">
        <v>7</v>
      </c>
      <c r="B41" s="29" t="s">
        <v>49</v>
      </c>
      <c r="C41" s="17" t="s">
        <v>12</v>
      </c>
      <c r="D41" s="7" t="s">
        <v>11</v>
      </c>
      <c r="E41" s="6" t="s">
        <v>12</v>
      </c>
      <c r="F41" s="6" t="s">
        <v>22</v>
      </c>
      <c r="G41" s="24" t="s">
        <v>13</v>
      </c>
      <c r="H41" s="8">
        <v>9</v>
      </c>
      <c r="I41" s="22"/>
      <c r="J41" s="8" t="s">
        <v>14</v>
      </c>
    </row>
    <row r="42" spans="1:10" ht="15" hidden="1" customHeight="1" x14ac:dyDescent="0.25">
      <c r="A42" s="3">
        <v>9</v>
      </c>
      <c r="B42" s="29" t="s">
        <v>50</v>
      </c>
      <c r="C42" s="17" t="s">
        <v>100</v>
      </c>
      <c r="D42" s="7" t="s">
        <v>11</v>
      </c>
      <c r="E42" s="6" t="s">
        <v>12</v>
      </c>
      <c r="F42" s="6" t="s">
        <v>22</v>
      </c>
      <c r="G42" s="6" t="s">
        <v>19</v>
      </c>
      <c r="H42" s="8">
        <v>8</v>
      </c>
      <c r="I42" s="22"/>
      <c r="J42" s="8" t="s">
        <v>14</v>
      </c>
    </row>
    <row r="43" spans="1:10" ht="15" hidden="1" customHeight="1" x14ac:dyDescent="0.25">
      <c r="A43" s="3">
        <v>10</v>
      </c>
      <c r="B43" s="26" t="s">
        <v>36</v>
      </c>
      <c r="C43" s="17" t="s">
        <v>12</v>
      </c>
      <c r="D43" s="7" t="s">
        <v>11</v>
      </c>
      <c r="E43" s="6" t="s">
        <v>12</v>
      </c>
      <c r="F43" s="6" t="s">
        <v>22</v>
      </c>
      <c r="G43" s="6" t="s">
        <v>19</v>
      </c>
      <c r="H43" s="8">
        <v>7</v>
      </c>
      <c r="I43" s="6"/>
      <c r="J43" s="8" t="s">
        <v>14</v>
      </c>
    </row>
    <row r="44" spans="1:10" ht="15" hidden="1" customHeight="1" x14ac:dyDescent="0.25">
      <c r="A44" s="3">
        <v>15</v>
      </c>
      <c r="B44" s="29" t="s">
        <v>18</v>
      </c>
      <c r="C44" s="17" t="s">
        <v>12</v>
      </c>
      <c r="D44" s="5" t="s">
        <v>11</v>
      </c>
      <c r="E44" s="6" t="s">
        <v>12</v>
      </c>
      <c r="F44" s="6" t="s">
        <v>22</v>
      </c>
      <c r="G44" s="6" t="s">
        <v>19</v>
      </c>
      <c r="H44" s="8">
        <v>6</v>
      </c>
      <c r="I44" s="6"/>
      <c r="J44" s="8" t="s">
        <v>14</v>
      </c>
    </row>
    <row r="45" spans="1:10" ht="15" hidden="1" customHeight="1" x14ac:dyDescent="0.25">
      <c r="A45" s="3">
        <v>1</v>
      </c>
      <c r="B45" s="26" t="s">
        <v>27</v>
      </c>
      <c r="C45" s="17" t="s">
        <v>100</v>
      </c>
      <c r="D45" s="7" t="s">
        <v>11</v>
      </c>
      <c r="E45" s="6" t="s">
        <v>12</v>
      </c>
      <c r="F45" s="6" t="s">
        <v>22</v>
      </c>
      <c r="G45" s="6" t="s">
        <v>19</v>
      </c>
      <c r="H45" s="8">
        <v>9</v>
      </c>
      <c r="I45" s="6"/>
      <c r="J45" s="8" t="s">
        <v>14</v>
      </c>
    </row>
    <row r="46" spans="1:10" ht="15" hidden="1" customHeight="1" x14ac:dyDescent="0.25">
      <c r="A46" s="3">
        <v>2</v>
      </c>
      <c r="B46" s="26" t="s">
        <v>28</v>
      </c>
      <c r="C46" s="17" t="s">
        <v>101</v>
      </c>
      <c r="D46" s="7" t="s">
        <v>11</v>
      </c>
      <c r="E46" s="6" t="s">
        <v>12</v>
      </c>
      <c r="F46" s="6" t="s">
        <v>22</v>
      </c>
      <c r="G46" s="6" t="s">
        <v>19</v>
      </c>
      <c r="H46" s="8">
        <v>8</v>
      </c>
      <c r="I46" s="6"/>
      <c r="J46" s="8" t="s">
        <v>14</v>
      </c>
    </row>
    <row r="47" spans="1:10" ht="15" hidden="1" customHeight="1" x14ac:dyDescent="0.25">
      <c r="A47" s="3">
        <v>3</v>
      </c>
      <c r="B47" s="29" t="s">
        <v>17</v>
      </c>
      <c r="C47" s="17" t="s">
        <v>101</v>
      </c>
      <c r="D47" s="5" t="s">
        <v>11</v>
      </c>
      <c r="E47" s="6" t="s">
        <v>12</v>
      </c>
      <c r="F47" s="6" t="s">
        <v>22</v>
      </c>
      <c r="G47" s="6" t="s">
        <v>16</v>
      </c>
      <c r="H47" s="8">
        <v>8</v>
      </c>
      <c r="I47" s="6"/>
      <c r="J47" s="8" t="s">
        <v>14</v>
      </c>
    </row>
    <row r="48" spans="1:10" ht="15" hidden="1" customHeight="1" x14ac:dyDescent="0.25">
      <c r="A48" s="3">
        <v>4</v>
      </c>
      <c r="B48" s="28" t="s">
        <v>45</v>
      </c>
      <c r="C48" s="17" t="s">
        <v>102</v>
      </c>
      <c r="D48" s="7" t="s">
        <v>11</v>
      </c>
      <c r="E48" s="6" t="s">
        <v>12</v>
      </c>
      <c r="F48" s="6" t="s">
        <v>22</v>
      </c>
      <c r="G48" s="6" t="s">
        <v>19</v>
      </c>
      <c r="H48" s="8">
        <v>8</v>
      </c>
      <c r="I48" s="6"/>
      <c r="J48" s="8" t="s">
        <v>14</v>
      </c>
    </row>
    <row r="49" spans="1:10" ht="15" hidden="1" customHeight="1" x14ac:dyDescent="0.25">
      <c r="A49" s="3">
        <v>6</v>
      </c>
      <c r="B49" s="29" t="s">
        <v>20</v>
      </c>
      <c r="C49" s="17" t="s">
        <v>101</v>
      </c>
      <c r="D49" s="5" t="s">
        <v>11</v>
      </c>
      <c r="E49" s="6" t="s">
        <v>12</v>
      </c>
      <c r="F49" s="6" t="s">
        <v>22</v>
      </c>
      <c r="G49" s="6" t="s">
        <v>19</v>
      </c>
      <c r="H49" s="8">
        <v>7</v>
      </c>
      <c r="I49" s="6"/>
      <c r="J49" s="8" t="s">
        <v>14</v>
      </c>
    </row>
    <row r="50" spans="1:10" ht="15" hidden="1" customHeight="1" x14ac:dyDescent="0.25">
      <c r="A50" s="3">
        <v>8</v>
      </c>
      <c r="B50" s="28" t="s">
        <v>46</v>
      </c>
      <c r="C50" s="17" t="s">
        <v>101</v>
      </c>
      <c r="D50" s="21" t="s">
        <v>11</v>
      </c>
      <c r="E50" s="21" t="s">
        <v>12</v>
      </c>
      <c r="F50" s="6" t="s">
        <v>22</v>
      </c>
      <c r="G50" s="6" t="s">
        <v>16</v>
      </c>
      <c r="H50" s="8">
        <v>5</v>
      </c>
      <c r="I50" s="23"/>
      <c r="J50" s="8" t="s">
        <v>14</v>
      </c>
    </row>
    <row r="51" spans="1:10" ht="14.45" hidden="1" customHeight="1" x14ac:dyDescent="0.25">
      <c r="A51" s="3">
        <v>10</v>
      </c>
      <c r="B51" s="27" t="s">
        <v>10</v>
      </c>
      <c r="C51" s="17" t="s">
        <v>104</v>
      </c>
      <c r="D51" s="5" t="s">
        <v>11</v>
      </c>
      <c r="E51" s="6" t="s">
        <v>12</v>
      </c>
      <c r="F51" s="6" t="s">
        <v>22</v>
      </c>
      <c r="G51" s="6" t="s">
        <v>13</v>
      </c>
      <c r="H51" s="8">
        <v>3</v>
      </c>
      <c r="I51" s="6"/>
      <c r="J51" s="8" t="s">
        <v>14</v>
      </c>
    </row>
    <row r="52" spans="1:10" ht="14.45" hidden="1" customHeight="1" x14ac:dyDescent="0.25">
      <c r="A52" s="3">
        <v>1</v>
      </c>
      <c r="B52" s="29" t="s">
        <v>15</v>
      </c>
      <c r="C52" s="17" t="s">
        <v>103</v>
      </c>
      <c r="D52" s="5" t="s">
        <v>11</v>
      </c>
      <c r="E52" s="6" t="s">
        <v>12</v>
      </c>
      <c r="F52" s="6" t="s">
        <v>22</v>
      </c>
      <c r="G52" s="6" t="s">
        <v>16</v>
      </c>
      <c r="H52" s="8">
        <v>7</v>
      </c>
      <c r="I52" s="6"/>
      <c r="J52" s="8" t="s">
        <v>14</v>
      </c>
    </row>
    <row r="53" spans="1:10" ht="14.45" hidden="1" customHeight="1" x14ac:dyDescent="0.25">
      <c r="A53" s="3">
        <v>2</v>
      </c>
      <c r="B53" s="28" t="s">
        <v>47</v>
      </c>
      <c r="C53" s="17" t="s">
        <v>103</v>
      </c>
      <c r="D53" s="21" t="s">
        <v>11</v>
      </c>
      <c r="E53" s="21" t="s">
        <v>12</v>
      </c>
      <c r="F53" s="6" t="s">
        <v>22</v>
      </c>
      <c r="G53" s="24" t="s">
        <v>13</v>
      </c>
      <c r="H53" s="8">
        <v>5</v>
      </c>
      <c r="I53" s="23"/>
      <c r="J53" s="8" t="s">
        <v>14</v>
      </c>
    </row>
    <row r="54" spans="1:10" ht="14.45" hidden="1" customHeight="1" x14ac:dyDescent="0.25">
      <c r="A54" s="3">
        <v>3</v>
      </c>
      <c r="B54" s="28" t="s">
        <v>41</v>
      </c>
      <c r="C54" s="17" t="s">
        <v>103</v>
      </c>
      <c r="D54" s="7" t="s">
        <v>11</v>
      </c>
      <c r="E54" s="6" t="s">
        <v>12</v>
      </c>
      <c r="F54" s="6" t="s">
        <v>22</v>
      </c>
      <c r="G54" s="6" t="s">
        <v>16</v>
      </c>
      <c r="H54" s="8">
        <v>4</v>
      </c>
      <c r="I54" s="6"/>
      <c r="J54" s="8" t="s">
        <v>14</v>
      </c>
    </row>
    <row r="55" spans="1:10" ht="0.6" hidden="1" customHeight="1" x14ac:dyDescent="0.25">
      <c r="A55" s="3">
        <v>4</v>
      </c>
      <c r="B55" s="28" t="s">
        <v>42</v>
      </c>
      <c r="C55" s="17" t="s">
        <v>103</v>
      </c>
      <c r="D55" s="7" t="s">
        <v>11</v>
      </c>
      <c r="E55" s="6" t="s">
        <v>12</v>
      </c>
      <c r="F55" s="6" t="s">
        <v>22</v>
      </c>
      <c r="G55" s="6" t="s">
        <v>16</v>
      </c>
      <c r="H55" s="8">
        <v>3</v>
      </c>
      <c r="I55" s="6"/>
      <c r="J55" s="8" t="s">
        <v>14</v>
      </c>
    </row>
    <row r="56" spans="1:10" ht="14.45" hidden="1" customHeight="1" x14ac:dyDescent="0.25">
      <c r="A56" s="3">
        <v>5</v>
      </c>
      <c r="B56" s="30" t="s">
        <v>43</v>
      </c>
      <c r="C56" s="17" t="s">
        <v>103</v>
      </c>
      <c r="D56" s="7" t="s">
        <v>11</v>
      </c>
      <c r="E56" s="6" t="s">
        <v>12</v>
      </c>
      <c r="F56" s="6" t="s">
        <v>22</v>
      </c>
      <c r="G56" s="6" t="s">
        <v>13</v>
      </c>
      <c r="H56" s="24">
        <v>2</v>
      </c>
      <c r="I56" s="6"/>
      <c r="J56" s="8" t="s">
        <v>14</v>
      </c>
    </row>
    <row r="57" spans="1:10" ht="14.45" hidden="1" customHeight="1" x14ac:dyDescent="0.25">
      <c r="A57" s="3">
        <v>1</v>
      </c>
      <c r="B57" s="30" t="s">
        <v>54</v>
      </c>
      <c r="C57" s="17" t="s">
        <v>33</v>
      </c>
      <c r="D57" s="7" t="s">
        <v>11</v>
      </c>
      <c r="E57" s="7" t="s">
        <v>12</v>
      </c>
      <c r="F57" s="24" t="s">
        <v>22</v>
      </c>
      <c r="G57" s="24" t="s">
        <v>16</v>
      </c>
      <c r="H57" s="24">
        <v>5</v>
      </c>
      <c r="I57" s="22"/>
      <c r="J57" s="8" t="s">
        <v>14</v>
      </c>
    </row>
    <row r="60" spans="1:10" ht="15.75" x14ac:dyDescent="0.25">
      <c r="A60" s="113" t="s">
        <v>30</v>
      </c>
      <c r="B60" s="113"/>
      <c r="C60" s="113"/>
      <c r="D60" s="113"/>
      <c r="E60" s="113"/>
      <c r="F60" s="113"/>
      <c r="G60" s="113"/>
      <c r="H60" s="113"/>
      <c r="I60" s="113"/>
      <c r="J60" s="113"/>
    </row>
    <row r="61" spans="1:10" ht="29.45" customHeight="1" x14ac:dyDescent="0.25">
      <c r="A61" s="14" t="s">
        <v>1</v>
      </c>
      <c r="B61" s="15" t="s">
        <v>2</v>
      </c>
      <c r="C61" s="15" t="s">
        <v>40</v>
      </c>
      <c r="D61" s="15" t="s">
        <v>4</v>
      </c>
      <c r="E61" s="15" t="s">
        <v>5</v>
      </c>
      <c r="F61" s="15" t="s">
        <v>6</v>
      </c>
      <c r="G61" s="15" t="s">
        <v>7</v>
      </c>
      <c r="H61" s="15" t="s">
        <v>8</v>
      </c>
      <c r="I61" s="15" t="s">
        <v>31</v>
      </c>
      <c r="J61" s="15" t="s">
        <v>9</v>
      </c>
    </row>
    <row r="62" spans="1:10" x14ac:dyDescent="0.25">
      <c r="A62" s="3">
        <v>1</v>
      </c>
      <c r="B62" s="30" t="s">
        <v>58</v>
      </c>
      <c r="C62" s="17" t="s">
        <v>33</v>
      </c>
      <c r="D62" s="21" t="s">
        <v>11</v>
      </c>
      <c r="E62" s="7" t="s">
        <v>56</v>
      </c>
      <c r="F62" s="24" t="s">
        <v>22</v>
      </c>
      <c r="G62" s="7" t="s">
        <v>16</v>
      </c>
      <c r="H62" s="24">
        <v>6</v>
      </c>
      <c r="I62" s="24"/>
      <c r="J62" s="8" t="s">
        <v>57</v>
      </c>
    </row>
    <row r="63" spans="1:10" x14ac:dyDescent="0.25">
      <c r="A63" s="3">
        <v>2</v>
      </c>
      <c r="B63" s="7" t="s">
        <v>26</v>
      </c>
      <c r="C63" s="17" t="s">
        <v>33</v>
      </c>
      <c r="D63" s="7" t="s">
        <v>11</v>
      </c>
      <c r="E63" s="6" t="s">
        <v>12</v>
      </c>
      <c r="F63" s="6" t="s">
        <v>22</v>
      </c>
      <c r="G63" s="6" t="s">
        <v>16</v>
      </c>
      <c r="H63" s="24">
        <v>5</v>
      </c>
      <c r="I63" s="6"/>
      <c r="J63" s="8" t="s">
        <v>14</v>
      </c>
    </row>
    <row r="64" spans="1:10" x14ac:dyDescent="0.25">
      <c r="A64" s="32">
        <v>3</v>
      </c>
      <c r="B64" s="30" t="s">
        <v>55</v>
      </c>
      <c r="C64" s="17" t="s">
        <v>33</v>
      </c>
      <c r="D64" s="21" t="s">
        <v>11</v>
      </c>
      <c r="E64" s="7" t="s">
        <v>56</v>
      </c>
      <c r="F64" s="24" t="s">
        <v>22</v>
      </c>
      <c r="G64" s="7" t="s">
        <v>16</v>
      </c>
      <c r="H64" s="24">
        <v>5</v>
      </c>
      <c r="I64" s="24"/>
      <c r="J64" s="8" t="s">
        <v>57</v>
      </c>
    </row>
    <row r="65" spans="1:10" x14ac:dyDescent="0.25">
      <c r="A65" s="32">
        <v>4</v>
      </c>
      <c r="B65" s="30" t="s">
        <v>60</v>
      </c>
      <c r="C65" s="17" t="s">
        <v>33</v>
      </c>
      <c r="D65" s="24" t="s">
        <v>11</v>
      </c>
      <c r="E65" s="7" t="s">
        <v>56</v>
      </c>
      <c r="F65" s="24" t="s">
        <v>22</v>
      </c>
      <c r="G65" s="7" t="s">
        <v>16</v>
      </c>
      <c r="H65" s="24">
        <v>5</v>
      </c>
      <c r="I65" s="24"/>
      <c r="J65" s="8" t="s">
        <v>57</v>
      </c>
    </row>
    <row r="66" spans="1:10" x14ac:dyDescent="0.25">
      <c r="A66" s="32">
        <v>5</v>
      </c>
      <c r="B66" s="33" t="s">
        <v>92</v>
      </c>
      <c r="C66" s="17" t="s">
        <v>33</v>
      </c>
      <c r="D66" s="24" t="s">
        <v>11</v>
      </c>
      <c r="E66" s="7" t="s">
        <v>56</v>
      </c>
      <c r="F66" s="24" t="s">
        <v>22</v>
      </c>
      <c r="G66" s="24" t="s">
        <v>16</v>
      </c>
      <c r="H66" s="24">
        <v>5</v>
      </c>
      <c r="I66" s="22"/>
      <c r="J66" s="24" t="s">
        <v>57</v>
      </c>
    </row>
    <row r="67" spans="1:10" x14ac:dyDescent="0.25">
      <c r="A67" s="32">
        <v>6</v>
      </c>
      <c r="B67" s="33" t="s">
        <v>93</v>
      </c>
      <c r="C67" s="17" t="s">
        <v>33</v>
      </c>
      <c r="D67" s="24" t="s">
        <v>11</v>
      </c>
      <c r="E67" s="7" t="s">
        <v>56</v>
      </c>
      <c r="F67" s="24" t="s">
        <v>22</v>
      </c>
      <c r="G67" s="24" t="s">
        <v>16</v>
      </c>
      <c r="H67" s="24">
        <v>5</v>
      </c>
      <c r="I67" s="22"/>
      <c r="J67" s="24" t="s">
        <v>57</v>
      </c>
    </row>
    <row r="68" spans="1:10" x14ac:dyDescent="0.25">
      <c r="A68" s="32">
        <v>7</v>
      </c>
      <c r="B68" s="30" t="s">
        <v>62</v>
      </c>
      <c r="C68" s="17" t="s">
        <v>33</v>
      </c>
      <c r="D68" s="24" t="s">
        <v>11</v>
      </c>
      <c r="E68" s="7" t="s">
        <v>56</v>
      </c>
      <c r="F68" s="24" t="s">
        <v>22</v>
      </c>
      <c r="G68" s="7" t="s">
        <v>16</v>
      </c>
      <c r="H68" s="24">
        <v>4</v>
      </c>
      <c r="I68" s="24"/>
      <c r="J68" s="8" t="s">
        <v>57</v>
      </c>
    </row>
    <row r="69" spans="1:10" x14ac:dyDescent="0.25">
      <c r="A69" s="32">
        <v>8</v>
      </c>
      <c r="B69" s="30" t="s">
        <v>59</v>
      </c>
      <c r="C69" s="17" t="s">
        <v>33</v>
      </c>
      <c r="D69" s="24" t="s">
        <v>11</v>
      </c>
      <c r="E69" s="7" t="s">
        <v>56</v>
      </c>
      <c r="F69" s="24" t="s">
        <v>22</v>
      </c>
      <c r="G69" s="7" t="s">
        <v>16</v>
      </c>
      <c r="H69" s="24">
        <v>4</v>
      </c>
      <c r="I69" s="24"/>
      <c r="J69" s="8" t="s">
        <v>57</v>
      </c>
    </row>
    <row r="70" spans="1:10" x14ac:dyDescent="0.25">
      <c r="A70" s="32">
        <v>9</v>
      </c>
      <c r="B70" s="33" t="s">
        <v>81</v>
      </c>
      <c r="C70" s="17" t="s">
        <v>33</v>
      </c>
      <c r="D70" s="24" t="s">
        <v>11</v>
      </c>
      <c r="E70" s="7" t="s">
        <v>56</v>
      </c>
      <c r="F70" s="7" t="s">
        <v>22</v>
      </c>
      <c r="G70" s="24" t="s">
        <v>16</v>
      </c>
      <c r="H70" s="24">
        <v>3</v>
      </c>
      <c r="I70" s="22"/>
      <c r="J70" s="24" t="s">
        <v>57</v>
      </c>
    </row>
    <row r="71" spans="1:10" x14ac:dyDescent="0.25">
      <c r="A71" s="32">
        <v>10</v>
      </c>
      <c r="B71" s="30" t="s">
        <v>63</v>
      </c>
      <c r="C71" s="17" t="s">
        <v>33</v>
      </c>
      <c r="D71" s="24" t="s">
        <v>11</v>
      </c>
      <c r="E71" s="7" t="s">
        <v>56</v>
      </c>
      <c r="F71" s="24" t="s">
        <v>22</v>
      </c>
      <c r="G71" s="7" t="s">
        <v>16</v>
      </c>
      <c r="H71" s="24">
        <v>3</v>
      </c>
      <c r="I71" s="24"/>
      <c r="J71" s="8" t="s">
        <v>57</v>
      </c>
    </row>
    <row r="72" spans="1:10" x14ac:dyDescent="0.25">
      <c r="A72" s="32">
        <v>11</v>
      </c>
      <c r="B72" s="30" t="s">
        <v>61</v>
      </c>
      <c r="C72" s="17" t="s">
        <v>33</v>
      </c>
      <c r="D72" s="24" t="s">
        <v>11</v>
      </c>
      <c r="E72" s="7" t="s">
        <v>56</v>
      </c>
      <c r="F72" s="24" t="s">
        <v>22</v>
      </c>
      <c r="G72" s="7" t="s">
        <v>16</v>
      </c>
      <c r="H72" s="24">
        <v>3</v>
      </c>
      <c r="I72" s="24"/>
      <c r="J72" s="8" t="s">
        <v>57</v>
      </c>
    </row>
    <row r="73" spans="1:10" x14ac:dyDescent="0.25">
      <c r="A73" s="32">
        <v>1</v>
      </c>
      <c r="B73" s="33" t="s">
        <v>77</v>
      </c>
      <c r="C73" s="17" t="s">
        <v>110</v>
      </c>
      <c r="D73" s="24" t="s">
        <v>11</v>
      </c>
      <c r="E73" s="7" t="s">
        <v>56</v>
      </c>
      <c r="F73" s="7" t="s">
        <v>22</v>
      </c>
      <c r="G73" s="24" t="s">
        <v>16</v>
      </c>
      <c r="H73" s="24">
        <v>3</v>
      </c>
      <c r="I73" s="22"/>
      <c r="J73" s="24" t="s">
        <v>57</v>
      </c>
    </row>
    <row r="74" spans="1:10" x14ac:dyDescent="0.25">
      <c r="A74" s="32">
        <v>12</v>
      </c>
      <c r="B74" s="33" t="s">
        <v>80</v>
      </c>
      <c r="C74" s="17" t="s">
        <v>33</v>
      </c>
      <c r="D74" s="24" t="s">
        <v>11</v>
      </c>
      <c r="E74" s="7" t="s">
        <v>56</v>
      </c>
      <c r="F74" s="7" t="s">
        <v>22</v>
      </c>
      <c r="G74" s="24" t="s">
        <v>16</v>
      </c>
      <c r="H74" s="24">
        <v>2</v>
      </c>
      <c r="I74" s="22"/>
      <c r="J74" s="24" t="s">
        <v>57</v>
      </c>
    </row>
    <row r="75" spans="1:10" x14ac:dyDescent="0.25">
      <c r="A75" s="32">
        <v>13</v>
      </c>
      <c r="B75" s="33" t="s">
        <v>82</v>
      </c>
      <c r="C75" s="17" t="s">
        <v>33</v>
      </c>
      <c r="D75" s="24" t="s">
        <v>11</v>
      </c>
      <c r="E75" s="7" t="s">
        <v>56</v>
      </c>
      <c r="F75" s="7" t="s">
        <v>22</v>
      </c>
      <c r="G75" s="24" t="s">
        <v>16</v>
      </c>
      <c r="H75" s="24">
        <v>2</v>
      </c>
      <c r="I75" s="22"/>
      <c r="J75" s="24" t="s">
        <v>57</v>
      </c>
    </row>
    <row r="76" spans="1:10" x14ac:dyDescent="0.25">
      <c r="A76" s="32">
        <v>14</v>
      </c>
      <c r="B76" s="33" t="s">
        <v>87</v>
      </c>
      <c r="C76" s="17" t="s">
        <v>33</v>
      </c>
      <c r="D76" s="24" t="s">
        <v>11</v>
      </c>
      <c r="E76" s="7" t="s">
        <v>56</v>
      </c>
      <c r="F76" s="7" t="s">
        <v>22</v>
      </c>
      <c r="G76" s="24" t="s">
        <v>16</v>
      </c>
      <c r="H76" s="24">
        <v>2</v>
      </c>
      <c r="I76" s="22"/>
      <c r="J76" s="24" t="s">
        <v>57</v>
      </c>
    </row>
    <row r="77" spans="1:10" x14ac:dyDescent="0.25">
      <c r="A77" s="32">
        <v>15</v>
      </c>
      <c r="B77" s="33" t="s">
        <v>75</v>
      </c>
      <c r="C77" s="17" t="s">
        <v>33</v>
      </c>
      <c r="D77" s="24" t="s">
        <v>11</v>
      </c>
      <c r="E77" s="7" t="s">
        <v>56</v>
      </c>
      <c r="F77" s="7" t="s">
        <v>22</v>
      </c>
      <c r="G77" s="24" t="s">
        <v>16</v>
      </c>
      <c r="H77" s="24">
        <v>2</v>
      </c>
      <c r="I77" s="22"/>
      <c r="J77" s="24" t="s">
        <v>57</v>
      </c>
    </row>
    <row r="78" spans="1:10" x14ac:dyDescent="0.25">
      <c r="A78" s="32">
        <v>16</v>
      </c>
      <c r="B78" s="33" t="s">
        <v>78</v>
      </c>
      <c r="C78" s="17" t="s">
        <v>33</v>
      </c>
      <c r="D78" s="24" t="s">
        <v>11</v>
      </c>
      <c r="E78" s="7" t="s">
        <v>56</v>
      </c>
      <c r="F78" s="7" t="s">
        <v>22</v>
      </c>
      <c r="G78" s="24" t="s">
        <v>16</v>
      </c>
      <c r="H78" s="24">
        <v>2</v>
      </c>
      <c r="I78" s="22"/>
      <c r="J78" s="24" t="s">
        <v>57</v>
      </c>
    </row>
    <row r="79" spans="1:10" x14ac:dyDescent="0.25">
      <c r="A79" s="32">
        <v>17</v>
      </c>
      <c r="B79" s="33" t="s">
        <v>79</v>
      </c>
      <c r="C79" s="17" t="s">
        <v>33</v>
      </c>
      <c r="D79" s="24" t="s">
        <v>11</v>
      </c>
      <c r="E79" s="7" t="s">
        <v>56</v>
      </c>
      <c r="F79" s="7" t="s">
        <v>22</v>
      </c>
      <c r="G79" s="24" t="s">
        <v>16</v>
      </c>
      <c r="H79" s="24">
        <v>2</v>
      </c>
      <c r="I79" s="22"/>
      <c r="J79" s="24" t="s">
        <v>57</v>
      </c>
    </row>
    <row r="80" spans="1:10" x14ac:dyDescent="0.25">
      <c r="A80" s="32">
        <v>18</v>
      </c>
      <c r="B80" s="33" t="s">
        <v>88</v>
      </c>
      <c r="C80" s="17" t="s">
        <v>33</v>
      </c>
      <c r="D80" s="24" t="s">
        <v>11</v>
      </c>
      <c r="E80" s="7" t="s">
        <v>56</v>
      </c>
      <c r="F80" s="7" t="s">
        <v>22</v>
      </c>
      <c r="G80" s="24" t="s">
        <v>16</v>
      </c>
      <c r="H80" s="24">
        <v>2</v>
      </c>
      <c r="I80" s="22"/>
      <c r="J80" s="24" t="s">
        <v>57</v>
      </c>
    </row>
    <row r="81" spans="1:10" x14ac:dyDescent="0.25">
      <c r="A81" s="32">
        <v>19</v>
      </c>
      <c r="B81" s="33" t="s">
        <v>72</v>
      </c>
      <c r="C81" s="17" t="s">
        <v>33</v>
      </c>
      <c r="D81" s="24" t="s">
        <v>11</v>
      </c>
      <c r="E81" s="7" t="s">
        <v>56</v>
      </c>
      <c r="F81" s="7" t="s">
        <v>22</v>
      </c>
      <c r="G81" s="24" t="s">
        <v>16</v>
      </c>
      <c r="H81" s="24">
        <v>2</v>
      </c>
      <c r="I81" s="22"/>
      <c r="J81" s="24" t="s">
        <v>57</v>
      </c>
    </row>
    <row r="82" spans="1:10" ht="12.6" customHeight="1" x14ac:dyDescent="0.25"/>
  </sheetData>
  <mergeCells count="6">
    <mergeCell ref="A60:J60"/>
    <mergeCell ref="A1:J1"/>
    <mergeCell ref="A5:J5"/>
    <mergeCell ref="A11:J11"/>
    <mergeCell ref="A19:J19"/>
    <mergeCell ref="A29:J29"/>
  </mergeCells>
  <conditionalFormatting sqref="A27:A28">
    <cfRule type="duplicateValues" dxfId="2322" priority="22"/>
  </conditionalFormatting>
  <conditionalFormatting sqref="B1:B1048576">
    <cfRule type="duplicateValues" dxfId="2321" priority="1"/>
  </conditionalFormatting>
  <conditionalFormatting sqref="B8:B9">
    <cfRule type="duplicateValues" dxfId="2320" priority="4"/>
  </conditionalFormatting>
  <conditionalFormatting sqref="B10">
    <cfRule type="duplicateValues" dxfId="2319" priority="53"/>
    <cfRule type="duplicateValues" dxfId="2318" priority="54"/>
    <cfRule type="duplicateValues" dxfId="2317" priority="55"/>
    <cfRule type="duplicateValues" dxfId="2316" priority="56"/>
    <cfRule type="duplicateValues" dxfId="2315" priority="57"/>
    <cfRule type="duplicateValues" dxfId="2314" priority="58"/>
    <cfRule type="duplicateValues" dxfId="2313" priority="59"/>
    <cfRule type="duplicateValues" dxfId="2312" priority="60"/>
    <cfRule type="duplicateValues" dxfId="2311" priority="61"/>
    <cfRule type="duplicateValues" dxfId="2310" priority="62"/>
    <cfRule type="duplicateValues" dxfId="2309" priority="63"/>
    <cfRule type="duplicateValues" dxfId="2308" priority="64"/>
    <cfRule type="duplicateValues" dxfId="2307" priority="65"/>
    <cfRule type="duplicateValues" dxfId="2306" priority="66"/>
    <cfRule type="duplicateValues" dxfId="2305" priority="67"/>
    <cfRule type="duplicateValues" dxfId="2304" priority="68"/>
    <cfRule type="duplicateValues" dxfId="2303" priority="69" stopIfTrue="1"/>
  </conditionalFormatting>
  <conditionalFormatting sqref="B53 B50">
    <cfRule type="duplicateValues" dxfId="2302" priority="23"/>
    <cfRule type="duplicateValues" dxfId="2301" priority="24"/>
    <cfRule type="duplicateValues" dxfId="2300" priority="25"/>
  </conditionalFormatting>
  <conditionalFormatting sqref="B54:B56 B51:B52 B47:B49 B44 B17:B18 B3">
    <cfRule type="duplicateValues" dxfId="2299" priority="27"/>
    <cfRule type="duplicateValues" dxfId="2298" priority="28" stopIfTrue="1"/>
  </conditionalFormatting>
  <conditionalFormatting sqref="B57 B21">
    <cfRule type="duplicateValues" dxfId="2297" priority="26"/>
  </conditionalFormatting>
  <conditionalFormatting sqref="B62">
    <cfRule type="duplicateValues" dxfId="2296" priority="17"/>
    <cfRule type="duplicateValues" dxfId="2295" priority="18"/>
    <cfRule type="duplicateValues" dxfId="2294" priority="19"/>
  </conditionalFormatting>
  <conditionalFormatting sqref="B63 B30:B40 B4 B2 B12 B58:B59 B43 B61 B45:B46 B27:B28 B20 B6">
    <cfRule type="duplicateValues" dxfId="2293" priority="29" stopIfTrue="1"/>
  </conditionalFormatting>
  <conditionalFormatting sqref="B64">
    <cfRule type="duplicateValues" dxfId="2292" priority="20"/>
    <cfRule type="duplicateValues" dxfId="2291" priority="21"/>
  </conditionalFormatting>
  <conditionalFormatting sqref="B66:B67">
    <cfRule type="duplicateValues" dxfId="2290" priority="7"/>
    <cfRule type="duplicateValues" dxfId="2289" priority="8"/>
    <cfRule type="duplicateValues" dxfId="2288" priority="9"/>
    <cfRule type="duplicateValues" dxfId="2287" priority="10"/>
    <cfRule type="duplicateValues" dxfId="2286" priority="11"/>
    <cfRule type="duplicateValues" dxfId="2285" priority="12"/>
  </conditionalFormatting>
  <conditionalFormatting sqref="B70 B13:B16 B22:B25 B73:B81 B7">
    <cfRule type="duplicateValues" dxfId="2284" priority="2878"/>
    <cfRule type="duplicateValues" dxfId="2283" priority="2879"/>
    <cfRule type="duplicateValues" dxfId="2282" priority="2880"/>
    <cfRule type="duplicateValues" dxfId="2281" priority="2881"/>
  </conditionalFormatting>
  <conditionalFormatting sqref="B71:B72 B68:B69 B64:B65">
    <cfRule type="duplicateValues" dxfId="2280" priority="30"/>
  </conditionalFormatting>
  <conditionalFormatting sqref="B71:B72 B68:B69 B65">
    <cfRule type="duplicateValues" dxfId="2279" priority="31"/>
    <cfRule type="duplicateValues" dxfId="2278" priority="32"/>
  </conditionalFormatting>
  <conditionalFormatting sqref="B84:B1048576 B10:B65 B68:B82 B1:B7">
    <cfRule type="duplicateValues" dxfId="2277" priority="2820"/>
  </conditionalFormatting>
  <conditionalFormatting sqref="B84:B1048576 B10:B82 B1:B7">
    <cfRule type="duplicateValues" dxfId="2276" priority="2825"/>
  </conditionalFormatting>
  <conditionalFormatting sqref="B84:B1048576 B27:B65 B68:B69 B71:B72 B82 B11:B12 B17:B21 B1:B6">
    <cfRule type="duplicateValues" dxfId="2275" priority="2843"/>
    <cfRule type="duplicateValues" dxfId="2274" priority="2844"/>
    <cfRule type="duplicateValues" dxfId="2273" priority="2845"/>
    <cfRule type="duplicateValues" dxfId="2272" priority="2846"/>
    <cfRule type="duplicateValues" dxfId="2271" priority="2847"/>
    <cfRule type="duplicateValues" dxfId="2270" priority="2848"/>
    <cfRule type="duplicateValues" dxfId="2269" priority="2849"/>
  </conditionalFormatting>
  <conditionalFormatting sqref="B84:B1048576 B82 B27:B49 B54:B56 B58:B61 B51:B52 B17:B20 B63 B11:B12 B1:B6">
    <cfRule type="duplicateValues" dxfId="2268" priority="2734"/>
    <cfRule type="duplicateValues" dxfId="2267" priority="2735"/>
    <cfRule type="duplicateValues" dxfId="2266" priority="2736"/>
  </conditionalFormatting>
  <conditionalFormatting sqref="B84:B1048576 B82 B27:B56 B58:B61 B17:B20 B63 B11:B12 B1:B6">
    <cfRule type="duplicateValues" dxfId="2265" priority="2767"/>
    <cfRule type="duplicateValues" dxfId="2264" priority="2768"/>
    <cfRule type="duplicateValues" dxfId="2263" priority="2769"/>
    <cfRule type="duplicateValues" dxfId="2262" priority="2770"/>
  </conditionalFormatting>
  <conditionalFormatting sqref="B84:B1048576 B82 B27:B61 B63 B11:B12 B17:B21 B1:B6">
    <cfRule type="duplicateValues" dxfId="2261" priority="2834"/>
  </conditionalFormatting>
  <conditionalFormatting sqref="B84:B1048576 B82 B58:B61 B27:B33 B41:B43 B36:B39 B17:B19">
    <cfRule type="duplicateValues" dxfId="2260" priority="2803"/>
  </conditionalFormatting>
  <conditionalFormatting sqref="B84:B1048576 B82">
    <cfRule type="duplicateValues" dxfId="2259" priority="2811"/>
    <cfRule type="duplicateValues" dxfId="2258" priority="2812"/>
    <cfRule type="duplicateValues" dxfId="2257" priority="2813"/>
  </conditionalFormatting>
  <conditionalFormatting sqref="B84:B1048576">
    <cfRule type="duplicateValues" dxfId="2256" priority="2829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E02-F322-4878-944B-C7FC3676651C}">
  <dimension ref="A1:J59"/>
  <sheetViews>
    <sheetView topLeftCell="A58" workbookViewId="0">
      <selection activeCell="B7" sqref="B7"/>
    </sheetView>
  </sheetViews>
  <sheetFormatPr defaultRowHeight="15" x14ac:dyDescent="0.25"/>
  <cols>
    <col min="2" max="2" width="9.85546875" bestFit="1" customWidth="1"/>
    <col min="3" max="3" width="17" customWidth="1"/>
    <col min="4" max="4" width="11" customWidth="1"/>
    <col min="5" max="5" width="21" bestFit="1" customWidth="1"/>
    <col min="7" max="7" width="22.42578125" bestFit="1" customWidth="1"/>
    <col min="9" max="9" width="9.28515625" bestFit="1" customWidth="1"/>
  </cols>
  <sheetData>
    <row r="1" spans="1:10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hidden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0" hidden="1" x14ac:dyDescent="0.25"/>
    <row r="5" spans="1:10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ht="15.75" x14ac:dyDescent="0.25">
      <c r="A6" s="1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0" s="37" customFormat="1" x14ac:dyDescent="0.25">
      <c r="A7" s="8">
        <v>1</v>
      </c>
      <c r="B7" s="21" t="s">
        <v>141</v>
      </c>
      <c r="C7" s="36" t="s">
        <v>0</v>
      </c>
      <c r="D7" s="24" t="s">
        <v>122</v>
      </c>
      <c r="E7" s="7" t="s">
        <v>123</v>
      </c>
      <c r="F7" s="7" t="s">
        <v>22</v>
      </c>
      <c r="G7" s="7" t="s">
        <v>124</v>
      </c>
      <c r="H7" s="24"/>
      <c r="I7" s="24"/>
      <c r="J7" s="24" t="s">
        <v>57</v>
      </c>
    </row>
    <row r="8" spans="1:10" s="37" customFormat="1" x14ac:dyDescent="0.25">
      <c r="A8" s="8">
        <v>2</v>
      </c>
      <c r="B8" s="21" t="s">
        <v>137</v>
      </c>
      <c r="C8" s="36" t="s">
        <v>0</v>
      </c>
      <c r="D8" s="24" t="s">
        <v>122</v>
      </c>
      <c r="E8" s="7" t="s">
        <v>123</v>
      </c>
      <c r="F8" s="7" t="s">
        <v>22</v>
      </c>
      <c r="G8" s="7" t="s">
        <v>124</v>
      </c>
      <c r="H8" s="24"/>
      <c r="I8" s="24"/>
      <c r="J8" s="24" t="s">
        <v>57</v>
      </c>
    </row>
    <row r="9" spans="1:10" s="37" customFormat="1" x14ac:dyDescent="0.25">
      <c r="A9" s="8">
        <v>3</v>
      </c>
      <c r="B9" s="21" t="s">
        <v>136</v>
      </c>
      <c r="C9" s="36" t="s">
        <v>0</v>
      </c>
      <c r="D9" s="24" t="s">
        <v>122</v>
      </c>
      <c r="E9" s="7" t="s">
        <v>123</v>
      </c>
      <c r="F9" s="7" t="s">
        <v>22</v>
      </c>
      <c r="G9" s="7" t="s">
        <v>124</v>
      </c>
      <c r="H9" s="24"/>
      <c r="I9" s="24"/>
      <c r="J9" s="24" t="s">
        <v>57</v>
      </c>
    </row>
    <row r="10" spans="1:10" s="37" customFormat="1" x14ac:dyDescent="0.25">
      <c r="A10" s="8">
        <v>4</v>
      </c>
      <c r="B10" s="21" t="s">
        <v>135</v>
      </c>
      <c r="C10" s="36" t="s">
        <v>0</v>
      </c>
      <c r="D10" s="24" t="s">
        <v>122</v>
      </c>
      <c r="E10" s="7" t="s">
        <v>123</v>
      </c>
      <c r="F10" s="7" t="s">
        <v>22</v>
      </c>
      <c r="G10" s="7" t="s">
        <v>124</v>
      </c>
      <c r="H10" s="24"/>
      <c r="J10" s="24" t="s">
        <v>57</v>
      </c>
    </row>
    <row r="11" spans="1:10" s="37" customFormat="1" x14ac:dyDescent="0.25">
      <c r="A11" s="13"/>
      <c r="B11" s="38"/>
      <c r="C11" s="39"/>
      <c r="F11" s="12"/>
    </row>
    <row r="12" spans="1:10" x14ac:dyDescent="0.25">
      <c r="A12" s="9"/>
      <c r="B12" s="20"/>
      <c r="C12" s="11"/>
      <c r="D12" s="18"/>
      <c r="E12" s="10"/>
      <c r="F12" s="10"/>
      <c r="G12" s="10"/>
      <c r="H12" s="10"/>
      <c r="I12" s="10"/>
      <c r="J12" s="13"/>
    </row>
    <row r="13" spans="1:10" x14ac:dyDescent="0.25">
      <c r="A13" s="111" t="s">
        <v>21</v>
      </c>
      <c r="B13" s="111"/>
      <c r="C13" s="111"/>
      <c r="D13" s="111"/>
      <c r="E13" s="111"/>
      <c r="F13" s="111"/>
      <c r="G13" s="111"/>
      <c r="H13" s="111"/>
      <c r="I13" s="111"/>
      <c r="J13" s="111"/>
    </row>
    <row r="14" spans="1:10" ht="15.75" x14ac:dyDescent="0.25">
      <c r="A14" s="1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/>
      <c r="J14" s="2" t="s">
        <v>9</v>
      </c>
    </row>
    <row r="15" spans="1:10" s="37" customFormat="1" x14ac:dyDescent="0.25">
      <c r="A15" s="3">
        <v>1</v>
      </c>
      <c r="B15" s="21" t="s">
        <v>117</v>
      </c>
      <c r="C15" s="36" t="s">
        <v>66</v>
      </c>
      <c r="D15" s="24" t="s">
        <v>11</v>
      </c>
      <c r="E15" s="24" t="s">
        <v>56</v>
      </c>
      <c r="F15" s="7" t="s">
        <v>22</v>
      </c>
      <c r="G15" s="24" t="s">
        <v>16</v>
      </c>
      <c r="H15" s="24"/>
      <c r="I15" s="24"/>
      <c r="J15" s="24" t="s">
        <v>57</v>
      </c>
    </row>
    <row r="16" spans="1:10" s="37" customFormat="1" x14ac:dyDescent="0.25">
      <c r="A16" s="3">
        <v>2</v>
      </c>
      <c r="B16" s="21" t="s">
        <v>129</v>
      </c>
      <c r="C16" s="36" t="s">
        <v>66</v>
      </c>
      <c r="D16" s="24" t="s">
        <v>11</v>
      </c>
      <c r="E16" s="24" t="s">
        <v>56</v>
      </c>
      <c r="F16" s="7" t="s">
        <v>22</v>
      </c>
      <c r="G16" s="24" t="s">
        <v>16</v>
      </c>
      <c r="H16" s="24"/>
      <c r="I16" s="24"/>
      <c r="J16" s="24" t="s">
        <v>57</v>
      </c>
    </row>
    <row r="17" spans="1:10" s="37" customFormat="1" x14ac:dyDescent="0.25">
      <c r="A17" s="3">
        <v>3</v>
      </c>
      <c r="B17" s="40" t="s">
        <v>130</v>
      </c>
      <c r="C17" s="36" t="s">
        <v>66</v>
      </c>
      <c r="D17" s="24" t="s">
        <v>11</v>
      </c>
      <c r="E17" s="24" t="s">
        <v>56</v>
      </c>
      <c r="F17" s="7" t="s">
        <v>22</v>
      </c>
      <c r="G17" s="24" t="s">
        <v>16</v>
      </c>
      <c r="H17" s="24"/>
      <c r="I17" s="24"/>
      <c r="J17" s="24" t="s">
        <v>57</v>
      </c>
    </row>
    <row r="18" spans="1:10" s="37" customFormat="1" x14ac:dyDescent="0.25">
      <c r="A18" s="3">
        <v>4</v>
      </c>
      <c r="B18" s="21" t="s">
        <v>125</v>
      </c>
      <c r="C18" s="36" t="s">
        <v>66</v>
      </c>
      <c r="D18" s="24" t="s">
        <v>122</v>
      </c>
      <c r="E18" s="7" t="s">
        <v>123</v>
      </c>
      <c r="F18" s="7" t="s">
        <v>22</v>
      </c>
      <c r="G18" s="7" t="s">
        <v>124</v>
      </c>
      <c r="H18" s="24"/>
      <c r="I18" s="24"/>
      <c r="J18" s="24" t="s">
        <v>57</v>
      </c>
    </row>
    <row r="19" spans="1:10" s="37" customFormat="1" x14ac:dyDescent="0.25">
      <c r="A19" s="3">
        <v>5</v>
      </c>
      <c r="B19" s="21" t="s">
        <v>126</v>
      </c>
      <c r="C19" s="36" t="s">
        <v>66</v>
      </c>
      <c r="D19" s="24" t="s">
        <v>122</v>
      </c>
      <c r="E19" s="7" t="s">
        <v>123</v>
      </c>
      <c r="F19" s="7" t="s">
        <v>22</v>
      </c>
      <c r="G19" s="7" t="s">
        <v>124</v>
      </c>
      <c r="H19" s="24"/>
      <c r="I19" s="24"/>
      <c r="J19" s="24" t="s">
        <v>57</v>
      </c>
    </row>
    <row r="20" spans="1:10" x14ac:dyDescent="0.25">
      <c r="A20" s="3">
        <v>6</v>
      </c>
      <c r="B20" s="33" t="s">
        <v>84</v>
      </c>
      <c r="C20" s="36" t="s">
        <v>131</v>
      </c>
      <c r="D20" s="24" t="s">
        <v>11</v>
      </c>
      <c r="E20" s="7" t="s">
        <v>56</v>
      </c>
      <c r="F20" s="7" t="s">
        <v>22</v>
      </c>
      <c r="G20" s="24" t="s">
        <v>16</v>
      </c>
      <c r="H20" s="22"/>
      <c r="I20" s="22"/>
      <c r="J20" s="24" t="s">
        <v>57</v>
      </c>
    </row>
    <row r="21" spans="1:10" s="37" customFormat="1" x14ac:dyDescent="0.25">
      <c r="A21" s="3">
        <v>7</v>
      </c>
      <c r="B21" s="35" t="s">
        <v>121</v>
      </c>
      <c r="C21" s="36" t="s">
        <v>132</v>
      </c>
      <c r="D21" s="24" t="s">
        <v>122</v>
      </c>
      <c r="E21" s="7" t="s">
        <v>123</v>
      </c>
      <c r="F21" s="7" t="s">
        <v>22</v>
      </c>
      <c r="G21" s="7" t="s">
        <v>124</v>
      </c>
      <c r="H21" s="24"/>
      <c r="I21" s="24"/>
      <c r="J21" s="24" t="s">
        <v>57</v>
      </c>
    </row>
    <row r="22" spans="1:10" s="37" customFormat="1" x14ac:dyDescent="0.25">
      <c r="A22" s="3">
        <v>8</v>
      </c>
      <c r="B22" s="35" t="s">
        <v>127</v>
      </c>
      <c r="C22" s="36" t="s">
        <v>133</v>
      </c>
      <c r="D22" s="24" t="s">
        <v>11</v>
      </c>
      <c r="E22" s="24" t="s">
        <v>56</v>
      </c>
      <c r="F22" s="7" t="s">
        <v>22</v>
      </c>
      <c r="G22" s="24" t="s">
        <v>16</v>
      </c>
      <c r="H22" s="24"/>
      <c r="I22" s="24"/>
      <c r="J22" s="24" t="s">
        <v>57</v>
      </c>
    </row>
    <row r="23" spans="1:10" s="37" customFormat="1" x14ac:dyDescent="0.25">
      <c r="A23" s="32">
        <v>9</v>
      </c>
      <c r="B23" s="35" t="s">
        <v>128</v>
      </c>
      <c r="C23" s="36" t="s">
        <v>134</v>
      </c>
      <c r="D23" s="24" t="s">
        <v>11</v>
      </c>
      <c r="E23" s="24" t="s">
        <v>56</v>
      </c>
      <c r="F23" s="7" t="s">
        <v>22</v>
      </c>
      <c r="G23" s="24" t="s">
        <v>16</v>
      </c>
      <c r="H23" s="24"/>
      <c r="I23" s="24"/>
      <c r="J23" s="24" t="s">
        <v>57</v>
      </c>
    </row>
    <row r="24" spans="1:10" s="37" customFormat="1" x14ac:dyDescent="0.25">
      <c r="A24" s="8">
        <v>10</v>
      </c>
      <c r="B24" s="21" t="s">
        <v>140</v>
      </c>
      <c r="C24" s="36" t="s">
        <v>66</v>
      </c>
      <c r="D24" s="24" t="s">
        <v>122</v>
      </c>
      <c r="E24" s="7" t="s">
        <v>123</v>
      </c>
      <c r="F24" s="7" t="s">
        <v>22</v>
      </c>
      <c r="G24" s="7" t="s">
        <v>124</v>
      </c>
      <c r="H24" s="24"/>
      <c r="I24" s="24"/>
      <c r="J24" s="24" t="s">
        <v>57</v>
      </c>
    </row>
    <row r="25" spans="1:10" s="37" customFormat="1" x14ac:dyDescent="0.25">
      <c r="A25" s="8">
        <v>11</v>
      </c>
      <c r="B25" s="21" t="s">
        <v>139</v>
      </c>
      <c r="C25" s="36" t="s">
        <v>66</v>
      </c>
      <c r="D25" s="24" t="s">
        <v>122</v>
      </c>
      <c r="E25" s="7" t="s">
        <v>123</v>
      </c>
      <c r="F25" s="7" t="s">
        <v>22</v>
      </c>
      <c r="G25" s="7" t="s">
        <v>124</v>
      </c>
      <c r="H25" s="24"/>
      <c r="I25" s="24"/>
      <c r="J25" s="24" t="s">
        <v>57</v>
      </c>
    </row>
    <row r="26" spans="1:10" s="37" customFormat="1" x14ac:dyDescent="0.25">
      <c r="A26" s="8">
        <v>12</v>
      </c>
      <c r="B26" s="21" t="s">
        <v>138</v>
      </c>
      <c r="C26" s="36" t="s">
        <v>66</v>
      </c>
      <c r="D26" s="24" t="s">
        <v>122</v>
      </c>
      <c r="E26" s="7" t="s">
        <v>123</v>
      </c>
      <c r="F26" s="7" t="s">
        <v>22</v>
      </c>
      <c r="G26" s="7" t="s">
        <v>124</v>
      </c>
      <c r="H26" s="24"/>
      <c r="I26" s="24"/>
      <c r="J26" s="24" t="s">
        <v>57</v>
      </c>
    </row>
    <row r="27" spans="1:10" x14ac:dyDescent="0.25">
      <c r="A27" s="9"/>
      <c r="B27" s="20"/>
      <c r="C27" s="11"/>
      <c r="D27" s="18"/>
      <c r="E27" s="10"/>
      <c r="F27" s="10"/>
      <c r="G27" s="10"/>
      <c r="H27" s="10"/>
      <c r="I27" s="10"/>
      <c r="J27" s="13"/>
    </row>
    <row r="28" spans="1:10" x14ac:dyDescent="0.25">
      <c r="A28" s="9"/>
      <c r="B28" s="20"/>
      <c r="C28" s="11"/>
      <c r="D28" s="18"/>
      <c r="E28" s="10"/>
      <c r="F28" s="10"/>
      <c r="G28" s="10"/>
      <c r="H28" s="10"/>
      <c r="I28" s="10"/>
      <c r="J28" s="13"/>
    </row>
    <row r="29" spans="1:10" ht="15.75" x14ac:dyDescent="0.25">
      <c r="A29" s="113" t="s">
        <v>68</v>
      </c>
      <c r="B29" s="113"/>
      <c r="C29" s="113"/>
      <c r="D29" s="113"/>
      <c r="E29" s="113"/>
      <c r="F29" s="113"/>
      <c r="G29" s="113"/>
      <c r="H29" s="113"/>
      <c r="I29" s="113"/>
      <c r="J29" s="113"/>
    </row>
    <row r="30" spans="1:10" ht="15.75" x14ac:dyDescent="0.25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/>
      <c r="J30" s="2" t="s">
        <v>9</v>
      </c>
    </row>
    <row r="31" spans="1:10" x14ac:dyDescent="0.25">
      <c r="A31" s="32">
        <v>1</v>
      </c>
      <c r="B31" s="33" t="s">
        <v>89</v>
      </c>
      <c r="C31" s="17" t="s">
        <v>67</v>
      </c>
      <c r="D31" s="24" t="s">
        <v>11</v>
      </c>
      <c r="E31" s="7" t="s">
        <v>56</v>
      </c>
      <c r="F31" s="7" t="s">
        <v>22</v>
      </c>
      <c r="G31" s="24" t="s">
        <v>16</v>
      </c>
      <c r="H31" s="24">
        <v>1</v>
      </c>
      <c r="I31" s="22"/>
      <c r="J31" s="24" t="s">
        <v>57</v>
      </c>
    </row>
    <row r="32" spans="1:10" x14ac:dyDescent="0.25">
      <c r="A32" s="32">
        <v>2</v>
      </c>
      <c r="B32" s="33" t="s">
        <v>90</v>
      </c>
      <c r="C32" s="17" t="s">
        <v>67</v>
      </c>
      <c r="D32" s="24" t="s">
        <v>11</v>
      </c>
      <c r="E32" s="7" t="s">
        <v>56</v>
      </c>
      <c r="F32" s="7" t="s">
        <v>22</v>
      </c>
      <c r="G32" s="24" t="s">
        <v>16</v>
      </c>
      <c r="H32" s="24">
        <v>1</v>
      </c>
      <c r="I32" s="22"/>
      <c r="J32" s="24" t="s">
        <v>57</v>
      </c>
    </row>
    <row r="33" spans="1:10" ht="15" customHeight="1" x14ac:dyDescent="0.25"/>
    <row r="36" spans="1:10" ht="15.75" x14ac:dyDescent="0.25">
      <c r="A36" s="113" t="s">
        <v>30</v>
      </c>
      <c r="B36" s="113"/>
      <c r="C36" s="113"/>
      <c r="D36" s="113"/>
      <c r="E36" s="113"/>
      <c r="F36" s="113"/>
      <c r="G36" s="113"/>
      <c r="H36" s="113"/>
      <c r="I36" s="113"/>
      <c r="J36" s="113"/>
    </row>
    <row r="37" spans="1:10" ht="29.45" customHeight="1" x14ac:dyDescent="0.25">
      <c r="A37" s="14" t="s">
        <v>1</v>
      </c>
      <c r="B37" s="15" t="s">
        <v>2</v>
      </c>
      <c r="C37" s="15" t="s">
        <v>40</v>
      </c>
      <c r="D37" s="15" t="s">
        <v>4</v>
      </c>
      <c r="E37" s="15" t="s">
        <v>5</v>
      </c>
      <c r="F37" s="15" t="s">
        <v>6</v>
      </c>
      <c r="G37" s="15" t="s">
        <v>7</v>
      </c>
      <c r="H37" s="15" t="s">
        <v>8</v>
      </c>
      <c r="I37" s="15" t="s">
        <v>31</v>
      </c>
      <c r="J37" s="15" t="s">
        <v>9</v>
      </c>
    </row>
    <row r="38" spans="1:10" x14ac:dyDescent="0.25">
      <c r="A38" s="3">
        <v>1</v>
      </c>
      <c r="B38" s="30" t="s">
        <v>58</v>
      </c>
      <c r="C38" s="17" t="s">
        <v>33</v>
      </c>
      <c r="D38" s="21" t="s">
        <v>11</v>
      </c>
      <c r="E38" s="7" t="s">
        <v>56</v>
      </c>
      <c r="F38" s="24" t="s">
        <v>22</v>
      </c>
      <c r="G38" s="7" t="s">
        <v>16</v>
      </c>
      <c r="H38" s="24">
        <v>8</v>
      </c>
      <c r="I38" s="24"/>
      <c r="J38" s="8" t="s">
        <v>57</v>
      </c>
    </row>
    <row r="39" spans="1:10" x14ac:dyDescent="0.25">
      <c r="A39" s="3">
        <v>2</v>
      </c>
      <c r="B39" s="30" t="s">
        <v>55</v>
      </c>
      <c r="C39" s="17" t="s">
        <v>33</v>
      </c>
      <c r="D39" s="21" t="s">
        <v>11</v>
      </c>
      <c r="E39" s="7" t="s">
        <v>56</v>
      </c>
      <c r="F39" s="24" t="s">
        <v>22</v>
      </c>
      <c r="G39" s="7" t="s">
        <v>16</v>
      </c>
      <c r="H39" s="24">
        <v>7</v>
      </c>
      <c r="I39" s="24"/>
      <c r="J39" s="8" t="s">
        <v>57</v>
      </c>
    </row>
    <row r="40" spans="1:10" x14ac:dyDescent="0.25">
      <c r="A40" s="3">
        <v>3</v>
      </c>
      <c r="B40" s="30" t="s">
        <v>60</v>
      </c>
      <c r="C40" s="17" t="s">
        <v>33</v>
      </c>
      <c r="D40" s="24" t="s">
        <v>11</v>
      </c>
      <c r="E40" s="7" t="s">
        <v>56</v>
      </c>
      <c r="F40" s="24" t="s">
        <v>22</v>
      </c>
      <c r="G40" s="7" t="s">
        <v>16</v>
      </c>
      <c r="H40" s="24">
        <v>7</v>
      </c>
      <c r="I40" s="24"/>
      <c r="J40" s="8" t="s">
        <v>57</v>
      </c>
    </row>
    <row r="41" spans="1:10" x14ac:dyDescent="0.25">
      <c r="A41" s="3">
        <v>4</v>
      </c>
      <c r="B41" s="33" t="s">
        <v>92</v>
      </c>
      <c r="C41" s="17" t="s">
        <v>33</v>
      </c>
      <c r="D41" s="24" t="s">
        <v>11</v>
      </c>
      <c r="E41" s="7" t="s">
        <v>56</v>
      </c>
      <c r="F41" s="24" t="s">
        <v>22</v>
      </c>
      <c r="G41" s="24" t="s">
        <v>16</v>
      </c>
      <c r="H41" s="24">
        <v>7</v>
      </c>
      <c r="I41" s="22"/>
      <c r="J41" s="24" t="s">
        <v>57</v>
      </c>
    </row>
    <row r="42" spans="1:10" x14ac:dyDescent="0.25">
      <c r="A42" s="3">
        <v>5</v>
      </c>
      <c r="B42" s="33" t="s">
        <v>93</v>
      </c>
      <c r="C42" s="17" t="s">
        <v>33</v>
      </c>
      <c r="D42" s="24" t="s">
        <v>11</v>
      </c>
      <c r="E42" s="7" t="s">
        <v>56</v>
      </c>
      <c r="F42" s="24" t="s">
        <v>22</v>
      </c>
      <c r="G42" s="24" t="s">
        <v>16</v>
      </c>
      <c r="H42" s="24">
        <v>7</v>
      </c>
      <c r="I42" s="22"/>
      <c r="J42" s="24" t="s">
        <v>57</v>
      </c>
    </row>
    <row r="43" spans="1:10" x14ac:dyDescent="0.25">
      <c r="A43" s="3">
        <v>6</v>
      </c>
      <c r="B43" s="30" t="s">
        <v>59</v>
      </c>
      <c r="C43" s="17" t="s">
        <v>33</v>
      </c>
      <c r="D43" s="24" t="s">
        <v>11</v>
      </c>
      <c r="E43" s="7" t="s">
        <v>56</v>
      </c>
      <c r="F43" s="24" t="s">
        <v>22</v>
      </c>
      <c r="G43" s="7" t="s">
        <v>16</v>
      </c>
      <c r="H43" s="24">
        <v>5</v>
      </c>
      <c r="I43" s="24"/>
      <c r="J43" s="8" t="s">
        <v>57</v>
      </c>
    </row>
    <row r="44" spans="1:10" x14ac:dyDescent="0.25">
      <c r="A44" s="3">
        <v>7</v>
      </c>
      <c r="B44" s="33" t="s">
        <v>81</v>
      </c>
      <c r="C44" s="17" t="s">
        <v>33</v>
      </c>
      <c r="D44" s="24" t="s">
        <v>11</v>
      </c>
      <c r="E44" s="7" t="s">
        <v>56</v>
      </c>
      <c r="F44" s="7" t="s">
        <v>22</v>
      </c>
      <c r="G44" s="24" t="s">
        <v>16</v>
      </c>
      <c r="H44" s="24">
        <v>5</v>
      </c>
      <c r="I44" s="22"/>
      <c r="J44" s="24" t="s">
        <v>57</v>
      </c>
    </row>
    <row r="45" spans="1:10" x14ac:dyDescent="0.25">
      <c r="A45" s="3">
        <v>8</v>
      </c>
      <c r="B45" s="33" t="s">
        <v>77</v>
      </c>
      <c r="C45" s="17" t="s">
        <v>33</v>
      </c>
      <c r="D45" s="24" t="s">
        <v>11</v>
      </c>
      <c r="E45" s="7" t="s">
        <v>56</v>
      </c>
      <c r="F45" s="7" t="s">
        <v>22</v>
      </c>
      <c r="G45" s="24" t="s">
        <v>16</v>
      </c>
      <c r="H45" s="24">
        <v>5</v>
      </c>
      <c r="I45" s="22"/>
      <c r="J45" s="24" t="s">
        <v>57</v>
      </c>
    </row>
    <row r="46" spans="1:10" x14ac:dyDescent="0.25">
      <c r="A46" s="3">
        <v>9</v>
      </c>
      <c r="B46" s="33" t="s">
        <v>80</v>
      </c>
      <c r="C46" s="17" t="s">
        <v>33</v>
      </c>
      <c r="D46" s="24" t="s">
        <v>11</v>
      </c>
      <c r="E46" s="7" t="s">
        <v>56</v>
      </c>
      <c r="F46" s="7" t="s">
        <v>22</v>
      </c>
      <c r="G46" s="24" t="s">
        <v>16</v>
      </c>
      <c r="H46" s="24">
        <v>4</v>
      </c>
      <c r="I46" s="22"/>
      <c r="J46" s="24" t="s">
        <v>57</v>
      </c>
    </row>
    <row r="47" spans="1:10" x14ac:dyDescent="0.25">
      <c r="A47" s="3">
        <v>10</v>
      </c>
      <c r="B47" s="33" t="s">
        <v>82</v>
      </c>
      <c r="C47" s="17" t="s">
        <v>33</v>
      </c>
      <c r="D47" s="24" t="s">
        <v>11</v>
      </c>
      <c r="E47" s="7" t="s">
        <v>56</v>
      </c>
      <c r="F47" s="7" t="s">
        <v>22</v>
      </c>
      <c r="G47" s="24" t="s">
        <v>16</v>
      </c>
      <c r="H47" s="24">
        <v>4</v>
      </c>
      <c r="I47" s="22"/>
      <c r="J47" s="24" t="s">
        <v>57</v>
      </c>
    </row>
    <row r="48" spans="1:10" x14ac:dyDescent="0.25">
      <c r="A48" s="3">
        <v>11</v>
      </c>
      <c r="B48" s="33" t="s">
        <v>87</v>
      </c>
      <c r="C48" s="17" t="s">
        <v>33</v>
      </c>
      <c r="D48" s="24" t="s">
        <v>11</v>
      </c>
      <c r="E48" s="7" t="s">
        <v>56</v>
      </c>
      <c r="F48" s="7" t="s">
        <v>22</v>
      </c>
      <c r="G48" s="24" t="s">
        <v>16</v>
      </c>
      <c r="H48" s="24">
        <v>4</v>
      </c>
      <c r="I48" s="22"/>
      <c r="J48" s="24" t="s">
        <v>57</v>
      </c>
    </row>
    <row r="49" spans="1:10" x14ac:dyDescent="0.25">
      <c r="A49" s="3">
        <v>12</v>
      </c>
      <c r="B49" s="33" t="s">
        <v>75</v>
      </c>
      <c r="C49" s="17" t="s">
        <v>33</v>
      </c>
      <c r="D49" s="24" t="s">
        <v>11</v>
      </c>
      <c r="E49" s="7" t="s">
        <v>56</v>
      </c>
      <c r="F49" s="7" t="s">
        <v>22</v>
      </c>
      <c r="G49" s="24" t="s">
        <v>16</v>
      </c>
      <c r="H49" s="24">
        <v>4</v>
      </c>
      <c r="I49" s="22"/>
      <c r="J49" s="24" t="s">
        <v>57</v>
      </c>
    </row>
    <row r="50" spans="1:10" x14ac:dyDescent="0.25">
      <c r="A50" s="3">
        <v>13</v>
      </c>
      <c r="B50" s="33" t="s">
        <v>78</v>
      </c>
      <c r="C50" s="17" t="s">
        <v>33</v>
      </c>
      <c r="D50" s="24" t="s">
        <v>11</v>
      </c>
      <c r="E50" s="7" t="s">
        <v>56</v>
      </c>
      <c r="F50" s="7" t="s">
        <v>22</v>
      </c>
      <c r="G50" s="24" t="s">
        <v>16</v>
      </c>
      <c r="H50" s="24">
        <v>4</v>
      </c>
      <c r="I50" s="22"/>
      <c r="J50" s="24" t="s">
        <v>57</v>
      </c>
    </row>
    <row r="51" spans="1:10" x14ac:dyDescent="0.25">
      <c r="A51" s="3">
        <v>14</v>
      </c>
      <c r="B51" s="33" t="s">
        <v>79</v>
      </c>
      <c r="C51" s="17" t="s">
        <v>33</v>
      </c>
      <c r="D51" s="24" t="s">
        <v>11</v>
      </c>
      <c r="E51" s="7" t="s">
        <v>56</v>
      </c>
      <c r="F51" s="7" t="s">
        <v>22</v>
      </c>
      <c r="G51" s="24" t="s">
        <v>16</v>
      </c>
      <c r="H51" s="24">
        <v>4</v>
      </c>
      <c r="I51" s="22"/>
      <c r="J51" s="24" t="s">
        <v>57</v>
      </c>
    </row>
    <row r="52" spans="1:10" x14ac:dyDescent="0.25">
      <c r="A52" s="3">
        <v>15</v>
      </c>
      <c r="B52" s="33" t="s">
        <v>88</v>
      </c>
      <c r="C52" s="17" t="s">
        <v>33</v>
      </c>
      <c r="D52" s="24" t="s">
        <v>11</v>
      </c>
      <c r="E52" s="7" t="s">
        <v>56</v>
      </c>
      <c r="F52" s="7" t="s">
        <v>22</v>
      </c>
      <c r="G52" s="24" t="s">
        <v>16</v>
      </c>
      <c r="H52" s="24">
        <v>4</v>
      </c>
      <c r="I52" s="22"/>
      <c r="J52" s="24" t="s">
        <v>57</v>
      </c>
    </row>
    <row r="53" spans="1:10" x14ac:dyDescent="0.25">
      <c r="A53" s="3">
        <v>16</v>
      </c>
      <c r="B53" s="33" t="s">
        <v>72</v>
      </c>
      <c r="C53" s="17" t="s">
        <v>33</v>
      </c>
      <c r="D53" s="24" t="s">
        <v>11</v>
      </c>
      <c r="E53" s="7" t="s">
        <v>56</v>
      </c>
      <c r="F53" s="7" t="s">
        <v>22</v>
      </c>
      <c r="G53" s="24" t="s">
        <v>16</v>
      </c>
      <c r="H53" s="24">
        <v>4</v>
      </c>
      <c r="I53" s="22"/>
      <c r="J53" s="24" t="s">
        <v>57</v>
      </c>
    </row>
    <row r="54" spans="1:10" x14ac:dyDescent="0.25">
      <c r="A54" s="3">
        <v>17</v>
      </c>
      <c r="B54" s="33" t="s">
        <v>73</v>
      </c>
      <c r="C54" s="17" t="s">
        <v>33</v>
      </c>
      <c r="D54" s="24" t="s">
        <v>11</v>
      </c>
      <c r="E54" s="7" t="s">
        <v>56</v>
      </c>
      <c r="F54" s="7" t="s">
        <v>22</v>
      </c>
      <c r="G54" s="24" t="s">
        <v>16</v>
      </c>
      <c r="H54" s="24">
        <v>3</v>
      </c>
      <c r="I54" s="22"/>
      <c r="J54" s="24" t="s">
        <v>57</v>
      </c>
    </row>
    <row r="55" spans="1:10" x14ac:dyDescent="0.25">
      <c r="A55" s="3">
        <v>18</v>
      </c>
      <c r="B55" s="33" t="s">
        <v>76</v>
      </c>
      <c r="C55" s="17" t="s">
        <v>33</v>
      </c>
      <c r="D55" s="24" t="s">
        <v>11</v>
      </c>
      <c r="E55" s="7" t="s">
        <v>56</v>
      </c>
      <c r="F55" s="7" t="s">
        <v>22</v>
      </c>
      <c r="G55" s="24" t="s">
        <v>16</v>
      </c>
      <c r="H55" s="24">
        <v>3</v>
      </c>
      <c r="I55" s="22"/>
      <c r="J55" s="24" t="s">
        <v>57</v>
      </c>
    </row>
    <row r="56" spans="1:10" x14ac:dyDescent="0.25">
      <c r="A56" s="3">
        <v>19</v>
      </c>
      <c r="B56" s="33" t="s">
        <v>83</v>
      </c>
      <c r="C56" s="17" t="s">
        <v>33</v>
      </c>
      <c r="D56" s="24" t="s">
        <v>11</v>
      </c>
      <c r="E56" s="7" t="s">
        <v>56</v>
      </c>
      <c r="F56" s="7" t="s">
        <v>22</v>
      </c>
      <c r="G56" s="24" t="s">
        <v>16</v>
      </c>
      <c r="H56" s="24">
        <v>3</v>
      </c>
      <c r="I56" s="22"/>
      <c r="J56" s="24" t="s">
        <v>57</v>
      </c>
    </row>
    <row r="57" spans="1:10" x14ac:dyDescent="0.25">
      <c r="A57" s="3">
        <v>20</v>
      </c>
      <c r="B57" s="33" t="s">
        <v>74</v>
      </c>
      <c r="C57" s="17" t="s">
        <v>33</v>
      </c>
      <c r="D57" s="24" t="s">
        <v>11</v>
      </c>
      <c r="E57" s="7" t="s">
        <v>56</v>
      </c>
      <c r="F57" s="7" t="s">
        <v>22</v>
      </c>
      <c r="G57" s="24" t="s">
        <v>16</v>
      </c>
      <c r="H57" s="24">
        <v>2</v>
      </c>
      <c r="I57" s="22"/>
      <c r="J57" s="24" t="s">
        <v>57</v>
      </c>
    </row>
    <row r="58" spans="1:10" x14ac:dyDescent="0.25">
      <c r="A58" s="3">
        <v>21</v>
      </c>
      <c r="B58" s="33" t="s">
        <v>85</v>
      </c>
      <c r="C58" s="17" t="s">
        <v>33</v>
      </c>
      <c r="D58" s="24" t="s">
        <v>11</v>
      </c>
      <c r="E58" s="7" t="s">
        <v>56</v>
      </c>
      <c r="F58" s="7" t="s">
        <v>22</v>
      </c>
      <c r="G58" s="24" t="s">
        <v>16</v>
      </c>
      <c r="H58" s="24">
        <v>1</v>
      </c>
      <c r="I58" s="22"/>
      <c r="J58" s="24" t="s">
        <v>57</v>
      </c>
    </row>
    <row r="59" spans="1:10" ht="12.6" customHeight="1" x14ac:dyDescent="0.25"/>
  </sheetData>
  <mergeCells count="5">
    <mergeCell ref="A1:J1"/>
    <mergeCell ref="A5:J5"/>
    <mergeCell ref="A13:J13"/>
    <mergeCell ref="A29:J29"/>
    <mergeCell ref="A36:J36"/>
  </mergeCells>
  <conditionalFormatting sqref="B9:B10">
    <cfRule type="duplicateValues" dxfId="2255" priority="4097"/>
  </conditionalFormatting>
  <conditionalFormatting sqref="B12">
    <cfRule type="duplicateValues" dxfId="2254" priority="41"/>
    <cfRule type="duplicateValues" dxfId="2253" priority="42"/>
    <cfRule type="duplicateValues" dxfId="2252" priority="43"/>
    <cfRule type="duplicateValues" dxfId="2251" priority="44"/>
    <cfRule type="duplicateValues" dxfId="2250" priority="45"/>
    <cfRule type="duplicateValues" dxfId="2249" priority="46"/>
    <cfRule type="duplicateValues" dxfId="2248" priority="47"/>
    <cfRule type="duplicateValues" dxfId="2247" priority="48"/>
    <cfRule type="duplicateValues" dxfId="2246" priority="49"/>
    <cfRule type="duplicateValues" dxfId="2245" priority="50"/>
    <cfRule type="duplicateValues" dxfId="2244" priority="51"/>
    <cfRule type="duplicateValues" dxfId="2243" priority="52"/>
    <cfRule type="duplicateValues" dxfId="2242" priority="53"/>
    <cfRule type="duplicateValues" dxfId="2241" priority="54"/>
    <cfRule type="duplicateValues" dxfId="2240" priority="55"/>
    <cfRule type="duplicateValues" dxfId="2239" priority="56"/>
    <cfRule type="duplicateValues" dxfId="2238" priority="57" stopIfTrue="1"/>
  </conditionalFormatting>
  <conditionalFormatting sqref="B15 B11">
    <cfRule type="duplicateValues" dxfId="2237" priority="18"/>
  </conditionalFormatting>
  <conditionalFormatting sqref="B16:B19 B21:B23">
    <cfRule type="duplicateValues" dxfId="2236" priority="13"/>
  </conditionalFormatting>
  <conditionalFormatting sqref="B16:B19">
    <cfRule type="duplicateValues" dxfId="2235" priority="12"/>
  </conditionalFormatting>
  <conditionalFormatting sqref="B21:B23">
    <cfRule type="duplicateValues" dxfId="2234" priority="11"/>
  </conditionalFormatting>
  <conditionalFormatting sqref="B24:B26 B7:B8">
    <cfRule type="duplicateValues" dxfId="2233" priority="3958"/>
  </conditionalFormatting>
  <conditionalFormatting sqref="B24:B26 B7:B10">
    <cfRule type="duplicateValues" dxfId="2232" priority="3956"/>
  </conditionalFormatting>
  <conditionalFormatting sqref="B27:B28 B3">
    <cfRule type="duplicateValues" dxfId="2231" priority="3068"/>
    <cfRule type="duplicateValues" dxfId="2230" priority="3069" stopIfTrue="1"/>
  </conditionalFormatting>
  <conditionalFormatting sqref="B27:B40 B1:B6 B12:B14 B20 B43:B1048576">
    <cfRule type="duplicateValues" dxfId="2229" priority="3645"/>
  </conditionalFormatting>
  <conditionalFormatting sqref="B27:B1048576 B1:B6 B11:B23">
    <cfRule type="duplicateValues" dxfId="2228" priority="4"/>
    <cfRule type="duplicateValues" dxfId="2227" priority="5"/>
    <cfRule type="duplicateValues" dxfId="2226" priority="3639"/>
    <cfRule type="duplicateValues" dxfId="2225" priority="3640"/>
  </conditionalFormatting>
  <conditionalFormatting sqref="B27:B1048576 B12:B14 B20 B1:B6">
    <cfRule type="duplicateValues" dxfId="2224" priority="3659"/>
  </conditionalFormatting>
  <conditionalFormatting sqref="B27:B1048576 B20 B1:B6 B11:B15">
    <cfRule type="duplicateValues" dxfId="2223" priority="3822"/>
  </conditionalFormatting>
  <conditionalFormatting sqref="B31:B32 B20 B44:B58">
    <cfRule type="duplicateValues" dxfId="2222" priority="3469"/>
    <cfRule type="duplicateValues" dxfId="2221" priority="3470"/>
    <cfRule type="duplicateValues" dxfId="2220" priority="3471"/>
    <cfRule type="duplicateValues" dxfId="2219" priority="3472"/>
  </conditionalFormatting>
  <conditionalFormatting sqref="B34:B37 B13:B14 B27:B30 B1:B6 B59:B1048576">
    <cfRule type="duplicateValues" dxfId="2218" priority="3718"/>
  </conditionalFormatting>
  <conditionalFormatting sqref="B34:B37 B27:B29 B59:B1048576">
    <cfRule type="duplicateValues" dxfId="2217" priority="3664"/>
  </conditionalFormatting>
  <conditionalFormatting sqref="B34:B37 B27:B30 B13:B14 B1:B6 B59:B1048576">
    <cfRule type="duplicateValues" dxfId="2216" priority="3669"/>
    <cfRule type="duplicateValues" dxfId="2215" priority="3670"/>
    <cfRule type="duplicateValues" dxfId="2214" priority="3671"/>
    <cfRule type="duplicateValues" dxfId="2213" priority="3672"/>
    <cfRule type="duplicateValues" dxfId="2212" priority="3673"/>
    <cfRule type="duplicateValues" dxfId="2211" priority="3674"/>
    <cfRule type="duplicateValues" dxfId="2210" priority="3675"/>
  </conditionalFormatting>
  <conditionalFormatting sqref="B34:B40 B43 B13:B14 B27:B30 B1:B6 B59:B1048576">
    <cfRule type="duplicateValues" dxfId="2209" priority="3725"/>
    <cfRule type="duplicateValues" dxfId="2208" priority="3726"/>
    <cfRule type="duplicateValues" dxfId="2207" priority="3727"/>
    <cfRule type="duplicateValues" dxfId="2206" priority="3728"/>
    <cfRule type="duplicateValues" dxfId="2205" priority="3729"/>
    <cfRule type="duplicateValues" dxfId="2204" priority="3730"/>
    <cfRule type="duplicateValues" dxfId="2203" priority="3731"/>
  </conditionalFormatting>
  <conditionalFormatting sqref="B37 B4 B2 B14 B34:B35 B30 B6">
    <cfRule type="duplicateValues" dxfId="2202" priority="37" stopIfTrue="1"/>
  </conditionalFormatting>
  <conditionalFormatting sqref="B38">
    <cfRule type="duplicateValues" dxfId="2201" priority="25"/>
    <cfRule type="duplicateValues" dxfId="2200" priority="26"/>
    <cfRule type="duplicateValues" dxfId="2199" priority="27"/>
  </conditionalFormatting>
  <conditionalFormatting sqref="B39">
    <cfRule type="duplicateValues" dxfId="2198" priority="28"/>
    <cfRule type="duplicateValues" dxfId="2197" priority="29"/>
  </conditionalFormatting>
  <conditionalFormatting sqref="B41:B42">
    <cfRule type="duplicateValues" dxfId="2196" priority="19"/>
    <cfRule type="duplicateValues" dxfId="2195" priority="20"/>
    <cfRule type="duplicateValues" dxfId="2194" priority="21"/>
    <cfRule type="duplicateValues" dxfId="2193" priority="22"/>
    <cfRule type="duplicateValues" dxfId="2192" priority="23"/>
    <cfRule type="duplicateValues" dxfId="2191" priority="24"/>
  </conditionalFormatting>
  <conditionalFormatting sqref="B43 B39:B40">
    <cfRule type="duplicateValues" dxfId="2190" priority="3635"/>
  </conditionalFormatting>
  <conditionalFormatting sqref="B43 B40">
    <cfRule type="duplicateValues" dxfId="2189" priority="3637"/>
    <cfRule type="duplicateValues" dxfId="2188" priority="3638"/>
  </conditionalFormatting>
  <conditionalFormatting sqref="B59:B1048576">
    <cfRule type="duplicateValues" dxfId="2187" priority="3781"/>
    <cfRule type="duplicateValues" dxfId="2186" priority="3782"/>
    <cfRule type="duplicateValues" dxfId="2185" priority="3783"/>
  </conditionalFormatting>
  <conditionalFormatting sqref="B60:B1048576">
    <cfRule type="duplicateValues" dxfId="2184" priority="3790"/>
  </conditionalFormatting>
  <conditionalFormatting sqref="B61:B1048576">
    <cfRule type="duplicateValues" dxfId="2183" priority="365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3D4E-77C2-48B8-A1B5-839272D01A1A}">
  <sheetPr codeName="Sheet1"/>
  <dimension ref="A1:J51"/>
  <sheetViews>
    <sheetView topLeftCell="A83" workbookViewId="0">
      <selection activeCell="G55" sqref="G55"/>
    </sheetView>
  </sheetViews>
  <sheetFormatPr defaultRowHeight="15" x14ac:dyDescent="0.25"/>
  <cols>
    <col min="2" max="2" width="9.85546875" style="42" bestFit="1" customWidth="1"/>
    <col min="3" max="3" width="17" customWidth="1"/>
    <col min="4" max="4" width="11" customWidth="1"/>
    <col min="5" max="5" width="21" bestFit="1" customWidth="1"/>
    <col min="7" max="7" width="22.42578125" bestFit="1" customWidth="1"/>
    <col min="9" max="9" width="9.28515625" bestFit="1" customWidth="1"/>
  </cols>
  <sheetData>
    <row r="1" spans="1:10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0" hidden="1" x14ac:dyDescent="0.25"/>
    <row r="5" spans="1:10" hidden="1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ht="15.75" hidden="1" x14ac:dyDescent="0.25">
      <c r="A6" s="1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0" s="37" customFormat="1" x14ac:dyDescent="0.25">
      <c r="A7" s="13"/>
      <c r="B7" s="43"/>
      <c r="C7" s="39"/>
      <c r="F7" s="12"/>
    </row>
    <row r="8" spans="1:10" x14ac:dyDescent="0.25">
      <c r="A8" s="9"/>
      <c r="B8" s="20"/>
      <c r="C8" s="11"/>
      <c r="D8" s="18"/>
      <c r="E8" s="10"/>
      <c r="F8" s="10"/>
      <c r="G8" s="10"/>
      <c r="H8" s="10"/>
      <c r="I8" s="10"/>
      <c r="J8" s="13"/>
    </row>
    <row r="9" spans="1:10" x14ac:dyDescent="0.25">
      <c r="A9" s="111" t="s">
        <v>21</v>
      </c>
      <c r="B9" s="111"/>
      <c r="C9" s="111"/>
      <c r="D9" s="111"/>
      <c r="E9" s="111"/>
      <c r="F9" s="111"/>
      <c r="G9" s="111"/>
      <c r="H9" s="111"/>
      <c r="I9" s="111"/>
      <c r="J9" s="111"/>
    </row>
    <row r="10" spans="1:10" ht="15.75" x14ac:dyDescent="0.25">
      <c r="A10" s="1" t="s">
        <v>1</v>
      </c>
      <c r="B10" s="41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/>
      <c r="J10" s="2" t="s">
        <v>9</v>
      </c>
    </row>
    <row r="11" spans="1:10" s="37" customFormat="1" x14ac:dyDescent="0.25">
      <c r="A11" s="3">
        <v>1</v>
      </c>
      <c r="B11" s="30" t="s">
        <v>117</v>
      </c>
      <c r="C11" s="36" t="s">
        <v>133</v>
      </c>
      <c r="D11" s="24" t="s">
        <v>11</v>
      </c>
      <c r="E11" s="24" t="s">
        <v>56</v>
      </c>
      <c r="F11" s="7" t="s">
        <v>22</v>
      </c>
      <c r="G11" s="24" t="s">
        <v>16</v>
      </c>
      <c r="H11" s="24"/>
      <c r="I11" s="24"/>
      <c r="J11" s="24" t="s">
        <v>57</v>
      </c>
    </row>
    <row r="12" spans="1:10" s="37" customFormat="1" x14ac:dyDescent="0.25">
      <c r="A12" s="3">
        <v>2</v>
      </c>
      <c r="B12" s="30" t="s">
        <v>129</v>
      </c>
      <c r="C12" s="36" t="s">
        <v>142</v>
      </c>
      <c r="D12" s="24" t="s">
        <v>11</v>
      </c>
      <c r="E12" s="24" t="s">
        <v>56</v>
      </c>
      <c r="F12" s="7" t="s">
        <v>22</v>
      </c>
      <c r="G12" s="24" t="s">
        <v>16</v>
      </c>
      <c r="H12" s="24"/>
      <c r="I12" s="24"/>
      <c r="J12" s="24" t="s">
        <v>57</v>
      </c>
    </row>
    <row r="13" spans="1:10" s="37" customFormat="1" x14ac:dyDescent="0.25">
      <c r="A13" s="3">
        <v>3</v>
      </c>
      <c r="B13" s="30" t="s">
        <v>130</v>
      </c>
      <c r="C13" s="36" t="s">
        <v>44</v>
      </c>
      <c r="D13" s="24" t="s">
        <v>11</v>
      </c>
      <c r="E13" s="24" t="s">
        <v>56</v>
      </c>
      <c r="F13" s="7" t="s">
        <v>22</v>
      </c>
      <c r="G13" s="24" t="s">
        <v>16</v>
      </c>
      <c r="H13" s="24"/>
      <c r="I13" s="24"/>
      <c r="J13" s="24" t="s">
        <v>57</v>
      </c>
    </row>
    <row r="14" spans="1:10" s="37" customFormat="1" x14ac:dyDescent="0.25">
      <c r="A14" s="3">
        <v>4</v>
      </c>
      <c r="B14" s="30" t="s">
        <v>125</v>
      </c>
      <c r="C14" s="36" t="s">
        <v>143</v>
      </c>
      <c r="D14" s="24" t="s">
        <v>122</v>
      </c>
      <c r="E14" s="7" t="s">
        <v>123</v>
      </c>
      <c r="F14" s="7" t="s">
        <v>22</v>
      </c>
      <c r="G14" s="7" t="s">
        <v>124</v>
      </c>
      <c r="H14" s="24"/>
      <c r="I14" s="24"/>
      <c r="J14" s="24" t="s">
        <v>57</v>
      </c>
    </row>
    <row r="15" spans="1:10" s="37" customFormat="1" x14ac:dyDescent="0.25">
      <c r="A15" s="3">
        <v>5</v>
      </c>
      <c r="B15" s="30" t="s">
        <v>126</v>
      </c>
      <c r="C15" s="36" t="s">
        <v>70</v>
      </c>
      <c r="D15" s="24" t="s">
        <v>122</v>
      </c>
      <c r="E15" s="7" t="s">
        <v>123</v>
      </c>
      <c r="F15" s="7" t="s">
        <v>22</v>
      </c>
      <c r="G15" s="7" t="s">
        <v>124</v>
      </c>
      <c r="H15" s="24"/>
      <c r="I15" s="24"/>
      <c r="J15" s="24" t="s">
        <v>57</v>
      </c>
    </row>
    <row r="16" spans="1:10" x14ac:dyDescent="0.25">
      <c r="A16" s="3">
        <v>6</v>
      </c>
      <c r="B16" s="33" t="s">
        <v>84</v>
      </c>
      <c r="C16" s="36" t="s">
        <v>44</v>
      </c>
      <c r="D16" s="24" t="s">
        <v>11</v>
      </c>
      <c r="E16" s="7" t="s">
        <v>56</v>
      </c>
      <c r="F16" s="7" t="s">
        <v>22</v>
      </c>
      <c r="G16" s="24" t="s">
        <v>16</v>
      </c>
      <c r="H16" s="22"/>
      <c r="I16" s="22"/>
      <c r="J16" s="24" t="s">
        <v>57</v>
      </c>
    </row>
    <row r="17" spans="1:10" s="37" customFormat="1" x14ac:dyDescent="0.25">
      <c r="A17" s="3">
        <v>8</v>
      </c>
      <c r="B17" s="33" t="s">
        <v>127</v>
      </c>
      <c r="C17" s="36" t="s">
        <v>144</v>
      </c>
      <c r="D17" s="24" t="s">
        <v>11</v>
      </c>
      <c r="E17" s="24" t="s">
        <v>56</v>
      </c>
      <c r="F17" s="7" t="s">
        <v>22</v>
      </c>
      <c r="G17" s="24" t="s">
        <v>16</v>
      </c>
      <c r="H17" s="24"/>
      <c r="I17" s="24"/>
      <c r="J17" s="24" t="s">
        <v>57</v>
      </c>
    </row>
    <row r="18" spans="1:10" s="37" customFormat="1" x14ac:dyDescent="0.25">
      <c r="A18" s="32">
        <v>9</v>
      </c>
      <c r="B18" s="33" t="s">
        <v>128</v>
      </c>
      <c r="C18" s="36" t="s">
        <v>144</v>
      </c>
      <c r="D18" s="24" t="s">
        <v>11</v>
      </c>
      <c r="E18" s="24" t="s">
        <v>56</v>
      </c>
      <c r="F18" s="7" t="s">
        <v>22</v>
      </c>
      <c r="G18" s="24" t="s">
        <v>16</v>
      </c>
      <c r="H18" s="24"/>
      <c r="I18" s="24"/>
      <c r="J18" s="24" t="s">
        <v>57</v>
      </c>
    </row>
    <row r="19" spans="1:10" s="37" customFormat="1" x14ac:dyDescent="0.25">
      <c r="A19" s="8">
        <v>10</v>
      </c>
      <c r="B19" s="30" t="s">
        <v>140</v>
      </c>
      <c r="C19" s="36" t="s">
        <v>64</v>
      </c>
      <c r="D19" s="24" t="s">
        <v>122</v>
      </c>
      <c r="E19" s="7" t="s">
        <v>123</v>
      </c>
      <c r="F19" s="7" t="s">
        <v>22</v>
      </c>
      <c r="G19" s="7" t="s">
        <v>124</v>
      </c>
      <c r="H19" s="24"/>
      <c r="I19" s="24"/>
      <c r="J19" s="24" t="s">
        <v>57</v>
      </c>
    </row>
    <row r="20" spans="1:10" s="37" customFormat="1" x14ac:dyDescent="0.25">
      <c r="A20" s="8">
        <v>11</v>
      </c>
      <c r="B20" s="30" t="s">
        <v>139</v>
      </c>
      <c r="C20" s="36" t="s">
        <v>70</v>
      </c>
      <c r="D20" s="24" t="s">
        <v>122</v>
      </c>
      <c r="E20" s="7" t="s">
        <v>123</v>
      </c>
      <c r="F20" s="7" t="s">
        <v>22</v>
      </c>
      <c r="G20" s="7" t="s">
        <v>124</v>
      </c>
      <c r="H20" s="24"/>
      <c r="I20" s="24"/>
      <c r="J20" s="24" t="s">
        <v>57</v>
      </c>
    </row>
    <row r="21" spans="1:10" s="37" customFormat="1" x14ac:dyDescent="0.25">
      <c r="A21" s="8">
        <v>12</v>
      </c>
      <c r="B21" s="30" t="s">
        <v>138</v>
      </c>
      <c r="C21" s="36" t="s">
        <v>70</v>
      </c>
      <c r="D21" s="24" t="s">
        <v>122</v>
      </c>
      <c r="E21" s="7" t="s">
        <v>123</v>
      </c>
      <c r="F21" s="7" t="s">
        <v>22</v>
      </c>
      <c r="G21" s="7" t="s">
        <v>124</v>
      </c>
      <c r="H21" s="24"/>
      <c r="I21" s="24"/>
      <c r="J21" s="24" t="s">
        <v>57</v>
      </c>
    </row>
    <row r="22" spans="1:10" s="37" customFormat="1" x14ac:dyDescent="0.25">
      <c r="A22" s="8">
        <v>13</v>
      </c>
      <c r="B22" s="30" t="s">
        <v>141</v>
      </c>
      <c r="C22" s="36" t="s">
        <v>66</v>
      </c>
      <c r="D22" s="24" t="s">
        <v>122</v>
      </c>
      <c r="E22" s="7" t="s">
        <v>123</v>
      </c>
      <c r="F22" s="7" t="s">
        <v>22</v>
      </c>
      <c r="G22" s="7" t="s">
        <v>124</v>
      </c>
      <c r="H22" s="24"/>
      <c r="I22" s="24"/>
      <c r="J22" s="24" t="s">
        <v>57</v>
      </c>
    </row>
    <row r="23" spans="1:10" s="37" customFormat="1" x14ac:dyDescent="0.25">
      <c r="A23" s="8">
        <v>14</v>
      </c>
      <c r="B23" s="30" t="s">
        <v>137</v>
      </c>
      <c r="C23" s="36" t="s">
        <v>66</v>
      </c>
      <c r="D23" s="24" t="s">
        <v>122</v>
      </c>
      <c r="E23" s="7" t="s">
        <v>123</v>
      </c>
      <c r="F23" s="7" t="s">
        <v>22</v>
      </c>
      <c r="G23" s="7" t="s">
        <v>124</v>
      </c>
      <c r="H23" s="24"/>
      <c r="I23" s="24"/>
      <c r="J23" s="24" t="s">
        <v>57</v>
      </c>
    </row>
    <row r="24" spans="1:10" s="37" customFormat="1" x14ac:dyDescent="0.25">
      <c r="A24" s="8">
        <v>15</v>
      </c>
      <c r="B24" s="30" t="s">
        <v>136</v>
      </c>
      <c r="C24" s="36" t="s">
        <v>66</v>
      </c>
      <c r="D24" s="24" t="s">
        <v>122</v>
      </c>
      <c r="E24" s="7" t="s">
        <v>123</v>
      </c>
      <c r="F24" s="7" t="s">
        <v>22</v>
      </c>
      <c r="G24" s="7" t="s">
        <v>124</v>
      </c>
      <c r="H24" s="24"/>
      <c r="I24" s="24"/>
      <c r="J24" s="24" t="s">
        <v>57</v>
      </c>
    </row>
    <row r="25" spans="1:10" s="37" customFormat="1" x14ac:dyDescent="0.25">
      <c r="A25" s="8">
        <v>16</v>
      </c>
      <c r="B25" s="30" t="s">
        <v>135</v>
      </c>
      <c r="C25" s="36" t="s">
        <v>66</v>
      </c>
      <c r="D25" s="24" t="s">
        <v>122</v>
      </c>
      <c r="E25" s="7" t="s">
        <v>123</v>
      </c>
      <c r="F25" s="7" t="s">
        <v>22</v>
      </c>
      <c r="G25" s="7" t="s">
        <v>124</v>
      </c>
      <c r="H25" s="24"/>
      <c r="I25" s="24"/>
      <c r="J25" s="24" t="s">
        <v>57</v>
      </c>
    </row>
    <row r="26" spans="1:10" x14ac:dyDescent="0.25">
      <c r="A26" s="9"/>
      <c r="B26" s="20"/>
      <c r="C26" s="11"/>
      <c r="D26" s="18"/>
      <c r="E26" s="10"/>
      <c r="F26" s="10"/>
      <c r="G26" s="10"/>
      <c r="H26" s="10"/>
      <c r="I26" s="10"/>
      <c r="J26" s="13"/>
    </row>
    <row r="27" spans="1:10" x14ac:dyDescent="0.25">
      <c r="A27" s="9"/>
      <c r="B27" s="20"/>
      <c r="C27" s="11"/>
      <c r="D27" s="18"/>
      <c r="E27" s="10"/>
      <c r="F27" s="10"/>
      <c r="G27" s="10"/>
      <c r="H27" s="10"/>
      <c r="I27" s="10"/>
      <c r="J27" s="13"/>
    </row>
    <row r="28" spans="1:10" ht="15.75" x14ac:dyDescent="0.25">
      <c r="A28" s="113" t="s">
        <v>68</v>
      </c>
      <c r="B28" s="113"/>
      <c r="C28" s="113"/>
      <c r="D28" s="113"/>
      <c r="E28" s="113"/>
      <c r="F28" s="113"/>
      <c r="G28" s="113"/>
      <c r="H28" s="113"/>
      <c r="I28" s="113"/>
      <c r="J28" s="113"/>
    </row>
    <row r="29" spans="1:10" ht="15.75" x14ac:dyDescent="0.25">
      <c r="A29" s="1" t="s">
        <v>1</v>
      </c>
      <c r="B29" s="41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/>
      <c r="J29" s="2" t="s">
        <v>9</v>
      </c>
    </row>
    <row r="30" spans="1:10" x14ac:dyDescent="0.25">
      <c r="A30" s="32">
        <v>1</v>
      </c>
      <c r="B30" s="33" t="s">
        <v>89</v>
      </c>
      <c r="C30" s="17" t="s">
        <v>67</v>
      </c>
      <c r="D30" s="24" t="s">
        <v>11</v>
      </c>
      <c r="E30" s="7" t="s">
        <v>56</v>
      </c>
      <c r="F30" s="7" t="s">
        <v>22</v>
      </c>
      <c r="G30" s="24" t="s">
        <v>16</v>
      </c>
      <c r="H30" s="24">
        <v>3</v>
      </c>
      <c r="I30" s="22"/>
      <c r="J30" s="24" t="s">
        <v>57</v>
      </c>
    </row>
    <row r="31" spans="1:10" x14ac:dyDescent="0.25">
      <c r="A31" s="32">
        <v>2</v>
      </c>
      <c r="B31" s="33" t="s">
        <v>90</v>
      </c>
      <c r="C31" s="17" t="s">
        <v>67</v>
      </c>
      <c r="D31" s="24" t="s">
        <v>11</v>
      </c>
      <c r="E31" s="7" t="s">
        <v>56</v>
      </c>
      <c r="F31" s="7" t="s">
        <v>22</v>
      </c>
      <c r="G31" s="24" t="s">
        <v>16</v>
      </c>
      <c r="H31" s="24">
        <v>3</v>
      </c>
      <c r="I31" s="22"/>
      <c r="J31" s="24" t="s">
        <v>57</v>
      </c>
    </row>
    <row r="32" spans="1:10" s="37" customFormat="1" x14ac:dyDescent="0.25">
      <c r="A32" s="3">
        <v>3</v>
      </c>
      <c r="B32" s="33" t="s">
        <v>121</v>
      </c>
      <c r="C32" s="17" t="s">
        <v>67</v>
      </c>
      <c r="D32" s="24" t="s">
        <v>122</v>
      </c>
      <c r="E32" s="7" t="s">
        <v>123</v>
      </c>
      <c r="F32" s="7" t="s">
        <v>22</v>
      </c>
      <c r="G32" s="7" t="s">
        <v>124</v>
      </c>
      <c r="H32" s="24">
        <v>1</v>
      </c>
      <c r="I32" s="24"/>
      <c r="J32" s="24" t="s">
        <v>57</v>
      </c>
    </row>
    <row r="33" spans="1:10" ht="15" customHeight="1" x14ac:dyDescent="0.25"/>
    <row r="36" spans="1:10" ht="15.75" x14ac:dyDescent="0.25">
      <c r="A36" s="113" t="s">
        <v>30</v>
      </c>
      <c r="B36" s="113"/>
      <c r="C36" s="113"/>
      <c r="D36" s="113"/>
      <c r="E36" s="113"/>
      <c r="F36" s="113"/>
      <c r="G36" s="113"/>
      <c r="H36" s="113"/>
      <c r="I36" s="113"/>
      <c r="J36" s="113"/>
    </row>
    <row r="37" spans="1:10" ht="29.45" customHeight="1" x14ac:dyDescent="0.25">
      <c r="A37" s="14" t="s">
        <v>1</v>
      </c>
      <c r="B37" s="44" t="s">
        <v>2</v>
      </c>
      <c r="C37" s="15" t="s">
        <v>40</v>
      </c>
      <c r="D37" s="15" t="s">
        <v>4</v>
      </c>
      <c r="E37" s="15" t="s">
        <v>5</v>
      </c>
      <c r="F37" s="15" t="s">
        <v>6</v>
      </c>
      <c r="G37" s="15" t="s">
        <v>7</v>
      </c>
      <c r="H37" s="15" t="s">
        <v>8</v>
      </c>
      <c r="I37" s="15" t="s">
        <v>31</v>
      </c>
      <c r="J37" s="15" t="s">
        <v>9</v>
      </c>
    </row>
    <row r="38" spans="1:10" x14ac:dyDescent="0.25">
      <c r="A38" s="3">
        <v>1</v>
      </c>
      <c r="B38" s="30" t="s">
        <v>58</v>
      </c>
      <c r="C38" s="17" t="s">
        <v>33</v>
      </c>
      <c r="D38" s="21" t="s">
        <v>11</v>
      </c>
      <c r="E38" s="7" t="s">
        <v>56</v>
      </c>
      <c r="F38" s="24" t="s">
        <v>22</v>
      </c>
      <c r="G38" s="7" t="s">
        <v>16</v>
      </c>
      <c r="H38" s="24">
        <v>9</v>
      </c>
      <c r="I38" s="24"/>
      <c r="J38" s="8" t="s">
        <v>57</v>
      </c>
    </row>
    <row r="39" spans="1:10" x14ac:dyDescent="0.25">
      <c r="A39" s="3">
        <v>2</v>
      </c>
      <c r="B39" s="30" t="s">
        <v>55</v>
      </c>
      <c r="C39" s="17" t="s">
        <v>33</v>
      </c>
      <c r="D39" s="21" t="s">
        <v>11</v>
      </c>
      <c r="E39" s="7" t="s">
        <v>56</v>
      </c>
      <c r="F39" s="24" t="s">
        <v>22</v>
      </c>
      <c r="G39" s="7" t="s">
        <v>16</v>
      </c>
      <c r="H39" s="24">
        <v>8</v>
      </c>
      <c r="I39" s="24"/>
      <c r="J39" s="8" t="s">
        <v>57</v>
      </c>
    </row>
    <row r="40" spans="1:10" x14ac:dyDescent="0.25">
      <c r="A40" s="3">
        <v>3</v>
      </c>
      <c r="B40" s="30" t="s">
        <v>60</v>
      </c>
      <c r="C40" s="17" t="s">
        <v>33</v>
      </c>
      <c r="D40" s="24" t="s">
        <v>11</v>
      </c>
      <c r="E40" s="7" t="s">
        <v>56</v>
      </c>
      <c r="F40" s="24" t="s">
        <v>22</v>
      </c>
      <c r="G40" s="7" t="s">
        <v>16</v>
      </c>
      <c r="H40" s="24">
        <v>8</v>
      </c>
      <c r="I40" s="24"/>
      <c r="J40" s="8" t="s">
        <v>57</v>
      </c>
    </row>
    <row r="41" spans="1:10" x14ac:dyDescent="0.25">
      <c r="A41" s="3">
        <v>4</v>
      </c>
      <c r="B41" s="33" t="s">
        <v>92</v>
      </c>
      <c r="C41" s="17" t="s">
        <v>33</v>
      </c>
      <c r="D41" s="24" t="s">
        <v>11</v>
      </c>
      <c r="E41" s="7" t="s">
        <v>56</v>
      </c>
      <c r="F41" s="24" t="s">
        <v>22</v>
      </c>
      <c r="G41" s="24" t="s">
        <v>16</v>
      </c>
      <c r="H41" s="24">
        <v>8</v>
      </c>
      <c r="I41" s="22"/>
      <c r="J41" s="24" t="s">
        <v>57</v>
      </c>
    </row>
    <row r="42" spans="1:10" x14ac:dyDescent="0.25">
      <c r="A42" s="3">
        <v>5</v>
      </c>
      <c r="B42" s="33" t="s">
        <v>81</v>
      </c>
      <c r="C42" s="17" t="s">
        <v>33</v>
      </c>
      <c r="D42" s="24" t="s">
        <v>11</v>
      </c>
      <c r="E42" s="7" t="s">
        <v>56</v>
      </c>
      <c r="F42" s="7" t="s">
        <v>22</v>
      </c>
      <c r="G42" s="24" t="s">
        <v>16</v>
      </c>
      <c r="H42" s="24">
        <v>6</v>
      </c>
      <c r="I42" s="22"/>
      <c r="J42" s="24" t="s">
        <v>57</v>
      </c>
    </row>
    <row r="43" spans="1:10" x14ac:dyDescent="0.25">
      <c r="A43" s="3">
        <v>6</v>
      </c>
      <c r="B43" s="33" t="s">
        <v>77</v>
      </c>
      <c r="C43" s="17" t="s">
        <v>33</v>
      </c>
      <c r="D43" s="24" t="s">
        <v>11</v>
      </c>
      <c r="E43" s="7" t="s">
        <v>56</v>
      </c>
      <c r="F43" s="7" t="s">
        <v>22</v>
      </c>
      <c r="G43" s="24" t="s">
        <v>16</v>
      </c>
      <c r="H43" s="24">
        <v>6</v>
      </c>
      <c r="I43" s="22"/>
      <c r="J43" s="24" t="s">
        <v>57</v>
      </c>
    </row>
    <row r="44" spans="1:10" x14ac:dyDescent="0.25">
      <c r="A44" s="3">
        <v>7</v>
      </c>
      <c r="B44" s="33" t="s">
        <v>87</v>
      </c>
      <c r="C44" s="17" t="s">
        <v>33</v>
      </c>
      <c r="D44" s="24" t="s">
        <v>11</v>
      </c>
      <c r="E44" s="7" t="s">
        <v>56</v>
      </c>
      <c r="F44" s="7" t="s">
        <v>22</v>
      </c>
      <c r="G44" s="24" t="s">
        <v>16</v>
      </c>
      <c r="H44" s="24">
        <v>5</v>
      </c>
      <c r="I44" s="22"/>
      <c r="J44" s="24" t="s">
        <v>57</v>
      </c>
    </row>
    <row r="45" spans="1:10" x14ac:dyDescent="0.25">
      <c r="A45" s="3">
        <v>8</v>
      </c>
      <c r="B45" s="33" t="s">
        <v>75</v>
      </c>
      <c r="C45" s="17" t="s">
        <v>33</v>
      </c>
      <c r="D45" s="24" t="s">
        <v>11</v>
      </c>
      <c r="E45" s="7" t="s">
        <v>56</v>
      </c>
      <c r="F45" s="7" t="s">
        <v>22</v>
      </c>
      <c r="G45" s="24" t="s">
        <v>16</v>
      </c>
      <c r="H45" s="24">
        <v>5</v>
      </c>
      <c r="I45" s="22"/>
      <c r="J45" s="24" t="s">
        <v>57</v>
      </c>
    </row>
    <row r="46" spans="1:10" x14ac:dyDescent="0.25">
      <c r="A46" s="3">
        <v>9</v>
      </c>
      <c r="B46" s="33" t="s">
        <v>78</v>
      </c>
      <c r="C46" s="17" t="s">
        <v>33</v>
      </c>
      <c r="D46" s="24" t="s">
        <v>11</v>
      </c>
      <c r="E46" s="7" t="s">
        <v>56</v>
      </c>
      <c r="F46" s="7" t="s">
        <v>22</v>
      </c>
      <c r="G46" s="24" t="s">
        <v>16</v>
      </c>
      <c r="H46" s="24">
        <v>5</v>
      </c>
      <c r="I46" s="22"/>
      <c r="J46" s="24" t="s">
        <v>57</v>
      </c>
    </row>
    <row r="47" spans="1:10" x14ac:dyDescent="0.25">
      <c r="A47" s="3">
        <v>10</v>
      </c>
      <c r="B47" s="33" t="s">
        <v>76</v>
      </c>
      <c r="C47" s="17" t="s">
        <v>33</v>
      </c>
      <c r="D47" s="24" t="s">
        <v>11</v>
      </c>
      <c r="E47" s="7" t="s">
        <v>56</v>
      </c>
      <c r="F47" s="7" t="s">
        <v>22</v>
      </c>
      <c r="G47" s="24" t="s">
        <v>16</v>
      </c>
      <c r="H47" s="24">
        <v>4</v>
      </c>
      <c r="I47" s="22"/>
      <c r="J47" s="24" t="s">
        <v>57</v>
      </c>
    </row>
    <row r="48" spans="1:10" x14ac:dyDescent="0.25">
      <c r="A48" s="3">
        <v>11</v>
      </c>
      <c r="B48" s="33" t="s">
        <v>83</v>
      </c>
      <c r="C48" s="17" t="s">
        <v>33</v>
      </c>
      <c r="D48" s="24" t="s">
        <v>11</v>
      </c>
      <c r="E48" s="7" t="s">
        <v>56</v>
      </c>
      <c r="F48" s="7" t="s">
        <v>22</v>
      </c>
      <c r="G48" s="24" t="s">
        <v>16</v>
      </c>
      <c r="H48" s="24">
        <v>4</v>
      </c>
      <c r="I48" s="22"/>
      <c r="J48" s="24" t="s">
        <v>57</v>
      </c>
    </row>
    <row r="49" spans="1:10" x14ac:dyDescent="0.25">
      <c r="A49" s="3">
        <v>12</v>
      </c>
      <c r="B49" s="33" t="s">
        <v>74</v>
      </c>
      <c r="C49" s="17" t="s">
        <v>33</v>
      </c>
      <c r="D49" s="24" t="s">
        <v>11</v>
      </c>
      <c r="E49" s="7" t="s">
        <v>56</v>
      </c>
      <c r="F49" s="7" t="s">
        <v>22</v>
      </c>
      <c r="G49" s="24" t="s">
        <v>16</v>
      </c>
      <c r="H49" s="24">
        <v>3</v>
      </c>
      <c r="I49" s="22"/>
      <c r="J49" s="24" t="s">
        <v>57</v>
      </c>
    </row>
    <row r="50" spans="1:10" x14ac:dyDescent="0.25">
      <c r="A50" s="3">
        <v>13</v>
      </c>
      <c r="B50" s="33" t="s">
        <v>85</v>
      </c>
      <c r="C50" s="17" t="s">
        <v>33</v>
      </c>
      <c r="D50" s="24" t="s">
        <v>11</v>
      </c>
      <c r="E50" s="7" t="s">
        <v>56</v>
      </c>
      <c r="F50" s="7" t="s">
        <v>22</v>
      </c>
      <c r="G50" s="24" t="s">
        <v>16</v>
      </c>
      <c r="H50" s="24">
        <v>2</v>
      </c>
      <c r="I50" s="22"/>
      <c r="J50" s="24" t="s">
        <v>57</v>
      </c>
    </row>
    <row r="51" spans="1:10" ht="12.6" customHeight="1" x14ac:dyDescent="0.25"/>
  </sheetData>
  <mergeCells count="5">
    <mergeCell ref="A1:J1"/>
    <mergeCell ref="A5:J5"/>
    <mergeCell ref="A9:J9"/>
    <mergeCell ref="A28:J28"/>
    <mergeCell ref="A36:J36"/>
  </mergeCells>
  <conditionalFormatting sqref="B1:B1048576">
    <cfRule type="duplicateValues" dxfId="2182" priority="1"/>
  </conditionalFormatting>
  <conditionalFormatting sqref="B8">
    <cfRule type="duplicateValues" dxfId="2181" priority="22"/>
    <cfRule type="duplicateValues" dxfId="2180" priority="23"/>
    <cfRule type="duplicateValues" dxfId="2179" priority="24"/>
    <cfRule type="duplicateValues" dxfId="2178" priority="25"/>
    <cfRule type="duplicateValues" dxfId="2177" priority="26"/>
    <cfRule type="duplicateValues" dxfId="2176" priority="27"/>
    <cfRule type="duplicateValues" dxfId="2175" priority="28"/>
    <cfRule type="duplicateValues" dxfId="2174" priority="29"/>
    <cfRule type="duplicateValues" dxfId="2173" priority="30"/>
    <cfRule type="duplicateValues" dxfId="2172" priority="31"/>
    <cfRule type="duplicateValues" dxfId="2171" priority="32"/>
    <cfRule type="duplicateValues" dxfId="2170" priority="33"/>
    <cfRule type="duplicateValues" dxfId="2169" priority="34"/>
    <cfRule type="duplicateValues" dxfId="2168" priority="35"/>
    <cfRule type="duplicateValues" dxfId="2167" priority="36"/>
    <cfRule type="duplicateValues" dxfId="2166" priority="37"/>
    <cfRule type="duplicateValues" dxfId="2165" priority="38" stopIfTrue="1"/>
  </conditionalFormatting>
  <conditionalFormatting sqref="B11 B7">
    <cfRule type="duplicateValues" dxfId="2164" priority="9"/>
  </conditionalFormatting>
  <conditionalFormatting sqref="B12:B15">
    <cfRule type="duplicateValues" dxfId="2163" priority="7"/>
  </conditionalFormatting>
  <conditionalFormatting sqref="B17:B18 B12:B15 B32">
    <cfRule type="duplicateValues" dxfId="2162" priority="8"/>
  </conditionalFormatting>
  <conditionalFormatting sqref="B17:B18 B32">
    <cfRule type="duplicateValues" dxfId="2161" priority="6"/>
  </conditionalFormatting>
  <conditionalFormatting sqref="B19:B23">
    <cfRule type="duplicateValues" dxfId="2160" priority="75"/>
  </conditionalFormatting>
  <conditionalFormatting sqref="B19:B25">
    <cfRule type="duplicateValues" dxfId="2159" priority="74"/>
  </conditionalFormatting>
  <conditionalFormatting sqref="B24:B25">
    <cfRule type="duplicateValues" dxfId="2158" priority="76"/>
  </conditionalFormatting>
  <conditionalFormatting sqref="B26:B27 B3">
    <cfRule type="duplicateValues" dxfId="2157" priority="39"/>
    <cfRule type="duplicateValues" dxfId="2156" priority="40" stopIfTrue="1"/>
  </conditionalFormatting>
  <conditionalFormatting sqref="B26:B31 B33:B1048576 B8:B10 B16 B1:B6">
    <cfRule type="duplicateValues" dxfId="2155" priority="4676"/>
  </conditionalFormatting>
  <conditionalFormatting sqref="B26:B31 B33:B1048576 B16 B1:B11">
    <cfRule type="duplicateValues" dxfId="2154" priority="4683"/>
  </conditionalFormatting>
  <conditionalFormatting sqref="B26:B1048576 B1:B18">
    <cfRule type="duplicateValues" dxfId="2153" priority="4656"/>
    <cfRule type="duplicateValues" dxfId="2152" priority="4657"/>
    <cfRule type="duplicateValues" dxfId="2151" priority="4658"/>
    <cfRule type="duplicateValues" dxfId="2150" priority="4659"/>
  </conditionalFormatting>
  <conditionalFormatting sqref="B30:B31 B16 B42:B50">
    <cfRule type="duplicateValues" dxfId="2149" priority="4644"/>
    <cfRule type="duplicateValues" dxfId="2148" priority="4645"/>
    <cfRule type="duplicateValues" dxfId="2147" priority="4646"/>
    <cfRule type="duplicateValues" dxfId="2146" priority="4647"/>
  </conditionalFormatting>
  <conditionalFormatting sqref="B34:B37 B9:B10 B26:B29 B1:B6 B51:B1048576">
    <cfRule type="duplicateValues" dxfId="2145" priority="4690"/>
  </conditionalFormatting>
  <conditionalFormatting sqref="B34:B37 B26:B28 B51:B1048576">
    <cfRule type="duplicateValues" dxfId="2144" priority="4697"/>
  </conditionalFormatting>
  <conditionalFormatting sqref="B34:B37 B26:B29 B9:B10 B1:B6 B51:B1048576">
    <cfRule type="duplicateValues" dxfId="2143" priority="4702"/>
    <cfRule type="duplicateValues" dxfId="2142" priority="4703"/>
    <cfRule type="duplicateValues" dxfId="2141" priority="4704"/>
    <cfRule type="duplicateValues" dxfId="2140" priority="4705"/>
    <cfRule type="duplicateValues" dxfId="2139" priority="4706"/>
    <cfRule type="duplicateValues" dxfId="2138" priority="4707"/>
    <cfRule type="duplicateValues" dxfId="2137" priority="4708"/>
  </conditionalFormatting>
  <conditionalFormatting sqref="B34:B40 B9:B10 B26:B29 B1:B6 B51:B1048576">
    <cfRule type="duplicateValues" dxfId="2136" priority="4751"/>
    <cfRule type="duplicateValues" dxfId="2135" priority="4752"/>
    <cfRule type="duplicateValues" dxfId="2134" priority="4753"/>
    <cfRule type="duplicateValues" dxfId="2133" priority="4754"/>
    <cfRule type="duplicateValues" dxfId="2132" priority="4755"/>
    <cfRule type="duplicateValues" dxfId="2131" priority="4756"/>
    <cfRule type="duplicateValues" dxfId="2130" priority="4757"/>
  </conditionalFormatting>
  <conditionalFormatting sqref="B37 B4 B2 B10 B34:B35 B29 B6">
    <cfRule type="duplicateValues" dxfId="2129" priority="21" stopIfTrue="1"/>
  </conditionalFormatting>
  <conditionalFormatting sqref="B38">
    <cfRule type="duplicateValues" dxfId="2128" priority="16"/>
    <cfRule type="duplicateValues" dxfId="2127" priority="17"/>
    <cfRule type="duplicateValues" dxfId="2126" priority="18"/>
  </conditionalFormatting>
  <conditionalFormatting sqref="B39">
    <cfRule type="duplicateValues" dxfId="2125" priority="19"/>
    <cfRule type="duplicateValues" dxfId="2124" priority="20"/>
  </conditionalFormatting>
  <conditionalFormatting sqref="B39:B40">
    <cfRule type="duplicateValues" dxfId="2123" priority="4265"/>
  </conditionalFormatting>
  <conditionalFormatting sqref="B40">
    <cfRule type="duplicateValues" dxfId="2122" priority="4266"/>
    <cfRule type="duplicateValues" dxfId="2121" priority="4267"/>
  </conditionalFormatting>
  <conditionalFormatting sqref="B41">
    <cfRule type="duplicateValues" dxfId="2120" priority="4259"/>
    <cfRule type="duplicateValues" dxfId="2119" priority="4260"/>
    <cfRule type="duplicateValues" dxfId="2118" priority="4261"/>
    <cfRule type="duplicateValues" dxfId="2117" priority="4262"/>
    <cfRule type="duplicateValues" dxfId="2116" priority="4263"/>
    <cfRule type="duplicateValues" dxfId="2115" priority="4264"/>
  </conditionalFormatting>
  <conditionalFormatting sqref="B42:B1048576 B26:B31 B33:B40 B1:B6 B8:B10 B16">
    <cfRule type="duplicateValues" dxfId="2114" priority="4648"/>
  </conditionalFormatting>
  <conditionalFormatting sqref="B51:B1048576">
    <cfRule type="duplicateValues" dxfId="2113" priority="4800"/>
    <cfRule type="duplicateValues" dxfId="2112" priority="4801"/>
    <cfRule type="duplicateValues" dxfId="2111" priority="4802"/>
  </conditionalFormatting>
  <conditionalFormatting sqref="B52:B1048576">
    <cfRule type="duplicateValues" dxfId="2110" priority="4809"/>
  </conditionalFormatting>
  <conditionalFormatting sqref="B53:B1048576">
    <cfRule type="duplicateValues" dxfId="2109" priority="4812"/>
  </conditionalFormatting>
  <conditionalFormatting sqref="B54:B1048576">
    <cfRule type="duplicateValues" dxfId="2108" priority="4818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5EE2-931D-456C-878B-41FD04AF2F63}">
  <dimension ref="A1:M60"/>
  <sheetViews>
    <sheetView topLeftCell="A5" workbookViewId="0">
      <selection activeCell="D41" sqref="D41"/>
    </sheetView>
  </sheetViews>
  <sheetFormatPr defaultRowHeight="15" x14ac:dyDescent="0.25"/>
  <cols>
    <col min="2" max="2" width="9.85546875" style="42" bestFit="1" customWidth="1"/>
    <col min="3" max="3" width="17" customWidth="1"/>
    <col min="4" max="4" width="11" customWidth="1"/>
    <col min="5" max="5" width="36.85546875" bestFit="1" customWidth="1"/>
    <col min="7" max="7" width="22.42578125" bestFit="1" customWidth="1"/>
    <col min="9" max="9" width="9.28515625" bestFit="1" customWidth="1"/>
  </cols>
  <sheetData>
    <row r="1" spans="1:13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3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3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3" hidden="1" x14ac:dyDescent="0.25"/>
    <row r="5" spans="1:13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3" ht="15.75" x14ac:dyDescent="0.25">
      <c r="A6" s="1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3" s="37" customFormat="1" x14ac:dyDescent="0.25">
      <c r="A7" s="8">
        <f>ROW()-6</f>
        <v>1</v>
      </c>
      <c r="B7" s="30" t="s">
        <v>151</v>
      </c>
      <c r="C7" s="46" t="s">
        <v>0</v>
      </c>
      <c r="D7" s="24" t="s">
        <v>11</v>
      </c>
      <c r="E7" s="24" t="s">
        <v>56</v>
      </c>
      <c r="F7" s="30" t="s">
        <v>22</v>
      </c>
      <c r="G7" s="24" t="s">
        <v>16</v>
      </c>
      <c r="H7" s="24">
        <v>8</v>
      </c>
      <c r="I7" s="24"/>
      <c r="J7" s="24" t="s">
        <v>57</v>
      </c>
    </row>
    <row r="8" spans="1:13" s="37" customFormat="1" x14ac:dyDescent="0.25">
      <c r="A8" s="8">
        <f t="shared" ref="A8:A12" si="0">ROW()-6</f>
        <v>2</v>
      </c>
      <c r="B8" s="30" t="s">
        <v>160</v>
      </c>
      <c r="C8" s="46" t="s">
        <v>0</v>
      </c>
      <c r="D8" s="24" t="s">
        <v>11</v>
      </c>
      <c r="E8" s="30" t="s">
        <v>12</v>
      </c>
      <c r="F8" s="30" t="s">
        <v>22</v>
      </c>
      <c r="G8" s="49" t="s">
        <v>13</v>
      </c>
      <c r="H8" s="50">
        <v>3</v>
      </c>
      <c r="I8" s="24"/>
      <c r="J8" s="24" t="s">
        <v>57</v>
      </c>
    </row>
    <row r="9" spans="1:13" s="37" customFormat="1" x14ac:dyDescent="0.25">
      <c r="A9" s="8">
        <f t="shared" si="0"/>
        <v>3</v>
      </c>
      <c r="B9" s="30" t="s">
        <v>166</v>
      </c>
      <c r="C9" s="46" t="s">
        <v>0</v>
      </c>
      <c r="D9" s="24" t="s">
        <v>11</v>
      </c>
      <c r="E9" s="24" t="s">
        <v>12</v>
      </c>
      <c r="F9" s="30" t="s">
        <v>22</v>
      </c>
      <c r="G9" s="49" t="s">
        <v>13</v>
      </c>
      <c r="H9" s="50">
        <v>3</v>
      </c>
      <c r="I9" s="24"/>
      <c r="J9" s="24" t="s">
        <v>57</v>
      </c>
    </row>
    <row r="10" spans="1:13" s="37" customFormat="1" ht="15" customHeight="1" x14ac:dyDescent="0.25">
      <c r="A10" s="8">
        <f t="shared" si="0"/>
        <v>4</v>
      </c>
      <c r="B10" s="33" t="s">
        <v>167</v>
      </c>
      <c r="C10" s="36" t="s">
        <v>0</v>
      </c>
      <c r="D10" s="35" t="s">
        <v>147</v>
      </c>
      <c r="E10" s="24" t="s">
        <v>148</v>
      </c>
      <c r="F10" s="30" t="s">
        <v>22</v>
      </c>
      <c r="G10" s="24" t="s">
        <v>16</v>
      </c>
      <c r="H10" s="24">
        <v>2</v>
      </c>
      <c r="I10" s="24"/>
      <c r="J10" s="24" t="s">
        <v>57</v>
      </c>
    </row>
    <row r="11" spans="1:13" s="37" customFormat="1" ht="15" customHeight="1" thickBot="1" x14ac:dyDescent="0.3">
      <c r="A11" s="8">
        <f t="shared" si="0"/>
        <v>5</v>
      </c>
      <c r="B11" s="33" t="s">
        <v>168</v>
      </c>
      <c r="C11" s="36" t="s">
        <v>0</v>
      </c>
      <c r="D11" s="35" t="s">
        <v>11</v>
      </c>
      <c r="E11" s="24" t="s">
        <v>12</v>
      </c>
      <c r="F11" s="30" t="s">
        <v>22</v>
      </c>
      <c r="G11" s="7" t="s">
        <v>169</v>
      </c>
      <c r="H11" s="24">
        <v>2</v>
      </c>
      <c r="I11" s="24"/>
      <c r="J11" s="24" t="s">
        <v>57</v>
      </c>
      <c r="M11" s="51"/>
    </row>
    <row r="12" spans="1:13" s="37" customFormat="1" ht="15" customHeight="1" x14ac:dyDescent="0.25">
      <c r="A12" s="8">
        <f t="shared" si="0"/>
        <v>6</v>
      </c>
      <c r="B12" s="33" t="s">
        <v>170</v>
      </c>
      <c r="C12" s="36" t="s">
        <v>0</v>
      </c>
      <c r="D12" s="35" t="s">
        <v>11</v>
      </c>
      <c r="E12" s="24" t="s">
        <v>12</v>
      </c>
      <c r="F12" s="30" t="s">
        <v>22</v>
      </c>
      <c r="G12" s="7" t="s">
        <v>169</v>
      </c>
      <c r="H12" s="24">
        <v>2</v>
      </c>
      <c r="I12" s="24"/>
      <c r="J12" s="24" t="s">
        <v>57</v>
      </c>
    </row>
    <row r="13" spans="1:13" s="37" customFormat="1" x14ac:dyDescent="0.25">
      <c r="A13" s="13"/>
      <c r="B13" s="43"/>
      <c r="C13" s="39"/>
      <c r="F13" s="12"/>
    </row>
    <row r="14" spans="1:13" x14ac:dyDescent="0.25">
      <c r="A14" s="9"/>
      <c r="B14" s="20"/>
      <c r="C14" s="11"/>
      <c r="D14" s="18"/>
      <c r="E14" s="10"/>
      <c r="F14" s="10"/>
      <c r="G14" s="10"/>
      <c r="H14" s="10"/>
      <c r="I14" s="10"/>
      <c r="J14" s="13"/>
    </row>
    <row r="15" spans="1:13" x14ac:dyDescent="0.25">
      <c r="A15" s="111" t="s">
        <v>21</v>
      </c>
      <c r="B15" s="111"/>
      <c r="C15" s="111"/>
      <c r="D15" s="111"/>
      <c r="E15" s="111"/>
      <c r="F15" s="111"/>
      <c r="G15" s="111"/>
      <c r="H15" s="111"/>
      <c r="I15" s="111"/>
      <c r="J15" s="111"/>
    </row>
    <row r="16" spans="1:13" ht="15.75" x14ac:dyDescent="0.25">
      <c r="A16" s="1" t="s">
        <v>1</v>
      </c>
      <c r="B16" s="41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/>
      <c r="J16" s="2" t="s">
        <v>9</v>
      </c>
    </row>
    <row r="17" spans="1:10" s="37" customFormat="1" ht="15" customHeight="1" x14ac:dyDescent="0.25">
      <c r="A17" s="8">
        <f>ROW()-16</f>
        <v>1</v>
      </c>
      <c r="B17" s="30" t="s">
        <v>159</v>
      </c>
      <c r="C17" s="46" t="s">
        <v>66</v>
      </c>
      <c r="D17" s="24" t="s">
        <v>11</v>
      </c>
      <c r="E17" s="30" t="s">
        <v>12</v>
      </c>
      <c r="F17" s="30" t="s">
        <v>22</v>
      </c>
      <c r="G17" s="7" t="s">
        <v>13</v>
      </c>
      <c r="H17" s="24">
        <v>2</v>
      </c>
      <c r="I17" s="24"/>
      <c r="J17" s="24" t="s">
        <v>57</v>
      </c>
    </row>
    <row r="18" spans="1:10" s="37" customFormat="1" ht="15" customHeight="1" x14ac:dyDescent="0.25">
      <c r="A18" s="8">
        <f t="shared" ref="A18:A31" si="1">ROW()-16</f>
        <v>2</v>
      </c>
      <c r="B18" s="30" t="s">
        <v>161</v>
      </c>
      <c r="C18" s="36" t="s">
        <v>66</v>
      </c>
      <c r="D18" s="24" t="s">
        <v>11</v>
      </c>
      <c r="E18" s="30" t="s">
        <v>12</v>
      </c>
      <c r="F18" s="30" t="s">
        <v>22</v>
      </c>
      <c r="G18" s="24" t="s">
        <v>16</v>
      </c>
      <c r="H18" s="24">
        <v>2</v>
      </c>
      <c r="I18" s="24"/>
      <c r="J18" s="24" t="s">
        <v>57</v>
      </c>
    </row>
    <row r="19" spans="1:10" s="37" customFormat="1" ht="15" customHeight="1" x14ac:dyDescent="0.25">
      <c r="A19" s="8">
        <f t="shared" si="1"/>
        <v>3</v>
      </c>
      <c r="B19" s="30" t="s">
        <v>158</v>
      </c>
      <c r="C19" s="36" t="s">
        <v>66</v>
      </c>
      <c r="D19" s="24" t="s">
        <v>11</v>
      </c>
      <c r="E19" s="30" t="s">
        <v>12</v>
      </c>
      <c r="F19" s="30" t="s">
        <v>22</v>
      </c>
      <c r="G19" s="7" t="s">
        <v>13</v>
      </c>
      <c r="H19" s="24">
        <v>2</v>
      </c>
      <c r="I19" s="24"/>
      <c r="J19" s="24" t="s">
        <v>57</v>
      </c>
    </row>
    <row r="20" spans="1:10" s="37" customFormat="1" ht="15" customHeight="1" x14ac:dyDescent="0.25">
      <c r="A20" s="8">
        <f t="shared" si="1"/>
        <v>4</v>
      </c>
      <c r="B20" s="30" t="s">
        <v>157</v>
      </c>
      <c r="C20" s="36" t="s">
        <v>66</v>
      </c>
      <c r="D20" s="24" t="s">
        <v>11</v>
      </c>
      <c r="E20" s="30" t="s">
        <v>12</v>
      </c>
      <c r="F20" s="30" t="s">
        <v>22</v>
      </c>
      <c r="G20" s="24" t="s">
        <v>16</v>
      </c>
      <c r="H20" s="24">
        <v>2</v>
      </c>
      <c r="I20" s="24"/>
      <c r="J20" s="24" t="s">
        <v>57</v>
      </c>
    </row>
    <row r="21" spans="1:10" s="37" customFormat="1" ht="15" customHeight="1" x14ac:dyDescent="0.25">
      <c r="A21" s="8">
        <f t="shared" si="1"/>
        <v>5</v>
      </c>
      <c r="B21" s="30" t="s">
        <v>155</v>
      </c>
      <c r="C21" s="36" t="s">
        <v>66</v>
      </c>
      <c r="D21" s="24" t="s">
        <v>11</v>
      </c>
      <c r="E21" s="30" t="s">
        <v>12</v>
      </c>
      <c r="F21" s="30" t="s">
        <v>22</v>
      </c>
      <c r="G21" s="24" t="s">
        <v>16</v>
      </c>
      <c r="H21" s="24">
        <v>2</v>
      </c>
      <c r="I21" s="24"/>
      <c r="J21" s="24" t="s">
        <v>57</v>
      </c>
    </row>
    <row r="22" spans="1:10" s="37" customFormat="1" ht="15" customHeight="1" x14ac:dyDescent="0.25">
      <c r="A22" s="8">
        <f t="shared" si="1"/>
        <v>6</v>
      </c>
      <c r="B22" s="30" t="s">
        <v>162</v>
      </c>
      <c r="C22" s="36" t="s">
        <v>66</v>
      </c>
      <c r="D22" s="24" t="s">
        <v>11</v>
      </c>
      <c r="E22" s="30" t="s">
        <v>12</v>
      </c>
      <c r="F22" s="30" t="s">
        <v>22</v>
      </c>
      <c r="G22" s="7" t="s">
        <v>13</v>
      </c>
      <c r="H22" s="24">
        <v>1</v>
      </c>
      <c r="I22" s="24"/>
      <c r="J22" s="24" t="s">
        <v>57</v>
      </c>
    </row>
    <row r="23" spans="1:10" s="37" customFormat="1" ht="15" customHeight="1" x14ac:dyDescent="0.25">
      <c r="A23" s="8">
        <f t="shared" si="1"/>
        <v>7</v>
      </c>
      <c r="B23" s="30" t="s">
        <v>150</v>
      </c>
      <c r="C23" s="36" t="s">
        <v>66</v>
      </c>
      <c r="D23" s="24" t="s">
        <v>11</v>
      </c>
      <c r="E23" s="24" t="s">
        <v>12</v>
      </c>
      <c r="F23" s="30" t="s">
        <v>22</v>
      </c>
      <c r="G23" s="24" t="s">
        <v>53</v>
      </c>
      <c r="H23" s="24">
        <v>1</v>
      </c>
      <c r="I23" s="24"/>
      <c r="J23" s="24" t="s">
        <v>57</v>
      </c>
    </row>
    <row r="24" spans="1:10" s="37" customFormat="1" ht="15" customHeight="1" x14ac:dyDescent="0.25">
      <c r="A24" s="8">
        <f t="shared" si="1"/>
        <v>8</v>
      </c>
      <c r="B24" s="30" t="s">
        <v>149</v>
      </c>
      <c r="C24" s="36" t="s">
        <v>96</v>
      </c>
      <c r="D24" s="24" t="s">
        <v>11</v>
      </c>
      <c r="E24" s="24" t="s">
        <v>56</v>
      </c>
      <c r="F24" s="30" t="s">
        <v>22</v>
      </c>
      <c r="G24" s="24" t="s">
        <v>16</v>
      </c>
      <c r="H24" s="24"/>
      <c r="I24" s="24"/>
      <c r="J24" s="24" t="s">
        <v>57</v>
      </c>
    </row>
    <row r="25" spans="1:10" s="37" customFormat="1" ht="15" customHeight="1" x14ac:dyDescent="0.25">
      <c r="A25" s="8">
        <f t="shared" si="1"/>
        <v>9</v>
      </c>
      <c r="B25" s="30" t="s">
        <v>164</v>
      </c>
      <c r="C25" s="36" t="s">
        <v>171</v>
      </c>
      <c r="D25" s="24" t="s">
        <v>11</v>
      </c>
      <c r="E25" s="24" t="s">
        <v>12</v>
      </c>
      <c r="F25" s="30" t="s">
        <v>22</v>
      </c>
      <c r="G25" s="24" t="s">
        <v>53</v>
      </c>
      <c r="H25" s="24"/>
      <c r="I25" s="24"/>
      <c r="J25" s="24" t="s">
        <v>57</v>
      </c>
    </row>
    <row r="26" spans="1:10" s="37" customFormat="1" ht="15" customHeight="1" x14ac:dyDescent="0.25">
      <c r="A26" s="8">
        <f t="shared" si="1"/>
        <v>10</v>
      </c>
      <c r="B26" s="30" t="s">
        <v>154</v>
      </c>
      <c r="C26" s="36" t="s">
        <v>120</v>
      </c>
      <c r="D26" s="24" t="s">
        <v>11</v>
      </c>
      <c r="E26" s="24" t="s">
        <v>56</v>
      </c>
      <c r="F26" s="30" t="s">
        <v>22</v>
      </c>
      <c r="G26" s="24" t="s">
        <v>16</v>
      </c>
      <c r="H26" s="24"/>
      <c r="I26" s="24"/>
      <c r="J26" s="24" t="s">
        <v>57</v>
      </c>
    </row>
    <row r="27" spans="1:10" s="37" customFormat="1" ht="15" customHeight="1" x14ac:dyDescent="0.25">
      <c r="A27" s="8">
        <f t="shared" si="1"/>
        <v>11</v>
      </c>
      <c r="B27" s="30" t="s">
        <v>153</v>
      </c>
      <c r="C27" s="36" t="s">
        <v>171</v>
      </c>
      <c r="D27" s="24" t="s">
        <v>11</v>
      </c>
      <c r="E27" s="24" t="s">
        <v>56</v>
      </c>
      <c r="F27" s="30" t="s">
        <v>22</v>
      </c>
      <c r="G27" s="24" t="s">
        <v>16</v>
      </c>
      <c r="H27" s="24"/>
      <c r="I27" s="24"/>
      <c r="J27" s="24" t="s">
        <v>57</v>
      </c>
    </row>
    <row r="28" spans="1:10" s="37" customFormat="1" ht="15" customHeight="1" x14ac:dyDescent="0.25">
      <c r="A28" s="8">
        <f t="shared" si="1"/>
        <v>12</v>
      </c>
      <c r="B28" s="30" t="s">
        <v>152</v>
      </c>
      <c r="C28" s="36" t="s">
        <v>171</v>
      </c>
      <c r="D28" s="24" t="s">
        <v>11</v>
      </c>
      <c r="E28" s="24" t="s">
        <v>56</v>
      </c>
      <c r="F28" s="30" t="s">
        <v>22</v>
      </c>
      <c r="G28" s="24" t="s">
        <v>16</v>
      </c>
      <c r="H28" s="24"/>
      <c r="I28" s="24"/>
      <c r="J28" s="24" t="s">
        <v>57</v>
      </c>
    </row>
    <row r="29" spans="1:10" s="37" customFormat="1" ht="15" customHeight="1" x14ac:dyDescent="0.25">
      <c r="A29" s="8">
        <f t="shared" si="1"/>
        <v>13</v>
      </c>
      <c r="B29" s="30" t="s">
        <v>156</v>
      </c>
      <c r="C29" s="36" t="s">
        <v>44</v>
      </c>
      <c r="D29" s="24" t="s">
        <v>11</v>
      </c>
      <c r="E29" s="30" t="s">
        <v>12</v>
      </c>
      <c r="F29" s="30" t="s">
        <v>22</v>
      </c>
      <c r="G29" s="24" t="s">
        <v>16</v>
      </c>
      <c r="H29" s="24"/>
      <c r="I29" s="24"/>
      <c r="J29" s="24" t="s">
        <v>57</v>
      </c>
    </row>
    <row r="30" spans="1:10" s="37" customFormat="1" ht="15" customHeight="1" x14ac:dyDescent="0.25">
      <c r="A30" s="8">
        <f t="shared" si="1"/>
        <v>14</v>
      </c>
      <c r="B30" s="30" t="s">
        <v>146</v>
      </c>
      <c r="C30" s="36" t="s">
        <v>172</v>
      </c>
      <c r="D30" s="21" t="s">
        <v>147</v>
      </c>
      <c r="E30" s="24" t="s">
        <v>148</v>
      </c>
      <c r="F30" s="30" t="s">
        <v>22</v>
      </c>
      <c r="G30" s="24" t="s">
        <v>16</v>
      </c>
      <c r="H30" s="24"/>
      <c r="I30" s="24"/>
      <c r="J30" s="24" t="s">
        <v>57</v>
      </c>
    </row>
    <row r="31" spans="1:10" s="37" customFormat="1" ht="15" customHeight="1" x14ac:dyDescent="0.25">
      <c r="A31" s="8">
        <f t="shared" si="1"/>
        <v>15</v>
      </c>
      <c r="B31" s="30" t="s">
        <v>163</v>
      </c>
      <c r="C31" s="36" t="s">
        <v>165</v>
      </c>
      <c r="D31" s="24" t="s">
        <v>11</v>
      </c>
      <c r="E31" s="24" t="s">
        <v>12</v>
      </c>
      <c r="F31" s="30" t="s">
        <v>22</v>
      </c>
      <c r="G31" s="24" t="s">
        <v>53</v>
      </c>
      <c r="H31" s="24"/>
      <c r="I31" s="24"/>
      <c r="J31" s="24" t="s">
        <v>57</v>
      </c>
    </row>
    <row r="32" spans="1:10" x14ac:dyDescent="0.25">
      <c r="A32" s="47"/>
      <c r="B32" s="43"/>
      <c r="C32" s="39"/>
      <c r="D32" s="37"/>
      <c r="E32" s="37"/>
      <c r="F32" s="43"/>
      <c r="G32" s="37"/>
      <c r="H32" s="37"/>
      <c r="I32" s="37"/>
      <c r="J32" s="37"/>
    </row>
    <row r="33" spans="1:10" x14ac:dyDescent="0.25">
      <c r="A33" s="9"/>
      <c r="B33" s="20"/>
      <c r="C33" s="11"/>
      <c r="D33" s="18"/>
      <c r="E33" s="10"/>
      <c r="F33" s="10"/>
      <c r="G33" s="10"/>
      <c r="H33" s="10"/>
      <c r="I33" s="10"/>
      <c r="J33" s="13"/>
    </row>
    <row r="34" spans="1:10" x14ac:dyDescent="0.25">
      <c r="A34" s="9"/>
      <c r="B34" s="20"/>
      <c r="C34" s="11"/>
      <c r="D34" s="18"/>
      <c r="E34" s="10"/>
      <c r="F34" s="10"/>
      <c r="G34" s="10"/>
      <c r="H34" s="10"/>
      <c r="I34" s="10"/>
      <c r="J34" s="13"/>
    </row>
    <row r="35" spans="1:10" ht="15.75" x14ac:dyDescent="0.25">
      <c r="A35" s="113" t="s">
        <v>68</v>
      </c>
      <c r="B35" s="113"/>
      <c r="C35" s="113"/>
      <c r="D35" s="113"/>
      <c r="E35" s="113"/>
      <c r="F35" s="113"/>
      <c r="G35" s="113"/>
      <c r="H35" s="113"/>
      <c r="I35" s="113"/>
      <c r="J35" s="113"/>
    </row>
    <row r="36" spans="1:10" ht="15.75" x14ac:dyDescent="0.25">
      <c r="A36" s="1" t="s">
        <v>1</v>
      </c>
      <c r="B36" s="41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/>
      <c r="J36" s="2" t="s">
        <v>9</v>
      </c>
    </row>
    <row r="37" spans="1:10" s="37" customFormat="1" ht="15" customHeight="1" x14ac:dyDescent="0.25">
      <c r="A37" s="8">
        <f>ROW()-36</f>
        <v>1</v>
      </c>
      <c r="B37" s="30" t="s">
        <v>139</v>
      </c>
      <c r="C37" s="45" t="s">
        <v>67</v>
      </c>
      <c r="D37" s="24" t="s">
        <v>122</v>
      </c>
      <c r="E37" s="7" t="s">
        <v>123</v>
      </c>
      <c r="F37" s="7" t="s">
        <v>22</v>
      </c>
      <c r="G37" s="7" t="s">
        <v>124</v>
      </c>
      <c r="H37" s="7">
        <v>7</v>
      </c>
      <c r="I37" s="24"/>
      <c r="J37" s="24" t="s">
        <v>57</v>
      </c>
    </row>
    <row r="38" spans="1:10" s="37" customFormat="1" ht="15" customHeight="1" x14ac:dyDescent="0.25">
      <c r="A38" s="8">
        <f t="shared" ref="A38:A39" si="2">ROW()-36</f>
        <v>2</v>
      </c>
      <c r="B38" s="30" t="s">
        <v>137</v>
      </c>
      <c r="C38" s="45" t="s">
        <v>67</v>
      </c>
      <c r="D38" s="24" t="s">
        <v>122</v>
      </c>
      <c r="E38" s="7" t="s">
        <v>123</v>
      </c>
      <c r="F38" s="7" t="s">
        <v>22</v>
      </c>
      <c r="G38" s="7" t="s">
        <v>124</v>
      </c>
      <c r="H38" s="24">
        <v>4</v>
      </c>
      <c r="I38" s="24"/>
      <c r="J38" s="24" t="s">
        <v>57</v>
      </c>
    </row>
    <row r="39" spans="1:10" s="37" customFormat="1" ht="15" customHeight="1" x14ac:dyDescent="0.25">
      <c r="A39" s="8">
        <f t="shared" si="2"/>
        <v>3</v>
      </c>
      <c r="B39" s="30" t="s">
        <v>117</v>
      </c>
      <c r="C39" s="45" t="s">
        <v>67</v>
      </c>
      <c r="D39" s="24" t="s">
        <v>11</v>
      </c>
      <c r="E39" s="24" t="s">
        <v>56</v>
      </c>
      <c r="F39" s="7" t="s">
        <v>22</v>
      </c>
      <c r="G39" s="24" t="s">
        <v>16</v>
      </c>
      <c r="H39" s="24">
        <v>2</v>
      </c>
      <c r="I39" s="24"/>
      <c r="J39" s="24" t="s">
        <v>57</v>
      </c>
    </row>
    <row r="40" spans="1:10" x14ac:dyDescent="0.25">
      <c r="A40" s="13"/>
      <c r="B40" s="43"/>
      <c r="C40" s="48"/>
      <c r="D40" s="37"/>
      <c r="E40" s="37"/>
      <c r="F40" s="12"/>
      <c r="G40" s="37"/>
      <c r="H40" s="37"/>
      <c r="I40" s="37"/>
      <c r="J40" s="37"/>
    </row>
    <row r="41" spans="1:10" x14ac:dyDescent="0.25">
      <c r="A41" s="13"/>
      <c r="B41" s="43"/>
      <c r="C41" s="48"/>
      <c r="D41" s="37"/>
      <c r="E41" s="37"/>
      <c r="F41" s="12"/>
      <c r="G41" s="37"/>
      <c r="H41" s="37"/>
      <c r="I41" s="37"/>
      <c r="J41" s="37"/>
    </row>
    <row r="43" spans="1:10" ht="15.75" x14ac:dyDescent="0.25">
      <c r="A43" s="113" t="s">
        <v>30</v>
      </c>
      <c r="B43" s="113"/>
      <c r="C43" s="113"/>
      <c r="D43" s="113"/>
      <c r="E43" s="113"/>
      <c r="F43" s="113"/>
      <c r="G43" s="113"/>
      <c r="H43" s="113"/>
      <c r="I43" s="113"/>
      <c r="J43" s="113"/>
    </row>
    <row r="44" spans="1:10" ht="29.45" customHeight="1" x14ac:dyDescent="0.25">
      <c r="A44" s="14" t="s">
        <v>1</v>
      </c>
      <c r="B44" s="44" t="s">
        <v>2</v>
      </c>
      <c r="C44" s="15" t="s">
        <v>40</v>
      </c>
      <c r="D44" s="15" t="s">
        <v>4</v>
      </c>
      <c r="E44" s="15" t="s">
        <v>5</v>
      </c>
      <c r="F44" s="15" t="s">
        <v>6</v>
      </c>
      <c r="G44" s="15" t="s">
        <v>7</v>
      </c>
      <c r="H44" s="15" t="s">
        <v>8</v>
      </c>
      <c r="I44" s="15" t="s">
        <v>31</v>
      </c>
      <c r="J44" s="15" t="s">
        <v>9</v>
      </c>
    </row>
    <row r="45" spans="1:10" s="37" customFormat="1" ht="15" customHeight="1" x14ac:dyDescent="0.25">
      <c r="A45" s="52">
        <v>1</v>
      </c>
      <c r="B45" s="33" t="s">
        <v>87</v>
      </c>
      <c r="C45" s="45" t="s">
        <v>33</v>
      </c>
      <c r="D45" s="24" t="s">
        <v>11</v>
      </c>
      <c r="E45" s="7" t="s">
        <v>56</v>
      </c>
      <c r="F45" s="7" t="s">
        <v>22</v>
      </c>
      <c r="G45" s="24" t="s">
        <v>16</v>
      </c>
      <c r="H45" s="7">
        <v>15</v>
      </c>
      <c r="I45" s="24"/>
      <c r="J45" s="24" t="s">
        <v>57</v>
      </c>
    </row>
    <row r="46" spans="1:10" s="37" customFormat="1" ht="15" customHeight="1" x14ac:dyDescent="0.25">
      <c r="A46" s="52">
        <v>2</v>
      </c>
      <c r="B46" s="33" t="s">
        <v>128</v>
      </c>
      <c r="C46" s="45" t="s">
        <v>33</v>
      </c>
      <c r="D46" s="24" t="s">
        <v>11</v>
      </c>
      <c r="E46" s="24" t="s">
        <v>56</v>
      </c>
      <c r="F46" s="7" t="s">
        <v>22</v>
      </c>
      <c r="G46" s="24" t="s">
        <v>16</v>
      </c>
      <c r="H46" s="7">
        <v>9</v>
      </c>
      <c r="I46" s="24"/>
      <c r="J46" s="24" t="s">
        <v>57</v>
      </c>
    </row>
    <row r="47" spans="1:10" s="37" customFormat="1" ht="15" customHeight="1" x14ac:dyDescent="0.25">
      <c r="A47" s="52">
        <v>3</v>
      </c>
      <c r="B47" s="30" t="s">
        <v>129</v>
      </c>
      <c r="C47" s="45" t="s">
        <v>33</v>
      </c>
      <c r="D47" s="24" t="s">
        <v>11</v>
      </c>
      <c r="E47" s="24" t="s">
        <v>56</v>
      </c>
      <c r="F47" s="7" t="s">
        <v>22</v>
      </c>
      <c r="G47" s="24" t="s">
        <v>16</v>
      </c>
      <c r="H47" s="7">
        <v>8</v>
      </c>
      <c r="I47" s="24"/>
      <c r="J47" s="24" t="s">
        <v>57</v>
      </c>
    </row>
    <row r="50" spans="1:10" ht="15.75" x14ac:dyDescent="0.25">
      <c r="A50" s="113" t="s">
        <v>145</v>
      </c>
      <c r="B50" s="113"/>
      <c r="C50" s="113"/>
      <c r="D50" s="113"/>
      <c r="E50" s="113"/>
      <c r="F50" s="113"/>
      <c r="G50" s="113"/>
      <c r="H50" s="113"/>
      <c r="I50" s="113"/>
      <c r="J50" s="113"/>
    </row>
    <row r="51" spans="1:10" ht="29.45" customHeight="1" x14ac:dyDescent="0.25">
      <c r="A51" s="14" t="s">
        <v>1</v>
      </c>
      <c r="B51" s="44" t="s">
        <v>2</v>
      </c>
      <c r="C51" s="15" t="s">
        <v>40</v>
      </c>
      <c r="D51" s="15" t="s">
        <v>4</v>
      </c>
      <c r="E51" s="15" t="s">
        <v>5</v>
      </c>
      <c r="F51" s="15" t="s">
        <v>6</v>
      </c>
      <c r="G51" s="15" t="s">
        <v>7</v>
      </c>
      <c r="H51" s="15" t="s">
        <v>8</v>
      </c>
      <c r="I51" s="15" t="s">
        <v>31</v>
      </c>
      <c r="J51" s="15" t="s">
        <v>9</v>
      </c>
    </row>
    <row r="52" spans="1:10" s="37" customFormat="1" ht="15" customHeight="1" x14ac:dyDescent="0.25">
      <c r="A52" s="8">
        <f>ROW()-51</f>
        <v>1</v>
      </c>
      <c r="B52" s="33" t="s">
        <v>121</v>
      </c>
      <c r="C52" s="36" t="s">
        <v>145</v>
      </c>
      <c r="D52" s="24" t="s">
        <v>122</v>
      </c>
      <c r="E52" s="7" t="s">
        <v>123</v>
      </c>
      <c r="F52" s="7" t="s">
        <v>22</v>
      </c>
      <c r="G52" s="7" t="s">
        <v>124</v>
      </c>
      <c r="H52" s="7">
        <v>6</v>
      </c>
      <c r="I52" s="24"/>
      <c r="J52" s="24" t="s">
        <v>57</v>
      </c>
    </row>
    <row r="53" spans="1:10" s="37" customFormat="1" ht="15" customHeight="1" x14ac:dyDescent="0.25">
      <c r="A53" s="8">
        <f t="shared" ref="A53:A59" si="3">ROW()-51</f>
        <v>2</v>
      </c>
      <c r="B53" s="30" t="s">
        <v>140</v>
      </c>
      <c r="C53" s="36" t="s">
        <v>145</v>
      </c>
      <c r="D53" s="24" t="s">
        <v>122</v>
      </c>
      <c r="E53" s="7" t="s">
        <v>123</v>
      </c>
      <c r="F53" s="7" t="s">
        <v>22</v>
      </c>
      <c r="G53" s="7" t="s">
        <v>124</v>
      </c>
      <c r="H53" s="7">
        <v>6</v>
      </c>
      <c r="I53" s="24"/>
      <c r="J53" s="24" t="s">
        <v>57</v>
      </c>
    </row>
    <row r="54" spans="1:10" s="37" customFormat="1" ht="15" customHeight="1" x14ac:dyDescent="0.25">
      <c r="A54" s="8">
        <f t="shared" si="3"/>
        <v>3</v>
      </c>
      <c r="B54" s="30" t="s">
        <v>125</v>
      </c>
      <c r="C54" s="36" t="s">
        <v>145</v>
      </c>
      <c r="D54" s="24" t="s">
        <v>122</v>
      </c>
      <c r="E54" s="7" t="s">
        <v>123</v>
      </c>
      <c r="F54" s="7" t="s">
        <v>22</v>
      </c>
      <c r="G54" s="7" t="s">
        <v>124</v>
      </c>
      <c r="H54" s="7">
        <v>6</v>
      </c>
      <c r="I54" s="24"/>
      <c r="J54" s="24" t="s">
        <v>57</v>
      </c>
    </row>
    <row r="55" spans="1:10" s="37" customFormat="1" ht="15" customHeight="1" x14ac:dyDescent="0.25">
      <c r="A55" s="8">
        <f t="shared" si="3"/>
        <v>4</v>
      </c>
      <c r="B55" s="30" t="s">
        <v>138</v>
      </c>
      <c r="C55" s="36" t="s">
        <v>145</v>
      </c>
      <c r="D55" s="24" t="s">
        <v>122</v>
      </c>
      <c r="E55" s="7" t="s">
        <v>123</v>
      </c>
      <c r="F55" s="7" t="s">
        <v>22</v>
      </c>
      <c r="G55" s="7" t="s">
        <v>124</v>
      </c>
      <c r="H55" s="7">
        <v>6</v>
      </c>
      <c r="I55" s="7"/>
      <c r="J55" s="8" t="s">
        <v>57</v>
      </c>
    </row>
    <row r="56" spans="1:10" s="37" customFormat="1" ht="15" customHeight="1" x14ac:dyDescent="0.25">
      <c r="A56" s="8">
        <f t="shared" si="3"/>
        <v>5</v>
      </c>
      <c r="B56" s="30" t="s">
        <v>141</v>
      </c>
      <c r="C56" s="36" t="s">
        <v>145</v>
      </c>
      <c r="D56" s="24" t="s">
        <v>122</v>
      </c>
      <c r="E56" s="7" t="s">
        <v>123</v>
      </c>
      <c r="F56" s="7" t="s">
        <v>22</v>
      </c>
      <c r="G56" s="7" t="s">
        <v>124</v>
      </c>
      <c r="H56" s="7">
        <v>5</v>
      </c>
      <c r="I56" s="24"/>
      <c r="J56" s="24" t="s">
        <v>57</v>
      </c>
    </row>
    <row r="57" spans="1:10" s="37" customFormat="1" ht="15" customHeight="1" x14ac:dyDescent="0.25">
      <c r="A57" s="8">
        <f t="shared" si="3"/>
        <v>6</v>
      </c>
      <c r="B57" s="30" t="s">
        <v>126</v>
      </c>
      <c r="C57" s="36" t="s">
        <v>145</v>
      </c>
      <c r="D57" s="24" t="s">
        <v>122</v>
      </c>
      <c r="E57" s="7" t="s">
        <v>123</v>
      </c>
      <c r="F57" s="7" t="s">
        <v>22</v>
      </c>
      <c r="G57" s="7" t="s">
        <v>124</v>
      </c>
      <c r="H57" s="7">
        <v>5</v>
      </c>
      <c r="I57" s="24"/>
      <c r="J57" s="8" t="s">
        <v>14</v>
      </c>
    </row>
    <row r="58" spans="1:10" s="37" customFormat="1" ht="15" customHeight="1" x14ac:dyDescent="0.25">
      <c r="A58" s="8">
        <f t="shared" si="3"/>
        <v>7</v>
      </c>
      <c r="B58" s="30" t="s">
        <v>136</v>
      </c>
      <c r="C58" s="36" t="s">
        <v>145</v>
      </c>
      <c r="D58" s="24" t="s">
        <v>122</v>
      </c>
      <c r="E58" s="7" t="s">
        <v>123</v>
      </c>
      <c r="F58" s="7" t="s">
        <v>22</v>
      </c>
      <c r="G58" s="7" t="s">
        <v>124</v>
      </c>
      <c r="H58" s="7">
        <v>5</v>
      </c>
      <c r="I58" s="24"/>
      <c r="J58" s="24" t="s">
        <v>57</v>
      </c>
    </row>
    <row r="59" spans="1:10" s="37" customFormat="1" x14ac:dyDescent="0.25">
      <c r="A59" s="8">
        <f t="shared" si="3"/>
        <v>8</v>
      </c>
      <c r="B59" s="30" t="s">
        <v>135</v>
      </c>
      <c r="C59" s="45" t="s">
        <v>145</v>
      </c>
      <c r="D59" s="24" t="s">
        <v>122</v>
      </c>
      <c r="E59" s="7" t="s">
        <v>123</v>
      </c>
      <c r="F59" s="7" t="s">
        <v>22</v>
      </c>
      <c r="G59" s="7" t="s">
        <v>124</v>
      </c>
      <c r="H59" s="7">
        <v>2</v>
      </c>
      <c r="I59" s="24"/>
      <c r="J59" s="24" t="s">
        <v>57</v>
      </c>
    </row>
    <row r="60" spans="1:10" ht="12.6" customHeight="1" x14ac:dyDescent="0.25"/>
  </sheetData>
  <mergeCells count="6">
    <mergeCell ref="A50:J50"/>
    <mergeCell ref="A1:J1"/>
    <mergeCell ref="A5:J5"/>
    <mergeCell ref="A15:J15"/>
    <mergeCell ref="A35:J35"/>
    <mergeCell ref="A43:J43"/>
  </mergeCells>
  <conditionalFormatting sqref="B1:B6 B13:B16 B48:B51 B33:B36 B42:B44 B60:B1048576">
    <cfRule type="duplicateValues" dxfId="2107" priority="7784"/>
    <cfRule type="duplicateValues" dxfId="2106" priority="7785"/>
    <cfRule type="duplicateValues" dxfId="2105" priority="7786"/>
    <cfRule type="duplicateValues" dxfId="2104" priority="7787"/>
    <cfRule type="duplicateValues" dxfId="2103" priority="7788"/>
    <cfRule type="duplicateValues" dxfId="2102" priority="7789"/>
  </conditionalFormatting>
  <conditionalFormatting sqref="B1:B6 B33:B36 B42:B44 B48:B51 B13:B16 B60:B1048576">
    <cfRule type="duplicateValues" dxfId="2101" priority="7832"/>
    <cfRule type="duplicateValues" dxfId="2100" priority="7833"/>
    <cfRule type="duplicateValues" dxfId="2099" priority="7834"/>
    <cfRule type="duplicateValues" dxfId="2098" priority="7835"/>
  </conditionalFormatting>
  <conditionalFormatting sqref="B1:B36 B40:B44 B48:B51 B60:B1048576">
    <cfRule type="duplicateValues" dxfId="2097" priority="8044"/>
  </conditionalFormatting>
  <conditionalFormatting sqref="B1:B1048576">
    <cfRule type="duplicateValues" dxfId="2096" priority="1"/>
  </conditionalFormatting>
  <conditionalFormatting sqref="B7">
    <cfRule type="duplicateValues" dxfId="2095" priority="509"/>
    <cfRule type="duplicateValues" dxfId="2094" priority="510"/>
    <cfRule type="duplicateValues" dxfId="2093" priority="511"/>
    <cfRule type="duplicateValues" dxfId="2092" priority="512"/>
  </conditionalFormatting>
  <conditionalFormatting sqref="B7:B9">
    <cfRule type="duplicateValues" dxfId="2091" priority="503"/>
    <cfRule type="duplicateValues" dxfId="2090" priority="504"/>
    <cfRule type="duplicateValues" dxfId="2089" priority="505"/>
    <cfRule type="duplicateValues" dxfId="2088" priority="506"/>
    <cfRule type="duplicateValues" dxfId="2087" priority="507"/>
    <cfRule type="duplicateValues" dxfId="2086" priority="508"/>
  </conditionalFormatting>
  <conditionalFormatting sqref="B10:B12">
    <cfRule type="duplicateValues" dxfId="2085" priority="499"/>
    <cfRule type="duplicateValues" dxfId="2084" priority="500"/>
    <cfRule type="duplicateValues" dxfId="2083" priority="501"/>
  </conditionalFormatting>
  <conditionalFormatting sqref="B13">
    <cfRule type="duplicateValues" dxfId="2082" priority="7194"/>
  </conditionalFormatting>
  <conditionalFormatting sqref="B14">
    <cfRule type="duplicateValues" dxfId="2081" priority="1193"/>
    <cfRule type="duplicateValues" dxfId="2080" priority="1194"/>
    <cfRule type="duplicateValues" dxfId="2079" priority="1195"/>
    <cfRule type="duplicateValues" dxfId="2078" priority="1196"/>
    <cfRule type="duplicateValues" dxfId="2077" priority="1197"/>
    <cfRule type="duplicateValues" dxfId="2076" priority="1198"/>
    <cfRule type="duplicateValues" dxfId="2075" priority="1199"/>
    <cfRule type="duplicateValues" dxfId="2074" priority="1200"/>
    <cfRule type="duplicateValues" dxfId="2073" priority="1201"/>
    <cfRule type="duplicateValues" dxfId="2072" priority="1202"/>
    <cfRule type="duplicateValues" dxfId="2071" priority="1203"/>
    <cfRule type="duplicateValues" dxfId="2070" priority="1204"/>
    <cfRule type="duplicateValues" dxfId="2069" priority="1205"/>
    <cfRule type="duplicateValues" dxfId="2068" priority="1206"/>
    <cfRule type="duplicateValues" dxfId="2067" priority="1207"/>
    <cfRule type="duplicateValues" dxfId="2066" priority="1208"/>
    <cfRule type="duplicateValues" dxfId="2065" priority="1209" stopIfTrue="1"/>
  </conditionalFormatting>
  <conditionalFormatting sqref="B17">
    <cfRule type="duplicateValues" dxfId="2064" priority="482"/>
    <cfRule type="duplicateValues" dxfId="2063" priority="487"/>
  </conditionalFormatting>
  <conditionalFormatting sqref="B17:B21">
    <cfRule type="duplicateValues" dxfId="2062" priority="479"/>
    <cfRule type="duplicateValues" dxfId="2061" priority="480"/>
    <cfRule type="duplicateValues" dxfId="2060" priority="481"/>
    <cfRule type="duplicateValues" dxfId="2059" priority="484"/>
  </conditionalFormatting>
  <conditionalFormatting sqref="B18">
    <cfRule type="duplicateValues" dxfId="2058" priority="490"/>
    <cfRule type="duplicateValues" dxfId="2057" priority="491"/>
    <cfRule type="duplicateValues" dxfId="2056" priority="492"/>
    <cfRule type="duplicateValues" dxfId="2055" priority="493"/>
    <cfRule type="duplicateValues" dxfId="2054" priority="494"/>
    <cfRule type="duplicateValues" dxfId="2053" priority="496"/>
  </conditionalFormatting>
  <conditionalFormatting sqref="B18:B21">
    <cfRule type="duplicateValues" dxfId="2052" priority="485"/>
    <cfRule type="duplicateValues" dxfId="2051" priority="486"/>
  </conditionalFormatting>
  <conditionalFormatting sqref="B19:B21">
    <cfRule type="duplicateValues" dxfId="2050" priority="483"/>
    <cfRule type="duplicateValues" dxfId="2049" priority="488"/>
    <cfRule type="duplicateValues" dxfId="2048" priority="489"/>
    <cfRule type="duplicateValues" dxfId="2047" priority="495"/>
  </conditionalFormatting>
  <conditionalFormatting sqref="B21">
    <cfRule type="duplicateValues" dxfId="2046" priority="497"/>
    <cfRule type="duplicateValues" dxfId="2045" priority="498"/>
  </conditionalFormatting>
  <conditionalFormatting sqref="B22 B24">
    <cfRule type="duplicateValues" dxfId="2044" priority="474"/>
  </conditionalFormatting>
  <conditionalFormatting sqref="B22">
    <cfRule type="duplicateValues" dxfId="2043" priority="476"/>
    <cfRule type="duplicateValues" dxfId="2042" priority="477"/>
  </conditionalFormatting>
  <conditionalFormatting sqref="B22:B27 B29">
    <cfRule type="duplicateValues" dxfId="2041" priority="467"/>
  </conditionalFormatting>
  <conditionalFormatting sqref="B22:B27">
    <cfRule type="duplicateValues" dxfId="2040" priority="451"/>
    <cfRule type="duplicateValues" dxfId="2039" priority="461"/>
    <cfRule type="duplicateValues" dxfId="2038" priority="462"/>
  </conditionalFormatting>
  <conditionalFormatting sqref="B22:B31">
    <cfRule type="duplicateValues" dxfId="2037" priority="448"/>
    <cfRule type="duplicateValues" dxfId="2036" priority="449"/>
    <cfRule type="duplicateValues" dxfId="2035" priority="450"/>
    <cfRule type="duplicateValues" dxfId="2034" priority="452"/>
    <cfRule type="duplicateValues" dxfId="2033" priority="460"/>
  </conditionalFormatting>
  <conditionalFormatting sqref="B24">
    <cfRule type="duplicateValues" dxfId="2032" priority="475"/>
  </conditionalFormatting>
  <conditionalFormatting sqref="B28">
    <cfRule type="duplicateValues" dxfId="2031" priority="454"/>
    <cfRule type="duplicateValues" dxfId="2030" priority="455"/>
    <cfRule type="duplicateValues" dxfId="2029" priority="456"/>
    <cfRule type="duplicateValues" dxfId="2028" priority="457"/>
    <cfRule type="duplicateValues" dxfId="2027" priority="458"/>
    <cfRule type="duplicateValues" dxfId="2026" priority="459"/>
    <cfRule type="duplicateValues" dxfId="2025" priority="468"/>
    <cfRule type="duplicateValues" dxfId="2024" priority="469"/>
    <cfRule type="duplicateValues" dxfId="2023" priority="470"/>
    <cfRule type="duplicateValues" dxfId="2022" priority="471"/>
    <cfRule type="duplicateValues" dxfId="2021" priority="478"/>
  </conditionalFormatting>
  <conditionalFormatting sqref="B30:B31 B22:B28">
    <cfRule type="duplicateValues" dxfId="2020" priority="453"/>
  </conditionalFormatting>
  <conditionalFormatting sqref="B30:B31 B28">
    <cfRule type="duplicateValues" dxfId="2019" priority="463"/>
  </conditionalFormatting>
  <conditionalFormatting sqref="B30:B31">
    <cfRule type="duplicateValues" dxfId="2018" priority="464"/>
    <cfRule type="duplicateValues" dxfId="2017" priority="465"/>
    <cfRule type="duplicateValues" dxfId="2016" priority="466"/>
    <cfRule type="duplicateValues" dxfId="2015" priority="472"/>
    <cfRule type="duplicateValues" dxfId="2014" priority="473"/>
  </conditionalFormatting>
  <conditionalFormatting sqref="B32">
    <cfRule type="duplicateValues" dxfId="2013" priority="7750"/>
    <cfRule type="duplicateValues" dxfId="2012" priority="7751"/>
    <cfRule type="duplicateValues" dxfId="2011" priority="7752"/>
    <cfRule type="duplicateValues" dxfId="2010" priority="7753"/>
    <cfRule type="duplicateValues" dxfId="2009" priority="7754"/>
  </conditionalFormatting>
  <conditionalFormatting sqref="B32:B36 B13:B16 B1:B6 B40:B44 B48:B51 B60:B1048576">
    <cfRule type="duplicateValues" dxfId="2008" priority="7763"/>
    <cfRule type="duplicateValues" dxfId="2007" priority="7764"/>
  </conditionalFormatting>
  <conditionalFormatting sqref="B33:B34 B3">
    <cfRule type="duplicateValues" dxfId="2006" priority="1210"/>
    <cfRule type="duplicateValues" dxfId="2005" priority="1211" stopIfTrue="1"/>
  </conditionalFormatting>
  <conditionalFormatting sqref="B37">
    <cfRule type="duplicateValues" dxfId="2004" priority="430"/>
    <cfRule type="duplicateValues" dxfId="2003" priority="431"/>
    <cfRule type="duplicateValues" dxfId="2002" priority="432"/>
    <cfRule type="duplicateValues" dxfId="2001" priority="433"/>
    <cfRule type="duplicateValues" dxfId="2000" priority="434"/>
    <cfRule type="duplicateValues" dxfId="1999" priority="435"/>
    <cfRule type="duplicateValues" dxfId="1998" priority="436"/>
    <cfRule type="duplicateValues" dxfId="1997" priority="437"/>
    <cfRule type="duplicateValues" dxfId="1996" priority="438"/>
    <cfRule type="duplicateValues" dxfId="1995" priority="439"/>
    <cfRule type="duplicateValues" dxfId="1994" priority="440"/>
    <cfRule type="duplicateValues" dxfId="1993" priority="441"/>
    <cfRule type="duplicateValues" dxfId="1992" priority="442"/>
    <cfRule type="duplicateValues" dxfId="1991" priority="443"/>
    <cfRule type="duplicateValues" dxfId="1990" priority="444"/>
    <cfRule type="duplicateValues" dxfId="1989" priority="445"/>
    <cfRule type="duplicateValues" dxfId="1988" priority="446"/>
  </conditionalFormatting>
  <conditionalFormatting sqref="B38">
    <cfRule type="duplicateValues" dxfId="1987" priority="413"/>
    <cfRule type="duplicateValues" dxfId="1986" priority="414"/>
    <cfRule type="duplicateValues" dxfId="1985" priority="415"/>
    <cfRule type="duplicateValues" dxfId="1984" priority="416"/>
    <cfRule type="duplicateValues" dxfId="1983" priority="417"/>
    <cfRule type="duplicateValues" dxfId="1982" priority="418"/>
    <cfRule type="duplicateValues" dxfId="1981" priority="419"/>
    <cfRule type="duplicateValues" dxfId="1980" priority="420"/>
    <cfRule type="duplicateValues" dxfId="1979" priority="421"/>
    <cfRule type="duplicateValues" dxfId="1978" priority="422"/>
    <cfRule type="duplicateValues" dxfId="1977" priority="423"/>
    <cfRule type="duplicateValues" dxfId="1976" priority="424"/>
    <cfRule type="duplicateValues" dxfId="1975" priority="425"/>
    <cfRule type="duplicateValues" dxfId="1974" priority="426"/>
    <cfRule type="duplicateValues" dxfId="1973" priority="427"/>
    <cfRule type="duplicateValues" dxfId="1972" priority="428"/>
    <cfRule type="duplicateValues" dxfId="1971" priority="429"/>
  </conditionalFormatting>
  <conditionalFormatting sqref="B39">
    <cfRule type="duplicateValues" dxfId="1970" priority="402"/>
    <cfRule type="duplicateValues" dxfId="1969" priority="403"/>
    <cfRule type="duplicateValues" dxfId="1968" priority="404"/>
    <cfRule type="duplicateValues" dxfId="1967" priority="405"/>
    <cfRule type="duplicateValues" dxfId="1966" priority="406"/>
    <cfRule type="duplicateValues" dxfId="1965" priority="407"/>
    <cfRule type="duplicateValues" dxfId="1964" priority="408"/>
    <cfRule type="duplicateValues" dxfId="1963" priority="409"/>
    <cfRule type="duplicateValues" dxfId="1962" priority="410"/>
    <cfRule type="duplicateValues" dxfId="1961" priority="411"/>
    <cfRule type="duplicateValues" dxfId="1960" priority="412"/>
  </conditionalFormatting>
  <conditionalFormatting sqref="B40:B41">
    <cfRule type="duplicateValues" dxfId="1959" priority="634"/>
    <cfRule type="duplicateValues" dxfId="1958" priority="635"/>
    <cfRule type="duplicateValues" dxfId="1957" priority="636"/>
    <cfRule type="duplicateValues" dxfId="1956" priority="637"/>
    <cfRule type="duplicateValues" dxfId="1955" priority="638"/>
    <cfRule type="duplicateValues" dxfId="1954" priority="639"/>
    <cfRule type="duplicateValues" dxfId="1953" priority="640"/>
    <cfRule type="duplicateValues" dxfId="1952" priority="641"/>
    <cfRule type="duplicateValues" dxfId="1951" priority="642"/>
  </conditionalFormatting>
  <conditionalFormatting sqref="B42:B44 B1:B6 B13:B16 B32:B36 B48:B51 B60:B1048576">
    <cfRule type="duplicateValues" dxfId="1950" priority="7755"/>
  </conditionalFormatting>
  <conditionalFormatting sqref="B42:B44 B48:B51 B60:B1048576">
    <cfRule type="duplicateValues" dxfId="1949" priority="7779"/>
  </conditionalFormatting>
  <conditionalFormatting sqref="B44 B4 B2 B16 B42 B36 B6">
    <cfRule type="duplicateValues" dxfId="1948" priority="1192" stopIfTrue="1"/>
  </conditionalFormatting>
  <conditionalFormatting sqref="B45">
    <cfRule type="duplicateValues" dxfId="1947" priority="390"/>
    <cfRule type="duplicateValues" dxfId="1946" priority="391"/>
    <cfRule type="duplicateValues" dxfId="1945" priority="392"/>
    <cfRule type="duplicateValues" dxfId="1944" priority="393"/>
    <cfRule type="duplicateValues" dxfId="1943" priority="394"/>
  </conditionalFormatting>
  <conditionalFormatting sqref="B45:B46">
    <cfRule type="duplicateValues" dxfId="1942" priority="382"/>
    <cfRule type="duplicateValues" dxfId="1941" priority="383"/>
    <cfRule type="duplicateValues" dxfId="1940" priority="384"/>
    <cfRule type="duplicateValues" dxfId="1939" priority="385"/>
    <cfRule type="duplicateValues" dxfId="1938" priority="386"/>
    <cfRule type="duplicateValues" dxfId="1937" priority="387"/>
    <cfRule type="duplicateValues" dxfId="1936" priority="388"/>
    <cfRule type="duplicateValues" dxfId="1935" priority="389"/>
  </conditionalFormatting>
  <conditionalFormatting sqref="B45:B47">
    <cfRule type="duplicateValues" dxfId="1934" priority="372"/>
    <cfRule type="duplicateValues" dxfId="1933" priority="373"/>
    <cfRule type="duplicateValues" dxfId="1932" priority="374"/>
    <cfRule type="duplicateValues" dxfId="1931" priority="375"/>
    <cfRule type="duplicateValues" dxfId="1930" priority="376"/>
    <cfRule type="duplicateValues" dxfId="1929" priority="377"/>
    <cfRule type="duplicateValues" dxfId="1928" priority="378"/>
    <cfRule type="duplicateValues" dxfId="1927" priority="379"/>
    <cfRule type="duplicateValues" dxfId="1926" priority="380"/>
    <cfRule type="duplicateValues" dxfId="1925" priority="381"/>
  </conditionalFormatting>
  <conditionalFormatting sqref="B46">
    <cfRule type="duplicateValues" dxfId="1924" priority="400"/>
    <cfRule type="duplicateValues" dxfId="1923" priority="401"/>
  </conditionalFormatting>
  <conditionalFormatting sqref="B47">
    <cfRule type="duplicateValues" dxfId="1922" priority="395"/>
    <cfRule type="duplicateValues" dxfId="1921" priority="396"/>
    <cfRule type="duplicateValues" dxfId="1920" priority="397"/>
    <cfRule type="duplicateValues" dxfId="1919" priority="398"/>
    <cfRule type="duplicateValues" dxfId="1918" priority="399"/>
  </conditionalFormatting>
  <conditionalFormatting sqref="B48:B49 B33:B36 B42:B44 B1:B6 B13:B16 B60:B1048576">
    <cfRule type="duplicateValues" dxfId="1917" priority="7864"/>
  </conditionalFormatting>
  <conditionalFormatting sqref="B48:B49 B33:B36 B42:B44 B1:B6 B14:B16 B60:B1048576">
    <cfRule type="duplicateValues" dxfId="1916" priority="7872"/>
  </conditionalFormatting>
  <conditionalFormatting sqref="B48:B49 B33:B36 B42:B44 B14:B16 B1:B6 B60:B1048576">
    <cfRule type="duplicateValues" dxfId="1915" priority="7880"/>
  </conditionalFormatting>
  <conditionalFormatting sqref="B48:B49 B42:B44 B15:B16 B33:B36 B1:B6 B60:B1048576">
    <cfRule type="duplicateValues" dxfId="1914" priority="7888"/>
    <cfRule type="duplicateValues" dxfId="1913" priority="7889"/>
    <cfRule type="duplicateValues" dxfId="1912" priority="7890"/>
    <cfRule type="duplicateValues" dxfId="1911" priority="7891"/>
    <cfRule type="duplicateValues" dxfId="1910" priority="7892"/>
    <cfRule type="duplicateValues" dxfId="1909" priority="7893"/>
    <cfRule type="duplicateValues" dxfId="1908" priority="7894"/>
    <cfRule type="duplicateValues" dxfId="1907" priority="7895"/>
  </conditionalFormatting>
  <conditionalFormatting sqref="B48:B49 B42:B44 B33:B35 B60:B1048576">
    <cfRule type="duplicateValues" dxfId="1906" priority="7952"/>
  </conditionalFormatting>
  <conditionalFormatting sqref="B48:B49 B42:B44 B33:B36 B15:B16 B1:B6 B60:B1048576">
    <cfRule type="duplicateValues" dxfId="1905" priority="7958"/>
    <cfRule type="duplicateValues" dxfId="1904" priority="7959"/>
    <cfRule type="duplicateValues" dxfId="1903" priority="7960"/>
    <cfRule type="duplicateValues" dxfId="1902" priority="7961"/>
    <cfRule type="duplicateValues" dxfId="1901" priority="7962"/>
    <cfRule type="duplicateValues" dxfId="1900" priority="7963"/>
    <cfRule type="duplicateValues" dxfId="1899" priority="7964"/>
  </conditionalFormatting>
  <conditionalFormatting sqref="B48:B49 B60:B1048576">
    <cfRule type="duplicateValues" dxfId="1898" priority="8014"/>
    <cfRule type="duplicateValues" dxfId="1897" priority="8015"/>
    <cfRule type="duplicateValues" dxfId="1896" priority="8016"/>
  </conditionalFormatting>
  <conditionalFormatting sqref="B48:B49 B61:B1048576">
    <cfRule type="duplicateValues" dxfId="1895" priority="8034"/>
  </conditionalFormatting>
  <conditionalFormatting sqref="B48:B51 B33:B36 B1:B6 B13:B16 B42:B44 B60:B1048576">
    <cfRule type="duplicateValues" dxfId="1894" priority="8026"/>
  </conditionalFormatting>
  <conditionalFormatting sqref="B49 B61:B1048576">
    <cfRule type="duplicateValues" dxfId="1893" priority="8038"/>
  </conditionalFormatting>
  <conditionalFormatting sqref="B50:B51">
    <cfRule type="duplicateValues" dxfId="1892" priority="1157"/>
    <cfRule type="duplicateValues" dxfId="1891" priority="1158"/>
    <cfRule type="duplicateValues" dxfId="1890" priority="1159"/>
    <cfRule type="duplicateValues" dxfId="1889" priority="1160"/>
    <cfRule type="duplicateValues" dxfId="1888" priority="1161"/>
    <cfRule type="duplicateValues" dxfId="1887" priority="1162"/>
    <cfRule type="duplicateValues" dxfId="1886" priority="1163"/>
    <cfRule type="duplicateValues" dxfId="1885" priority="1164"/>
    <cfRule type="duplicateValues" dxfId="1884" priority="1165"/>
    <cfRule type="duplicateValues" dxfId="1883" priority="1166"/>
    <cfRule type="duplicateValues" dxfId="1882" priority="1167"/>
    <cfRule type="duplicateValues" dxfId="1881" priority="1168"/>
    <cfRule type="duplicateValues" dxfId="1880" priority="1169"/>
    <cfRule type="duplicateValues" dxfId="1879" priority="1170"/>
    <cfRule type="duplicateValues" dxfId="1878" priority="1171"/>
    <cfRule type="duplicateValues" dxfId="1877" priority="1172"/>
    <cfRule type="duplicateValues" dxfId="1876" priority="1173"/>
    <cfRule type="duplicateValues" dxfId="1875" priority="1174"/>
    <cfRule type="duplicateValues" dxfId="1874" priority="1175"/>
  </conditionalFormatting>
  <conditionalFormatting sqref="B51">
    <cfRule type="duplicateValues" dxfId="1873" priority="1156" stopIfTrue="1"/>
  </conditionalFormatting>
  <conditionalFormatting sqref="B52">
    <cfRule type="duplicateValues" dxfId="1872" priority="363"/>
    <cfRule type="duplicateValues" dxfId="1871" priority="364"/>
    <cfRule type="duplicateValues" dxfId="1870" priority="365"/>
    <cfRule type="duplicateValues" dxfId="1869" priority="366"/>
    <cfRule type="duplicateValues" dxfId="1868" priority="367"/>
    <cfRule type="duplicateValues" dxfId="1867" priority="368"/>
    <cfRule type="duplicateValues" dxfId="1866" priority="369"/>
    <cfRule type="duplicateValues" dxfId="1865" priority="370"/>
  </conditionalFormatting>
  <conditionalFormatting sqref="B52:B53">
    <cfRule type="duplicateValues" dxfId="1864" priority="353"/>
    <cfRule type="duplicateValues" dxfId="1863" priority="354"/>
  </conditionalFormatting>
  <conditionalFormatting sqref="B52:B54">
    <cfRule type="duplicateValues" dxfId="1862" priority="325"/>
  </conditionalFormatting>
  <conditionalFormatting sqref="B52:B55">
    <cfRule type="duplicateValues" dxfId="1861" priority="320"/>
    <cfRule type="duplicateValues" dxfId="1860" priority="321"/>
    <cfRule type="duplicateValues" dxfId="1859" priority="322"/>
    <cfRule type="duplicateValues" dxfId="1858" priority="323"/>
    <cfRule type="duplicateValues" dxfId="1857" priority="324"/>
  </conditionalFormatting>
  <conditionalFormatting sqref="B53">
    <cfRule type="duplicateValues" dxfId="1856" priority="330"/>
    <cfRule type="duplicateValues" dxfId="1855" priority="331"/>
    <cfRule type="duplicateValues" dxfId="1854" priority="332"/>
    <cfRule type="duplicateValues" dxfId="1853" priority="333"/>
    <cfRule type="duplicateValues" dxfId="1852" priority="334"/>
    <cfRule type="duplicateValues" dxfId="1851" priority="335"/>
    <cfRule type="duplicateValues" dxfId="1850" priority="336"/>
    <cfRule type="duplicateValues" dxfId="1849" priority="337"/>
  </conditionalFormatting>
  <conditionalFormatting sqref="B53:B54">
    <cfRule type="duplicateValues" dxfId="1848" priority="328"/>
    <cfRule type="duplicateValues" dxfId="1847" priority="329"/>
  </conditionalFormatting>
  <conditionalFormatting sqref="B54">
    <cfRule type="duplicateValues" dxfId="1846" priority="326"/>
    <cfRule type="duplicateValues" dxfId="1845" priority="327"/>
    <cfRule type="duplicateValues" dxfId="1844" priority="338"/>
    <cfRule type="duplicateValues" dxfId="1843" priority="339"/>
    <cfRule type="duplicateValues" dxfId="1842" priority="340"/>
    <cfRule type="duplicateValues" dxfId="1841" priority="341"/>
    <cfRule type="duplicateValues" dxfId="1840" priority="342"/>
    <cfRule type="duplicateValues" dxfId="1839" priority="343"/>
    <cfRule type="duplicateValues" dxfId="1838" priority="371"/>
  </conditionalFormatting>
  <conditionalFormatting sqref="B55 B52:B53">
    <cfRule type="duplicateValues" dxfId="1837" priority="346"/>
  </conditionalFormatting>
  <conditionalFormatting sqref="B55">
    <cfRule type="duplicateValues" dxfId="1836" priority="344"/>
    <cfRule type="duplicateValues" dxfId="1835" priority="345"/>
    <cfRule type="duplicateValues" dxfId="1834" priority="347"/>
    <cfRule type="duplicateValues" dxfId="1833" priority="348"/>
    <cfRule type="duplicateValues" dxfId="1832" priority="349"/>
    <cfRule type="duplicateValues" dxfId="1831" priority="350"/>
    <cfRule type="duplicateValues" dxfId="1830" priority="351"/>
    <cfRule type="duplicateValues" dxfId="1829" priority="352"/>
    <cfRule type="duplicateValues" dxfId="1828" priority="355"/>
    <cfRule type="duplicateValues" dxfId="1827" priority="356"/>
    <cfRule type="duplicateValues" dxfId="1826" priority="357"/>
    <cfRule type="duplicateValues" dxfId="1825" priority="358"/>
    <cfRule type="duplicateValues" dxfId="1824" priority="359"/>
    <cfRule type="duplicateValues" dxfId="1823" priority="360"/>
    <cfRule type="duplicateValues" dxfId="1822" priority="361"/>
    <cfRule type="duplicateValues" dxfId="1821" priority="362"/>
  </conditionalFormatting>
  <conditionalFormatting sqref="B56">
    <cfRule type="duplicateValues" dxfId="1820" priority="309"/>
    <cfRule type="duplicateValues" dxfId="1819" priority="319"/>
  </conditionalFormatting>
  <conditionalFormatting sqref="B56:B57">
    <cfRule type="duplicateValues" dxfId="1818" priority="304"/>
    <cfRule type="duplicateValues" dxfId="1817" priority="308"/>
  </conditionalFormatting>
  <conditionalFormatting sqref="B56:B58">
    <cfRule type="duplicateValues" dxfId="1816" priority="291"/>
    <cfRule type="duplicateValues" dxfId="1815" priority="292"/>
    <cfRule type="duplicateValues" dxfId="1814" priority="293"/>
    <cfRule type="duplicateValues" dxfId="1813" priority="294"/>
    <cfRule type="duplicateValues" dxfId="1812" priority="295"/>
    <cfRule type="duplicateValues" dxfId="1811" priority="296"/>
    <cfRule type="duplicateValues" dxfId="1810" priority="305"/>
    <cfRule type="duplicateValues" dxfId="1809" priority="306"/>
  </conditionalFormatting>
  <conditionalFormatting sqref="B57">
    <cfRule type="duplicateValues" dxfId="1808" priority="310"/>
    <cfRule type="duplicateValues" dxfId="1807" priority="311"/>
    <cfRule type="duplicateValues" dxfId="1806" priority="312"/>
    <cfRule type="duplicateValues" dxfId="1805" priority="313"/>
    <cfRule type="duplicateValues" dxfId="1804" priority="314"/>
    <cfRule type="duplicateValues" dxfId="1803" priority="315"/>
    <cfRule type="duplicateValues" dxfId="1802" priority="316"/>
    <cfRule type="duplicateValues" dxfId="1801" priority="317"/>
    <cfRule type="duplicateValues" dxfId="1800" priority="318"/>
  </conditionalFormatting>
  <conditionalFormatting sqref="B58">
    <cfRule type="duplicateValues" dxfId="1799" priority="297"/>
    <cfRule type="duplicateValues" dxfId="1798" priority="298"/>
    <cfRule type="duplicateValues" dxfId="1797" priority="299"/>
    <cfRule type="duplicateValues" dxfId="1796" priority="300"/>
    <cfRule type="duplicateValues" dxfId="1795" priority="301"/>
    <cfRule type="duplicateValues" dxfId="1794" priority="302"/>
    <cfRule type="duplicateValues" dxfId="1793" priority="303"/>
    <cfRule type="duplicateValues" dxfId="1792" priority="307"/>
  </conditionalFormatting>
  <conditionalFormatting sqref="B59">
    <cfRule type="duplicateValues" dxfId="1791" priority="284"/>
    <cfRule type="duplicateValues" dxfId="1790" priority="285"/>
    <cfRule type="duplicateValues" dxfId="1789" priority="286"/>
    <cfRule type="duplicateValues" dxfId="1788" priority="287"/>
    <cfRule type="duplicateValues" dxfId="1787" priority="288"/>
    <cfRule type="duplicateValues" dxfId="1786" priority="289"/>
    <cfRule type="duplicateValues" dxfId="1785" priority="290"/>
  </conditionalFormatting>
  <conditionalFormatting sqref="B62:B1048576">
    <cfRule type="duplicateValues" dxfId="1784" priority="8042"/>
  </conditionalFormatting>
  <conditionalFormatting sqref="M11">
    <cfRule type="duplicateValues" dxfId="1783" priority="50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C7C3-59AA-4839-9909-211A5DA5E445}">
  <dimension ref="A1:K61"/>
  <sheetViews>
    <sheetView topLeftCell="A5" workbookViewId="0">
      <selection activeCell="A5" sqref="A5:J60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11" customWidth="1"/>
    <col min="5" max="5" width="36.85546875" bestFit="1" customWidth="1"/>
    <col min="7" max="7" width="22.42578125" bestFit="1" customWidth="1"/>
    <col min="9" max="9" width="9.28515625" bestFit="1" customWidth="1"/>
  </cols>
  <sheetData>
    <row r="1" spans="1:10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0" hidden="1" x14ac:dyDescent="0.25"/>
    <row r="5" spans="1:10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25">
      <c r="A6" s="55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0" s="37" customFormat="1" x14ac:dyDescent="0.25">
      <c r="A7" s="8">
        <f>ROW()-6</f>
        <v>1</v>
      </c>
      <c r="B7" s="30" t="s">
        <v>166</v>
      </c>
      <c r="C7" s="36" t="s">
        <v>0</v>
      </c>
      <c r="D7" s="24" t="s">
        <v>11</v>
      </c>
      <c r="E7" s="24" t="s">
        <v>12</v>
      </c>
      <c r="F7" s="30" t="s">
        <v>22</v>
      </c>
      <c r="G7" s="7" t="s">
        <v>13</v>
      </c>
      <c r="H7" s="24">
        <v>10</v>
      </c>
      <c r="I7" s="24"/>
      <c r="J7" s="24" t="s">
        <v>57</v>
      </c>
    </row>
    <row r="8" spans="1:10" s="37" customFormat="1" ht="15" customHeight="1" x14ac:dyDescent="0.25">
      <c r="A8" s="8">
        <f t="shared" ref="A8:A16" si="0">ROW()-6</f>
        <v>2</v>
      </c>
      <c r="B8" s="21" t="s">
        <v>185</v>
      </c>
      <c r="C8" s="36" t="s">
        <v>0</v>
      </c>
      <c r="D8" s="40" t="s">
        <v>176</v>
      </c>
      <c r="E8" s="30" t="s">
        <v>177</v>
      </c>
      <c r="F8" s="30" t="s">
        <v>22</v>
      </c>
      <c r="G8" s="30" t="s">
        <v>178</v>
      </c>
      <c r="H8" s="24">
        <v>6</v>
      </c>
      <c r="I8" s="24"/>
      <c r="J8" s="24" t="s">
        <v>57</v>
      </c>
    </row>
    <row r="9" spans="1:10" s="37" customFormat="1" x14ac:dyDescent="0.25">
      <c r="A9" s="8">
        <f t="shared" si="0"/>
        <v>3</v>
      </c>
      <c r="B9" s="21" t="s">
        <v>173</v>
      </c>
      <c r="C9" s="36" t="s">
        <v>0</v>
      </c>
      <c r="D9" s="35" t="s">
        <v>147</v>
      </c>
      <c r="E9" s="24" t="s">
        <v>148</v>
      </c>
      <c r="F9" s="30" t="s">
        <v>22</v>
      </c>
      <c r="G9" s="24" t="s">
        <v>16</v>
      </c>
      <c r="H9" s="24">
        <v>5</v>
      </c>
      <c r="I9" s="24"/>
      <c r="J9" s="24" t="s">
        <v>57</v>
      </c>
    </row>
    <row r="10" spans="1:10" s="37" customFormat="1" ht="15" customHeight="1" x14ac:dyDescent="0.25">
      <c r="A10" s="8">
        <f t="shared" si="0"/>
        <v>4</v>
      </c>
      <c r="B10" s="21" t="s">
        <v>174</v>
      </c>
      <c r="C10" s="36" t="s">
        <v>0</v>
      </c>
      <c r="D10" s="35" t="s">
        <v>147</v>
      </c>
      <c r="E10" s="24" t="s">
        <v>148</v>
      </c>
      <c r="F10" s="30" t="s">
        <v>22</v>
      </c>
      <c r="G10" s="24" t="s">
        <v>16</v>
      </c>
      <c r="H10" s="24">
        <v>5</v>
      </c>
      <c r="I10" s="24"/>
      <c r="J10" s="24" t="s">
        <v>57</v>
      </c>
    </row>
    <row r="11" spans="1:10" s="37" customFormat="1" ht="15" customHeight="1" x14ac:dyDescent="0.25">
      <c r="A11" s="8">
        <f t="shared" si="0"/>
        <v>5</v>
      </c>
      <c r="B11" s="21" t="s">
        <v>175</v>
      </c>
      <c r="C11" s="36" t="s">
        <v>0</v>
      </c>
      <c r="D11" s="40" t="s">
        <v>176</v>
      </c>
      <c r="E11" s="30" t="s">
        <v>177</v>
      </c>
      <c r="F11" s="30" t="s">
        <v>22</v>
      </c>
      <c r="G11" s="30" t="s">
        <v>178</v>
      </c>
      <c r="H11" s="24">
        <v>5</v>
      </c>
      <c r="I11" s="24"/>
      <c r="J11" s="24" t="s">
        <v>57</v>
      </c>
    </row>
    <row r="12" spans="1:10" s="37" customFormat="1" ht="15" customHeight="1" x14ac:dyDescent="0.25">
      <c r="A12" s="8">
        <f t="shared" si="0"/>
        <v>6</v>
      </c>
      <c r="B12" s="21" t="s">
        <v>179</v>
      </c>
      <c r="C12" s="36" t="s">
        <v>0</v>
      </c>
      <c r="D12" s="21" t="s">
        <v>147</v>
      </c>
      <c r="E12" s="24" t="s">
        <v>148</v>
      </c>
      <c r="F12" s="30" t="s">
        <v>22</v>
      </c>
      <c r="G12" s="24" t="s">
        <v>16</v>
      </c>
      <c r="H12" s="24">
        <v>4</v>
      </c>
      <c r="I12" s="24"/>
      <c r="J12" s="24" t="s">
        <v>57</v>
      </c>
    </row>
    <row r="13" spans="1:10" s="37" customFormat="1" ht="15" customHeight="1" x14ac:dyDescent="0.25">
      <c r="A13" s="8">
        <f t="shared" si="0"/>
        <v>7</v>
      </c>
      <c r="B13" s="24" t="s">
        <v>180</v>
      </c>
      <c r="C13" s="36" t="s">
        <v>0</v>
      </c>
      <c r="D13" s="35" t="s">
        <v>147</v>
      </c>
      <c r="E13" s="24" t="s">
        <v>148</v>
      </c>
      <c r="F13" s="30" t="s">
        <v>22</v>
      </c>
      <c r="G13" s="24" t="s">
        <v>16</v>
      </c>
      <c r="H13" s="24">
        <v>3</v>
      </c>
      <c r="I13" s="24"/>
      <c r="J13" s="24" t="s">
        <v>57</v>
      </c>
    </row>
    <row r="14" spans="1:10" s="37" customFormat="1" ht="15" customHeight="1" x14ac:dyDescent="0.25">
      <c r="A14" s="8">
        <f t="shared" si="0"/>
        <v>8</v>
      </c>
      <c r="B14" s="24" t="s">
        <v>181</v>
      </c>
      <c r="C14" s="36" t="s">
        <v>0</v>
      </c>
      <c r="D14" s="35" t="s">
        <v>147</v>
      </c>
      <c r="E14" s="24" t="s">
        <v>148</v>
      </c>
      <c r="F14" s="30" t="s">
        <v>22</v>
      </c>
      <c r="G14" s="24" t="s">
        <v>16</v>
      </c>
      <c r="H14" s="24">
        <v>3</v>
      </c>
      <c r="I14" s="24"/>
      <c r="J14" s="24" t="s">
        <v>57</v>
      </c>
    </row>
    <row r="15" spans="1:10" s="37" customFormat="1" ht="15" customHeight="1" x14ac:dyDescent="0.25">
      <c r="A15" s="8">
        <f t="shared" si="0"/>
        <v>9</v>
      </c>
      <c r="B15" s="24" t="s">
        <v>182</v>
      </c>
      <c r="C15" s="36" t="s">
        <v>0</v>
      </c>
      <c r="D15" s="35" t="s">
        <v>147</v>
      </c>
      <c r="E15" s="24" t="s">
        <v>148</v>
      </c>
      <c r="F15" s="30" t="s">
        <v>22</v>
      </c>
      <c r="G15" s="24" t="s">
        <v>16</v>
      </c>
      <c r="H15" s="24">
        <v>3</v>
      </c>
      <c r="I15" s="24"/>
      <c r="J15" s="24" t="s">
        <v>57</v>
      </c>
    </row>
    <row r="16" spans="1:10" s="37" customFormat="1" ht="15" customHeight="1" x14ac:dyDescent="0.25">
      <c r="A16" s="8">
        <f t="shared" si="0"/>
        <v>10</v>
      </c>
      <c r="B16" s="21" t="s">
        <v>183</v>
      </c>
      <c r="C16" s="36" t="s">
        <v>0</v>
      </c>
      <c r="D16" s="21" t="s">
        <v>176</v>
      </c>
      <c r="E16" s="30" t="s">
        <v>177</v>
      </c>
      <c r="F16" s="30" t="s">
        <v>22</v>
      </c>
      <c r="G16" s="30" t="s">
        <v>178</v>
      </c>
      <c r="H16" s="24">
        <v>2</v>
      </c>
      <c r="I16" s="24"/>
      <c r="J16" s="24" t="s">
        <v>57</v>
      </c>
    </row>
    <row r="17" spans="1:11" x14ac:dyDescent="0.25">
      <c r="A17" s="47"/>
      <c r="B17" s="43"/>
      <c r="C17" s="39"/>
      <c r="D17" s="37"/>
      <c r="E17" s="37"/>
      <c r="F17" s="43"/>
      <c r="G17" s="37"/>
      <c r="H17" s="37"/>
      <c r="I17" s="37"/>
      <c r="J17" s="37"/>
    </row>
    <row r="18" spans="1:11" x14ac:dyDescent="0.25">
      <c r="A18" s="47"/>
      <c r="B18" s="56"/>
      <c r="C18" s="39"/>
      <c r="D18" s="56"/>
      <c r="E18" s="12"/>
      <c r="F18" s="12"/>
      <c r="G18" s="12"/>
      <c r="H18" s="12"/>
      <c r="I18" s="12"/>
      <c r="J18" s="13"/>
    </row>
    <row r="19" spans="1:11" x14ac:dyDescent="0.25">
      <c r="A19" s="47"/>
      <c r="B19" s="56"/>
      <c r="C19" s="39"/>
      <c r="D19" s="56"/>
      <c r="E19" s="12"/>
      <c r="F19" s="12"/>
      <c r="G19" s="12"/>
      <c r="H19" s="12"/>
      <c r="I19" s="12"/>
      <c r="J19" s="13"/>
    </row>
    <row r="20" spans="1:11" x14ac:dyDescent="0.25">
      <c r="A20" s="115" t="s">
        <v>21</v>
      </c>
      <c r="B20" s="116"/>
      <c r="C20" s="116"/>
      <c r="D20" s="116"/>
      <c r="E20" s="116"/>
      <c r="F20" s="116"/>
      <c r="G20" s="116"/>
      <c r="H20" s="116"/>
      <c r="I20" s="116"/>
      <c r="J20" s="117"/>
    </row>
    <row r="21" spans="1:11" x14ac:dyDescent="0.25">
      <c r="A21" s="55" t="s">
        <v>1</v>
      </c>
      <c r="B21" s="41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/>
      <c r="J21" s="2" t="s">
        <v>9</v>
      </c>
    </row>
    <row r="22" spans="1:11" s="37" customFormat="1" x14ac:dyDescent="0.25">
      <c r="A22" s="8">
        <f>ROW()-21</f>
        <v>1</v>
      </c>
      <c r="B22" s="30" t="s">
        <v>151</v>
      </c>
      <c r="C22" s="46" t="s">
        <v>66</v>
      </c>
      <c r="D22" s="24" t="s">
        <v>11</v>
      </c>
      <c r="E22" s="24" t="s">
        <v>56</v>
      </c>
      <c r="F22" s="30" t="s">
        <v>22</v>
      </c>
      <c r="G22" s="24" t="s">
        <v>16</v>
      </c>
      <c r="H22" s="24">
        <v>1</v>
      </c>
      <c r="I22" s="24"/>
      <c r="J22" s="24" t="s">
        <v>57</v>
      </c>
    </row>
    <row r="23" spans="1:11" s="37" customFormat="1" x14ac:dyDescent="0.25">
      <c r="A23" s="8">
        <f t="shared" ref="A23:A29" si="1">ROW()-21</f>
        <v>2</v>
      </c>
      <c r="B23" s="30" t="s">
        <v>160</v>
      </c>
      <c r="C23" s="46" t="s">
        <v>66</v>
      </c>
      <c r="D23" s="24" t="s">
        <v>11</v>
      </c>
      <c r="E23" s="30" t="s">
        <v>12</v>
      </c>
      <c r="F23" s="30" t="s">
        <v>22</v>
      </c>
      <c r="G23" s="49" t="s">
        <v>13</v>
      </c>
      <c r="H23" s="50">
        <v>1</v>
      </c>
      <c r="I23" s="24"/>
      <c r="J23" s="24" t="s">
        <v>57</v>
      </c>
    </row>
    <row r="24" spans="1:11" s="37" customFormat="1" ht="15" customHeight="1" thickBot="1" x14ac:dyDescent="0.3">
      <c r="A24" s="8">
        <f t="shared" si="1"/>
        <v>3</v>
      </c>
      <c r="B24" s="33" t="s">
        <v>168</v>
      </c>
      <c r="C24" s="46" t="s">
        <v>66</v>
      </c>
      <c r="D24" s="35" t="s">
        <v>11</v>
      </c>
      <c r="E24" s="24" t="s">
        <v>12</v>
      </c>
      <c r="F24" s="30" t="s">
        <v>22</v>
      </c>
      <c r="G24" s="7" t="s">
        <v>169</v>
      </c>
      <c r="H24" s="24">
        <v>1</v>
      </c>
      <c r="I24" s="24"/>
      <c r="J24" s="24" t="s">
        <v>57</v>
      </c>
      <c r="K24" s="51"/>
    </row>
    <row r="25" spans="1:11" s="37" customFormat="1" ht="15" customHeight="1" x14ac:dyDescent="0.25">
      <c r="A25" s="8">
        <f t="shared" si="1"/>
        <v>4</v>
      </c>
      <c r="B25" s="30" t="s">
        <v>163</v>
      </c>
      <c r="C25" s="36" t="s">
        <v>119</v>
      </c>
      <c r="D25" s="24" t="s">
        <v>11</v>
      </c>
      <c r="E25" s="24" t="s">
        <v>12</v>
      </c>
      <c r="F25" s="30" t="s">
        <v>22</v>
      </c>
      <c r="G25" s="24" t="s">
        <v>53</v>
      </c>
      <c r="H25" s="24"/>
      <c r="I25" s="24"/>
      <c r="J25" s="24" t="s">
        <v>57</v>
      </c>
    </row>
    <row r="26" spans="1:11" s="37" customFormat="1" ht="15" customHeight="1" x14ac:dyDescent="0.25">
      <c r="A26" s="8">
        <f t="shared" si="1"/>
        <v>5</v>
      </c>
      <c r="B26" s="30" t="s">
        <v>155</v>
      </c>
      <c r="C26" s="36" t="s">
        <v>118</v>
      </c>
      <c r="D26" s="24" t="s">
        <v>11</v>
      </c>
      <c r="E26" s="30" t="s">
        <v>12</v>
      </c>
      <c r="F26" s="30" t="s">
        <v>22</v>
      </c>
      <c r="G26" s="24" t="s">
        <v>16</v>
      </c>
      <c r="H26" s="24"/>
      <c r="I26" s="24"/>
      <c r="J26" s="24" t="s">
        <v>57</v>
      </c>
    </row>
    <row r="27" spans="1:11" s="37" customFormat="1" ht="15" customHeight="1" x14ac:dyDescent="0.25">
      <c r="A27" s="8">
        <f t="shared" si="1"/>
        <v>6</v>
      </c>
      <c r="B27" s="33" t="s">
        <v>167</v>
      </c>
      <c r="C27" s="36" t="s">
        <v>165</v>
      </c>
      <c r="D27" s="35" t="s">
        <v>147</v>
      </c>
      <c r="E27" s="24" t="s">
        <v>148</v>
      </c>
      <c r="F27" s="30" t="s">
        <v>22</v>
      </c>
      <c r="G27" s="24" t="s">
        <v>16</v>
      </c>
      <c r="H27" s="24"/>
      <c r="I27" s="24"/>
      <c r="J27" s="24" t="s">
        <v>57</v>
      </c>
    </row>
    <row r="28" spans="1:11" s="37" customFormat="1" ht="15" customHeight="1" x14ac:dyDescent="0.25">
      <c r="A28" s="8">
        <f t="shared" si="1"/>
        <v>7</v>
      </c>
      <c r="B28" s="33" t="s">
        <v>170</v>
      </c>
      <c r="C28" s="36" t="s">
        <v>70</v>
      </c>
      <c r="D28" s="35" t="s">
        <v>11</v>
      </c>
      <c r="E28" s="24" t="s">
        <v>12</v>
      </c>
      <c r="F28" s="30" t="s">
        <v>22</v>
      </c>
      <c r="G28" s="7" t="s">
        <v>169</v>
      </c>
      <c r="H28" s="24"/>
      <c r="I28" s="24"/>
      <c r="J28" s="24" t="s">
        <v>57</v>
      </c>
    </row>
    <row r="29" spans="1:11" s="37" customFormat="1" ht="15" customHeight="1" x14ac:dyDescent="0.25">
      <c r="A29" s="8">
        <f t="shared" si="1"/>
        <v>8</v>
      </c>
      <c r="B29" s="35" t="s">
        <v>184</v>
      </c>
      <c r="C29" s="36" t="s">
        <v>133</v>
      </c>
      <c r="D29" s="35" t="s">
        <v>147</v>
      </c>
      <c r="E29" s="24" t="s">
        <v>148</v>
      </c>
      <c r="F29" s="30" t="s">
        <v>22</v>
      </c>
      <c r="G29" s="24" t="s">
        <v>16</v>
      </c>
      <c r="H29" s="24"/>
      <c r="I29" s="53"/>
      <c r="J29" s="24"/>
    </row>
    <row r="30" spans="1:11" x14ac:dyDescent="0.25">
      <c r="A30" s="47"/>
      <c r="B30" s="43"/>
      <c r="C30" s="39"/>
      <c r="D30" s="37"/>
      <c r="E30" s="37"/>
      <c r="F30" s="43"/>
      <c r="G30" s="37"/>
      <c r="H30" s="37"/>
      <c r="I30" s="37"/>
      <c r="J30" s="37"/>
    </row>
    <row r="31" spans="1:11" x14ac:dyDescent="0.25">
      <c r="A31" s="47"/>
      <c r="B31" s="56"/>
      <c r="C31" s="39"/>
      <c r="D31" s="56"/>
      <c r="E31" s="12"/>
      <c r="F31" s="12"/>
      <c r="G31" s="12"/>
      <c r="H31" s="12"/>
      <c r="I31" s="12"/>
      <c r="J31" s="13"/>
    </row>
    <row r="32" spans="1:11" x14ac:dyDescent="0.25">
      <c r="A32" s="47"/>
      <c r="B32" s="56"/>
      <c r="C32" s="39"/>
      <c r="D32" s="56"/>
      <c r="E32" s="12"/>
      <c r="F32" s="12"/>
      <c r="G32" s="12"/>
      <c r="H32" s="12"/>
      <c r="I32" s="12"/>
      <c r="J32" s="13"/>
    </row>
    <row r="33" spans="1:10" x14ac:dyDescent="0.25">
      <c r="A33" s="114" t="s">
        <v>68</v>
      </c>
      <c r="B33" s="114"/>
      <c r="C33" s="114"/>
      <c r="D33" s="114"/>
      <c r="E33" s="114"/>
      <c r="F33" s="114"/>
      <c r="G33" s="114"/>
      <c r="H33" s="114"/>
      <c r="I33" s="114"/>
      <c r="J33" s="114"/>
    </row>
    <row r="34" spans="1:10" x14ac:dyDescent="0.25">
      <c r="A34" s="55" t="s">
        <v>1</v>
      </c>
      <c r="B34" s="41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/>
      <c r="J34" s="2" t="s">
        <v>9</v>
      </c>
    </row>
    <row r="35" spans="1:10" s="37" customFormat="1" ht="15" customHeight="1" x14ac:dyDescent="0.25">
      <c r="A35" s="8">
        <f>ROW()-34</f>
        <v>1</v>
      </c>
      <c r="B35" s="30" t="s">
        <v>157</v>
      </c>
      <c r="C35" s="45" t="s">
        <v>110</v>
      </c>
      <c r="D35" s="24" t="s">
        <v>11</v>
      </c>
      <c r="E35" s="30" t="s">
        <v>12</v>
      </c>
      <c r="F35" s="30" t="s">
        <v>22</v>
      </c>
      <c r="G35" s="24" t="s">
        <v>16</v>
      </c>
      <c r="H35" s="24">
        <v>2</v>
      </c>
      <c r="I35" s="24"/>
      <c r="J35" s="24" t="s">
        <v>57</v>
      </c>
    </row>
    <row r="36" spans="1:10" s="37" customFormat="1" ht="15" customHeight="1" x14ac:dyDescent="0.25">
      <c r="A36" s="8">
        <f t="shared" ref="A36:A40" si="2">ROW()-34</f>
        <v>2</v>
      </c>
      <c r="B36" s="30" t="s">
        <v>161</v>
      </c>
      <c r="C36" s="45" t="s">
        <v>110</v>
      </c>
      <c r="D36" s="24" t="s">
        <v>11</v>
      </c>
      <c r="E36" s="30" t="s">
        <v>12</v>
      </c>
      <c r="F36" s="30" t="s">
        <v>22</v>
      </c>
      <c r="G36" s="24" t="s">
        <v>16</v>
      </c>
      <c r="H36" s="24">
        <v>2</v>
      </c>
      <c r="I36" s="24"/>
      <c r="J36" s="24" t="s">
        <v>57</v>
      </c>
    </row>
    <row r="37" spans="1:10" s="37" customFormat="1" ht="15" customHeight="1" x14ac:dyDescent="0.25">
      <c r="A37" s="8">
        <f t="shared" si="2"/>
        <v>3</v>
      </c>
      <c r="B37" s="30" t="s">
        <v>158</v>
      </c>
      <c r="C37" s="45" t="s">
        <v>110</v>
      </c>
      <c r="D37" s="24" t="s">
        <v>11</v>
      </c>
      <c r="E37" s="30" t="s">
        <v>12</v>
      </c>
      <c r="F37" s="30" t="s">
        <v>22</v>
      </c>
      <c r="G37" s="7" t="s">
        <v>13</v>
      </c>
      <c r="H37" s="24">
        <v>2</v>
      </c>
      <c r="I37" s="24"/>
      <c r="J37" s="24" t="s">
        <v>57</v>
      </c>
    </row>
    <row r="38" spans="1:10" s="37" customFormat="1" ht="15" customHeight="1" x14ac:dyDescent="0.25">
      <c r="A38" s="8">
        <f t="shared" si="2"/>
        <v>4</v>
      </c>
      <c r="B38" s="30" t="s">
        <v>150</v>
      </c>
      <c r="C38" s="45" t="s">
        <v>110</v>
      </c>
      <c r="D38" s="24" t="s">
        <v>11</v>
      </c>
      <c r="E38" s="24" t="s">
        <v>12</v>
      </c>
      <c r="F38" s="30" t="s">
        <v>22</v>
      </c>
      <c r="G38" s="24" t="s">
        <v>53</v>
      </c>
      <c r="H38" s="24">
        <v>2</v>
      </c>
      <c r="I38" s="24"/>
      <c r="J38" s="24" t="s">
        <v>57</v>
      </c>
    </row>
    <row r="39" spans="1:10" s="37" customFormat="1" ht="15" customHeight="1" x14ac:dyDescent="0.25">
      <c r="A39" s="8">
        <f t="shared" si="2"/>
        <v>5</v>
      </c>
      <c r="B39" s="30" t="s">
        <v>154</v>
      </c>
      <c r="C39" s="45" t="s">
        <v>110</v>
      </c>
      <c r="D39" s="24" t="s">
        <v>11</v>
      </c>
      <c r="E39" s="24" t="s">
        <v>56</v>
      </c>
      <c r="F39" s="30" t="s">
        <v>22</v>
      </c>
      <c r="G39" s="24" t="s">
        <v>16</v>
      </c>
      <c r="H39" s="24">
        <v>2</v>
      </c>
      <c r="I39" s="24"/>
      <c r="J39" s="24" t="s">
        <v>57</v>
      </c>
    </row>
    <row r="40" spans="1:10" s="37" customFormat="1" ht="15" customHeight="1" x14ac:dyDescent="0.25">
      <c r="A40" s="8">
        <f t="shared" si="2"/>
        <v>6</v>
      </c>
      <c r="B40" s="30" t="s">
        <v>152</v>
      </c>
      <c r="C40" s="45" t="s">
        <v>110</v>
      </c>
      <c r="D40" s="24" t="s">
        <v>11</v>
      </c>
      <c r="E40" s="24" t="s">
        <v>56</v>
      </c>
      <c r="F40" s="30" t="s">
        <v>22</v>
      </c>
      <c r="G40" s="24" t="s">
        <v>16</v>
      </c>
      <c r="H40" s="24">
        <v>2</v>
      </c>
      <c r="I40" s="24"/>
      <c r="J40" s="24" t="s">
        <v>57</v>
      </c>
    </row>
    <row r="41" spans="1:10" x14ac:dyDescent="0.25">
      <c r="A41" s="13"/>
      <c r="B41" s="43"/>
      <c r="C41" s="48"/>
      <c r="D41" s="37"/>
      <c r="E41" s="37"/>
      <c r="F41" s="12"/>
      <c r="G41" s="37"/>
      <c r="H41" s="37"/>
      <c r="I41" s="37"/>
      <c r="J41" s="37"/>
    </row>
    <row r="42" spans="1:10" x14ac:dyDescent="0.25">
      <c r="A42" s="13"/>
      <c r="B42" s="43"/>
      <c r="C42" s="48"/>
      <c r="D42" s="37"/>
      <c r="E42" s="37"/>
      <c r="F42" s="12"/>
      <c r="G42" s="37"/>
      <c r="H42" s="37"/>
      <c r="I42" s="37"/>
      <c r="J42" s="37"/>
    </row>
    <row r="43" spans="1:10" x14ac:dyDescent="0.25">
      <c r="A43" s="54"/>
    </row>
    <row r="44" spans="1:10" x14ac:dyDescent="0.25">
      <c r="A44" s="114" t="s">
        <v>30</v>
      </c>
      <c r="B44" s="114"/>
      <c r="C44" s="114"/>
      <c r="D44" s="114"/>
      <c r="E44" s="114"/>
      <c r="F44" s="114"/>
      <c r="G44" s="114"/>
      <c r="H44" s="114"/>
      <c r="I44" s="114"/>
      <c r="J44" s="114"/>
    </row>
    <row r="45" spans="1:10" ht="29.45" customHeight="1" x14ac:dyDescent="0.25">
      <c r="A45" s="57" t="s">
        <v>1</v>
      </c>
      <c r="B45" s="44" t="s">
        <v>2</v>
      </c>
      <c r="C45" s="15" t="s">
        <v>40</v>
      </c>
      <c r="D45" s="15" t="s">
        <v>4</v>
      </c>
      <c r="E45" s="15" t="s">
        <v>5</v>
      </c>
      <c r="F45" s="15" t="s">
        <v>6</v>
      </c>
      <c r="G45" s="15" t="s">
        <v>7</v>
      </c>
      <c r="H45" s="15" t="s">
        <v>8</v>
      </c>
      <c r="I45" s="15" t="s">
        <v>31</v>
      </c>
      <c r="J45" s="15" t="s">
        <v>9</v>
      </c>
    </row>
    <row r="46" spans="1:10" s="37" customFormat="1" ht="15" customHeight="1" x14ac:dyDescent="0.25">
      <c r="A46" s="8">
        <f>ROW()-45</f>
        <v>1</v>
      </c>
      <c r="B46" s="30" t="s">
        <v>129</v>
      </c>
      <c r="C46" s="45" t="s">
        <v>33</v>
      </c>
      <c r="D46" s="24" t="s">
        <v>11</v>
      </c>
      <c r="E46" s="24" t="s">
        <v>56</v>
      </c>
      <c r="F46" s="7" t="s">
        <v>22</v>
      </c>
      <c r="G46" s="24" t="s">
        <v>16</v>
      </c>
      <c r="H46" s="7">
        <v>16</v>
      </c>
      <c r="I46" s="24"/>
      <c r="J46" s="24" t="s">
        <v>57</v>
      </c>
    </row>
    <row r="47" spans="1:10" s="37" customFormat="1" ht="15" customHeight="1" x14ac:dyDescent="0.25">
      <c r="A47" s="8">
        <f t="shared" ref="A47:A52" si="3">ROW()-45</f>
        <v>2</v>
      </c>
      <c r="B47" s="30" t="s">
        <v>156</v>
      </c>
      <c r="C47" s="45" t="s">
        <v>33</v>
      </c>
      <c r="D47" s="24" t="s">
        <v>11</v>
      </c>
      <c r="E47" s="30" t="s">
        <v>12</v>
      </c>
      <c r="F47" s="30" t="s">
        <v>22</v>
      </c>
      <c r="G47" s="24" t="s">
        <v>16</v>
      </c>
      <c r="H47" s="24">
        <v>2</v>
      </c>
      <c r="I47" s="24"/>
      <c r="J47" s="24" t="s">
        <v>57</v>
      </c>
    </row>
    <row r="48" spans="1:10" s="37" customFormat="1" ht="15" customHeight="1" x14ac:dyDescent="0.25">
      <c r="A48" s="8">
        <f t="shared" si="3"/>
        <v>3</v>
      </c>
      <c r="B48" s="30" t="s">
        <v>159</v>
      </c>
      <c r="C48" s="45" t="s">
        <v>33</v>
      </c>
      <c r="D48" s="24" t="s">
        <v>11</v>
      </c>
      <c r="E48" s="30" t="s">
        <v>12</v>
      </c>
      <c r="F48" s="30" t="s">
        <v>22</v>
      </c>
      <c r="G48" s="7" t="s">
        <v>13</v>
      </c>
      <c r="H48" s="24">
        <v>2</v>
      </c>
      <c r="I48" s="24"/>
      <c r="J48" s="24" t="s">
        <v>57</v>
      </c>
    </row>
    <row r="49" spans="1:10" s="37" customFormat="1" ht="15" customHeight="1" x14ac:dyDescent="0.25">
      <c r="A49" s="8">
        <f t="shared" si="3"/>
        <v>4</v>
      </c>
      <c r="B49" s="30" t="s">
        <v>162</v>
      </c>
      <c r="C49" s="45" t="s">
        <v>33</v>
      </c>
      <c r="D49" s="24" t="s">
        <v>11</v>
      </c>
      <c r="E49" s="30" t="s">
        <v>12</v>
      </c>
      <c r="F49" s="30" t="s">
        <v>22</v>
      </c>
      <c r="G49" s="7" t="s">
        <v>13</v>
      </c>
      <c r="H49" s="24">
        <v>2</v>
      </c>
      <c r="I49" s="24"/>
      <c r="J49" s="24" t="s">
        <v>57</v>
      </c>
    </row>
    <row r="50" spans="1:10" s="37" customFormat="1" ht="15" customHeight="1" x14ac:dyDescent="0.25">
      <c r="A50" s="8">
        <f t="shared" si="3"/>
        <v>5</v>
      </c>
      <c r="B50" s="30" t="s">
        <v>149</v>
      </c>
      <c r="C50" s="45" t="s">
        <v>33</v>
      </c>
      <c r="D50" s="24" t="s">
        <v>11</v>
      </c>
      <c r="E50" s="24" t="s">
        <v>56</v>
      </c>
      <c r="F50" s="30" t="s">
        <v>22</v>
      </c>
      <c r="G50" s="24" t="s">
        <v>16</v>
      </c>
      <c r="H50" s="24">
        <v>2</v>
      </c>
      <c r="I50" s="24"/>
      <c r="J50" s="24" t="s">
        <v>57</v>
      </c>
    </row>
    <row r="51" spans="1:10" s="37" customFormat="1" ht="15" customHeight="1" x14ac:dyDescent="0.25">
      <c r="A51" s="8">
        <f t="shared" si="3"/>
        <v>6</v>
      </c>
      <c r="B51" s="30" t="s">
        <v>164</v>
      </c>
      <c r="C51" s="45" t="s">
        <v>33</v>
      </c>
      <c r="D51" s="24" t="s">
        <v>11</v>
      </c>
      <c r="E51" s="24" t="s">
        <v>12</v>
      </c>
      <c r="F51" s="30" t="s">
        <v>22</v>
      </c>
      <c r="G51" s="24" t="s">
        <v>53</v>
      </c>
      <c r="H51" s="24">
        <v>2</v>
      </c>
      <c r="I51" s="24"/>
      <c r="J51" s="24" t="s">
        <v>57</v>
      </c>
    </row>
    <row r="52" spans="1:10" s="37" customFormat="1" ht="15" customHeight="1" x14ac:dyDescent="0.25">
      <c r="A52" s="8">
        <f t="shared" si="3"/>
        <v>7</v>
      </c>
      <c r="B52" s="30" t="s">
        <v>153</v>
      </c>
      <c r="C52" s="45" t="s">
        <v>33</v>
      </c>
      <c r="D52" s="24" t="s">
        <v>11</v>
      </c>
      <c r="E52" s="24" t="s">
        <v>56</v>
      </c>
      <c r="F52" s="30" t="s">
        <v>22</v>
      </c>
      <c r="G52" s="24" t="s">
        <v>16</v>
      </c>
      <c r="H52" s="24">
        <v>2</v>
      </c>
      <c r="I52" s="24"/>
      <c r="J52" s="24" t="s">
        <v>57</v>
      </c>
    </row>
    <row r="55" spans="1:10" x14ac:dyDescent="0.25">
      <c r="A55" s="114" t="s">
        <v>145</v>
      </c>
      <c r="B55" s="114"/>
      <c r="C55" s="114"/>
      <c r="D55" s="114"/>
      <c r="E55" s="114"/>
      <c r="F55" s="114"/>
      <c r="G55" s="114"/>
      <c r="H55" s="114"/>
      <c r="I55" s="114"/>
      <c r="J55" s="114"/>
    </row>
    <row r="56" spans="1:10" ht="29.45" customHeight="1" x14ac:dyDescent="0.25">
      <c r="A56" s="57" t="s">
        <v>1</v>
      </c>
      <c r="B56" s="44" t="s">
        <v>2</v>
      </c>
      <c r="C56" s="15" t="s">
        <v>40</v>
      </c>
      <c r="D56" s="15" t="s">
        <v>4</v>
      </c>
      <c r="E56" s="15" t="s">
        <v>5</v>
      </c>
      <c r="F56" s="15" t="s">
        <v>6</v>
      </c>
      <c r="G56" s="15" t="s">
        <v>7</v>
      </c>
      <c r="H56" s="15" t="s">
        <v>8</v>
      </c>
      <c r="I56" s="15" t="s">
        <v>31</v>
      </c>
      <c r="J56" s="15" t="s">
        <v>9</v>
      </c>
    </row>
    <row r="57" spans="1:10" s="37" customFormat="1" ht="15" customHeight="1" x14ac:dyDescent="0.25">
      <c r="A57" s="8">
        <f>ROW()-56</f>
        <v>1</v>
      </c>
      <c r="B57" s="33" t="s">
        <v>121</v>
      </c>
      <c r="C57" s="36" t="s">
        <v>145</v>
      </c>
      <c r="D57" s="24" t="s">
        <v>122</v>
      </c>
      <c r="E57" s="7" t="s">
        <v>123</v>
      </c>
      <c r="F57" s="7" t="s">
        <v>22</v>
      </c>
      <c r="G57" s="7" t="s">
        <v>124</v>
      </c>
      <c r="H57" s="7">
        <v>16</v>
      </c>
      <c r="I57" s="24"/>
      <c r="J57" s="24" t="s">
        <v>57</v>
      </c>
    </row>
    <row r="58" spans="1:10" s="37" customFormat="1" ht="15" customHeight="1" x14ac:dyDescent="0.25">
      <c r="A58" s="8">
        <f t="shared" ref="A58:A60" si="4">ROW()-56</f>
        <v>2</v>
      </c>
      <c r="B58" s="30" t="s">
        <v>139</v>
      </c>
      <c r="C58" s="36" t="s">
        <v>145</v>
      </c>
      <c r="D58" s="24" t="s">
        <v>122</v>
      </c>
      <c r="E58" s="7" t="s">
        <v>123</v>
      </c>
      <c r="F58" s="7" t="s">
        <v>22</v>
      </c>
      <c r="G58" s="7" t="s">
        <v>124</v>
      </c>
      <c r="H58" s="7">
        <v>4</v>
      </c>
      <c r="I58" s="24"/>
      <c r="J58" s="24" t="s">
        <v>57</v>
      </c>
    </row>
    <row r="59" spans="1:10" s="37" customFormat="1" ht="15" customHeight="1" x14ac:dyDescent="0.25">
      <c r="A59" s="8">
        <f t="shared" si="4"/>
        <v>3</v>
      </c>
      <c r="B59" s="30" t="s">
        <v>137</v>
      </c>
      <c r="C59" s="36" t="s">
        <v>145</v>
      </c>
      <c r="D59" s="24" t="s">
        <v>122</v>
      </c>
      <c r="E59" s="7" t="s">
        <v>123</v>
      </c>
      <c r="F59" s="7" t="s">
        <v>22</v>
      </c>
      <c r="G59" s="7" t="s">
        <v>124</v>
      </c>
      <c r="H59" s="24">
        <v>4</v>
      </c>
      <c r="I59" s="24"/>
      <c r="J59" s="24" t="s">
        <v>57</v>
      </c>
    </row>
    <row r="60" spans="1:10" s="37" customFormat="1" ht="15" customHeight="1" x14ac:dyDescent="0.25">
      <c r="A60" s="8">
        <f t="shared" si="4"/>
        <v>4</v>
      </c>
      <c r="B60" s="30" t="s">
        <v>146</v>
      </c>
      <c r="C60" s="36" t="s">
        <v>145</v>
      </c>
      <c r="D60" s="21" t="s">
        <v>147</v>
      </c>
      <c r="E60" s="24" t="s">
        <v>148</v>
      </c>
      <c r="F60" s="30" t="s">
        <v>22</v>
      </c>
      <c r="G60" s="24" t="s">
        <v>16</v>
      </c>
      <c r="H60" s="24">
        <v>4</v>
      </c>
      <c r="I60" s="24"/>
      <c r="J60" s="24" t="s">
        <v>57</v>
      </c>
    </row>
    <row r="61" spans="1:10" ht="12.6" customHeight="1" x14ac:dyDescent="0.25"/>
  </sheetData>
  <mergeCells count="6">
    <mergeCell ref="A55:J55"/>
    <mergeCell ref="A1:J1"/>
    <mergeCell ref="A5:J5"/>
    <mergeCell ref="A20:J20"/>
    <mergeCell ref="A33:J33"/>
    <mergeCell ref="A44:J44"/>
  </mergeCells>
  <conditionalFormatting sqref="B8">
    <cfRule type="duplicateValues" dxfId="1782" priority="1"/>
    <cfRule type="duplicateValues" dxfId="1781" priority="2"/>
    <cfRule type="duplicateValues" dxfId="1780" priority="3"/>
    <cfRule type="duplicateValues" dxfId="1779" priority="4"/>
    <cfRule type="duplicateValues" dxfId="1778" priority="5"/>
    <cfRule type="duplicateValues" dxfId="1777" priority="6"/>
    <cfRule type="duplicateValues" dxfId="1776" priority="7"/>
  </conditionalFormatting>
  <conditionalFormatting sqref="B9:B10">
    <cfRule type="duplicateValues" dxfId="1775" priority="72"/>
    <cfRule type="duplicateValues" dxfId="1774" priority="73"/>
    <cfRule type="duplicateValues" dxfId="1773" priority="74"/>
    <cfRule type="duplicateValues" dxfId="1772" priority="75"/>
    <cfRule type="duplicateValues" dxfId="1771" priority="76"/>
  </conditionalFormatting>
  <conditionalFormatting sqref="B11">
    <cfRule type="duplicateValues" dxfId="1770" priority="67"/>
    <cfRule type="duplicateValues" dxfId="1769" priority="68"/>
    <cfRule type="duplicateValues" dxfId="1768" priority="69"/>
    <cfRule type="duplicateValues" dxfId="1767" priority="70"/>
    <cfRule type="duplicateValues" dxfId="1766" priority="71"/>
  </conditionalFormatting>
  <conditionalFormatting sqref="B12">
    <cfRule type="duplicateValues" dxfId="1765" priority="62"/>
    <cfRule type="duplicateValues" dxfId="1764" priority="63"/>
    <cfRule type="duplicateValues" dxfId="1763" priority="64"/>
    <cfRule type="duplicateValues" dxfId="1762" priority="65"/>
    <cfRule type="duplicateValues" dxfId="1761" priority="66"/>
  </conditionalFormatting>
  <conditionalFormatting sqref="B13:B15">
    <cfRule type="duplicateValues" dxfId="1760" priority="10290"/>
    <cfRule type="duplicateValues" dxfId="1759" priority="10321"/>
    <cfRule type="duplicateValues" dxfId="1758" priority="10322"/>
  </conditionalFormatting>
  <conditionalFormatting sqref="B14:B15">
    <cfRule type="duplicateValues" dxfId="1757" priority="10291"/>
    <cfRule type="duplicateValues" dxfId="1756" priority="10292"/>
    <cfRule type="duplicateValues" dxfId="1755" priority="10293"/>
    <cfRule type="duplicateValues" dxfId="1754" priority="10294"/>
    <cfRule type="duplicateValues" dxfId="1753" priority="10295"/>
    <cfRule type="duplicateValues" dxfId="1752" priority="10296"/>
    <cfRule type="duplicateValues" dxfId="1751" priority="10297"/>
    <cfRule type="duplicateValues" dxfId="1750" priority="10298"/>
    <cfRule type="duplicateValues" dxfId="1749" priority="10299"/>
    <cfRule type="duplicateValues" dxfId="1748" priority="10300"/>
    <cfRule type="duplicateValues" dxfId="1747" priority="10301"/>
    <cfRule type="duplicateValues" dxfId="1746" priority="10302"/>
    <cfRule type="duplicateValues" dxfId="1745" priority="10303"/>
    <cfRule type="duplicateValues" dxfId="1744" priority="10304"/>
    <cfRule type="duplicateValues" dxfId="1743" priority="10305"/>
    <cfRule type="duplicateValues" dxfId="1742" priority="10306"/>
    <cfRule type="duplicateValues" dxfId="1741" priority="10307"/>
    <cfRule type="duplicateValues" dxfId="1740" priority="10308"/>
    <cfRule type="duplicateValues" dxfId="1739" priority="10309"/>
    <cfRule type="duplicateValues" dxfId="1738" priority="10310"/>
    <cfRule type="duplicateValues" dxfId="1737" priority="10311"/>
    <cfRule type="duplicateValues" dxfId="1736" priority="10312"/>
    <cfRule type="duplicateValues" dxfId="1735" priority="10313"/>
    <cfRule type="duplicateValues" dxfId="1734" priority="10314"/>
    <cfRule type="duplicateValues" dxfId="1733" priority="10315"/>
  </conditionalFormatting>
  <conditionalFormatting sqref="B16">
    <cfRule type="duplicateValues" dxfId="1732" priority="18"/>
  </conditionalFormatting>
  <conditionalFormatting sqref="B17">
    <cfRule type="duplicateValues" dxfId="1731" priority="21"/>
    <cfRule type="duplicateValues" dxfId="1730" priority="22"/>
    <cfRule type="duplicateValues" dxfId="1729" priority="23"/>
    <cfRule type="duplicateValues" dxfId="1728" priority="24"/>
    <cfRule type="duplicateValues" dxfId="1727" priority="25"/>
  </conditionalFormatting>
  <conditionalFormatting sqref="B17:B28 B30:B1048576 B1:B7">
    <cfRule type="duplicateValues" dxfId="1726" priority="77"/>
    <cfRule type="duplicateValues" dxfId="1725" priority="9746"/>
    <cfRule type="duplicateValues" dxfId="1724" priority="9749"/>
    <cfRule type="duplicateValues" dxfId="1723" priority="9750"/>
  </conditionalFormatting>
  <conditionalFormatting sqref="B18:B19">
    <cfRule type="duplicateValues" dxfId="1722" priority="19"/>
    <cfRule type="duplicateValues" dxfId="1721" priority="20" stopIfTrue="1"/>
    <cfRule type="duplicateValues" dxfId="1720" priority="26"/>
  </conditionalFormatting>
  <conditionalFormatting sqref="B22">
    <cfRule type="duplicateValues" dxfId="1719" priority="307"/>
    <cfRule type="duplicateValues" dxfId="1718" priority="308"/>
    <cfRule type="duplicateValues" dxfId="1717" priority="309"/>
    <cfRule type="duplicateValues" dxfId="1716" priority="310"/>
  </conditionalFormatting>
  <conditionalFormatting sqref="B22:B23 B7">
    <cfRule type="duplicateValues" dxfId="1715" priority="301"/>
    <cfRule type="duplicateValues" dxfId="1714" priority="302"/>
    <cfRule type="duplicateValues" dxfId="1713" priority="303"/>
    <cfRule type="duplicateValues" dxfId="1712" priority="304"/>
    <cfRule type="duplicateValues" dxfId="1711" priority="305"/>
    <cfRule type="duplicateValues" dxfId="1710" priority="306"/>
  </conditionalFormatting>
  <conditionalFormatting sqref="B24 B27:B28">
    <cfRule type="duplicateValues" dxfId="1709" priority="297"/>
    <cfRule type="duplicateValues" dxfId="1708" priority="298"/>
    <cfRule type="duplicateValues" dxfId="1707" priority="299"/>
  </conditionalFormatting>
  <conditionalFormatting sqref="B26">
    <cfRule type="duplicateValues" dxfId="1706" priority="295"/>
    <cfRule type="duplicateValues" dxfId="1705" priority="296"/>
  </conditionalFormatting>
  <conditionalFormatting sqref="B29">
    <cfRule type="duplicateValues" dxfId="1704" priority="8"/>
    <cfRule type="duplicateValues" dxfId="1703" priority="9"/>
    <cfRule type="duplicateValues" dxfId="1702" priority="10"/>
    <cfRule type="duplicateValues" dxfId="1701" priority="11"/>
    <cfRule type="duplicateValues" dxfId="1700" priority="12"/>
    <cfRule type="duplicateValues" dxfId="1699" priority="13"/>
    <cfRule type="duplicateValues" dxfId="1698" priority="14"/>
    <cfRule type="duplicateValues" dxfId="1697" priority="15"/>
    <cfRule type="duplicateValues" dxfId="1696" priority="16"/>
    <cfRule type="duplicateValues" dxfId="1695" priority="17"/>
  </conditionalFormatting>
  <conditionalFormatting sqref="B30">
    <cfRule type="duplicateValues" dxfId="1694" priority="361"/>
    <cfRule type="duplicateValues" dxfId="1693" priority="362"/>
    <cfRule type="duplicateValues" dxfId="1692" priority="363"/>
    <cfRule type="duplicateValues" dxfId="1691" priority="364"/>
    <cfRule type="duplicateValues" dxfId="1690" priority="365"/>
  </conditionalFormatting>
  <conditionalFormatting sqref="B31:B32 B3">
    <cfRule type="duplicateValues" dxfId="1689" priority="358"/>
    <cfRule type="duplicateValues" dxfId="1688" priority="359" stopIfTrue="1"/>
  </conditionalFormatting>
  <conditionalFormatting sqref="B35:B37 B26">
    <cfRule type="duplicateValues" dxfId="1687" priority="9730"/>
    <cfRule type="duplicateValues" dxfId="1686" priority="9731"/>
  </conditionalFormatting>
  <conditionalFormatting sqref="B36">
    <cfRule type="duplicateValues" dxfId="1685" priority="288"/>
    <cfRule type="duplicateValues" dxfId="1684" priority="289"/>
    <cfRule type="duplicateValues" dxfId="1683" priority="290"/>
    <cfRule type="duplicateValues" dxfId="1682" priority="291"/>
    <cfRule type="duplicateValues" dxfId="1681" priority="292"/>
    <cfRule type="duplicateValues" dxfId="1680" priority="294"/>
  </conditionalFormatting>
  <conditionalFormatting sqref="B37 B26 B35">
    <cfRule type="duplicateValues" dxfId="1679" priority="9396"/>
    <cfRule type="duplicateValues" dxfId="1678" priority="9397"/>
    <cfRule type="duplicateValues" dxfId="1677" priority="9398"/>
    <cfRule type="duplicateValues" dxfId="1676" priority="9399"/>
  </conditionalFormatting>
  <conditionalFormatting sqref="B38:B39 B47 B49:B52">
    <cfRule type="duplicateValues" dxfId="1675" priority="8699"/>
  </conditionalFormatting>
  <conditionalFormatting sqref="B38:B39 B49:B52">
    <cfRule type="duplicateValues" dxfId="1674" priority="8643"/>
    <cfRule type="duplicateValues" dxfId="1673" priority="8644"/>
    <cfRule type="duplicateValues" dxfId="1672" priority="8645"/>
  </conditionalFormatting>
  <conditionalFormatting sqref="B38:B40 B47 B60 B25 B49:B52">
    <cfRule type="duplicateValues" dxfId="1671" priority="8205"/>
    <cfRule type="duplicateValues" dxfId="1670" priority="8206"/>
    <cfRule type="duplicateValues" dxfId="1669" priority="8207"/>
    <cfRule type="duplicateValues" dxfId="1668" priority="8208"/>
    <cfRule type="duplicateValues" dxfId="1667" priority="8209"/>
  </conditionalFormatting>
  <conditionalFormatting sqref="B38:B40 B49:B52 B60 B25">
    <cfRule type="duplicateValues" dxfId="1666" priority="8225"/>
  </conditionalFormatting>
  <conditionalFormatting sqref="B40 B60 B25">
    <cfRule type="duplicateValues" dxfId="1665" priority="8228"/>
  </conditionalFormatting>
  <conditionalFormatting sqref="B40">
    <cfRule type="duplicateValues" dxfId="1664" priority="252"/>
    <cfRule type="duplicateValues" dxfId="1663" priority="253"/>
    <cfRule type="duplicateValues" dxfId="1662" priority="254"/>
    <cfRule type="duplicateValues" dxfId="1661" priority="255"/>
    <cfRule type="duplicateValues" dxfId="1660" priority="256"/>
    <cfRule type="duplicateValues" dxfId="1659" priority="257"/>
    <cfRule type="duplicateValues" dxfId="1658" priority="266"/>
    <cfRule type="duplicateValues" dxfId="1657" priority="267"/>
    <cfRule type="duplicateValues" dxfId="1656" priority="268"/>
    <cfRule type="duplicateValues" dxfId="1655" priority="269"/>
    <cfRule type="duplicateValues" dxfId="1654" priority="276"/>
  </conditionalFormatting>
  <conditionalFormatting sqref="B41:B42">
    <cfRule type="duplicateValues" dxfId="1653" priority="311"/>
    <cfRule type="duplicateValues" dxfId="1652" priority="312"/>
    <cfRule type="duplicateValues" dxfId="1651" priority="313"/>
    <cfRule type="duplicateValues" dxfId="1650" priority="314"/>
    <cfRule type="duplicateValues" dxfId="1649" priority="315"/>
    <cfRule type="duplicateValues" dxfId="1648" priority="316"/>
    <cfRule type="duplicateValues" dxfId="1647" priority="317"/>
    <cfRule type="duplicateValues" dxfId="1646" priority="318"/>
    <cfRule type="duplicateValues" dxfId="1645" priority="319"/>
  </conditionalFormatting>
  <conditionalFormatting sqref="B45 B4 B2 B21 B43 B34 B6">
    <cfRule type="duplicateValues" dxfId="1644" priority="340" stopIfTrue="1"/>
  </conditionalFormatting>
  <conditionalFormatting sqref="B46">
    <cfRule type="duplicateValues" dxfId="1643" priority="194"/>
    <cfRule type="duplicateValues" dxfId="1642" priority="195"/>
    <cfRule type="duplicateValues" dxfId="1641" priority="196"/>
    <cfRule type="duplicateValues" dxfId="1640" priority="197"/>
    <cfRule type="duplicateValues" dxfId="1639" priority="198"/>
    <cfRule type="duplicateValues" dxfId="1638" priority="199"/>
    <cfRule type="duplicateValues" dxfId="1637" priority="200"/>
    <cfRule type="duplicateValues" dxfId="1636" priority="8316"/>
    <cfRule type="duplicateValues" dxfId="1635" priority="8317"/>
    <cfRule type="duplicateValues" dxfId="1634" priority="8318"/>
    <cfRule type="duplicateValues" dxfId="1633" priority="8319"/>
    <cfRule type="duplicateValues" dxfId="1632" priority="8320"/>
    <cfRule type="duplicateValues" dxfId="1631" priority="8321"/>
    <cfRule type="duplicateValues" dxfId="1630" priority="8322"/>
    <cfRule type="duplicateValues" dxfId="1629" priority="8323"/>
  </conditionalFormatting>
  <conditionalFormatting sqref="B47:B56 B1:B7 B60:B1048576 B17:B28 B30:B45">
    <cfRule type="duplicateValues" dxfId="1628" priority="9755"/>
  </conditionalFormatting>
  <conditionalFormatting sqref="B48 B26 B35:B37">
    <cfRule type="duplicateValues" dxfId="1627" priority="9742"/>
    <cfRule type="duplicateValues" dxfId="1626" priority="9743"/>
    <cfRule type="duplicateValues" dxfId="1625" priority="9744"/>
    <cfRule type="duplicateValues" dxfId="1624" priority="9745"/>
  </conditionalFormatting>
  <conditionalFormatting sqref="B48">
    <cfRule type="duplicateValues" dxfId="1623" priority="280"/>
    <cfRule type="duplicateValues" dxfId="1622" priority="285"/>
  </conditionalFormatting>
  <conditionalFormatting sqref="B49">
    <cfRule type="duplicateValues" dxfId="1621" priority="274"/>
    <cfRule type="duplicateValues" dxfId="1620" priority="275"/>
  </conditionalFormatting>
  <conditionalFormatting sqref="B49:B50">
    <cfRule type="duplicateValues" dxfId="1619" priority="272"/>
  </conditionalFormatting>
  <conditionalFormatting sqref="B50">
    <cfRule type="duplicateValues" dxfId="1618" priority="273"/>
  </conditionalFormatting>
  <conditionalFormatting sqref="B53:B54 B31:B34 B43:B45 B1:B6 B61:B1048576 B18:B21">
    <cfRule type="duplicateValues" dxfId="1617" priority="9760"/>
  </conditionalFormatting>
  <conditionalFormatting sqref="B53:B54 B43:B45 B31:B33 B61:B1048576">
    <cfRule type="duplicateValues" dxfId="1616" priority="9848"/>
  </conditionalFormatting>
  <conditionalFormatting sqref="B53:B54 B43:B45 B31:B34 B1:B6 B61:B1048576 B18:B21">
    <cfRule type="duplicateValues" dxfId="1615" priority="9784"/>
    <cfRule type="duplicateValues" dxfId="1614" priority="9785"/>
    <cfRule type="duplicateValues" dxfId="1613" priority="9786"/>
    <cfRule type="duplicateValues" dxfId="1612" priority="9787"/>
    <cfRule type="duplicateValues" dxfId="1611" priority="9788"/>
    <cfRule type="duplicateValues" dxfId="1610" priority="9789"/>
    <cfRule type="duplicateValues" dxfId="1609" priority="9790"/>
    <cfRule type="duplicateValues" dxfId="1608" priority="9791"/>
    <cfRule type="duplicateValues" dxfId="1607" priority="9854"/>
    <cfRule type="duplicateValues" dxfId="1606" priority="9855"/>
    <cfRule type="duplicateValues" dxfId="1605" priority="9856"/>
    <cfRule type="duplicateValues" dxfId="1604" priority="9857"/>
    <cfRule type="duplicateValues" dxfId="1603" priority="9858"/>
    <cfRule type="duplicateValues" dxfId="1602" priority="9859"/>
    <cfRule type="duplicateValues" dxfId="1601" priority="9860"/>
  </conditionalFormatting>
  <conditionalFormatting sqref="B53:B54 B61:B1048576">
    <cfRule type="duplicateValues" dxfId="1600" priority="9910"/>
    <cfRule type="duplicateValues" dxfId="1599" priority="9911"/>
    <cfRule type="duplicateValues" dxfId="1598" priority="9912"/>
  </conditionalFormatting>
  <conditionalFormatting sqref="B53:B54 B62:B1048576">
    <cfRule type="duplicateValues" dxfId="1597" priority="10039"/>
  </conditionalFormatting>
  <conditionalFormatting sqref="B53:B54">
    <cfRule type="duplicateValues" dxfId="1596" priority="9768"/>
    <cfRule type="duplicateValues" dxfId="1595" priority="9776"/>
  </conditionalFormatting>
  <conditionalFormatting sqref="B53:B56 B1:B6 B31:B34 B43:B45 B61:B1048576 B18:B21">
    <cfRule type="duplicateValues" dxfId="1594" priority="9922"/>
    <cfRule type="duplicateValues" dxfId="1593" priority="9923"/>
    <cfRule type="duplicateValues" dxfId="1592" priority="9924"/>
    <cfRule type="duplicateValues" dxfId="1591" priority="9925"/>
    <cfRule type="duplicateValues" dxfId="1590" priority="9926"/>
    <cfRule type="duplicateValues" dxfId="1589" priority="9927"/>
  </conditionalFormatting>
  <conditionalFormatting sqref="B53:B56 B30:B34 B41:B45 B1:B6 B61:B1048576 B17:B21">
    <cfRule type="duplicateValues" dxfId="1588" priority="9978"/>
    <cfRule type="duplicateValues" dxfId="1587" priority="9979"/>
  </conditionalFormatting>
  <conditionalFormatting sqref="B53:B56 B31:B34 B1:B6 B43:B45 B61:B1048576 B18:B21">
    <cfRule type="duplicateValues" dxfId="1586" priority="9970"/>
  </conditionalFormatting>
  <conditionalFormatting sqref="B53:B56 B43:B45 B1:B6 B30:B34 B61:B1048576 B17:B21">
    <cfRule type="duplicateValues" dxfId="1585" priority="9994"/>
  </conditionalFormatting>
  <conditionalFormatting sqref="B53:B56 B43:B45 B31:B34 B1:B6 B61:B1048576 B18:B21">
    <cfRule type="duplicateValues" dxfId="1584" priority="10002"/>
    <cfRule type="duplicateValues" dxfId="1583" priority="10003"/>
    <cfRule type="duplicateValues" dxfId="1582" priority="10004"/>
    <cfRule type="duplicateValues" dxfId="1581" priority="10005"/>
  </conditionalFormatting>
  <conditionalFormatting sqref="B53:B56 B43:B45 B61:B1048576">
    <cfRule type="duplicateValues" dxfId="1580" priority="10034"/>
  </conditionalFormatting>
  <conditionalFormatting sqref="B54 B62:B1048576">
    <cfRule type="duplicateValues" dxfId="1579" priority="10043"/>
  </conditionalFormatting>
  <conditionalFormatting sqref="B55:B56">
    <cfRule type="duplicateValues" dxfId="1578" priority="321"/>
    <cfRule type="duplicateValues" dxfId="1577" priority="322"/>
    <cfRule type="duplicateValues" dxfId="1576" priority="323"/>
    <cfRule type="duplicateValues" dxfId="1575" priority="324"/>
    <cfRule type="duplicateValues" dxfId="1574" priority="325"/>
    <cfRule type="duplicateValues" dxfId="1573" priority="326"/>
    <cfRule type="duplicateValues" dxfId="1572" priority="327"/>
    <cfRule type="duplicateValues" dxfId="1571" priority="328"/>
    <cfRule type="duplicateValues" dxfId="1570" priority="329"/>
    <cfRule type="duplicateValues" dxfId="1569" priority="330"/>
    <cfRule type="duplicateValues" dxfId="1568" priority="331"/>
    <cfRule type="duplicateValues" dxfId="1567" priority="332"/>
    <cfRule type="duplicateValues" dxfId="1566" priority="333"/>
    <cfRule type="duplicateValues" dxfId="1565" priority="334"/>
    <cfRule type="duplicateValues" dxfId="1564" priority="335"/>
    <cfRule type="duplicateValues" dxfId="1563" priority="336"/>
    <cfRule type="duplicateValues" dxfId="1562" priority="337"/>
    <cfRule type="duplicateValues" dxfId="1561" priority="338"/>
    <cfRule type="duplicateValues" dxfId="1560" priority="339"/>
  </conditionalFormatting>
  <conditionalFormatting sqref="B56">
    <cfRule type="duplicateValues" dxfId="1559" priority="320" stopIfTrue="1"/>
  </conditionalFormatting>
  <conditionalFormatting sqref="B57">
    <cfRule type="duplicateValues" dxfId="1558" priority="162"/>
    <cfRule type="duplicateValues" dxfId="1557" priority="163"/>
    <cfRule type="duplicateValues" dxfId="1556" priority="164"/>
    <cfRule type="duplicateValues" dxfId="1555" priority="165"/>
    <cfRule type="duplicateValues" dxfId="1554" priority="166"/>
    <cfRule type="duplicateValues" dxfId="1553" priority="167"/>
    <cfRule type="duplicateValues" dxfId="1552" priority="168"/>
    <cfRule type="duplicateValues" dxfId="1551" priority="169"/>
    <cfRule type="duplicateValues" dxfId="1550" priority="8878"/>
    <cfRule type="duplicateValues" dxfId="1549" priority="8879"/>
    <cfRule type="duplicateValues" dxfId="1548" priority="9073"/>
    <cfRule type="duplicateValues" dxfId="1547" priority="9083"/>
    <cfRule type="duplicateValues" dxfId="1546" priority="9084"/>
    <cfRule type="duplicateValues" dxfId="1545" priority="9085"/>
    <cfRule type="duplicateValues" dxfId="1544" priority="9086"/>
    <cfRule type="duplicateValues" dxfId="1543" priority="9087"/>
    <cfRule type="duplicateValues" dxfId="1542" priority="9088"/>
  </conditionalFormatting>
  <conditionalFormatting sqref="B58">
    <cfRule type="duplicateValues" dxfId="1541" priority="229"/>
    <cfRule type="duplicateValues" dxfId="1540" priority="230"/>
    <cfRule type="duplicateValues" dxfId="1539" priority="231"/>
    <cfRule type="duplicateValues" dxfId="1538" priority="232"/>
    <cfRule type="duplicateValues" dxfId="1537" priority="233"/>
    <cfRule type="duplicateValues" dxfId="1536" priority="234"/>
    <cfRule type="duplicateValues" dxfId="1535" priority="235"/>
    <cfRule type="duplicateValues" dxfId="1534" priority="236"/>
    <cfRule type="duplicateValues" dxfId="1533" priority="237"/>
    <cfRule type="duplicateValues" dxfId="1532" priority="238"/>
    <cfRule type="duplicateValues" dxfId="1531" priority="239"/>
    <cfRule type="duplicateValues" dxfId="1530" priority="240"/>
    <cfRule type="duplicateValues" dxfId="1529" priority="241"/>
    <cfRule type="duplicateValues" dxfId="1528" priority="242"/>
    <cfRule type="duplicateValues" dxfId="1527" priority="243"/>
    <cfRule type="duplicateValues" dxfId="1526" priority="244"/>
    <cfRule type="duplicateValues" dxfId="1525" priority="245"/>
  </conditionalFormatting>
  <conditionalFormatting sqref="B59">
    <cfRule type="duplicateValues" dxfId="1524" priority="212"/>
    <cfRule type="duplicateValues" dxfId="1523" priority="213"/>
    <cfRule type="duplicateValues" dxfId="1522" priority="214"/>
    <cfRule type="duplicateValues" dxfId="1521" priority="215"/>
    <cfRule type="duplicateValues" dxfId="1520" priority="216"/>
    <cfRule type="duplicateValues" dxfId="1519" priority="217"/>
    <cfRule type="duplicateValues" dxfId="1518" priority="218"/>
    <cfRule type="duplicateValues" dxfId="1517" priority="219"/>
    <cfRule type="duplicateValues" dxfId="1516" priority="220"/>
    <cfRule type="duplicateValues" dxfId="1515" priority="221"/>
    <cfRule type="duplicateValues" dxfId="1514" priority="222"/>
    <cfRule type="duplicateValues" dxfId="1513" priority="223"/>
    <cfRule type="duplicateValues" dxfId="1512" priority="224"/>
    <cfRule type="duplicateValues" dxfId="1511" priority="225"/>
    <cfRule type="duplicateValues" dxfId="1510" priority="226"/>
    <cfRule type="duplicateValues" dxfId="1509" priority="227"/>
    <cfRule type="duplicateValues" dxfId="1508" priority="228"/>
  </conditionalFormatting>
  <conditionalFormatting sqref="B60 B25">
    <cfRule type="duplicateValues" dxfId="1507" priority="262"/>
    <cfRule type="duplicateValues" dxfId="1506" priority="263"/>
    <cfRule type="duplicateValues" dxfId="1505" priority="264"/>
    <cfRule type="duplicateValues" dxfId="1504" priority="270"/>
    <cfRule type="duplicateValues" dxfId="1503" priority="271"/>
  </conditionalFormatting>
  <conditionalFormatting sqref="B63:B1048576">
    <cfRule type="duplicateValues" dxfId="1502" priority="10047"/>
  </conditionalFormatting>
  <conditionalFormatting sqref="K24">
    <cfRule type="duplicateValues" dxfId="1501" priority="30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76E3-1EF8-42E8-9F16-63BF2C5893D7}">
  <dimension ref="A1:K42"/>
  <sheetViews>
    <sheetView topLeftCell="A5" workbookViewId="0">
      <selection activeCell="H7" sqref="H7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22.42578125" bestFit="1" customWidth="1"/>
    <col min="9" max="9" width="17.5703125" customWidth="1"/>
  </cols>
  <sheetData>
    <row r="1" spans="1:11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1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1" hidden="1" x14ac:dyDescent="0.25"/>
    <row r="5" spans="1:11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1" x14ac:dyDescent="0.25">
      <c r="A6" s="55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1" s="37" customFormat="1" ht="15.6" customHeight="1" x14ac:dyDescent="0.25">
      <c r="A7" s="8">
        <f>ROW()-6</f>
        <v>1</v>
      </c>
      <c r="B7" s="24" t="s">
        <v>181</v>
      </c>
      <c r="C7" s="36" t="s">
        <v>0</v>
      </c>
      <c r="D7" s="35" t="s">
        <v>147</v>
      </c>
      <c r="E7" s="24" t="s">
        <v>148</v>
      </c>
      <c r="F7" s="30" t="s">
        <v>22</v>
      </c>
      <c r="G7" s="24" t="s">
        <v>16</v>
      </c>
      <c r="H7" s="24">
        <v>11</v>
      </c>
      <c r="I7" s="24"/>
      <c r="J7" s="24" t="s">
        <v>57</v>
      </c>
    </row>
    <row r="8" spans="1:11" s="37" customFormat="1" x14ac:dyDescent="0.25">
      <c r="A8" s="13"/>
      <c r="B8" s="58"/>
      <c r="C8" s="39"/>
      <c r="D8" s="38"/>
      <c r="E8" s="43"/>
      <c r="H8" s="59"/>
      <c r="I8" s="60"/>
      <c r="J8" s="13"/>
    </row>
    <row r="9" spans="1:11" s="37" customFormat="1" x14ac:dyDescent="0.25">
      <c r="A9" s="13"/>
      <c r="B9" s="58"/>
      <c r="C9" s="39"/>
      <c r="D9" s="38"/>
      <c r="E9" s="43"/>
      <c r="H9" s="59"/>
      <c r="I9" s="60"/>
      <c r="J9" s="13"/>
    </row>
    <row r="10" spans="1:11" s="37" customFormat="1" ht="15" customHeight="1" thickBot="1" x14ac:dyDescent="0.3">
      <c r="A10" s="47"/>
      <c r="B10" s="56"/>
      <c r="C10" s="39"/>
      <c r="D10" s="56"/>
      <c r="E10" s="12"/>
      <c r="F10" s="12"/>
      <c r="G10" s="12"/>
      <c r="H10" s="12"/>
      <c r="I10" s="12"/>
      <c r="J10" s="13"/>
      <c r="K10" s="51"/>
    </row>
    <row r="11" spans="1:11" s="37" customFormat="1" ht="15" customHeight="1" x14ac:dyDescent="0.25">
      <c r="A11" s="115" t="s">
        <v>21</v>
      </c>
      <c r="B11" s="116"/>
      <c r="C11" s="116"/>
      <c r="D11" s="116"/>
      <c r="E11" s="116"/>
      <c r="F11" s="116"/>
      <c r="G11" s="116"/>
      <c r="H11" s="116"/>
      <c r="I11" s="116"/>
      <c r="J11" s="117"/>
    </row>
    <row r="12" spans="1:11" s="37" customFormat="1" ht="15" customHeight="1" x14ac:dyDescent="0.25">
      <c r="A12" s="55" t="s">
        <v>1</v>
      </c>
      <c r="B12" s="41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/>
      <c r="J12" s="2" t="s">
        <v>9</v>
      </c>
    </row>
    <row r="13" spans="1:11" x14ac:dyDescent="0.25">
      <c r="A13" s="8">
        <f t="shared" ref="A13:A33" si="0">ROW()-12</f>
        <v>1</v>
      </c>
      <c r="B13" s="21" t="s">
        <v>188</v>
      </c>
      <c r="C13" s="36" t="s">
        <v>66</v>
      </c>
      <c r="D13" s="21" t="s">
        <v>176</v>
      </c>
      <c r="E13" s="30" t="s">
        <v>177</v>
      </c>
      <c r="F13" s="30" t="s">
        <v>22</v>
      </c>
      <c r="G13" s="30" t="s">
        <v>178</v>
      </c>
      <c r="H13" s="24">
        <v>5</v>
      </c>
      <c r="I13" s="24"/>
      <c r="J13" s="24" t="s">
        <v>57</v>
      </c>
    </row>
    <row r="14" spans="1:11" s="37" customFormat="1" ht="15" customHeight="1" x14ac:dyDescent="0.25">
      <c r="A14" s="8">
        <f t="shared" si="0"/>
        <v>2</v>
      </c>
      <c r="B14" s="21" t="s">
        <v>186</v>
      </c>
      <c r="C14" s="36" t="s">
        <v>66</v>
      </c>
      <c r="D14" s="21" t="s">
        <v>176</v>
      </c>
      <c r="E14" s="30" t="s">
        <v>177</v>
      </c>
      <c r="F14" s="30" t="s">
        <v>22</v>
      </c>
      <c r="G14" s="30" t="s">
        <v>178</v>
      </c>
      <c r="H14" s="24">
        <v>3</v>
      </c>
      <c r="I14" s="24"/>
      <c r="J14" s="24" t="s">
        <v>57</v>
      </c>
    </row>
    <row r="15" spans="1:11" s="37" customFormat="1" ht="15" customHeight="1" x14ac:dyDescent="0.25">
      <c r="A15" s="8">
        <f>ROW()-12</f>
        <v>3</v>
      </c>
      <c r="B15" s="21" t="s">
        <v>179</v>
      </c>
      <c r="C15" s="36" t="s">
        <v>119</v>
      </c>
      <c r="D15" s="21" t="s">
        <v>147</v>
      </c>
      <c r="E15" s="24" t="s">
        <v>148</v>
      </c>
      <c r="F15" s="30" t="s">
        <v>22</v>
      </c>
      <c r="G15" s="24" t="s">
        <v>16</v>
      </c>
      <c r="H15" s="24"/>
      <c r="I15" s="24"/>
      <c r="J15" s="24" t="s">
        <v>57</v>
      </c>
    </row>
    <row r="16" spans="1:11" s="37" customFormat="1" ht="15" customHeight="1" x14ac:dyDescent="0.25">
      <c r="A16" s="8">
        <f t="shared" si="0"/>
        <v>4</v>
      </c>
      <c r="B16" s="21" t="s">
        <v>192</v>
      </c>
      <c r="C16" s="36" t="s">
        <v>119</v>
      </c>
      <c r="D16" s="21" t="s">
        <v>11</v>
      </c>
      <c r="E16" s="30" t="s">
        <v>12</v>
      </c>
      <c r="F16" s="30" t="s">
        <v>22</v>
      </c>
      <c r="G16" s="24" t="s">
        <v>53</v>
      </c>
      <c r="H16" s="24"/>
      <c r="I16" s="24"/>
      <c r="J16" s="24" t="s">
        <v>57</v>
      </c>
    </row>
    <row r="17" spans="1:10" s="37" customFormat="1" x14ac:dyDescent="0.25">
      <c r="A17" s="8">
        <f t="shared" si="0"/>
        <v>5</v>
      </c>
      <c r="B17" s="35" t="s">
        <v>193</v>
      </c>
      <c r="C17" s="36" t="s">
        <v>44</v>
      </c>
      <c r="D17" s="21" t="s">
        <v>11</v>
      </c>
      <c r="E17" s="30" t="s">
        <v>12</v>
      </c>
      <c r="F17" s="30" t="s">
        <v>22</v>
      </c>
      <c r="G17" s="24" t="s">
        <v>53</v>
      </c>
      <c r="H17" s="24"/>
      <c r="I17" s="24"/>
      <c r="J17" s="24" t="s">
        <v>57</v>
      </c>
    </row>
    <row r="18" spans="1:10" x14ac:dyDescent="0.25">
      <c r="A18" s="8">
        <f t="shared" si="0"/>
        <v>6</v>
      </c>
      <c r="B18" s="21" t="s">
        <v>189</v>
      </c>
      <c r="C18" s="36" t="s">
        <v>44</v>
      </c>
      <c r="D18" s="21" t="s">
        <v>176</v>
      </c>
      <c r="E18" s="30" t="s">
        <v>177</v>
      </c>
      <c r="F18" s="30" t="s">
        <v>22</v>
      </c>
      <c r="G18" s="30" t="s">
        <v>178</v>
      </c>
      <c r="H18" s="24"/>
      <c r="I18" s="24"/>
      <c r="J18" s="24" t="s">
        <v>57</v>
      </c>
    </row>
    <row r="19" spans="1:10" x14ac:dyDescent="0.25">
      <c r="A19" s="8">
        <f t="shared" si="0"/>
        <v>7</v>
      </c>
      <c r="B19" s="21" t="s">
        <v>190</v>
      </c>
      <c r="C19" s="36" t="s">
        <v>194</v>
      </c>
      <c r="D19" s="21" t="s">
        <v>176</v>
      </c>
      <c r="E19" s="30" t="s">
        <v>177</v>
      </c>
      <c r="F19" s="30" t="s">
        <v>22</v>
      </c>
      <c r="G19" s="30" t="s">
        <v>178</v>
      </c>
      <c r="H19" s="24"/>
      <c r="I19" s="24"/>
      <c r="J19" s="24" t="s">
        <v>57</v>
      </c>
    </row>
    <row r="20" spans="1:10" s="37" customFormat="1" ht="15" customHeight="1" x14ac:dyDescent="0.25">
      <c r="A20" s="8">
        <f t="shared" si="0"/>
        <v>8</v>
      </c>
      <c r="B20" s="21" t="s">
        <v>174</v>
      </c>
      <c r="C20" s="36" t="s">
        <v>44</v>
      </c>
      <c r="D20" s="35" t="s">
        <v>147</v>
      </c>
      <c r="E20" s="24" t="s">
        <v>148</v>
      </c>
      <c r="F20" s="30" t="s">
        <v>22</v>
      </c>
      <c r="G20" s="24" t="s">
        <v>16</v>
      </c>
      <c r="H20" s="24"/>
      <c r="I20" s="24"/>
      <c r="J20" s="24" t="s">
        <v>57</v>
      </c>
    </row>
    <row r="21" spans="1:10" x14ac:dyDescent="0.25">
      <c r="A21" s="47"/>
      <c r="B21" s="43"/>
      <c r="C21" s="39"/>
      <c r="D21" s="37"/>
      <c r="E21" s="37"/>
      <c r="F21" s="43"/>
      <c r="G21" s="37"/>
      <c r="H21" s="37"/>
      <c r="I21" s="37"/>
      <c r="J21" s="37"/>
    </row>
    <row r="22" spans="1:10" s="37" customFormat="1" ht="15" customHeight="1" x14ac:dyDescent="0.25">
      <c r="A22" s="47"/>
      <c r="B22" s="56"/>
      <c r="C22" s="39"/>
      <c r="D22" s="56"/>
      <c r="E22" s="12"/>
      <c r="F22" s="12"/>
      <c r="G22" s="12"/>
      <c r="H22" s="12"/>
      <c r="I22" s="12"/>
      <c r="J22" s="13"/>
    </row>
    <row r="23" spans="1:10" s="37" customFormat="1" x14ac:dyDescent="0.25">
      <c r="A23" s="47"/>
      <c r="B23" s="56"/>
      <c r="C23" s="39"/>
      <c r="D23" s="56"/>
      <c r="E23" s="12"/>
      <c r="F23" s="12"/>
      <c r="G23" s="12"/>
      <c r="H23" s="12"/>
      <c r="I23" s="12"/>
      <c r="J23" s="13"/>
    </row>
    <row r="24" spans="1:10" ht="28.9" customHeight="1" x14ac:dyDescent="0.25">
      <c r="A24" s="118" t="s">
        <v>68</v>
      </c>
      <c r="B24" s="119"/>
      <c r="C24" s="119"/>
      <c r="D24" s="119"/>
      <c r="E24" s="119"/>
      <c r="F24" s="119"/>
      <c r="G24" s="119"/>
      <c r="H24" s="119"/>
      <c r="I24" s="119"/>
      <c r="J24" s="120"/>
    </row>
    <row r="25" spans="1:10" x14ac:dyDescent="0.25">
      <c r="A25" s="55" t="s">
        <v>1</v>
      </c>
      <c r="B25" s="41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/>
      <c r="J25" s="2" t="s">
        <v>9</v>
      </c>
    </row>
    <row r="26" spans="1:10" s="37" customFormat="1" ht="15" customHeight="1" x14ac:dyDescent="0.25">
      <c r="A26" s="8">
        <f t="shared" ref="A26:A31" si="1">ROW()-27</f>
        <v>-1</v>
      </c>
      <c r="B26" s="30" t="s">
        <v>160</v>
      </c>
      <c r="C26" s="45" t="s">
        <v>110</v>
      </c>
      <c r="D26" s="7" t="s">
        <v>11</v>
      </c>
      <c r="E26" s="30" t="s">
        <v>12</v>
      </c>
      <c r="F26" s="30" t="s">
        <v>22</v>
      </c>
      <c r="G26" s="7" t="s">
        <v>13</v>
      </c>
      <c r="H26" s="24">
        <v>6</v>
      </c>
      <c r="I26" s="24"/>
      <c r="J26" s="24" t="s">
        <v>57</v>
      </c>
    </row>
    <row r="27" spans="1:10" s="37" customFormat="1" ht="15" customHeight="1" x14ac:dyDescent="0.25">
      <c r="A27" s="8">
        <f t="shared" si="1"/>
        <v>0</v>
      </c>
      <c r="B27" s="24" t="s">
        <v>182</v>
      </c>
      <c r="C27" s="45" t="s">
        <v>110</v>
      </c>
      <c r="D27" s="33" t="s">
        <v>147</v>
      </c>
      <c r="E27" s="24" t="s">
        <v>148</v>
      </c>
      <c r="F27" s="30" t="s">
        <v>22</v>
      </c>
      <c r="G27" s="24" t="s">
        <v>16</v>
      </c>
      <c r="H27" s="24">
        <v>4</v>
      </c>
      <c r="I27" s="24"/>
      <c r="J27" s="24" t="s">
        <v>57</v>
      </c>
    </row>
    <row r="28" spans="1:10" s="37" customFormat="1" ht="15" customHeight="1" x14ac:dyDescent="0.25">
      <c r="A28" s="8">
        <f t="shared" si="1"/>
        <v>1</v>
      </c>
      <c r="B28" s="21" t="s">
        <v>175</v>
      </c>
      <c r="C28" s="45" t="s">
        <v>110</v>
      </c>
      <c r="D28" s="30" t="s">
        <v>176</v>
      </c>
      <c r="E28" s="30" t="s">
        <v>177</v>
      </c>
      <c r="F28" s="30" t="s">
        <v>22</v>
      </c>
      <c r="G28" s="30" t="s">
        <v>178</v>
      </c>
      <c r="H28" s="24">
        <v>4</v>
      </c>
      <c r="I28" s="24"/>
      <c r="J28" s="24" t="s">
        <v>57</v>
      </c>
    </row>
    <row r="29" spans="1:10" s="37" customFormat="1" x14ac:dyDescent="0.25">
      <c r="A29" s="8">
        <f t="shared" si="1"/>
        <v>2</v>
      </c>
      <c r="B29" s="30" t="s">
        <v>166</v>
      </c>
      <c r="C29" s="45" t="s">
        <v>110</v>
      </c>
      <c r="D29" s="7" t="s">
        <v>11</v>
      </c>
      <c r="E29" s="24" t="s">
        <v>12</v>
      </c>
      <c r="F29" s="30" t="s">
        <v>22</v>
      </c>
      <c r="G29" s="7" t="s">
        <v>13</v>
      </c>
      <c r="H29" s="24">
        <v>4</v>
      </c>
      <c r="I29" s="24"/>
      <c r="J29" s="24" t="s">
        <v>57</v>
      </c>
    </row>
    <row r="30" spans="1:10" s="37" customFormat="1" ht="15" customHeight="1" x14ac:dyDescent="0.25">
      <c r="A30" s="8">
        <f t="shared" si="1"/>
        <v>3</v>
      </c>
      <c r="B30" s="24" t="s">
        <v>180</v>
      </c>
      <c r="C30" s="45" t="s">
        <v>110</v>
      </c>
      <c r="D30" s="33" t="s">
        <v>147</v>
      </c>
      <c r="E30" s="24" t="s">
        <v>148</v>
      </c>
      <c r="F30" s="30" t="s">
        <v>22</v>
      </c>
      <c r="G30" s="24" t="s">
        <v>16</v>
      </c>
      <c r="H30" s="24">
        <v>3</v>
      </c>
      <c r="I30" s="24"/>
      <c r="J30" s="24" t="s">
        <v>57</v>
      </c>
    </row>
    <row r="31" spans="1:10" s="37" customFormat="1" x14ac:dyDescent="0.25">
      <c r="A31" s="8">
        <f t="shared" si="1"/>
        <v>4</v>
      </c>
      <c r="B31" s="21" t="s">
        <v>173</v>
      </c>
      <c r="C31" s="45" t="s">
        <v>110</v>
      </c>
      <c r="D31" s="33" t="s">
        <v>147</v>
      </c>
      <c r="E31" s="24" t="s">
        <v>148</v>
      </c>
      <c r="F31" s="30" t="s">
        <v>22</v>
      </c>
      <c r="G31" s="24" t="s">
        <v>16</v>
      </c>
      <c r="H31" s="24">
        <v>3</v>
      </c>
      <c r="I31" s="24"/>
      <c r="J31" s="24" t="s">
        <v>57</v>
      </c>
    </row>
    <row r="32" spans="1:10" x14ac:dyDescent="0.25">
      <c r="A32" s="8">
        <f t="shared" si="0"/>
        <v>20</v>
      </c>
      <c r="B32" s="21" t="s">
        <v>191</v>
      </c>
      <c r="C32" s="45" t="s">
        <v>110</v>
      </c>
      <c r="D32" s="30" t="s">
        <v>176</v>
      </c>
      <c r="E32" s="30" t="s">
        <v>177</v>
      </c>
      <c r="F32" s="30" t="s">
        <v>22</v>
      </c>
      <c r="G32" s="30" t="s">
        <v>178</v>
      </c>
      <c r="H32" s="24">
        <v>2</v>
      </c>
      <c r="I32" s="24"/>
      <c r="J32" s="24" t="s">
        <v>57</v>
      </c>
    </row>
    <row r="33" spans="1:10" s="37" customFormat="1" ht="15" customHeight="1" x14ac:dyDescent="0.25">
      <c r="A33" s="8">
        <f t="shared" si="0"/>
        <v>21</v>
      </c>
      <c r="B33" s="21" t="s">
        <v>185</v>
      </c>
      <c r="C33" s="45" t="s">
        <v>110</v>
      </c>
      <c r="D33" s="30" t="s">
        <v>176</v>
      </c>
      <c r="E33" s="30" t="s">
        <v>177</v>
      </c>
      <c r="F33" s="30" t="s">
        <v>22</v>
      </c>
      <c r="G33" s="30" t="s">
        <v>178</v>
      </c>
      <c r="H33" s="24">
        <v>2</v>
      </c>
      <c r="I33" s="24"/>
      <c r="J33" s="24" t="s">
        <v>57</v>
      </c>
    </row>
    <row r="34" spans="1:10" ht="29.45" customHeight="1" x14ac:dyDescent="0.25">
      <c r="A34" s="13"/>
      <c r="B34" s="43"/>
      <c r="C34" s="48"/>
      <c r="D34" s="37"/>
      <c r="E34" s="37"/>
      <c r="F34" s="12"/>
      <c r="G34" s="37"/>
      <c r="H34" s="37"/>
      <c r="I34" s="37"/>
      <c r="J34" s="37"/>
    </row>
    <row r="35" spans="1:10" s="37" customFormat="1" ht="15" customHeight="1" x14ac:dyDescent="0.25">
      <c r="A35" s="13"/>
      <c r="B35" s="43"/>
      <c r="C35" s="48"/>
      <c r="F35" s="12"/>
    </row>
    <row r="36" spans="1:10" s="37" customFormat="1" ht="15" customHeight="1" x14ac:dyDescent="0.25">
      <c r="A36" s="54"/>
      <c r="B36" s="42"/>
      <c r="C36"/>
      <c r="D36"/>
      <c r="E36"/>
      <c r="F36"/>
      <c r="G36"/>
      <c r="H36"/>
      <c r="I36"/>
      <c r="J36"/>
    </row>
    <row r="37" spans="1:10" s="37" customFormat="1" ht="15" customHeight="1" x14ac:dyDescent="0.25">
      <c r="A37" s="118" t="s">
        <v>30</v>
      </c>
      <c r="B37" s="119"/>
      <c r="C37" s="119"/>
      <c r="D37" s="119"/>
      <c r="E37" s="119"/>
      <c r="F37" s="119"/>
      <c r="G37" s="119"/>
      <c r="H37" s="119"/>
      <c r="I37" s="119"/>
      <c r="J37" s="120"/>
    </row>
    <row r="38" spans="1:10" s="37" customFormat="1" ht="15" customHeight="1" x14ac:dyDescent="0.25">
      <c r="A38" s="57" t="s">
        <v>1</v>
      </c>
      <c r="B38" s="44" t="s">
        <v>2</v>
      </c>
      <c r="C38" s="15" t="s">
        <v>40</v>
      </c>
      <c r="D38" s="15" t="s">
        <v>4</v>
      </c>
      <c r="E38" s="15" t="s">
        <v>5</v>
      </c>
      <c r="F38" s="15" t="s">
        <v>6</v>
      </c>
      <c r="G38" s="15" t="s">
        <v>7</v>
      </c>
      <c r="H38" s="15" t="s">
        <v>8</v>
      </c>
      <c r="I38" s="15" t="s">
        <v>31</v>
      </c>
      <c r="J38" s="15" t="s">
        <v>9</v>
      </c>
    </row>
    <row r="39" spans="1:10" x14ac:dyDescent="0.25">
      <c r="A39" s="8">
        <f>ROW()-38</f>
        <v>1</v>
      </c>
      <c r="B39" s="21" t="s">
        <v>187</v>
      </c>
      <c r="C39" s="45" t="s">
        <v>33</v>
      </c>
      <c r="D39" s="21" t="s">
        <v>11</v>
      </c>
      <c r="E39" s="21" t="s">
        <v>12</v>
      </c>
      <c r="F39" s="30" t="s">
        <v>22</v>
      </c>
      <c r="G39" s="7" t="s">
        <v>53</v>
      </c>
      <c r="H39" s="24">
        <v>4</v>
      </c>
      <c r="I39" s="24"/>
      <c r="J39" s="24" t="s">
        <v>57</v>
      </c>
    </row>
    <row r="40" spans="1:10" x14ac:dyDescent="0.25">
      <c r="A40" s="8">
        <f t="shared" ref="A40:A41" si="2">ROW()-38</f>
        <v>2</v>
      </c>
      <c r="B40" s="30" t="s">
        <v>155</v>
      </c>
      <c r="C40" s="45" t="s">
        <v>33</v>
      </c>
      <c r="D40" s="24" t="s">
        <v>11</v>
      </c>
      <c r="E40" s="30" t="s">
        <v>12</v>
      </c>
      <c r="F40" s="30" t="s">
        <v>22</v>
      </c>
      <c r="G40" s="24" t="s">
        <v>16</v>
      </c>
      <c r="H40" s="24">
        <v>2</v>
      </c>
      <c r="I40" s="24"/>
      <c r="J40" s="24" t="s">
        <v>57</v>
      </c>
    </row>
    <row r="41" spans="1:10" s="37" customFormat="1" ht="15" customHeight="1" x14ac:dyDescent="0.25">
      <c r="A41" s="8">
        <f t="shared" si="2"/>
        <v>3</v>
      </c>
      <c r="B41" s="30" t="s">
        <v>183</v>
      </c>
      <c r="C41" s="45" t="s">
        <v>33</v>
      </c>
      <c r="D41" s="21" t="s">
        <v>176</v>
      </c>
      <c r="E41" s="30" t="s">
        <v>177</v>
      </c>
      <c r="F41" s="30" t="s">
        <v>22</v>
      </c>
      <c r="G41" s="30" t="s">
        <v>178</v>
      </c>
      <c r="H41" s="24">
        <v>2</v>
      </c>
      <c r="I41" s="24"/>
      <c r="J41" s="24" t="s">
        <v>57</v>
      </c>
    </row>
    <row r="42" spans="1:10" s="37" customFormat="1" ht="15" customHeight="1" x14ac:dyDescent="0.25">
      <c r="A42"/>
      <c r="B42" s="42"/>
      <c r="C42"/>
      <c r="D42"/>
      <c r="E42"/>
      <c r="F42"/>
      <c r="G42"/>
      <c r="H42"/>
      <c r="I42"/>
      <c r="J42"/>
    </row>
  </sheetData>
  <mergeCells count="5">
    <mergeCell ref="A37:J37"/>
    <mergeCell ref="A1:J1"/>
    <mergeCell ref="A5:J5"/>
    <mergeCell ref="A24:J24"/>
    <mergeCell ref="A11:J11"/>
  </mergeCells>
  <conditionalFormatting sqref="B1:B10 B20:B23 B12 B14:B17 B25:B31 B38:B1048576 B33:B36">
    <cfRule type="duplicateValues" dxfId="1500" priority="12091"/>
  </conditionalFormatting>
  <conditionalFormatting sqref="B1:B1048576">
    <cfRule type="duplicateValues" dxfId="1499" priority="1"/>
    <cfRule type="duplicateValues" dxfId="1498" priority="4"/>
  </conditionalFormatting>
  <conditionalFormatting sqref="B15">
    <cfRule type="duplicateValues" dxfId="1497" priority="33"/>
    <cfRule type="duplicateValues" dxfId="1496" priority="34"/>
    <cfRule type="duplicateValues" dxfId="1495" priority="35"/>
    <cfRule type="duplicateValues" dxfId="1494" priority="36"/>
    <cfRule type="duplicateValues" dxfId="1493" priority="37"/>
  </conditionalFormatting>
  <conditionalFormatting sqref="B17 B8:B10">
    <cfRule type="duplicateValues" dxfId="1492" priority="25"/>
    <cfRule type="duplicateValues" dxfId="1491" priority="26" stopIfTrue="1"/>
    <cfRule type="duplicateValues" dxfId="1490" priority="32"/>
  </conditionalFormatting>
  <conditionalFormatting sqref="B21">
    <cfRule type="duplicateValues" dxfId="1489" priority="174"/>
    <cfRule type="duplicateValues" dxfId="1488" priority="175"/>
    <cfRule type="duplicateValues" dxfId="1487" priority="176"/>
    <cfRule type="duplicateValues" dxfId="1486" priority="177"/>
    <cfRule type="duplicateValues" dxfId="1485" priority="178"/>
  </conditionalFormatting>
  <conditionalFormatting sqref="B22:B23 B3">
    <cfRule type="duplicateValues" dxfId="1484" priority="172"/>
    <cfRule type="duplicateValues" dxfId="1483" priority="173" stopIfTrue="1"/>
  </conditionalFormatting>
  <conditionalFormatting sqref="B27 B7">
    <cfRule type="duplicateValues" dxfId="1482" priority="11027"/>
    <cfRule type="duplicateValues" dxfId="1481" priority="11028"/>
    <cfRule type="duplicateValues" dxfId="1480" priority="11029"/>
    <cfRule type="duplicateValues" dxfId="1479" priority="11030"/>
    <cfRule type="duplicateValues" dxfId="1478" priority="11031"/>
    <cfRule type="duplicateValues" dxfId="1477" priority="11032"/>
    <cfRule type="duplicateValues" dxfId="1476" priority="11033"/>
    <cfRule type="duplicateValues" dxfId="1475" priority="11034"/>
    <cfRule type="duplicateValues" dxfId="1474" priority="11035"/>
    <cfRule type="duplicateValues" dxfId="1473" priority="11036"/>
    <cfRule type="duplicateValues" dxfId="1472" priority="11037"/>
    <cfRule type="duplicateValues" dxfId="1471" priority="11038"/>
    <cfRule type="duplicateValues" dxfId="1470" priority="11039"/>
    <cfRule type="duplicateValues" dxfId="1469" priority="11040"/>
    <cfRule type="duplicateValues" dxfId="1468" priority="11041"/>
    <cfRule type="duplicateValues" dxfId="1467" priority="11042"/>
    <cfRule type="duplicateValues" dxfId="1466" priority="11043"/>
    <cfRule type="duplicateValues" dxfId="1465" priority="11044"/>
    <cfRule type="duplicateValues" dxfId="1464" priority="11045"/>
    <cfRule type="duplicateValues" dxfId="1463" priority="11046"/>
    <cfRule type="duplicateValues" dxfId="1462" priority="11047"/>
    <cfRule type="duplicateValues" dxfId="1461" priority="11048"/>
    <cfRule type="duplicateValues" dxfId="1460" priority="11049"/>
    <cfRule type="duplicateValues" dxfId="1459" priority="11050"/>
    <cfRule type="duplicateValues" dxfId="1458" priority="11051"/>
  </conditionalFormatting>
  <conditionalFormatting sqref="B28">
    <cfRule type="duplicateValues" dxfId="1457" priority="38"/>
    <cfRule type="duplicateValues" dxfId="1456" priority="39"/>
    <cfRule type="duplicateValues" dxfId="1455" priority="40"/>
    <cfRule type="duplicateValues" dxfId="1454" priority="41"/>
    <cfRule type="duplicateValues" dxfId="1453" priority="42"/>
  </conditionalFormatting>
  <conditionalFormatting sqref="B29 B26">
    <cfRule type="duplicateValues" dxfId="1452" priority="11836"/>
    <cfRule type="duplicateValues" dxfId="1451" priority="11837"/>
    <cfRule type="duplicateValues" dxfId="1450" priority="11838"/>
    <cfRule type="duplicateValues" dxfId="1449" priority="11839"/>
    <cfRule type="duplicateValues" dxfId="1448" priority="11840"/>
    <cfRule type="duplicateValues" dxfId="1447" priority="11841"/>
  </conditionalFormatting>
  <conditionalFormatting sqref="B30 B27 B7">
    <cfRule type="duplicateValues" dxfId="1446" priority="11330"/>
    <cfRule type="duplicateValues" dxfId="1445" priority="11331"/>
    <cfRule type="duplicateValues" dxfId="1444" priority="11332"/>
  </conditionalFormatting>
  <conditionalFormatting sqref="B31 B20">
    <cfRule type="duplicateValues" dxfId="1443" priority="43"/>
    <cfRule type="duplicateValues" dxfId="1442" priority="44"/>
    <cfRule type="duplicateValues" dxfId="1441" priority="45"/>
    <cfRule type="duplicateValues" dxfId="1440" priority="46"/>
    <cfRule type="duplicateValues" dxfId="1439" priority="47"/>
  </conditionalFormatting>
  <conditionalFormatting sqref="B32 B18:B19 B13">
    <cfRule type="duplicateValues" dxfId="1438" priority="12141"/>
  </conditionalFormatting>
  <conditionalFormatting sqref="B33">
    <cfRule type="duplicateValues" dxfId="1437" priority="7"/>
    <cfRule type="duplicateValues" dxfId="1436" priority="8"/>
    <cfRule type="duplicateValues" dxfId="1435" priority="9"/>
    <cfRule type="duplicateValues" dxfId="1434" priority="10"/>
    <cfRule type="duplicateValues" dxfId="1433" priority="11"/>
    <cfRule type="duplicateValues" dxfId="1432" priority="12"/>
    <cfRule type="duplicateValues" dxfId="1431" priority="13"/>
  </conditionalFormatting>
  <conditionalFormatting sqref="B34:B35">
    <cfRule type="duplicateValues" dxfId="1430" priority="142"/>
    <cfRule type="duplicateValues" dxfId="1429" priority="143"/>
    <cfRule type="duplicateValues" dxfId="1428" priority="144"/>
    <cfRule type="duplicateValues" dxfId="1427" priority="145"/>
    <cfRule type="duplicateValues" dxfId="1426" priority="146"/>
    <cfRule type="duplicateValues" dxfId="1425" priority="147"/>
    <cfRule type="duplicateValues" dxfId="1424" priority="148"/>
    <cfRule type="duplicateValues" dxfId="1423" priority="149"/>
    <cfRule type="duplicateValues" dxfId="1422" priority="150"/>
  </conditionalFormatting>
  <conditionalFormatting sqref="B38 B4 B2 B12 B36 B25 B6">
    <cfRule type="duplicateValues" dxfId="1421" priority="171" stopIfTrue="1"/>
  </conditionalFormatting>
  <conditionalFormatting sqref="B39">
    <cfRule type="duplicateValues" dxfId="1420" priority="27"/>
    <cfRule type="duplicateValues" dxfId="1419" priority="28"/>
    <cfRule type="duplicateValues" dxfId="1418" priority="29"/>
    <cfRule type="duplicateValues" dxfId="1417" priority="30"/>
    <cfRule type="duplicateValues" dxfId="1416" priority="31"/>
  </conditionalFormatting>
  <conditionalFormatting sqref="B40">
    <cfRule type="duplicateValues" dxfId="1415" priority="126"/>
    <cfRule type="duplicateValues" dxfId="1414" priority="127"/>
    <cfRule type="duplicateValues" dxfId="1413" priority="11948"/>
    <cfRule type="duplicateValues" dxfId="1412" priority="11949"/>
    <cfRule type="duplicateValues" dxfId="1411" priority="11950"/>
    <cfRule type="duplicateValues" dxfId="1410" priority="11951"/>
    <cfRule type="duplicateValues" dxfId="1409" priority="11956"/>
    <cfRule type="duplicateValues" dxfId="1408" priority="11957"/>
    <cfRule type="duplicateValues" dxfId="1407" priority="11958"/>
    <cfRule type="duplicateValues" dxfId="1406" priority="11959"/>
    <cfRule type="duplicateValues" dxfId="1405" priority="11960"/>
    <cfRule type="duplicateValues" dxfId="1404" priority="11961"/>
  </conditionalFormatting>
  <conditionalFormatting sqref="B41 B14 B16">
    <cfRule type="duplicateValues" dxfId="1403" priority="11469"/>
  </conditionalFormatting>
  <conditionalFormatting sqref="B42">
    <cfRule type="duplicateValues" dxfId="1402" priority="11883"/>
    <cfRule type="duplicateValues" dxfId="1401" priority="11884"/>
  </conditionalFormatting>
  <conditionalFormatting sqref="B42:B1048576 B1:B6 B22:B23 B36 B8:B10 B17 B25 B12 B38">
    <cfRule type="duplicateValues" dxfId="1400" priority="243"/>
    <cfRule type="duplicateValues" dxfId="1399" priority="244"/>
    <cfRule type="duplicateValues" dxfId="1398" priority="245"/>
    <cfRule type="duplicateValues" dxfId="1397" priority="246"/>
    <cfRule type="duplicateValues" dxfId="1396" priority="247"/>
    <cfRule type="duplicateValues" dxfId="1395" priority="248"/>
  </conditionalFormatting>
  <conditionalFormatting sqref="B42:B1048576 B21:B23 B34:B36 B1:B6 B8:B10 B17 B25 B12 B38:B39">
    <cfRule type="duplicateValues" dxfId="1394" priority="250"/>
    <cfRule type="duplicateValues" dxfId="1393" priority="251"/>
  </conditionalFormatting>
  <conditionalFormatting sqref="B42:B1048576 B22:B23 B1:B6 B36 B8:B10 B17 B25 B12 B38">
    <cfRule type="duplicateValues" dxfId="1392" priority="249"/>
  </conditionalFormatting>
  <conditionalFormatting sqref="B42:B1048576 B22:B23 B36 B1:B6 B8:B10 B17 B25 B12 B38">
    <cfRule type="duplicateValues" dxfId="1391" priority="221"/>
  </conditionalFormatting>
  <conditionalFormatting sqref="B42:B1048576 B34:B36 B17 B1:B6 B8:B10 B21:B23 B12 B25:B26 B29 B38:B40">
    <cfRule type="duplicateValues" dxfId="1390" priority="11885"/>
    <cfRule type="duplicateValues" dxfId="1389" priority="11886"/>
    <cfRule type="duplicateValues" dxfId="1388" priority="11887"/>
    <cfRule type="duplicateValues" dxfId="1387" priority="11888"/>
    <cfRule type="duplicateValues" dxfId="1386" priority="11941"/>
  </conditionalFormatting>
  <conditionalFormatting sqref="B42:B1048576 B36 B1:B6 B21:B23 B8:B10 B17 B25 B12 B38:B39">
    <cfRule type="duplicateValues" dxfId="1385" priority="252"/>
  </conditionalFormatting>
  <conditionalFormatting sqref="B42:B1048576 B36 B22:B23 B1:B6 B8:B10 B17 B25 B12 B38">
    <cfRule type="duplicateValues" dxfId="1384" priority="224"/>
    <cfRule type="duplicateValues" dxfId="1383" priority="225"/>
    <cfRule type="duplicateValues" dxfId="1382" priority="226"/>
    <cfRule type="duplicateValues" dxfId="1381" priority="227"/>
    <cfRule type="duplicateValues" dxfId="1380" priority="228"/>
    <cfRule type="duplicateValues" dxfId="1379" priority="229"/>
    <cfRule type="duplicateValues" dxfId="1378" priority="230"/>
    <cfRule type="duplicateValues" dxfId="1377" priority="231"/>
    <cfRule type="duplicateValues" dxfId="1376" priority="233"/>
    <cfRule type="duplicateValues" dxfId="1375" priority="234"/>
    <cfRule type="duplicateValues" dxfId="1374" priority="235"/>
    <cfRule type="duplicateValues" dxfId="1373" priority="236"/>
    <cfRule type="duplicateValues" dxfId="1372" priority="237"/>
    <cfRule type="duplicateValues" dxfId="1371" priority="238"/>
    <cfRule type="duplicateValues" dxfId="1370" priority="239"/>
    <cfRule type="duplicateValues" dxfId="1369" priority="253"/>
    <cfRule type="duplicateValues" dxfId="1368" priority="254"/>
    <cfRule type="duplicateValues" dxfId="1367" priority="255"/>
    <cfRule type="duplicateValues" dxfId="1366" priority="256"/>
  </conditionalFormatting>
  <conditionalFormatting sqref="B42:B1048576 B36 B22:B23 B38">
    <cfRule type="duplicateValues" dxfId="1365" priority="232"/>
  </conditionalFormatting>
  <conditionalFormatting sqref="B42:B1048576 B36 B38">
    <cfRule type="duplicateValues" dxfId="1364" priority="257"/>
  </conditionalFormatting>
  <conditionalFormatting sqref="B42:B1048576">
    <cfRule type="duplicateValues" dxfId="1363" priority="240"/>
    <cfRule type="duplicateValues" dxfId="1362" priority="241"/>
    <cfRule type="duplicateValues" dxfId="1361" priority="242"/>
  </conditionalFormatting>
  <conditionalFormatting sqref="B44:B1048576 B42">
    <cfRule type="duplicateValues" dxfId="1360" priority="258"/>
  </conditionalFormatting>
  <conditionalFormatting sqref="B44:B1048576">
    <cfRule type="duplicateValues" dxfId="1359" priority="259"/>
    <cfRule type="duplicateValues" dxfId="1358" priority="260"/>
  </conditionalFormatting>
  <conditionalFormatting sqref="K10">
    <cfRule type="duplicateValues" dxfId="1357" priority="13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927E-234E-4AF6-9E92-068D7CCA83D1}">
  <dimension ref="A1:K55"/>
  <sheetViews>
    <sheetView topLeftCell="A42" workbookViewId="0">
      <selection activeCell="D79" sqref="D79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22.42578125" bestFit="1" customWidth="1"/>
    <col min="9" max="9" width="17.5703125" customWidth="1"/>
  </cols>
  <sheetData>
    <row r="1" spans="1:10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0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0" hidden="1" x14ac:dyDescent="0.25"/>
    <row r="5" spans="1:10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25">
      <c r="A6" s="55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0" x14ac:dyDescent="0.25">
      <c r="A7" s="8">
        <f t="shared" ref="A7:A16" si="0">ROW()-6</f>
        <v>1</v>
      </c>
      <c r="B7" s="40" t="s">
        <v>199</v>
      </c>
      <c r="C7" s="36" t="s">
        <v>0</v>
      </c>
      <c r="D7" s="21" t="s">
        <v>11</v>
      </c>
      <c r="E7" s="21" t="s">
        <v>12</v>
      </c>
      <c r="F7" s="30" t="s">
        <v>22</v>
      </c>
      <c r="G7" s="61" t="s">
        <v>169</v>
      </c>
      <c r="H7" s="24">
        <v>6</v>
      </c>
      <c r="I7" s="24"/>
      <c r="J7" s="24" t="s">
        <v>57</v>
      </c>
    </row>
    <row r="8" spans="1:10" x14ac:dyDescent="0.25">
      <c r="A8" s="8">
        <f t="shared" si="0"/>
        <v>2</v>
      </c>
      <c r="B8" s="35" t="s">
        <v>215</v>
      </c>
      <c r="C8" s="36" t="s">
        <v>0</v>
      </c>
      <c r="D8" s="21" t="s">
        <v>11</v>
      </c>
      <c r="E8" s="21" t="s">
        <v>12</v>
      </c>
      <c r="F8" s="30" t="s">
        <v>22</v>
      </c>
      <c r="G8" s="7" t="s">
        <v>13</v>
      </c>
      <c r="H8" s="24">
        <v>5</v>
      </c>
      <c r="I8" s="24"/>
      <c r="J8" s="24" t="s">
        <v>57</v>
      </c>
    </row>
    <row r="9" spans="1:10" x14ac:dyDescent="0.25">
      <c r="A9" s="8">
        <f t="shared" si="0"/>
        <v>3</v>
      </c>
      <c r="B9" s="35" t="s">
        <v>214</v>
      </c>
      <c r="C9" s="36" t="s">
        <v>0</v>
      </c>
      <c r="D9" s="21" t="s">
        <v>11</v>
      </c>
      <c r="E9" s="21" t="s">
        <v>12</v>
      </c>
      <c r="F9" s="30" t="s">
        <v>22</v>
      </c>
      <c r="G9" s="7" t="s">
        <v>16</v>
      </c>
      <c r="H9" s="24">
        <v>4</v>
      </c>
      <c r="I9" s="24"/>
      <c r="J9" s="24" t="s">
        <v>57</v>
      </c>
    </row>
    <row r="10" spans="1:10" x14ac:dyDescent="0.25">
      <c r="A10" s="8">
        <f t="shared" si="0"/>
        <v>4</v>
      </c>
      <c r="B10" s="35" t="s">
        <v>213</v>
      </c>
      <c r="C10" s="36" t="s">
        <v>0</v>
      </c>
      <c r="D10" s="21" t="s">
        <v>11</v>
      </c>
      <c r="E10" s="21" t="s">
        <v>12</v>
      </c>
      <c r="F10" s="30" t="s">
        <v>22</v>
      </c>
      <c r="G10" s="30" t="s">
        <v>53</v>
      </c>
      <c r="H10" s="24">
        <v>4</v>
      </c>
      <c r="I10" s="24"/>
      <c r="J10" s="24" t="s">
        <v>57</v>
      </c>
    </row>
    <row r="11" spans="1:10" x14ac:dyDescent="0.25">
      <c r="A11" s="8">
        <f t="shared" si="0"/>
        <v>5</v>
      </c>
      <c r="B11" s="35" t="s">
        <v>212</v>
      </c>
      <c r="C11" s="36" t="s">
        <v>0</v>
      </c>
      <c r="D11" s="21" t="s">
        <v>11</v>
      </c>
      <c r="E11" s="21" t="s">
        <v>12</v>
      </c>
      <c r="F11" s="30" t="s">
        <v>22</v>
      </c>
      <c r="G11" s="7" t="s">
        <v>169</v>
      </c>
      <c r="H11" s="24">
        <v>3</v>
      </c>
      <c r="I11" s="24"/>
      <c r="J11" s="24" t="s">
        <v>57</v>
      </c>
    </row>
    <row r="12" spans="1:10" x14ac:dyDescent="0.25">
      <c r="A12" s="8">
        <f t="shared" si="0"/>
        <v>6</v>
      </c>
      <c r="B12" s="35" t="s">
        <v>211</v>
      </c>
      <c r="C12" s="36" t="s">
        <v>0</v>
      </c>
      <c r="D12" s="21" t="s">
        <v>11</v>
      </c>
      <c r="E12" s="21" t="s">
        <v>12</v>
      </c>
      <c r="F12" s="30" t="s">
        <v>22</v>
      </c>
      <c r="G12" s="24" t="s">
        <v>53</v>
      </c>
      <c r="H12" s="24">
        <v>3</v>
      </c>
      <c r="I12" s="24"/>
      <c r="J12" s="24" t="s">
        <v>57</v>
      </c>
    </row>
    <row r="13" spans="1:10" x14ac:dyDescent="0.25">
      <c r="A13" s="8">
        <f t="shared" si="0"/>
        <v>7</v>
      </c>
      <c r="B13" s="35" t="s">
        <v>210</v>
      </c>
      <c r="C13" s="36" t="s">
        <v>0</v>
      </c>
      <c r="D13" s="21" t="s">
        <v>11</v>
      </c>
      <c r="E13" s="21" t="s">
        <v>12</v>
      </c>
      <c r="F13" s="30" t="s">
        <v>22</v>
      </c>
      <c r="G13" s="7" t="s">
        <v>16</v>
      </c>
      <c r="H13" s="24">
        <v>3</v>
      </c>
      <c r="I13" s="24"/>
      <c r="J13" s="24" t="s">
        <v>57</v>
      </c>
    </row>
    <row r="14" spans="1:10" x14ac:dyDescent="0.25">
      <c r="A14" s="8">
        <f t="shared" si="0"/>
        <v>8</v>
      </c>
      <c r="B14" s="64" t="s">
        <v>209</v>
      </c>
      <c r="C14" s="36" t="s">
        <v>0</v>
      </c>
      <c r="D14" s="21" t="s">
        <v>11</v>
      </c>
      <c r="E14" s="21" t="s">
        <v>12</v>
      </c>
      <c r="F14" s="30" t="s">
        <v>22</v>
      </c>
      <c r="G14" s="24" t="s">
        <v>53</v>
      </c>
      <c r="H14" s="24">
        <v>3</v>
      </c>
      <c r="I14" s="24"/>
      <c r="J14" s="24" t="s">
        <v>57</v>
      </c>
    </row>
    <row r="15" spans="1:10" x14ac:dyDescent="0.25">
      <c r="A15" s="8">
        <f t="shared" si="0"/>
        <v>9</v>
      </c>
      <c r="B15" s="63" t="s">
        <v>208</v>
      </c>
      <c r="C15" s="62" t="s">
        <v>0</v>
      </c>
      <c r="D15" s="21" t="s">
        <v>11</v>
      </c>
      <c r="E15" s="21" t="s">
        <v>12</v>
      </c>
      <c r="F15" s="30" t="s">
        <v>22</v>
      </c>
      <c r="G15" s="50" t="s">
        <v>16</v>
      </c>
      <c r="H15" s="24">
        <v>3</v>
      </c>
      <c r="I15" s="24"/>
      <c r="J15" s="24" t="s">
        <v>57</v>
      </c>
    </row>
    <row r="16" spans="1:10" x14ac:dyDescent="0.25">
      <c r="A16" s="8">
        <f t="shared" si="0"/>
        <v>10</v>
      </c>
      <c r="B16" s="35" t="s">
        <v>207</v>
      </c>
      <c r="C16" s="36" t="s">
        <v>0</v>
      </c>
      <c r="D16" s="21" t="s">
        <v>11</v>
      </c>
      <c r="E16" s="21" t="s">
        <v>12</v>
      </c>
      <c r="F16" s="30" t="s">
        <v>22</v>
      </c>
      <c r="G16" s="24" t="s">
        <v>16</v>
      </c>
      <c r="H16" s="24">
        <v>3</v>
      </c>
      <c r="I16" s="24"/>
      <c r="J16" s="24" t="s">
        <v>57</v>
      </c>
    </row>
    <row r="17" spans="1:11" s="37" customFormat="1" ht="15.6" customHeight="1" x14ac:dyDescent="0.25">
      <c r="A17" s="13"/>
      <c r="C17" s="39"/>
      <c r="D17" s="58"/>
      <c r="F17" s="43"/>
    </row>
    <row r="18" spans="1:11" s="37" customFormat="1" x14ac:dyDescent="0.25">
      <c r="A18" s="13"/>
      <c r="B18" s="58"/>
      <c r="C18" s="39"/>
      <c r="D18" s="38"/>
      <c r="E18" s="43"/>
      <c r="H18" s="59"/>
      <c r="I18" s="60"/>
      <c r="J18" s="13"/>
    </row>
    <row r="19" spans="1:11" s="37" customFormat="1" x14ac:dyDescent="0.25">
      <c r="A19" s="13"/>
      <c r="B19" s="58"/>
      <c r="C19" s="39"/>
      <c r="D19" s="38"/>
      <c r="E19" s="43"/>
      <c r="H19" s="59"/>
      <c r="I19" s="60"/>
      <c r="J19" s="13"/>
    </row>
    <row r="20" spans="1:11" s="37" customFormat="1" ht="15" customHeight="1" thickBot="1" x14ac:dyDescent="0.3">
      <c r="A20" s="47"/>
      <c r="B20" s="56"/>
      <c r="C20" s="39"/>
      <c r="D20" s="56"/>
      <c r="E20" s="12"/>
      <c r="F20" s="12"/>
      <c r="G20" s="12"/>
      <c r="H20" s="12"/>
      <c r="I20" s="12"/>
      <c r="J20" s="13"/>
      <c r="K20" s="51"/>
    </row>
    <row r="21" spans="1:11" s="37" customFormat="1" ht="15" customHeight="1" x14ac:dyDescent="0.25">
      <c r="A21" s="115" t="s">
        <v>21</v>
      </c>
      <c r="B21" s="116"/>
      <c r="C21" s="116"/>
      <c r="D21" s="116"/>
      <c r="E21" s="116"/>
      <c r="F21" s="116"/>
      <c r="G21" s="116"/>
      <c r="H21" s="116"/>
      <c r="I21" s="116"/>
      <c r="J21" s="117"/>
    </row>
    <row r="22" spans="1:11" s="37" customFormat="1" ht="15" customHeight="1" x14ac:dyDescent="0.25">
      <c r="A22" s="55" t="s">
        <v>1</v>
      </c>
      <c r="B22" s="41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/>
      <c r="J22" s="2" t="s">
        <v>9</v>
      </c>
    </row>
    <row r="23" spans="1:11" x14ac:dyDescent="0.25">
      <c r="A23" s="8">
        <f>ROW()-22</f>
        <v>1</v>
      </c>
      <c r="B23" s="30" t="s">
        <v>201</v>
      </c>
      <c r="C23" s="36" t="s">
        <v>66</v>
      </c>
      <c r="D23" s="21" t="s">
        <v>11</v>
      </c>
      <c r="E23" s="21" t="s">
        <v>12</v>
      </c>
      <c r="F23" s="30" t="s">
        <v>22</v>
      </c>
      <c r="G23" s="7" t="s">
        <v>16</v>
      </c>
      <c r="H23" s="24">
        <v>3</v>
      </c>
      <c r="I23" s="24"/>
      <c r="J23" s="24" t="s">
        <v>57</v>
      </c>
    </row>
    <row r="24" spans="1:11" s="37" customFormat="1" ht="15.6" customHeight="1" x14ac:dyDescent="0.25">
      <c r="A24" s="8">
        <f t="shared" ref="A24:A35" si="1">ROW()-22</f>
        <v>2</v>
      </c>
      <c r="B24" s="7" t="s">
        <v>181</v>
      </c>
      <c r="C24" s="36" t="s">
        <v>66</v>
      </c>
      <c r="D24" s="35" t="s">
        <v>147</v>
      </c>
      <c r="E24" s="24" t="s">
        <v>148</v>
      </c>
      <c r="F24" s="30" t="s">
        <v>22</v>
      </c>
      <c r="G24" s="24" t="s">
        <v>16</v>
      </c>
      <c r="H24" s="24">
        <v>3</v>
      </c>
      <c r="I24" s="24"/>
      <c r="J24" s="24" t="s">
        <v>57</v>
      </c>
    </row>
    <row r="25" spans="1:11" x14ac:dyDescent="0.25">
      <c r="A25" s="8">
        <f t="shared" si="1"/>
        <v>3</v>
      </c>
      <c r="B25" s="33" t="s">
        <v>206</v>
      </c>
      <c r="C25" s="36" t="s">
        <v>216</v>
      </c>
      <c r="D25" s="21" t="s">
        <v>11</v>
      </c>
      <c r="E25" s="21" t="s">
        <v>12</v>
      </c>
      <c r="F25" s="30" t="s">
        <v>22</v>
      </c>
      <c r="G25" s="7" t="s">
        <v>16</v>
      </c>
      <c r="H25" s="24"/>
      <c r="I25" s="24"/>
      <c r="J25" s="24" t="s">
        <v>57</v>
      </c>
    </row>
    <row r="26" spans="1:11" x14ac:dyDescent="0.25">
      <c r="A26" s="8">
        <f t="shared" si="1"/>
        <v>4</v>
      </c>
      <c r="B26" s="33" t="s">
        <v>205</v>
      </c>
      <c r="C26" s="36" t="s">
        <v>131</v>
      </c>
      <c r="D26" s="21" t="s">
        <v>11</v>
      </c>
      <c r="E26" s="21" t="s">
        <v>12</v>
      </c>
      <c r="F26" s="30" t="s">
        <v>22</v>
      </c>
      <c r="G26" s="7" t="s">
        <v>53</v>
      </c>
      <c r="H26" s="24"/>
      <c r="I26" s="24"/>
      <c r="J26" s="24" t="s">
        <v>57</v>
      </c>
    </row>
    <row r="27" spans="1:11" x14ac:dyDescent="0.25">
      <c r="A27" s="8">
        <f t="shared" si="1"/>
        <v>5</v>
      </c>
      <c r="B27" s="33" t="s">
        <v>32</v>
      </c>
      <c r="C27" s="36" t="s">
        <v>70</v>
      </c>
      <c r="D27" s="21" t="s">
        <v>11</v>
      </c>
      <c r="E27" s="21" t="s">
        <v>12</v>
      </c>
      <c r="F27" s="30" t="s">
        <v>22</v>
      </c>
      <c r="G27" s="7" t="s">
        <v>13</v>
      </c>
      <c r="H27" s="24"/>
      <c r="I27" s="24"/>
      <c r="J27" s="24" t="s">
        <v>57</v>
      </c>
    </row>
    <row r="28" spans="1:11" x14ac:dyDescent="0.25">
      <c r="A28" s="8">
        <f t="shared" si="1"/>
        <v>6</v>
      </c>
      <c r="B28" s="33" t="s">
        <v>204</v>
      </c>
      <c r="C28" s="36" t="s">
        <v>131</v>
      </c>
      <c r="D28" s="21" t="s">
        <v>11</v>
      </c>
      <c r="E28" s="21" t="s">
        <v>12</v>
      </c>
      <c r="F28" s="30" t="s">
        <v>22</v>
      </c>
      <c r="G28" s="7" t="s">
        <v>16</v>
      </c>
      <c r="H28" s="24"/>
      <c r="I28" s="24"/>
      <c r="J28" s="24" t="s">
        <v>57</v>
      </c>
    </row>
    <row r="29" spans="1:11" x14ac:dyDescent="0.25">
      <c r="A29" s="8">
        <f t="shared" si="1"/>
        <v>7</v>
      </c>
      <c r="B29" s="33" t="s">
        <v>203</v>
      </c>
      <c r="C29" s="36" t="s">
        <v>70</v>
      </c>
      <c r="D29" s="21" t="s">
        <v>11</v>
      </c>
      <c r="E29" s="21" t="s">
        <v>12</v>
      </c>
      <c r="F29" s="30" t="s">
        <v>22</v>
      </c>
      <c r="G29" s="7" t="s">
        <v>13</v>
      </c>
      <c r="H29" s="24"/>
      <c r="I29" s="24"/>
      <c r="J29" s="24" t="s">
        <v>57</v>
      </c>
    </row>
    <row r="30" spans="1:11" x14ac:dyDescent="0.25">
      <c r="A30" s="8">
        <f t="shared" si="1"/>
        <v>8</v>
      </c>
      <c r="B30" s="33" t="s">
        <v>202</v>
      </c>
      <c r="C30" s="36" t="s">
        <v>217</v>
      </c>
      <c r="D30" s="21" t="s">
        <v>11</v>
      </c>
      <c r="E30" s="21" t="s">
        <v>12</v>
      </c>
      <c r="F30" s="30" t="s">
        <v>22</v>
      </c>
      <c r="G30" s="7" t="s">
        <v>169</v>
      </c>
      <c r="H30" s="24"/>
      <c r="I30" s="24"/>
      <c r="J30" s="24" t="s">
        <v>57</v>
      </c>
    </row>
    <row r="31" spans="1:11" x14ac:dyDescent="0.25">
      <c r="A31" s="8">
        <f t="shared" si="1"/>
        <v>9</v>
      </c>
      <c r="B31" s="21" t="s">
        <v>196</v>
      </c>
      <c r="C31" s="36" t="s">
        <v>131</v>
      </c>
      <c r="D31" s="21" t="s">
        <v>11</v>
      </c>
      <c r="E31" s="21" t="s">
        <v>12</v>
      </c>
      <c r="F31" s="30" t="s">
        <v>22</v>
      </c>
      <c r="G31" s="24" t="s">
        <v>53</v>
      </c>
      <c r="H31" s="24"/>
      <c r="I31" s="24"/>
      <c r="J31" s="24" t="s">
        <v>57</v>
      </c>
    </row>
    <row r="32" spans="1:11" x14ac:dyDescent="0.25">
      <c r="A32" s="8">
        <f t="shared" si="1"/>
        <v>10</v>
      </c>
      <c r="B32" s="21" t="s">
        <v>198</v>
      </c>
      <c r="C32" s="36" t="s">
        <v>133</v>
      </c>
      <c r="D32" s="21" t="s">
        <v>11</v>
      </c>
      <c r="E32" s="21" t="s">
        <v>12</v>
      </c>
      <c r="F32" s="30" t="s">
        <v>22</v>
      </c>
      <c r="G32" s="61" t="s">
        <v>53</v>
      </c>
      <c r="H32" s="24"/>
      <c r="I32" s="24"/>
      <c r="J32" s="24" t="s">
        <v>57</v>
      </c>
    </row>
    <row r="33" spans="1:10" x14ac:dyDescent="0.25">
      <c r="A33" s="8">
        <f t="shared" si="1"/>
        <v>11</v>
      </c>
      <c r="B33" s="21" t="s">
        <v>29</v>
      </c>
      <c r="C33" s="36" t="s">
        <v>131</v>
      </c>
      <c r="D33" s="21" t="s">
        <v>11</v>
      </c>
      <c r="E33" s="21" t="s">
        <v>12</v>
      </c>
      <c r="F33" s="30" t="s">
        <v>22</v>
      </c>
      <c r="G33" s="24" t="s">
        <v>16</v>
      </c>
      <c r="H33" s="24"/>
      <c r="I33" s="24"/>
      <c r="J33" s="24" t="s">
        <v>57</v>
      </c>
    </row>
    <row r="34" spans="1:10" x14ac:dyDescent="0.25">
      <c r="A34" s="8">
        <f t="shared" si="1"/>
        <v>12</v>
      </c>
      <c r="B34" s="21" t="s">
        <v>200</v>
      </c>
      <c r="C34" s="36" t="s">
        <v>44</v>
      </c>
      <c r="D34" s="21" t="s">
        <v>11</v>
      </c>
      <c r="E34" s="21" t="s">
        <v>12</v>
      </c>
      <c r="F34" s="30" t="s">
        <v>22</v>
      </c>
      <c r="G34" s="24" t="s">
        <v>16</v>
      </c>
      <c r="H34" s="24"/>
      <c r="I34" s="24"/>
      <c r="J34" s="24" t="s">
        <v>57</v>
      </c>
    </row>
    <row r="35" spans="1:10" x14ac:dyDescent="0.25">
      <c r="A35" s="8">
        <f t="shared" si="1"/>
        <v>13</v>
      </c>
      <c r="B35" s="21" t="s">
        <v>188</v>
      </c>
      <c r="C35" s="36" t="s">
        <v>44</v>
      </c>
      <c r="D35" s="21" t="s">
        <v>176</v>
      </c>
      <c r="E35" s="30" t="s">
        <v>177</v>
      </c>
      <c r="F35" s="30" t="s">
        <v>22</v>
      </c>
      <c r="G35" s="30" t="s">
        <v>178</v>
      </c>
      <c r="H35" s="24"/>
      <c r="I35" s="24"/>
      <c r="J35" s="24" t="s">
        <v>57</v>
      </c>
    </row>
    <row r="36" spans="1:10" x14ac:dyDescent="0.25">
      <c r="A36" s="47"/>
      <c r="B36" s="43"/>
      <c r="C36" s="39"/>
      <c r="D36" s="37"/>
      <c r="E36" s="37"/>
      <c r="F36" s="43"/>
      <c r="G36" s="37"/>
      <c r="H36" s="37"/>
      <c r="I36" s="37"/>
      <c r="J36" s="37"/>
    </row>
    <row r="37" spans="1:10" s="37" customFormat="1" ht="15" customHeight="1" x14ac:dyDescent="0.25">
      <c r="A37" s="47"/>
      <c r="B37" s="56"/>
      <c r="C37" s="39"/>
      <c r="D37" s="56"/>
      <c r="E37" s="12"/>
      <c r="F37" s="12"/>
      <c r="G37" s="12"/>
      <c r="H37" s="12"/>
      <c r="I37" s="12"/>
      <c r="J37" s="13"/>
    </row>
    <row r="38" spans="1:10" s="37" customFormat="1" x14ac:dyDescent="0.25">
      <c r="A38" s="47"/>
      <c r="B38" s="56"/>
      <c r="C38" s="39"/>
      <c r="D38" s="56"/>
      <c r="E38" s="12"/>
      <c r="F38" s="12"/>
      <c r="G38" s="12"/>
      <c r="H38" s="12"/>
      <c r="I38" s="12"/>
      <c r="J38" s="13"/>
    </row>
    <row r="39" spans="1:10" ht="28.9" customHeight="1" x14ac:dyDescent="0.25">
      <c r="A39" s="118" t="s">
        <v>68</v>
      </c>
      <c r="B39" s="119"/>
      <c r="C39" s="119"/>
      <c r="D39" s="119"/>
      <c r="E39" s="119"/>
      <c r="F39" s="119"/>
      <c r="G39" s="119"/>
      <c r="H39" s="119"/>
      <c r="I39" s="119"/>
      <c r="J39" s="120"/>
    </row>
    <row r="40" spans="1:10" x14ac:dyDescent="0.25">
      <c r="A40" s="55" t="s">
        <v>1</v>
      </c>
      <c r="B40" s="41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/>
      <c r="J40" s="2" t="s">
        <v>9</v>
      </c>
    </row>
    <row r="41" spans="1:10" s="37" customFormat="1" ht="15" customHeight="1" x14ac:dyDescent="0.25">
      <c r="A41" s="8">
        <f t="shared" ref="A41:A45" si="2">ROW()-28</f>
        <v>13</v>
      </c>
      <c r="B41" s="21" t="s">
        <v>179</v>
      </c>
      <c r="C41" s="45" t="s">
        <v>110</v>
      </c>
      <c r="D41" s="21" t="s">
        <v>147</v>
      </c>
      <c r="E41" s="24" t="s">
        <v>148</v>
      </c>
      <c r="F41" s="30" t="s">
        <v>22</v>
      </c>
      <c r="G41" s="24" t="s">
        <v>16</v>
      </c>
      <c r="H41" s="24">
        <v>7</v>
      </c>
      <c r="I41" s="24"/>
      <c r="J41" s="24" t="s">
        <v>57</v>
      </c>
    </row>
    <row r="42" spans="1:10" s="37" customFormat="1" ht="15" customHeight="1" x14ac:dyDescent="0.25">
      <c r="A42" s="8">
        <f t="shared" si="2"/>
        <v>14</v>
      </c>
      <c r="B42" s="21" t="s">
        <v>186</v>
      </c>
      <c r="C42" s="45" t="s">
        <v>110</v>
      </c>
      <c r="D42" s="21" t="s">
        <v>176</v>
      </c>
      <c r="E42" s="30" t="s">
        <v>177</v>
      </c>
      <c r="F42" s="30" t="s">
        <v>22</v>
      </c>
      <c r="G42" s="30" t="s">
        <v>178</v>
      </c>
      <c r="H42" s="24">
        <v>4</v>
      </c>
      <c r="I42" s="24"/>
      <c r="J42" s="24" t="s">
        <v>57</v>
      </c>
    </row>
    <row r="43" spans="1:10" s="37" customFormat="1" ht="15" customHeight="1" x14ac:dyDescent="0.25">
      <c r="A43" s="8">
        <f t="shared" si="2"/>
        <v>15</v>
      </c>
      <c r="B43" s="21" t="s">
        <v>192</v>
      </c>
      <c r="C43" s="45" t="s">
        <v>110</v>
      </c>
      <c r="D43" s="21" t="s">
        <v>11</v>
      </c>
      <c r="E43" s="30" t="s">
        <v>12</v>
      </c>
      <c r="F43" s="30" t="s">
        <v>22</v>
      </c>
      <c r="G43" s="24" t="s">
        <v>53</v>
      </c>
      <c r="H43" s="24">
        <v>4</v>
      </c>
      <c r="I43" s="24"/>
      <c r="J43" s="24" t="s">
        <v>57</v>
      </c>
    </row>
    <row r="44" spans="1:10" s="37" customFormat="1" x14ac:dyDescent="0.25">
      <c r="A44" s="8">
        <f t="shared" si="2"/>
        <v>16</v>
      </c>
      <c r="B44" s="35" t="s">
        <v>193</v>
      </c>
      <c r="C44" s="45" t="s">
        <v>110</v>
      </c>
      <c r="D44" s="21" t="s">
        <v>11</v>
      </c>
      <c r="E44" s="30" t="s">
        <v>12</v>
      </c>
      <c r="F44" s="30" t="s">
        <v>22</v>
      </c>
      <c r="G44" s="24" t="s">
        <v>53</v>
      </c>
      <c r="H44" s="24">
        <v>3</v>
      </c>
      <c r="I44" s="24"/>
      <c r="J44" s="24" t="s">
        <v>57</v>
      </c>
    </row>
    <row r="45" spans="1:10" x14ac:dyDescent="0.25">
      <c r="A45" s="8">
        <f t="shared" si="2"/>
        <v>17</v>
      </c>
      <c r="B45" s="21" t="s">
        <v>190</v>
      </c>
      <c r="C45" s="45" t="s">
        <v>110</v>
      </c>
      <c r="D45" s="21" t="s">
        <v>176</v>
      </c>
      <c r="E45" s="30" t="s">
        <v>177</v>
      </c>
      <c r="F45" s="30" t="s">
        <v>22</v>
      </c>
      <c r="G45" s="30" t="s">
        <v>178</v>
      </c>
      <c r="H45" s="24">
        <v>3</v>
      </c>
      <c r="I45" s="24"/>
      <c r="J45" s="24" t="s">
        <v>57</v>
      </c>
    </row>
    <row r="46" spans="1:10" x14ac:dyDescent="0.25">
      <c r="A46" s="8">
        <f t="shared" ref="A46:A48" si="3">ROW()-18</f>
        <v>28</v>
      </c>
      <c r="B46" s="21" t="s">
        <v>197</v>
      </c>
      <c r="C46" s="45" t="s">
        <v>110</v>
      </c>
      <c r="D46" s="21" t="s">
        <v>11</v>
      </c>
      <c r="E46" s="21" t="s">
        <v>12</v>
      </c>
      <c r="F46" s="30" t="s">
        <v>22</v>
      </c>
      <c r="G46" s="24" t="s">
        <v>53</v>
      </c>
      <c r="H46" s="24">
        <v>2</v>
      </c>
      <c r="I46" s="24"/>
      <c r="J46" s="24" t="s">
        <v>57</v>
      </c>
    </row>
    <row r="47" spans="1:10" ht="15" customHeight="1" x14ac:dyDescent="0.25">
      <c r="A47" s="8">
        <f t="shared" si="3"/>
        <v>29</v>
      </c>
      <c r="B47" s="21" t="s">
        <v>195</v>
      </c>
      <c r="C47" s="45" t="s">
        <v>110</v>
      </c>
      <c r="D47" s="21" t="s">
        <v>11</v>
      </c>
      <c r="E47" s="21" t="s">
        <v>12</v>
      </c>
      <c r="F47" s="30" t="s">
        <v>22</v>
      </c>
      <c r="G47" s="24" t="s">
        <v>16</v>
      </c>
      <c r="H47" s="24">
        <v>2</v>
      </c>
      <c r="I47" s="24"/>
      <c r="J47" s="24" t="s">
        <v>57</v>
      </c>
    </row>
    <row r="48" spans="1:10" x14ac:dyDescent="0.25">
      <c r="A48" s="8">
        <f t="shared" si="3"/>
        <v>30</v>
      </c>
      <c r="B48" s="21" t="s">
        <v>189</v>
      </c>
      <c r="C48" s="45" t="s">
        <v>110</v>
      </c>
      <c r="D48" s="21" t="s">
        <v>176</v>
      </c>
      <c r="E48" s="30" t="s">
        <v>177</v>
      </c>
      <c r="F48" s="30" t="s">
        <v>22</v>
      </c>
      <c r="G48" s="30" t="s">
        <v>178</v>
      </c>
      <c r="H48" s="24">
        <v>2</v>
      </c>
      <c r="I48" s="24"/>
      <c r="J48" s="24" t="s">
        <v>57</v>
      </c>
    </row>
    <row r="49" spans="1:10" ht="29.45" customHeight="1" x14ac:dyDescent="0.25">
      <c r="A49" s="13"/>
      <c r="B49" s="43"/>
      <c r="C49" s="48"/>
      <c r="D49" s="37"/>
      <c r="E49" s="37"/>
      <c r="F49" s="12"/>
      <c r="G49" s="37"/>
      <c r="H49" s="37"/>
      <c r="I49" s="37"/>
      <c r="J49" s="37"/>
    </row>
    <row r="50" spans="1:10" s="37" customFormat="1" ht="15" customHeight="1" x14ac:dyDescent="0.25">
      <c r="A50" s="13"/>
      <c r="B50" s="43"/>
      <c r="C50" s="48"/>
      <c r="F50" s="12"/>
    </row>
    <row r="51" spans="1:10" s="37" customFormat="1" ht="15" customHeight="1" x14ac:dyDescent="0.25">
      <c r="A51" s="54"/>
      <c r="B51" s="42"/>
      <c r="C51"/>
      <c r="D51"/>
      <c r="E51"/>
      <c r="F51"/>
      <c r="G51"/>
      <c r="H51"/>
      <c r="I51"/>
      <c r="J51"/>
    </row>
    <row r="52" spans="1:10" s="37" customFormat="1" ht="15" customHeight="1" x14ac:dyDescent="0.25">
      <c r="A52" s="118" t="s">
        <v>30</v>
      </c>
      <c r="B52" s="119"/>
      <c r="C52" s="119"/>
      <c r="D52" s="119"/>
      <c r="E52" s="119"/>
      <c r="F52" s="119"/>
      <c r="G52" s="119"/>
      <c r="H52" s="119"/>
      <c r="I52" s="119"/>
      <c r="J52" s="120"/>
    </row>
    <row r="53" spans="1:10" s="37" customFormat="1" ht="15" customHeight="1" x14ac:dyDescent="0.25">
      <c r="A53" s="57" t="s">
        <v>1</v>
      </c>
      <c r="B53" s="44" t="s">
        <v>2</v>
      </c>
      <c r="C53" s="15" t="s">
        <v>40</v>
      </c>
      <c r="D53" s="15" t="s">
        <v>4</v>
      </c>
      <c r="E53" s="15" t="s">
        <v>5</v>
      </c>
      <c r="F53" s="15" t="s">
        <v>6</v>
      </c>
      <c r="G53" s="15" t="s">
        <v>7</v>
      </c>
      <c r="H53" s="15" t="s">
        <v>8</v>
      </c>
      <c r="I53" s="15" t="s">
        <v>31</v>
      </c>
      <c r="J53" s="15" t="s">
        <v>9</v>
      </c>
    </row>
    <row r="54" spans="1:10" s="37" customFormat="1" x14ac:dyDescent="0.25">
      <c r="A54" s="8">
        <f>ROW()-53</f>
        <v>1</v>
      </c>
      <c r="B54" s="30" t="s">
        <v>166</v>
      </c>
      <c r="C54" s="45" t="s">
        <v>33</v>
      </c>
      <c r="D54" s="7" t="s">
        <v>11</v>
      </c>
      <c r="E54" s="24" t="s">
        <v>12</v>
      </c>
      <c r="F54" s="30" t="s">
        <v>22</v>
      </c>
      <c r="G54" s="7" t="s">
        <v>13</v>
      </c>
      <c r="H54" s="24">
        <v>7</v>
      </c>
      <c r="I54" s="24"/>
      <c r="J54" s="24" t="s">
        <v>57</v>
      </c>
    </row>
    <row r="55" spans="1:10" s="37" customFormat="1" ht="15" customHeight="1" x14ac:dyDescent="0.25">
      <c r="A55" s="8">
        <f>ROW()-53</f>
        <v>2</v>
      </c>
      <c r="B55" s="21" t="s">
        <v>174</v>
      </c>
      <c r="C55" s="45" t="s">
        <v>33</v>
      </c>
      <c r="D55" s="35" t="s">
        <v>147</v>
      </c>
      <c r="E55" s="24" t="s">
        <v>148</v>
      </c>
      <c r="F55" s="30" t="s">
        <v>22</v>
      </c>
      <c r="G55" s="24" t="s">
        <v>16</v>
      </c>
      <c r="H55" s="24">
        <v>2</v>
      </c>
      <c r="I55" s="24"/>
      <c r="J55" s="24" t="s">
        <v>57</v>
      </c>
    </row>
  </sheetData>
  <mergeCells count="5">
    <mergeCell ref="A1:J1"/>
    <mergeCell ref="A5:J5"/>
    <mergeCell ref="A21:J21"/>
    <mergeCell ref="A39:J39"/>
    <mergeCell ref="A52:J52"/>
  </mergeCells>
  <conditionalFormatting sqref="B1:B6 B36:B38 B22 B24 B53:B1048576 B40:B44 B49:B51 B17:B20">
    <cfRule type="duplicateValues" dxfId="1356" priority="14020"/>
  </conditionalFormatting>
  <conditionalFormatting sqref="B1:B7 B17:B24 B31:B1048576">
    <cfRule type="duplicateValues" dxfId="1355" priority="13946"/>
  </conditionalFormatting>
  <conditionalFormatting sqref="B1:B1048576">
    <cfRule type="duplicateValues" dxfId="1354" priority="1"/>
    <cfRule type="duplicateValues" dxfId="1353" priority="14389"/>
  </conditionalFormatting>
  <conditionalFormatting sqref="B8:B9">
    <cfRule type="duplicateValues" dxfId="1352" priority="7"/>
  </conditionalFormatting>
  <conditionalFormatting sqref="B8:B16">
    <cfRule type="duplicateValues" dxfId="1351" priority="6"/>
  </conditionalFormatting>
  <conditionalFormatting sqref="B24 B17">
    <cfRule type="duplicateValues" dxfId="1350" priority="13499"/>
    <cfRule type="duplicateValues" dxfId="1349" priority="13500"/>
    <cfRule type="duplicateValues" dxfId="1348" priority="13501"/>
    <cfRule type="duplicateValues" dxfId="1347" priority="13502"/>
    <cfRule type="duplicateValues" dxfId="1346" priority="13503"/>
    <cfRule type="duplicateValues" dxfId="1345" priority="13504"/>
    <cfRule type="duplicateValues" dxfId="1344" priority="13505"/>
    <cfRule type="duplicateValues" dxfId="1343" priority="13506"/>
    <cfRule type="duplicateValues" dxfId="1342" priority="13507"/>
    <cfRule type="duplicateValues" dxfId="1341" priority="13508"/>
    <cfRule type="duplicateValues" dxfId="1340" priority="13509"/>
    <cfRule type="duplicateValues" dxfId="1339" priority="13510"/>
    <cfRule type="duplicateValues" dxfId="1338" priority="13511"/>
    <cfRule type="duplicateValues" dxfId="1337" priority="13512"/>
    <cfRule type="duplicateValues" dxfId="1336" priority="13513"/>
    <cfRule type="duplicateValues" dxfId="1335" priority="13514"/>
    <cfRule type="duplicateValues" dxfId="1334" priority="13515"/>
    <cfRule type="duplicateValues" dxfId="1333" priority="13516"/>
    <cfRule type="duplicateValues" dxfId="1332" priority="13517"/>
    <cfRule type="duplicateValues" dxfId="1331" priority="13518"/>
    <cfRule type="duplicateValues" dxfId="1330" priority="13519"/>
    <cfRule type="duplicateValues" dxfId="1329" priority="13520"/>
    <cfRule type="duplicateValues" dxfId="1328" priority="13521"/>
    <cfRule type="duplicateValues" dxfId="1327" priority="13522"/>
    <cfRule type="duplicateValues" dxfId="1326" priority="13523"/>
    <cfRule type="duplicateValues" dxfId="1325" priority="13567"/>
    <cfRule type="duplicateValues" dxfId="1324" priority="13568"/>
    <cfRule type="duplicateValues" dxfId="1323" priority="13569"/>
  </conditionalFormatting>
  <conditionalFormatting sqref="B25:B27">
    <cfRule type="duplicateValues" dxfId="1322" priority="3"/>
    <cfRule type="duplicateValues" dxfId="1321" priority="5"/>
  </conditionalFormatting>
  <conditionalFormatting sqref="B25:B30">
    <cfRule type="duplicateValues" dxfId="1320" priority="4"/>
  </conditionalFormatting>
  <conditionalFormatting sqref="B35:B45 B48:B1048576 B1:B6 B17:B22 B24">
    <cfRule type="duplicateValues" dxfId="1319" priority="13951"/>
    <cfRule type="duplicateValues" dxfId="1318" priority="13952"/>
  </conditionalFormatting>
  <conditionalFormatting sqref="B36">
    <cfRule type="duplicateValues" dxfId="1317" priority="59"/>
    <cfRule type="duplicateValues" dxfId="1316" priority="60"/>
    <cfRule type="duplicateValues" dxfId="1315" priority="61"/>
    <cfRule type="duplicateValues" dxfId="1314" priority="62"/>
    <cfRule type="duplicateValues" dxfId="1313" priority="63"/>
  </conditionalFormatting>
  <conditionalFormatting sqref="B36:B38 B49:B51 B44 B1:B6 B18:B20 B40 B22 B53 B56:B1048576">
    <cfRule type="duplicateValues" dxfId="1312" priority="14030"/>
    <cfRule type="duplicateValues" dxfId="1311" priority="14031"/>
  </conditionalFormatting>
  <conditionalFormatting sqref="B37:B38 B3">
    <cfRule type="duplicateValues" dxfId="1310" priority="57"/>
    <cfRule type="duplicateValues" dxfId="1309" priority="58" stopIfTrue="1"/>
  </conditionalFormatting>
  <conditionalFormatting sqref="B41">
    <cfRule type="duplicateValues" dxfId="1308" priority="29"/>
    <cfRule type="duplicateValues" dxfId="1307" priority="30"/>
    <cfRule type="duplicateValues" dxfId="1306" priority="31"/>
    <cfRule type="duplicateValues" dxfId="1305" priority="32"/>
    <cfRule type="duplicateValues" dxfId="1304" priority="33"/>
  </conditionalFormatting>
  <conditionalFormatting sqref="B42:B43">
    <cfRule type="duplicateValues" dxfId="1303" priority="12729"/>
  </conditionalFormatting>
  <conditionalFormatting sqref="B44 B1:B6 B37:B38 B51 B18:B20 B40 B22 B53 B56:B1048576">
    <cfRule type="duplicateValues" dxfId="1302" priority="14052"/>
    <cfRule type="duplicateValues" dxfId="1301" priority="14053"/>
    <cfRule type="duplicateValues" dxfId="1300" priority="14054"/>
    <cfRule type="duplicateValues" dxfId="1299" priority="14055"/>
    <cfRule type="duplicateValues" dxfId="1298" priority="14056"/>
    <cfRule type="duplicateValues" dxfId="1297" priority="14057"/>
  </conditionalFormatting>
  <conditionalFormatting sqref="B44 B18:B20">
    <cfRule type="duplicateValues" dxfId="1296" priority="21"/>
    <cfRule type="duplicateValues" dxfId="1295" priority="22" stopIfTrue="1"/>
    <cfRule type="duplicateValues" dxfId="1294" priority="28"/>
  </conditionalFormatting>
  <conditionalFormatting sqref="B44 B37:B38 B1:B6 B51 B18:B20 B40 B22 B53 B56:B1048576">
    <cfRule type="duplicateValues" dxfId="1293" priority="14118"/>
  </conditionalFormatting>
  <conditionalFormatting sqref="B44 B37:B38 B51 B1:B6 B18:B20 B40 B22 B53 B56:B1048576">
    <cfRule type="duplicateValues" dxfId="1292" priority="14129"/>
  </conditionalFormatting>
  <conditionalFormatting sqref="B44 B51 B1:B6 B36:B38 B18:B20 B40 B22 B53 B56:B1048576">
    <cfRule type="duplicateValues" dxfId="1291" priority="14140"/>
  </conditionalFormatting>
  <conditionalFormatting sqref="B44 B51 B37:B38 B1:B6 B18:B20 B40 B22 B53 B56:B1048576">
    <cfRule type="duplicateValues" dxfId="1290" priority="14151"/>
    <cfRule type="duplicateValues" dxfId="1289" priority="14152"/>
    <cfRule type="duplicateValues" dxfId="1288" priority="14153"/>
    <cfRule type="duplicateValues" dxfId="1287" priority="14154"/>
    <cfRule type="duplicateValues" dxfId="1286" priority="14155"/>
    <cfRule type="duplicateValues" dxfId="1285" priority="14156"/>
    <cfRule type="duplicateValues" dxfId="1284" priority="14157"/>
    <cfRule type="duplicateValues" dxfId="1283" priority="14158"/>
    <cfRule type="duplicateValues" dxfId="1282" priority="14159"/>
    <cfRule type="duplicateValues" dxfId="1281" priority="14160"/>
    <cfRule type="duplicateValues" dxfId="1280" priority="14161"/>
    <cfRule type="duplicateValues" dxfId="1279" priority="14162"/>
    <cfRule type="duplicateValues" dxfId="1278" priority="14163"/>
    <cfRule type="duplicateValues" dxfId="1277" priority="14164"/>
    <cfRule type="duplicateValues" dxfId="1276" priority="14165"/>
    <cfRule type="duplicateValues" dxfId="1275" priority="14166"/>
    <cfRule type="duplicateValues" dxfId="1274" priority="14167"/>
    <cfRule type="duplicateValues" dxfId="1273" priority="14168"/>
    <cfRule type="duplicateValues" dxfId="1272" priority="14169"/>
  </conditionalFormatting>
  <conditionalFormatting sqref="B46:B47 B23 B7 B31:B34">
    <cfRule type="duplicateValues" dxfId="1271" priority="13932"/>
  </conditionalFormatting>
  <conditionalFormatting sqref="B46:B47 B31">
    <cfRule type="duplicateValues" dxfId="1270" priority="12739"/>
  </conditionalFormatting>
  <conditionalFormatting sqref="B46:B47 B31:B34 B7">
    <cfRule type="duplicateValues" dxfId="1269" priority="13937"/>
  </conditionalFormatting>
  <conditionalFormatting sqref="B48 B35 B45">
    <cfRule type="duplicateValues" dxfId="1268" priority="13945"/>
  </conditionalFormatting>
  <conditionalFormatting sqref="B49:B50">
    <cfRule type="duplicateValues" dxfId="1267" priority="47"/>
    <cfRule type="duplicateValues" dxfId="1266" priority="48"/>
    <cfRule type="duplicateValues" dxfId="1265" priority="49"/>
    <cfRule type="duplicateValues" dxfId="1264" priority="50"/>
    <cfRule type="duplicateValues" dxfId="1263" priority="51"/>
    <cfRule type="duplicateValues" dxfId="1262" priority="52"/>
    <cfRule type="duplicateValues" dxfId="1261" priority="53"/>
    <cfRule type="duplicateValues" dxfId="1260" priority="54"/>
    <cfRule type="duplicateValues" dxfId="1259" priority="55"/>
  </conditionalFormatting>
  <conditionalFormatting sqref="B49:B51 B44 B1:B6 B18:B20 B36:B38 B22 B40 B53:B54 B56:B1048576">
    <cfRule type="duplicateValues" dxfId="1258" priority="13965"/>
    <cfRule type="duplicateValues" dxfId="1257" priority="13966"/>
    <cfRule type="duplicateValues" dxfId="1256" priority="13967"/>
    <cfRule type="duplicateValues" dxfId="1255" priority="13968"/>
    <cfRule type="duplicateValues" dxfId="1254" priority="13969"/>
  </conditionalFormatting>
  <conditionalFormatting sqref="B51 B37:B38 B53 B56:B1048576">
    <cfRule type="duplicateValues" dxfId="1253" priority="14360"/>
  </conditionalFormatting>
  <conditionalFormatting sqref="B51 B53 B56:B1048576">
    <cfRule type="duplicateValues" dxfId="1252" priority="14366"/>
  </conditionalFormatting>
  <conditionalFormatting sqref="B53 B4 B2 B22 B51 B40 B6">
    <cfRule type="duplicateValues" dxfId="1251" priority="56" stopIfTrue="1"/>
  </conditionalFormatting>
  <conditionalFormatting sqref="B54">
    <cfRule type="duplicateValues" dxfId="1250" priority="131"/>
    <cfRule type="duplicateValues" dxfId="1249" priority="132"/>
    <cfRule type="duplicateValues" dxfId="1248" priority="133"/>
    <cfRule type="duplicateValues" dxfId="1247" priority="134"/>
    <cfRule type="duplicateValues" dxfId="1246" priority="135"/>
    <cfRule type="duplicateValues" dxfId="1245" priority="136"/>
  </conditionalFormatting>
  <conditionalFormatting sqref="B55">
    <cfRule type="duplicateValues" dxfId="1244" priority="13613"/>
    <cfRule type="duplicateValues" dxfId="1243" priority="13614"/>
    <cfRule type="duplicateValues" dxfId="1242" priority="13615"/>
    <cfRule type="duplicateValues" dxfId="1241" priority="13616"/>
    <cfRule type="duplicateValues" dxfId="1240" priority="13617"/>
  </conditionalFormatting>
  <conditionalFormatting sqref="B56:B1048576">
    <cfRule type="duplicateValues" dxfId="1239" priority="14371"/>
    <cfRule type="duplicateValues" dxfId="1238" priority="14372"/>
    <cfRule type="duplicateValues" dxfId="1237" priority="14373"/>
  </conditionalFormatting>
  <conditionalFormatting sqref="B57:B1048576">
    <cfRule type="duplicateValues" dxfId="1236" priority="14380"/>
    <cfRule type="duplicateValues" dxfId="1235" priority="14381"/>
    <cfRule type="duplicateValues" dxfId="1234" priority="14382"/>
  </conditionalFormatting>
  <conditionalFormatting sqref="K20">
    <cfRule type="duplicateValues" dxfId="1233" priority="4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BD8C-96CE-4D18-B9F1-EFEB72E00725}">
  <dimension ref="A1:K50"/>
  <sheetViews>
    <sheetView topLeftCell="A46" workbookViewId="0">
      <selection activeCell="D55" sqref="D55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22.42578125" bestFit="1" customWidth="1"/>
    <col min="9" max="9" width="17.5703125" customWidth="1"/>
  </cols>
  <sheetData>
    <row r="1" spans="1:11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1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1" hidden="1" x14ac:dyDescent="0.25"/>
    <row r="5" spans="1:11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1" x14ac:dyDescent="0.25">
      <c r="A6" s="55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1" x14ac:dyDescent="0.25">
      <c r="A7" s="8">
        <f t="shared" ref="A7" si="0">ROW()-6</f>
        <v>1</v>
      </c>
      <c r="B7" s="35" t="s">
        <v>207</v>
      </c>
      <c r="C7" s="36" t="s">
        <v>0</v>
      </c>
      <c r="D7" s="21" t="s">
        <v>11</v>
      </c>
      <c r="E7" s="21" t="s">
        <v>12</v>
      </c>
      <c r="F7" s="30" t="s">
        <v>22</v>
      </c>
      <c r="G7" s="24" t="s">
        <v>16</v>
      </c>
      <c r="H7" s="24">
        <v>5</v>
      </c>
      <c r="I7" s="24"/>
      <c r="J7" s="24" t="s">
        <v>57</v>
      </c>
    </row>
    <row r="8" spans="1:11" s="37" customFormat="1" x14ac:dyDescent="0.25">
      <c r="A8" s="13"/>
      <c r="B8" s="58"/>
      <c r="C8" s="39"/>
      <c r="D8" s="38"/>
      <c r="E8" s="43"/>
      <c r="H8" s="59"/>
      <c r="I8" s="60"/>
      <c r="J8" s="13"/>
    </row>
    <row r="9" spans="1:11" s="37" customFormat="1" x14ac:dyDescent="0.25">
      <c r="A9" s="13"/>
      <c r="B9" s="58"/>
      <c r="C9" s="39"/>
      <c r="D9" s="38"/>
      <c r="E9" s="43"/>
      <c r="H9" s="59"/>
      <c r="I9" s="60"/>
      <c r="J9" s="13"/>
    </row>
    <row r="10" spans="1:11" s="37" customFormat="1" ht="15" customHeight="1" thickBot="1" x14ac:dyDescent="0.3">
      <c r="A10" s="47"/>
      <c r="B10" s="56"/>
      <c r="C10" s="39"/>
      <c r="D10" s="56"/>
      <c r="E10" s="12"/>
      <c r="F10" s="12"/>
      <c r="G10" s="12"/>
      <c r="H10" s="12"/>
      <c r="I10" s="12"/>
      <c r="J10" s="13"/>
      <c r="K10" s="51"/>
    </row>
    <row r="11" spans="1:11" s="37" customFormat="1" ht="15" customHeight="1" x14ac:dyDescent="0.25">
      <c r="A11" s="115" t="s">
        <v>21</v>
      </c>
      <c r="B11" s="116"/>
      <c r="C11" s="116"/>
      <c r="D11" s="116"/>
      <c r="E11" s="116"/>
      <c r="F11" s="116"/>
      <c r="G11" s="116"/>
      <c r="H11" s="116"/>
      <c r="I11" s="116"/>
      <c r="J11" s="117"/>
    </row>
    <row r="12" spans="1:11" s="37" customFormat="1" ht="15" customHeight="1" x14ac:dyDescent="0.25">
      <c r="A12" s="55" t="s">
        <v>1</v>
      </c>
      <c r="B12" s="41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/>
      <c r="J12" s="2" t="s">
        <v>9</v>
      </c>
    </row>
    <row r="13" spans="1:11" x14ac:dyDescent="0.25">
      <c r="A13" s="8">
        <f>ROW()-12</f>
        <v>1</v>
      </c>
      <c r="B13" s="64" t="s">
        <v>209</v>
      </c>
      <c r="C13" s="36" t="s">
        <v>66</v>
      </c>
      <c r="D13" s="21" t="s">
        <v>11</v>
      </c>
      <c r="E13" s="21" t="s">
        <v>12</v>
      </c>
      <c r="F13" s="30" t="s">
        <v>22</v>
      </c>
      <c r="G13" s="24" t="s">
        <v>53</v>
      </c>
      <c r="H13" s="24">
        <v>2</v>
      </c>
      <c r="I13" s="24"/>
      <c r="J13" s="24" t="s">
        <v>57</v>
      </c>
    </row>
    <row r="14" spans="1:11" x14ac:dyDescent="0.25">
      <c r="A14" s="8">
        <f t="shared" ref="A14:A22" si="1">ROW()-12</f>
        <v>2</v>
      </c>
      <c r="B14" s="35" t="s">
        <v>213</v>
      </c>
      <c r="C14" s="36" t="s">
        <v>64</v>
      </c>
      <c r="D14" s="21" t="s">
        <v>11</v>
      </c>
      <c r="E14" s="21" t="s">
        <v>12</v>
      </c>
      <c r="F14" s="30" t="s">
        <v>22</v>
      </c>
      <c r="G14" s="30" t="s">
        <v>53</v>
      </c>
      <c r="H14" s="24"/>
      <c r="I14" s="24"/>
      <c r="J14" s="24" t="s">
        <v>57</v>
      </c>
    </row>
    <row r="15" spans="1:11" x14ac:dyDescent="0.25">
      <c r="A15" s="8">
        <f t="shared" si="1"/>
        <v>3</v>
      </c>
      <c r="B15" s="35" t="s">
        <v>214</v>
      </c>
      <c r="C15" s="36" t="s">
        <v>118</v>
      </c>
      <c r="D15" s="21" t="s">
        <v>11</v>
      </c>
      <c r="E15" s="21" t="s">
        <v>12</v>
      </c>
      <c r="F15" s="30" t="s">
        <v>22</v>
      </c>
      <c r="G15" s="7" t="s">
        <v>16</v>
      </c>
      <c r="H15" s="24"/>
      <c r="I15" s="24"/>
      <c r="J15" s="24" t="s">
        <v>57</v>
      </c>
    </row>
    <row r="16" spans="1:11" x14ac:dyDescent="0.25">
      <c r="A16" s="8">
        <f t="shared" si="1"/>
        <v>4</v>
      </c>
      <c r="B16" s="35" t="s">
        <v>212</v>
      </c>
      <c r="C16" s="36" t="s">
        <v>44</v>
      </c>
      <c r="D16" s="21" t="s">
        <v>11</v>
      </c>
      <c r="E16" s="21" t="s">
        <v>12</v>
      </c>
      <c r="F16" s="30" t="s">
        <v>22</v>
      </c>
      <c r="G16" s="7" t="s">
        <v>169</v>
      </c>
      <c r="H16" s="24"/>
      <c r="I16" s="24"/>
      <c r="J16" s="24" t="s">
        <v>57</v>
      </c>
    </row>
    <row r="17" spans="1:10" x14ac:dyDescent="0.25">
      <c r="A17" s="8">
        <f t="shared" si="1"/>
        <v>5</v>
      </c>
      <c r="B17" s="35" t="s">
        <v>211</v>
      </c>
      <c r="C17" s="36" t="s">
        <v>64</v>
      </c>
      <c r="D17" s="21" t="s">
        <v>11</v>
      </c>
      <c r="E17" s="21" t="s">
        <v>12</v>
      </c>
      <c r="F17" s="30" t="s">
        <v>22</v>
      </c>
      <c r="G17" s="24" t="s">
        <v>53</v>
      </c>
      <c r="H17" s="24"/>
      <c r="I17" s="24"/>
      <c r="J17" s="24" t="s">
        <v>57</v>
      </c>
    </row>
    <row r="18" spans="1:10" x14ac:dyDescent="0.25">
      <c r="A18" s="8">
        <f t="shared" si="1"/>
        <v>6</v>
      </c>
      <c r="B18" s="35" t="s">
        <v>210</v>
      </c>
      <c r="C18" s="36" t="s">
        <v>44</v>
      </c>
      <c r="D18" s="21" t="s">
        <v>11</v>
      </c>
      <c r="E18" s="21" t="s">
        <v>12</v>
      </c>
      <c r="F18" s="30" t="s">
        <v>22</v>
      </c>
      <c r="G18" s="7" t="s">
        <v>16</v>
      </c>
      <c r="H18" s="24"/>
      <c r="I18" s="24"/>
      <c r="J18" s="24" t="s">
        <v>57</v>
      </c>
    </row>
    <row r="19" spans="1:10" x14ac:dyDescent="0.25">
      <c r="A19" s="8">
        <f t="shared" si="1"/>
        <v>7</v>
      </c>
      <c r="B19" s="63" t="s">
        <v>208</v>
      </c>
      <c r="C19" s="36" t="s">
        <v>44</v>
      </c>
      <c r="D19" s="21" t="s">
        <v>11</v>
      </c>
      <c r="E19" s="21" t="s">
        <v>12</v>
      </c>
      <c r="F19" s="30" t="s">
        <v>22</v>
      </c>
      <c r="G19" s="50" t="s">
        <v>16</v>
      </c>
      <c r="H19" s="24"/>
      <c r="I19" s="24"/>
      <c r="J19" s="24" t="s">
        <v>57</v>
      </c>
    </row>
    <row r="20" spans="1:10" x14ac:dyDescent="0.25">
      <c r="A20" s="8">
        <f t="shared" si="1"/>
        <v>8</v>
      </c>
      <c r="B20" s="40" t="s">
        <v>199</v>
      </c>
      <c r="C20" s="36" t="s">
        <v>118</v>
      </c>
      <c r="D20" s="21" t="s">
        <v>11</v>
      </c>
      <c r="E20" s="21" t="s">
        <v>12</v>
      </c>
      <c r="F20" s="30" t="s">
        <v>22</v>
      </c>
      <c r="G20" s="61" t="s">
        <v>169</v>
      </c>
      <c r="H20" s="24"/>
      <c r="I20" s="24"/>
      <c r="J20" s="24" t="s">
        <v>57</v>
      </c>
    </row>
    <row r="21" spans="1:10" x14ac:dyDescent="0.25">
      <c r="A21" s="8">
        <f t="shared" si="1"/>
        <v>9</v>
      </c>
      <c r="B21" s="21" t="s">
        <v>188</v>
      </c>
      <c r="C21" s="36" t="s">
        <v>144</v>
      </c>
      <c r="D21" s="21" t="s">
        <v>176</v>
      </c>
      <c r="E21" s="30" t="s">
        <v>177</v>
      </c>
      <c r="F21" s="30" t="s">
        <v>22</v>
      </c>
      <c r="G21" s="30" t="s">
        <v>178</v>
      </c>
      <c r="H21" s="24"/>
      <c r="I21" s="24"/>
      <c r="J21" s="24" t="s">
        <v>57</v>
      </c>
    </row>
    <row r="22" spans="1:10" s="37" customFormat="1" ht="15.6" customHeight="1" x14ac:dyDescent="0.25">
      <c r="A22" s="8">
        <f t="shared" si="1"/>
        <v>10</v>
      </c>
      <c r="B22" s="33" t="s">
        <v>218</v>
      </c>
      <c r="C22" s="36" t="s">
        <v>44</v>
      </c>
      <c r="D22" s="21" t="s">
        <v>11</v>
      </c>
      <c r="E22" s="21" t="s">
        <v>12</v>
      </c>
      <c r="F22" s="30" t="s">
        <v>22</v>
      </c>
      <c r="G22" s="24" t="s">
        <v>13</v>
      </c>
      <c r="H22" s="65"/>
      <c r="I22" s="53"/>
      <c r="J22" s="24"/>
    </row>
    <row r="23" spans="1:10" x14ac:dyDescent="0.25">
      <c r="A23" s="47"/>
      <c r="B23" s="43"/>
      <c r="C23" s="39"/>
      <c r="D23" s="37"/>
      <c r="E23" s="37"/>
      <c r="F23" s="43"/>
      <c r="G23" s="37"/>
      <c r="H23" s="37"/>
      <c r="I23" s="37"/>
      <c r="J23" s="37"/>
    </row>
    <row r="24" spans="1:10" s="37" customFormat="1" ht="15" customHeight="1" x14ac:dyDescent="0.25">
      <c r="A24" s="47"/>
      <c r="B24" s="56"/>
      <c r="C24" s="39"/>
      <c r="D24" s="56"/>
      <c r="E24" s="12"/>
      <c r="F24" s="12"/>
      <c r="G24" s="12"/>
      <c r="H24" s="12"/>
      <c r="I24" s="12"/>
      <c r="J24" s="13"/>
    </row>
    <row r="25" spans="1:10" s="37" customFormat="1" x14ac:dyDescent="0.25">
      <c r="A25" s="47"/>
      <c r="B25" s="56"/>
      <c r="C25" s="39"/>
      <c r="D25" s="56"/>
      <c r="E25" s="12"/>
      <c r="F25" s="12"/>
      <c r="G25" s="12"/>
      <c r="H25" s="12"/>
      <c r="I25" s="12"/>
      <c r="J25" s="13"/>
    </row>
    <row r="26" spans="1:10" ht="28.9" customHeight="1" x14ac:dyDescent="0.25">
      <c r="A26" s="118" t="s">
        <v>68</v>
      </c>
      <c r="B26" s="119"/>
      <c r="C26" s="119"/>
      <c r="D26" s="119"/>
      <c r="E26" s="119"/>
      <c r="F26" s="119"/>
      <c r="G26" s="119"/>
      <c r="H26" s="119"/>
      <c r="I26" s="119"/>
      <c r="J26" s="120"/>
    </row>
    <row r="27" spans="1:10" x14ac:dyDescent="0.25">
      <c r="A27" s="55" t="s">
        <v>1</v>
      </c>
      <c r="B27" s="41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/>
      <c r="J27" s="2" t="s">
        <v>9</v>
      </c>
    </row>
    <row r="28" spans="1:10" x14ac:dyDescent="0.25">
      <c r="A28" s="8">
        <f>ROW()-27</f>
        <v>1</v>
      </c>
      <c r="B28" s="35" t="s">
        <v>215</v>
      </c>
      <c r="C28" s="45" t="s">
        <v>110</v>
      </c>
      <c r="D28" s="21" t="s">
        <v>11</v>
      </c>
      <c r="E28" s="21" t="s">
        <v>12</v>
      </c>
      <c r="F28" s="30" t="s">
        <v>22</v>
      </c>
      <c r="G28" s="7" t="s">
        <v>13</v>
      </c>
      <c r="H28" s="24">
        <v>2</v>
      </c>
      <c r="I28" s="24"/>
      <c r="J28" s="24" t="s">
        <v>57</v>
      </c>
    </row>
    <row r="29" spans="1:10" x14ac:dyDescent="0.25">
      <c r="A29" s="8">
        <f t="shared" ref="A29:A30" si="2">ROW()-27</f>
        <v>2</v>
      </c>
      <c r="B29" s="30" t="s">
        <v>201</v>
      </c>
      <c r="C29" s="45" t="s">
        <v>110</v>
      </c>
      <c r="D29" s="21" t="s">
        <v>11</v>
      </c>
      <c r="E29" s="21" t="s">
        <v>12</v>
      </c>
      <c r="F29" s="30" t="s">
        <v>22</v>
      </c>
      <c r="G29" s="7" t="s">
        <v>16</v>
      </c>
      <c r="H29" s="24">
        <v>2</v>
      </c>
      <c r="I29" s="24"/>
      <c r="J29" s="24" t="s">
        <v>57</v>
      </c>
    </row>
    <row r="30" spans="1:10" s="37" customFormat="1" ht="15.6" customHeight="1" x14ac:dyDescent="0.25">
      <c r="A30" s="8">
        <f t="shared" si="2"/>
        <v>3</v>
      </c>
      <c r="B30" s="7" t="s">
        <v>181</v>
      </c>
      <c r="C30" s="45" t="s">
        <v>110</v>
      </c>
      <c r="D30" s="35" t="s">
        <v>147</v>
      </c>
      <c r="E30" s="24" t="s">
        <v>148</v>
      </c>
      <c r="F30" s="30" t="s">
        <v>22</v>
      </c>
      <c r="G30" s="24" t="s">
        <v>16</v>
      </c>
      <c r="H30" s="24">
        <v>2</v>
      </c>
      <c r="I30" s="24"/>
      <c r="J30" s="24" t="s">
        <v>57</v>
      </c>
    </row>
    <row r="31" spans="1:10" ht="29.45" customHeight="1" x14ac:dyDescent="0.25">
      <c r="A31" s="13"/>
      <c r="B31" s="43"/>
      <c r="C31" s="48"/>
      <c r="D31" s="37"/>
      <c r="E31" s="37"/>
      <c r="F31" s="12"/>
      <c r="G31" s="37"/>
      <c r="H31" s="37"/>
      <c r="I31" s="37"/>
      <c r="J31" s="37"/>
    </row>
    <row r="32" spans="1:10" s="37" customFormat="1" ht="15" customHeight="1" x14ac:dyDescent="0.25">
      <c r="A32" s="13"/>
      <c r="B32" s="43"/>
      <c r="C32" s="48"/>
      <c r="F32" s="12"/>
    </row>
    <row r="33" spans="1:10" s="37" customFormat="1" ht="15" customHeight="1" x14ac:dyDescent="0.25">
      <c r="A33" s="54"/>
      <c r="B33" s="42"/>
      <c r="C33"/>
      <c r="D33"/>
      <c r="E33"/>
      <c r="F33"/>
      <c r="G33"/>
      <c r="H33"/>
      <c r="I33"/>
      <c r="J33"/>
    </row>
    <row r="34" spans="1:10" s="37" customFormat="1" ht="15" customHeight="1" x14ac:dyDescent="0.25">
      <c r="A34" s="118" t="s">
        <v>30</v>
      </c>
      <c r="B34" s="119"/>
      <c r="C34" s="119"/>
      <c r="D34" s="119"/>
      <c r="E34" s="119"/>
      <c r="F34" s="119"/>
      <c r="G34" s="119"/>
      <c r="H34" s="119"/>
      <c r="I34" s="119"/>
      <c r="J34" s="120"/>
    </row>
    <row r="35" spans="1:10" s="37" customFormat="1" ht="15" customHeight="1" x14ac:dyDescent="0.25">
      <c r="A35" s="57" t="s">
        <v>1</v>
      </c>
      <c r="B35" s="44" t="s">
        <v>2</v>
      </c>
      <c r="C35" s="15" t="s">
        <v>40</v>
      </c>
      <c r="D35" s="15" t="s">
        <v>4</v>
      </c>
      <c r="E35" s="15" t="s">
        <v>5</v>
      </c>
      <c r="F35" s="15" t="s">
        <v>6</v>
      </c>
      <c r="G35" s="15" t="s">
        <v>7</v>
      </c>
      <c r="H35" s="15" t="s">
        <v>8</v>
      </c>
      <c r="I35" s="15" t="s">
        <v>31</v>
      </c>
      <c r="J35" s="15" t="s">
        <v>9</v>
      </c>
    </row>
    <row r="36" spans="1:10" s="37" customFormat="1" ht="15" customHeight="1" x14ac:dyDescent="0.25">
      <c r="A36" s="8">
        <f>ROW()-38</f>
        <v>-2</v>
      </c>
      <c r="B36" s="21" t="s">
        <v>186</v>
      </c>
      <c r="C36" s="45" t="s">
        <v>33</v>
      </c>
      <c r="D36" s="21" t="s">
        <v>176</v>
      </c>
      <c r="E36" s="30" t="s">
        <v>177</v>
      </c>
      <c r="F36" s="30" t="s">
        <v>22</v>
      </c>
      <c r="G36" s="30" t="s">
        <v>178</v>
      </c>
      <c r="H36" s="24">
        <v>5</v>
      </c>
      <c r="I36" s="24"/>
      <c r="J36" s="24" t="s">
        <v>57</v>
      </c>
    </row>
    <row r="37" spans="1:10" s="37" customFormat="1" ht="15" customHeight="1" x14ac:dyDescent="0.25">
      <c r="A37" s="8">
        <f t="shared" ref="A37:A47" si="3">ROW()-38</f>
        <v>-1</v>
      </c>
      <c r="B37" s="21" t="s">
        <v>192</v>
      </c>
      <c r="C37" s="45" t="s">
        <v>33</v>
      </c>
      <c r="D37" s="21" t="s">
        <v>11</v>
      </c>
      <c r="E37" s="30" t="s">
        <v>12</v>
      </c>
      <c r="F37" s="30" t="s">
        <v>22</v>
      </c>
      <c r="G37" s="24" t="s">
        <v>53</v>
      </c>
      <c r="H37" s="24">
        <v>5</v>
      </c>
      <c r="I37" s="24"/>
      <c r="J37" s="24" t="s">
        <v>57</v>
      </c>
    </row>
    <row r="38" spans="1:10" x14ac:dyDescent="0.25">
      <c r="A38" s="8">
        <f t="shared" si="3"/>
        <v>0</v>
      </c>
      <c r="B38" s="21" t="s">
        <v>197</v>
      </c>
      <c r="C38" s="45" t="s">
        <v>33</v>
      </c>
      <c r="D38" s="21" t="s">
        <v>11</v>
      </c>
      <c r="E38" s="21" t="s">
        <v>12</v>
      </c>
      <c r="F38" s="30" t="s">
        <v>22</v>
      </c>
      <c r="G38" s="24" t="s">
        <v>53</v>
      </c>
      <c r="H38" s="24">
        <v>5</v>
      </c>
      <c r="I38" s="24"/>
      <c r="J38" s="24" t="s">
        <v>57</v>
      </c>
    </row>
    <row r="39" spans="1:10" x14ac:dyDescent="0.25">
      <c r="A39" s="8">
        <f t="shared" si="3"/>
        <v>1</v>
      </c>
      <c r="B39" s="30" t="s">
        <v>190</v>
      </c>
      <c r="C39" s="45" t="s">
        <v>33</v>
      </c>
      <c r="D39" s="21" t="s">
        <v>176</v>
      </c>
      <c r="E39" s="30" t="s">
        <v>177</v>
      </c>
      <c r="F39" s="30" t="s">
        <v>22</v>
      </c>
      <c r="G39" s="30" t="s">
        <v>178</v>
      </c>
      <c r="H39" s="24">
        <v>4</v>
      </c>
      <c r="I39" s="24"/>
      <c r="J39" s="24" t="s">
        <v>57</v>
      </c>
    </row>
    <row r="40" spans="1:10" ht="15" customHeight="1" x14ac:dyDescent="0.25">
      <c r="A40" s="8">
        <f t="shared" si="3"/>
        <v>2</v>
      </c>
      <c r="B40" s="30" t="s">
        <v>195</v>
      </c>
      <c r="C40" s="45" t="s">
        <v>33</v>
      </c>
      <c r="D40" s="21" t="s">
        <v>11</v>
      </c>
      <c r="E40" s="21" t="s">
        <v>12</v>
      </c>
      <c r="F40" s="30" t="s">
        <v>22</v>
      </c>
      <c r="G40" s="24" t="s">
        <v>16</v>
      </c>
      <c r="H40" s="24">
        <v>4</v>
      </c>
      <c r="I40" s="24"/>
      <c r="J40" s="24" t="s">
        <v>57</v>
      </c>
    </row>
    <row r="41" spans="1:10" x14ac:dyDescent="0.25">
      <c r="A41" s="8">
        <f t="shared" si="3"/>
        <v>3</v>
      </c>
      <c r="B41" s="30" t="s">
        <v>200</v>
      </c>
      <c r="C41" s="45" t="s">
        <v>33</v>
      </c>
      <c r="D41" s="21" t="s">
        <v>11</v>
      </c>
      <c r="E41" s="21" t="s">
        <v>12</v>
      </c>
      <c r="F41" s="30" t="s">
        <v>22</v>
      </c>
      <c r="G41" s="24" t="s">
        <v>16</v>
      </c>
      <c r="H41" s="24">
        <v>4</v>
      </c>
      <c r="I41" s="24"/>
      <c r="J41" s="24" t="s">
        <v>57</v>
      </c>
    </row>
    <row r="42" spans="1:10" x14ac:dyDescent="0.25">
      <c r="A42" s="8">
        <f t="shared" si="3"/>
        <v>4</v>
      </c>
      <c r="B42" s="21" t="s">
        <v>29</v>
      </c>
      <c r="C42" s="45" t="s">
        <v>33</v>
      </c>
      <c r="D42" s="21" t="s">
        <v>11</v>
      </c>
      <c r="E42" s="21" t="s">
        <v>12</v>
      </c>
      <c r="F42" s="30" t="s">
        <v>22</v>
      </c>
      <c r="G42" s="24" t="s">
        <v>16</v>
      </c>
      <c r="H42" s="24">
        <v>4</v>
      </c>
      <c r="I42" s="24"/>
      <c r="J42" s="24" t="s">
        <v>57</v>
      </c>
    </row>
    <row r="43" spans="1:10" x14ac:dyDescent="0.25">
      <c r="A43" s="8">
        <f t="shared" si="3"/>
        <v>5</v>
      </c>
      <c r="B43" s="33" t="s">
        <v>205</v>
      </c>
      <c r="C43" s="45" t="s">
        <v>33</v>
      </c>
      <c r="D43" s="21" t="s">
        <v>11</v>
      </c>
      <c r="E43" s="21" t="s">
        <v>12</v>
      </c>
      <c r="F43" s="30" t="s">
        <v>22</v>
      </c>
      <c r="G43" s="7" t="s">
        <v>53</v>
      </c>
      <c r="H43" s="24">
        <v>4</v>
      </c>
      <c r="I43" s="24"/>
      <c r="J43" s="24" t="s">
        <v>57</v>
      </c>
    </row>
    <row r="44" spans="1:10" x14ac:dyDescent="0.25">
      <c r="A44" s="8">
        <f t="shared" si="3"/>
        <v>6</v>
      </c>
      <c r="B44" s="21" t="s">
        <v>196</v>
      </c>
      <c r="C44" s="45" t="s">
        <v>33</v>
      </c>
      <c r="D44" s="21" t="s">
        <v>11</v>
      </c>
      <c r="E44" s="21" t="s">
        <v>12</v>
      </c>
      <c r="F44" s="30" t="s">
        <v>22</v>
      </c>
      <c r="G44" s="24" t="s">
        <v>53</v>
      </c>
      <c r="H44" s="24">
        <v>4</v>
      </c>
      <c r="I44" s="24"/>
      <c r="J44" s="24" t="s">
        <v>57</v>
      </c>
    </row>
    <row r="45" spans="1:10" x14ac:dyDescent="0.25">
      <c r="A45" s="8">
        <f t="shared" si="3"/>
        <v>7</v>
      </c>
      <c r="B45" s="33" t="s">
        <v>206</v>
      </c>
      <c r="C45" s="45" t="s">
        <v>33</v>
      </c>
      <c r="D45" s="21" t="s">
        <v>11</v>
      </c>
      <c r="E45" s="21" t="s">
        <v>12</v>
      </c>
      <c r="F45" s="30" t="s">
        <v>22</v>
      </c>
      <c r="G45" s="7" t="s">
        <v>16</v>
      </c>
      <c r="H45" s="24">
        <v>3</v>
      </c>
      <c r="I45" s="24"/>
      <c r="J45" s="24" t="s">
        <v>57</v>
      </c>
    </row>
    <row r="46" spans="1:10" x14ac:dyDescent="0.25">
      <c r="A46" s="8">
        <f t="shared" si="3"/>
        <v>8</v>
      </c>
      <c r="B46" s="33" t="s">
        <v>204</v>
      </c>
      <c r="C46" s="45" t="s">
        <v>33</v>
      </c>
      <c r="D46" s="21" t="s">
        <v>11</v>
      </c>
      <c r="E46" s="21" t="s">
        <v>12</v>
      </c>
      <c r="F46" s="30" t="s">
        <v>22</v>
      </c>
      <c r="G46" s="7" t="s">
        <v>16</v>
      </c>
      <c r="H46" s="24">
        <v>3</v>
      </c>
      <c r="I46" s="24"/>
      <c r="J46" s="24" t="s">
        <v>57</v>
      </c>
    </row>
    <row r="47" spans="1:10" x14ac:dyDescent="0.25">
      <c r="A47" s="8">
        <f t="shared" si="3"/>
        <v>9</v>
      </c>
      <c r="B47" s="21" t="s">
        <v>198</v>
      </c>
      <c r="C47" s="45" t="s">
        <v>33</v>
      </c>
      <c r="D47" s="21" t="s">
        <v>11</v>
      </c>
      <c r="E47" s="21" t="s">
        <v>12</v>
      </c>
      <c r="F47" s="30" t="s">
        <v>22</v>
      </c>
      <c r="G47" s="61" t="s">
        <v>53</v>
      </c>
      <c r="H47" s="24">
        <v>3</v>
      </c>
      <c r="I47" s="24"/>
      <c r="J47" s="24" t="s">
        <v>57</v>
      </c>
    </row>
    <row r="48" spans="1:10" x14ac:dyDescent="0.25">
      <c r="A48" s="8">
        <f>ROW()-30</f>
        <v>18</v>
      </c>
      <c r="B48" s="33" t="s">
        <v>32</v>
      </c>
      <c r="C48" s="45" t="s">
        <v>33</v>
      </c>
      <c r="D48" s="21" t="s">
        <v>11</v>
      </c>
      <c r="E48" s="21" t="s">
        <v>12</v>
      </c>
      <c r="F48" s="30" t="s">
        <v>22</v>
      </c>
      <c r="G48" s="7" t="s">
        <v>13</v>
      </c>
      <c r="H48" s="24">
        <v>2</v>
      </c>
      <c r="I48" s="24"/>
      <c r="J48" s="24" t="s">
        <v>57</v>
      </c>
    </row>
    <row r="49" spans="1:10" x14ac:dyDescent="0.25">
      <c r="A49" s="8">
        <f t="shared" ref="A49:A50" si="4">ROW()-30</f>
        <v>19</v>
      </c>
      <c r="B49" s="33" t="s">
        <v>203</v>
      </c>
      <c r="C49" s="45" t="s">
        <v>33</v>
      </c>
      <c r="D49" s="21" t="s">
        <v>11</v>
      </c>
      <c r="E49" s="21" t="s">
        <v>12</v>
      </c>
      <c r="F49" s="30" t="s">
        <v>22</v>
      </c>
      <c r="G49" s="7" t="s">
        <v>13</v>
      </c>
      <c r="H49" s="24">
        <v>2</v>
      </c>
      <c r="I49" s="24"/>
      <c r="J49" s="24" t="s">
        <v>57</v>
      </c>
    </row>
    <row r="50" spans="1:10" x14ac:dyDescent="0.25">
      <c r="A50" s="8">
        <f t="shared" si="4"/>
        <v>20</v>
      </c>
      <c r="B50" s="33" t="s">
        <v>202</v>
      </c>
      <c r="C50" s="45" t="s">
        <v>33</v>
      </c>
      <c r="D50" s="21" t="s">
        <v>11</v>
      </c>
      <c r="E50" s="21" t="s">
        <v>12</v>
      </c>
      <c r="F50" s="30" t="s">
        <v>22</v>
      </c>
      <c r="G50" s="7" t="s">
        <v>169</v>
      </c>
      <c r="H50" s="24">
        <v>2</v>
      </c>
      <c r="I50" s="24"/>
      <c r="J50" s="24" t="s">
        <v>57</v>
      </c>
    </row>
  </sheetData>
  <mergeCells count="5">
    <mergeCell ref="A1:J1"/>
    <mergeCell ref="A5:J5"/>
    <mergeCell ref="A11:J11"/>
    <mergeCell ref="A26:J26"/>
    <mergeCell ref="A34:J34"/>
  </mergeCells>
  <conditionalFormatting sqref="B1:B21 B23:B1048576">
    <cfRule type="duplicateValues" dxfId="1232" priority="17617"/>
    <cfRule type="duplicateValues" dxfId="1231" priority="17618"/>
    <cfRule type="duplicateValues" dxfId="1230" priority="17619"/>
    <cfRule type="duplicateValues" dxfId="1229" priority="17620"/>
    <cfRule type="duplicateValues" dxfId="1228" priority="17621"/>
    <cfRule type="duplicateValues" dxfId="1227" priority="17622"/>
    <cfRule type="duplicateValues" dxfId="1226" priority="17721"/>
  </conditionalFormatting>
  <conditionalFormatting sqref="B1:B1048576">
    <cfRule type="duplicateValues" dxfId="1225" priority="1"/>
  </conditionalFormatting>
  <conditionalFormatting sqref="B8:B10">
    <cfRule type="duplicateValues" dxfId="1224" priority="15613"/>
    <cfRule type="duplicateValues" dxfId="1223" priority="15614" stopIfTrue="1"/>
    <cfRule type="duplicateValues" dxfId="1222" priority="15615"/>
  </conditionalFormatting>
  <conditionalFormatting sqref="B22">
    <cfRule type="duplicateValues" dxfId="1221" priority="2"/>
    <cfRule type="duplicateValues" dxfId="1220" priority="3"/>
  </conditionalFormatting>
  <conditionalFormatting sqref="B23">
    <cfRule type="duplicateValues" dxfId="1219" priority="38"/>
    <cfRule type="duplicateValues" dxfId="1218" priority="39"/>
    <cfRule type="duplicateValues" dxfId="1217" priority="40"/>
    <cfRule type="duplicateValues" dxfId="1216" priority="41"/>
    <cfRule type="duplicateValues" dxfId="1215" priority="42"/>
  </conditionalFormatting>
  <conditionalFormatting sqref="B24:B25 B3">
    <cfRule type="duplicateValues" dxfId="1214" priority="36"/>
    <cfRule type="duplicateValues" dxfId="1213" priority="37" stopIfTrue="1"/>
  </conditionalFormatting>
  <conditionalFormatting sqref="B28 B7 B13:B19">
    <cfRule type="duplicateValues" dxfId="1212" priority="15"/>
  </conditionalFormatting>
  <conditionalFormatting sqref="B28 B15">
    <cfRule type="duplicateValues" dxfId="1211" priority="17245"/>
  </conditionalFormatting>
  <conditionalFormatting sqref="B29:B42 B1:B6 B8:B12 B20:B21 B23:B27 B44 B47 B51:B1048576">
    <cfRule type="duplicateValues" dxfId="1210" priority="17823"/>
  </conditionalFormatting>
  <conditionalFormatting sqref="B30">
    <cfRule type="duplicateValues" dxfId="1209" priority="51"/>
    <cfRule type="duplicateValues" dxfId="1208" priority="52"/>
    <cfRule type="duplicateValues" dxfId="1207" priority="53"/>
    <cfRule type="duplicateValues" dxfId="1206" priority="54"/>
    <cfRule type="duplicateValues" dxfId="1205" priority="55"/>
    <cfRule type="duplicateValues" dxfId="1204" priority="56"/>
    <cfRule type="duplicateValues" dxfId="1203" priority="57"/>
    <cfRule type="duplicateValues" dxfId="1202" priority="58"/>
    <cfRule type="duplicateValues" dxfId="1201" priority="59"/>
    <cfRule type="duplicateValues" dxfId="1200" priority="60"/>
    <cfRule type="duplicateValues" dxfId="1199" priority="61"/>
    <cfRule type="duplicateValues" dxfId="1198" priority="62"/>
    <cfRule type="duplicateValues" dxfId="1197" priority="63"/>
    <cfRule type="duplicateValues" dxfId="1196" priority="64"/>
    <cfRule type="duplicateValues" dxfId="1195" priority="65"/>
    <cfRule type="duplicateValues" dxfId="1194" priority="66"/>
    <cfRule type="duplicateValues" dxfId="1193" priority="67"/>
    <cfRule type="duplicateValues" dxfId="1192" priority="68"/>
    <cfRule type="duplicateValues" dxfId="1191" priority="69"/>
    <cfRule type="duplicateValues" dxfId="1190" priority="70"/>
    <cfRule type="duplicateValues" dxfId="1189" priority="71"/>
    <cfRule type="duplicateValues" dxfId="1188" priority="72"/>
    <cfRule type="duplicateValues" dxfId="1187" priority="73"/>
    <cfRule type="duplicateValues" dxfId="1186" priority="74"/>
    <cfRule type="duplicateValues" dxfId="1185" priority="75"/>
    <cfRule type="duplicateValues" dxfId="1184" priority="76"/>
    <cfRule type="duplicateValues" dxfId="1183" priority="77"/>
    <cfRule type="duplicateValues" dxfId="1182" priority="78"/>
  </conditionalFormatting>
  <conditionalFormatting sqref="B31:B32">
    <cfRule type="duplicateValues" dxfId="1181" priority="26"/>
    <cfRule type="duplicateValues" dxfId="1180" priority="27"/>
    <cfRule type="duplicateValues" dxfId="1179" priority="28"/>
    <cfRule type="duplicateValues" dxfId="1178" priority="29"/>
    <cfRule type="duplicateValues" dxfId="1177" priority="30"/>
    <cfRule type="duplicateValues" dxfId="1176" priority="31"/>
    <cfRule type="duplicateValues" dxfId="1175" priority="32"/>
    <cfRule type="duplicateValues" dxfId="1174" priority="33"/>
    <cfRule type="duplicateValues" dxfId="1173" priority="34"/>
  </conditionalFormatting>
  <conditionalFormatting sqref="B31:B33 B23:B25 B1:B6 B8:B10 B12 B27 B35 B51:B1048576">
    <cfRule type="duplicateValues" dxfId="1172" priority="17641"/>
    <cfRule type="duplicateValues" dxfId="1171" priority="17642"/>
    <cfRule type="duplicateValues" dxfId="1170" priority="17643"/>
    <cfRule type="duplicateValues" dxfId="1169" priority="17644"/>
    <cfRule type="duplicateValues" dxfId="1168" priority="17645"/>
  </conditionalFormatting>
  <conditionalFormatting sqref="B31:B33 B23:B25 B1:B6 B8:B10 B27 B12 B35 B51:B1048576">
    <cfRule type="duplicateValues" dxfId="1167" priority="17691"/>
    <cfRule type="duplicateValues" dxfId="1166" priority="17692"/>
  </conditionalFormatting>
  <conditionalFormatting sqref="B33 B1:B6 B23:B25 B8:B10 B27 B12 B35 B51:B1048576">
    <cfRule type="duplicateValues" dxfId="1165" priority="17833"/>
  </conditionalFormatting>
  <conditionalFormatting sqref="B33 B24:B25 B1:B6 B8:B10 B27 B12 B35 B51:B1048576">
    <cfRule type="duplicateValues" dxfId="1164" priority="17725"/>
    <cfRule type="duplicateValues" dxfId="1163" priority="17726"/>
    <cfRule type="duplicateValues" dxfId="1162" priority="17727"/>
    <cfRule type="duplicateValues" dxfId="1161" priority="17728"/>
    <cfRule type="duplicateValues" dxfId="1160" priority="17729"/>
    <cfRule type="duplicateValues" dxfId="1159" priority="17730"/>
    <cfRule type="duplicateValues" dxfId="1158" priority="17731"/>
    <cfRule type="duplicateValues" dxfId="1157" priority="17795"/>
    <cfRule type="duplicateValues" dxfId="1156" priority="17843"/>
    <cfRule type="duplicateValues" dxfId="1155" priority="17844"/>
    <cfRule type="duplicateValues" dxfId="1154" priority="17845"/>
    <cfRule type="duplicateValues" dxfId="1153" priority="17846"/>
    <cfRule type="duplicateValues" dxfId="1152" priority="17847"/>
    <cfRule type="duplicateValues" dxfId="1151" priority="17848"/>
    <cfRule type="duplicateValues" dxfId="1150" priority="17849"/>
    <cfRule type="duplicateValues" dxfId="1149" priority="17850"/>
    <cfRule type="duplicateValues" dxfId="1148" priority="17851"/>
    <cfRule type="duplicateValues" dxfId="1147" priority="17852"/>
    <cfRule type="duplicateValues" dxfId="1146" priority="17853"/>
    <cfRule type="duplicateValues" dxfId="1145" priority="17854"/>
    <cfRule type="duplicateValues" dxfId="1144" priority="17855"/>
    <cfRule type="duplicateValues" dxfId="1143" priority="17856"/>
    <cfRule type="duplicateValues" dxfId="1142" priority="17857"/>
    <cfRule type="duplicateValues" dxfId="1141" priority="17858"/>
    <cfRule type="duplicateValues" dxfId="1140" priority="17859"/>
    <cfRule type="duplicateValues" dxfId="1139" priority="17860"/>
    <cfRule type="duplicateValues" dxfId="1138" priority="17861"/>
  </conditionalFormatting>
  <conditionalFormatting sqref="B33 B24:B25 B35 B51:B1048576">
    <cfRule type="duplicateValues" dxfId="1137" priority="18033"/>
  </conditionalFormatting>
  <conditionalFormatting sqref="B33 B35 B51:B1048576">
    <cfRule type="duplicateValues" dxfId="1136" priority="18039"/>
  </conditionalFormatting>
  <conditionalFormatting sqref="B35 B4 B2 B12 B33 B27 B6">
    <cfRule type="duplicateValues" dxfId="1135" priority="35" stopIfTrue="1"/>
  </conditionalFormatting>
  <conditionalFormatting sqref="B35:B37 B23:B25 B1:B6 B12 B30:B33 B27 B8:B10 B51:B1048576">
    <cfRule type="duplicateValues" dxfId="1134" priority="17711"/>
  </conditionalFormatting>
  <conditionalFormatting sqref="B36:B37">
    <cfRule type="duplicateValues" dxfId="1133" priority="49"/>
  </conditionalFormatting>
  <conditionalFormatting sqref="B39 B1:B6 B8:B12 B21 B30:B37 B23:B27 B51:B1048576">
    <cfRule type="duplicateValues" dxfId="1132" priority="17805"/>
    <cfRule type="duplicateValues" dxfId="1131" priority="17806"/>
  </conditionalFormatting>
  <conditionalFormatting sqref="B39 B21">
    <cfRule type="duplicateValues" dxfId="1130" priority="16782"/>
  </conditionalFormatting>
  <conditionalFormatting sqref="B44 B40 B38">
    <cfRule type="duplicateValues" dxfId="1129" priority="14742"/>
  </conditionalFormatting>
  <conditionalFormatting sqref="B47 B20 B38 B44 B40:B42">
    <cfRule type="duplicateValues" dxfId="1128" priority="15221"/>
  </conditionalFormatting>
  <conditionalFormatting sqref="B47 B38 B20 B29 B44 B40:B42">
    <cfRule type="duplicateValues" dxfId="1127" priority="17616"/>
  </conditionalFormatting>
  <conditionalFormatting sqref="B48 B45 B43">
    <cfRule type="duplicateValues" dxfId="1126" priority="12"/>
    <cfRule type="duplicateValues" dxfId="1125" priority="14"/>
  </conditionalFormatting>
  <conditionalFormatting sqref="B48:B50 B45:B46 B43">
    <cfRule type="duplicateValues" dxfId="1124" priority="13"/>
  </conditionalFormatting>
  <conditionalFormatting sqref="B51:B1048576">
    <cfRule type="duplicateValues" dxfId="1123" priority="18044"/>
    <cfRule type="duplicateValues" dxfId="1122" priority="18045"/>
    <cfRule type="duplicateValues" dxfId="1121" priority="18046"/>
  </conditionalFormatting>
  <conditionalFormatting sqref="B52:B1048576">
    <cfRule type="duplicateValues" dxfId="1120" priority="18053"/>
    <cfRule type="duplicateValues" dxfId="1119" priority="18054"/>
    <cfRule type="duplicateValues" dxfId="1118" priority="18055"/>
    <cfRule type="duplicateValues" dxfId="1117" priority="18056"/>
  </conditionalFormatting>
  <conditionalFormatting sqref="K10">
    <cfRule type="duplicateValues" dxfId="1116" priority="25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747F-B3B6-4A34-988D-6A02C0022CF1}">
  <dimension ref="A1:K47"/>
  <sheetViews>
    <sheetView topLeftCell="A5" workbookViewId="0">
      <selection activeCell="D42" sqref="D42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22.42578125" bestFit="1" customWidth="1"/>
    <col min="9" max="9" width="17.5703125" customWidth="1"/>
  </cols>
  <sheetData>
    <row r="1" spans="1:11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</row>
    <row r="3" spans="1:11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1" hidden="1" x14ac:dyDescent="0.25"/>
    <row r="5" spans="1:11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1" x14ac:dyDescent="0.25">
      <c r="A6" s="55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/>
      <c r="J6" s="2" t="s">
        <v>9</v>
      </c>
    </row>
    <row r="7" spans="1:11" x14ac:dyDescent="0.25">
      <c r="A7" s="8">
        <f t="shared" ref="A7" si="0">ROW()-6</f>
        <v>1</v>
      </c>
      <c r="B7" s="35" t="s">
        <v>207</v>
      </c>
      <c r="C7" s="36" t="s">
        <v>0</v>
      </c>
      <c r="D7" s="21" t="s">
        <v>11</v>
      </c>
      <c r="E7" s="21" t="s">
        <v>12</v>
      </c>
      <c r="F7" s="30" t="s">
        <v>22</v>
      </c>
      <c r="G7" s="24" t="s">
        <v>16</v>
      </c>
      <c r="H7" s="24">
        <v>5</v>
      </c>
      <c r="I7" s="24"/>
      <c r="J7" s="24" t="s">
        <v>57</v>
      </c>
    </row>
    <row r="8" spans="1:11" s="37" customFormat="1" x14ac:dyDescent="0.25">
      <c r="A8" s="13"/>
      <c r="B8" s="58"/>
      <c r="C8" s="39"/>
      <c r="D8" s="38"/>
      <c r="E8" s="43"/>
      <c r="H8" s="59"/>
      <c r="I8" s="60"/>
      <c r="J8" s="13"/>
    </row>
    <row r="9" spans="1:11" s="37" customFormat="1" x14ac:dyDescent="0.25">
      <c r="A9" s="13"/>
      <c r="B9" s="58"/>
      <c r="C9" s="39"/>
      <c r="D9" s="38"/>
      <c r="E9" s="43"/>
      <c r="H9" s="59"/>
      <c r="I9" s="60"/>
      <c r="J9" s="13"/>
    </row>
    <row r="10" spans="1:11" s="37" customFormat="1" ht="15" customHeight="1" thickBot="1" x14ac:dyDescent="0.3">
      <c r="A10" s="47"/>
      <c r="B10" s="56"/>
      <c r="C10" s="39"/>
      <c r="D10" s="56"/>
      <c r="E10" s="12"/>
      <c r="F10" s="12"/>
      <c r="G10" s="12"/>
      <c r="H10" s="12"/>
      <c r="I10" s="12"/>
      <c r="J10" s="13"/>
      <c r="K10" s="51"/>
    </row>
    <row r="11" spans="1:11" s="37" customFormat="1" ht="15" customHeight="1" x14ac:dyDescent="0.25">
      <c r="A11" s="115" t="s">
        <v>21</v>
      </c>
      <c r="B11" s="116"/>
      <c r="C11" s="116"/>
      <c r="D11" s="116"/>
      <c r="E11" s="116"/>
      <c r="F11" s="116"/>
      <c r="G11" s="116"/>
      <c r="H11" s="116"/>
      <c r="I11" s="116"/>
      <c r="J11" s="117"/>
    </row>
    <row r="12" spans="1:11" s="37" customFormat="1" ht="15" customHeight="1" x14ac:dyDescent="0.25">
      <c r="A12" s="55" t="s">
        <v>1</v>
      </c>
      <c r="B12" s="41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/>
      <c r="J12" s="2" t="s">
        <v>9</v>
      </c>
    </row>
    <row r="13" spans="1:11" x14ac:dyDescent="0.25">
      <c r="A13" s="8">
        <f>ROW()-12</f>
        <v>1</v>
      </c>
      <c r="B13" s="64" t="s">
        <v>209</v>
      </c>
      <c r="C13" s="36" t="s">
        <v>66</v>
      </c>
      <c r="D13" s="21" t="s">
        <v>11</v>
      </c>
      <c r="E13" s="21" t="s">
        <v>12</v>
      </c>
      <c r="F13" s="30" t="s">
        <v>22</v>
      </c>
      <c r="G13" s="24" t="s">
        <v>53</v>
      </c>
      <c r="H13" s="24">
        <v>2</v>
      </c>
      <c r="I13" s="24"/>
      <c r="J13" s="24" t="s">
        <v>57</v>
      </c>
    </row>
    <row r="14" spans="1:11" x14ac:dyDescent="0.25">
      <c r="A14" s="8">
        <f t="shared" ref="A14:A22" si="1">ROW()-12</f>
        <v>2</v>
      </c>
      <c r="B14" s="35" t="s">
        <v>213</v>
      </c>
      <c r="C14" s="36" t="s">
        <v>64</v>
      </c>
      <c r="D14" s="21" t="s">
        <v>11</v>
      </c>
      <c r="E14" s="21" t="s">
        <v>12</v>
      </c>
      <c r="F14" s="30" t="s">
        <v>22</v>
      </c>
      <c r="G14" s="30" t="s">
        <v>53</v>
      </c>
      <c r="H14" s="24"/>
      <c r="I14" s="24"/>
      <c r="J14" s="24" t="s">
        <v>57</v>
      </c>
    </row>
    <row r="15" spans="1:11" x14ac:dyDescent="0.25">
      <c r="A15" s="8">
        <f t="shared" si="1"/>
        <v>3</v>
      </c>
      <c r="B15" s="35" t="s">
        <v>214</v>
      </c>
      <c r="C15" s="36" t="s">
        <v>118</v>
      </c>
      <c r="D15" s="21" t="s">
        <v>11</v>
      </c>
      <c r="E15" s="21" t="s">
        <v>12</v>
      </c>
      <c r="F15" s="30" t="s">
        <v>22</v>
      </c>
      <c r="G15" s="7" t="s">
        <v>16</v>
      </c>
      <c r="H15" s="24"/>
      <c r="I15" s="24"/>
      <c r="J15" s="24" t="s">
        <v>57</v>
      </c>
    </row>
    <row r="16" spans="1:11" x14ac:dyDescent="0.25">
      <c r="A16" s="8">
        <f t="shared" si="1"/>
        <v>4</v>
      </c>
      <c r="B16" s="35" t="s">
        <v>212</v>
      </c>
      <c r="C16" s="36" t="s">
        <v>44</v>
      </c>
      <c r="D16" s="21" t="s">
        <v>11</v>
      </c>
      <c r="E16" s="21" t="s">
        <v>12</v>
      </c>
      <c r="F16" s="30" t="s">
        <v>22</v>
      </c>
      <c r="G16" s="7" t="s">
        <v>169</v>
      </c>
      <c r="H16" s="24"/>
      <c r="I16" s="24"/>
      <c r="J16" s="24" t="s">
        <v>57</v>
      </c>
    </row>
    <row r="17" spans="1:10" x14ac:dyDescent="0.25">
      <c r="A17" s="8">
        <f t="shared" si="1"/>
        <v>5</v>
      </c>
      <c r="B17" s="35" t="s">
        <v>211</v>
      </c>
      <c r="C17" s="36" t="s">
        <v>64</v>
      </c>
      <c r="D17" s="21" t="s">
        <v>11</v>
      </c>
      <c r="E17" s="21" t="s">
        <v>12</v>
      </c>
      <c r="F17" s="30" t="s">
        <v>22</v>
      </c>
      <c r="G17" s="24" t="s">
        <v>53</v>
      </c>
      <c r="H17" s="24"/>
      <c r="I17" s="24"/>
      <c r="J17" s="24" t="s">
        <v>57</v>
      </c>
    </row>
    <row r="18" spans="1:10" x14ac:dyDescent="0.25">
      <c r="A18" s="8">
        <f t="shared" si="1"/>
        <v>6</v>
      </c>
      <c r="B18" s="35" t="s">
        <v>210</v>
      </c>
      <c r="C18" s="36" t="s">
        <v>44</v>
      </c>
      <c r="D18" s="21" t="s">
        <v>11</v>
      </c>
      <c r="E18" s="21" t="s">
        <v>12</v>
      </c>
      <c r="F18" s="30" t="s">
        <v>22</v>
      </c>
      <c r="G18" s="7" t="s">
        <v>16</v>
      </c>
      <c r="H18" s="24"/>
      <c r="I18" s="24"/>
      <c r="J18" s="24" t="s">
        <v>57</v>
      </c>
    </row>
    <row r="19" spans="1:10" x14ac:dyDescent="0.25">
      <c r="A19" s="8">
        <f t="shared" si="1"/>
        <v>7</v>
      </c>
      <c r="B19" s="63" t="s">
        <v>208</v>
      </c>
      <c r="C19" s="36" t="s">
        <v>44</v>
      </c>
      <c r="D19" s="21" t="s">
        <v>11</v>
      </c>
      <c r="E19" s="21" t="s">
        <v>12</v>
      </c>
      <c r="F19" s="30" t="s">
        <v>22</v>
      </c>
      <c r="G19" s="50" t="s">
        <v>16</v>
      </c>
      <c r="H19" s="24"/>
      <c r="I19" s="24"/>
      <c r="J19" s="24" t="s">
        <v>57</v>
      </c>
    </row>
    <row r="20" spans="1:10" x14ac:dyDescent="0.25">
      <c r="A20" s="8">
        <f t="shared" si="1"/>
        <v>8</v>
      </c>
      <c r="B20" s="40" t="s">
        <v>199</v>
      </c>
      <c r="C20" s="36" t="s">
        <v>118</v>
      </c>
      <c r="D20" s="21" t="s">
        <v>11</v>
      </c>
      <c r="E20" s="21" t="s">
        <v>12</v>
      </c>
      <c r="F20" s="30" t="s">
        <v>22</v>
      </c>
      <c r="G20" s="61" t="s">
        <v>169</v>
      </c>
      <c r="H20" s="24"/>
      <c r="I20" s="24"/>
      <c r="J20" s="24" t="s">
        <v>57</v>
      </c>
    </row>
    <row r="21" spans="1:10" x14ac:dyDescent="0.25">
      <c r="A21" s="8">
        <f t="shared" si="1"/>
        <v>9</v>
      </c>
      <c r="B21" s="21" t="s">
        <v>188</v>
      </c>
      <c r="C21" s="36" t="s">
        <v>144</v>
      </c>
      <c r="D21" s="21" t="s">
        <v>176</v>
      </c>
      <c r="E21" s="30" t="s">
        <v>177</v>
      </c>
      <c r="F21" s="30" t="s">
        <v>22</v>
      </c>
      <c r="G21" s="30" t="s">
        <v>178</v>
      </c>
      <c r="H21" s="24"/>
      <c r="I21" s="24"/>
      <c r="J21" s="24" t="s">
        <v>57</v>
      </c>
    </row>
    <row r="22" spans="1:10" s="37" customFormat="1" ht="15.6" customHeight="1" x14ac:dyDescent="0.25">
      <c r="A22" s="8">
        <f t="shared" si="1"/>
        <v>10</v>
      </c>
      <c r="B22" s="33" t="s">
        <v>218</v>
      </c>
      <c r="C22" s="36" t="s">
        <v>44</v>
      </c>
      <c r="D22" s="21" t="s">
        <v>11</v>
      </c>
      <c r="E22" s="21" t="s">
        <v>12</v>
      </c>
      <c r="F22" s="30" t="s">
        <v>22</v>
      </c>
      <c r="G22" s="24" t="s">
        <v>13</v>
      </c>
      <c r="H22" s="65"/>
      <c r="I22" s="53"/>
      <c r="J22" s="24"/>
    </row>
    <row r="23" spans="1:10" x14ac:dyDescent="0.25">
      <c r="A23" s="47"/>
      <c r="B23" s="43"/>
      <c r="C23" s="39"/>
      <c r="D23" s="37"/>
      <c r="E23" s="37"/>
      <c r="F23" s="43"/>
      <c r="G23" s="37"/>
      <c r="H23" s="37"/>
      <c r="I23" s="37"/>
      <c r="J23" s="37"/>
    </row>
    <row r="24" spans="1:10" s="37" customFormat="1" ht="15" customHeight="1" x14ac:dyDescent="0.25">
      <c r="A24" s="47"/>
      <c r="B24" s="56"/>
      <c r="C24" s="39"/>
      <c r="D24" s="56"/>
      <c r="E24" s="12"/>
      <c r="F24" s="12"/>
      <c r="G24" s="12"/>
      <c r="H24" s="12"/>
      <c r="I24" s="12"/>
      <c r="J24" s="13"/>
    </row>
    <row r="25" spans="1:10" s="37" customFormat="1" x14ac:dyDescent="0.25">
      <c r="A25" s="47"/>
      <c r="B25" s="56"/>
      <c r="C25" s="39"/>
      <c r="D25" s="56"/>
      <c r="E25" s="12"/>
      <c r="F25" s="12"/>
      <c r="G25" s="12"/>
      <c r="H25" s="12"/>
      <c r="I25" s="12"/>
      <c r="J25" s="13"/>
    </row>
    <row r="26" spans="1:10" ht="28.9" customHeight="1" x14ac:dyDescent="0.25">
      <c r="A26" s="118" t="s">
        <v>68</v>
      </c>
      <c r="B26" s="119"/>
      <c r="C26" s="119"/>
      <c r="D26" s="119"/>
      <c r="E26" s="119"/>
      <c r="F26" s="119"/>
      <c r="G26" s="119"/>
      <c r="H26" s="119"/>
      <c r="I26" s="119"/>
      <c r="J26" s="120"/>
    </row>
    <row r="27" spans="1:10" x14ac:dyDescent="0.25">
      <c r="A27" s="55" t="s">
        <v>1</v>
      </c>
      <c r="B27" s="41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/>
      <c r="J27" s="2" t="s">
        <v>9</v>
      </c>
    </row>
    <row r="28" spans="1:10" x14ac:dyDescent="0.25">
      <c r="A28" s="8">
        <f>ROW()-27</f>
        <v>1</v>
      </c>
      <c r="B28" s="35" t="s">
        <v>215</v>
      </c>
      <c r="C28" s="45" t="s">
        <v>110</v>
      </c>
      <c r="D28" s="21" t="s">
        <v>11</v>
      </c>
      <c r="E28" s="21" t="s">
        <v>12</v>
      </c>
      <c r="F28" s="30" t="s">
        <v>22</v>
      </c>
      <c r="G28" s="7" t="s">
        <v>13</v>
      </c>
      <c r="H28" s="24">
        <v>2</v>
      </c>
      <c r="I28" s="24"/>
      <c r="J28" s="24" t="s">
        <v>57</v>
      </c>
    </row>
    <row r="29" spans="1:10" x14ac:dyDescent="0.25">
      <c r="A29" s="8">
        <f t="shared" ref="A29:A30" si="2">ROW()-27</f>
        <v>2</v>
      </c>
      <c r="B29" s="30" t="s">
        <v>201</v>
      </c>
      <c r="C29" s="45" t="s">
        <v>110</v>
      </c>
      <c r="D29" s="21" t="s">
        <v>11</v>
      </c>
      <c r="E29" s="21" t="s">
        <v>12</v>
      </c>
      <c r="F29" s="30" t="s">
        <v>22</v>
      </c>
      <c r="G29" s="7" t="s">
        <v>16</v>
      </c>
      <c r="H29" s="24">
        <v>2</v>
      </c>
      <c r="I29" s="24"/>
      <c r="J29" s="24" t="s">
        <v>57</v>
      </c>
    </row>
    <row r="30" spans="1:10" s="37" customFormat="1" ht="15.6" customHeight="1" x14ac:dyDescent="0.25">
      <c r="A30" s="8">
        <f t="shared" si="2"/>
        <v>3</v>
      </c>
      <c r="B30" s="7" t="s">
        <v>181</v>
      </c>
      <c r="C30" s="45" t="s">
        <v>110</v>
      </c>
      <c r="D30" s="35" t="s">
        <v>147</v>
      </c>
      <c r="E30" s="24" t="s">
        <v>148</v>
      </c>
      <c r="F30" s="30" t="s">
        <v>22</v>
      </c>
      <c r="G30" s="24" t="s">
        <v>16</v>
      </c>
      <c r="H30" s="24">
        <v>2</v>
      </c>
      <c r="I30" s="24"/>
      <c r="J30" s="24" t="s">
        <v>57</v>
      </c>
    </row>
    <row r="31" spans="1:10" ht="29.45" customHeight="1" x14ac:dyDescent="0.25">
      <c r="A31" s="13"/>
      <c r="B31" s="43"/>
      <c r="C31" s="48"/>
      <c r="D31" s="37"/>
      <c r="E31" s="37"/>
      <c r="F31" s="12"/>
      <c r="G31" s="37"/>
      <c r="H31" s="37"/>
      <c r="I31" s="37"/>
      <c r="J31" s="37"/>
    </row>
    <row r="32" spans="1:10" s="37" customFormat="1" ht="15" customHeight="1" x14ac:dyDescent="0.25">
      <c r="A32" s="13"/>
      <c r="B32" s="43"/>
      <c r="C32" s="48"/>
      <c r="F32" s="12"/>
    </row>
    <row r="33" spans="1:10" s="37" customFormat="1" ht="15" customHeight="1" x14ac:dyDescent="0.25">
      <c r="A33" s="54"/>
      <c r="B33" s="42"/>
      <c r="C33"/>
      <c r="D33"/>
      <c r="E33"/>
      <c r="F33"/>
      <c r="G33"/>
      <c r="H33"/>
      <c r="I33"/>
      <c r="J33"/>
    </row>
    <row r="34" spans="1:10" s="37" customFormat="1" ht="15" customHeight="1" x14ac:dyDescent="0.25">
      <c r="A34" s="118" t="s">
        <v>30</v>
      </c>
      <c r="B34" s="119"/>
      <c r="C34" s="119"/>
      <c r="D34" s="119"/>
      <c r="E34" s="119"/>
      <c r="F34" s="119"/>
      <c r="G34" s="119"/>
      <c r="H34" s="119"/>
      <c r="I34" s="119"/>
      <c r="J34" s="120"/>
    </row>
    <row r="35" spans="1:10" s="37" customFormat="1" ht="15" customHeight="1" x14ac:dyDescent="0.25">
      <c r="A35" s="57" t="s">
        <v>1</v>
      </c>
      <c r="B35" s="44" t="s">
        <v>2</v>
      </c>
      <c r="C35" s="15" t="s">
        <v>40</v>
      </c>
      <c r="D35" s="15" t="s">
        <v>4</v>
      </c>
      <c r="E35" s="15" t="s">
        <v>5</v>
      </c>
      <c r="F35" s="15" t="s">
        <v>6</v>
      </c>
      <c r="G35" s="15" t="s">
        <v>7</v>
      </c>
      <c r="H35" s="15" t="s">
        <v>8</v>
      </c>
      <c r="I35" s="15" t="s">
        <v>31</v>
      </c>
      <c r="J35" s="15" t="s">
        <v>9</v>
      </c>
    </row>
    <row r="36" spans="1:10" x14ac:dyDescent="0.25">
      <c r="A36" s="8">
        <f>ROW()-35</f>
        <v>1</v>
      </c>
      <c r="B36" s="21" t="s">
        <v>197</v>
      </c>
      <c r="C36" s="45" t="s">
        <v>33</v>
      </c>
      <c r="D36" s="21" t="s">
        <v>11</v>
      </c>
      <c r="E36" s="21" t="s">
        <v>12</v>
      </c>
      <c r="F36" s="30" t="s">
        <v>22</v>
      </c>
      <c r="G36" s="24" t="s">
        <v>53</v>
      </c>
      <c r="H36" s="24">
        <v>5</v>
      </c>
      <c r="I36" s="24"/>
      <c r="J36" s="24" t="s">
        <v>57</v>
      </c>
    </row>
    <row r="37" spans="1:10" ht="15" customHeight="1" x14ac:dyDescent="0.25">
      <c r="A37" s="8">
        <f t="shared" ref="A37:A47" si="3">ROW()-35</f>
        <v>2</v>
      </c>
      <c r="B37" s="30" t="s">
        <v>195</v>
      </c>
      <c r="C37" s="45" t="s">
        <v>33</v>
      </c>
      <c r="D37" s="21" t="s">
        <v>11</v>
      </c>
      <c r="E37" s="21" t="s">
        <v>12</v>
      </c>
      <c r="F37" s="30" t="s">
        <v>22</v>
      </c>
      <c r="G37" s="24" t="s">
        <v>16</v>
      </c>
      <c r="H37" s="24">
        <v>4</v>
      </c>
      <c r="I37" s="24"/>
      <c r="J37" s="24" t="s">
        <v>57</v>
      </c>
    </row>
    <row r="38" spans="1:10" x14ac:dyDescent="0.25">
      <c r="A38" s="8">
        <f t="shared" si="3"/>
        <v>3</v>
      </c>
      <c r="B38" s="30" t="s">
        <v>200</v>
      </c>
      <c r="C38" s="45" t="s">
        <v>33</v>
      </c>
      <c r="D38" s="21" t="s">
        <v>11</v>
      </c>
      <c r="E38" s="21" t="s">
        <v>12</v>
      </c>
      <c r="F38" s="30" t="s">
        <v>22</v>
      </c>
      <c r="G38" s="24" t="s">
        <v>16</v>
      </c>
      <c r="H38" s="24">
        <v>4</v>
      </c>
      <c r="I38" s="24"/>
      <c r="J38" s="24" t="s">
        <v>57</v>
      </c>
    </row>
    <row r="39" spans="1:10" x14ac:dyDescent="0.25">
      <c r="A39" s="8">
        <f t="shared" si="3"/>
        <v>4</v>
      </c>
      <c r="B39" s="21" t="s">
        <v>29</v>
      </c>
      <c r="C39" s="45" t="s">
        <v>33</v>
      </c>
      <c r="D39" s="21" t="s">
        <v>11</v>
      </c>
      <c r="E39" s="21" t="s">
        <v>12</v>
      </c>
      <c r="F39" s="30" t="s">
        <v>22</v>
      </c>
      <c r="G39" s="24" t="s">
        <v>16</v>
      </c>
      <c r="H39" s="24">
        <v>4</v>
      </c>
      <c r="I39" s="24"/>
      <c r="J39" s="24" t="s">
        <v>57</v>
      </c>
    </row>
    <row r="40" spans="1:10" x14ac:dyDescent="0.25">
      <c r="A40" s="8">
        <f t="shared" si="3"/>
        <v>5</v>
      </c>
      <c r="B40" s="33" t="s">
        <v>205</v>
      </c>
      <c r="C40" s="45" t="s">
        <v>33</v>
      </c>
      <c r="D40" s="21" t="s">
        <v>11</v>
      </c>
      <c r="E40" s="21" t="s">
        <v>12</v>
      </c>
      <c r="F40" s="30" t="s">
        <v>22</v>
      </c>
      <c r="G40" s="7" t="s">
        <v>53</v>
      </c>
      <c r="H40" s="24">
        <v>4</v>
      </c>
      <c r="I40" s="24"/>
      <c r="J40" s="24" t="s">
        <v>57</v>
      </c>
    </row>
    <row r="41" spans="1:10" x14ac:dyDescent="0.25">
      <c r="A41" s="8">
        <f t="shared" si="3"/>
        <v>6</v>
      </c>
      <c r="B41" s="21" t="s">
        <v>196</v>
      </c>
      <c r="C41" s="45" t="s">
        <v>33</v>
      </c>
      <c r="D41" s="21" t="s">
        <v>11</v>
      </c>
      <c r="E41" s="21" t="s">
        <v>12</v>
      </c>
      <c r="F41" s="30" t="s">
        <v>22</v>
      </c>
      <c r="G41" s="24" t="s">
        <v>53</v>
      </c>
      <c r="H41" s="24">
        <v>4</v>
      </c>
      <c r="I41" s="24"/>
      <c r="J41" s="24" t="s">
        <v>57</v>
      </c>
    </row>
    <row r="42" spans="1:10" x14ac:dyDescent="0.25">
      <c r="A42" s="8">
        <f t="shared" si="3"/>
        <v>7</v>
      </c>
      <c r="B42" s="33" t="s">
        <v>206</v>
      </c>
      <c r="C42" s="45" t="s">
        <v>33</v>
      </c>
      <c r="D42" s="21" t="s">
        <v>11</v>
      </c>
      <c r="E42" s="21" t="s">
        <v>12</v>
      </c>
      <c r="F42" s="30" t="s">
        <v>22</v>
      </c>
      <c r="G42" s="7" t="s">
        <v>16</v>
      </c>
      <c r="H42" s="24">
        <v>3</v>
      </c>
      <c r="I42" s="24"/>
      <c r="J42" s="24" t="s">
        <v>57</v>
      </c>
    </row>
    <row r="43" spans="1:10" x14ac:dyDescent="0.25">
      <c r="A43" s="8">
        <f t="shared" si="3"/>
        <v>8</v>
      </c>
      <c r="B43" s="33" t="s">
        <v>204</v>
      </c>
      <c r="C43" s="45" t="s">
        <v>33</v>
      </c>
      <c r="D43" s="21" t="s">
        <v>11</v>
      </c>
      <c r="E43" s="21" t="s">
        <v>12</v>
      </c>
      <c r="F43" s="30" t="s">
        <v>22</v>
      </c>
      <c r="G43" s="7" t="s">
        <v>16</v>
      </c>
      <c r="H43" s="24">
        <v>3</v>
      </c>
      <c r="I43" s="24"/>
      <c r="J43" s="24" t="s">
        <v>57</v>
      </c>
    </row>
    <row r="44" spans="1:10" x14ac:dyDescent="0.25">
      <c r="A44" s="8">
        <f t="shared" si="3"/>
        <v>9</v>
      </c>
      <c r="B44" s="21" t="s">
        <v>198</v>
      </c>
      <c r="C44" s="45" t="s">
        <v>33</v>
      </c>
      <c r="D44" s="21" t="s">
        <v>11</v>
      </c>
      <c r="E44" s="21" t="s">
        <v>12</v>
      </c>
      <c r="F44" s="30" t="s">
        <v>22</v>
      </c>
      <c r="G44" s="61" t="s">
        <v>53</v>
      </c>
      <c r="H44" s="24">
        <v>3</v>
      </c>
      <c r="I44" s="24"/>
      <c r="J44" s="24" t="s">
        <v>57</v>
      </c>
    </row>
    <row r="45" spans="1:10" x14ac:dyDescent="0.25">
      <c r="A45" s="8">
        <f t="shared" si="3"/>
        <v>10</v>
      </c>
      <c r="B45" s="33" t="s">
        <v>32</v>
      </c>
      <c r="C45" s="45" t="s">
        <v>33</v>
      </c>
      <c r="D45" s="21" t="s">
        <v>11</v>
      </c>
      <c r="E45" s="21" t="s">
        <v>12</v>
      </c>
      <c r="F45" s="30" t="s">
        <v>22</v>
      </c>
      <c r="G45" s="7" t="s">
        <v>13</v>
      </c>
      <c r="H45" s="24">
        <v>2</v>
      </c>
      <c r="I45" s="24"/>
      <c r="J45" s="24" t="s">
        <v>57</v>
      </c>
    </row>
    <row r="46" spans="1:10" x14ac:dyDescent="0.25">
      <c r="A46" s="8">
        <f t="shared" si="3"/>
        <v>11</v>
      </c>
      <c r="B46" s="33" t="s">
        <v>203</v>
      </c>
      <c r="C46" s="45" t="s">
        <v>33</v>
      </c>
      <c r="D46" s="21" t="s">
        <v>11</v>
      </c>
      <c r="E46" s="21" t="s">
        <v>12</v>
      </c>
      <c r="F46" s="30" t="s">
        <v>22</v>
      </c>
      <c r="G46" s="7" t="s">
        <v>13</v>
      </c>
      <c r="H46" s="24">
        <v>2</v>
      </c>
      <c r="I46" s="24"/>
      <c r="J46" s="24" t="s">
        <v>57</v>
      </c>
    </row>
    <row r="47" spans="1:10" x14ac:dyDescent="0.25">
      <c r="A47" s="8">
        <f t="shared" si="3"/>
        <v>12</v>
      </c>
      <c r="B47" s="33" t="s">
        <v>202</v>
      </c>
      <c r="C47" s="45" t="s">
        <v>33</v>
      </c>
      <c r="D47" s="21" t="s">
        <v>11</v>
      </c>
      <c r="E47" s="21" t="s">
        <v>12</v>
      </c>
      <c r="F47" s="30" t="s">
        <v>22</v>
      </c>
      <c r="G47" s="7" t="s">
        <v>169</v>
      </c>
      <c r="H47" s="24">
        <v>2</v>
      </c>
      <c r="I47" s="24"/>
      <c r="J47" s="24" t="s">
        <v>57</v>
      </c>
    </row>
  </sheetData>
  <mergeCells count="5">
    <mergeCell ref="A1:J1"/>
    <mergeCell ref="A5:J5"/>
    <mergeCell ref="A11:J11"/>
    <mergeCell ref="A26:J26"/>
    <mergeCell ref="A34:J34"/>
  </mergeCells>
  <conditionalFormatting sqref="B1:B6 B8:B12 B21 B30:B35 B23:B27 B48:B1048576">
    <cfRule type="duplicateValues" dxfId="1115" priority="18264"/>
    <cfRule type="duplicateValues" dxfId="1114" priority="18265"/>
  </conditionalFormatting>
  <conditionalFormatting sqref="B1:B21 B23:B1048576">
    <cfRule type="duplicateValues" dxfId="1113" priority="18076"/>
    <cfRule type="duplicateValues" dxfId="1112" priority="18077"/>
    <cfRule type="duplicateValues" dxfId="1111" priority="18078"/>
    <cfRule type="duplicateValues" dxfId="1110" priority="18079"/>
    <cfRule type="duplicateValues" dxfId="1109" priority="18080"/>
    <cfRule type="duplicateValues" dxfId="1108" priority="18081"/>
    <cfRule type="duplicateValues" dxfId="1107" priority="18180"/>
  </conditionalFormatting>
  <conditionalFormatting sqref="B1:B1048576">
    <cfRule type="duplicateValues" dxfId="1106" priority="1"/>
  </conditionalFormatting>
  <conditionalFormatting sqref="B8:B10">
    <cfRule type="duplicateValues" dxfId="1105" priority="58"/>
    <cfRule type="duplicateValues" dxfId="1104" priority="59" stopIfTrue="1"/>
    <cfRule type="duplicateValues" dxfId="1103" priority="60"/>
  </conditionalFormatting>
  <conditionalFormatting sqref="B21">
    <cfRule type="duplicateValues" dxfId="1102" priority="18075"/>
  </conditionalFormatting>
  <conditionalFormatting sqref="B22">
    <cfRule type="duplicateValues" dxfId="1101" priority="2"/>
    <cfRule type="duplicateValues" dxfId="1100" priority="3"/>
  </conditionalFormatting>
  <conditionalFormatting sqref="B23">
    <cfRule type="duplicateValues" dxfId="1099" priority="22"/>
    <cfRule type="duplicateValues" dxfId="1098" priority="23"/>
    <cfRule type="duplicateValues" dxfId="1097" priority="24"/>
    <cfRule type="duplicateValues" dxfId="1096" priority="25"/>
    <cfRule type="duplicateValues" dxfId="1095" priority="26"/>
  </conditionalFormatting>
  <conditionalFormatting sqref="B24:B25 B3">
    <cfRule type="duplicateValues" dxfId="1094" priority="20"/>
    <cfRule type="duplicateValues" dxfId="1093" priority="21" stopIfTrue="1"/>
  </conditionalFormatting>
  <conditionalFormatting sqref="B28 B7 B13:B19">
    <cfRule type="duplicateValues" dxfId="1092" priority="8"/>
  </conditionalFormatting>
  <conditionalFormatting sqref="B28 B15">
    <cfRule type="duplicateValues" dxfId="1091" priority="116"/>
  </conditionalFormatting>
  <conditionalFormatting sqref="B30">
    <cfRule type="duplicateValues" dxfId="1090" priority="28"/>
    <cfRule type="duplicateValues" dxfId="1089" priority="29"/>
    <cfRule type="duplicateValues" dxfId="1088" priority="30"/>
    <cfRule type="duplicateValues" dxfId="1087" priority="31"/>
    <cfRule type="duplicateValues" dxfId="1086" priority="32"/>
    <cfRule type="duplicateValues" dxfId="1085" priority="33"/>
    <cfRule type="duplicateValues" dxfId="1084" priority="34"/>
    <cfRule type="duplicateValues" dxfId="1083" priority="35"/>
    <cfRule type="duplicateValues" dxfId="1082" priority="36"/>
    <cfRule type="duplicateValues" dxfId="1081" priority="37"/>
    <cfRule type="duplicateValues" dxfId="1080" priority="38"/>
    <cfRule type="duplicateValues" dxfId="1079" priority="39"/>
    <cfRule type="duplicateValues" dxfId="1078" priority="40"/>
    <cfRule type="duplicateValues" dxfId="1077" priority="41"/>
    <cfRule type="duplicateValues" dxfId="1076" priority="42"/>
    <cfRule type="duplicateValues" dxfId="1075" priority="43"/>
    <cfRule type="duplicateValues" dxfId="1074" priority="44"/>
    <cfRule type="duplicateValues" dxfId="1073" priority="45"/>
    <cfRule type="duplicateValues" dxfId="1072" priority="46"/>
    <cfRule type="duplicateValues" dxfId="1071" priority="47"/>
    <cfRule type="duplicateValues" dxfId="1070" priority="48"/>
    <cfRule type="duplicateValues" dxfId="1069" priority="49"/>
    <cfRule type="duplicateValues" dxfId="1068" priority="50"/>
    <cfRule type="duplicateValues" dxfId="1067" priority="51"/>
    <cfRule type="duplicateValues" dxfId="1066" priority="52"/>
    <cfRule type="duplicateValues" dxfId="1065" priority="53"/>
    <cfRule type="duplicateValues" dxfId="1064" priority="54"/>
    <cfRule type="duplicateValues" dxfId="1063" priority="55"/>
  </conditionalFormatting>
  <conditionalFormatting sqref="B31:B32">
    <cfRule type="duplicateValues" dxfId="1062" priority="10"/>
    <cfRule type="duplicateValues" dxfId="1061" priority="11"/>
    <cfRule type="duplicateValues" dxfId="1060" priority="12"/>
    <cfRule type="duplicateValues" dxfId="1059" priority="13"/>
    <cfRule type="duplicateValues" dxfId="1058" priority="14"/>
    <cfRule type="duplicateValues" dxfId="1057" priority="15"/>
    <cfRule type="duplicateValues" dxfId="1056" priority="16"/>
    <cfRule type="duplicateValues" dxfId="1055" priority="17"/>
    <cfRule type="duplicateValues" dxfId="1054" priority="18"/>
  </conditionalFormatting>
  <conditionalFormatting sqref="B31:B33 B23:B25 B1:B6 B8:B10 B12 B27 B35 B48:B1048576">
    <cfRule type="duplicateValues" dxfId="1053" priority="18100"/>
    <cfRule type="duplicateValues" dxfId="1052" priority="18101"/>
    <cfRule type="duplicateValues" dxfId="1051" priority="18102"/>
    <cfRule type="duplicateValues" dxfId="1050" priority="18103"/>
    <cfRule type="duplicateValues" dxfId="1049" priority="18104"/>
  </conditionalFormatting>
  <conditionalFormatting sqref="B31:B33 B23:B25 B1:B6 B8:B10 B27 B12 B35 B48:B1048576">
    <cfRule type="duplicateValues" dxfId="1048" priority="18150"/>
    <cfRule type="duplicateValues" dxfId="1047" priority="18151"/>
  </conditionalFormatting>
  <conditionalFormatting sqref="B33 B1:B6 B23:B25 B8:B10 B27 B12 B35 B48:B1048576">
    <cfRule type="duplicateValues" dxfId="1046" priority="18290"/>
  </conditionalFormatting>
  <conditionalFormatting sqref="B33 B24:B25 B1:B6 B8:B10 B27 B12 B35 B48:B1048576">
    <cfRule type="duplicateValues" dxfId="1045" priority="18184"/>
    <cfRule type="duplicateValues" dxfId="1044" priority="18185"/>
    <cfRule type="duplicateValues" dxfId="1043" priority="18186"/>
    <cfRule type="duplicateValues" dxfId="1042" priority="18187"/>
    <cfRule type="duplicateValues" dxfId="1041" priority="18188"/>
    <cfRule type="duplicateValues" dxfId="1040" priority="18189"/>
    <cfRule type="duplicateValues" dxfId="1039" priority="18190"/>
    <cfRule type="duplicateValues" dxfId="1038" priority="18254"/>
    <cfRule type="duplicateValues" dxfId="1037" priority="18300"/>
    <cfRule type="duplicateValues" dxfId="1036" priority="18301"/>
    <cfRule type="duplicateValues" dxfId="1035" priority="18302"/>
    <cfRule type="duplicateValues" dxfId="1034" priority="18303"/>
    <cfRule type="duplicateValues" dxfId="1033" priority="18304"/>
    <cfRule type="duplicateValues" dxfId="1032" priority="18305"/>
    <cfRule type="duplicateValues" dxfId="1031" priority="18306"/>
    <cfRule type="duplicateValues" dxfId="1030" priority="18307"/>
    <cfRule type="duplicateValues" dxfId="1029" priority="18308"/>
    <cfRule type="duplicateValues" dxfId="1028" priority="18309"/>
    <cfRule type="duplicateValues" dxfId="1027" priority="18310"/>
    <cfRule type="duplicateValues" dxfId="1026" priority="18311"/>
    <cfRule type="duplicateValues" dxfId="1025" priority="18312"/>
    <cfRule type="duplicateValues" dxfId="1024" priority="18313"/>
    <cfRule type="duplicateValues" dxfId="1023" priority="18314"/>
    <cfRule type="duplicateValues" dxfId="1022" priority="18315"/>
    <cfRule type="duplicateValues" dxfId="1021" priority="18316"/>
    <cfRule type="duplicateValues" dxfId="1020" priority="18317"/>
    <cfRule type="duplicateValues" dxfId="1019" priority="18318"/>
  </conditionalFormatting>
  <conditionalFormatting sqref="B33 B24:B25 B35 B48:B1048576">
    <cfRule type="duplicateValues" dxfId="1018" priority="18490"/>
  </conditionalFormatting>
  <conditionalFormatting sqref="B33 B35 B48:B1048576">
    <cfRule type="duplicateValues" dxfId="1017" priority="18496"/>
  </conditionalFormatting>
  <conditionalFormatting sqref="B35 B4 B2 B12 B33 B27 B6">
    <cfRule type="duplicateValues" dxfId="1016" priority="19" stopIfTrue="1"/>
  </conditionalFormatting>
  <conditionalFormatting sqref="B35 B23:B25 B1:B6 B12 B30:B33 B27 B8:B10 B48:B1048576">
    <cfRule type="duplicateValues" dxfId="1015" priority="18170"/>
  </conditionalFormatting>
  <conditionalFormatting sqref="B41 B29:B39 B1:B6 B8:B12 B20:B21 B23:B27 B44 B48:B1048576">
    <cfRule type="duplicateValues" dxfId="1014" priority="18280"/>
  </conditionalFormatting>
  <conditionalFormatting sqref="B41 B36:B37">
    <cfRule type="duplicateValues" dxfId="1013" priority="56"/>
  </conditionalFormatting>
  <conditionalFormatting sqref="B44 B20 B29 B41 B36:B39">
    <cfRule type="duplicateValues" dxfId="1012" priority="117"/>
  </conditionalFormatting>
  <conditionalFormatting sqref="B44 B20 B41 B36:B39">
    <cfRule type="duplicateValues" dxfId="1011" priority="57"/>
  </conditionalFormatting>
  <conditionalFormatting sqref="B45 B42 B40">
    <cfRule type="duplicateValues" dxfId="1010" priority="5"/>
    <cfRule type="duplicateValues" dxfId="1009" priority="7"/>
  </conditionalFormatting>
  <conditionalFormatting sqref="B45:B47 B42:B43 B40">
    <cfRule type="duplicateValues" dxfId="1008" priority="6"/>
  </conditionalFormatting>
  <conditionalFormatting sqref="B48:B1048576">
    <cfRule type="duplicateValues" dxfId="1007" priority="18501"/>
    <cfRule type="duplicateValues" dxfId="1006" priority="18502"/>
    <cfRule type="duplicateValues" dxfId="1005" priority="18503"/>
  </conditionalFormatting>
  <conditionalFormatting sqref="B49:B1048576">
    <cfRule type="duplicateValues" dxfId="1004" priority="18510"/>
    <cfRule type="duplicateValues" dxfId="1003" priority="18511"/>
    <cfRule type="duplicateValues" dxfId="1002" priority="18512"/>
    <cfRule type="duplicateValues" dxfId="1001" priority="18513"/>
  </conditionalFormatting>
  <conditionalFormatting sqref="K10">
    <cfRule type="duplicateValues" dxfId="1000" priority="9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FB49-3377-4C72-BE8F-AC1667C73CC0}">
  <dimension ref="A1:K33"/>
  <sheetViews>
    <sheetView topLeftCell="A14" workbookViewId="0">
      <selection activeCell="B23" sqref="B23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20.140625" bestFit="1" customWidth="1"/>
    <col min="8" max="8" width="9.42578125" hidden="1" customWidth="1"/>
    <col min="9" max="9" width="17.5703125" customWidth="1"/>
  </cols>
  <sheetData>
    <row r="1" spans="1:11" hidden="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ht="15.75" hidden="1" x14ac:dyDescent="0.25">
      <c r="A2" s="1" t="s">
        <v>1</v>
      </c>
      <c r="B2" s="4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 t="s">
        <v>9</v>
      </c>
    </row>
    <row r="3" spans="1:11" hidden="1" x14ac:dyDescent="0.25">
      <c r="A3" s="9"/>
      <c r="B3" s="19"/>
      <c r="C3" s="11"/>
      <c r="D3" s="18"/>
      <c r="E3" s="10"/>
      <c r="F3" s="10"/>
      <c r="G3" s="10"/>
      <c r="H3" s="10"/>
      <c r="I3" s="10"/>
      <c r="J3" s="13"/>
    </row>
    <row r="4" spans="1:11" hidden="1" x14ac:dyDescent="0.25"/>
    <row r="5" spans="1:11" hidden="1" x14ac:dyDescent="0.25">
      <c r="A5" s="111" t="s">
        <v>0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1" hidden="1" x14ac:dyDescent="0.25">
      <c r="A6" s="55" t="s">
        <v>1</v>
      </c>
      <c r="B6" s="4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/>
      <c r="I6" s="2"/>
      <c r="J6" s="2" t="s">
        <v>9</v>
      </c>
    </row>
    <row r="7" spans="1:11" s="37" customFormat="1" hidden="1" x14ac:dyDescent="0.25">
      <c r="A7" s="13"/>
      <c r="B7" s="58"/>
      <c r="C7" s="39"/>
      <c r="D7" s="38"/>
      <c r="E7" s="43"/>
      <c r="I7" s="60"/>
      <c r="J7" s="13"/>
    </row>
    <row r="8" spans="1:11" s="37" customFormat="1" hidden="1" x14ac:dyDescent="0.25">
      <c r="A8" s="13"/>
      <c r="B8" s="58"/>
      <c r="C8" s="39"/>
      <c r="D8" s="38"/>
      <c r="E8" s="43"/>
      <c r="I8" s="60"/>
      <c r="J8" s="13"/>
    </row>
    <row r="9" spans="1:11" s="37" customFormat="1" ht="15" hidden="1" customHeight="1" x14ac:dyDescent="0.25">
      <c r="A9" s="47"/>
      <c r="B9" s="56"/>
      <c r="C9" s="39"/>
      <c r="D9" s="56"/>
      <c r="E9" s="12"/>
      <c r="F9" s="12"/>
      <c r="G9" s="12"/>
      <c r="H9" s="12"/>
      <c r="I9" s="12"/>
      <c r="J9" s="13"/>
      <c r="K9" s="51"/>
    </row>
    <row r="10" spans="1:11" s="37" customFormat="1" ht="15" hidden="1" customHeight="1" x14ac:dyDescent="0.25">
      <c r="A10" s="115" t="s">
        <v>21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1" s="37" customFormat="1" ht="15" hidden="1" customHeight="1" x14ac:dyDescent="0.25">
      <c r="A11" s="55" t="s">
        <v>1</v>
      </c>
      <c r="B11" s="41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/>
      <c r="I11" s="2"/>
      <c r="J11" s="2" t="s">
        <v>9</v>
      </c>
    </row>
    <row r="12" spans="1:11" hidden="1" x14ac:dyDescent="0.25">
      <c r="A12" s="47"/>
      <c r="B12" s="43"/>
      <c r="C12" s="39"/>
      <c r="D12" s="37"/>
      <c r="E12" s="37"/>
      <c r="F12" s="43"/>
      <c r="G12" s="37"/>
      <c r="H12" s="37"/>
      <c r="I12" s="37"/>
      <c r="J12" s="37"/>
    </row>
    <row r="13" spans="1:11" s="37" customFormat="1" ht="15" hidden="1" customHeight="1" x14ac:dyDescent="0.25">
      <c r="A13" s="47"/>
      <c r="B13" s="56"/>
      <c r="C13" s="39"/>
      <c r="D13" s="56"/>
      <c r="E13" s="12"/>
      <c r="F13" s="12"/>
      <c r="G13" s="12"/>
      <c r="H13" s="12"/>
      <c r="I13" s="12"/>
      <c r="J13" s="13"/>
    </row>
    <row r="14" spans="1:11" s="37" customFormat="1" x14ac:dyDescent="0.25">
      <c r="A14" s="47"/>
      <c r="B14" s="56"/>
      <c r="C14" s="39"/>
      <c r="D14" s="56"/>
      <c r="E14" s="12"/>
      <c r="F14" s="12"/>
      <c r="G14" s="12"/>
      <c r="H14" s="12"/>
      <c r="I14" s="12"/>
      <c r="J14" s="13"/>
    </row>
    <row r="15" spans="1:11" ht="28.9" customHeight="1" x14ac:dyDescent="0.25">
      <c r="A15" s="118" t="s">
        <v>68</v>
      </c>
      <c r="B15" s="119"/>
      <c r="C15" s="119"/>
      <c r="D15" s="119"/>
      <c r="E15" s="119"/>
      <c r="F15" s="119"/>
      <c r="G15" s="119"/>
      <c r="H15" s="119"/>
      <c r="I15" s="119"/>
      <c r="J15" s="120"/>
    </row>
    <row r="16" spans="1:11" x14ac:dyDescent="0.25">
      <c r="A16" s="55" t="s">
        <v>1</v>
      </c>
      <c r="B16" s="41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/>
      <c r="I16" s="2"/>
      <c r="J16" s="2" t="s">
        <v>9</v>
      </c>
    </row>
    <row r="17" spans="1:10" ht="15.75" x14ac:dyDescent="0.25">
      <c r="A17" s="8">
        <f t="shared" ref="A17" si="0">ROW()-16</f>
        <v>1</v>
      </c>
      <c r="B17" s="33" t="s">
        <v>209</v>
      </c>
      <c r="C17" s="45" t="s">
        <v>110</v>
      </c>
      <c r="D17" s="21" t="s">
        <v>11</v>
      </c>
      <c r="E17" s="21" t="s">
        <v>12</v>
      </c>
      <c r="F17" s="30" t="s">
        <v>22</v>
      </c>
      <c r="G17" s="24" t="s">
        <v>53</v>
      </c>
      <c r="H17" s="70">
        <v>45931</v>
      </c>
      <c r="I17" s="71">
        <f ca="1">TODAY()-H17+1</f>
        <v>112</v>
      </c>
      <c r="J17" s="24" t="s">
        <v>57</v>
      </c>
    </row>
    <row r="18" spans="1:10" s="37" customFormat="1" ht="15" customHeight="1" x14ac:dyDescent="0.25">
      <c r="A18" s="13"/>
      <c r="B18" s="43"/>
      <c r="C18" s="48"/>
      <c r="F18" s="12"/>
    </row>
    <row r="19" spans="1:10" s="37" customFormat="1" ht="15" customHeight="1" x14ac:dyDescent="0.25">
      <c r="A19" s="54"/>
      <c r="B19" s="42"/>
      <c r="C19"/>
      <c r="D19"/>
      <c r="E19"/>
      <c r="F19"/>
      <c r="G19"/>
      <c r="H19"/>
      <c r="I19"/>
      <c r="J19"/>
    </row>
    <row r="20" spans="1:10" s="37" customFormat="1" ht="15" customHeight="1" x14ac:dyDescent="0.25">
      <c r="A20" s="118" t="s">
        <v>145</v>
      </c>
      <c r="B20" s="119"/>
      <c r="C20" s="119"/>
      <c r="D20" s="119"/>
      <c r="E20" s="119"/>
      <c r="F20" s="119"/>
      <c r="G20" s="119"/>
      <c r="H20" s="119"/>
      <c r="I20" s="119"/>
      <c r="J20" s="120"/>
    </row>
    <row r="21" spans="1:10" s="37" customFormat="1" ht="15" customHeight="1" x14ac:dyDescent="0.25">
      <c r="A21" s="57" t="s">
        <v>1</v>
      </c>
      <c r="B21" s="44" t="s">
        <v>2</v>
      </c>
      <c r="C21" s="15" t="s">
        <v>40</v>
      </c>
      <c r="D21" s="15" t="s">
        <v>4</v>
      </c>
      <c r="E21" s="15" t="s">
        <v>5</v>
      </c>
      <c r="F21" s="15" t="s">
        <v>6</v>
      </c>
      <c r="G21" s="15" t="s">
        <v>7</v>
      </c>
      <c r="H21" s="15"/>
      <c r="I21" s="15" t="s">
        <v>31</v>
      </c>
      <c r="J21" s="15" t="s">
        <v>9</v>
      </c>
    </row>
    <row r="22" spans="1:10" ht="15.75" x14ac:dyDescent="0.25">
      <c r="A22" s="66">
        <f>ROW()-21</f>
        <v>1</v>
      </c>
      <c r="B22" s="67" t="s">
        <v>200</v>
      </c>
      <c r="C22" s="68" t="s">
        <v>145</v>
      </c>
      <c r="D22" s="67" t="s">
        <v>11</v>
      </c>
      <c r="E22" s="67" t="s">
        <v>12</v>
      </c>
      <c r="F22" s="67" t="s">
        <v>22</v>
      </c>
      <c r="G22" s="69" t="s">
        <v>16</v>
      </c>
      <c r="H22" s="77">
        <v>45928</v>
      </c>
      <c r="I22" s="71">
        <f ca="1">TODAY()-H22+1</f>
        <v>115</v>
      </c>
      <c r="J22" s="24" t="s">
        <v>57</v>
      </c>
    </row>
    <row r="23" spans="1:10" ht="15.75" x14ac:dyDescent="0.25">
      <c r="A23" s="66">
        <f t="shared" ref="A23:A33" si="1">ROW()-21</f>
        <v>2</v>
      </c>
      <c r="B23" s="72" t="s">
        <v>206</v>
      </c>
      <c r="C23" s="68" t="s">
        <v>145</v>
      </c>
      <c r="D23" s="67" t="s">
        <v>11</v>
      </c>
      <c r="E23" s="67" t="s">
        <v>12</v>
      </c>
      <c r="F23" s="67" t="s">
        <v>22</v>
      </c>
      <c r="G23" s="69" t="s">
        <v>16</v>
      </c>
      <c r="H23" s="77">
        <v>45928</v>
      </c>
      <c r="I23" s="71">
        <f t="shared" ref="I23:I32" ca="1" si="2">TODAY()-H23+1</f>
        <v>115</v>
      </c>
      <c r="J23" s="24" t="s">
        <v>57</v>
      </c>
    </row>
    <row r="24" spans="1:10" ht="15.75" x14ac:dyDescent="0.25">
      <c r="A24" s="66">
        <f t="shared" si="1"/>
        <v>3</v>
      </c>
      <c r="B24" s="72" t="s">
        <v>203</v>
      </c>
      <c r="C24" s="68" t="s">
        <v>145</v>
      </c>
      <c r="D24" s="67" t="s">
        <v>11</v>
      </c>
      <c r="E24" s="67" t="s">
        <v>12</v>
      </c>
      <c r="F24" s="67" t="s">
        <v>22</v>
      </c>
      <c r="G24" s="69" t="s">
        <v>13</v>
      </c>
      <c r="H24" s="77">
        <v>45928</v>
      </c>
      <c r="I24" s="71">
        <f t="shared" ca="1" si="2"/>
        <v>115</v>
      </c>
      <c r="J24" s="24" t="s">
        <v>57</v>
      </c>
    </row>
    <row r="25" spans="1:10" ht="15.75" x14ac:dyDescent="0.25">
      <c r="A25" s="66">
        <f t="shared" si="1"/>
        <v>4</v>
      </c>
      <c r="B25" s="72" t="s">
        <v>202</v>
      </c>
      <c r="C25" s="68" t="s">
        <v>145</v>
      </c>
      <c r="D25" s="67" t="s">
        <v>11</v>
      </c>
      <c r="E25" s="67" t="s">
        <v>12</v>
      </c>
      <c r="F25" s="67" t="s">
        <v>22</v>
      </c>
      <c r="G25" s="69" t="s">
        <v>169</v>
      </c>
      <c r="H25" s="77">
        <v>45928</v>
      </c>
      <c r="I25" s="71">
        <f t="shared" ca="1" si="2"/>
        <v>115</v>
      </c>
      <c r="J25" s="24" t="s">
        <v>57</v>
      </c>
    </row>
    <row r="26" spans="1:10" ht="15.75" x14ac:dyDescent="0.25">
      <c r="A26" s="66">
        <f t="shared" si="1"/>
        <v>5</v>
      </c>
      <c r="B26" s="67" t="s">
        <v>199</v>
      </c>
      <c r="C26" s="68" t="s">
        <v>145</v>
      </c>
      <c r="D26" s="67" t="s">
        <v>11</v>
      </c>
      <c r="E26" s="67" t="s">
        <v>12</v>
      </c>
      <c r="F26" s="67" t="s">
        <v>22</v>
      </c>
      <c r="G26" s="69" t="s">
        <v>169</v>
      </c>
      <c r="H26" s="77">
        <v>45928</v>
      </c>
      <c r="I26" s="71">
        <f t="shared" ca="1" si="2"/>
        <v>115</v>
      </c>
      <c r="J26" s="24" t="s">
        <v>57</v>
      </c>
    </row>
    <row r="27" spans="1:10" ht="15.75" x14ac:dyDescent="0.25">
      <c r="A27" s="66">
        <f t="shared" si="1"/>
        <v>6</v>
      </c>
      <c r="B27" s="72" t="s">
        <v>213</v>
      </c>
      <c r="C27" s="68" t="s">
        <v>145</v>
      </c>
      <c r="D27" s="73" t="s">
        <v>11</v>
      </c>
      <c r="E27" s="73" t="s">
        <v>12</v>
      </c>
      <c r="F27" s="67" t="s">
        <v>22</v>
      </c>
      <c r="G27" s="67" t="s">
        <v>53</v>
      </c>
      <c r="H27" s="77">
        <v>45930</v>
      </c>
      <c r="I27" s="71">
        <f t="shared" ca="1" si="2"/>
        <v>113</v>
      </c>
      <c r="J27" s="24" t="s">
        <v>57</v>
      </c>
    </row>
    <row r="28" spans="1:10" ht="15.75" x14ac:dyDescent="0.25">
      <c r="A28" s="66">
        <f t="shared" si="1"/>
        <v>7</v>
      </c>
      <c r="B28" s="67" t="s">
        <v>201</v>
      </c>
      <c r="C28" s="68" t="s">
        <v>145</v>
      </c>
      <c r="D28" s="73" t="s">
        <v>11</v>
      </c>
      <c r="E28" s="73" t="s">
        <v>12</v>
      </c>
      <c r="F28" s="67" t="s">
        <v>22</v>
      </c>
      <c r="G28" s="69" t="s">
        <v>16</v>
      </c>
      <c r="H28" s="77">
        <v>45930</v>
      </c>
      <c r="I28" s="71">
        <f t="shared" ca="1" si="2"/>
        <v>113</v>
      </c>
      <c r="J28" s="24" t="s">
        <v>57</v>
      </c>
    </row>
    <row r="29" spans="1:10" ht="15.75" x14ac:dyDescent="0.25">
      <c r="A29" s="66">
        <f t="shared" si="1"/>
        <v>8</v>
      </c>
      <c r="B29" s="72" t="s">
        <v>214</v>
      </c>
      <c r="C29" s="68" t="s">
        <v>145</v>
      </c>
      <c r="D29" s="73" t="s">
        <v>11</v>
      </c>
      <c r="E29" s="73" t="s">
        <v>12</v>
      </c>
      <c r="F29" s="67" t="s">
        <v>22</v>
      </c>
      <c r="G29" s="69" t="s">
        <v>16</v>
      </c>
      <c r="H29" s="77">
        <v>45930</v>
      </c>
      <c r="I29" s="71">
        <f ca="1">TODAY()-H29+1</f>
        <v>113</v>
      </c>
      <c r="J29" s="24" t="s">
        <v>57</v>
      </c>
    </row>
    <row r="30" spans="1:10" ht="15.75" x14ac:dyDescent="0.25">
      <c r="A30" s="66">
        <f t="shared" si="1"/>
        <v>9</v>
      </c>
      <c r="B30" s="72" t="s">
        <v>215</v>
      </c>
      <c r="C30" s="68" t="s">
        <v>145</v>
      </c>
      <c r="D30" s="73" t="s">
        <v>11</v>
      </c>
      <c r="E30" s="73" t="s">
        <v>12</v>
      </c>
      <c r="F30" s="67" t="s">
        <v>22</v>
      </c>
      <c r="G30" s="69" t="s">
        <v>13</v>
      </c>
      <c r="H30" s="78">
        <v>45931</v>
      </c>
      <c r="I30" s="71">
        <f t="shared" ca="1" si="2"/>
        <v>112</v>
      </c>
      <c r="J30" s="24" t="s">
        <v>57</v>
      </c>
    </row>
    <row r="31" spans="1:10" ht="15.75" x14ac:dyDescent="0.25">
      <c r="A31" s="66">
        <f t="shared" si="1"/>
        <v>10</v>
      </c>
      <c r="B31" s="74" t="s">
        <v>208</v>
      </c>
      <c r="C31" s="68" t="s">
        <v>145</v>
      </c>
      <c r="D31" s="73" t="s">
        <v>11</v>
      </c>
      <c r="E31" s="73" t="s">
        <v>12</v>
      </c>
      <c r="F31" s="67" t="s">
        <v>22</v>
      </c>
      <c r="G31" s="75" t="s">
        <v>16</v>
      </c>
      <c r="H31" s="78">
        <v>45931</v>
      </c>
      <c r="I31" s="71">
        <f t="shared" ca="1" si="2"/>
        <v>112</v>
      </c>
      <c r="J31" s="24" t="s">
        <v>57</v>
      </c>
    </row>
    <row r="32" spans="1:10" ht="15.75" x14ac:dyDescent="0.25">
      <c r="A32" s="66">
        <f t="shared" si="1"/>
        <v>11</v>
      </c>
      <c r="B32" s="72" t="s">
        <v>211</v>
      </c>
      <c r="C32" s="68" t="s">
        <v>145</v>
      </c>
      <c r="D32" s="73" t="s">
        <v>11</v>
      </c>
      <c r="E32" s="73" t="s">
        <v>12</v>
      </c>
      <c r="F32" s="67" t="s">
        <v>22</v>
      </c>
      <c r="G32" s="76" t="s">
        <v>53</v>
      </c>
      <c r="H32" s="78">
        <v>45931</v>
      </c>
      <c r="I32" s="71">
        <f t="shared" ca="1" si="2"/>
        <v>112</v>
      </c>
      <c r="J32" s="24" t="s">
        <v>57</v>
      </c>
    </row>
    <row r="33" spans="1:10" ht="15.75" x14ac:dyDescent="0.25">
      <c r="A33" s="66">
        <f t="shared" si="1"/>
        <v>12</v>
      </c>
      <c r="B33" s="35" t="s">
        <v>207</v>
      </c>
      <c r="C33" s="68" t="s">
        <v>145</v>
      </c>
      <c r="D33" s="21" t="s">
        <v>11</v>
      </c>
      <c r="E33" s="21" t="s">
        <v>12</v>
      </c>
      <c r="F33" s="30" t="s">
        <v>22</v>
      </c>
      <c r="G33" s="24" t="s">
        <v>16</v>
      </c>
      <c r="H33" s="78">
        <v>45932</v>
      </c>
      <c r="I33" s="71">
        <f ca="1">TODAY()-H33+1</f>
        <v>111</v>
      </c>
      <c r="J33" s="24" t="s">
        <v>57</v>
      </c>
    </row>
  </sheetData>
  <mergeCells count="5">
    <mergeCell ref="A20:J20"/>
    <mergeCell ref="A1:J1"/>
    <mergeCell ref="A5:J5"/>
    <mergeCell ref="A10:J10"/>
    <mergeCell ref="A15:J15"/>
  </mergeCells>
  <conditionalFormatting sqref="B1:B1048576">
    <cfRule type="duplicateValues" dxfId="999" priority="23002"/>
  </conditionalFormatting>
  <conditionalFormatting sqref="B4 B2 B11 B16 B6">
    <cfRule type="duplicateValues" dxfId="998" priority="24259" stopIfTrue="1"/>
  </conditionalFormatting>
  <conditionalFormatting sqref="B7:B9">
    <cfRule type="duplicateValues" dxfId="997" priority="236"/>
    <cfRule type="duplicateValues" dxfId="996" priority="237" stopIfTrue="1"/>
    <cfRule type="duplicateValues" dxfId="995" priority="238"/>
  </conditionalFormatting>
  <conditionalFormatting sqref="B12">
    <cfRule type="duplicateValues" dxfId="994" priority="201"/>
    <cfRule type="duplicateValues" dxfId="993" priority="202"/>
    <cfRule type="duplicateValues" dxfId="992" priority="203"/>
    <cfRule type="duplicateValues" dxfId="991" priority="204"/>
    <cfRule type="duplicateValues" dxfId="990" priority="205"/>
  </conditionalFormatting>
  <conditionalFormatting sqref="B13:B14 B3">
    <cfRule type="duplicateValues" dxfId="989" priority="199"/>
    <cfRule type="duplicateValues" dxfId="988" priority="200" stopIfTrue="1"/>
  </conditionalFormatting>
  <conditionalFormatting sqref="B18">
    <cfRule type="duplicateValues" dxfId="987" priority="169"/>
    <cfRule type="duplicateValues" dxfId="986" priority="170"/>
    <cfRule type="duplicateValues" dxfId="985" priority="171"/>
    <cfRule type="duplicateValues" dxfId="984" priority="172"/>
    <cfRule type="duplicateValues" dxfId="983" priority="173"/>
    <cfRule type="duplicateValues" dxfId="982" priority="174"/>
    <cfRule type="duplicateValues" dxfId="981" priority="175"/>
    <cfRule type="duplicateValues" dxfId="980" priority="176"/>
    <cfRule type="duplicateValues" dxfId="979" priority="177"/>
  </conditionalFormatting>
  <conditionalFormatting sqref="B21 B19">
    <cfRule type="duplicateValues" dxfId="978" priority="178" stopIfTrue="1"/>
  </conditionalFormatting>
  <conditionalFormatting sqref="B22">
    <cfRule type="duplicateValues" dxfId="977" priority="130"/>
    <cfRule type="duplicateValues" dxfId="976" priority="131"/>
    <cfRule type="duplicateValues" dxfId="975" priority="132"/>
    <cfRule type="duplicateValues" dxfId="974" priority="133"/>
    <cfRule type="duplicateValues" dxfId="973" priority="134"/>
    <cfRule type="duplicateValues" dxfId="972" priority="135"/>
    <cfRule type="duplicateValues" dxfId="971" priority="21891"/>
    <cfRule type="duplicateValues" dxfId="970" priority="23999"/>
    <cfRule type="duplicateValues" dxfId="969" priority="24000"/>
    <cfRule type="duplicateValues" dxfId="968" priority="24001"/>
  </conditionalFormatting>
  <conditionalFormatting sqref="B22:B23">
    <cfRule type="duplicateValues" dxfId="967" priority="24002"/>
  </conditionalFormatting>
  <conditionalFormatting sqref="B22:B25">
    <cfRule type="duplicateValues" dxfId="966" priority="24004"/>
  </conditionalFormatting>
  <conditionalFormatting sqref="B22:B32">
    <cfRule type="duplicateValues" dxfId="965" priority="24006"/>
    <cfRule type="duplicateValues" dxfId="964" priority="24007"/>
    <cfRule type="duplicateValues" dxfId="963" priority="24008"/>
  </conditionalFormatting>
  <conditionalFormatting sqref="B23">
    <cfRule type="duplicateValues" dxfId="962" priority="118"/>
    <cfRule type="duplicateValues" dxfId="961" priority="119"/>
    <cfRule type="duplicateValues" dxfId="960" priority="120"/>
    <cfRule type="duplicateValues" dxfId="959" priority="121"/>
    <cfRule type="duplicateValues" dxfId="958" priority="122"/>
    <cfRule type="duplicateValues" dxfId="957" priority="123"/>
  </conditionalFormatting>
  <conditionalFormatting sqref="B24">
    <cfRule type="duplicateValues" dxfId="956" priority="117"/>
  </conditionalFormatting>
  <conditionalFormatting sqref="B24:B25">
    <cfRule type="duplicateValues" dxfId="955" priority="114"/>
    <cfRule type="duplicateValues" dxfId="954" priority="115"/>
    <cfRule type="duplicateValues" dxfId="953" priority="116"/>
  </conditionalFormatting>
  <conditionalFormatting sqref="B26">
    <cfRule type="duplicateValues" dxfId="952" priority="102"/>
    <cfRule type="duplicateValues" dxfId="951" priority="103"/>
    <cfRule type="duplicateValues" dxfId="950" priority="104"/>
    <cfRule type="duplicateValues" dxfId="949" priority="105"/>
    <cfRule type="duplicateValues" dxfId="948" priority="106"/>
    <cfRule type="duplicateValues" dxfId="947" priority="107"/>
    <cfRule type="duplicateValues" dxfId="946" priority="108"/>
    <cfRule type="duplicateValues" dxfId="945" priority="109"/>
    <cfRule type="duplicateValues" dxfId="944" priority="110"/>
    <cfRule type="duplicateValues" dxfId="943" priority="111"/>
    <cfRule type="duplicateValues" dxfId="942" priority="112"/>
    <cfRule type="duplicateValues" dxfId="941" priority="113"/>
  </conditionalFormatting>
  <conditionalFormatting sqref="B27:B32">
    <cfRule type="duplicateValues" dxfId="940" priority="98"/>
    <cfRule type="duplicateValues" dxfId="939" priority="99"/>
    <cfRule type="duplicateValues" dxfId="938" priority="100"/>
    <cfRule type="duplicateValues" dxfId="937" priority="101"/>
  </conditionalFormatting>
  <conditionalFormatting sqref="B28">
    <cfRule type="duplicateValues" dxfId="936" priority="97"/>
  </conditionalFormatting>
  <conditionalFormatting sqref="B28:B30">
    <cfRule type="duplicateValues" dxfId="935" priority="23001"/>
  </conditionalFormatting>
  <conditionalFormatting sqref="B28:B32">
    <cfRule type="duplicateValues" dxfId="934" priority="95"/>
  </conditionalFormatting>
  <conditionalFormatting sqref="B29:B30">
    <cfRule type="duplicateValues" dxfId="933" priority="94"/>
  </conditionalFormatting>
  <conditionalFormatting sqref="B29:B32 B27">
    <cfRule type="duplicateValues" dxfId="932" priority="93"/>
  </conditionalFormatting>
  <conditionalFormatting sqref="B33 B17">
    <cfRule type="duplicateValues" dxfId="931" priority="22459"/>
  </conditionalFormatting>
  <conditionalFormatting sqref="B33:B1048576 B1:B21">
    <cfRule type="duplicateValues" dxfId="930" priority="23005"/>
    <cfRule type="duplicateValues" dxfId="929" priority="23006"/>
    <cfRule type="duplicateValues" dxfId="928" priority="23007"/>
    <cfRule type="duplicateValues" dxfId="927" priority="23008"/>
    <cfRule type="duplicateValues" dxfId="926" priority="23009"/>
    <cfRule type="duplicateValues" dxfId="925" priority="23037"/>
    <cfRule type="duplicateValues" dxfId="924" priority="23038"/>
    <cfRule type="duplicateValues" dxfId="923" priority="23039"/>
    <cfRule type="duplicateValues" dxfId="922" priority="23040"/>
    <cfRule type="duplicateValues" dxfId="921" priority="23041"/>
    <cfRule type="duplicateValues" dxfId="920" priority="23042"/>
    <cfRule type="duplicateValues" dxfId="919" priority="23043"/>
    <cfRule type="duplicateValues" dxfId="918" priority="23529"/>
  </conditionalFormatting>
  <conditionalFormatting sqref="B34:B1048576 B1:B9 B16 B11:B14 B19 B21">
    <cfRule type="duplicateValues" dxfId="917" priority="23065"/>
  </conditionalFormatting>
  <conditionalFormatting sqref="B34:B1048576 B1:B16 B18:B21">
    <cfRule type="duplicateValues" dxfId="916" priority="23530"/>
    <cfRule type="duplicateValues" dxfId="915" priority="23939"/>
    <cfRule type="duplicateValues" dxfId="914" priority="23940"/>
  </conditionalFormatting>
  <conditionalFormatting sqref="B34:B1048576 B13:B14 B1:B9 B16 B11 B19 B21">
    <cfRule type="duplicateValues" dxfId="913" priority="23076"/>
    <cfRule type="duplicateValues" dxfId="912" priority="23077"/>
    <cfRule type="duplicateValues" dxfId="911" priority="23078"/>
    <cfRule type="duplicateValues" dxfId="910" priority="23079"/>
    <cfRule type="duplicateValues" dxfId="909" priority="23080"/>
    <cfRule type="duplicateValues" dxfId="908" priority="23081"/>
    <cfRule type="duplicateValues" dxfId="907" priority="23082"/>
    <cfRule type="duplicateValues" dxfId="906" priority="23083"/>
    <cfRule type="duplicateValues" dxfId="905" priority="23084"/>
    <cfRule type="duplicateValues" dxfId="904" priority="23085"/>
    <cfRule type="duplicateValues" dxfId="903" priority="23086"/>
    <cfRule type="duplicateValues" dxfId="902" priority="23087"/>
    <cfRule type="duplicateValues" dxfId="901" priority="23088"/>
    <cfRule type="duplicateValues" dxfId="900" priority="23089"/>
    <cfRule type="duplicateValues" dxfId="899" priority="23090"/>
    <cfRule type="duplicateValues" dxfId="898" priority="23091"/>
    <cfRule type="duplicateValues" dxfId="897" priority="23092"/>
    <cfRule type="duplicateValues" dxfId="896" priority="23093"/>
    <cfRule type="duplicateValues" dxfId="895" priority="23094"/>
    <cfRule type="duplicateValues" dxfId="894" priority="23095"/>
    <cfRule type="duplicateValues" dxfId="893" priority="23096"/>
    <cfRule type="duplicateValues" dxfId="892" priority="23097"/>
    <cfRule type="duplicateValues" dxfId="891" priority="23098"/>
    <cfRule type="duplicateValues" dxfId="890" priority="23099"/>
    <cfRule type="duplicateValues" dxfId="889" priority="23100"/>
    <cfRule type="duplicateValues" dxfId="888" priority="23101"/>
    <cfRule type="duplicateValues" dxfId="887" priority="23102"/>
  </conditionalFormatting>
  <conditionalFormatting sqref="B34:B1048576 B13:B14 B19 B21">
    <cfRule type="duplicateValues" dxfId="886" priority="23400"/>
  </conditionalFormatting>
  <conditionalFormatting sqref="B34:B1048576 B18:B19 B1:B9 B11:B14 B16 B21">
    <cfRule type="duplicateValues" dxfId="885" priority="23429"/>
    <cfRule type="duplicateValues" dxfId="884" priority="23430"/>
    <cfRule type="duplicateValues" dxfId="883" priority="23431"/>
    <cfRule type="duplicateValues" dxfId="882" priority="23432"/>
    <cfRule type="duplicateValues" dxfId="881" priority="23433"/>
  </conditionalFormatting>
  <conditionalFormatting sqref="B34:B1048576 B18:B19 B1:B9 B16 B11:B14 B21">
    <cfRule type="duplicateValues" dxfId="880" priority="23479"/>
    <cfRule type="duplicateValues" dxfId="879" priority="23480"/>
  </conditionalFormatting>
  <conditionalFormatting sqref="B34:B1048576 B19 B21">
    <cfRule type="duplicateValues" dxfId="878" priority="23409"/>
  </conditionalFormatting>
  <conditionalFormatting sqref="B34:B1048576 B21 B11:B14 B16 B1:B9 B18:B19">
    <cfRule type="duplicateValues" dxfId="877" priority="23499"/>
  </conditionalFormatting>
  <conditionalFormatting sqref="B34:B1048576">
    <cfRule type="duplicateValues" dxfId="876" priority="23417"/>
    <cfRule type="duplicateValues" dxfId="875" priority="23418"/>
    <cfRule type="duplicateValues" dxfId="874" priority="23419"/>
    <cfRule type="duplicateValues" dxfId="873" priority="23515"/>
    <cfRule type="duplicateValues" dxfId="872" priority="23516"/>
    <cfRule type="duplicateValues" dxfId="871" priority="23517"/>
    <cfRule type="duplicateValues" dxfId="870" priority="23518"/>
  </conditionalFormatting>
  <conditionalFormatting sqref="B35:B1048576">
    <cfRule type="duplicateValues" dxfId="869" priority="23527"/>
  </conditionalFormatting>
  <conditionalFormatting sqref="K9">
    <cfRule type="duplicateValues" dxfId="868" priority="188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E688-94FE-41AF-9DB6-E0BEBB476E56}">
  <dimension ref="A2:K33"/>
  <sheetViews>
    <sheetView workbookViewId="0">
      <selection activeCell="B4" sqref="B4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20.140625" bestFit="1" customWidth="1"/>
    <col min="8" max="8" width="9.42578125" hidden="1" customWidth="1"/>
    <col min="9" max="9" width="17.5703125" customWidth="1"/>
  </cols>
  <sheetData>
    <row r="2" spans="1:11" x14ac:dyDescent="0.25">
      <c r="A2" s="115" t="s">
        <v>0</v>
      </c>
      <c r="B2" s="116"/>
      <c r="C2" s="116"/>
      <c r="D2" s="116"/>
      <c r="E2" s="116"/>
      <c r="F2" s="116"/>
      <c r="G2" s="116"/>
      <c r="H2" s="116"/>
      <c r="I2" s="116"/>
      <c r="J2" s="117"/>
    </row>
    <row r="3" spans="1:11" x14ac:dyDescent="0.25">
      <c r="A3" s="55" t="s">
        <v>1</v>
      </c>
      <c r="B3" s="4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 t="s">
        <v>9</v>
      </c>
    </row>
    <row r="4" spans="1:11" x14ac:dyDescent="0.25">
      <c r="A4" s="8">
        <f>ROW()-3</f>
        <v>1</v>
      </c>
      <c r="B4" s="30" t="s">
        <v>223</v>
      </c>
      <c r="C4" s="36" t="s">
        <v>0</v>
      </c>
      <c r="D4" s="35" t="s">
        <v>221</v>
      </c>
      <c r="E4" s="33" t="s">
        <v>222</v>
      </c>
      <c r="F4" s="30" t="s">
        <v>22</v>
      </c>
      <c r="G4" s="81" t="s">
        <v>220</v>
      </c>
      <c r="H4" s="79">
        <v>45934</v>
      </c>
      <c r="I4" s="53">
        <f t="shared" ref="I4:I11" ca="1" si="0">TODAY()-H4+1</f>
        <v>109</v>
      </c>
      <c r="J4" s="80" t="s">
        <v>57</v>
      </c>
    </row>
    <row r="5" spans="1:11" ht="15" customHeight="1" x14ac:dyDescent="0.25">
      <c r="A5" s="8">
        <f t="shared" ref="A5:A11" si="1">ROW()-3</f>
        <v>2</v>
      </c>
      <c r="B5" s="30" t="s">
        <v>225</v>
      </c>
      <c r="C5" s="36" t="s">
        <v>0</v>
      </c>
      <c r="D5" s="35" t="s">
        <v>221</v>
      </c>
      <c r="E5" s="33" t="s">
        <v>232</v>
      </c>
      <c r="F5" s="30" t="s">
        <v>22</v>
      </c>
      <c r="G5" s="7" t="s">
        <v>233</v>
      </c>
      <c r="H5" s="79">
        <v>45934</v>
      </c>
      <c r="I5" s="53">
        <f t="shared" ca="1" si="0"/>
        <v>109</v>
      </c>
      <c r="J5" s="80" t="s">
        <v>57</v>
      </c>
    </row>
    <row r="6" spans="1:11" x14ac:dyDescent="0.25">
      <c r="A6" s="8">
        <f t="shared" si="1"/>
        <v>3</v>
      </c>
      <c r="B6" s="30" t="s">
        <v>226</v>
      </c>
      <c r="C6" s="36" t="s">
        <v>0</v>
      </c>
      <c r="D6" s="35" t="s">
        <v>221</v>
      </c>
      <c r="E6" s="33" t="s">
        <v>232</v>
      </c>
      <c r="F6" s="30" t="s">
        <v>22</v>
      </c>
      <c r="G6" s="7" t="s">
        <v>233</v>
      </c>
      <c r="H6" s="79">
        <v>45935</v>
      </c>
      <c r="I6" s="53">
        <f t="shared" ca="1" si="0"/>
        <v>108</v>
      </c>
      <c r="J6" s="80" t="s">
        <v>57</v>
      </c>
    </row>
    <row r="7" spans="1:11" x14ac:dyDescent="0.25">
      <c r="A7" s="8">
        <f t="shared" si="1"/>
        <v>4</v>
      </c>
      <c r="B7" s="30" t="s">
        <v>227</v>
      </c>
      <c r="C7" s="36" t="s">
        <v>0</v>
      </c>
      <c r="D7" s="35" t="s">
        <v>221</v>
      </c>
      <c r="E7" s="33" t="s">
        <v>232</v>
      </c>
      <c r="F7" s="30" t="s">
        <v>22</v>
      </c>
      <c r="G7" s="7" t="s">
        <v>233</v>
      </c>
      <c r="H7" s="79">
        <v>45935</v>
      </c>
      <c r="I7" s="53">
        <f t="shared" ca="1" si="0"/>
        <v>108</v>
      </c>
      <c r="J7" s="80" t="s">
        <v>57</v>
      </c>
    </row>
    <row r="8" spans="1:11" x14ac:dyDescent="0.25">
      <c r="A8" s="8">
        <f t="shared" si="1"/>
        <v>5</v>
      </c>
      <c r="B8" s="30" t="s">
        <v>228</v>
      </c>
      <c r="C8" s="36" t="s">
        <v>0</v>
      </c>
      <c r="D8" s="35" t="s">
        <v>221</v>
      </c>
      <c r="E8" s="33" t="s">
        <v>232</v>
      </c>
      <c r="F8" s="30" t="s">
        <v>22</v>
      </c>
      <c r="G8" s="7" t="s">
        <v>233</v>
      </c>
      <c r="H8" s="79">
        <v>45935</v>
      </c>
      <c r="I8" s="53">
        <f t="shared" ca="1" si="0"/>
        <v>108</v>
      </c>
      <c r="J8" s="80" t="s">
        <v>57</v>
      </c>
    </row>
    <row r="9" spans="1:11" x14ac:dyDescent="0.25">
      <c r="A9" s="8">
        <f t="shared" si="1"/>
        <v>6</v>
      </c>
      <c r="B9" s="30" t="s">
        <v>63</v>
      </c>
      <c r="C9" s="36" t="s">
        <v>0</v>
      </c>
      <c r="D9" s="35" t="s">
        <v>221</v>
      </c>
      <c r="E9" s="33" t="s">
        <v>232</v>
      </c>
      <c r="F9" s="30" t="s">
        <v>22</v>
      </c>
      <c r="G9" s="7" t="s">
        <v>233</v>
      </c>
      <c r="H9" s="79">
        <v>45935</v>
      </c>
      <c r="I9" s="53">
        <f t="shared" ca="1" si="0"/>
        <v>108</v>
      </c>
      <c r="J9" s="80" t="s">
        <v>57</v>
      </c>
    </row>
    <row r="10" spans="1:11" x14ac:dyDescent="0.25">
      <c r="A10" s="8">
        <f t="shared" si="1"/>
        <v>7</v>
      </c>
      <c r="B10" s="30" t="s">
        <v>229</v>
      </c>
      <c r="C10" s="36" t="s">
        <v>0</v>
      </c>
      <c r="D10" s="35" t="s">
        <v>221</v>
      </c>
      <c r="E10" s="33" t="s">
        <v>232</v>
      </c>
      <c r="F10" s="30" t="s">
        <v>22</v>
      </c>
      <c r="G10" s="7" t="s">
        <v>233</v>
      </c>
      <c r="H10" s="79">
        <v>45935</v>
      </c>
      <c r="I10" s="53">
        <f t="shared" ca="1" si="0"/>
        <v>108</v>
      </c>
      <c r="J10" s="80" t="s">
        <v>57</v>
      </c>
    </row>
    <row r="11" spans="1:11" x14ac:dyDescent="0.25">
      <c r="A11" s="8">
        <f t="shared" si="1"/>
        <v>8</v>
      </c>
      <c r="B11" s="30" t="s">
        <v>230</v>
      </c>
      <c r="C11" s="36" t="s">
        <v>0</v>
      </c>
      <c r="D11" s="21" t="s">
        <v>221</v>
      </c>
      <c r="E11" s="33" t="s">
        <v>232</v>
      </c>
      <c r="F11" s="30" t="s">
        <v>22</v>
      </c>
      <c r="G11" s="7" t="s">
        <v>234</v>
      </c>
      <c r="H11" s="79">
        <v>45936</v>
      </c>
      <c r="I11" s="53">
        <f t="shared" ca="1" si="0"/>
        <v>107</v>
      </c>
      <c r="J11" s="80" t="s">
        <v>57</v>
      </c>
    </row>
    <row r="12" spans="1:11" s="37" customFormat="1" x14ac:dyDescent="0.25">
      <c r="A12" s="13"/>
      <c r="B12" s="58"/>
      <c r="C12" s="39"/>
      <c r="D12" s="38"/>
      <c r="E12" s="43"/>
      <c r="I12" s="60"/>
      <c r="J12" s="13"/>
    </row>
    <row r="13" spans="1:11" s="37" customFormat="1" x14ac:dyDescent="0.25">
      <c r="A13" s="13"/>
      <c r="B13" s="58"/>
      <c r="C13" s="39"/>
      <c r="D13" s="38"/>
      <c r="E13" s="43"/>
      <c r="I13" s="60"/>
      <c r="J13" s="13"/>
    </row>
    <row r="14" spans="1:11" s="37" customFormat="1" ht="15.75" thickBot="1" x14ac:dyDescent="0.3">
      <c r="A14" s="47"/>
      <c r="B14" s="56"/>
      <c r="C14" s="39"/>
      <c r="D14" s="56"/>
      <c r="E14" s="12"/>
      <c r="F14" s="12"/>
      <c r="G14" s="12"/>
      <c r="H14" s="12"/>
      <c r="I14" s="12"/>
      <c r="J14" s="13"/>
      <c r="K14" s="51"/>
    </row>
    <row r="15" spans="1:11" s="37" customFormat="1" x14ac:dyDescent="0.25">
      <c r="A15" s="115" t="s">
        <v>21</v>
      </c>
      <c r="B15" s="116"/>
      <c r="C15" s="116"/>
      <c r="D15" s="116"/>
      <c r="E15" s="116"/>
      <c r="F15" s="116"/>
      <c r="G15" s="116"/>
      <c r="H15" s="116"/>
      <c r="I15" s="116"/>
      <c r="J15" s="117"/>
    </row>
    <row r="16" spans="1:11" s="37" customFormat="1" x14ac:dyDescent="0.25">
      <c r="A16" s="55" t="s">
        <v>1</v>
      </c>
      <c r="B16" s="41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/>
      <c r="I16" s="2"/>
      <c r="J16" s="2" t="s">
        <v>9</v>
      </c>
    </row>
    <row r="17" spans="1:10" x14ac:dyDescent="0.25">
      <c r="A17" s="8">
        <f>ROW()-16</f>
        <v>1</v>
      </c>
      <c r="B17" s="21" t="s">
        <v>219</v>
      </c>
      <c r="C17" s="36" t="s">
        <v>66</v>
      </c>
      <c r="D17" s="30" t="s">
        <v>11</v>
      </c>
      <c r="E17" s="21" t="s">
        <v>12</v>
      </c>
      <c r="F17" s="30" t="s">
        <v>22</v>
      </c>
      <c r="G17" s="24" t="s">
        <v>16</v>
      </c>
      <c r="H17" s="79">
        <v>45933</v>
      </c>
      <c r="I17" s="53">
        <v>3</v>
      </c>
      <c r="J17" s="80" t="s">
        <v>57</v>
      </c>
    </row>
    <row r="18" spans="1:10" x14ac:dyDescent="0.25">
      <c r="A18" s="8">
        <f t="shared" ref="A18:A21" si="2">ROW()-16</f>
        <v>2</v>
      </c>
      <c r="B18" s="21" t="s">
        <v>23</v>
      </c>
      <c r="C18" s="36" t="s">
        <v>66</v>
      </c>
      <c r="D18" s="35" t="s">
        <v>221</v>
      </c>
      <c r="E18" s="33" t="s">
        <v>222</v>
      </c>
      <c r="F18" s="30" t="s">
        <v>22</v>
      </c>
      <c r="G18" s="81" t="s">
        <v>220</v>
      </c>
      <c r="H18" s="79">
        <v>45933</v>
      </c>
      <c r="I18" s="53">
        <v>3</v>
      </c>
      <c r="J18" s="80" t="s">
        <v>57</v>
      </c>
    </row>
    <row r="19" spans="1:10" x14ac:dyDescent="0.25">
      <c r="A19" s="8">
        <f t="shared" si="2"/>
        <v>3</v>
      </c>
      <c r="B19" s="21" t="s">
        <v>42</v>
      </c>
      <c r="C19" s="36" t="s">
        <v>231</v>
      </c>
      <c r="D19" s="35" t="s">
        <v>221</v>
      </c>
      <c r="E19" s="33" t="s">
        <v>222</v>
      </c>
      <c r="F19" s="30" t="s">
        <v>22</v>
      </c>
      <c r="G19" s="81" t="s">
        <v>220</v>
      </c>
      <c r="H19" s="79">
        <v>45933</v>
      </c>
      <c r="I19" s="53"/>
      <c r="J19" s="80" t="s">
        <v>57</v>
      </c>
    </row>
    <row r="20" spans="1:10" x14ac:dyDescent="0.25">
      <c r="A20" s="8">
        <f t="shared" si="2"/>
        <v>4</v>
      </c>
      <c r="B20" s="21" t="s">
        <v>37</v>
      </c>
      <c r="C20" s="36" t="s">
        <v>143</v>
      </c>
      <c r="D20" s="35" t="s">
        <v>221</v>
      </c>
      <c r="E20" s="33" t="s">
        <v>222</v>
      </c>
      <c r="F20" s="30" t="s">
        <v>22</v>
      </c>
      <c r="G20" s="81" t="s">
        <v>220</v>
      </c>
      <c r="H20" s="79">
        <v>45934</v>
      </c>
      <c r="I20" s="53"/>
      <c r="J20" s="80" t="s">
        <v>57</v>
      </c>
    </row>
    <row r="21" spans="1:10" x14ac:dyDescent="0.25">
      <c r="A21" s="8">
        <f t="shared" si="2"/>
        <v>5</v>
      </c>
      <c r="B21" s="21" t="s">
        <v>224</v>
      </c>
      <c r="C21" s="36" t="s">
        <v>105</v>
      </c>
      <c r="D21" s="35" t="s">
        <v>221</v>
      </c>
      <c r="E21" s="33" t="s">
        <v>222</v>
      </c>
      <c r="F21" s="30" t="s">
        <v>22</v>
      </c>
      <c r="G21" s="81" t="s">
        <v>220</v>
      </c>
      <c r="H21" s="79">
        <v>45934</v>
      </c>
      <c r="I21" s="53"/>
      <c r="J21" s="80" t="s">
        <v>57</v>
      </c>
    </row>
    <row r="22" spans="1:10" x14ac:dyDescent="0.25">
      <c r="A22" s="13"/>
      <c r="B22" s="38"/>
      <c r="C22" s="39"/>
      <c r="D22" s="38"/>
      <c r="E22" s="82"/>
      <c r="F22" s="12"/>
      <c r="G22" s="12"/>
      <c r="H22" s="59"/>
      <c r="I22" s="60"/>
      <c r="J22" s="83"/>
    </row>
    <row r="23" spans="1:10" s="37" customFormat="1" x14ac:dyDescent="0.25">
      <c r="A23" s="13"/>
      <c r="B23" s="38"/>
      <c r="C23" s="39"/>
      <c r="D23" s="38"/>
      <c r="E23" s="82"/>
      <c r="F23" s="12"/>
      <c r="G23" s="12"/>
      <c r="H23" s="59"/>
      <c r="I23" s="60"/>
      <c r="J23" s="83"/>
    </row>
    <row r="24" spans="1:10" ht="28.9" customHeight="1" x14ac:dyDescent="0.25">
      <c r="A24" s="47"/>
      <c r="B24" s="56"/>
      <c r="C24" s="39"/>
      <c r="D24" s="56"/>
      <c r="E24" s="12"/>
      <c r="F24" s="12"/>
      <c r="G24" s="12"/>
      <c r="H24" s="12"/>
      <c r="I24" s="12"/>
      <c r="J24" s="13"/>
    </row>
    <row r="25" spans="1:10" x14ac:dyDescent="0.25">
      <c r="A25" s="118" t="s">
        <v>68</v>
      </c>
      <c r="B25" s="119"/>
      <c r="C25" s="119"/>
      <c r="D25" s="119"/>
      <c r="E25" s="119"/>
      <c r="F25" s="119"/>
      <c r="G25" s="119"/>
      <c r="H25" s="119"/>
      <c r="I25" s="119"/>
      <c r="J25" s="120"/>
    </row>
    <row r="26" spans="1:10" x14ac:dyDescent="0.25">
      <c r="A26" s="55" t="s">
        <v>1</v>
      </c>
      <c r="B26" s="41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/>
      <c r="I26" s="2"/>
      <c r="J26" s="2" t="s">
        <v>9</v>
      </c>
    </row>
    <row r="27" spans="1:10" s="37" customFormat="1" ht="15" customHeight="1" x14ac:dyDescent="0.25">
      <c r="A27" s="8">
        <f>ROW()-26</f>
        <v>1</v>
      </c>
      <c r="B27" s="33" t="s">
        <v>209</v>
      </c>
      <c r="C27" s="45" t="s">
        <v>110</v>
      </c>
      <c r="D27" s="21" t="s">
        <v>11</v>
      </c>
      <c r="E27" s="21" t="s">
        <v>12</v>
      </c>
      <c r="F27" s="30" t="s">
        <v>22</v>
      </c>
      <c r="G27" s="24" t="s">
        <v>53</v>
      </c>
      <c r="H27" s="70">
        <v>45931</v>
      </c>
      <c r="I27" s="71">
        <f ca="1">TODAY()-H27+1</f>
        <v>112</v>
      </c>
      <c r="J27" s="24" t="s">
        <v>57</v>
      </c>
    </row>
    <row r="28" spans="1:10" s="37" customFormat="1" ht="15" customHeight="1" x14ac:dyDescent="0.25">
      <c r="A28" s="13"/>
      <c r="B28" s="43"/>
      <c r="C28" s="48"/>
      <c r="F28" s="12"/>
    </row>
    <row r="29" spans="1:10" s="37" customFormat="1" ht="15" customHeight="1" x14ac:dyDescent="0.25">
      <c r="A29" s="54"/>
      <c r="B29" s="42"/>
      <c r="C29"/>
      <c r="D29"/>
      <c r="E29"/>
      <c r="F29"/>
      <c r="G29"/>
      <c r="H29"/>
      <c r="I29"/>
      <c r="J29"/>
    </row>
    <row r="30" spans="1:10" s="37" customFormat="1" ht="15" customHeight="1" x14ac:dyDescent="0.25">
      <c r="A30" s="118" t="s">
        <v>145</v>
      </c>
      <c r="B30" s="119"/>
      <c r="C30" s="119"/>
      <c r="D30" s="119"/>
      <c r="E30" s="119"/>
      <c r="F30" s="119"/>
      <c r="G30" s="119"/>
      <c r="H30" s="119"/>
      <c r="I30" s="119"/>
      <c r="J30" s="120"/>
    </row>
    <row r="31" spans="1:10" x14ac:dyDescent="0.25">
      <c r="A31" s="57" t="s">
        <v>1</v>
      </c>
      <c r="B31" s="44" t="s">
        <v>2</v>
      </c>
      <c r="C31" s="15" t="s">
        <v>40</v>
      </c>
      <c r="D31" s="15" t="s">
        <v>4</v>
      </c>
      <c r="E31" s="15" t="s">
        <v>5</v>
      </c>
      <c r="F31" s="15" t="s">
        <v>6</v>
      </c>
      <c r="G31" s="15" t="s">
        <v>7</v>
      </c>
      <c r="H31" s="15"/>
      <c r="I31" s="15" t="s">
        <v>31</v>
      </c>
      <c r="J31" s="15" t="s">
        <v>9</v>
      </c>
    </row>
    <row r="32" spans="1:10" ht="15.75" x14ac:dyDescent="0.25">
      <c r="A32" s="66">
        <f t="shared" ref="A32:A33" si="3">ROW()-31</f>
        <v>1</v>
      </c>
      <c r="B32" s="72" t="s">
        <v>202</v>
      </c>
      <c r="C32" s="68" t="s">
        <v>145</v>
      </c>
      <c r="D32" s="67" t="s">
        <v>11</v>
      </c>
      <c r="E32" s="67" t="s">
        <v>12</v>
      </c>
      <c r="F32" s="67" t="s">
        <v>22</v>
      </c>
      <c r="G32" s="69" t="s">
        <v>169</v>
      </c>
      <c r="H32" s="77">
        <v>45928</v>
      </c>
      <c r="I32" s="71">
        <f t="shared" ref="I32" ca="1" si="4">TODAY()-H32+1</f>
        <v>115</v>
      </c>
      <c r="J32" s="24" t="s">
        <v>57</v>
      </c>
    </row>
    <row r="33" spans="1:10" ht="15.75" x14ac:dyDescent="0.25">
      <c r="A33" s="66">
        <f t="shared" si="3"/>
        <v>2</v>
      </c>
      <c r="B33" s="35" t="s">
        <v>207</v>
      </c>
      <c r="C33" s="68" t="s">
        <v>145</v>
      </c>
      <c r="D33" s="21" t="s">
        <v>11</v>
      </c>
      <c r="E33" s="21" t="s">
        <v>12</v>
      </c>
      <c r="F33" s="30" t="s">
        <v>22</v>
      </c>
      <c r="G33" s="24" t="s">
        <v>16</v>
      </c>
      <c r="H33" s="78">
        <v>45932</v>
      </c>
      <c r="I33" s="71">
        <f ca="1">TODAY()-H33+1</f>
        <v>111</v>
      </c>
      <c r="J33" s="24" t="s">
        <v>57</v>
      </c>
    </row>
  </sheetData>
  <mergeCells count="4">
    <mergeCell ref="A2:J2"/>
    <mergeCell ref="A15:J15"/>
    <mergeCell ref="A25:J25"/>
    <mergeCell ref="A30:J30"/>
  </mergeCells>
  <conditionalFormatting sqref="B1:B1048576">
    <cfRule type="duplicateValues" dxfId="867" priority="1"/>
    <cfRule type="duplicateValues" dxfId="866" priority="27296"/>
    <cfRule type="duplicateValues" dxfId="865" priority="27297"/>
  </conditionalFormatting>
  <conditionalFormatting sqref="B4:B11 B17:B23">
    <cfRule type="duplicateValues" dxfId="864" priority="25830"/>
  </conditionalFormatting>
  <conditionalFormatting sqref="B12:B14">
    <cfRule type="duplicateValues" dxfId="863" priority="644"/>
    <cfRule type="duplicateValues" dxfId="862" priority="645" stopIfTrue="1"/>
    <cfRule type="duplicateValues" dxfId="861" priority="646"/>
  </conditionalFormatting>
  <conditionalFormatting sqref="B17:B19">
    <cfRule type="duplicateValues" dxfId="860" priority="585"/>
  </conditionalFormatting>
  <conditionalFormatting sqref="B17:B21 B4:B10">
    <cfRule type="duplicateValues" dxfId="859" priority="586"/>
    <cfRule type="duplicateValues" dxfId="858" priority="587"/>
    <cfRule type="duplicateValues" dxfId="857" priority="588"/>
  </conditionalFormatting>
  <conditionalFormatting sqref="B24">
    <cfRule type="duplicateValues" dxfId="856" priority="637"/>
    <cfRule type="duplicateValues" dxfId="855" priority="638" stopIfTrue="1"/>
  </conditionalFormatting>
  <conditionalFormatting sqref="B24:B1048576 B1:B3 B12:B16">
    <cfRule type="duplicateValues" dxfId="854" priority="27302"/>
  </conditionalFormatting>
  <conditionalFormatting sqref="B26 B1 B16 B3">
    <cfRule type="duplicateValues" dxfId="853" priority="721" stopIfTrue="1"/>
  </conditionalFormatting>
  <conditionalFormatting sqref="B28">
    <cfRule type="duplicateValues" dxfId="852" priority="626"/>
    <cfRule type="duplicateValues" dxfId="851" priority="627"/>
    <cfRule type="duplicateValues" dxfId="850" priority="628"/>
    <cfRule type="duplicateValues" dxfId="849" priority="629"/>
    <cfRule type="duplicateValues" dxfId="848" priority="630"/>
    <cfRule type="duplicateValues" dxfId="847" priority="631"/>
    <cfRule type="duplicateValues" dxfId="846" priority="632"/>
    <cfRule type="duplicateValues" dxfId="845" priority="633"/>
    <cfRule type="duplicateValues" dxfId="844" priority="634"/>
  </conditionalFormatting>
  <conditionalFormatting sqref="B31 B29">
    <cfRule type="duplicateValues" dxfId="843" priority="635" stopIfTrue="1"/>
  </conditionalFormatting>
  <conditionalFormatting sqref="B32">
    <cfRule type="duplicateValues" dxfId="842" priority="24861"/>
    <cfRule type="duplicateValues" dxfId="841" priority="24862"/>
    <cfRule type="duplicateValues" dxfId="840" priority="24863"/>
    <cfRule type="duplicateValues" dxfId="839" priority="26912"/>
  </conditionalFormatting>
  <conditionalFormatting sqref="B33 B27">
    <cfRule type="duplicateValues" dxfId="838" priority="648"/>
  </conditionalFormatting>
  <conditionalFormatting sqref="B33:B1048576 B24:B31 B1:B3 B12:B16">
    <cfRule type="duplicateValues" dxfId="837" priority="27307"/>
    <cfRule type="duplicateValues" dxfId="836" priority="27308"/>
    <cfRule type="duplicateValues" dxfId="835" priority="27309"/>
    <cfRule type="duplicateValues" dxfId="834" priority="27310"/>
    <cfRule type="duplicateValues" dxfId="833" priority="27311"/>
    <cfRule type="duplicateValues" dxfId="832" priority="27312"/>
    <cfRule type="duplicateValues" dxfId="831" priority="27313"/>
    <cfRule type="duplicateValues" dxfId="830" priority="27314"/>
    <cfRule type="duplicateValues" dxfId="829" priority="27315"/>
    <cfRule type="duplicateValues" dxfId="828" priority="27316"/>
    <cfRule type="duplicateValues" dxfId="827" priority="27317"/>
    <cfRule type="duplicateValues" dxfId="826" priority="27318"/>
    <cfRule type="duplicateValues" dxfId="825" priority="27319"/>
  </conditionalFormatting>
  <conditionalFormatting sqref="B34:B1048576 B26 B1:B3 B12:B14 B16 B29 B31 B24">
    <cfRule type="duplicateValues" dxfId="824" priority="27385"/>
    <cfRule type="duplicateValues" dxfId="823" priority="27386"/>
    <cfRule type="duplicateValues" dxfId="822" priority="27387"/>
    <cfRule type="duplicateValues" dxfId="821" priority="27388"/>
    <cfRule type="duplicateValues" dxfId="820" priority="27389"/>
    <cfRule type="duplicateValues" dxfId="819" priority="27390"/>
    <cfRule type="duplicateValues" dxfId="818" priority="27391"/>
    <cfRule type="duplicateValues" dxfId="817" priority="27392"/>
    <cfRule type="duplicateValues" dxfId="816" priority="27393"/>
    <cfRule type="duplicateValues" dxfId="815" priority="27394"/>
    <cfRule type="duplicateValues" dxfId="814" priority="27395"/>
    <cfRule type="duplicateValues" dxfId="813" priority="27396"/>
    <cfRule type="duplicateValues" dxfId="812" priority="27397"/>
    <cfRule type="duplicateValues" dxfId="811" priority="27398"/>
    <cfRule type="duplicateValues" dxfId="810" priority="27399"/>
    <cfRule type="duplicateValues" dxfId="809" priority="27400"/>
    <cfRule type="duplicateValues" dxfId="808" priority="27401"/>
    <cfRule type="duplicateValues" dxfId="807" priority="27402"/>
    <cfRule type="duplicateValues" dxfId="806" priority="27403"/>
    <cfRule type="duplicateValues" dxfId="805" priority="27404"/>
    <cfRule type="duplicateValues" dxfId="804" priority="27405"/>
    <cfRule type="duplicateValues" dxfId="803" priority="27406"/>
    <cfRule type="duplicateValues" dxfId="802" priority="27407"/>
    <cfRule type="duplicateValues" dxfId="801" priority="27408"/>
    <cfRule type="duplicateValues" dxfId="800" priority="27409"/>
    <cfRule type="duplicateValues" dxfId="799" priority="27410"/>
    <cfRule type="duplicateValues" dxfId="798" priority="27411"/>
    <cfRule type="duplicateValues" dxfId="797" priority="27412"/>
  </conditionalFormatting>
  <conditionalFormatting sqref="B34:B1048576 B28:B29 B1:B3 B12:B14 B16 B26 B31 B24">
    <cfRule type="duplicateValues" dxfId="796" priority="27665"/>
    <cfRule type="duplicateValues" dxfId="795" priority="27666"/>
    <cfRule type="duplicateValues" dxfId="794" priority="27667"/>
    <cfRule type="duplicateValues" dxfId="793" priority="27668"/>
    <cfRule type="duplicateValues" dxfId="792" priority="27669"/>
  </conditionalFormatting>
  <conditionalFormatting sqref="B34:B1048576 B28:B29 B1:B3 B12:B14 B26 B16 B31 B24">
    <cfRule type="duplicateValues" dxfId="791" priority="27715"/>
    <cfRule type="duplicateValues" dxfId="790" priority="27716"/>
  </conditionalFormatting>
  <conditionalFormatting sqref="B34:B1048576 B28:B31 B24:B26 B1:B3 B12:B16">
    <cfRule type="duplicateValues" dxfId="789" priority="27735"/>
    <cfRule type="duplicateValues" dxfId="788" priority="27736"/>
    <cfRule type="duplicateValues" dxfId="787" priority="27737"/>
  </conditionalFormatting>
  <conditionalFormatting sqref="B34:B1048576 B29 B31 B24">
    <cfRule type="duplicateValues" dxfId="786" priority="27756"/>
  </conditionalFormatting>
  <conditionalFormatting sqref="B34:B1048576 B29 B31">
    <cfRule type="duplicateValues" dxfId="785" priority="27762"/>
  </conditionalFormatting>
  <conditionalFormatting sqref="B34:B1048576 B31 B16 B26 B1:B3 B12:B14 B28:B29 B24">
    <cfRule type="duplicateValues" dxfId="784" priority="27767"/>
  </conditionalFormatting>
  <conditionalFormatting sqref="B34:B1048576">
    <cfRule type="duplicateValues" dxfId="783" priority="27777"/>
    <cfRule type="duplicateValues" dxfId="782" priority="27778"/>
    <cfRule type="duplicateValues" dxfId="781" priority="27779"/>
    <cfRule type="duplicateValues" dxfId="780" priority="27780"/>
    <cfRule type="duplicateValues" dxfId="779" priority="27781"/>
    <cfRule type="duplicateValues" dxfId="778" priority="27782"/>
    <cfRule type="duplicateValues" dxfId="777" priority="27783"/>
    <cfRule type="duplicateValues" dxfId="776" priority="27784"/>
  </conditionalFormatting>
  <conditionalFormatting sqref="K14">
    <cfRule type="duplicateValues" dxfId="775" priority="636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5B2B-07F3-4D85-B7B7-31F6B9B04319}">
  <dimension ref="A1:L55"/>
  <sheetViews>
    <sheetView topLeftCell="A6" workbookViewId="0">
      <selection activeCell="B14" sqref="B14"/>
    </sheetView>
  </sheetViews>
  <sheetFormatPr defaultRowHeight="15" x14ac:dyDescent="0.25"/>
  <cols>
    <col min="2" max="2" width="10.28515625" style="42" bestFit="1" customWidth="1"/>
    <col min="3" max="3" width="17" customWidth="1"/>
    <col min="4" max="4" width="25.28515625" customWidth="1"/>
    <col min="5" max="5" width="36.85546875" bestFit="1" customWidth="1"/>
    <col min="6" max="6" width="21" customWidth="1"/>
    <col min="7" max="7" width="8.28515625" customWidth="1"/>
    <col min="8" max="8" width="10.42578125" hidden="1" customWidth="1"/>
    <col min="9" max="9" width="17.5703125" customWidth="1"/>
  </cols>
  <sheetData>
    <row r="1" spans="1:12" hidden="1" x14ac:dyDescent="0.25"/>
    <row r="2" spans="1:12" hidden="1" x14ac:dyDescent="0.25">
      <c r="A2" s="115" t="s">
        <v>0</v>
      </c>
      <c r="B2" s="116"/>
      <c r="C2" s="116"/>
      <c r="D2" s="116"/>
      <c r="E2" s="116"/>
      <c r="F2" s="116"/>
      <c r="G2" s="116"/>
      <c r="H2" s="116"/>
      <c r="I2" s="116"/>
      <c r="J2" s="117"/>
    </row>
    <row r="3" spans="1:12" hidden="1" x14ac:dyDescent="0.25">
      <c r="A3" s="55" t="s">
        <v>1</v>
      </c>
      <c r="B3" s="4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5" t="s">
        <v>236</v>
      </c>
      <c r="I3" s="2"/>
      <c r="J3" s="2" t="s">
        <v>9</v>
      </c>
    </row>
    <row r="4" spans="1:12" hidden="1" x14ac:dyDescent="0.25">
      <c r="A4" s="13"/>
      <c r="B4" s="38"/>
      <c r="C4" s="39"/>
      <c r="D4" s="38"/>
      <c r="E4" s="43"/>
      <c r="F4" s="37"/>
      <c r="G4" s="43"/>
      <c r="H4" s="59"/>
      <c r="I4" s="60"/>
      <c r="J4" s="83"/>
    </row>
    <row r="5" spans="1:12" s="37" customFormat="1" hidden="1" x14ac:dyDescent="0.25">
      <c r="A5" s="13"/>
      <c r="B5" s="58"/>
      <c r="C5" s="39"/>
      <c r="D5" s="38"/>
      <c r="E5" s="43"/>
      <c r="I5" s="60"/>
      <c r="J5" s="13"/>
    </row>
    <row r="6" spans="1:12" s="37" customFormat="1" ht="15.75" thickBot="1" x14ac:dyDescent="0.3">
      <c r="A6" s="47"/>
      <c r="B6" s="56"/>
      <c r="C6" s="39"/>
      <c r="D6" s="56"/>
      <c r="E6" s="12"/>
      <c r="F6" s="12"/>
      <c r="G6" s="12"/>
      <c r="H6" s="12"/>
      <c r="I6" s="12"/>
      <c r="J6" s="13"/>
      <c r="K6" s="51"/>
    </row>
    <row r="7" spans="1:12" s="37" customFormat="1" x14ac:dyDescent="0.25">
      <c r="A7" s="115" t="s">
        <v>21</v>
      </c>
      <c r="B7" s="116"/>
      <c r="C7" s="116"/>
      <c r="D7" s="116"/>
      <c r="E7" s="116"/>
      <c r="F7" s="116"/>
      <c r="G7" s="116"/>
      <c r="H7" s="116"/>
      <c r="I7" s="116"/>
      <c r="J7" s="117"/>
    </row>
    <row r="8" spans="1:12" s="37" customFormat="1" x14ac:dyDescent="0.25">
      <c r="A8" s="55" t="s">
        <v>1</v>
      </c>
      <c r="B8" s="41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15" t="s">
        <v>236</v>
      </c>
      <c r="I8" s="2"/>
      <c r="J8" s="2" t="s">
        <v>9</v>
      </c>
    </row>
    <row r="9" spans="1:12" s="37" customFormat="1" ht="15" customHeight="1" x14ac:dyDescent="0.25">
      <c r="A9" s="8">
        <f>ROW()-8</f>
        <v>1</v>
      </c>
      <c r="B9" s="21" t="s">
        <v>238</v>
      </c>
      <c r="C9" s="36" t="s">
        <v>119</v>
      </c>
      <c r="D9" s="24" t="s">
        <v>221</v>
      </c>
      <c r="E9" s="30" t="s">
        <v>232</v>
      </c>
      <c r="F9" s="30" t="s">
        <v>22</v>
      </c>
      <c r="G9" s="24" t="s">
        <v>53</v>
      </c>
      <c r="H9" s="79"/>
      <c r="I9" s="53"/>
      <c r="J9" s="24" t="s">
        <v>57</v>
      </c>
    </row>
    <row r="10" spans="1:12" ht="30" x14ac:dyDescent="0.25">
      <c r="A10" s="8">
        <f t="shared" ref="A10:A15" si="0">ROW()-8</f>
        <v>2</v>
      </c>
      <c r="B10" s="30" t="s">
        <v>175</v>
      </c>
      <c r="C10" s="36" t="s">
        <v>44</v>
      </c>
      <c r="D10" s="24" t="s">
        <v>221</v>
      </c>
      <c r="E10" s="30" t="s">
        <v>232</v>
      </c>
      <c r="F10" s="30" t="s">
        <v>22</v>
      </c>
      <c r="G10" s="30" t="s">
        <v>16</v>
      </c>
      <c r="H10" s="65"/>
      <c r="I10" s="53"/>
      <c r="J10" s="24" t="s">
        <v>57</v>
      </c>
    </row>
    <row r="11" spans="1:12" ht="30" x14ac:dyDescent="0.25">
      <c r="A11" s="8">
        <f t="shared" si="0"/>
        <v>3</v>
      </c>
      <c r="B11" s="30" t="s">
        <v>246</v>
      </c>
      <c r="C11" s="36" t="s">
        <v>33</v>
      </c>
      <c r="D11" s="24" t="s">
        <v>221</v>
      </c>
      <c r="E11" s="30" t="s">
        <v>232</v>
      </c>
      <c r="F11" s="30" t="s">
        <v>22</v>
      </c>
      <c r="G11" s="30" t="s">
        <v>53</v>
      </c>
      <c r="H11" s="65"/>
      <c r="I11" s="53"/>
      <c r="J11" s="24" t="s">
        <v>57</v>
      </c>
    </row>
    <row r="12" spans="1:12" x14ac:dyDescent="0.25">
      <c r="A12" s="8">
        <f t="shared" si="0"/>
        <v>4</v>
      </c>
      <c r="B12" s="21" t="s">
        <v>240</v>
      </c>
      <c r="C12" s="36" t="s">
        <v>103</v>
      </c>
      <c r="D12" s="24" t="s">
        <v>221</v>
      </c>
      <c r="E12" s="30" t="s">
        <v>232</v>
      </c>
      <c r="F12" s="30" t="s">
        <v>22</v>
      </c>
      <c r="G12" s="24" t="s">
        <v>53</v>
      </c>
      <c r="H12" s="79"/>
      <c r="I12" s="53"/>
      <c r="J12" s="24" t="s">
        <v>57</v>
      </c>
    </row>
    <row r="13" spans="1:12" s="37" customFormat="1" x14ac:dyDescent="0.25">
      <c r="A13" s="8">
        <f t="shared" si="0"/>
        <v>5</v>
      </c>
      <c r="B13" s="21" t="s">
        <v>239</v>
      </c>
      <c r="C13" s="36" t="s">
        <v>119</v>
      </c>
      <c r="D13" s="24" t="s">
        <v>221</v>
      </c>
      <c r="E13" s="30" t="s">
        <v>232</v>
      </c>
      <c r="F13" s="30" t="s">
        <v>22</v>
      </c>
      <c r="G13" s="24" t="s">
        <v>13</v>
      </c>
      <c r="H13" s="65">
        <v>45982</v>
      </c>
      <c r="I13" s="53">
        <f ca="1">TODAY()-H13</f>
        <v>60</v>
      </c>
      <c r="J13" s="24" t="s">
        <v>57</v>
      </c>
      <c r="L13" s="12"/>
    </row>
    <row r="14" spans="1:12" x14ac:dyDescent="0.25">
      <c r="A14" s="8">
        <f t="shared" si="0"/>
        <v>6</v>
      </c>
      <c r="B14" s="21" t="s">
        <v>249</v>
      </c>
      <c r="C14" s="36" t="s">
        <v>252</v>
      </c>
      <c r="D14" s="24" t="s">
        <v>221</v>
      </c>
      <c r="E14" s="30" t="s">
        <v>232</v>
      </c>
      <c r="F14" s="30" t="s">
        <v>22</v>
      </c>
      <c r="G14" s="30" t="s">
        <v>13</v>
      </c>
      <c r="H14" s="65">
        <v>45981</v>
      </c>
      <c r="I14" s="53">
        <f ca="1">TODAY()-H14</f>
        <v>61</v>
      </c>
      <c r="J14" s="24" t="s">
        <v>57</v>
      </c>
    </row>
    <row r="15" spans="1:12" x14ac:dyDescent="0.25">
      <c r="A15" s="8">
        <f t="shared" si="0"/>
        <v>7</v>
      </c>
      <c r="B15" s="21" t="s">
        <v>241</v>
      </c>
      <c r="C15" s="36" t="s">
        <v>64</v>
      </c>
      <c r="D15" s="24" t="s">
        <v>221</v>
      </c>
      <c r="E15" s="30" t="s">
        <v>232</v>
      </c>
      <c r="F15" s="30" t="s">
        <v>22</v>
      </c>
      <c r="G15" s="24" t="s">
        <v>13</v>
      </c>
      <c r="H15" s="79"/>
      <c r="I15" s="53"/>
      <c r="J15" s="24" t="s">
        <v>57</v>
      </c>
    </row>
    <row r="18" spans="1:11" x14ac:dyDescent="0.25">
      <c r="A18" s="13"/>
      <c r="B18" s="38"/>
      <c r="C18" s="39"/>
      <c r="D18" s="37"/>
      <c r="E18" s="43"/>
      <c r="F18" s="43"/>
      <c r="G18" s="43"/>
      <c r="H18" s="59"/>
      <c r="I18" s="60"/>
      <c r="J18" s="37"/>
    </row>
    <row r="19" spans="1:11" s="37" customFormat="1" x14ac:dyDescent="0.25">
      <c r="A19" s="13"/>
      <c r="B19" s="38"/>
      <c r="C19" s="39"/>
      <c r="D19" s="38"/>
      <c r="E19" s="82"/>
      <c r="F19" s="12"/>
      <c r="G19" s="12"/>
      <c r="H19" s="59"/>
      <c r="I19" s="60"/>
      <c r="J19" s="83"/>
    </row>
    <row r="20" spans="1:11" x14ac:dyDescent="0.25">
      <c r="A20" s="118" t="s">
        <v>68</v>
      </c>
      <c r="B20" s="119"/>
      <c r="C20" s="119"/>
      <c r="D20" s="119"/>
      <c r="E20" s="119"/>
      <c r="F20" s="119"/>
      <c r="G20" s="119"/>
      <c r="H20" s="119"/>
      <c r="I20" s="119"/>
      <c r="J20" s="120"/>
    </row>
    <row r="21" spans="1:11" x14ac:dyDescent="0.25">
      <c r="A21" s="55" t="s">
        <v>1</v>
      </c>
      <c r="B21" s="41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/>
      <c r="I21" s="2"/>
      <c r="J21" s="2" t="s">
        <v>9</v>
      </c>
    </row>
    <row r="22" spans="1:11" ht="15.75" x14ac:dyDescent="0.25">
      <c r="A22" s="8">
        <f>ROW()-21</f>
        <v>1</v>
      </c>
      <c r="B22" s="21" t="s">
        <v>250</v>
      </c>
      <c r="C22" s="36" t="s">
        <v>110</v>
      </c>
      <c r="D22" s="24" t="s">
        <v>221</v>
      </c>
      <c r="E22" s="30" t="s">
        <v>232</v>
      </c>
      <c r="F22" s="30" t="s">
        <v>22</v>
      </c>
      <c r="G22" s="30" t="s">
        <v>13</v>
      </c>
      <c r="H22" s="94">
        <v>45982</v>
      </c>
      <c r="I22" s="95">
        <f t="shared" ref="I22" ca="1" si="1">TODAY()-H22+1</f>
        <v>61</v>
      </c>
      <c r="J22" s="24" t="s">
        <v>57</v>
      </c>
    </row>
    <row r="23" spans="1:11" x14ac:dyDescent="0.25">
      <c r="A23" s="13"/>
      <c r="B23" s="38"/>
      <c r="C23" s="39"/>
      <c r="D23" s="43"/>
      <c r="E23" s="38"/>
      <c r="F23" s="43"/>
      <c r="G23" s="37"/>
      <c r="H23" s="91"/>
      <c r="I23" s="92"/>
      <c r="J23" s="83"/>
    </row>
    <row r="24" spans="1:11" x14ac:dyDescent="0.25">
      <c r="A24" s="47"/>
      <c r="B24" s="56"/>
      <c r="C24" s="39"/>
      <c r="D24" s="56"/>
      <c r="E24" s="12"/>
      <c r="F24" s="12"/>
      <c r="G24" s="12"/>
      <c r="H24" s="12"/>
      <c r="I24" s="12"/>
      <c r="J24" s="13"/>
    </row>
    <row r="25" spans="1:11" x14ac:dyDescent="0.25">
      <c r="A25" s="118" t="s">
        <v>30</v>
      </c>
      <c r="B25" s="119"/>
      <c r="C25" s="119"/>
      <c r="D25" s="119"/>
      <c r="E25" s="119"/>
      <c r="F25" s="119"/>
      <c r="G25" s="119"/>
      <c r="H25" s="119"/>
      <c r="I25" s="119"/>
      <c r="J25" s="120"/>
    </row>
    <row r="26" spans="1:11" x14ac:dyDescent="0.25">
      <c r="A26" s="55" t="s">
        <v>1</v>
      </c>
      <c r="B26" s="41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15" t="s">
        <v>236</v>
      </c>
      <c r="I26" s="2"/>
      <c r="J26" s="2" t="s">
        <v>9</v>
      </c>
    </row>
    <row r="27" spans="1:11" s="37" customFormat="1" ht="15" customHeight="1" x14ac:dyDescent="0.25">
      <c r="A27" s="8">
        <f>ROW()-26</f>
        <v>1</v>
      </c>
      <c r="B27" s="21" t="s">
        <v>242</v>
      </c>
      <c r="C27" s="36" t="s">
        <v>33</v>
      </c>
      <c r="D27" s="24" t="s">
        <v>221</v>
      </c>
      <c r="E27" s="30" t="s">
        <v>232</v>
      </c>
      <c r="F27" s="30" t="s">
        <v>22</v>
      </c>
      <c r="G27" s="30" t="s">
        <v>13</v>
      </c>
      <c r="H27" s="94">
        <v>45982</v>
      </c>
      <c r="I27" s="95">
        <f t="shared" ref="I27:I34" ca="1" si="2">TODAY()-H27+1</f>
        <v>61</v>
      </c>
      <c r="J27" s="24" t="s">
        <v>57</v>
      </c>
    </row>
    <row r="28" spans="1:11" s="37" customFormat="1" ht="15" customHeight="1" x14ac:dyDescent="0.25">
      <c r="A28" s="8">
        <f t="shared" ref="A28:A34" si="3">ROW()-26</f>
        <v>2</v>
      </c>
      <c r="B28" s="21" t="s">
        <v>237</v>
      </c>
      <c r="C28" s="36" t="s">
        <v>33</v>
      </c>
      <c r="D28" s="24" t="s">
        <v>221</v>
      </c>
      <c r="E28" s="30" t="s">
        <v>222</v>
      </c>
      <c r="F28" s="30" t="s">
        <v>22</v>
      </c>
      <c r="G28" s="7" t="s">
        <v>235</v>
      </c>
      <c r="H28" s="94">
        <v>45982</v>
      </c>
      <c r="I28" s="95">
        <f t="shared" ca="1" si="2"/>
        <v>61</v>
      </c>
      <c r="J28" s="24" t="s">
        <v>57</v>
      </c>
    </row>
    <row r="29" spans="1:11" s="37" customFormat="1" ht="15" customHeight="1" x14ac:dyDescent="0.25">
      <c r="A29" s="8">
        <f t="shared" si="3"/>
        <v>3</v>
      </c>
      <c r="B29" s="21" t="s">
        <v>243</v>
      </c>
      <c r="C29" s="36" t="s">
        <v>33</v>
      </c>
      <c r="D29" s="24" t="s">
        <v>221</v>
      </c>
      <c r="E29" s="30" t="s">
        <v>232</v>
      </c>
      <c r="F29" s="30" t="s">
        <v>22</v>
      </c>
      <c r="G29" s="30" t="s">
        <v>13</v>
      </c>
      <c r="H29" s="94">
        <v>45982</v>
      </c>
      <c r="I29" s="95">
        <f t="shared" ca="1" si="2"/>
        <v>61</v>
      </c>
      <c r="J29" s="24" t="s">
        <v>57</v>
      </c>
      <c r="K29" s="93"/>
    </row>
    <row r="30" spans="1:11" s="37" customFormat="1" ht="15" customHeight="1" x14ac:dyDescent="0.25">
      <c r="A30" s="8">
        <f t="shared" si="3"/>
        <v>4</v>
      </c>
      <c r="B30" s="21" t="s">
        <v>244</v>
      </c>
      <c r="C30" s="36" t="s">
        <v>33</v>
      </c>
      <c r="D30" s="24" t="s">
        <v>221</v>
      </c>
      <c r="E30" s="30" t="s">
        <v>232</v>
      </c>
      <c r="F30" s="30" t="s">
        <v>22</v>
      </c>
      <c r="G30" s="30" t="s">
        <v>16</v>
      </c>
      <c r="H30" s="94">
        <v>45982</v>
      </c>
      <c r="I30" s="95">
        <f t="shared" ca="1" si="2"/>
        <v>61</v>
      </c>
      <c r="J30" s="24" t="s">
        <v>57</v>
      </c>
    </row>
    <row r="31" spans="1:11" s="37" customFormat="1" ht="15.75" x14ac:dyDescent="0.25">
      <c r="A31" s="8">
        <f t="shared" si="3"/>
        <v>5</v>
      </c>
      <c r="B31" s="21" t="s">
        <v>154</v>
      </c>
      <c r="C31" s="36" t="s">
        <v>33</v>
      </c>
      <c r="D31" s="24" t="s">
        <v>221</v>
      </c>
      <c r="E31" s="30" t="s">
        <v>232</v>
      </c>
      <c r="F31" s="30" t="s">
        <v>22</v>
      </c>
      <c r="G31" s="30" t="s">
        <v>13</v>
      </c>
      <c r="H31" s="94">
        <v>45982</v>
      </c>
      <c r="I31" s="95">
        <f t="shared" ca="1" si="2"/>
        <v>61</v>
      </c>
      <c r="J31" s="24" t="s">
        <v>57</v>
      </c>
    </row>
    <row r="32" spans="1:11" s="37" customFormat="1" ht="15.75" x14ac:dyDescent="0.25">
      <c r="A32" s="8">
        <f t="shared" si="3"/>
        <v>6</v>
      </c>
      <c r="B32" s="21" t="s">
        <v>245</v>
      </c>
      <c r="C32" s="36" t="s">
        <v>33</v>
      </c>
      <c r="D32" s="24" t="s">
        <v>221</v>
      </c>
      <c r="E32" s="30" t="s">
        <v>232</v>
      </c>
      <c r="F32" s="30" t="s">
        <v>22</v>
      </c>
      <c r="G32" s="30" t="s">
        <v>13</v>
      </c>
      <c r="H32" s="94">
        <v>45982</v>
      </c>
      <c r="I32" s="95">
        <f t="shared" ca="1" si="2"/>
        <v>61</v>
      </c>
      <c r="J32" s="24" t="s">
        <v>57</v>
      </c>
    </row>
    <row r="33" spans="1:10" ht="30" x14ac:dyDescent="0.25">
      <c r="A33" s="8">
        <f t="shared" si="3"/>
        <v>7</v>
      </c>
      <c r="B33" s="21" t="s">
        <v>247</v>
      </c>
      <c r="C33" s="36" t="s">
        <v>33</v>
      </c>
      <c r="D33" s="24" t="s">
        <v>221</v>
      </c>
      <c r="E33" s="30" t="s">
        <v>232</v>
      </c>
      <c r="F33" s="30" t="s">
        <v>22</v>
      </c>
      <c r="G33" s="30" t="s">
        <v>248</v>
      </c>
      <c r="H33" s="94">
        <v>45982</v>
      </c>
      <c r="I33" s="95">
        <f t="shared" ca="1" si="2"/>
        <v>61</v>
      </c>
      <c r="J33" s="24" t="s">
        <v>57</v>
      </c>
    </row>
    <row r="34" spans="1:10" ht="30" x14ac:dyDescent="0.25">
      <c r="A34" s="8">
        <f t="shared" si="3"/>
        <v>8</v>
      </c>
      <c r="B34" s="21" t="s">
        <v>251</v>
      </c>
      <c r="C34" s="36" t="s">
        <v>33</v>
      </c>
      <c r="D34" s="24" t="s">
        <v>221</v>
      </c>
      <c r="E34" s="30" t="s">
        <v>232</v>
      </c>
      <c r="F34" s="30" t="s">
        <v>22</v>
      </c>
      <c r="G34" s="30" t="s">
        <v>248</v>
      </c>
      <c r="H34" s="94">
        <v>45982</v>
      </c>
      <c r="I34" s="95">
        <f t="shared" ca="1" si="2"/>
        <v>61</v>
      </c>
      <c r="J34" s="24" t="s">
        <v>57</v>
      </c>
    </row>
    <row r="35" spans="1:10" s="37" customFormat="1" x14ac:dyDescent="0.25">
      <c r="A35" s="8"/>
      <c r="B35" s="21"/>
      <c r="C35" s="36"/>
      <c r="D35" s="24"/>
      <c r="E35" s="30"/>
      <c r="F35" s="30"/>
      <c r="G35" s="24"/>
      <c r="H35" s="79"/>
      <c r="I35" s="53"/>
      <c r="J35" s="24"/>
    </row>
    <row r="36" spans="1:10" s="37" customFormat="1" ht="15.75" x14ac:dyDescent="0.25">
      <c r="A36" s="84"/>
      <c r="B36" s="85"/>
      <c r="C36" s="86"/>
      <c r="D36" s="87"/>
      <c r="E36" s="85"/>
      <c r="F36" s="85"/>
      <c r="G36" s="85"/>
      <c r="H36" s="88"/>
      <c r="I36" s="89"/>
      <c r="J36" s="90"/>
    </row>
    <row r="37" spans="1:10" x14ac:dyDescent="0.25">
      <c r="A37" s="13"/>
      <c r="B37" s="43"/>
      <c r="C37" s="48"/>
      <c r="D37" s="37"/>
      <c r="E37" s="37"/>
      <c r="F37" s="12"/>
      <c r="G37" s="37"/>
      <c r="H37" s="37"/>
      <c r="I37" s="37"/>
      <c r="J37" s="37"/>
    </row>
    <row r="38" spans="1:10" s="37" customFormat="1" x14ac:dyDescent="0.25">
      <c r="A38" s="54"/>
      <c r="B38" s="42"/>
      <c r="C38"/>
      <c r="D38"/>
      <c r="E38"/>
      <c r="F38"/>
      <c r="G38"/>
      <c r="H38"/>
      <c r="I38"/>
      <c r="J38"/>
    </row>
    <row r="39" spans="1:10" s="37" customFormat="1" hidden="1" x14ac:dyDescent="0.25">
      <c r="A39" s="118" t="s">
        <v>145</v>
      </c>
      <c r="B39" s="119"/>
      <c r="C39" s="119"/>
      <c r="D39" s="119"/>
      <c r="E39" s="119"/>
      <c r="F39" s="119"/>
      <c r="G39" s="119"/>
      <c r="H39" s="119"/>
      <c r="I39" s="119"/>
      <c r="J39" s="120"/>
    </row>
    <row r="40" spans="1:10" s="37" customFormat="1" hidden="1" x14ac:dyDescent="0.25">
      <c r="A40" s="57" t="s">
        <v>1</v>
      </c>
      <c r="B40" s="44" t="s">
        <v>2</v>
      </c>
      <c r="C40" s="15" t="s">
        <v>40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236</v>
      </c>
      <c r="I40" s="15" t="s">
        <v>31</v>
      </c>
      <c r="J40" s="15" t="s">
        <v>9</v>
      </c>
    </row>
    <row r="41" spans="1:10" hidden="1" x14ac:dyDescent="0.25">
      <c r="A41" s="8"/>
      <c r="B41" s="35"/>
      <c r="C41" s="36"/>
      <c r="D41" s="24"/>
      <c r="E41" s="30"/>
      <c r="F41" s="30"/>
      <c r="G41" s="24"/>
      <c r="H41" s="79"/>
      <c r="I41" s="53"/>
      <c r="J41" s="24"/>
    </row>
    <row r="42" spans="1:10" hidden="1" x14ac:dyDescent="0.25">
      <c r="A42" s="8"/>
      <c r="B42" s="35"/>
      <c r="C42" s="36"/>
      <c r="D42" s="24"/>
      <c r="E42" s="30"/>
      <c r="F42" s="30"/>
      <c r="G42" s="24"/>
      <c r="H42" s="79"/>
      <c r="I42" s="53"/>
      <c r="J42" s="24"/>
    </row>
    <row r="43" spans="1:10" s="37" customFormat="1" hidden="1" x14ac:dyDescent="0.25">
      <c r="A43" s="8"/>
      <c r="B43" s="35"/>
      <c r="C43" s="36"/>
      <c r="D43" s="24"/>
      <c r="E43" s="30"/>
      <c r="F43" s="30"/>
      <c r="G43" s="24"/>
      <c r="H43" s="79"/>
      <c r="I43" s="53"/>
      <c r="J43" s="24"/>
    </row>
    <row r="44" spans="1:10" s="37" customFormat="1" hidden="1" x14ac:dyDescent="0.25">
      <c r="A44" s="8"/>
      <c r="B44" s="21"/>
      <c r="C44" s="36"/>
      <c r="D44" s="24"/>
      <c r="E44" s="30"/>
      <c r="F44" s="30"/>
      <c r="G44" s="24"/>
      <c r="H44" s="79"/>
      <c r="I44" s="53"/>
      <c r="J44" s="24"/>
    </row>
    <row r="45" spans="1:10" hidden="1" x14ac:dyDescent="0.25">
      <c r="A45" s="8"/>
      <c r="B45" s="21"/>
      <c r="C45" s="36"/>
      <c r="D45" s="24"/>
      <c r="E45" s="30"/>
      <c r="F45" s="30"/>
      <c r="G45" s="24"/>
      <c r="H45" s="79"/>
      <c r="I45" s="53"/>
      <c r="J45" s="24"/>
    </row>
    <row r="46" spans="1:10" hidden="1" x14ac:dyDescent="0.25">
      <c r="A46" s="8"/>
      <c r="B46" s="35"/>
      <c r="C46" s="36"/>
      <c r="D46" s="24"/>
      <c r="E46" s="30"/>
      <c r="F46" s="30"/>
      <c r="G46" s="24"/>
      <c r="H46" s="79"/>
      <c r="I46" s="53"/>
      <c r="J46" s="24"/>
    </row>
    <row r="47" spans="1:10" hidden="1" x14ac:dyDescent="0.25">
      <c r="A47" s="8"/>
      <c r="B47" s="7"/>
      <c r="C47" s="36"/>
      <c r="D47" s="21"/>
      <c r="E47" s="30"/>
      <c r="F47" s="30"/>
      <c r="G47" s="24"/>
      <c r="H47" s="79"/>
      <c r="I47" s="53"/>
      <c r="J47" s="80"/>
    </row>
    <row r="48" spans="1:10" hidden="1" x14ac:dyDescent="0.25"/>
    <row r="50" spans="1:1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</row>
    <row r="51" spans="1:11" s="37" customFormat="1" ht="15" customHeight="1" x14ac:dyDescent="0.25"/>
    <row r="52" spans="1:11" s="37" customFormat="1" ht="15" customHeight="1" x14ac:dyDescent="0.25"/>
    <row r="53" spans="1:11" s="37" customFormat="1" x14ac:dyDescent="0.25"/>
    <row r="54" spans="1:11" s="37" customFormat="1" ht="15" customHeight="1" x14ac:dyDescent="0.25">
      <c r="K54" s="93"/>
    </row>
    <row r="55" spans="1:11" s="37" customFormat="1" ht="14.25" customHeight="1" x14ac:dyDescent="0.25">
      <c r="A55"/>
      <c r="B55" s="42"/>
      <c r="C55"/>
      <c r="D55"/>
      <c r="E55"/>
      <c r="F55"/>
      <c r="G55"/>
      <c r="H55"/>
      <c r="I55"/>
      <c r="J55"/>
    </row>
  </sheetData>
  <mergeCells count="5">
    <mergeCell ref="A2:J2"/>
    <mergeCell ref="A7:J7"/>
    <mergeCell ref="A25:J25"/>
    <mergeCell ref="A39:J39"/>
    <mergeCell ref="A20:J20"/>
  </mergeCells>
  <conditionalFormatting sqref="B4">
    <cfRule type="duplicateValues" dxfId="774" priority="33632"/>
    <cfRule type="duplicateValues" dxfId="773" priority="33633"/>
    <cfRule type="duplicateValues" dxfId="772" priority="33634"/>
    <cfRule type="duplicateValues" dxfId="771" priority="33635"/>
  </conditionalFormatting>
  <conditionalFormatting sqref="B5:B6">
    <cfRule type="duplicateValues" dxfId="770" priority="33610"/>
    <cfRule type="duplicateValues" dxfId="769" priority="33611" stopIfTrue="1"/>
    <cfRule type="duplicateValues" dxfId="768" priority="33612"/>
  </conditionalFormatting>
  <conditionalFormatting sqref="B10">
    <cfRule type="duplicateValues" dxfId="767" priority="8"/>
  </conditionalFormatting>
  <conditionalFormatting sqref="B11">
    <cfRule type="duplicateValues" dxfId="766" priority="9"/>
  </conditionalFormatting>
  <conditionalFormatting sqref="B12">
    <cfRule type="duplicateValues" dxfId="765" priority="35187"/>
    <cfRule type="duplicateValues" dxfId="764" priority="35188"/>
  </conditionalFormatting>
  <conditionalFormatting sqref="B13">
    <cfRule type="duplicateValues" dxfId="763" priority="69"/>
  </conditionalFormatting>
  <conditionalFormatting sqref="B15 B12">
    <cfRule type="duplicateValues" dxfId="762" priority="35181"/>
    <cfRule type="duplicateValues" dxfId="761" priority="35182"/>
    <cfRule type="duplicateValues" dxfId="760" priority="35183"/>
  </conditionalFormatting>
  <conditionalFormatting sqref="B20:B21">
    <cfRule type="duplicateValues" dxfId="759" priority="136"/>
    <cfRule type="duplicateValues" dxfId="758" priority="172"/>
    <cfRule type="duplicateValues" dxfId="757" priority="173"/>
    <cfRule type="duplicateValues" dxfId="756" priority="174"/>
    <cfRule type="duplicateValues" dxfId="755" priority="176"/>
    <cfRule type="duplicateValues" dxfId="754" priority="177"/>
    <cfRule type="duplicateValues" dxfId="753" priority="178"/>
    <cfRule type="duplicateValues" dxfId="752" priority="179"/>
    <cfRule type="duplicateValues" dxfId="751" priority="180"/>
    <cfRule type="duplicateValues" dxfId="750" priority="181"/>
    <cfRule type="duplicateValues" dxfId="749" priority="182"/>
    <cfRule type="duplicateValues" dxfId="748" priority="183"/>
    <cfRule type="duplicateValues" dxfId="747" priority="184"/>
    <cfRule type="duplicateValues" dxfId="746" priority="185"/>
    <cfRule type="duplicateValues" dxfId="745" priority="186"/>
    <cfRule type="duplicateValues" dxfId="744" priority="187"/>
    <cfRule type="duplicateValues" dxfId="743" priority="188"/>
  </conditionalFormatting>
  <conditionalFormatting sqref="B21">
    <cfRule type="duplicateValues" dxfId="742" priority="135" stopIfTrue="1"/>
    <cfRule type="duplicateValues" dxfId="741" priority="137"/>
    <cfRule type="duplicateValues" dxfId="740" priority="138"/>
    <cfRule type="duplicateValues" dxfId="739" priority="139"/>
    <cfRule type="duplicateValues" dxfId="738" priority="140"/>
    <cfRule type="duplicateValues" dxfId="737" priority="141"/>
    <cfRule type="duplicateValues" dxfId="736" priority="142"/>
    <cfRule type="duplicateValues" dxfId="735" priority="143"/>
    <cfRule type="duplicateValues" dxfId="734" priority="144"/>
    <cfRule type="duplicateValues" dxfId="733" priority="145"/>
    <cfRule type="duplicateValues" dxfId="732" priority="146"/>
    <cfRule type="duplicateValues" dxfId="731" priority="147"/>
    <cfRule type="duplicateValues" dxfId="730" priority="148"/>
    <cfRule type="duplicateValues" dxfId="729" priority="149"/>
    <cfRule type="duplicateValues" dxfId="728" priority="150"/>
    <cfRule type="duplicateValues" dxfId="727" priority="151"/>
    <cfRule type="duplicateValues" dxfId="726" priority="152"/>
    <cfRule type="duplicateValues" dxfId="725" priority="153"/>
    <cfRule type="duplicateValues" dxfId="724" priority="154"/>
    <cfRule type="duplicateValues" dxfId="723" priority="155"/>
    <cfRule type="duplicateValues" dxfId="722" priority="156"/>
    <cfRule type="duplicateValues" dxfId="721" priority="157"/>
    <cfRule type="duplicateValues" dxfId="720" priority="158"/>
    <cfRule type="duplicateValues" dxfId="719" priority="159"/>
    <cfRule type="duplicateValues" dxfId="718" priority="160"/>
    <cfRule type="duplicateValues" dxfId="717" priority="161"/>
    <cfRule type="duplicateValues" dxfId="716" priority="162"/>
    <cfRule type="duplicateValues" dxfId="715" priority="163"/>
    <cfRule type="duplicateValues" dxfId="714" priority="164"/>
    <cfRule type="duplicateValues" dxfId="713" priority="165"/>
    <cfRule type="duplicateValues" dxfId="712" priority="166"/>
    <cfRule type="duplicateValues" dxfId="711" priority="167"/>
    <cfRule type="duplicateValues" dxfId="710" priority="168"/>
    <cfRule type="duplicateValues" dxfId="709" priority="169"/>
    <cfRule type="duplicateValues" dxfId="708" priority="170"/>
    <cfRule type="duplicateValues" dxfId="707" priority="171"/>
    <cfRule type="duplicateValues" dxfId="706" priority="175"/>
  </conditionalFormatting>
  <conditionalFormatting sqref="B22 B33:B34 B10:B11 B14">
    <cfRule type="duplicateValues" dxfId="705" priority="35197"/>
  </conditionalFormatting>
  <conditionalFormatting sqref="B22 B33:B34 B14">
    <cfRule type="duplicateValues" dxfId="704" priority="35201"/>
    <cfRule type="duplicateValues" dxfId="703" priority="35202"/>
    <cfRule type="duplicateValues" dxfId="702" priority="35203"/>
  </conditionalFormatting>
  <conditionalFormatting sqref="B23 B19">
    <cfRule type="duplicateValues" dxfId="701" priority="33671"/>
  </conditionalFormatting>
  <conditionalFormatting sqref="B23">
    <cfRule type="duplicateValues" dxfId="700" priority="31488"/>
    <cfRule type="duplicateValues" dxfId="699" priority="33673"/>
    <cfRule type="duplicateValues" dxfId="698" priority="33674"/>
    <cfRule type="duplicateValues" dxfId="697" priority="33675"/>
  </conditionalFormatting>
  <conditionalFormatting sqref="B24">
    <cfRule type="duplicateValues" dxfId="696" priority="227"/>
    <cfRule type="duplicateValues" dxfId="695" priority="228" stopIfTrue="1"/>
  </conditionalFormatting>
  <conditionalFormatting sqref="B26 B1 B8 B3">
    <cfRule type="duplicateValues" dxfId="694" priority="233" stopIfTrue="1"/>
  </conditionalFormatting>
  <conditionalFormatting sqref="B27">
    <cfRule type="duplicateValues" dxfId="693" priority="53"/>
    <cfRule type="duplicateValues" dxfId="692" priority="54"/>
    <cfRule type="duplicateValues" dxfId="691" priority="55"/>
    <cfRule type="duplicateValues" dxfId="690" priority="56"/>
  </conditionalFormatting>
  <conditionalFormatting sqref="B27:B34">
    <cfRule type="timePeriod" dxfId="689" priority="52" timePeriod="yesterday">
      <formula>FLOOR(B27,1)=TODAY()-1</formula>
    </cfRule>
  </conditionalFormatting>
  <conditionalFormatting sqref="B28">
    <cfRule type="duplicateValues" dxfId="688" priority="84"/>
    <cfRule type="duplicateValues" dxfId="687" priority="85"/>
  </conditionalFormatting>
  <conditionalFormatting sqref="B29">
    <cfRule type="duplicateValues" dxfId="686" priority="49"/>
    <cfRule type="duplicateValues" dxfId="685" priority="50"/>
    <cfRule type="duplicateValues" dxfId="684" priority="51"/>
  </conditionalFormatting>
  <conditionalFormatting sqref="B30">
    <cfRule type="duplicateValues" dxfId="683" priority="47"/>
    <cfRule type="duplicateValues" dxfId="682" priority="48"/>
  </conditionalFormatting>
  <conditionalFormatting sqref="B31">
    <cfRule type="duplicateValues" dxfId="681" priority="45"/>
    <cfRule type="duplicateValues" dxfId="680" priority="46"/>
  </conditionalFormatting>
  <conditionalFormatting sqref="B32">
    <cfRule type="duplicateValues" dxfId="679" priority="44"/>
  </conditionalFormatting>
  <conditionalFormatting sqref="B33 B14">
    <cfRule type="duplicateValues" dxfId="678" priority="13"/>
  </conditionalFormatting>
  <conditionalFormatting sqref="B35 B9">
    <cfRule type="duplicateValues" dxfId="677" priority="34130"/>
    <cfRule type="duplicateValues" dxfId="676" priority="34131"/>
    <cfRule type="duplicateValues" dxfId="675" priority="34132"/>
  </conditionalFormatting>
  <conditionalFormatting sqref="B36">
    <cfRule type="duplicateValues" dxfId="674" priority="189"/>
    <cfRule type="duplicateValues" dxfId="673" priority="190"/>
    <cfRule type="duplicateValues" dxfId="672" priority="191"/>
    <cfRule type="duplicateValues" dxfId="671" priority="192"/>
    <cfRule type="duplicateValues" dxfId="670" priority="193"/>
    <cfRule type="duplicateValues" dxfId="669" priority="194"/>
    <cfRule type="duplicateValues" dxfId="668" priority="195"/>
    <cfRule type="duplicateValues" dxfId="667" priority="196"/>
    <cfRule type="duplicateValues" dxfId="666" priority="197"/>
    <cfRule type="duplicateValues" dxfId="665" priority="198"/>
    <cfRule type="duplicateValues" dxfId="664" priority="199"/>
    <cfRule type="duplicateValues" dxfId="663" priority="200"/>
  </conditionalFormatting>
  <conditionalFormatting sqref="B37">
    <cfRule type="duplicateValues" dxfId="662" priority="216"/>
    <cfRule type="duplicateValues" dxfId="661" priority="217"/>
    <cfRule type="duplicateValues" dxfId="660" priority="218"/>
    <cfRule type="duplicateValues" dxfId="659" priority="219"/>
    <cfRule type="duplicateValues" dxfId="658" priority="220"/>
    <cfRule type="duplicateValues" dxfId="657" priority="221"/>
    <cfRule type="duplicateValues" dxfId="656" priority="222"/>
    <cfRule type="duplicateValues" dxfId="655" priority="223"/>
    <cfRule type="duplicateValues" dxfId="654" priority="224"/>
  </conditionalFormatting>
  <conditionalFormatting sqref="B40 B38">
    <cfRule type="duplicateValues" dxfId="653" priority="225" stopIfTrue="1"/>
  </conditionalFormatting>
  <conditionalFormatting sqref="B42">
    <cfRule type="duplicateValues" dxfId="652" priority="90"/>
    <cfRule type="duplicateValues" dxfId="651" priority="93"/>
  </conditionalFormatting>
  <conditionalFormatting sqref="B43">
    <cfRule type="duplicateValues" dxfId="650" priority="86"/>
    <cfRule type="duplicateValues" dxfId="649" priority="87"/>
    <cfRule type="duplicateValues" dxfId="648" priority="88"/>
  </conditionalFormatting>
  <conditionalFormatting sqref="B44">
    <cfRule type="duplicateValues" dxfId="647" priority="91"/>
  </conditionalFormatting>
  <conditionalFormatting sqref="B45 B18">
    <cfRule type="duplicateValues" dxfId="646" priority="33615"/>
  </conditionalFormatting>
  <conditionalFormatting sqref="B46 B41 B44">
    <cfRule type="duplicateValues" dxfId="645" priority="33626"/>
  </conditionalFormatting>
  <conditionalFormatting sqref="B46 B41:B42 B44">
    <cfRule type="duplicateValues" dxfId="644" priority="33628"/>
  </conditionalFormatting>
  <conditionalFormatting sqref="B47 B4">
    <cfRule type="duplicateValues" dxfId="643" priority="33667"/>
  </conditionalFormatting>
  <conditionalFormatting sqref="B55:B1048576 B1:B9 B12:B13 B17:B21 B23:B32 B35:B48 B15">
    <cfRule type="duplicateValues" dxfId="642" priority="35260"/>
  </conditionalFormatting>
  <conditionalFormatting sqref="B55:B1048576 B1:B9 B13 B23:B26 B35:B48 B18:B21 B28">
    <cfRule type="duplicateValues" dxfId="641" priority="35233"/>
  </conditionalFormatting>
  <conditionalFormatting sqref="B55:B1048576 B36:B48 B23:B26 B18:B21 B28 B1:B8">
    <cfRule type="duplicateValues" dxfId="640" priority="35240"/>
  </conditionalFormatting>
  <conditionalFormatting sqref="B55:B1048576 B48 B1:B3 B5:B8 B19:B21 B23:B26 B37:B40">
    <cfRule type="duplicateValues" dxfId="639" priority="33662"/>
    <cfRule type="duplicateValues" dxfId="638" priority="33663"/>
    <cfRule type="duplicateValues" dxfId="637" priority="33664"/>
  </conditionalFormatting>
  <conditionalFormatting sqref="B55:B1048576 B48 B5:B8 B19:B21 B23:B26 B36:B40 B1:B3">
    <cfRule type="duplicateValues" dxfId="636" priority="33600"/>
  </conditionalFormatting>
  <conditionalFormatting sqref="B55:B1048576 B48 B37:B38 B1:B3 B8 B26 B24 B40 B5:B6">
    <cfRule type="duplicateValues" dxfId="635" priority="29730"/>
    <cfRule type="duplicateValues" dxfId="634" priority="29731"/>
    <cfRule type="duplicateValues" dxfId="633" priority="29732"/>
    <cfRule type="duplicateValues" dxfId="632" priority="29733"/>
    <cfRule type="duplicateValues" dxfId="631" priority="29734"/>
  </conditionalFormatting>
  <conditionalFormatting sqref="B55:B1048576 B48 B37:B38 B1:B3 B26 B8 B24 B40 B5:B6">
    <cfRule type="duplicateValues" dxfId="630" priority="29770"/>
    <cfRule type="duplicateValues" dxfId="629" priority="29771"/>
  </conditionalFormatting>
  <conditionalFormatting sqref="B55:B1048576 B48 B37:B38 B8 B26 B1:B3 B24 B40 B5:B6">
    <cfRule type="duplicateValues" dxfId="628" priority="30104"/>
  </conditionalFormatting>
  <conditionalFormatting sqref="B55:B1048576 B48 B37:B40 B24:B26 B1:B3 B5:B8">
    <cfRule type="duplicateValues" dxfId="627" priority="29786"/>
    <cfRule type="duplicateValues" dxfId="626" priority="29787"/>
    <cfRule type="duplicateValues" dxfId="625" priority="29788"/>
    <cfRule type="duplicateValues" dxfId="624" priority="29789"/>
    <cfRule type="duplicateValues" dxfId="623" priority="29790"/>
    <cfRule type="duplicateValues" dxfId="622" priority="29791"/>
    <cfRule type="duplicateValues" dxfId="621" priority="29792"/>
    <cfRule type="duplicateValues" dxfId="620" priority="29793"/>
    <cfRule type="duplicateValues" dxfId="619" priority="29794"/>
    <cfRule type="duplicateValues" dxfId="618" priority="29795"/>
    <cfRule type="duplicateValues" dxfId="617" priority="29796"/>
    <cfRule type="duplicateValues" dxfId="616" priority="29797"/>
    <cfRule type="duplicateValues" dxfId="615" priority="29798"/>
    <cfRule type="duplicateValues" dxfId="614" priority="29799"/>
    <cfRule type="duplicateValues" dxfId="613" priority="29800"/>
    <cfRule type="duplicateValues" dxfId="612" priority="29801"/>
    <cfRule type="duplicateValues" dxfId="611" priority="29802"/>
  </conditionalFormatting>
  <conditionalFormatting sqref="B55:B1048576 B48 B38 B24 B40">
    <cfRule type="duplicateValues" dxfId="610" priority="30095"/>
  </conditionalFormatting>
  <conditionalFormatting sqref="B55:B1048576 B48 B38 B26 B1:B3 B8 B24 B40 B5:B6">
    <cfRule type="duplicateValues" dxfId="609" priority="29871"/>
    <cfRule type="duplicateValues" dxfId="608" priority="29872"/>
    <cfRule type="duplicateValues" dxfId="607" priority="29873"/>
    <cfRule type="duplicateValues" dxfId="606" priority="29874"/>
    <cfRule type="duplicateValues" dxfId="605" priority="29875"/>
    <cfRule type="duplicateValues" dxfId="604" priority="29876"/>
    <cfRule type="duplicateValues" dxfId="603" priority="29877"/>
    <cfRule type="duplicateValues" dxfId="602" priority="29878"/>
    <cfRule type="duplicateValues" dxfId="601" priority="29879"/>
    <cfRule type="duplicateValues" dxfId="600" priority="29880"/>
    <cfRule type="duplicateValues" dxfId="599" priority="29881"/>
    <cfRule type="duplicateValues" dxfId="598" priority="29882"/>
    <cfRule type="duplicateValues" dxfId="597" priority="29883"/>
    <cfRule type="duplicateValues" dxfId="596" priority="29884"/>
    <cfRule type="duplicateValues" dxfId="595" priority="29885"/>
    <cfRule type="duplicateValues" dxfId="594" priority="29886"/>
    <cfRule type="duplicateValues" dxfId="593" priority="29887"/>
    <cfRule type="duplicateValues" dxfId="592" priority="29888"/>
    <cfRule type="duplicateValues" dxfId="591" priority="29889"/>
    <cfRule type="duplicateValues" dxfId="590" priority="29890"/>
    <cfRule type="duplicateValues" dxfId="589" priority="29891"/>
    <cfRule type="duplicateValues" dxfId="588" priority="29892"/>
    <cfRule type="duplicateValues" dxfId="587" priority="29893"/>
    <cfRule type="duplicateValues" dxfId="586" priority="29894"/>
    <cfRule type="duplicateValues" dxfId="585" priority="29895"/>
    <cfRule type="duplicateValues" dxfId="584" priority="29896"/>
    <cfRule type="duplicateValues" dxfId="583" priority="29897"/>
    <cfRule type="duplicateValues" dxfId="582" priority="29898"/>
  </conditionalFormatting>
  <conditionalFormatting sqref="B55:B1048576 B48 B38 B40">
    <cfRule type="duplicateValues" dxfId="581" priority="30100"/>
  </conditionalFormatting>
  <conditionalFormatting sqref="B55:B1048576 B48">
    <cfRule type="duplicateValues" dxfId="580" priority="30112"/>
    <cfRule type="duplicateValues" dxfId="579" priority="30113"/>
    <cfRule type="duplicateValues" dxfId="578" priority="30114"/>
    <cfRule type="duplicateValues" dxfId="577" priority="30115"/>
    <cfRule type="duplicateValues" dxfId="576" priority="30116"/>
    <cfRule type="duplicateValues" dxfId="575" priority="30117"/>
    <cfRule type="duplicateValues" dxfId="574" priority="30118"/>
    <cfRule type="duplicateValues" dxfId="573" priority="30119"/>
  </conditionalFormatting>
  <conditionalFormatting sqref="K6">
    <cfRule type="duplicateValues" dxfId="572" priority="226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612F-F086-42CC-82F7-55AC3FFA2ECA}">
  <sheetPr>
    <tabColor rgb="FF92D050"/>
  </sheetPr>
  <dimension ref="A1:J49"/>
  <sheetViews>
    <sheetView tabSelected="1" zoomScale="85" zoomScaleNormal="85" workbookViewId="0">
      <selection activeCell="D41" sqref="D41"/>
    </sheetView>
  </sheetViews>
  <sheetFormatPr defaultRowHeight="15" x14ac:dyDescent="0.25"/>
  <cols>
    <col min="1" max="1" width="6.85546875" customWidth="1"/>
    <col min="2" max="2" width="17.28515625" style="42" bestFit="1" customWidth="1"/>
    <col min="3" max="3" width="13.28515625" bestFit="1" customWidth="1"/>
    <col min="4" max="4" width="25.28515625" customWidth="1"/>
    <col min="5" max="5" width="22.7109375" bestFit="1" customWidth="1"/>
    <col min="6" max="6" width="13.85546875" customWidth="1"/>
    <col min="7" max="7" width="12" customWidth="1"/>
    <col min="8" max="8" width="9.42578125" hidden="1" customWidth="1"/>
    <col min="9" max="9" width="9.85546875" customWidth="1"/>
    <col min="10" max="10" width="13.28515625" customWidth="1"/>
  </cols>
  <sheetData>
    <row r="1" spans="1:10" ht="15" customHeight="1" x14ac:dyDescent="0.25"/>
    <row r="2" spans="1:10" ht="15" customHeight="1" x14ac:dyDescent="0.25">
      <c r="A2" s="115" t="s">
        <v>0</v>
      </c>
      <c r="B2" s="116"/>
      <c r="C2" s="116"/>
      <c r="D2" s="116"/>
      <c r="E2" s="116"/>
      <c r="F2" s="116"/>
      <c r="G2" s="116"/>
      <c r="H2" s="116"/>
      <c r="I2" s="116"/>
      <c r="J2" s="117"/>
    </row>
    <row r="3" spans="1:10" ht="15" customHeight="1" x14ac:dyDescent="0.25">
      <c r="A3" s="55" t="s">
        <v>1</v>
      </c>
      <c r="B3" s="4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5" t="s">
        <v>236</v>
      </c>
      <c r="I3" s="2" t="s">
        <v>8</v>
      </c>
      <c r="J3" s="2" t="s">
        <v>9</v>
      </c>
    </row>
    <row r="4" spans="1:10" ht="15" customHeight="1" x14ac:dyDescent="0.25">
      <c r="A4" s="97">
        <f t="shared" ref="A4" si="0">ROW()-3</f>
        <v>1</v>
      </c>
      <c r="B4" s="7" t="s">
        <v>279</v>
      </c>
      <c r="C4" s="36" t="s">
        <v>0</v>
      </c>
      <c r="D4" s="24" t="s">
        <v>221</v>
      </c>
      <c r="E4" s="30" t="s">
        <v>272</v>
      </c>
      <c r="F4" s="121" t="s">
        <v>22</v>
      </c>
      <c r="G4" s="30" t="s">
        <v>53</v>
      </c>
      <c r="H4" s="65">
        <v>46031</v>
      </c>
      <c r="I4" s="106"/>
      <c r="J4" s="122" t="s">
        <v>275</v>
      </c>
    </row>
    <row r="5" spans="1:10" s="37" customFormat="1" ht="15" customHeight="1" x14ac:dyDescent="0.25">
      <c r="A5" s="13"/>
      <c r="B5" s="58"/>
      <c r="C5" s="39"/>
      <c r="D5" s="38"/>
      <c r="E5" s="43"/>
      <c r="I5" s="60"/>
      <c r="J5" s="13"/>
    </row>
    <row r="6" spans="1:10" s="37" customFormat="1" ht="15" customHeight="1" x14ac:dyDescent="0.25">
      <c r="A6" s="47"/>
      <c r="B6" s="56"/>
      <c r="C6" s="39"/>
      <c r="D6" s="56"/>
      <c r="E6" s="12"/>
      <c r="F6" s="12"/>
      <c r="G6" s="12"/>
      <c r="H6" s="12"/>
      <c r="I6" s="12"/>
      <c r="J6" s="13"/>
    </row>
    <row r="7" spans="1:10" s="37" customFormat="1" ht="15" customHeight="1" x14ac:dyDescent="0.25">
      <c r="A7" s="115" t="s">
        <v>21</v>
      </c>
      <c r="B7" s="116"/>
      <c r="C7" s="116"/>
      <c r="D7" s="116"/>
      <c r="E7" s="116"/>
      <c r="F7" s="116"/>
      <c r="G7" s="116"/>
      <c r="H7" s="116"/>
      <c r="I7" s="116"/>
      <c r="J7" s="117"/>
    </row>
    <row r="8" spans="1:10" s="37" customFormat="1" ht="15" customHeight="1" x14ac:dyDescent="0.25">
      <c r="A8" s="55" t="s">
        <v>1</v>
      </c>
      <c r="B8" s="41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15" t="s">
        <v>236</v>
      </c>
      <c r="I8" s="2" t="s">
        <v>8</v>
      </c>
      <c r="J8" s="2" t="s">
        <v>9</v>
      </c>
    </row>
    <row r="9" spans="1:10" ht="15" customHeight="1" x14ac:dyDescent="0.25">
      <c r="A9" s="97">
        <v>1</v>
      </c>
      <c r="B9" s="30" t="s">
        <v>179</v>
      </c>
      <c r="C9" s="36" t="s">
        <v>282</v>
      </c>
      <c r="D9" s="24" t="s">
        <v>221</v>
      </c>
      <c r="E9" s="30" t="s">
        <v>272</v>
      </c>
      <c r="F9" s="30" t="s">
        <v>22</v>
      </c>
      <c r="G9" s="30" t="s">
        <v>53</v>
      </c>
      <c r="H9" s="65"/>
      <c r="I9" s="106"/>
      <c r="J9" s="106" t="s">
        <v>57</v>
      </c>
    </row>
    <row r="10" spans="1:10" s="37" customFormat="1" ht="15" customHeight="1" x14ac:dyDescent="0.25">
      <c r="A10" s="97">
        <v>2</v>
      </c>
      <c r="B10" s="33" t="s">
        <v>218</v>
      </c>
      <c r="C10" s="36" t="s">
        <v>281</v>
      </c>
      <c r="D10" s="24" t="s">
        <v>221</v>
      </c>
      <c r="E10" s="30" t="s">
        <v>12</v>
      </c>
      <c r="F10" s="30" t="s">
        <v>22</v>
      </c>
      <c r="G10" s="30" t="s">
        <v>16</v>
      </c>
      <c r="H10" s="24"/>
      <c r="I10" s="106"/>
      <c r="J10" s="106" t="s">
        <v>57</v>
      </c>
    </row>
    <row r="11" spans="1:10" ht="15" customHeight="1" x14ac:dyDescent="0.25">
      <c r="A11" s="107"/>
      <c r="B11" s="43"/>
      <c r="C11" s="39"/>
      <c r="D11" s="37"/>
      <c r="E11" s="43"/>
      <c r="F11" s="43"/>
      <c r="G11" s="43"/>
      <c r="H11" s="108"/>
      <c r="I11" s="110"/>
      <c r="J11" s="37"/>
    </row>
    <row r="12" spans="1:10" ht="15" customHeight="1" x14ac:dyDescent="0.25">
      <c r="A12" s="107"/>
      <c r="B12" s="43"/>
      <c r="C12" s="39"/>
      <c r="D12" s="37"/>
      <c r="E12" s="43"/>
      <c r="F12" s="43"/>
      <c r="G12" s="43"/>
      <c r="H12" s="108"/>
      <c r="I12" s="110"/>
      <c r="J12" s="37"/>
    </row>
    <row r="13" spans="1:10" s="37" customFormat="1" ht="15" customHeight="1" x14ac:dyDescent="0.25">
      <c r="A13" s="115" t="s">
        <v>278</v>
      </c>
      <c r="B13" s="116"/>
      <c r="C13" s="116"/>
      <c r="D13" s="116"/>
      <c r="E13" s="116"/>
      <c r="F13" s="116"/>
      <c r="G13" s="116"/>
      <c r="H13" s="116"/>
      <c r="I13" s="116"/>
      <c r="J13" s="117"/>
    </row>
    <row r="14" spans="1:10" s="37" customFormat="1" ht="15" customHeight="1" x14ac:dyDescent="0.25">
      <c r="A14" s="55" t="s">
        <v>1</v>
      </c>
      <c r="B14" s="41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15" t="s">
        <v>236</v>
      </c>
      <c r="I14" s="2" t="s">
        <v>8</v>
      </c>
      <c r="J14" s="2" t="s">
        <v>9</v>
      </c>
    </row>
    <row r="15" spans="1:10" s="37" customFormat="1" ht="15" customHeight="1" x14ac:dyDescent="0.25">
      <c r="A15" s="97">
        <v>1</v>
      </c>
      <c r="B15" s="30" t="s">
        <v>276</v>
      </c>
      <c r="C15" s="45" t="s">
        <v>283</v>
      </c>
      <c r="D15" s="24" t="s">
        <v>221</v>
      </c>
      <c r="E15" s="30" t="s">
        <v>272</v>
      </c>
      <c r="F15" s="121" t="s">
        <v>22</v>
      </c>
      <c r="G15" s="30" t="s">
        <v>53</v>
      </c>
      <c r="H15" s="65">
        <v>46041</v>
      </c>
      <c r="I15" s="106">
        <f t="shared" ref="I15:I16" ca="1" si="1">TODAY()-H15+1</f>
        <v>2</v>
      </c>
      <c r="J15" s="122" t="s">
        <v>275</v>
      </c>
    </row>
    <row r="16" spans="1:10" s="37" customFormat="1" ht="15" customHeight="1" x14ac:dyDescent="0.25">
      <c r="A16" s="97">
        <v>2</v>
      </c>
      <c r="B16" s="30" t="s">
        <v>61</v>
      </c>
      <c r="C16" s="45" t="s">
        <v>283</v>
      </c>
      <c r="D16" s="24" t="s">
        <v>221</v>
      </c>
      <c r="E16" s="30" t="s">
        <v>272</v>
      </c>
      <c r="F16" s="121" t="s">
        <v>22</v>
      </c>
      <c r="G16" s="30" t="s">
        <v>16</v>
      </c>
      <c r="H16" s="65">
        <v>46041</v>
      </c>
      <c r="I16" s="106">
        <f t="shared" ca="1" si="1"/>
        <v>2</v>
      </c>
      <c r="J16" s="122" t="s">
        <v>275</v>
      </c>
    </row>
    <row r="17" spans="1:10" s="134" customFormat="1" ht="15" customHeight="1" x14ac:dyDescent="0.25">
      <c r="A17" s="123"/>
      <c r="B17" s="124"/>
      <c r="C17" s="133"/>
      <c r="E17" s="124"/>
      <c r="F17" s="124"/>
      <c r="G17" s="124"/>
      <c r="H17" s="127"/>
      <c r="I17" s="128"/>
      <c r="J17" s="128"/>
    </row>
    <row r="18" spans="1:10" s="134" customFormat="1" ht="15" customHeight="1" x14ac:dyDescent="0.25">
      <c r="A18" s="123"/>
      <c r="B18" s="124"/>
      <c r="C18" s="133"/>
      <c r="E18" s="124"/>
      <c r="F18" s="124"/>
      <c r="G18" s="124"/>
      <c r="H18" s="127"/>
      <c r="I18" s="128"/>
      <c r="J18" s="128"/>
    </row>
    <row r="19" spans="1:10" s="37" customFormat="1" ht="15" customHeight="1" x14ac:dyDescent="0.25">
      <c r="A19" s="130" t="s">
        <v>280</v>
      </c>
      <c r="B19" s="131"/>
      <c r="C19" s="131"/>
      <c r="D19" s="131"/>
      <c r="E19" s="131"/>
      <c r="F19" s="131"/>
      <c r="G19" s="131"/>
      <c r="H19" s="131"/>
      <c r="I19" s="131"/>
      <c r="J19" s="132"/>
    </row>
    <row r="20" spans="1:10" s="37" customFormat="1" ht="15" customHeight="1" x14ac:dyDescent="0.25">
      <c r="A20" s="55" t="s">
        <v>1</v>
      </c>
      <c r="B20" s="41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15" t="s">
        <v>236</v>
      </c>
      <c r="I20" s="2" t="s">
        <v>8</v>
      </c>
      <c r="J20" s="2" t="s">
        <v>9</v>
      </c>
    </row>
    <row r="21" spans="1:10" s="37" customFormat="1" ht="15" customHeight="1" x14ac:dyDescent="0.25">
      <c r="A21" s="97">
        <v>1</v>
      </c>
      <c r="B21" s="30" t="s">
        <v>47</v>
      </c>
      <c r="C21" s="45" t="s">
        <v>280</v>
      </c>
      <c r="D21" s="24" t="s">
        <v>221</v>
      </c>
      <c r="E21" s="30" t="s">
        <v>272</v>
      </c>
      <c r="F21" s="121" t="s">
        <v>22</v>
      </c>
      <c r="G21" s="30" t="s">
        <v>13</v>
      </c>
      <c r="H21" s="65">
        <v>46037</v>
      </c>
      <c r="I21" s="106">
        <f t="shared" ref="I21:I27" ca="1" si="2">TODAY()-H21+1</f>
        <v>6</v>
      </c>
      <c r="J21" s="122" t="s">
        <v>275</v>
      </c>
    </row>
    <row r="22" spans="1:10" s="105" customFormat="1" ht="15" customHeight="1" x14ac:dyDescent="0.25">
      <c r="A22" s="97">
        <v>2</v>
      </c>
      <c r="B22" s="30" t="s">
        <v>151</v>
      </c>
      <c r="C22" s="45" t="s">
        <v>280</v>
      </c>
      <c r="D22" s="24" t="s">
        <v>221</v>
      </c>
      <c r="E22" s="30" t="s">
        <v>272</v>
      </c>
      <c r="F22" s="121" t="s">
        <v>22</v>
      </c>
      <c r="G22" s="30" t="s">
        <v>13</v>
      </c>
      <c r="H22" s="65">
        <v>46038</v>
      </c>
      <c r="I22" s="106">
        <f t="shared" ca="1" si="2"/>
        <v>5</v>
      </c>
      <c r="J22" s="122" t="s">
        <v>275</v>
      </c>
    </row>
    <row r="23" spans="1:10" s="37" customFormat="1" ht="15" customHeight="1" x14ac:dyDescent="0.25">
      <c r="A23" s="97">
        <v>3</v>
      </c>
      <c r="B23" s="30" t="s">
        <v>141</v>
      </c>
      <c r="C23" s="45" t="s">
        <v>280</v>
      </c>
      <c r="D23" s="24" t="s">
        <v>221</v>
      </c>
      <c r="E23" s="30" t="s">
        <v>272</v>
      </c>
      <c r="F23" s="121" t="s">
        <v>22</v>
      </c>
      <c r="G23" s="30" t="s">
        <v>16</v>
      </c>
      <c r="H23" s="65">
        <v>46038</v>
      </c>
      <c r="I23" s="106">
        <f t="shared" ca="1" si="2"/>
        <v>5</v>
      </c>
      <c r="J23" s="122" t="s">
        <v>275</v>
      </c>
    </row>
    <row r="24" spans="1:10" s="37" customFormat="1" ht="15" customHeight="1" x14ac:dyDescent="0.25">
      <c r="A24" s="97">
        <v>4</v>
      </c>
      <c r="B24" s="30" t="s">
        <v>28</v>
      </c>
      <c r="C24" s="45" t="s">
        <v>280</v>
      </c>
      <c r="D24" s="24" t="s">
        <v>221</v>
      </c>
      <c r="E24" s="30" t="s">
        <v>272</v>
      </c>
      <c r="F24" s="121" t="s">
        <v>22</v>
      </c>
      <c r="G24" s="30" t="s">
        <v>16</v>
      </c>
      <c r="H24" s="65">
        <v>46038</v>
      </c>
      <c r="I24" s="106">
        <f t="shared" ca="1" si="2"/>
        <v>5</v>
      </c>
      <c r="J24" s="122" t="s">
        <v>275</v>
      </c>
    </row>
    <row r="25" spans="1:10" s="37" customFormat="1" ht="15" customHeight="1" x14ac:dyDescent="0.25">
      <c r="A25" s="97">
        <v>5</v>
      </c>
      <c r="B25" s="30" t="s">
        <v>274</v>
      </c>
      <c r="C25" s="45" t="s">
        <v>280</v>
      </c>
      <c r="D25" s="24" t="s">
        <v>221</v>
      </c>
      <c r="E25" s="30" t="s">
        <v>272</v>
      </c>
      <c r="F25" s="121" t="s">
        <v>22</v>
      </c>
      <c r="G25" s="30" t="s">
        <v>16</v>
      </c>
      <c r="H25" s="65">
        <v>46038</v>
      </c>
      <c r="I25" s="106">
        <f t="shared" ca="1" si="2"/>
        <v>5</v>
      </c>
      <c r="J25" s="122" t="s">
        <v>275</v>
      </c>
    </row>
    <row r="26" spans="1:10" s="109" customFormat="1" ht="15" customHeight="1" x14ac:dyDescent="0.25">
      <c r="A26" s="97">
        <v>6</v>
      </c>
      <c r="B26" s="30" t="s">
        <v>84</v>
      </c>
      <c r="C26" s="45" t="s">
        <v>280</v>
      </c>
      <c r="D26" s="24" t="s">
        <v>221</v>
      </c>
      <c r="E26" s="30" t="s">
        <v>272</v>
      </c>
      <c r="F26" s="121" t="s">
        <v>22</v>
      </c>
      <c r="G26" s="30" t="s">
        <v>13</v>
      </c>
      <c r="H26" s="65">
        <v>46038</v>
      </c>
      <c r="I26" s="106">
        <f t="shared" ca="1" si="2"/>
        <v>5</v>
      </c>
      <c r="J26" s="122" t="s">
        <v>275</v>
      </c>
    </row>
    <row r="27" spans="1:10" ht="15" customHeight="1" x14ac:dyDescent="0.25">
      <c r="A27" s="97">
        <v>7</v>
      </c>
      <c r="B27" s="30" t="s">
        <v>277</v>
      </c>
      <c r="C27" s="45" t="s">
        <v>280</v>
      </c>
      <c r="D27" s="24" t="s">
        <v>221</v>
      </c>
      <c r="E27" s="30" t="s">
        <v>272</v>
      </c>
      <c r="F27" s="121" t="s">
        <v>22</v>
      </c>
      <c r="G27" s="30" t="s">
        <v>53</v>
      </c>
      <c r="H27" s="65">
        <v>46039</v>
      </c>
      <c r="I27" s="106">
        <f t="shared" ca="1" si="2"/>
        <v>4</v>
      </c>
      <c r="J27" s="122" t="s">
        <v>275</v>
      </c>
    </row>
    <row r="28" spans="1:10" s="129" customFormat="1" ht="15" customHeight="1" x14ac:dyDescent="0.25">
      <c r="A28" s="123"/>
      <c r="B28" s="138"/>
      <c r="C28" s="125"/>
      <c r="D28" s="126"/>
      <c r="E28" s="124"/>
      <c r="F28" s="124"/>
      <c r="G28" s="124"/>
      <c r="H28" s="127"/>
      <c r="I28" s="128"/>
      <c r="J28" s="139"/>
    </row>
    <row r="29" spans="1:10" s="145" customFormat="1" ht="15" customHeight="1" x14ac:dyDescent="0.25">
      <c r="A29" s="140"/>
      <c r="B29" s="138"/>
      <c r="C29" s="125"/>
      <c r="D29" s="138"/>
      <c r="E29" s="141"/>
      <c r="F29" s="134"/>
      <c r="G29" s="134"/>
      <c r="H29" s="142"/>
      <c r="I29" s="143"/>
      <c r="J29" s="144"/>
    </row>
    <row r="30" spans="1:10" s="109" customFormat="1" ht="15" customHeight="1" x14ac:dyDescent="0.25">
      <c r="A30" s="135" t="s">
        <v>68</v>
      </c>
      <c r="B30" s="136"/>
      <c r="C30" s="136"/>
      <c r="D30" s="136"/>
      <c r="E30" s="136"/>
      <c r="F30" s="136"/>
      <c r="G30" s="136"/>
      <c r="H30" s="136"/>
      <c r="I30" s="136"/>
      <c r="J30" s="137"/>
    </row>
    <row r="31" spans="1:10" s="105" customFormat="1" ht="15" customHeight="1" x14ac:dyDescent="0.2">
      <c r="A31" s="55" t="s">
        <v>1</v>
      </c>
      <c r="B31" s="41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/>
      <c r="I31" s="2" t="s">
        <v>8</v>
      </c>
      <c r="J31" s="2" t="s">
        <v>9</v>
      </c>
    </row>
    <row r="32" spans="1:10" ht="15" customHeight="1" x14ac:dyDescent="0.25">
      <c r="A32" s="97">
        <v>1</v>
      </c>
      <c r="B32" s="30" t="s">
        <v>271</v>
      </c>
      <c r="C32" s="36" t="s">
        <v>67</v>
      </c>
      <c r="D32" s="24" t="s">
        <v>221</v>
      </c>
      <c r="E32" s="30" t="s">
        <v>232</v>
      </c>
      <c r="F32" s="30" t="s">
        <v>22</v>
      </c>
      <c r="G32" s="30" t="s">
        <v>13</v>
      </c>
      <c r="H32" s="65">
        <v>46033</v>
      </c>
      <c r="I32" s="106">
        <f t="shared" ref="I32:I35" ca="1" si="3">TODAY()-H32+1</f>
        <v>10</v>
      </c>
      <c r="J32" s="106" t="s">
        <v>57</v>
      </c>
    </row>
    <row r="33" spans="1:10" ht="15" customHeight="1" x14ac:dyDescent="0.25">
      <c r="A33" s="97">
        <v>2</v>
      </c>
      <c r="B33" s="30" t="s">
        <v>140</v>
      </c>
      <c r="C33" s="36" t="s">
        <v>67</v>
      </c>
      <c r="D33" s="24" t="s">
        <v>221</v>
      </c>
      <c r="E33" s="30" t="s">
        <v>12</v>
      </c>
      <c r="F33" s="30" t="s">
        <v>22</v>
      </c>
      <c r="G33" s="30" t="s">
        <v>53</v>
      </c>
      <c r="H33" s="65">
        <v>46036</v>
      </c>
      <c r="I33" s="106">
        <f t="shared" ca="1" si="3"/>
        <v>7</v>
      </c>
      <c r="J33" s="106" t="s">
        <v>57</v>
      </c>
    </row>
    <row r="34" spans="1:10" ht="15" customHeight="1" x14ac:dyDescent="0.25">
      <c r="A34" s="97">
        <v>3</v>
      </c>
      <c r="B34" s="30" t="s">
        <v>270</v>
      </c>
      <c r="C34" s="36" t="s">
        <v>67</v>
      </c>
      <c r="D34" s="24" t="s">
        <v>221</v>
      </c>
      <c r="E34" s="30" t="s">
        <v>12</v>
      </c>
      <c r="F34" s="30" t="s">
        <v>22</v>
      </c>
      <c r="G34" s="30" t="s">
        <v>53</v>
      </c>
      <c r="H34" s="65">
        <v>46037</v>
      </c>
      <c r="I34" s="106">
        <f t="shared" ca="1" si="3"/>
        <v>6</v>
      </c>
      <c r="J34" s="106" t="s">
        <v>57</v>
      </c>
    </row>
    <row r="35" spans="1:10" ht="15" customHeight="1" x14ac:dyDescent="0.25">
      <c r="A35" s="97">
        <v>4</v>
      </c>
      <c r="B35" s="30" t="s">
        <v>284</v>
      </c>
      <c r="C35" s="36" t="s">
        <v>67</v>
      </c>
      <c r="D35" s="24" t="s">
        <v>221</v>
      </c>
      <c r="E35" s="30" t="s">
        <v>12</v>
      </c>
      <c r="F35" s="30" t="s">
        <v>22</v>
      </c>
      <c r="G35" s="30" t="s">
        <v>16</v>
      </c>
      <c r="H35" s="65">
        <v>46039</v>
      </c>
      <c r="I35" s="106">
        <f t="shared" ca="1" si="3"/>
        <v>4</v>
      </c>
      <c r="J35" s="106" t="s">
        <v>57</v>
      </c>
    </row>
    <row r="36" spans="1:10" s="129" customFormat="1" ht="15" customHeight="1" x14ac:dyDescent="0.25">
      <c r="A36" s="123"/>
      <c r="B36" s="124"/>
      <c r="C36" s="125"/>
      <c r="D36" s="126"/>
      <c r="E36" s="124"/>
      <c r="F36" s="124"/>
      <c r="G36" s="124"/>
      <c r="H36" s="127"/>
      <c r="I36" s="128"/>
      <c r="J36" s="128"/>
    </row>
    <row r="37" spans="1:10" s="104" customFormat="1" ht="15" customHeight="1" x14ac:dyDescent="0.25">
      <c r="A37" s="107"/>
      <c r="B37" s="58"/>
      <c r="C37" s="39"/>
      <c r="D37" s="37"/>
      <c r="E37" s="43"/>
      <c r="F37" s="43"/>
      <c r="G37" s="43"/>
      <c r="H37" s="108"/>
      <c r="I37" s="92"/>
      <c r="J37" s="37"/>
    </row>
    <row r="38" spans="1:10" s="105" customFormat="1" ht="15" customHeight="1" x14ac:dyDescent="0.25">
      <c r="A38" s="118" t="s">
        <v>30</v>
      </c>
      <c r="B38" s="119"/>
      <c r="C38" s="119"/>
      <c r="D38" s="119"/>
      <c r="E38" s="119"/>
      <c r="F38" s="119"/>
      <c r="G38" s="119"/>
      <c r="H38" s="119"/>
      <c r="I38" s="119"/>
      <c r="J38" s="120"/>
    </row>
    <row r="39" spans="1:10" s="109" customFormat="1" ht="15" customHeight="1" x14ac:dyDescent="0.2">
      <c r="A39" s="55" t="s">
        <v>1</v>
      </c>
      <c r="B39" s="41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15" t="s">
        <v>236</v>
      </c>
      <c r="I39" s="2" t="s">
        <v>8</v>
      </c>
      <c r="J39" s="2" t="s">
        <v>9</v>
      </c>
    </row>
    <row r="40" spans="1:10" s="109" customFormat="1" ht="15" customHeight="1" x14ac:dyDescent="0.25">
      <c r="A40" s="97">
        <v>1</v>
      </c>
      <c r="B40" s="30" t="s">
        <v>127</v>
      </c>
      <c r="C40" s="36" t="s">
        <v>33</v>
      </c>
      <c r="D40" s="24" t="s">
        <v>147</v>
      </c>
      <c r="E40" s="24" t="s">
        <v>273</v>
      </c>
      <c r="F40" s="30" t="s">
        <v>22</v>
      </c>
      <c r="G40" s="30" t="s">
        <v>285</v>
      </c>
      <c r="H40" s="65">
        <v>46036</v>
      </c>
      <c r="I40" s="106">
        <f t="shared" ref="I40:I41" ca="1" si="4">TODAY()-H40+1</f>
        <v>7</v>
      </c>
      <c r="J40" s="106" t="s">
        <v>57</v>
      </c>
    </row>
    <row r="41" spans="1:10" s="109" customFormat="1" ht="15" customHeight="1" x14ac:dyDescent="0.25">
      <c r="A41" s="97">
        <v>2</v>
      </c>
      <c r="B41" s="30" t="s">
        <v>186</v>
      </c>
      <c r="C41" s="36" t="s">
        <v>33</v>
      </c>
      <c r="D41" s="24" t="s">
        <v>147</v>
      </c>
      <c r="E41" s="24" t="s">
        <v>273</v>
      </c>
      <c r="F41" s="30" t="s">
        <v>22</v>
      </c>
      <c r="G41" s="30" t="s">
        <v>285</v>
      </c>
      <c r="H41" s="65">
        <v>46036</v>
      </c>
      <c r="I41" s="106">
        <f t="shared" ca="1" si="4"/>
        <v>7</v>
      </c>
      <c r="J41" s="106" t="s">
        <v>57</v>
      </c>
    </row>
    <row r="42" spans="1:10" ht="15" customHeight="1" x14ac:dyDescent="0.25">
      <c r="A42" s="54"/>
    </row>
    <row r="43" spans="1:10" ht="15" customHeight="1" x14ac:dyDescent="0.25"/>
    <row r="44" spans="1:10" ht="15" customHeight="1" x14ac:dyDescent="0.25"/>
    <row r="45" spans="1:10" ht="15" customHeight="1" x14ac:dyDescent="0.25"/>
    <row r="46" spans="1:10" ht="15" customHeight="1" x14ac:dyDescent="0.25"/>
    <row r="47" spans="1:10" ht="15" customHeight="1" x14ac:dyDescent="0.25"/>
    <row r="48" spans="1:10" ht="15" customHeight="1" x14ac:dyDescent="0.25"/>
    <row r="49" ht="15" customHeight="1" x14ac:dyDescent="0.25"/>
  </sheetData>
  <mergeCells count="6">
    <mergeCell ref="A2:J2"/>
    <mergeCell ref="A7:J7"/>
    <mergeCell ref="A30:J30"/>
    <mergeCell ref="A38:J38"/>
    <mergeCell ref="A13:J13"/>
    <mergeCell ref="A19:J19"/>
  </mergeCells>
  <conditionalFormatting sqref="B28:B32 B19:B20 B1:B3 B5:B8 B11:B14 B35 B37:B39 B42:B1048576">
    <cfRule type="duplicateValues" dxfId="571" priority="78290"/>
  </conditionalFormatting>
  <conditionalFormatting sqref="B5:B6">
    <cfRule type="duplicateValues" dxfId="570" priority="1216"/>
    <cfRule type="duplicateValues" dxfId="569" priority="1217" stopIfTrue="1"/>
    <cfRule type="duplicateValues" dxfId="568" priority="1218"/>
  </conditionalFormatting>
  <conditionalFormatting sqref="B13:B14">
    <cfRule type="duplicateValues" dxfId="567" priority="74643"/>
    <cfRule type="duplicateValues" dxfId="566" priority="74644"/>
    <cfRule type="duplicateValues" dxfId="565" priority="74645"/>
    <cfRule type="duplicateValues" dxfId="564" priority="74653"/>
    <cfRule type="duplicateValues" dxfId="563" priority="74655"/>
    <cfRule type="duplicateValues" dxfId="562" priority="74656"/>
    <cfRule type="duplicateValues" dxfId="561" priority="74657"/>
    <cfRule type="duplicateValues" dxfId="560" priority="74658"/>
    <cfRule type="duplicateValues" dxfId="559" priority="74659"/>
    <cfRule type="duplicateValues" dxfId="558" priority="74660"/>
    <cfRule type="duplicateValues" dxfId="557" priority="74661"/>
    <cfRule type="duplicateValues" dxfId="556" priority="74662"/>
    <cfRule type="duplicateValues" dxfId="555" priority="74663"/>
    <cfRule type="duplicateValues" dxfId="554" priority="74664"/>
    <cfRule type="duplicateValues" dxfId="553" priority="74665"/>
    <cfRule type="duplicateValues" dxfId="552" priority="74666"/>
    <cfRule type="duplicateValues" dxfId="551" priority="74667"/>
    <cfRule type="duplicateValues" dxfId="550" priority="74668"/>
    <cfRule type="duplicateValues" dxfId="549" priority="74669"/>
    <cfRule type="duplicateValues" dxfId="548" priority="74670"/>
    <cfRule type="duplicateValues" dxfId="547" priority="74671"/>
  </conditionalFormatting>
  <conditionalFormatting sqref="B14">
    <cfRule type="duplicateValues" dxfId="546" priority="74642" stopIfTrue="1"/>
    <cfRule type="duplicateValues" dxfId="545" priority="74646"/>
    <cfRule type="duplicateValues" dxfId="544" priority="74647"/>
    <cfRule type="duplicateValues" dxfId="543" priority="74648"/>
    <cfRule type="duplicateValues" dxfId="542" priority="74649"/>
    <cfRule type="duplicateValues" dxfId="541" priority="74650"/>
    <cfRule type="duplicateValues" dxfId="540" priority="74651"/>
    <cfRule type="duplicateValues" dxfId="539" priority="74652"/>
    <cfRule type="duplicateValues" dxfId="538" priority="74654"/>
    <cfRule type="duplicateValues" dxfId="537" priority="74672"/>
    <cfRule type="duplicateValues" dxfId="536" priority="74673"/>
    <cfRule type="duplicateValues" dxfId="535" priority="74674"/>
    <cfRule type="duplicateValues" dxfId="534" priority="74675"/>
    <cfRule type="duplicateValues" dxfId="533" priority="74676"/>
    <cfRule type="duplicateValues" dxfId="532" priority="74677"/>
    <cfRule type="duplicateValues" dxfId="531" priority="74678"/>
    <cfRule type="duplicateValues" dxfId="530" priority="74679"/>
    <cfRule type="duplicateValues" dxfId="529" priority="74680"/>
    <cfRule type="duplicateValues" dxfId="528" priority="74681"/>
    <cfRule type="duplicateValues" dxfId="527" priority="74682"/>
    <cfRule type="duplicateValues" dxfId="526" priority="74683"/>
    <cfRule type="duplicateValues" dxfId="525" priority="74684"/>
    <cfRule type="duplicateValues" dxfId="524" priority="74685"/>
    <cfRule type="duplicateValues" dxfId="523" priority="74686"/>
    <cfRule type="duplicateValues" dxfId="522" priority="74687"/>
    <cfRule type="duplicateValues" dxfId="521" priority="74688"/>
    <cfRule type="duplicateValues" dxfId="520" priority="74689"/>
    <cfRule type="duplicateValues" dxfId="519" priority="74690"/>
    <cfRule type="duplicateValues" dxfId="518" priority="74691"/>
    <cfRule type="duplicateValues" dxfId="517" priority="74692"/>
    <cfRule type="duplicateValues" dxfId="516" priority="74693"/>
    <cfRule type="duplicateValues" dxfId="515" priority="74694"/>
    <cfRule type="duplicateValues" dxfId="514" priority="74695"/>
    <cfRule type="duplicateValues" dxfId="513" priority="74696"/>
    <cfRule type="duplicateValues" dxfId="512" priority="74697"/>
    <cfRule type="duplicateValues" dxfId="511" priority="74698"/>
    <cfRule type="duplicateValues" dxfId="510" priority="74699"/>
  </conditionalFormatting>
  <conditionalFormatting sqref="B19:B20">
    <cfRule type="duplicateValues" dxfId="509" priority="149"/>
    <cfRule type="duplicateValues" dxfId="508" priority="150"/>
    <cfRule type="duplicateValues" dxfId="507" priority="151"/>
    <cfRule type="duplicateValues" dxfId="506" priority="152"/>
    <cfRule type="duplicateValues" dxfId="505" priority="153"/>
    <cfRule type="duplicateValues" dxfId="504" priority="154"/>
    <cfRule type="duplicateValues" dxfId="503" priority="155"/>
    <cfRule type="duplicateValues" dxfId="502" priority="156"/>
    <cfRule type="duplicateValues" dxfId="501" priority="157"/>
    <cfRule type="duplicateValues" dxfId="500" priority="158"/>
    <cfRule type="duplicateValues" dxfId="499" priority="159"/>
    <cfRule type="duplicateValues" dxfId="498" priority="160"/>
    <cfRule type="duplicateValues" dxfId="497" priority="161"/>
    <cfRule type="duplicateValues" dxfId="496" priority="162"/>
    <cfRule type="duplicateValues" dxfId="495" priority="163"/>
    <cfRule type="duplicateValues" dxfId="494" priority="164"/>
    <cfRule type="duplicateValues" dxfId="493" priority="165"/>
    <cfRule type="duplicateValues" dxfId="492" priority="166"/>
    <cfRule type="duplicateValues" dxfId="491" priority="167"/>
    <cfRule type="duplicateValues" dxfId="490" priority="168"/>
    <cfRule type="duplicateValues" dxfId="489" priority="169"/>
    <cfRule type="duplicateValues" dxfId="488" priority="170"/>
    <cfRule type="duplicateValues" dxfId="487" priority="171"/>
    <cfRule type="duplicateValues" dxfId="486" priority="209"/>
    <cfRule type="duplicateValues" dxfId="485" priority="210"/>
    <cfRule type="duplicateValues" dxfId="484" priority="211"/>
    <cfRule type="duplicateValues" dxfId="483" priority="212"/>
    <cfRule type="duplicateValues" dxfId="482" priority="213"/>
    <cfRule type="duplicateValues" dxfId="481" priority="214"/>
    <cfRule type="duplicateValues" dxfId="480" priority="215"/>
    <cfRule type="duplicateValues" dxfId="479" priority="216"/>
    <cfRule type="duplicateValues" dxfId="478" priority="217"/>
    <cfRule type="duplicateValues" dxfId="477" priority="218"/>
    <cfRule type="duplicateValues" dxfId="476" priority="219"/>
    <cfRule type="duplicateValues" dxfId="475" priority="220"/>
    <cfRule type="duplicateValues" dxfId="474" priority="221"/>
    <cfRule type="duplicateValues" dxfId="473" priority="222"/>
    <cfRule type="duplicateValues" dxfId="472" priority="223"/>
    <cfRule type="duplicateValues" dxfId="471" priority="224"/>
    <cfRule type="duplicateValues" dxfId="470" priority="225"/>
    <cfRule type="duplicateValues" dxfId="469" priority="226"/>
    <cfRule type="duplicateValues" dxfId="468" priority="227"/>
    <cfRule type="duplicateValues" dxfId="467" priority="228"/>
    <cfRule type="duplicateValues" dxfId="466" priority="229"/>
    <cfRule type="duplicateValues" dxfId="465" priority="230"/>
    <cfRule type="duplicateValues" dxfId="464" priority="231"/>
  </conditionalFormatting>
  <conditionalFormatting sqref="B20">
    <cfRule type="duplicateValues" dxfId="463" priority="172" stopIfTrue="1"/>
    <cfRule type="duplicateValues" dxfId="462" priority="173"/>
    <cfRule type="duplicateValues" dxfId="461" priority="174"/>
    <cfRule type="duplicateValues" dxfId="460" priority="175"/>
    <cfRule type="duplicateValues" dxfId="459" priority="176"/>
    <cfRule type="duplicateValues" dxfId="458" priority="177"/>
    <cfRule type="duplicateValues" dxfId="457" priority="178"/>
    <cfRule type="duplicateValues" dxfId="456" priority="179"/>
    <cfRule type="duplicateValues" dxfId="455" priority="180"/>
    <cfRule type="duplicateValues" dxfId="454" priority="181"/>
    <cfRule type="duplicateValues" dxfId="453" priority="182"/>
    <cfRule type="duplicateValues" dxfId="452" priority="183"/>
    <cfRule type="duplicateValues" dxfId="451" priority="184"/>
    <cfRule type="duplicateValues" dxfId="450" priority="185"/>
    <cfRule type="duplicateValues" dxfId="449" priority="186"/>
    <cfRule type="duplicateValues" dxfId="448" priority="187"/>
    <cfRule type="duplicateValues" dxfId="447" priority="188"/>
    <cfRule type="duplicateValues" dxfId="446" priority="189"/>
    <cfRule type="duplicateValues" dxfId="445" priority="190"/>
    <cfRule type="duplicateValues" dxfId="444" priority="191"/>
    <cfRule type="duplicateValues" dxfId="443" priority="192"/>
    <cfRule type="duplicateValues" dxfId="442" priority="193"/>
    <cfRule type="duplicateValues" dxfId="441" priority="194"/>
    <cfRule type="duplicateValues" dxfId="440" priority="195"/>
    <cfRule type="duplicateValues" dxfId="439" priority="196"/>
    <cfRule type="duplicateValues" dxfId="438" priority="197"/>
    <cfRule type="duplicateValues" dxfId="437" priority="198"/>
    <cfRule type="duplicateValues" dxfId="436" priority="199"/>
    <cfRule type="duplicateValues" dxfId="435" priority="200"/>
    <cfRule type="duplicateValues" dxfId="434" priority="201"/>
    <cfRule type="duplicateValues" dxfId="433" priority="202"/>
    <cfRule type="duplicateValues" dxfId="432" priority="203"/>
    <cfRule type="duplicateValues" dxfId="431" priority="204"/>
    <cfRule type="duplicateValues" dxfId="430" priority="205"/>
    <cfRule type="duplicateValues" dxfId="429" priority="206"/>
    <cfRule type="duplicateValues" dxfId="428" priority="207"/>
    <cfRule type="duplicateValues" dxfId="427" priority="208"/>
  </conditionalFormatting>
  <conditionalFormatting sqref="B28">
    <cfRule type="duplicateValues" dxfId="426" priority="77843"/>
    <cfRule type="duplicateValues" dxfId="425" priority="77844"/>
    <cfRule type="duplicateValues" dxfId="424" priority="77845"/>
    <cfRule type="duplicateValues" dxfId="423" priority="77846"/>
  </conditionalFormatting>
  <conditionalFormatting sqref="B28:B32 B5:B8 B1:B3 B11:B14 B19:B20 B35 B37:B39 B42:B1048576">
    <cfRule type="duplicateValues" dxfId="422" priority="78311"/>
  </conditionalFormatting>
  <conditionalFormatting sqref="B28:B32 B5:B8 B1:B3 B11:B14 B19:B20 B35 B37:B39 B42:B1048576">
    <cfRule type="duplicateValues" dxfId="421" priority="78295"/>
    <cfRule type="duplicateValues" dxfId="420" priority="78296"/>
  </conditionalFormatting>
  <conditionalFormatting sqref="B29">
    <cfRule type="duplicateValues" dxfId="419" priority="36759"/>
  </conditionalFormatting>
  <conditionalFormatting sqref="B29:B32 B5:B8 B1:B3 B11:B14 B35 B37:B39 B42:B1048576">
    <cfRule type="duplicateValues" dxfId="418" priority="78316"/>
    <cfRule type="duplicateValues" dxfId="417" priority="78317"/>
  </conditionalFormatting>
  <conditionalFormatting sqref="B30:B31">
    <cfRule type="duplicateValues" dxfId="416" priority="1072"/>
    <cfRule type="duplicateValues" dxfId="415" priority="1108"/>
    <cfRule type="duplicateValues" dxfId="414" priority="1109"/>
    <cfRule type="duplicateValues" dxfId="413" priority="1110"/>
    <cfRule type="duplicateValues" dxfId="412" priority="1112"/>
    <cfRule type="duplicateValues" dxfId="411" priority="1113"/>
    <cfRule type="duplicateValues" dxfId="410" priority="1114"/>
    <cfRule type="duplicateValues" dxfId="409" priority="1115"/>
    <cfRule type="duplicateValues" dxfId="408" priority="1116"/>
    <cfRule type="duplicateValues" dxfId="407" priority="1117"/>
    <cfRule type="duplicateValues" dxfId="406" priority="1118"/>
    <cfRule type="duplicateValues" dxfId="405" priority="1119"/>
    <cfRule type="duplicateValues" dxfId="404" priority="1120"/>
    <cfRule type="duplicateValues" dxfId="403" priority="1121"/>
    <cfRule type="duplicateValues" dxfId="402" priority="1122"/>
    <cfRule type="duplicateValues" dxfId="401" priority="1123"/>
    <cfRule type="duplicateValues" dxfId="400" priority="1124"/>
  </conditionalFormatting>
  <conditionalFormatting sqref="B31">
    <cfRule type="duplicateValues" dxfId="399" priority="1071" stopIfTrue="1"/>
    <cfRule type="duplicateValues" dxfId="398" priority="1073"/>
    <cfRule type="duplicateValues" dxfId="397" priority="1074"/>
    <cfRule type="duplicateValues" dxfId="396" priority="1075"/>
    <cfRule type="duplicateValues" dxfId="395" priority="1076"/>
    <cfRule type="duplicateValues" dxfId="394" priority="1077"/>
    <cfRule type="duplicateValues" dxfId="393" priority="1078"/>
    <cfRule type="duplicateValues" dxfId="392" priority="1079"/>
    <cfRule type="duplicateValues" dxfId="391" priority="1080"/>
    <cfRule type="duplicateValues" dxfId="390" priority="1081"/>
    <cfRule type="duplicateValues" dxfId="389" priority="1082"/>
    <cfRule type="duplicateValues" dxfId="388" priority="1083"/>
    <cfRule type="duplicateValues" dxfId="387" priority="1084"/>
    <cfRule type="duplicateValues" dxfId="386" priority="1085"/>
    <cfRule type="duplicateValues" dxfId="385" priority="1086"/>
    <cfRule type="duplicateValues" dxfId="384" priority="1087"/>
    <cfRule type="duplicateValues" dxfId="383" priority="1088"/>
    <cfRule type="duplicateValues" dxfId="382" priority="1089"/>
    <cfRule type="duplicateValues" dxfId="381" priority="1090"/>
    <cfRule type="duplicateValues" dxfId="380" priority="1091"/>
    <cfRule type="duplicateValues" dxfId="379" priority="1092"/>
    <cfRule type="duplicateValues" dxfId="378" priority="1093"/>
    <cfRule type="duplicateValues" dxfId="377" priority="1094"/>
    <cfRule type="duplicateValues" dxfId="376" priority="1095"/>
    <cfRule type="duplicateValues" dxfId="375" priority="1096"/>
    <cfRule type="duplicateValues" dxfId="374" priority="1097"/>
    <cfRule type="duplicateValues" dxfId="373" priority="1098"/>
    <cfRule type="duplicateValues" dxfId="372" priority="1099"/>
    <cfRule type="duplicateValues" dxfId="371" priority="1100"/>
    <cfRule type="duplicateValues" dxfId="370" priority="1101"/>
    <cfRule type="duplicateValues" dxfId="369" priority="1102"/>
    <cfRule type="duplicateValues" dxfId="368" priority="1103"/>
    <cfRule type="duplicateValues" dxfId="367" priority="1104"/>
    <cfRule type="duplicateValues" dxfId="366" priority="1105"/>
    <cfRule type="duplicateValues" dxfId="365" priority="1106"/>
    <cfRule type="duplicateValues" dxfId="364" priority="1107"/>
    <cfRule type="duplicateValues" dxfId="363" priority="1111"/>
  </conditionalFormatting>
  <conditionalFormatting sqref="B32 B11:B12">
    <cfRule type="duplicateValues" dxfId="362" priority="36328"/>
    <cfRule type="duplicateValues" dxfId="361" priority="36329"/>
    <cfRule type="duplicateValues" dxfId="360" priority="36330"/>
    <cfRule type="duplicateValues" dxfId="359" priority="36331"/>
    <cfRule type="duplicateValues" dxfId="358" priority="37707"/>
  </conditionalFormatting>
  <conditionalFormatting sqref="B35">
    <cfRule type="duplicateValues" dxfId="357" priority="967"/>
    <cfRule type="duplicateValues" dxfId="356" priority="968"/>
  </conditionalFormatting>
  <conditionalFormatting sqref="B37:B39 B29:B32 B11:B14 B5:B8 B1:B3 B42:B1048576">
    <cfRule type="duplicateValues" dxfId="355" priority="75552"/>
  </conditionalFormatting>
  <conditionalFormatting sqref="B37">
    <cfRule type="duplicateValues" dxfId="354" priority="52141"/>
    <cfRule type="duplicateValues" dxfId="353" priority="52142"/>
  </conditionalFormatting>
  <conditionalFormatting sqref="B38:B39 B1:B3 B5:B8 B42:B1048576">
    <cfRule type="duplicateValues" dxfId="352" priority="75622"/>
    <cfRule type="duplicateValues" dxfId="351" priority="75623"/>
    <cfRule type="duplicateValues" dxfId="350" priority="75624"/>
    <cfRule type="duplicateValues" dxfId="349" priority="75625"/>
    <cfRule type="duplicateValues" dxfId="348" priority="75626"/>
    <cfRule type="duplicateValues" dxfId="347" priority="75627"/>
    <cfRule type="duplicateValues" dxfId="346" priority="75628"/>
    <cfRule type="duplicateValues" dxfId="345" priority="75629"/>
    <cfRule type="duplicateValues" dxfId="344" priority="75630"/>
    <cfRule type="duplicateValues" dxfId="343" priority="75631"/>
    <cfRule type="duplicateValues" dxfId="342" priority="75632"/>
    <cfRule type="duplicateValues" dxfId="341" priority="75633"/>
    <cfRule type="duplicateValues" dxfId="340" priority="75634"/>
    <cfRule type="duplicateValues" dxfId="339" priority="75635"/>
    <cfRule type="duplicateValues" dxfId="338" priority="75636"/>
    <cfRule type="duplicateValues" dxfId="337" priority="75637"/>
    <cfRule type="duplicateValues" dxfId="336" priority="75638"/>
  </conditionalFormatting>
  <conditionalFormatting sqref="B38:B39 B29:B31 B1:B3 B5:B8 B13:B14 B42:B1048576">
    <cfRule type="duplicateValues" dxfId="335" priority="75724"/>
  </conditionalFormatting>
  <conditionalFormatting sqref="B38:B39 B29:B31 B1:B3 B5:B8 B42:B1048576">
    <cfRule type="duplicateValues" dxfId="334" priority="75410"/>
    <cfRule type="duplicateValues" dxfId="333" priority="75411"/>
    <cfRule type="duplicateValues" dxfId="332" priority="75412"/>
  </conditionalFormatting>
  <conditionalFormatting sqref="B38:B39 B29:B31 B5:B8 B1:B3 B42:B1048576">
    <cfRule type="duplicateValues" dxfId="331" priority="75560"/>
  </conditionalFormatting>
  <conditionalFormatting sqref="B39 B1 B8 B3">
    <cfRule type="duplicateValues" dxfId="330" priority="1150" stopIfTrue="1"/>
  </conditionalFormatting>
  <conditionalFormatting sqref="B39 B1:B3 B8 B5:B6 B42:B1048576">
    <cfRule type="duplicateValues" dxfId="329" priority="75447"/>
    <cfRule type="duplicateValues" dxfId="328" priority="75448"/>
    <cfRule type="duplicateValues" dxfId="327" priority="75449"/>
    <cfRule type="duplicateValues" dxfId="326" priority="75450"/>
    <cfRule type="duplicateValues" dxfId="325" priority="75451"/>
    <cfRule type="duplicateValues" dxfId="324" priority="75482"/>
    <cfRule type="duplicateValues" dxfId="323" priority="75483"/>
    <cfRule type="duplicateValues" dxfId="322" priority="75732"/>
    <cfRule type="duplicateValues" dxfId="321" priority="75733"/>
    <cfRule type="duplicateValues" dxfId="320" priority="75734"/>
    <cfRule type="duplicateValues" dxfId="319" priority="75735"/>
    <cfRule type="duplicateValues" dxfId="318" priority="75736"/>
    <cfRule type="duplicateValues" dxfId="317" priority="75737"/>
    <cfRule type="duplicateValues" dxfId="316" priority="75738"/>
    <cfRule type="duplicateValues" dxfId="315" priority="75739"/>
    <cfRule type="duplicateValues" dxfId="314" priority="75740"/>
    <cfRule type="duplicateValues" dxfId="313" priority="75741"/>
    <cfRule type="duplicateValues" dxfId="312" priority="75742"/>
    <cfRule type="duplicateValues" dxfId="311" priority="75743"/>
    <cfRule type="duplicateValues" dxfId="310" priority="75744"/>
    <cfRule type="duplicateValues" dxfId="309" priority="75745"/>
    <cfRule type="duplicateValues" dxfId="308" priority="75746"/>
    <cfRule type="duplicateValues" dxfId="307" priority="75747"/>
    <cfRule type="duplicateValues" dxfId="306" priority="75748"/>
    <cfRule type="duplicateValues" dxfId="305" priority="75749"/>
    <cfRule type="duplicateValues" dxfId="304" priority="75750"/>
    <cfRule type="duplicateValues" dxfId="303" priority="75751"/>
    <cfRule type="duplicateValues" dxfId="302" priority="75752"/>
    <cfRule type="duplicateValues" dxfId="301" priority="75753"/>
    <cfRule type="duplicateValues" dxfId="300" priority="75754"/>
    <cfRule type="duplicateValues" dxfId="299" priority="75755"/>
    <cfRule type="duplicateValues" dxfId="298" priority="75756"/>
    <cfRule type="duplicateValues" dxfId="297" priority="75757"/>
    <cfRule type="duplicateValues" dxfId="296" priority="75758"/>
    <cfRule type="duplicateValues" dxfId="295" priority="75759"/>
  </conditionalFormatting>
  <conditionalFormatting sqref="B39 B8 B1:B3 B5:B6 B42:B1048576">
    <cfRule type="duplicateValues" dxfId="294" priority="75567"/>
  </conditionalFormatting>
  <conditionalFormatting sqref="B42">
    <cfRule type="duplicateValues" dxfId="293" priority="73552" stopIfTrue="1"/>
  </conditionalFormatting>
  <conditionalFormatting sqref="B42:B43">
    <cfRule type="duplicateValues" dxfId="292" priority="73547"/>
  </conditionalFormatting>
  <conditionalFormatting sqref="B42:B45">
    <cfRule type="duplicateValues" dxfId="291" priority="73465"/>
  </conditionalFormatting>
  <conditionalFormatting sqref="B42:B1048576 B1:B3 B11:B14 B29:B32 B5:B8 B35 B37:B39">
    <cfRule type="duplicateValues" dxfId="290" priority="78622"/>
    <cfRule type="duplicateValues" dxfId="289" priority="78623"/>
    <cfRule type="duplicateValues" dxfId="288" priority="78624"/>
    <cfRule type="duplicateValues" dxfId="287" priority="78625"/>
  </conditionalFormatting>
  <conditionalFormatting sqref="B42:B1048576 B5:B8 B1:B3 B11:B14 B29:B32 B35 B37:B39">
    <cfRule type="duplicateValues" dxfId="286" priority="78676"/>
  </conditionalFormatting>
  <conditionalFormatting sqref="B42:B1048576 B11:B14 B29:B32 B5:B8 B1:B3 B35 B37:B39">
    <cfRule type="duplicateValues" dxfId="285" priority="75496"/>
    <cfRule type="duplicateValues" dxfId="284" priority="75497"/>
    <cfRule type="duplicateValues" dxfId="283" priority="75498"/>
    <cfRule type="duplicateValues" dxfId="282" priority="75499"/>
    <cfRule type="duplicateValues" dxfId="281" priority="75500"/>
    <cfRule type="duplicateValues" dxfId="280" priority="77465"/>
  </conditionalFormatting>
  <conditionalFormatting sqref="B42:B1048576 B11:B14 B29:B32 B1:B3 B5:B8 B35 B37:B39">
    <cfRule type="duplicateValues" dxfId="279" priority="76716"/>
    <cfRule type="duplicateValues" dxfId="278" priority="76717"/>
    <cfRule type="duplicateValues" dxfId="277" priority="76718"/>
    <cfRule type="duplicateValues" dxfId="276" priority="76719"/>
    <cfRule type="duplicateValues" dxfId="275" priority="76720"/>
    <cfRule type="duplicateValues" dxfId="274" priority="76721"/>
  </conditionalFormatting>
  <conditionalFormatting sqref="B42:B1048576 B11:B14 B29:B32 B5:B8 B1:B3 B35 B37:B39">
    <cfRule type="duplicateValues" dxfId="273" priority="76870"/>
    <cfRule type="duplicateValues" dxfId="272" priority="76871"/>
  </conditionalFormatting>
  <conditionalFormatting sqref="B42:B1048576 B29:B32 B11:B14 B35 B1:B3 B5:B8 B37:B39">
    <cfRule type="duplicateValues" dxfId="271" priority="75431"/>
    <cfRule type="duplicateValues" dxfId="270" priority="75432"/>
  </conditionalFormatting>
  <conditionalFormatting sqref="B42:B1048576">
    <cfRule type="duplicateValues" dxfId="269" priority="75928"/>
  </conditionalFormatting>
  <conditionalFormatting sqref="B43:B1048576">
    <cfRule type="duplicateValues" dxfId="268" priority="75931"/>
    <cfRule type="duplicateValues" dxfId="267" priority="75932"/>
    <cfRule type="duplicateValues" dxfId="266" priority="75933"/>
    <cfRule type="duplicateValues" dxfId="265" priority="75934"/>
    <cfRule type="duplicateValues" dxfId="264" priority="75935"/>
    <cfRule type="duplicateValues" dxfId="263" priority="75936"/>
    <cfRule type="duplicateValues" dxfId="262" priority="75937"/>
    <cfRule type="duplicateValues" dxfId="261" priority="75938"/>
    <cfRule type="duplicateValues" dxfId="260" priority="75939"/>
    <cfRule type="duplicateValues" dxfId="259" priority="75940"/>
    <cfRule type="duplicateValues" dxfId="258" priority="75941"/>
    <cfRule type="duplicateValues" dxfId="257" priority="75942"/>
  </conditionalFormatting>
  <conditionalFormatting sqref="B44:B1048576">
    <cfRule type="duplicateValues" dxfId="256" priority="75967"/>
    <cfRule type="duplicateValues" dxfId="255" priority="75968"/>
    <cfRule type="duplicateValues" dxfId="254" priority="75969"/>
    <cfRule type="duplicateValues" dxfId="253" priority="75970"/>
  </conditionalFormatting>
  <conditionalFormatting sqref="B4">
    <cfRule type="duplicateValues" dxfId="252" priority="146"/>
  </conditionalFormatting>
  <conditionalFormatting sqref="B4">
    <cfRule type="duplicateValues" dxfId="251" priority="145"/>
  </conditionalFormatting>
  <conditionalFormatting sqref="B4">
    <cfRule type="duplicateValues" dxfId="250" priority="144"/>
  </conditionalFormatting>
  <conditionalFormatting sqref="B4">
    <cfRule type="duplicateValues" dxfId="249" priority="143"/>
  </conditionalFormatting>
  <conditionalFormatting sqref="B4">
    <cfRule type="duplicateValues" dxfId="248" priority="142"/>
  </conditionalFormatting>
  <conditionalFormatting sqref="B4">
    <cfRule type="duplicateValues" dxfId="247" priority="141"/>
  </conditionalFormatting>
  <conditionalFormatting sqref="B4">
    <cfRule type="duplicateValues" dxfId="246" priority="140"/>
  </conditionalFormatting>
  <conditionalFormatting sqref="B4">
    <cfRule type="duplicateValues" dxfId="245" priority="139"/>
  </conditionalFormatting>
  <conditionalFormatting sqref="B4">
    <cfRule type="duplicateValues" dxfId="244" priority="138"/>
  </conditionalFormatting>
  <conditionalFormatting sqref="B4">
    <cfRule type="duplicateValues" dxfId="243" priority="137"/>
  </conditionalFormatting>
  <conditionalFormatting sqref="B4">
    <cfRule type="duplicateValues" dxfId="242" priority="136"/>
  </conditionalFormatting>
  <conditionalFormatting sqref="B4">
    <cfRule type="duplicateValues" dxfId="241" priority="135"/>
  </conditionalFormatting>
  <conditionalFormatting sqref="B4">
    <cfRule type="duplicateValues" dxfId="240" priority="134"/>
  </conditionalFormatting>
  <conditionalFormatting sqref="B9">
    <cfRule type="duplicateValues" dxfId="239" priority="133"/>
  </conditionalFormatting>
  <conditionalFormatting sqref="B9">
    <cfRule type="duplicateValues" dxfId="238" priority="132"/>
  </conditionalFormatting>
  <conditionalFormatting sqref="B9">
    <cfRule type="duplicateValues" dxfId="237" priority="131"/>
  </conditionalFormatting>
  <conditionalFormatting sqref="B9">
    <cfRule type="duplicateValues" dxfId="236" priority="130"/>
  </conditionalFormatting>
  <conditionalFormatting sqref="B9">
    <cfRule type="duplicateValues" dxfId="235" priority="129"/>
  </conditionalFormatting>
  <conditionalFormatting sqref="B9">
    <cfRule type="duplicateValues" dxfId="234" priority="128"/>
  </conditionalFormatting>
  <conditionalFormatting sqref="B9">
    <cfRule type="duplicateValues" dxfId="233" priority="127"/>
  </conditionalFormatting>
  <conditionalFormatting sqref="B9">
    <cfRule type="duplicateValues" dxfId="232" priority="126"/>
  </conditionalFormatting>
  <conditionalFormatting sqref="B9">
    <cfRule type="duplicateValues" dxfId="231" priority="125"/>
  </conditionalFormatting>
  <conditionalFormatting sqref="B9">
    <cfRule type="duplicateValues" dxfId="230" priority="124"/>
  </conditionalFormatting>
  <conditionalFormatting sqref="B9">
    <cfRule type="duplicateValues" dxfId="229" priority="123"/>
  </conditionalFormatting>
  <conditionalFormatting sqref="B9">
    <cfRule type="duplicateValues" dxfId="228" priority="122"/>
  </conditionalFormatting>
  <conditionalFormatting sqref="B9">
    <cfRule type="duplicateValues" dxfId="227" priority="121"/>
  </conditionalFormatting>
  <conditionalFormatting sqref="B10">
    <cfRule type="duplicateValues" dxfId="226" priority="119"/>
    <cfRule type="duplicateValues" dxfId="225" priority="120"/>
  </conditionalFormatting>
  <conditionalFormatting sqref="B10">
    <cfRule type="duplicateValues" dxfId="224" priority="118"/>
  </conditionalFormatting>
  <conditionalFormatting sqref="B10">
    <cfRule type="duplicateValues" dxfId="223" priority="117"/>
  </conditionalFormatting>
  <conditionalFormatting sqref="B10">
    <cfRule type="duplicateValues" dxfId="222" priority="116"/>
  </conditionalFormatting>
  <conditionalFormatting sqref="B10">
    <cfRule type="duplicateValues" dxfId="221" priority="115"/>
  </conditionalFormatting>
  <conditionalFormatting sqref="B10">
    <cfRule type="duplicateValues" dxfId="220" priority="114"/>
  </conditionalFormatting>
  <conditionalFormatting sqref="B10">
    <cfRule type="duplicateValues" dxfId="219" priority="113"/>
  </conditionalFormatting>
  <conditionalFormatting sqref="B10">
    <cfRule type="duplicateValues" dxfId="218" priority="112"/>
  </conditionalFormatting>
  <conditionalFormatting sqref="B10">
    <cfRule type="duplicateValues" dxfId="217" priority="111"/>
  </conditionalFormatting>
  <conditionalFormatting sqref="B10">
    <cfRule type="duplicateValues" dxfId="216" priority="110"/>
  </conditionalFormatting>
  <conditionalFormatting sqref="B10">
    <cfRule type="duplicateValues" dxfId="215" priority="109"/>
  </conditionalFormatting>
  <conditionalFormatting sqref="B10">
    <cfRule type="duplicateValues" dxfId="214" priority="108"/>
  </conditionalFormatting>
  <conditionalFormatting sqref="B10">
    <cfRule type="duplicateValues" dxfId="213" priority="107"/>
  </conditionalFormatting>
  <conditionalFormatting sqref="B10">
    <cfRule type="duplicateValues" dxfId="212" priority="106"/>
  </conditionalFormatting>
  <conditionalFormatting sqref="B16:B18">
    <cfRule type="duplicateValues" dxfId="211" priority="105"/>
  </conditionalFormatting>
  <conditionalFormatting sqref="B15">
    <cfRule type="duplicateValues" dxfId="210" priority="104"/>
  </conditionalFormatting>
  <conditionalFormatting sqref="B15">
    <cfRule type="duplicateValues" dxfId="209" priority="103"/>
  </conditionalFormatting>
  <conditionalFormatting sqref="B15:B18">
    <cfRule type="duplicateValues" dxfId="208" priority="102"/>
  </conditionalFormatting>
  <conditionalFormatting sqref="B15:B18">
    <cfRule type="duplicateValues" dxfId="207" priority="101"/>
  </conditionalFormatting>
  <conditionalFormatting sqref="B15:B18">
    <cfRule type="duplicateValues" dxfId="206" priority="100"/>
  </conditionalFormatting>
  <conditionalFormatting sqref="B15:B18">
    <cfRule type="duplicateValues" dxfId="205" priority="99"/>
  </conditionalFormatting>
  <conditionalFormatting sqref="B15:B18">
    <cfRule type="duplicateValues" dxfId="204" priority="98"/>
  </conditionalFormatting>
  <conditionalFormatting sqref="B15">
    <cfRule type="duplicateValues" dxfId="203" priority="97"/>
  </conditionalFormatting>
  <conditionalFormatting sqref="B15:B18">
    <cfRule type="duplicateValues" dxfId="202" priority="96"/>
  </conditionalFormatting>
  <conditionalFormatting sqref="B15:B18">
    <cfRule type="duplicateValues" dxfId="201" priority="95"/>
  </conditionalFormatting>
  <conditionalFormatting sqref="B15:B18">
    <cfRule type="duplicateValues" dxfId="200" priority="94"/>
  </conditionalFormatting>
  <conditionalFormatting sqref="B16:B18">
    <cfRule type="duplicateValues" dxfId="199" priority="93"/>
  </conditionalFormatting>
  <conditionalFormatting sqref="B16:B18">
    <cfRule type="duplicateValues" dxfId="198" priority="92"/>
  </conditionalFormatting>
  <conditionalFormatting sqref="B15:B18">
    <cfRule type="duplicateValues" dxfId="197" priority="91"/>
  </conditionalFormatting>
  <conditionalFormatting sqref="B15:B18">
    <cfRule type="duplicateValues" dxfId="196" priority="90"/>
  </conditionalFormatting>
  <conditionalFormatting sqref="B15:B18">
    <cfRule type="duplicateValues" dxfId="195" priority="89"/>
  </conditionalFormatting>
  <conditionalFormatting sqref="B15:B18">
    <cfRule type="duplicateValues" dxfId="194" priority="88"/>
  </conditionalFormatting>
  <conditionalFormatting sqref="B25:B26 B21:B23">
    <cfRule type="duplicateValues" dxfId="193" priority="87"/>
  </conditionalFormatting>
  <conditionalFormatting sqref="B25:B26">
    <cfRule type="duplicateValues" dxfId="192" priority="86"/>
  </conditionalFormatting>
  <conditionalFormatting sqref="B25:B26 B22:B23">
    <cfRule type="duplicateValues" dxfId="191" priority="85"/>
  </conditionalFormatting>
  <conditionalFormatting sqref="B25:B26">
    <cfRule type="duplicateValues" dxfId="190" priority="84"/>
  </conditionalFormatting>
  <conditionalFormatting sqref="B24">
    <cfRule type="duplicateValues" dxfId="189" priority="83"/>
  </conditionalFormatting>
  <conditionalFormatting sqref="B27">
    <cfRule type="duplicateValues" dxfId="188" priority="82"/>
  </conditionalFormatting>
  <conditionalFormatting sqref="B21:B27">
    <cfRule type="duplicateValues" dxfId="187" priority="81"/>
  </conditionalFormatting>
  <conditionalFormatting sqref="B21">
    <cfRule type="duplicateValues" dxfId="186" priority="80"/>
  </conditionalFormatting>
  <conditionalFormatting sqref="B21:B26">
    <cfRule type="duplicateValues" dxfId="185" priority="79"/>
  </conditionalFormatting>
  <conditionalFormatting sqref="B21:B27">
    <cfRule type="duplicateValues" dxfId="184" priority="78"/>
  </conditionalFormatting>
  <conditionalFormatting sqref="B24">
    <cfRule type="duplicateValues" dxfId="183" priority="77"/>
  </conditionalFormatting>
  <conditionalFormatting sqref="B24">
    <cfRule type="duplicateValues" dxfId="182" priority="76"/>
  </conditionalFormatting>
  <conditionalFormatting sqref="B24">
    <cfRule type="duplicateValues" dxfId="181" priority="75"/>
  </conditionalFormatting>
  <conditionalFormatting sqref="B24">
    <cfRule type="duplicateValues" dxfId="180" priority="74"/>
  </conditionalFormatting>
  <conditionalFormatting sqref="B24">
    <cfRule type="duplicateValues" dxfId="179" priority="73"/>
  </conditionalFormatting>
  <conditionalFormatting sqref="B24">
    <cfRule type="duplicateValues" dxfId="178" priority="72"/>
  </conditionalFormatting>
  <conditionalFormatting sqref="B24">
    <cfRule type="duplicateValues" dxfId="177" priority="71"/>
  </conditionalFormatting>
  <conditionalFormatting sqref="B24">
    <cfRule type="duplicateValues" dxfId="176" priority="70"/>
  </conditionalFormatting>
  <conditionalFormatting sqref="B24">
    <cfRule type="duplicateValues" dxfId="175" priority="69"/>
  </conditionalFormatting>
  <conditionalFormatting sqref="B24">
    <cfRule type="duplicateValues" dxfId="174" priority="68"/>
  </conditionalFormatting>
  <conditionalFormatting sqref="B24">
    <cfRule type="duplicateValues" dxfId="173" priority="67"/>
  </conditionalFormatting>
  <conditionalFormatting sqref="B33">
    <cfRule type="duplicateValues" dxfId="172" priority="66"/>
  </conditionalFormatting>
  <conditionalFormatting sqref="B33">
    <cfRule type="duplicateValues" dxfId="171" priority="65"/>
  </conditionalFormatting>
  <conditionalFormatting sqref="B33">
    <cfRule type="duplicateValues" dxfId="170" priority="64"/>
  </conditionalFormatting>
  <conditionalFormatting sqref="B33">
    <cfRule type="duplicateValues" dxfId="169" priority="63"/>
  </conditionalFormatting>
  <conditionalFormatting sqref="B33">
    <cfRule type="duplicateValues" dxfId="168" priority="61"/>
    <cfRule type="duplicateValues" dxfId="167" priority="62"/>
  </conditionalFormatting>
  <conditionalFormatting sqref="B33">
    <cfRule type="duplicateValues" dxfId="166" priority="60"/>
  </conditionalFormatting>
  <conditionalFormatting sqref="B33">
    <cfRule type="duplicateValues" dxfId="165" priority="59"/>
  </conditionalFormatting>
  <conditionalFormatting sqref="B33">
    <cfRule type="duplicateValues" dxfId="164" priority="57"/>
    <cfRule type="duplicateValues" dxfId="163" priority="58"/>
  </conditionalFormatting>
  <conditionalFormatting sqref="B33">
    <cfRule type="duplicateValues" dxfId="162" priority="56"/>
  </conditionalFormatting>
  <conditionalFormatting sqref="B33">
    <cfRule type="duplicateValues" dxfId="161" priority="55"/>
  </conditionalFormatting>
  <conditionalFormatting sqref="B33">
    <cfRule type="duplicateValues" dxfId="160" priority="54"/>
  </conditionalFormatting>
  <conditionalFormatting sqref="B33">
    <cfRule type="duplicateValues" dxfId="159" priority="53"/>
  </conditionalFormatting>
  <conditionalFormatting sqref="B33">
    <cfRule type="duplicateValues" dxfId="158" priority="52"/>
  </conditionalFormatting>
  <conditionalFormatting sqref="B33">
    <cfRule type="duplicateValues" dxfId="157" priority="51"/>
  </conditionalFormatting>
  <conditionalFormatting sqref="B33">
    <cfRule type="duplicateValues" dxfId="156" priority="50"/>
  </conditionalFormatting>
  <conditionalFormatting sqref="B33">
    <cfRule type="duplicateValues" dxfId="155" priority="49"/>
  </conditionalFormatting>
  <conditionalFormatting sqref="B33">
    <cfRule type="duplicateValues" dxfId="154" priority="48"/>
  </conditionalFormatting>
  <conditionalFormatting sqref="B34">
    <cfRule type="duplicateValues" dxfId="153" priority="47"/>
  </conditionalFormatting>
  <conditionalFormatting sqref="B34">
    <cfRule type="duplicateValues" dxfId="152" priority="46"/>
  </conditionalFormatting>
  <conditionalFormatting sqref="B34">
    <cfRule type="duplicateValues" dxfId="151" priority="44"/>
    <cfRule type="duplicateValues" dxfId="150" priority="45"/>
  </conditionalFormatting>
  <conditionalFormatting sqref="B34">
    <cfRule type="duplicateValues" dxfId="149" priority="43"/>
  </conditionalFormatting>
  <conditionalFormatting sqref="B34">
    <cfRule type="duplicateValues" dxfId="148" priority="41"/>
    <cfRule type="duplicateValues" dxfId="147" priority="42"/>
  </conditionalFormatting>
  <conditionalFormatting sqref="B34">
    <cfRule type="duplicateValues" dxfId="146" priority="40"/>
  </conditionalFormatting>
  <conditionalFormatting sqref="B34">
    <cfRule type="duplicateValues" dxfId="145" priority="39"/>
  </conditionalFormatting>
  <conditionalFormatting sqref="B34">
    <cfRule type="duplicateValues" dxfId="144" priority="38"/>
  </conditionalFormatting>
  <conditionalFormatting sqref="B34">
    <cfRule type="duplicateValues" dxfId="143" priority="37"/>
  </conditionalFormatting>
  <conditionalFormatting sqref="B34">
    <cfRule type="duplicateValues" dxfId="142" priority="36"/>
  </conditionalFormatting>
  <conditionalFormatting sqref="B34">
    <cfRule type="duplicateValues" dxfId="141" priority="35"/>
  </conditionalFormatting>
  <conditionalFormatting sqref="B34">
    <cfRule type="duplicateValues" dxfId="140" priority="34"/>
  </conditionalFormatting>
  <conditionalFormatting sqref="B34">
    <cfRule type="duplicateValues" dxfId="139" priority="33"/>
  </conditionalFormatting>
  <conditionalFormatting sqref="B34">
    <cfRule type="duplicateValues" dxfId="138" priority="32"/>
  </conditionalFormatting>
  <conditionalFormatting sqref="B34">
    <cfRule type="duplicateValues" dxfId="137" priority="31"/>
  </conditionalFormatting>
  <conditionalFormatting sqref="B34">
    <cfRule type="duplicateValues" dxfId="136" priority="30"/>
  </conditionalFormatting>
  <conditionalFormatting sqref="B36">
    <cfRule type="duplicateValues" dxfId="135" priority="28"/>
    <cfRule type="duplicateValues" dxfId="134" priority="29"/>
  </conditionalFormatting>
  <conditionalFormatting sqref="B36">
    <cfRule type="duplicateValues" dxfId="133" priority="27"/>
  </conditionalFormatting>
  <conditionalFormatting sqref="B36">
    <cfRule type="duplicateValues" dxfId="132" priority="26"/>
  </conditionalFormatting>
  <conditionalFormatting sqref="B36">
    <cfRule type="duplicateValues" dxfId="131" priority="25"/>
  </conditionalFormatting>
  <conditionalFormatting sqref="B36">
    <cfRule type="duplicateValues" dxfId="130" priority="24"/>
  </conditionalFormatting>
  <conditionalFormatting sqref="B36">
    <cfRule type="duplicateValues" dxfId="129" priority="23"/>
  </conditionalFormatting>
  <conditionalFormatting sqref="B36">
    <cfRule type="duplicateValues" dxfId="128" priority="22"/>
  </conditionalFormatting>
  <conditionalFormatting sqref="B36">
    <cfRule type="duplicateValues" dxfId="127" priority="21"/>
  </conditionalFormatting>
  <conditionalFormatting sqref="B36">
    <cfRule type="duplicateValues" dxfId="126" priority="20"/>
  </conditionalFormatting>
  <conditionalFormatting sqref="B36">
    <cfRule type="duplicateValues" dxfId="125" priority="19"/>
  </conditionalFormatting>
  <conditionalFormatting sqref="B36">
    <cfRule type="duplicateValues" dxfId="124" priority="18"/>
  </conditionalFormatting>
  <conditionalFormatting sqref="B36">
    <cfRule type="duplicateValues" dxfId="123" priority="17"/>
  </conditionalFormatting>
  <conditionalFormatting sqref="B36">
    <cfRule type="duplicateValues" dxfId="122" priority="16"/>
  </conditionalFormatting>
  <conditionalFormatting sqref="B36">
    <cfRule type="duplicateValues" dxfId="121" priority="15"/>
  </conditionalFormatting>
  <conditionalFormatting sqref="B36">
    <cfRule type="duplicateValues" dxfId="120" priority="14"/>
  </conditionalFormatting>
  <conditionalFormatting sqref="B40:B41">
    <cfRule type="duplicateValues" dxfId="119" priority="13"/>
  </conditionalFormatting>
  <conditionalFormatting sqref="B40:B41">
    <cfRule type="duplicateValues" dxfId="118" priority="12"/>
  </conditionalFormatting>
  <conditionalFormatting sqref="B40:B41">
    <cfRule type="duplicateValues" dxfId="117" priority="11"/>
  </conditionalFormatting>
  <conditionalFormatting sqref="B40:B41">
    <cfRule type="duplicateValues" dxfId="116" priority="10"/>
  </conditionalFormatting>
  <conditionalFormatting sqref="B40:B41">
    <cfRule type="duplicateValues" dxfId="115" priority="9"/>
  </conditionalFormatting>
  <conditionalFormatting sqref="B40:B41">
    <cfRule type="duplicateValues" dxfId="114" priority="8"/>
  </conditionalFormatting>
  <conditionalFormatting sqref="B40:B41">
    <cfRule type="duplicateValues" dxfId="113" priority="7"/>
  </conditionalFormatting>
  <conditionalFormatting sqref="B40:B41">
    <cfRule type="duplicateValues" dxfId="112" priority="6"/>
  </conditionalFormatting>
  <conditionalFormatting sqref="B40:B41">
    <cfRule type="duplicateValues" dxfId="111" priority="5"/>
  </conditionalFormatting>
  <conditionalFormatting sqref="B40:B41">
    <cfRule type="duplicateValues" dxfId="110" priority="4"/>
  </conditionalFormatting>
  <conditionalFormatting sqref="B40:B41">
    <cfRule type="duplicateValues" dxfId="109" priority="3"/>
  </conditionalFormatting>
  <conditionalFormatting sqref="B40:B41">
    <cfRule type="duplicateValues" dxfId="108" priority="2"/>
  </conditionalFormatting>
  <conditionalFormatting sqref="B40:B41">
    <cfRule type="duplicateValues" dxfId="107" priority="1"/>
  </conditionalFormatting>
  <conditionalFormatting sqref="B19:B20">
    <cfRule type="duplicateValues" dxfId="106" priority="78684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0451-9FCE-4907-9AC3-EA73C9CE2B7D}">
  <dimension ref="B3:D15"/>
  <sheetViews>
    <sheetView workbookViewId="0">
      <selection activeCell="C22" sqref="C22"/>
    </sheetView>
  </sheetViews>
  <sheetFormatPr defaultRowHeight="15" x14ac:dyDescent="0.25"/>
  <cols>
    <col min="3" max="3" width="19.85546875" customWidth="1"/>
    <col min="4" max="4" width="29.140625" customWidth="1"/>
  </cols>
  <sheetData>
    <row r="3" spans="2:4" x14ac:dyDescent="0.25">
      <c r="B3" s="101" t="s">
        <v>260</v>
      </c>
      <c r="C3" s="101" t="s">
        <v>3</v>
      </c>
      <c r="D3" s="101" t="s">
        <v>261</v>
      </c>
    </row>
    <row r="4" spans="2:4" x14ac:dyDescent="0.25">
      <c r="B4" s="100" t="s">
        <v>259</v>
      </c>
      <c r="C4" s="22" t="s">
        <v>262</v>
      </c>
      <c r="D4" s="103" t="s">
        <v>263</v>
      </c>
    </row>
    <row r="5" spans="2:4" x14ac:dyDescent="0.25">
      <c r="B5" s="99" t="s">
        <v>253</v>
      </c>
      <c r="C5" s="22" t="s">
        <v>262</v>
      </c>
      <c r="D5" s="103" t="s">
        <v>263</v>
      </c>
    </row>
    <row r="6" spans="2:4" x14ac:dyDescent="0.25">
      <c r="B6" s="98" t="s">
        <v>254</v>
      </c>
      <c r="C6" s="22" t="s">
        <v>264</v>
      </c>
      <c r="D6" s="103" t="s">
        <v>263</v>
      </c>
    </row>
    <row r="7" spans="2:4" x14ac:dyDescent="0.25">
      <c r="B7" s="8" t="s">
        <v>211</v>
      </c>
      <c r="C7" s="22" t="s">
        <v>262</v>
      </c>
      <c r="D7" s="102" t="s">
        <v>265</v>
      </c>
    </row>
    <row r="8" spans="2:4" x14ac:dyDescent="0.25">
      <c r="B8" s="8" t="s">
        <v>25</v>
      </c>
      <c r="C8" s="22" t="s">
        <v>262</v>
      </c>
      <c r="D8" s="102" t="s">
        <v>265</v>
      </c>
    </row>
    <row r="9" spans="2:4" x14ac:dyDescent="0.25">
      <c r="B9" s="8" t="s">
        <v>255</v>
      </c>
      <c r="C9" s="22" t="s">
        <v>262</v>
      </c>
      <c r="D9" s="102" t="s">
        <v>265</v>
      </c>
    </row>
    <row r="10" spans="2:4" x14ac:dyDescent="0.25">
      <c r="B10" s="8" t="s">
        <v>50</v>
      </c>
      <c r="C10" s="22" t="s">
        <v>262</v>
      </c>
      <c r="D10" s="102" t="s">
        <v>265</v>
      </c>
    </row>
    <row r="11" spans="2:4" x14ac:dyDescent="0.25">
      <c r="B11" s="8" t="s">
        <v>206</v>
      </c>
      <c r="C11" s="22" t="s">
        <v>262</v>
      </c>
      <c r="D11" s="102" t="s">
        <v>265</v>
      </c>
    </row>
    <row r="12" spans="2:4" x14ac:dyDescent="0.25">
      <c r="B12" s="8" t="s">
        <v>256</v>
      </c>
      <c r="C12" s="22" t="s">
        <v>266</v>
      </c>
      <c r="D12" s="102" t="s">
        <v>265</v>
      </c>
    </row>
    <row r="13" spans="2:4" x14ac:dyDescent="0.25">
      <c r="B13" s="8" t="s">
        <v>230</v>
      </c>
      <c r="C13" s="22" t="s">
        <v>267</v>
      </c>
      <c r="D13" s="102" t="s">
        <v>265</v>
      </c>
    </row>
    <row r="14" spans="2:4" x14ac:dyDescent="0.25">
      <c r="B14" s="96" t="s">
        <v>257</v>
      </c>
      <c r="C14" s="22" t="s">
        <v>268</v>
      </c>
      <c r="D14" s="102" t="s">
        <v>265</v>
      </c>
    </row>
    <row r="15" spans="2:4" x14ac:dyDescent="0.25">
      <c r="B15" s="97" t="s">
        <v>258</v>
      </c>
      <c r="C15" s="22" t="s">
        <v>269</v>
      </c>
      <c r="D15" s="102" t="s">
        <v>265</v>
      </c>
    </row>
  </sheetData>
  <conditionalFormatting sqref="B1:B1048576">
    <cfRule type="duplicateValues" dxfId="105" priority="1"/>
  </conditionalFormatting>
  <conditionalFormatting sqref="B4:B6 B9:B15">
    <cfRule type="duplicateValues" dxfId="104" priority="95"/>
  </conditionalFormatting>
  <conditionalFormatting sqref="B4:B15">
    <cfRule type="duplicateValues" dxfId="103" priority="82"/>
    <cfRule type="duplicateValues" dxfId="102" priority="83"/>
    <cfRule type="duplicateValues" dxfId="101" priority="84"/>
    <cfRule type="duplicateValues" dxfId="100" priority="85"/>
    <cfRule type="duplicateValues" dxfId="99" priority="86"/>
    <cfRule type="duplicateValues" dxfId="98" priority="87"/>
    <cfRule type="duplicateValues" dxfId="97" priority="88"/>
    <cfRule type="duplicateValues" dxfId="96" priority="89"/>
    <cfRule type="duplicateValues" dxfId="95" priority="90"/>
    <cfRule type="duplicateValues" dxfId="94" priority="91"/>
    <cfRule type="duplicateValues" dxfId="93" priority="92"/>
    <cfRule type="duplicateValues" dxfId="92" priority="93"/>
    <cfRule type="duplicateValues" dxfId="91" priority="94"/>
    <cfRule type="duplicateValues" dxfId="90" priority="97"/>
    <cfRule type="duplicateValues" dxfId="89" priority="98"/>
    <cfRule type="duplicateValues" dxfId="88" priority="99"/>
    <cfRule type="duplicateValues" dxfId="87" priority="100"/>
    <cfRule type="duplicateValues" dxfId="86" priority="101"/>
    <cfRule type="duplicateValues" dxfId="85" priority="102"/>
    <cfRule type="duplicateValues" dxfId="84" priority="103"/>
    <cfRule type="duplicateValues" dxfId="83" priority="104"/>
    <cfRule type="duplicateValues" dxfId="82" priority="105"/>
    <cfRule type="duplicateValues" dxfId="81" priority="106"/>
    <cfRule type="duplicateValues" dxfId="80" priority="107"/>
  </conditionalFormatting>
  <conditionalFormatting sqref="B13">
    <cfRule type="duplicateValues" dxfId="79" priority="54"/>
    <cfRule type="duplicateValues" dxfId="78" priority="55"/>
    <cfRule type="duplicateValues" dxfId="77" priority="56"/>
    <cfRule type="duplicateValues" dxfId="76" priority="57"/>
    <cfRule type="duplicateValues" dxfId="75" priority="58"/>
    <cfRule type="duplicateValues" dxfId="74" priority="59"/>
    <cfRule type="duplicateValues" dxfId="73" priority="60"/>
    <cfRule type="duplicateValues" dxfId="72" priority="61"/>
    <cfRule type="duplicateValues" dxfId="71" priority="62"/>
    <cfRule type="duplicateValues" dxfId="70" priority="63"/>
    <cfRule type="duplicateValues" dxfId="69" priority="64"/>
    <cfRule type="duplicateValues" dxfId="68" priority="65"/>
    <cfRule type="duplicateValues" dxfId="67" priority="66"/>
    <cfRule type="duplicateValues" dxfId="66" priority="67"/>
    <cfRule type="duplicateValues" dxfId="65" priority="68"/>
    <cfRule type="duplicateValues" dxfId="64" priority="69"/>
    <cfRule type="duplicateValues" dxfId="63" priority="70"/>
    <cfRule type="duplicateValues" dxfId="62" priority="71"/>
    <cfRule type="duplicateValues" dxfId="61" priority="72"/>
    <cfRule type="duplicateValues" dxfId="60" priority="73"/>
    <cfRule type="duplicateValues" dxfId="59" priority="74"/>
    <cfRule type="duplicateValues" dxfId="58" priority="75"/>
    <cfRule type="duplicateValues" dxfId="57" priority="76"/>
    <cfRule type="duplicateValues" dxfId="56" priority="77"/>
  </conditionalFormatting>
  <conditionalFormatting sqref="B14">
    <cfRule type="duplicateValues" dxfId="55" priority="78"/>
    <cfRule type="duplicateValues" dxfId="54" priority="79"/>
    <cfRule type="duplicateValues" dxfId="53" priority="80"/>
    <cfRule type="duplicateValues" dxfId="52" priority="81"/>
  </conditionalFormatting>
  <conditionalFormatting sqref="B15">
    <cfRule type="duplicateValues" dxfId="51" priority="2"/>
    <cfRule type="duplicateValues" dxfId="50" priority="3"/>
    <cfRule type="duplicateValues" dxfId="49" priority="4"/>
    <cfRule type="duplicateValues" dxfId="48" priority="5"/>
    <cfRule type="duplicateValues" dxfId="47" priority="6"/>
    <cfRule type="duplicateValues" dxfId="46" priority="7"/>
    <cfRule type="duplicateValues" dxfId="45" priority="8"/>
    <cfRule type="duplicateValues" dxfId="44" priority="9"/>
    <cfRule type="duplicateValues" dxfId="43" priority="10"/>
    <cfRule type="duplicateValues" dxfId="42" priority="11"/>
    <cfRule type="duplicateValues" dxfId="41" priority="12"/>
    <cfRule type="duplicateValues" dxfId="40" priority="13"/>
    <cfRule type="duplicateValues" dxfId="39" priority="14"/>
    <cfRule type="duplicateValues" dxfId="38" priority="15"/>
    <cfRule type="duplicateValues" dxfId="37" priority="16"/>
    <cfRule type="duplicateValues" dxfId="36" priority="17"/>
    <cfRule type="duplicateValues" dxfId="35" priority="18"/>
    <cfRule type="duplicateValues" dxfId="34" priority="19"/>
    <cfRule type="duplicateValues" dxfId="33" priority="20"/>
    <cfRule type="duplicateValues" dxfId="32" priority="21"/>
    <cfRule type="duplicateValues" dxfId="31" priority="22"/>
    <cfRule type="duplicateValues" dxfId="30" priority="23"/>
    <cfRule type="duplicateValues" dxfId="29" priority="24"/>
    <cfRule type="duplicateValues" dxfId="28" priority="25"/>
    <cfRule type="duplicateValues" dxfId="27" priority="26"/>
    <cfRule type="duplicateValues" dxfId="26" priority="27"/>
    <cfRule type="duplicateValues" dxfId="25" priority="28"/>
    <cfRule type="duplicateValues" dxfId="24" priority="29"/>
    <cfRule type="duplicateValues" dxfId="23" priority="30"/>
    <cfRule type="duplicateValues" dxfId="22" priority="31"/>
    <cfRule type="duplicateValues" dxfId="21" priority="32"/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  <cfRule type="duplicateValues" dxfId="14" priority="39"/>
    <cfRule type="duplicateValues" dxfId="13" priority="40"/>
    <cfRule type="duplicateValues" dxfId="12" priority="41"/>
    <cfRule type="duplicateValues" dxfId="11" priority="42"/>
    <cfRule type="duplicateValues" dxfId="10" priority="43"/>
    <cfRule type="duplicateValues" dxfId="9" priority="44"/>
    <cfRule type="duplicateValues" dxfId="8" priority="45"/>
    <cfRule type="duplicateValues" dxfId="7" priority="46"/>
    <cfRule type="duplicateValues" dxfId="6" priority="47"/>
    <cfRule type="duplicateValues" dxfId="5" priority="48"/>
    <cfRule type="duplicateValues" dxfId="4" priority="49"/>
    <cfRule type="duplicateValues" dxfId="3" priority="50"/>
    <cfRule type="duplicateValues" dxfId="2" priority="51"/>
    <cfRule type="duplicateValues" dxfId="1" priority="52"/>
    <cfRule type="duplicateValues" dxfId="0" priority="5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11.8.2025</vt:lpstr>
      <vt:lpstr>12.8.2025</vt:lpstr>
      <vt:lpstr>13.8.2025</vt:lpstr>
      <vt:lpstr>14.8.2025</vt:lpstr>
      <vt:lpstr>15.8.2025</vt:lpstr>
      <vt:lpstr>18.8.2025 </vt:lpstr>
      <vt:lpstr>20.8.2025 </vt:lpstr>
      <vt:lpstr>23.8.2025</vt:lpstr>
      <vt:lpstr>25.8.2025</vt:lpstr>
      <vt:lpstr>03.9.2025 </vt:lpstr>
      <vt:lpstr>08.9.2025</vt:lpstr>
      <vt:lpstr>17.9.2025</vt:lpstr>
      <vt:lpstr>23.9.2025</vt:lpstr>
      <vt:lpstr>26.9.2025</vt:lpstr>
      <vt:lpstr>27.9.2025</vt:lpstr>
      <vt:lpstr>6.10.2025</vt:lpstr>
      <vt:lpstr>8.10.2025</vt:lpstr>
      <vt:lpstr>23.11.2025</vt:lpstr>
      <vt:lpstr>20.01.2026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</dc:creator>
  <cp:lastModifiedBy>Overland Tracking</cp:lastModifiedBy>
  <dcterms:created xsi:type="dcterms:W3CDTF">2025-08-01T09:04:54Z</dcterms:created>
  <dcterms:modified xsi:type="dcterms:W3CDTF">2026-01-20T06:37:41Z</dcterms:modified>
</cp:coreProperties>
</file>