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k\Dropbox\CLIENTS REPORTS\_CURRENT REPORTS\IMPORT REPORTS\"/>
    </mc:Choice>
  </mc:AlternateContent>
  <xr:revisionPtr revIDLastSave="0" documentId="13_ncr:1_{D2BB4ACA-3AEE-464D-81F3-1B37DFA6971B}" xr6:coauthVersionLast="47" xr6:coauthVersionMax="47" xr10:uidLastSave="{00000000-0000-0000-0000-000000000000}"/>
  <bookViews>
    <workbookView xWindow="-28920" yWindow="-2955" windowWidth="29040" windowHeight="15720" xr2:uid="{495CED52-721D-4012-B560-42D30879D1E2}"/>
  </bookViews>
  <sheets>
    <sheet name="BA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" i="1" l="1"/>
  <c r="AC5" i="1"/>
  <c r="AC4" i="1"/>
  <c r="AK15" i="1"/>
  <c r="AK14" i="1"/>
  <c r="AK4" i="1"/>
  <c r="AK3" i="1"/>
  <c r="AH14" i="1"/>
  <c r="AH4" i="1"/>
  <c r="AH3" i="1"/>
  <c r="AK5" i="1" l="1"/>
  <c r="AH5" i="1" l="1"/>
  <c r="AM5" i="1" s="1"/>
  <c r="AH13" i="1" l="1"/>
  <c r="AH15" i="1"/>
  <c r="Y6" i="1"/>
  <c r="Y7" i="1"/>
  <c r="Y8" i="1"/>
  <c r="Y10" i="1"/>
  <c r="Y9" i="1"/>
  <c r="Y12" i="1"/>
  <c r="Y11" i="1"/>
  <c r="Y13" i="1"/>
  <c r="Y15" i="1"/>
  <c r="Y14" i="1"/>
  <c r="Y4" i="1"/>
  <c r="Y3" i="1"/>
  <c r="Y5" i="1"/>
  <c r="AK7" i="1" l="1"/>
  <c r="AH12" i="1"/>
  <c r="AH7" i="1"/>
  <c r="AM7" i="1" l="1"/>
  <c r="AC10" i="1"/>
  <c r="A12" i="1"/>
  <c r="A6" i="1"/>
  <c r="A11" i="1"/>
  <c r="A10" i="1"/>
  <c r="A9" i="1"/>
  <c r="A8" i="1"/>
  <c r="A14" i="1"/>
  <c r="A13" i="1"/>
  <c r="A15" i="1"/>
  <c r="A4" i="1"/>
  <c r="A3" i="1"/>
  <c r="AK12" i="1"/>
  <c r="AM12" i="1" s="1"/>
  <c r="AK6" i="1"/>
  <c r="AK11" i="1"/>
  <c r="AK10" i="1"/>
  <c r="AK9" i="1"/>
  <c r="AK8" i="1"/>
  <c r="AM14" i="1"/>
  <c r="AK13" i="1"/>
  <c r="AM13" i="1" s="1"/>
  <c r="AM4" i="1"/>
  <c r="AM15" i="1"/>
  <c r="AM3" i="1"/>
  <c r="AH6" i="1"/>
  <c r="AH11" i="1"/>
  <c r="AH10" i="1"/>
  <c r="AH9" i="1"/>
  <c r="AH8" i="1"/>
  <c r="AM8" i="1" l="1"/>
  <c r="AM9" i="1"/>
  <c r="AM10" i="1"/>
  <c r="AM11" i="1"/>
  <c r="AM6" i="1"/>
  <c r="AC13" i="1"/>
  <c r="AC14" i="1"/>
  <c r="AC7" i="1"/>
  <c r="A5" i="1"/>
  <c r="A7" i="1"/>
  <c r="AC6" i="1" l="1"/>
  <c r="AC12" i="1"/>
  <c r="AC11" i="1"/>
  <c r="AC9" i="1"/>
  <c r="AC8" i="1"/>
  <c r="AC15" i="1"/>
</calcChain>
</file>

<file path=xl/sharedStrings.xml><?xml version="1.0" encoding="utf-8"?>
<sst xmlns="http://schemas.openxmlformats.org/spreadsheetml/2006/main" count="217" uniqueCount="121">
  <si>
    <t>Tunduma / Nakonde</t>
  </si>
  <si>
    <t>Kasumbalesa DRC side/ Whisky Border</t>
  </si>
  <si>
    <t>Final Destination</t>
  </si>
  <si>
    <t>DAYS</t>
  </si>
  <si>
    <t>Truck Demurrage charges</t>
  </si>
  <si>
    <t>Sn</t>
  </si>
  <si>
    <t>Consignee Name</t>
  </si>
  <si>
    <t>B/L#</t>
  </si>
  <si>
    <t>Container no.</t>
  </si>
  <si>
    <t>Gross Weight</t>
  </si>
  <si>
    <t>Truck #</t>
  </si>
  <si>
    <t>Type</t>
  </si>
  <si>
    <t>Trailer #</t>
  </si>
  <si>
    <t xml:space="preserve">Trailer II </t>
  </si>
  <si>
    <t>Current Location</t>
  </si>
  <si>
    <t>STATUS</t>
  </si>
  <si>
    <t>DESTINATION</t>
  </si>
  <si>
    <t>DRIVER NAME</t>
  </si>
  <si>
    <t>CONTACTS</t>
  </si>
  <si>
    <t>D/LICENCE</t>
  </si>
  <si>
    <t>ATB</t>
  </si>
  <si>
    <t>ALLOCATED DATE</t>
  </si>
  <si>
    <t>Loading Date</t>
  </si>
  <si>
    <t>Tunduma Arrival</t>
  </si>
  <si>
    <t>Nakonde  Arrival</t>
  </si>
  <si>
    <t xml:space="preserve">Nakonde Depart </t>
  </si>
  <si>
    <t>K-Lesa ZMB  Arrival</t>
  </si>
  <si>
    <t>K-lesa DRC Arrival</t>
  </si>
  <si>
    <t>Whiskey Arrival</t>
  </si>
  <si>
    <t>Whiskey Disparch</t>
  </si>
  <si>
    <t>Boarder Days</t>
  </si>
  <si>
    <t>Arrival at Site</t>
  </si>
  <si>
    <t>Offloaded</t>
  </si>
  <si>
    <t>Days</t>
  </si>
  <si>
    <t>Free days</t>
  </si>
  <si>
    <t>Chargable Days</t>
  </si>
  <si>
    <t>Rate</t>
  </si>
  <si>
    <t>LIKASI/SHITURU</t>
  </si>
  <si>
    <t>DOUBLE DIFF</t>
  </si>
  <si>
    <t>T389DZH</t>
  </si>
  <si>
    <t>T500DMH</t>
  </si>
  <si>
    <t>T418BVZ</t>
  </si>
  <si>
    <t>T154EJA</t>
  </si>
  <si>
    <t>T650CJT</t>
  </si>
  <si>
    <t>T223DNF</t>
  </si>
  <si>
    <t>T372DZH</t>
  </si>
  <si>
    <t>T342DWZ</t>
  </si>
  <si>
    <t>T345DWZ</t>
  </si>
  <si>
    <t>T704EHZ</t>
  </si>
  <si>
    <t>T205DZH</t>
  </si>
  <si>
    <t>T855CBB</t>
  </si>
  <si>
    <t>T463CBM</t>
  </si>
  <si>
    <t>T693EHV</t>
  </si>
  <si>
    <t>T428CRA</t>
  </si>
  <si>
    <t>T810BYV</t>
  </si>
  <si>
    <t>T198DZH</t>
  </si>
  <si>
    <t>T122DXM</t>
  </si>
  <si>
    <t>T126DXM</t>
  </si>
  <si>
    <t>T974ASG</t>
  </si>
  <si>
    <t>T724EHV</t>
  </si>
  <si>
    <t>T850DZG</t>
  </si>
  <si>
    <t>T612EFH</t>
  </si>
  <si>
    <t>T225EMP</t>
  </si>
  <si>
    <t>T227EMP</t>
  </si>
  <si>
    <t>T263EMP</t>
  </si>
  <si>
    <t>T253EMM</t>
  </si>
  <si>
    <t>T897DZG</t>
  </si>
  <si>
    <t>T123DXM</t>
  </si>
  <si>
    <t>T127DXM</t>
  </si>
  <si>
    <t>T613EFH</t>
  </si>
  <si>
    <t>T204EMP</t>
  </si>
  <si>
    <t>DENGLOUR</t>
  </si>
  <si>
    <t>INTERLINK</t>
  </si>
  <si>
    <t>CBW2520LT131</t>
  </si>
  <si>
    <t>FORGED STEEL BALLS 120MM</t>
  </si>
  <si>
    <t>DENISI KILISTOFA HAULE</t>
  </si>
  <si>
    <t>HEZRON GEORGE NSONGAMA</t>
  </si>
  <si>
    <t>MUSSA DAUDI SADIKI</t>
  </si>
  <si>
    <t>CLAUDY FRANK CHAMBULILA</t>
  </si>
  <si>
    <t>ISACK SAMSON KALIDUSHI</t>
  </si>
  <si>
    <t xml:space="preserve">ERASTO MANENO SHAIBU </t>
  </si>
  <si>
    <t>JOHN DEVID SHANGALI</t>
  </si>
  <si>
    <t>ELISHA ELIONA SILAA</t>
  </si>
  <si>
    <t>MORICE MWEMEZI KATUNZI</t>
  </si>
  <si>
    <t>KEPHA BENJAMIN NDULA</t>
  </si>
  <si>
    <t>255717 870409</t>
  </si>
  <si>
    <t>255742368180/255717487998</t>
  </si>
  <si>
    <t>255744 948922</t>
  </si>
  <si>
    <t>255742 282634</t>
  </si>
  <si>
    <t>255655 854438</t>
  </si>
  <si>
    <t>255678 317771/255747 287449</t>
  </si>
  <si>
    <t>255750526252</t>
  </si>
  <si>
    <t>255753 169059</t>
  </si>
  <si>
    <t>255713723072</t>
  </si>
  <si>
    <t>255745 900512</t>
  </si>
  <si>
    <t>DISPATCH TANGA</t>
  </si>
  <si>
    <t xml:space="preserve">BASH Overland ---- Tracking Status Report </t>
  </si>
  <si>
    <t>DAR DISPATCH DATE</t>
  </si>
  <si>
    <t>TANGA ARR DATE</t>
  </si>
  <si>
    <t>T301BXT</t>
  </si>
  <si>
    <t>T758CVC</t>
  </si>
  <si>
    <t>T720EFH</t>
  </si>
  <si>
    <t>COSMAS ISRAEL SANGA</t>
  </si>
  <si>
    <t>255768 846241/255652 183670</t>
  </si>
  <si>
    <t>No of Bags</t>
  </si>
  <si>
    <t>T613DPV</t>
  </si>
  <si>
    <t>T120ATF</t>
  </si>
  <si>
    <t>DOUBLETYRE</t>
  </si>
  <si>
    <t>LUGANO YANGSON MWAFONGO</t>
  </si>
  <si>
    <t>255784 803672</t>
  </si>
  <si>
    <t>CBW2520LT132</t>
  </si>
  <si>
    <t>GN Group Service Sarl</t>
  </si>
  <si>
    <t>XIN DA SARL</t>
  </si>
  <si>
    <t>Net</t>
  </si>
  <si>
    <r>
      <rPr>
        <strike/>
        <sz val="11"/>
        <rFont val="Calibri"/>
        <family val="2"/>
        <scheme val="minor"/>
      </rPr>
      <t>T310CLR</t>
    </r>
    <r>
      <rPr>
        <sz val="11"/>
        <rFont val="Calibri"/>
        <family val="2"/>
        <scheme val="minor"/>
      </rPr>
      <t>/T320CFY</t>
    </r>
  </si>
  <si>
    <t>ASHRAFU OMARY BAKARI</t>
  </si>
  <si>
    <t xml:space="preserve">0742506586 </t>
  </si>
  <si>
    <t>Parking penalties</t>
  </si>
  <si>
    <t>Demurrage Charges</t>
  </si>
  <si>
    <t>Enroute to Likasi</t>
  </si>
  <si>
    <t>KONKOLA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</si>
</sst>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TSh&quot;* #,##0.00_-;\-&quot;TSh&quot;* #,##0.00_-;_-&quot;TSh&quot;* &quot;-&quot;??_-;_-@_-"/>
    <numFmt numFmtId="164" formatCode="[$-409]dd/mmm/yy;@"/>
    <numFmt numFmtId="165" formatCode="[$-409]d\-mmm\-yy;@"/>
    <numFmt numFmtId="166" formatCode="General\ "/>
    <numFmt numFmtId="167" formatCode="_(&quot;$&quot;* #,##0_);_(&quot;$&quot;* \(#,##0\);_(&quot;$&quot;* &quot;-&quot;??_);_(@_)"/>
    <numFmt numFmtId="168" formatCode="_([$$-409]* #,##0.0_);_([$$-409]* \(#,##0.0\);_([$$-409]* &quot;-&quot;??_);_(@_)"/>
    <numFmt numFmtId="169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sz val="11"/>
      <color indexed="9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Fill="0" applyProtection="0"/>
    <xf numFmtId="44" fontId="15" fillId="0" borderId="0" applyFont="0" applyFill="0" applyBorder="0" applyAlignment="0" applyProtection="0"/>
  </cellStyleXfs>
  <cellXfs count="53">
    <xf numFmtId="0" fontId="0" fillId="0" borderId="0" xfId="0"/>
    <xf numFmtId="0" fontId="5" fillId="2" borderId="3" xfId="1" applyFont="1" applyFill="1" applyBorder="1" applyAlignment="1" applyProtection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165" fontId="9" fillId="7" borderId="3" xfId="0" applyNumberFormat="1" applyFont="1" applyFill="1" applyBorder="1" applyAlignment="1">
      <alignment horizontal="center" vertical="center"/>
    </xf>
    <xf numFmtId="165" fontId="8" fillId="7" borderId="3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 vertical="center"/>
    </xf>
    <xf numFmtId="15" fontId="8" fillId="7" borderId="3" xfId="0" applyNumberFormat="1" applyFont="1" applyFill="1" applyBorder="1" applyAlignment="1">
      <alignment horizontal="center" vertical="center"/>
    </xf>
    <xf numFmtId="166" fontId="11" fillId="7" borderId="3" xfId="0" applyNumberFormat="1" applyFont="1" applyFill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7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1" fontId="12" fillId="7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3" fillId="7" borderId="3" xfId="0" applyFont="1" applyFill="1" applyBorder="1" applyAlignment="1">
      <alignment horizontal="center" vertical="center"/>
    </xf>
    <xf numFmtId="0" fontId="0" fillId="7" borderId="0" xfId="0" applyFill="1"/>
    <xf numFmtId="166" fontId="8" fillId="8" borderId="3" xfId="0" applyNumberFormat="1" applyFont="1" applyFill="1" applyBorder="1" applyAlignment="1">
      <alignment horizontal="center" vertical="center"/>
    </xf>
    <xf numFmtId="167" fontId="16" fillId="8" borderId="3" xfId="2" applyNumberFormat="1" applyFont="1" applyFill="1" applyBorder="1" applyAlignment="1">
      <alignment horizontal="center" vertical="center"/>
    </xf>
    <xf numFmtId="168" fontId="1" fillId="7" borderId="3" xfId="0" applyNumberFormat="1" applyFont="1" applyFill="1" applyBorder="1" applyAlignment="1">
      <alignment horizontal="center" vertical="center"/>
    </xf>
    <xf numFmtId="167" fontId="0" fillId="0" borderId="3" xfId="0" applyNumberFormat="1" applyBorder="1"/>
    <xf numFmtId="169" fontId="1" fillId="7" borderId="3" xfId="0" applyNumberFormat="1" applyFont="1" applyFill="1" applyBorder="1" applyAlignment="1">
      <alignment horizontal="center" vertical="center"/>
    </xf>
    <xf numFmtId="169" fontId="1" fillId="0" borderId="3" xfId="0" applyNumberFormat="1" applyFont="1" applyBorder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Normal 2" xfId="1" xr:uid="{D895C8D5-D9BC-487A-9F2A-656D40017CF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E350-C656-45F3-AB8A-D9C8D7F19B84}">
  <dimension ref="A1:AP19"/>
  <sheetViews>
    <sheetView tabSelected="1" zoomScale="85" zoomScaleNormal="85" workbookViewId="0">
      <selection activeCell="M21" sqref="M21"/>
    </sheetView>
  </sheetViews>
  <sheetFormatPr defaultRowHeight="15" customHeight="1" x14ac:dyDescent="0.25"/>
  <cols>
    <col min="1" max="1" width="5.7109375" customWidth="1"/>
    <col min="2" max="2" width="18.28515625" customWidth="1"/>
    <col min="3" max="3" width="26.140625" bestFit="1" customWidth="1"/>
    <col min="4" max="4" width="27.5703125" customWidth="1"/>
    <col min="5" max="5" width="11.42578125" bestFit="1" customWidth="1"/>
    <col min="6" max="6" width="11.42578125" customWidth="1"/>
    <col min="7" max="7" width="12" customWidth="1"/>
    <col min="8" max="8" width="21.7109375" customWidth="1"/>
    <col min="9" max="9" width="13.42578125" hidden="1" customWidth="1"/>
    <col min="10" max="10" width="14.42578125" hidden="1" customWidth="1"/>
    <col min="11" max="11" width="9.140625" hidden="1" customWidth="1"/>
    <col min="12" max="12" width="12.140625" hidden="1" customWidth="1"/>
    <col min="13" max="13" width="24.42578125" customWidth="1"/>
    <col min="14" max="14" width="28.140625" customWidth="1"/>
    <col min="15" max="15" width="17.28515625" customWidth="1"/>
    <col min="16" max="16" width="32.85546875" customWidth="1"/>
    <col min="17" max="17" width="29.7109375" customWidth="1"/>
    <col min="18" max="18" width="17.7109375" customWidth="1"/>
    <col min="19" max="19" width="17.85546875" hidden="1" customWidth="1"/>
    <col min="20" max="20" width="17.140625" customWidth="1"/>
    <col min="21" max="21" width="19" customWidth="1"/>
    <col min="22" max="22" width="16" customWidth="1"/>
    <col min="23" max="23" width="12.7109375" customWidth="1"/>
    <col min="24" max="24" width="18.28515625" customWidth="1"/>
    <col min="25" max="25" width="13.85546875" customWidth="1"/>
    <col min="26" max="27" width="16.28515625" customWidth="1"/>
    <col min="28" max="28" width="14" bestFit="1" customWidth="1"/>
    <col min="29" max="29" width="12.28515625" customWidth="1"/>
    <col min="30" max="30" width="16" bestFit="1" customWidth="1"/>
    <col min="31" max="31" width="15" bestFit="1" customWidth="1"/>
    <col min="32" max="32" width="13.5703125" customWidth="1"/>
    <col min="33" max="33" width="15" bestFit="1" customWidth="1"/>
    <col min="34" max="34" width="14" customWidth="1"/>
    <col min="35" max="35" width="11.5703125" bestFit="1" customWidth="1"/>
    <col min="36" max="36" width="9.7109375" bestFit="1" customWidth="1"/>
    <col min="38" max="38" width="23.7109375" customWidth="1"/>
    <col min="39" max="39" width="12.7109375" bestFit="1" customWidth="1"/>
    <col min="41" max="41" width="25" customWidth="1"/>
    <col min="42" max="42" width="22.5703125" bestFit="1" customWidth="1"/>
  </cols>
  <sheetData>
    <row r="1" spans="1:42" ht="15" customHeight="1" x14ac:dyDescent="0.25">
      <c r="A1" s="44" t="s">
        <v>96</v>
      </c>
      <c r="B1" s="44"/>
      <c r="C1" s="44"/>
      <c r="D1" s="44"/>
      <c r="E1" s="44"/>
      <c r="F1" s="44"/>
      <c r="G1" s="44"/>
      <c r="H1" s="45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6" t="s">
        <v>0</v>
      </c>
      <c r="AA1" s="47"/>
      <c r="AB1" s="48"/>
      <c r="AC1" s="4"/>
      <c r="AD1" s="49" t="s">
        <v>1</v>
      </c>
      <c r="AE1" s="50"/>
      <c r="AF1" s="50"/>
      <c r="AG1" s="51"/>
      <c r="AH1" s="52" t="s">
        <v>2</v>
      </c>
      <c r="AI1" s="52"/>
      <c r="AJ1" s="52"/>
      <c r="AK1" s="52" t="s">
        <v>3</v>
      </c>
      <c r="AL1" s="52"/>
      <c r="AM1" s="42" t="s">
        <v>4</v>
      </c>
      <c r="AN1" s="43"/>
      <c r="AO1" s="43"/>
      <c r="AP1" s="43"/>
    </row>
    <row r="2" spans="1:42" ht="23.25" customHeight="1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113</v>
      </c>
      <c r="G2" s="5" t="s">
        <v>104</v>
      </c>
      <c r="H2" s="6" t="s">
        <v>10</v>
      </c>
      <c r="I2" s="5" t="s">
        <v>11</v>
      </c>
      <c r="J2" s="6" t="s">
        <v>12</v>
      </c>
      <c r="K2" s="6" t="s">
        <v>13</v>
      </c>
      <c r="L2" s="5" t="s">
        <v>11</v>
      </c>
      <c r="M2" s="7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8" t="s">
        <v>20</v>
      </c>
      <c r="T2" s="8" t="s">
        <v>21</v>
      </c>
      <c r="U2" s="8" t="s">
        <v>97</v>
      </c>
      <c r="V2" s="8" t="s">
        <v>98</v>
      </c>
      <c r="W2" s="6" t="s">
        <v>22</v>
      </c>
      <c r="X2" s="8" t="s">
        <v>95</v>
      </c>
      <c r="Y2" s="9" t="s">
        <v>3</v>
      </c>
      <c r="Z2" s="6" t="s">
        <v>23</v>
      </c>
      <c r="AA2" s="6" t="s">
        <v>24</v>
      </c>
      <c r="AB2" s="6" t="s">
        <v>25</v>
      </c>
      <c r="AC2" s="9" t="s">
        <v>3</v>
      </c>
      <c r="AD2" s="6" t="s">
        <v>26</v>
      </c>
      <c r="AE2" s="6" t="s">
        <v>27</v>
      </c>
      <c r="AF2" s="6" t="s">
        <v>28</v>
      </c>
      <c r="AG2" s="6" t="s">
        <v>29</v>
      </c>
      <c r="AH2" s="10" t="s">
        <v>30</v>
      </c>
      <c r="AI2" s="6" t="s">
        <v>31</v>
      </c>
      <c r="AJ2" s="6" t="s">
        <v>32</v>
      </c>
      <c r="AK2" s="10" t="s">
        <v>33</v>
      </c>
      <c r="AL2" s="11" t="s">
        <v>34</v>
      </c>
      <c r="AM2" s="11" t="s">
        <v>35</v>
      </c>
      <c r="AN2" s="11" t="s">
        <v>36</v>
      </c>
      <c r="AO2" s="11" t="s">
        <v>118</v>
      </c>
      <c r="AP2" s="11" t="s">
        <v>117</v>
      </c>
    </row>
    <row r="3" spans="1:42" ht="14.25" customHeight="1" x14ac:dyDescent="0.25">
      <c r="A3" s="13">
        <f t="shared" ref="A3:A15" si="0">ROW()-2</f>
        <v>1</v>
      </c>
      <c r="B3" s="27" t="s">
        <v>112</v>
      </c>
      <c r="C3" s="27" t="s">
        <v>73</v>
      </c>
      <c r="D3" s="27" t="s">
        <v>74</v>
      </c>
      <c r="E3" s="26">
        <v>35142</v>
      </c>
      <c r="F3" s="26">
        <v>35000</v>
      </c>
      <c r="G3" s="34">
        <v>35</v>
      </c>
      <c r="H3" s="32" t="s">
        <v>114</v>
      </c>
      <c r="I3" s="25" t="s">
        <v>38</v>
      </c>
      <c r="J3" s="24" t="s">
        <v>58</v>
      </c>
      <c r="K3" s="24" t="s">
        <v>69</v>
      </c>
      <c r="L3" s="22" t="s">
        <v>71</v>
      </c>
      <c r="M3" s="13" t="s">
        <v>120</v>
      </c>
      <c r="N3" s="13" t="s">
        <v>119</v>
      </c>
      <c r="O3" s="12" t="s">
        <v>37</v>
      </c>
      <c r="P3" s="27" t="s">
        <v>83</v>
      </c>
      <c r="Q3" s="30" t="s">
        <v>93</v>
      </c>
      <c r="R3" s="27">
        <v>4001664007</v>
      </c>
      <c r="S3" s="14">
        <v>45989</v>
      </c>
      <c r="T3" s="31">
        <v>45986</v>
      </c>
      <c r="U3" s="31">
        <v>45987</v>
      </c>
      <c r="V3" s="31">
        <v>45991</v>
      </c>
      <c r="W3" s="31">
        <v>45992</v>
      </c>
      <c r="X3" s="31">
        <v>45993</v>
      </c>
      <c r="Y3" s="16">
        <f>(Z3-X3)</f>
        <v>19</v>
      </c>
      <c r="Z3" s="31">
        <v>46012</v>
      </c>
      <c r="AA3" s="15">
        <v>46017</v>
      </c>
      <c r="AB3" s="31">
        <v>46025</v>
      </c>
      <c r="AC3" s="21">
        <f>(AB3-Z3)</f>
        <v>13</v>
      </c>
      <c r="AD3" s="17"/>
      <c r="AE3" s="17"/>
      <c r="AF3" s="17"/>
      <c r="AG3" s="17"/>
      <c r="AH3" s="18">
        <f>(AG3-AE3)</f>
        <v>0</v>
      </c>
      <c r="AI3" s="17"/>
      <c r="AJ3" s="17"/>
      <c r="AK3" s="19">
        <f>(AJ3-AI3)</f>
        <v>0</v>
      </c>
      <c r="AL3" s="20">
        <v>7</v>
      </c>
      <c r="AM3" s="36">
        <f>MAX(0,AH3+AK3-AL3)</f>
        <v>0</v>
      </c>
      <c r="AN3" s="37">
        <v>250</v>
      </c>
      <c r="AO3" s="39"/>
      <c r="AP3" s="38"/>
    </row>
    <row r="4" spans="1:42" ht="15.75" customHeight="1" x14ac:dyDescent="0.25">
      <c r="A4" s="13">
        <f t="shared" si="0"/>
        <v>2</v>
      </c>
      <c r="B4" s="27" t="s">
        <v>112</v>
      </c>
      <c r="C4" s="27" t="s">
        <v>73</v>
      </c>
      <c r="D4" s="27" t="s">
        <v>74</v>
      </c>
      <c r="E4" s="26">
        <v>35142</v>
      </c>
      <c r="F4" s="26">
        <v>35000</v>
      </c>
      <c r="G4" s="34">
        <v>35</v>
      </c>
      <c r="H4" s="24" t="s">
        <v>44</v>
      </c>
      <c r="I4" s="33" t="s">
        <v>38</v>
      </c>
      <c r="J4" s="24" t="s">
        <v>54</v>
      </c>
      <c r="K4" s="24" t="s">
        <v>65</v>
      </c>
      <c r="L4" s="28" t="s">
        <v>71</v>
      </c>
      <c r="M4" s="13" t="s">
        <v>16</v>
      </c>
      <c r="N4" s="13" t="s">
        <v>32</v>
      </c>
      <c r="O4" s="12" t="s">
        <v>37</v>
      </c>
      <c r="P4" s="27" t="s">
        <v>115</v>
      </c>
      <c r="Q4" s="29" t="s">
        <v>116</v>
      </c>
      <c r="R4" s="24">
        <v>4000223248</v>
      </c>
      <c r="S4" s="14">
        <v>45991</v>
      </c>
      <c r="T4" s="31">
        <v>45986</v>
      </c>
      <c r="U4" s="31">
        <v>45989</v>
      </c>
      <c r="V4" s="31">
        <v>45990</v>
      </c>
      <c r="W4" s="31">
        <v>45992</v>
      </c>
      <c r="X4" s="31">
        <v>45993</v>
      </c>
      <c r="Y4" s="16">
        <f>(Z4-X4)</f>
        <v>3</v>
      </c>
      <c r="Z4" s="31">
        <v>45996</v>
      </c>
      <c r="AA4" s="31">
        <v>46014</v>
      </c>
      <c r="AB4" s="31">
        <v>46015</v>
      </c>
      <c r="AC4" s="21">
        <f>(AB4-Z4)</f>
        <v>19</v>
      </c>
      <c r="AD4" s="31">
        <v>46018</v>
      </c>
      <c r="AE4" s="31">
        <v>46024</v>
      </c>
      <c r="AF4" s="31">
        <v>46026</v>
      </c>
      <c r="AG4" s="31">
        <v>46030</v>
      </c>
      <c r="AH4" s="18">
        <f>(AG4-AE4)</f>
        <v>6</v>
      </c>
      <c r="AI4" s="31">
        <v>46031</v>
      </c>
      <c r="AJ4" s="31">
        <v>46032</v>
      </c>
      <c r="AK4" s="19">
        <f>(AJ4-AI4)</f>
        <v>1</v>
      </c>
      <c r="AL4" s="20">
        <v>7</v>
      </c>
      <c r="AM4" s="36">
        <f>MAX(0,AH4+AK4-AL4)</f>
        <v>0</v>
      </c>
      <c r="AN4" s="37">
        <v>250</v>
      </c>
      <c r="AO4" s="39"/>
      <c r="AP4" s="40">
        <v>127.6</v>
      </c>
    </row>
    <row r="5" spans="1:42" ht="15" customHeight="1" x14ac:dyDescent="0.25">
      <c r="A5" s="13">
        <f t="shared" si="0"/>
        <v>3</v>
      </c>
      <c r="B5" s="27" t="s">
        <v>112</v>
      </c>
      <c r="C5" s="27" t="s">
        <v>73</v>
      </c>
      <c r="D5" s="27" t="s">
        <v>74</v>
      </c>
      <c r="E5" s="26">
        <v>35142</v>
      </c>
      <c r="F5" s="26">
        <v>35000</v>
      </c>
      <c r="G5" s="34">
        <v>35</v>
      </c>
      <c r="H5" s="23" t="s">
        <v>40</v>
      </c>
      <c r="I5" s="25" t="s">
        <v>38</v>
      </c>
      <c r="J5" s="24" t="s">
        <v>50</v>
      </c>
      <c r="K5" s="24" t="s">
        <v>61</v>
      </c>
      <c r="L5" s="22" t="s">
        <v>71</v>
      </c>
      <c r="M5" s="13" t="s">
        <v>16</v>
      </c>
      <c r="N5" s="13" t="s">
        <v>32</v>
      </c>
      <c r="O5" s="12" t="s">
        <v>37</v>
      </c>
      <c r="P5" s="28" t="s">
        <v>76</v>
      </c>
      <c r="Q5" s="29" t="s">
        <v>86</v>
      </c>
      <c r="R5" s="24">
        <v>4003778460</v>
      </c>
      <c r="S5" s="14">
        <v>45991</v>
      </c>
      <c r="T5" s="31">
        <v>45986</v>
      </c>
      <c r="U5" s="31">
        <v>45988</v>
      </c>
      <c r="V5" s="31">
        <v>45989</v>
      </c>
      <c r="W5" s="31">
        <v>45990</v>
      </c>
      <c r="X5" s="31">
        <v>45991</v>
      </c>
      <c r="Y5" s="16">
        <f>(Z5-X5)</f>
        <v>3</v>
      </c>
      <c r="Z5" s="31">
        <v>45994</v>
      </c>
      <c r="AA5" s="31">
        <v>45996</v>
      </c>
      <c r="AB5" s="31">
        <v>45996</v>
      </c>
      <c r="AC5" s="21">
        <f t="shared" ref="AC5" si="1">(AB5-Z5)</f>
        <v>2</v>
      </c>
      <c r="AD5" s="31">
        <v>45998</v>
      </c>
      <c r="AE5" s="31">
        <v>46001</v>
      </c>
      <c r="AF5" s="31">
        <v>46001</v>
      </c>
      <c r="AG5" s="31">
        <v>46010</v>
      </c>
      <c r="AH5" s="18">
        <f>(AG5-AE5)</f>
        <v>9</v>
      </c>
      <c r="AI5" s="31">
        <v>46011</v>
      </c>
      <c r="AJ5" s="31">
        <v>46011</v>
      </c>
      <c r="AK5" s="19">
        <f t="shared" ref="AK5:AK15" si="2">(AJ5-AI5)</f>
        <v>0</v>
      </c>
      <c r="AL5" s="20">
        <v>7</v>
      </c>
      <c r="AM5" s="36">
        <f>MAX(0,AH5+AK5-AL5)</f>
        <v>2</v>
      </c>
      <c r="AN5" s="37">
        <v>250</v>
      </c>
      <c r="AO5" s="39"/>
      <c r="AP5" s="40">
        <v>214.6</v>
      </c>
    </row>
    <row r="6" spans="1:42" ht="14.25" customHeight="1" x14ac:dyDescent="0.25">
      <c r="A6" s="13">
        <f t="shared" si="0"/>
        <v>4</v>
      </c>
      <c r="B6" s="27" t="s">
        <v>112</v>
      </c>
      <c r="C6" s="27" t="s">
        <v>73</v>
      </c>
      <c r="D6" s="27" t="s">
        <v>74</v>
      </c>
      <c r="E6" s="26">
        <v>36146</v>
      </c>
      <c r="F6" s="26">
        <v>36000</v>
      </c>
      <c r="G6" s="34">
        <v>36</v>
      </c>
      <c r="H6" s="23" t="s">
        <v>45</v>
      </c>
      <c r="I6" s="25" t="s">
        <v>38</v>
      </c>
      <c r="J6" s="24" t="s">
        <v>55</v>
      </c>
      <c r="K6" s="24" t="s">
        <v>66</v>
      </c>
      <c r="L6" s="22" t="s">
        <v>71</v>
      </c>
      <c r="M6" s="13" t="s">
        <v>16</v>
      </c>
      <c r="N6" s="13" t="s">
        <v>32</v>
      </c>
      <c r="O6" s="12" t="s">
        <v>37</v>
      </c>
      <c r="P6" s="28" t="s">
        <v>80</v>
      </c>
      <c r="Q6" s="29" t="s">
        <v>90</v>
      </c>
      <c r="R6" s="24">
        <v>4004239630</v>
      </c>
      <c r="S6" s="14">
        <v>45988</v>
      </c>
      <c r="T6" s="31">
        <v>45986</v>
      </c>
      <c r="U6" s="31">
        <v>45986</v>
      </c>
      <c r="V6" s="31">
        <v>45987</v>
      </c>
      <c r="W6" s="31">
        <v>45989</v>
      </c>
      <c r="X6" s="31">
        <v>45991</v>
      </c>
      <c r="Y6" s="16">
        <f t="shared" ref="Y6:Y15" si="3">(Z6-X6)</f>
        <v>4</v>
      </c>
      <c r="Z6" s="31">
        <v>45995</v>
      </c>
      <c r="AA6" s="31">
        <v>45996</v>
      </c>
      <c r="AB6" s="31">
        <v>45997</v>
      </c>
      <c r="AC6" s="21">
        <f t="shared" ref="AC6:AC12" si="4">(AB6-Z6)</f>
        <v>2</v>
      </c>
      <c r="AD6" s="31">
        <v>46000</v>
      </c>
      <c r="AE6" s="31">
        <v>46002</v>
      </c>
      <c r="AF6" s="31">
        <v>46002</v>
      </c>
      <c r="AG6" s="31">
        <v>46010</v>
      </c>
      <c r="AH6" s="18">
        <f t="shared" ref="AH6:AH12" si="5">(AG6-AE6)</f>
        <v>8</v>
      </c>
      <c r="AI6" s="31">
        <v>46011</v>
      </c>
      <c r="AJ6" s="31">
        <v>46011</v>
      </c>
      <c r="AK6" s="19">
        <f t="shared" si="2"/>
        <v>0</v>
      </c>
      <c r="AL6" s="20">
        <v>7</v>
      </c>
      <c r="AM6" s="36">
        <f t="shared" ref="AM6:AM15" si="6">MAX(0,AH6+AK6-AL6)</f>
        <v>1</v>
      </c>
      <c r="AN6" s="37">
        <v>250</v>
      </c>
      <c r="AO6" s="39"/>
      <c r="AP6" s="40">
        <v>214.6</v>
      </c>
    </row>
    <row r="7" spans="1:42" ht="15" customHeight="1" x14ac:dyDescent="0.25">
      <c r="A7" s="13">
        <f>ROW()-2</f>
        <v>5</v>
      </c>
      <c r="B7" s="27" t="s">
        <v>112</v>
      </c>
      <c r="C7" s="27" t="s">
        <v>73</v>
      </c>
      <c r="D7" s="27" t="s">
        <v>74</v>
      </c>
      <c r="E7" s="26">
        <v>35142</v>
      </c>
      <c r="F7" s="26">
        <v>35000</v>
      </c>
      <c r="G7" s="34">
        <v>35</v>
      </c>
      <c r="H7" s="23" t="s">
        <v>43</v>
      </c>
      <c r="I7" s="25" t="s">
        <v>38</v>
      </c>
      <c r="J7" s="24" t="s">
        <v>53</v>
      </c>
      <c r="K7" s="24" t="s">
        <v>64</v>
      </c>
      <c r="L7" s="22" t="s">
        <v>71</v>
      </c>
      <c r="M7" s="13" t="s">
        <v>16</v>
      </c>
      <c r="N7" s="13" t="s">
        <v>32</v>
      </c>
      <c r="O7" s="12" t="s">
        <v>37</v>
      </c>
      <c r="P7" s="27" t="s">
        <v>79</v>
      </c>
      <c r="Q7" s="27" t="s">
        <v>89</v>
      </c>
      <c r="R7" s="27">
        <v>4000027438</v>
      </c>
      <c r="S7" s="14">
        <v>45989</v>
      </c>
      <c r="T7" s="31">
        <v>45986</v>
      </c>
      <c r="U7" s="31">
        <v>45987</v>
      </c>
      <c r="V7" s="31">
        <v>45988</v>
      </c>
      <c r="W7" s="31">
        <v>45989</v>
      </c>
      <c r="X7" s="31">
        <v>45991</v>
      </c>
      <c r="Y7" s="16">
        <f t="shared" si="3"/>
        <v>3</v>
      </c>
      <c r="Z7" s="31">
        <v>45994</v>
      </c>
      <c r="AA7" s="31">
        <v>45996</v>
      </c>
      <c r="AB7" s="31">
        <v>45996</v>
      </c>
      <c r="AC7" s="21">
        <f t="shared" si="4"/>
        <v>2</v>
      </c>
      <c r="AD7" s="31">
        <v>46000</v>
      </c>
      <c r="AE7" s="31">
        <v>46000</v>
      </c>
      <c r="AF7" s="31">
        <v>46001</v>
      </c>
      <c r="AG7" s="31">
        <v>46010</v>
      </c>
      <c r="AH7" s="18">
        <f t="shared" si="5"/>
        <v>10</v>
      </c>
      <c r="AI7" s="31">
        <v>46011</v>
      </c>
      <c r="AJ7" s="31">
        <v>46013</v>
      </c>
      <c r="AK7" s="19">
        <f t="shared" si="2"/>
        <v>2</v>
      </c>
      <c r="AL7" s="20">
        <v>7</v>
      </c>
      <c r="AM7" s="36">
        <f t="shared" si="6"/>
        <v>5</v>
      </c>
      <c r="AN7" s="37">
        <v>250</v>
      </c>
      <c r="AO7" s="39"/>
      <c r="AP7" s="40">
        <v>214.6</v>
      </c>
    </row>
    <row r="8" spans="1:42" ht="14.25" customHeight="1" x14ac:dyDescent="0.25">
      <c r="A8" s="13">
        <f t="shared" si="0"/>
        <v>6</v>
      </c>
      <c r="B8" s="27" t="s">
        <v>112</v>
      </c>
      <c r="C8" s="27" t="s">
        <v>73</v>
      </c>
      <c r="D8" s="27" t="s">
        <v>74</v>
      </c>
      <c r="E8" s="26">
        <v>35142</v>
      </c>
      <c r="F8" s="26">
        <v>35000</v>
      </c>
      <c r="G8" s="34">
        <v>35</v>
      </c>
      <c r="H8" s="23" t="s">
        <v>42</v>
      </c>
      <c r="I8" s="25" t="s">
        <v>38</v>
      </c>
      <c r="J8" s="24" t="s">
        <v>52</v>
      </c>
      <c r="K8" s="24" t="s">
        <v>63</v>
      </c>
      <c r="L8" s="22" t="s">
        <v>71</v>
      </c>
      <c r="M8" s="13" t="s">
        <v>16</v>
      </c>
      <c r="N8" s="13" t="s">
        <v>32</v>
      </c>
      <c r="O8" s="12" t="s">
        <v>37</v>
      </c>
      <c r="P8" s="27" t="s">
        <v>78</v>
      </c>
      <c r="Q8" s="27" t="s">
        <v>88</v>
      </c>
      <c r="R8" s="27">
        <v>4006869332</v>
      </c>
      <c r="S8" s="14">
        <v>45989</v>
      </c>
      <c r="T8" s="31">
        <v>45986</v>
      </c>
      <c r="U8" s="31">
        <v>45987</v>
      </c>
      <c r="V8" s="31">
        <v>45988</v>
      </c>
      <c r="W8" s="31">
        <v>45990</v>
      </c>
      <c r="X8" s="31">
        <v>45991</v>
      </c>
      <c r="Y8" s="16">
        <f t="shared" si="3"/>
        <v>5</v>
      </c>
      <c r="Z8" s="31">
        <v>45996</v>
      </c>
      <c r="AA8" s="31">
        <v>45998</v>
      </c>
      <c r="AB8" s="31">
        <v>45999</v>
      </c>
      <c r="AC8" s="21">
        <f>(AB8-Z8)</f>
        <v>3</v>
      </c>
      <c r="AD8" s="31">
        <v>46002</v>
      </c>
      <c r="AE8" s="31">
        <v>46005</v>
      </c>
      <c r="AF8" s="31">
        <v>46008</v>
      </c>
      <c r="AG8" s="31">
        <v>46011</v>
      </c>
      <c r="AH8" s="18">
        <f>(AG8-AE8)</f>
        <v>6</v>
      </c>
      <c r="AI8" s="31">
        <v>46012</v>
      </c>
      <c r="AJ8" s="31">
        <v>46013</v>
      </c>
      <c r="AK8" s="19">
        <f t="shared" si="2"/>
        <v>1</v>
      </c>
      <c r="AL8" s="20">
        <v>7</v>
      </c>
      <c r="AM8" s="36">
        <f t="shared" si="6"/>
        <v>0</v>
      </c>
      <c r="AN8" s="37">
        <v>250</v>
      </c>
      <c r="AO8" s="39"/>
      <c r="AP8" s="40">
        <v>69.599999999999994</v>
      </c>
    </row>
    <row r="9" spans="1:42" ht="13.5" customHeight="1" x14ac:dyDescent="0.25">
      <c r="A9" s="13">
        <f t="shared" si="0"/>
        <v>7</v>
      </c>
      <c r="B9" s="27" t="s">
        <v>112</v>
      </c>
      <c r="C9" s="27" t="s">
        <v>73</v>
      </c>
      <c r="D9" s="27" t="s">
        <v>74</v>
      </c>
      <c r="E9" s="26">
        <v>36146</v>
      </c>
      <c r="F9" s="26">
        <v>36000</v>
      </c>
      <c r="G9" s="34">
        <v>36</v>
      </c>
      <c r="H9" s="24" t="s">
        <v>46</v>
      </c>
      <c r="I9" s="25" t="s">
        <v>38</v>
      </c>
      <c r="J9" s="24" t="s">
        <v>56</v>
      </c>
      <c r="K9" s="24" t="s">
        <v>67</v>
      </c>
      <c r="L9" s="23" t="s">
        <v>72</v>
      </c>
      <c r="M9" s="13" t="s">
        <v>16</v>
      </c>
      <c r="N9" s="13" t="s">
        <v>32</v>
      </c>
      <c r="O9" s="12" t="s">
        <v>37</v>
      </c>
      <c r="P9" s="27" t="s">
        <v>81</v>
      </c>
      <c r="Q9" s="30" t="s">
        <v>91</v>
      </c>
      <c r="R9" s="27">
        <v>4000723446</v>
      </c>
      <c r="S9" s="14">
        <v>45988</v>
      </c>
      <c r="T9" s="31">
        <v>45986</v>
      </c>
      <c r="U9" s="31">
        <v>45987</v>
      </c>
      <c r="V9" s="31">
        <v>45987</v>
      </c>
      <c r="W9" s="31">
        <v>45989</v>
      </c>
      <c r="X9" s="31">
        <v>45991</v>
      </c>
      <c r="Y9" s="16">
        <f>(Z9-X9)</f>
        <v>5</v>
      </c>
      <c r="Z9" s="31">
        <v>45996</v>
      </c>
      <c r="AA9" s="31">
        <v>45998</v>
      </c>
      <c r="AB9" s="31">
        <v>45998</v>
      </c>
      <c r="AC9" s="21">
        <f>(AB9-Z9)</f>
        <v>2</v>
      </c>
      <c r="AD9" s="31">
        <v>46002</v>
      </c>
      <c r="AE9" s="31">
        <v>46003</v>
      </c>
      <c r="AF9" s="31">
        <v>46005</v>
      </c>
      <c r="AG9" s="31">
        <v>46011</v>
      </c>
      <c r="AH9" s="18">
        <f>(AG9-AE9)</f>
        <v>8</v>
      </c>
      <c r="AI9" s="31">
        <v>46012</v>
      </c>
      <c r="AJ9" s="31">
        <v>46013</v>
      </c>
      <c r="AK9" s="19">
        <f t="shared" si="2"/>
        <v>1</v>
      </c>
      <c r="AL9" s="20">
        <v>7</v>
      </c>
      <c r="AM9" s="36">
        <f t="shared" si="6"/>
        <v>2</v>
      </c>
      <c r="AN9" s="37">
        <v>250</v>
      </c>
      <c r="AO9" s="39"/>
      <c r="AP9" s="40">
        <v>156.6</v>
      </c>
    </row>
    <row r="10" spans="1:42" ht="15" customHeight="1" x14ac:dyDescent="0.25">
      <c r="A10" s="13">
        <f t="shared" si="0"/>
        <v>8</v>
      </c>
      <c r="B10" s="27" t="s">
        <v>112</v>
      </c>
      <c r="C10" s="27" t="s">
        <v>73</v>
      </c>
      <c r="D10" s="27" t="s">
        <v>74</v>
      </c>
      <c r="E10" s="26">
        <v>36146</v>
      </c>
      <c r="F10" s="26">
        <v>36000</v>
      </c>
      <c r="G10" s="34">
        <v>36</v>
      </c>
      <c r="H10" s="23" t="s">
        <v>39</v>
      </c>
      <c r="I10" s="25" t="s">
        <v>38</v>
      </c>
      <c r="J10" s="24" t="s">
        <v>49</v>
      </c>
      <c r="K10" s="24" t="s">
        <v>60</v>
      </c>
      <c r="L10" s="22" t="s">
        <v>71</v>
      </c>
      <c r="M10" s="13" t="s">
        <v>16</v>
      </c>
      <c r="N10" s="13" t="s">
        <v>32</v>
      </c>
      <c r="O10" s="12" t="s">
        <v>37</v>
      </c>
      <c r="P10" s="27" t="s">
        <v>75</v>
      </c>
      <c r="Q10" s="27" t="s">
        <v>85</v>
      </c>
      <c r="R10" s="27">
        <v>4007009159</v>
      </c>
      <c r="S10" s="14">
        <v>45988</v>
      </c>
      <c r="T10" s="31">
        <v>45986</v>
      </c>
      <c r="U10" s="31">
        <v>45987</v>
      </c>
      <c r="V10" s="31">
        <v>45988</v>
      </c>
      <c r="W10" s="31">
        <v>45989</v>
      </c>
      <c r="X10" s="31">
        <v>45991</v>
      </c>
      <c r="Y10" s="16">
        <f t="shared" si="3"/>
        <v>5</v>
      </c>
      <c r="Z10" s="31">
        <v>45996</v>
      </c>
      <c r="AA10" s="31">
        <v>45998</v>
      </c>
      <c r="AB10" s="31">
        <v>45999</v>
      </c>
      <c r="AC10" s="21">
        <f t="shared" si="4"/>
        <v>3</v>
      </c>
      <c r="AD10" s="31">
        <v>46002</v>
      </c>
      <c r="AE10" s="31">
        <v>46003</v>
      </c>
      <c r="AF10" s="31">
        <v>46005</v>
      </c>
      <c r="AG10" s="31">
        <v>46011</v>
      </c>
      <c r="AH10" s="18">
        <f t="shared" si="5"/>
        <v>8</v>
      </c>
      <c r="AI10" s="31">
        <v>46012</v>
      </c>
      <c r="AJ10" s="31">
        <v>46014</v>
      </c>
      <c r="AK10" s="19">
        <f t="shared" si="2"/>
        <v>2</v>
      </c>
      <c r="AL10" s="20">
        <v>7</v>
      </c>
      <c r="AM10" s="36">
        <f t="shared" si="6"/>
        <v>3</v>
      </c>
      <c r="AN10" s="37">
        <v>250</v>
      </c>
      <c r="AO10" s="39"/>
      <c r="AP10" s="40">
        <v>156.6</v>
      </c>
    </row>
    <row r="11" spans="1:42" x14ac:dyDescent="0.25">
      <c r="A11" s="13">
        <f t="shared" si="0"/>
        <v>9</v>
      </c>
      <c r="B11" s="27" t="s">
        <v>112</v>
      </c>
      <c r="C11" s="27" t="s">
        <v>73</v>
      </c>
      <c r="D11" s="27" t="s">
        <v>74</v>
      </c>
      <c r="E11" s="26">
        <v>35142</v>
      </c>
      <c r="F11" s="26">
        <v>35000</v>
      </c>
      <c r="G11" s="34">
        <v>35</v>
      </c>
      <c r="H11" s="24" t="s">
        <v>99</v>
      </c>
      <c r="I11" s="33" t="s">
        <v>38</v>
      </c>
      <c r="J11" s="24" t="s">
        <v>100</v>
      </c>
      <c r="K11" s="24" t="s">
        <v>101</v>
      </c>
      <c r="L11" s="28" t="s">
        <v>71</v>
      </c>
      <c r="M11" s="13" t="s">
        <v>16</v>
      </c>
      <c r="N11" s="13" t="s">
        <v>32</v>
      </c>
      <c r="O11" s="12" t="s">
        <v>37</v>
      </c>
      <c r="P11" s="28" t="s">
        <v>102</v>
      </c>
      <c r="Q11" s="24" t="s">
        <v>103</v>
      </c>
      <c r="R11" s="24">
        <v>4001160326</v>
      </c>
      <c r="S11" s="31">
        <v>45989</v>
      </c>
      <c r="T11" s="31">
        <v>45988</v>
      </c>
      <c r="U11" s="31">
        <v>45988</v>
      </c>
      <c r="V11" s="31">
        <v>45989</v>
      </c>
      <c r="W11" s="31">
        <v>45990</v>
      </c>
      <c r="X11" s="31">
        <v>45991</v>
      </c>
      <c r="Y11" s="16">
        <f>(Z11-X11)</f>
        <v>4</v>
      </c>
      <c r="Z11" s="31">
        <v>45995</v>
      </c>
      <c r="AA11" s="31">
        <v>45998</v>
      </c>
      <c r="AB11" s="31">
        <v>45998</v>
      </c>
      <c r="AC11" s="21">
        <f>(AB11-Z11)</f>
        <v>3</v>
      </c>
      <c r="AD11" s="31">
        <v>46001</v>
      </c>
      <c r="AE11" s="31">
        <v>46003</v>
      </c>
      <c r="AF11" s="31">
        <v>46005</v>
      </c>
      <c r="AG11" s="31">
        <v>46012</v>
      </c>
      <c r="AH11" s="18">
        <f>(AG11-AE11)</f>
        <v>9</v>
      </c>
      <c r="AI11" s="31">
        <v>46013</v>
      </c>
      <c r="AJ11" s="31">
        <v>46014</v>
      </c>
      <c r="AK11" s="19">
        <f t="shared" si="2"/>
        <v>1</v>
      </c>
      <c r="AL11" s="20">
        <v>7</v>
      </c>
      <c r="AM11" s="36">
        <f t="shared" si="6"/>
        <v>3</v>
      </c>
      <c r="AN11" s="37">
        <v>250</v>
      </c>
      <c r="AO11" s="39"/>
      <c r="AP11" s="40">
        <v>214.6</v>
      </c>
    </row>
    <row r="12" spans="1:42" ht="14.25" customHeight="1" x14ac:dyDescent="0.25">
      <c r="A12" s="13">
        <f t="shared" si="0"/>
        <v>10</v>
      </c>
      <c r="B12" s="27" t="s">
        <v>112</v>
      </c>
      <c r="C12" s="27" t="s">
        <v>73</v>
      </c>
      <c r="D12" s="27" t="s">
        <v>74</v>
      </c>
      <c r="E12" s="26">
        <v>35142</v>
      </c>
      <c r="F12" s="26">
        <v>35000</v>
      </c>
      <c r="G12" s="34">
        <v>35</v>
      </c>
      <c r="H12" s="23" t="s">
        <v>41</v>
      </c>
      <c r="I12" s="25" t="s">
        <v>38</v>
      </c>
      <c r="J12" s="24" t="s">
        <v>51</v>
      </c>
      <c r="K12" s="24" t="s">
        <v>62</v>
      </c>
      <c r="L12" s="22" t="s">
        <v>71</v>
      </c>
      <c r="M12" s="13" t="s">
        <v>16</v>
      </c>
      <c r="N12" s="13" t="s">
        <v>32</v>
      </c>
      <c r="O12" s="12" t="s">
        <v>37</v>
      </c>
      <c r="P12" s="27" t="s">
        <v>77</v>
      </c>
      <c r="Q12" s="27" t="s">
        <v>87</v>
      </c>
      <c r="R12" s="27">
        <v>4004264316</v>
      </c>
      <c r="S12" s="14">
        <v>45989</v>
      </c>
      <c r="T12" s="31">
        <v>45986</v>
      </c>
      <c r="U12" s="31">
        <v>45987</v>
      </c>
      <c r="V12" s="31">
        <v>45988</v>
      </c>
      <c r="W12" s="31">
        <v>45989</v>
      </c>
      <c r="X12" s="31">
        <v>45991</v>
      </c>
      <c r="Y12" s="16">
        <f t="shared" si="3"/>
        <v>4</v>
      </c>
      <c r="Z12" s="31">
        <v>45995</v>
      </c>
      <c r="AA12" s="31">
        <v>45996</v>
      </c>
      <c r="AB12" s="31">
        <v>45997</v>
      </c>
      <c r="AC12" s="21">
        <f t="shared" si="4"/>
        <v>2</v>
      </c>
      <c r="AD12" s="31">
        <v>46000</v>
      </c>
      <c r="AE12" s="31">
        <v>46001</v>
      </c>
      <c r="AF12" s="31">
        <v>46002</v>
      </c>
      <c r="AG12" s="31">
        <v>46012</v>
      </c>
      <c r="AH12" s="18">
        <f t="shared" si="5"/>
        <v>11</v>
      </c>
      <c r="AI12" s="31">
        <v>46014</v>
      </c>
      <c r="AJ12" s="31">
        <v>46014</v>
      </c>
      <c r="AK12" s="19">
        <f t="shared" si="2"/>
        <v>0</v>
      </c>
      <c r="AL12" s="20">
        <v>7</v>
      </c>
      <c r="AM12" s="36">
        <f t="shared" si="6"/>
        <v>4</v>
      </c>
      <c r="AN12" s="37">
        <v>250</v>
      </c>
      <c r="AO12" s="39"/>
      <c r="AP12" s="40">
        <v>301.60000000000002</v>
      </c>
    </row>
    <row r="13" spans="1:42" ht="15.75" customHeight="1" x14ac:dyDescent="0.25">
      <c r="A13" s="13">
        <f t="shared" si="0"/>
        <v>11</v>
      </c>
      <c r="B13" s="27" t="s">
        <v>112</v>
      </c>
      <c r="C13" s="27" t="s">
        <v>73</v>
      </c>
      <c r="D13" s="27" t="s">
        <v>74</v>
      </c>
      <c r="E13" s="26">
        <v>35142</v>
      </c>
      <c r="F13" s="26">
        <v>35000</v>
      </c>
      <c r="G13" s="34">
        <v>35</v>
      </c>
      <c r="H13" s="23" t="s">
        <v>48</v>
      </c>
      <c r="I13" s="25" t="s">
        <v>38</v>
      </c>
      <c r="J13" s="24" t="s">
        <v>59</v>
      </c>
      <c r="K13" s="27" t="s">
        <v>70</v>
      </c>
      <c r="L13" s="22" t="s">
        <v>71</v>
      </c>
      <c r="M13" s="13" t="s">
        <v>16</v>
      </c>
      <c r="N13" s="13" t="s">
        <v>32</v>
      </c>
      <c r="O13" s="12" t="s">
        <v>37</v>
      </c>
      <c r="P13" s="27" t="s">
        <v>84</v>
      </c>
      <c r="Q13" s="27" t="s">
        <v>94</v>
      </c>
      <c r="R13" s="27">
        <v>4004629342</v>
      </c>
      <c r="S13" s="14">
        <v>45991</v>
      </c>
      <c r="T13" s="31">
        <v>45986</v>
      </c>
      <c r="U13" s="31">
        <v>45989</v>
      </c>
      <c r="V13" s="31">
        <v>45990</v>
      </c>
      <c r="W13" s="31">
        <v>45992</v>
      </c>
      <c r="X13" s="31">
        <v>45993</v>
      </c>
      <c r="Y13" s="16">
        <f t="shared" si="3"/>
        <v>5</v>
      </c>
      <c r="Z13" s="31">
        <v>45998</v>
      </c>
      <c r="AA13" s="31">
        <v>46002</v>
      </c>
      <c r="AB13" s="31">
        <v>46004</v>
      </c>
      <c r="AC13" s="21">
        <f>(AB13-Z13)</f>
        <v>6</v>
      </c>
      <c r="AD13" s="31">
        <v>46007</v>
      </c>
      <c r="AE13" s="31">
        <v>46010</v>
      </c>
      <c r="AF13" s="31">
        <v>46011</v>
      </c>
      <c r="AG13" s="31">
        <v>46015</v>
      </c>
      <c r="AH13" s="18">
        <f t="shared" ref="AH13:AH15" si="7">(AG13-AE13)</f>
        <v>5</v>
      </c>
      <c r="AI13" s="31">
        <v>46015</v>
      </c>
      <c r="AJ13" s="31">
        <v>46017</v>
      </c>
      <c r="AK13" s="19">
        <f t="shared" si="2"/>
        <v>2</v>
      </c>
      <c r="AL13" s="20">
        <v>7</v>
      </c>
      <c r="AM13" s="36">
        <f t="shared" si="6"/>
        <v>0</v>
      </c>
      <c r="AN13" s="37">
        <v>250</v>
      </c>
      <c r="AO13" s="39"/>
      <c r="AP13" s="41">
        <v>69.599999999999994</v>
      </c>
    </row>
    <row r="14" spans="1:42" ht="15" customHeight="1" x14ac:dyDescent="0.25">
      <c r="A14" s="13">
        <f t="shared" si="0"/>
        <v>12</v>
      </c>
      <c r="B14" s="27" t="s">
        <v>112</v>
      </c>
      <c r="C14" s="27" t="s">
        <v>73</v>
      </c>
      <c r="D14" s="27" t="s">
        <v>74</v>
      </c>
      <c r="E14" s="26">
        <v>36146</v>
      </c>
      <c r="F14" s="26">
        <v>36000</v>
      </c>
      <c r="G14" s="34">
        <v>36</v>
      </c>
      <c r="H14" s="25" t="s">
        <v>47</v>
      </c>
      <c r="I14" s="25" t="s">
        <v>38</v>
      </c>
      <c r="J14" s="23" t="s">
        <v>57</v>
      </c>
      <c r="K14" s="23" t="s">
        <v>68</v>
      </c>
      <c r="L14" s="23" t="s">
        <v>72</v>
      </c>
      <c r="M14" s="13" t="s">
        <v>16</v>
      </c>
      <c r="N14" s="13" t="s">
        <v>32</v>
      </c>
      <c r="O14" s="12" t="s">
        <v>37</v>
      </c>
      <c r="P14" s="22" t="s">
        <v>82</v>
      </c>
      <c r="Q14" s="23" t="s">
        <v>92</v>
      </c>
      <c r="R14" s="23">
        <v>4000163603</v>
      </c>
      <c r="S14" s="14">
        <v>45991</v>
      </c>
      <c r="T14" s="31">
        <v>45986</v>
      </c>
      <c r="U14" s="31">
        <v>45988</v>
      </c>
      <c r="V14" s="31">
        <v>45989</v>
      </c>
      <c r="W14" s="31">
        <v>45989</v>
      </c>
      <c r="X14" s="31">
        <v>45991</v>
      </c>
      <c r="Y14" s="16">
        <f>(Z14-X14)</f>
        <v>4</v>
      </c>
      <c r="Z14" s="31">
        <v>45995</v>
      </c>
      <c r="AA14" s="31">
        <v>46002</v>
      </c>
      <c r="AB14" s="31">
        <v>46003</v>
      </c>
      <c r="AC14" s="21">
        <f>(AB14-Z14)</f>
        <v>8</v>
      </c>
      <c r="AD14" s="31">
        <v>46010</v>
      </c>
      <c r="AE14" s="31">
        <v>46013</v>
      </c>
      <c r="AF14" s="31">
        <v>46014</v>
      </c>
      <c r="AG14" s="31">
        <v>46020</v>
      </c>
      <c r="AH14" s="18">
        <f>(AG14-AE14)</f>
        <v>7</v>
      </c>
      <c r="AI14" s="31">
        <v>46021</v>
      </c>
      <c r="AJ14" s="31">
        <v>46022</v>
      </c>
      <c r="AK14" s="19">
        <f>(AJ14-AI14)</f>
        <v>1</v>
      </c>
      <c r="AL14" s="20">
        <v>7</v>
      </c>
      <c r="AM14" s="36">
        <f>MAX(0,AH14+AK14-AL14)</f>
        <v>1</v>
      </c>
      <c r="AN14" s="37">
        <v>250</v>
      </c>
      <c r="AO14" s="39"/>
      <c r="AP14" s="41">
        <v>69.599999999999994</v>
      </c>
    </row>
    <row r="15" spans="1:42" s="35" customFormat="1" ht="15" customHeight="1" x14ac:dyDescent="0.25">
      <c r="A15" s="13">
        <f t="shared" si="0"/>
        <v>13</v>
      </c>
      <c r="B15" s="27" t="s">
        <v>112</v>
      </c>
      <c r="C15" s="27" t="s">
        <v>110</v>
      </c>
      <c r="D15" s="27" t="s">
        <v>74</v>
      </c>
      <c r="E15" s="32">
        <v>31126</v>
      </c>
      <c r="F15" s="32">
        <v>31000</v>
      </c>
      <c r="G15" s="34">
        <v>31</v>
      </c>
      <c r="H15" s="23" t="s">
        <v>105</v>
      </c>
      <c r="I15" s="25" t="s">
        <v>38</v>
      </c>
      <c r="J15" s="24" t="s">
        <v>106</v>
      </c>
      <c r="K15" s="23"/>
      <c r="L15" s="23" t="s">
        <v>107</v>
      </c>
      <c r="M15" s="13" t="s">
        <v>16</v>
      </c>
      <c r="N15" s="13" t="s">
        <v>32</v>
      </c>
      <c r="O15" s="12" t="s">
        <v>37</v>
      </c>
      <c r="P15" s="26" t="s">
        <v>108</v>
      </c>
      <c r="Q15" s="22" t="s">
        <v>109</v>
      </c>
      <c r="R15" s="26">
        <v>4001446841</v>
      </c>
      <c r="S15" s="14"/>
      <c r="T15" s="31">
        <v>45986</v>
      </c>
      <c r="U15" s="31">
        <v>45994</v>
      </c>
      <c r="V15" s="31">
        <v>45995</v>
      </c>
      <c r="W15" s="31">
        <v>45995</v>
      </c>
      <c r="X15" s="31">
        <v>45996</v>
      </c>
      <c r="Y15" s="16">
        <f t="shared" si="3"/>
        <v>6</v>
      </c>
      <c r="Z15" s="31">
        <v>46002</v>
      </c>
      <c r="AA15" s="31">
        <v>46006</v>
      </c>
      <c r="AB15" s="31">
        <v>46007</v>
      </c>
      <c r="AC15" s="21">
        <f>(AB15-Z15)</f>
        <v>5</v>
      </c>
      <c r="AD15" s="31">
        <v>46011</v>
      </c>
      <c r="AE15" s="31">
        <v>46011</v>
      </c>
      <c r="AF15" s="31">
        <v>46012</v>
      </c>
      <c r="AG15" s="31">
        <v>46020</v>
      </c>
      <c r="AH15" s="18">
        <f t="shared" si="7"/>
        <v>9</v>
      </c>
      <c r="AI15" s="31">
        <v>46021</v>
      </c>
      <c r="AJ15" s="31">
        <v>46022</v>
      </c>
      <c r="AK15" s="19">
        <f t="shared" si="2"/>
        <v>1</v>
      </c>
      <c r="AL15" s="20">
        <v>7</v>
      </c>
      <c r="AM15" s="36">
        <f t="shared" si="6"/>
        <v>3</v>
      </c>
      <c r="AN15" s="37">
        <v>250</v>
      </c>
      <c r="AO15" s="39"/>
      <c r="AP15" s="41">
        <v>156.6</v>
      </c>
    </row>
    <row r="19" spans="3:3" ht="15" customHeight="1" x14ac:dyDescent="0.25">
      <c r="C19" s="12" t="s">
        <v>111</v>
      </c>
    </row>
  </sheetData>
  <mergeCells count="6">
    <mergeCell ref="AM1:AP1"/>
    <mergeCell ref="A1:H1"/>
    <mergeCell ref="Z1:AB1"/>
    <mergeCell ref="AD1:AG1"/>
    <mergeCell ref="AH1:AJ1"/>
    <mergeCell ref="AK1:AL1"/>
  </mergeCells>
  <phoneticPr fontId="14" type="noConversion"/>
  <conditionalFormatting sqref="P4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Domtila -tracking</dc:creator>
  <cp:lastModifiedBy>Domtila -tracking</cp:lastModifiedBy>
  <dcterms:created xsi:type="dcterms:W3CDTF">2025-11-26T08:28:23Z</dcterms:created>
  <dcterms:modified xsi:type="dcterms:W3CDTF">2026-01-20T11:09:59Z</dcterms:modified>
</cp:coreProperties>
</file>