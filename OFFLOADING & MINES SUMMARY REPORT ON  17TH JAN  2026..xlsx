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CLIENTS REPORTS\_CURRENT REPORTS\"/>
    </mc:Choice>
  </mc:AlternateContent>
  <xr:revisionPtr revIDLastSave="0" documentId="13_ncr:1_{EE936703-C636-4DFC-A6D7-C6DBC63FCB29}" xr6:coauthVersionLast="47" xr6:coauthVersionMax="47" xr10:uidLastSave="{00000000-0000-0000-0000-000000000000}"/>
  <bookViews>
    <workbookView xWindow="-120" yWindow="-120" windowWidth="20730" windowHeight="11040" activeTab="1" xr2:uid="{7C211659-D5E0-4EC4-8FBB-A5F07D361945}"/>
  </bookViews>
  <sheets>
    <sheet name="Offloading DAR" sheetId="1" r:id="rId1"/>
    <sheet name="Export Mines" sheetId="2" r:id="rId2"/>
    <sheet name="Summary 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D11" i="3"/>
  <c r="E11" i="3"/>
  <c r="E15" i="1" l="1"/>
  <c r="G10" i="1" l="1"/>
  <c r="G9" i="1"/>
  <c r="G8" i="1"/>
  <c r="G7" i="1"/>
  <c r="G6" i="1"/>
  <c r="G5" i="1"/>
  <c r="G3" i="1" l="1"/>
  <c r="D1" i="3" l="1"/>
</calcChain>
</file>

<file path=xl/sharedStrings.xml><?xml version="1.0" encoding="utf-8"?>
<sst xmlns="http://schemas.openxmlformats.org/spreadsheetml/2006/main" count="627" uniqueCount="271">
  <si>
    <t>Sn</t>
  </si>
  <si>
    <t>Truck</t>
  </si>
  <si>
    <t>Client</t>
  </si>
  <si>
    <t>Arrived at  offloading Site</t>
  </si>
  <si>
    <t>Days</t>
  </si>
  <si>
    <t xml:space="preserve">Warehouse </t>
  </si>
  <si>
    <t>Driver name</t>
  </si>
  <si>
    <t>Phone number</t>
  </si>
  <si>
    <t>No</t>
  </si>
  <si>
    <t>Warehouse</t>
  </si>
  <si>
    <t>No of trucks</t>
  </si>
  <si>
    <t>Remarks</t>
  </si>
  <si>
    <t>GLENCORE</t>
  </si>
  <si>
    <t>TOTAL</t>
  </si>
  <si>
    <t>NO</t>
  </si>
  <si>
    <t>Truck No.</t>
  </si>
  <si>
    <t>Driver Name</t>
  </si>
  <si>
    <t>Mine Name</t>
  </si>
  <si>
    <t>Status</t>
  </si>
  <si>
    <t>Loaded waiting for release</t>
  </si>
  <si>
    <t>KCC</t>
  </si>
  <si>
    <t>Waiting to load</t>
  </si>
  <si>
    <t xml:space="preserve">Overland Group </t>
  </si>
  <si>
    <t>Mines  Summary Report</t>
  </si>
  <si>
    <t xml:space="preserve">Mine Name </t>
  </si>
  <si>
    <t>Number of Trucks</t>
  </si>
  <si>
    <t>Waiting Release</t>
  </si>
  <si>
    <t xml:space="preserve">Waiting to Load </t>
  </si>
  <si>
    <t>REMARKS</t>
  </si>
  <si>
    <t>Total</t>
  </si>
  <si>
    <t>TFM</t>
  </si>
  <si>
    <t>MERCURIA</t>
  </si>
  <si>
    <t>MUMI</t>
  </si>
  <si>
    <t>T585DPW</t>
  </si>
  <si>
    <t>T582DPW</t>
  </si>
  <si>
    <t>PETER VICENT</t>
  </si>
  <si>
    <t>GERALD KIMARO</t>
  </si>
  <si>
    <t>DCG,DAR</t>
  </si>
  <si>
    <t>T399EFR</t>
  </si>
  <si>
    <t>T249CVP</t>
  </si>
  <si>
    <t>ALLY GOMBAT</t>
  </si>
  <si>
    <t>ADAM MSUYA</t>
  </si>
  <si>
    <t xml:space="preserve"> </t>
  </si>
  <si>
    <t>T514BXN</t>
  </si>
  <si>
    <t>T625BVP</t>
  </si>
  <si>
    <t>T676BXN</t>
  </si>
  <si>
    <t>SAIDI ALLY</t>
  </si>
  <si>
    <t>KOSAM SAMPAMBA</t>
  </si>
  <si>
    <t>HUSSEIN CHOVU</t>
  </si>
  <si>
    <t>MASUMBUKO BISHMKUMBI</t>
  </si>
  <si>
    <t>T480DZH</t>
  </si>
  <si>
    <t>T935CAS</t>
  </si>
  <si>
    <t>T202DYR</t>
  </si>
  <si>
    <t>T320DWU</t>
  </si>
  <si>
    <t>T940DEY</t>
  </si>
  <si>
    <t>T664BXN</t>
  </si>
  <si>
    <t>ERNEST JOSEPH</t>
  </si>
  <si>
    <t>F DEDU</t>
  </si>
  <si>
    <t>HARUNA NGOLLOH</t>
  </si>
  <si>
    <t>SAID MKAMI</t>
  </si>
  <si>
    <t>JUMA NASSOR</t>
  </si>
  <si>
    <t>MKADARA SHAME</t>
  </si>
  <si>
    <t>T221EES</t>
  </si>
  <si>
    <t>T363EFR</t>
  </si>
  <si>
    <t>T656DQF</t>
  </si>
  <si>
    <t>T850CQL</t>
  </si>
  <si>
    <t>T588CJT</t>
  </si>
  <si>
    <t>T545BXN</t>
  </si>
  <si>
    <t>T339DZH</t>
  </si>
  <si>
    <t>T147EES</t>
  </si>
  <si>
    <t>T346DWZ</t>
  </si>
  <si>
    <t>T901ECV</t>
  </si>
  <si>
    <t>T640EHZ</t>
  </si>
  <si>
    <t>T870DRL</t>
  </si>
  <si>
    <t>T340DWZ</t>
  </si>
  <si>
    <t>T583DMJ</t>
  </si>
  <si>
    <t>T400DZH</t>
  </si>
  <si>
    <t>T883ECV</t>
  </si>
  <si>
    <t>T196DYR</t>
  </si>
  <si>
    <t>T477DZH</t>
  </si>
  <si>
    <t>T203DYR</t>
  </si>
  <si>
    <t>T927EGG</t>
  </si>
  <si>
    <t>T309EES</t>
  </si>
  <si>
    <t>ATHMAN KASUBI</t>
  </si>
  <si>
    <t>RAMADHAN JUMA</t>
  </si>
  <si>
    <t>MATHIAS NYEREGETE</t>
  </si>
  <si>
    <t>SWEETBERT CHILUMBA</t>
  </si>
  <si>
    <t>HASSAN ABELEU</t>
  </si>
  <si>
    <t>DANFORD LUHANGA</t>
  </si>
  <si>
    <t>DEDAN LENGWALA</t>
  </si>
  <si>
    <t>JOHN NDAKI</t>
  </si>
  <si>
    <t>MOHAMED MMINGE</t>
  </si>
  <si>
    <t>KASSIMU MWEMBA</t>
  </si>
  <si>
    <t>JUMA BODE</t>
  </si>
  <si>
    <t>ALPHONCE PHILIPO</t>
  </si>
  <si>
    <t>JOSEPH MALIMI</t>
  </si>
  <si>
    <t>VICENT KALYALYA</t>
  </si>
  <si>
    <t>KALEB MAZENGO</t>
  </si>
  <si>
    <t>JOHN NGWETA</t>
  </si>
  <si>
    <t>MASOUD JAHADI</t>
  </si>
  <si>
    <t>FESTO PHINIAS</t>
  </si>
  <si>
    <t>CHUMILA NGWETA</t>
  </si>
  <si>
    <t>JUMA OMARI</t>
  </si>
  <si>
    <t>FADHIL ALMAS</t>
  </si>
  <si>
    <t>T355DZH</t>
  </si>
  <si>
    <t>OMARI NYATEGA</t>
  </si>
  <si>
    <t>KPM</t>
  </si>
  <si>
    <t>T345DWZ</t>
  </si>
  <si>
    <t>T704EHZ</t>
  </si>
  <si>
    <t>T613DPV</t>
  </si>
  <si>
    <t>BENJAMIN NDULA</t>
  </si>
  <si>
    <t>ELIONA SILAA</t>
  </si>
  <si>
    <t>YANGSON MWAFONGO</t>
  </si>
  <si>
    <t>JCM</t>
  </si>
  <si>
    <t>T499DMH</t>
  </si>
  <si>
    <t>T939DEY</t>
  </si>
  <si>
    <t>T770ENQ</t>
  </si>
  <si>
    <t>T344DWZ</t>
  </si>
  <si>
    <t>T294DRM</t>
  </si>
  <si>
    <t>MASHAKA OMARY</t>
  </si>
  <si>
    <t>JACOB KAINUNULA</t>
  </si>
  <si>
    <t>EZEKIEL PHILIPO</t>
  </si>
  <si>
    <t>ATHUMAN MUIRA</t>
  </si>
  <si>
    <t>JORDAN MATWEGULA</t>
  </si>
  <si>
    <t>Glencore</t>
  </si>
  <si>
    <t>T364EFR</t>
  </si>
  <si>
    <t>T583ENQ</t>
  </si>
  <si>
    <t>T451EFR</t>
  </si>
  <si>
    <t>T599BXN</t>
  </si>
  <si>
    <t>T375EFR</t>
  </si>
  <si>
    <t>T935BZF</t>
  </si>
  <si>
    <t>T429CAF</t>
  </si>
  <si>
    <t>T709EHZ</t>
  </si>
  <si>
    <t>T895ECV</t>
  </si>
  <si>
    <t>T473DZH</t>
  </si>
  <si>
    <t>T857CJS</t>
  </si>
  <si>
    <t>T884ECV</t>
  </si>
  <si>
    <t>SHABANI ABDALLAH</t>
  </si>
  <si>
    <t>TWALIHATA WASIA</t>
  </si>
  <si>
    <t>MOHAMED KHALFANI</t>
  </si>
  <si>
    <t>JAPANIS DEVILLIES</t>
  </si>
  <si>
    <t>FAUSTIN MALIMA</t>
  </si>
  <si>
    <t>HASHIM MPATILA</t>
  </si>
  <si>
    <t>LAULIN SIZIMWE</t>
  </si>
  <si>
    <t>HASSAN CHILEU</t>
  </si>
  <si>
    <t>RAMADHAN HEMED</t>
  </si>
  <si>
    <t>TWALIBU SHEKI</t>
  </si>
  <si>
    <t>CHARLES MSWAHIL</t>
  </si>
  <si>
    <t>T554ENQ</t>
  </si>
  <si>
    <t>T899ECV</t>
  </si>
  <si>
    <t>T501DMH</t>
  </si>
  <si>
    <t>T338EFR</t>
  </si>
  <si>
    <t>T277DTA</t>
  </si>
  <si>
    <t>HASSAN BIYOMBO</t>
  </si>
  <si>
    <t>ADOLPH KASWIZA</t>
  </si>
  <si>
    <t>DANIEL LAY</t>
  </si>
  <si>
    <t>MATHIAS GEORGE</t>
  </si>
  <si>
    <t>SEPH SHUNDA</t>
  </si>
  <si>
    <t>T577DMJ</t>
  </si>
  <si>
    <t>T611DPW</t>
  </si>
  <si>
    <t>T166DDY</t>
  </si>
  <si>
    <t>T674CJT</t>
  </si>
  <si>
    <t>T937DEY</t>
  </si>
  <si>
    <t>T180EES</t>
  </si>
  <si>
    <t>T893CJS</t>
  </si>
  <si>
    <t>ALLY SALIM</t>
  </si>
  <si>
    <t>SEBASTIAN JOTAMU</t>
  </si>
  <si>
    <t>MASHAURI GELVAS</t>
  </si>
  <si>
    <t>MOHAMED NYANYANGE</t>
  </si>
  <si>
    <t>OMARY KIDUKURI</t>
  </si>
  <si>
    <t>LEONARDI STEVEN</t>
  </si>
  <si>
    <t>COSTANTINE MCHOMVU</t>
  </si>
  <si>
    <t>T816ENP</t>
  </si>
  <si>
    <t>ABASI MNINGE</t>
  </si>
  <si>
    <t>T446DZH</t>
  </si>
  <si>
    <t>T170EBA</t>
  </si>
  <si>
    <t>T355DWZ</t>
  </si>
  <si>
    <t>T896ECV</t>
  </si>
  <si>
    <t>T336DWZ</t>
  </si>
  <si>
    <t>HALIFA MIZOZO</t>
  </si>
  <si>
    <t>JUNAIDI MDOSI</t>
  </si>
  <si>
    <t>BEATUS TEMU</t>
  </si>
  <si>
    <t>JAMES SANIDA</t>
  </si>
  <si>
    <t>MAX NDEMBO</t>
  </si>
  <si>
    <t>T505DQH</t>
  </si>
  <si>
    <t>MOHAMEDI KAJO</t>
  </si>
  <si>
    <t>T343DWZ</t>
  </si>
  <si>
    <t>T620DPV</t>
  </si>
  <si>
    <t>MARTIN CHOKOLA</t>
  </si>
  <si>
    <t>THABITI KASSIMU</t>
  </si>
  <si>
    <t>T223DNF</t>
  </si>
  <si>
    <t>T324BZY</t>
  </si>
  <si>
    <t>T873CJS</t>
  </si>
  <si>
    <t>T459DMH</t>
  </si>
  <si>
    <t>ANTHONY E NGUMBI</t>
  </si>
  <si>
    <t xml:space="preserve">ALEX GOMEL ROBERT </t>
  </si>
  <si>
    <t>SHABANI SAID ATHUMAN</t>
  </si>
  <si>
    <t>AISHA HUSSENI RAMADHANI</t>
  </si>
  <si>
    <t>Diverted to TCC/ No driver</t>
  </si>
  <si>
    <t>TCC</t>
  </si>
  <si>
    <t>T490DQH</t>
  </si>
  <si>
    <t>T693CXU</t>
  </si>
  <si>
    <t>T770CRG</t>
  </si>
  <si>
    <t>ATHUMAN MJAKEO</t>
  </si>
  <si>
    <t>DAUD KASWAHILI</t>
  </si>
  <si>
    <t>ANDALILE FOKILE</t>
  </si>
  <si>
    <t>Mercuria</t>
  </si>
  <si>
    <t>BRIDGE,TAZARA</t>
  </si>
  <si>
    <t>T623DPV</t>
  </si>
  <si>
    <t>T335DWZ</t>
  </si>
  <si>
    <t>T663CJT</t>
  </si>
  <si>
    <t>T624DPV</t>
  </si>
  <si>
    <t>T275DTA</t>
  </si>
  <si>
    <t>FREDRICK LUCAS NYAMHANGA</t>
  </si>
  <si>
    <t>RASHID HAMIS NJENJEMA</t>
  </si>
  <si>
    <t>IDDY SHABAN RAMADHAN </t>
  </si>
  <si>
    <t>RAMADHANI SHABANI OMARY</t>
  </si>
  <si>
    <t>RAMADHANI ATHUMANI SALEHE</t>
  </si>
  <si>
    <t>T371EFR</t>
  </si>
  <si>
    <t>T713DMS</t>
  </si>
  <si>
    <t>T170EES</t>
  </si>
  <si>
    <t>T311EES</t>
  </si>
  <si>
    <t>T149DDY</t>
  </si>
  <si>
    <t>ZABRON MSEMWA</t>
  </si>
  <si>
    <t>WAMBURA BARAZA</t>
  </si>
  <si>
    <t>OMARY MNONJI</t>
  </si>
  <si>
    <t>HARIM MWAMENGO</t>
  </si>
  <si>
    <t>OMARY MUZII</t>
  </si>
  <si>
    <t>T443DZH</t>
  </si>
  <si>
    <t>T364DCA</t>
  </si>
  <si>
    <t>ALLY SHANI</t>
  </si>
  <si>
    <t>TUMAINIELI MWENDE</t>
  </si>
  <si>
    <t>T512DQH</t>
  </si>
  <si>
    <t>T500DMH</t>
  </si>
  <si>
    <t>MASUMBUKO CHARLES MABULA</t>
  </si>
  <si>
    <t>255712379520/255655004929</t>
  </si>
  <si>
    <t>HEZRON GEORGE NSONGAMA</t>
  </si>
  <si>
    <t>255742368180/255717487998</t>
  </si>
  <si>
    <t>T710DMS</t>
  </si>
  <si>
    <t>T815ENP</t>
  </si>
  <si>
    <t>T305DRF</t>
  </si>
  <si>
    <t>SAID KIBARATI</t>
  </si>
  <si>
    <t>JOHN POMBO</t>
  </si>
  <si>
    <t>PEASON MTAMBI</t>
  </si>
  <si>
    <t>T211DNF</t>
  </si>
  <si>
    <t>T764EAE</t>
  </si>
  <si>
    <t>YUNUS MWAKANYAMALE</t>
  </si>
  <si>
    <t>HOSEA MPOGOLE</t>
  </si>
  <si>
    <t>T582DMJ</t>
  </si>
  <si>
    <t>DAVID KIMUNE</t>
  </si>
  <si>
    <t>COMMUS</t>
  </si>
  <si>
    <t>Mines Daily Tracking Update Report 16th Dec 2025</t>
  </si>
  <si>
    <t>T599DPW</t>
  </si>
  <si>
    <t>T933DEY</t>
  </si>
  <si>
    <t>T837CQL</t>
  </si>
  <si>
    <t>T360CXX</t>
  </si>
  <si>
    <t>T358DWZ</t>
  </si>
  <si>
    <t xml:space="preserve">BAKARI HATIBU CHIPETA </t>
  </si>
  <si>
    <t>255741 809361</t>
  </si>
  <si>
    <t>TRYPHON ANTON LYAPEGA</t>
  </si>
  <si>
    <t>255768046776</t>
  </si>
  <si>
    <t>PHILBERT PHILBERT MHAGAMA</t>
  </si>
  <si>
    <t>255699133319</t>
  </si>
  <si>
    <t>SAID ABDALLAH KISANDUKU</t>
  </si>
  <si>
    <t>255756333381</t>
  </si>
  <si>
    <t>SALUM RODGERS CHIPETA</t>
  </si>
  <si>
    <t>255782 418888/255717662323/255747545555</t>
  </si>
  <si>
    <t>T551DCZ</t>
  </si>
  <si>
    <t>T619BVP</t>
  </si>
  <si>
    <t>HALFAN KIPANGA</t>
  </si>
  <si>
    <t>HOSSENI NTULWE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</si>
</sst>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409]dd/mmm/yy;@"/>
    <numFmt numFmtId="166" formatCode="[$-409]d/mmm/yy;@"/>
    <numFmt numFmtId="167" formatCode="General\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0" fontId="7" fillId="0" borderId="0"/>
    <xf numFmtId="164" fontId="8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7" fontId="0" fillId="6" borderId="1" xfId="0" applyNumberFormat="1" applyFill="1" applyBorder="1" applyAlignment="1">
      <alignment horizontal="center"/>
    </xf>
    <xf numFmtId="167" fontId="6" fillId="6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</cellXfs>
  <cellStyles count="4">
    <cellStyle name="Comma 2 7" xfId="3" xr:uid="{8C27F018-BE6A-400F-AA8F-1AA8D12F0E5F}"/>
    <cellStyle name="Normal" xfId="0" builtinId="0"/>
    <cellStyle name="Normal 2" xfId="1" xr:uid="{72C1CD57-7C8D-486C-8BB6-BA8FD4138086}"/>
    <cellStyle name="Normal 69" xfId="2" xr:uid="{AF3AD66D-21ED-4B94-9F7D-03F4AA09C4FA}"/>
  </cellStyles>
  <dxfs count="2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6904-D2DF-48FC-BBBB-3585D0E7A5C8}">
  <sheetPr>
    <pageSetUpPr fitToPage="1"/>
  </sheetPr>
  <dimension ref="B1:J15"/>
  <sheetViews>
    <sheetView zoomScaleNormal="100" workbookViewId="0">
      <selection activeCell="H5" sqref="H5:H10"/>
    </sheetView>
  </sheetViews>
  <sheetFormatPr defaultColWidth="9.140625" defaultRowHeight="14.25" customHeight="1" x14ac:dyDescent="0.25"/>
  <cols>
    <col min="1" max="1" width="9.140625" style="1" customWidth="1"/>
    <col min="2" max="2" width="6.7109375" style="1" customWidth="1"/>
    <col min="3" max="3" width="12.28515625" style="1" customWidth="1"/>
    <col min="4" max="4" width="13.85546875" style="1" customWidth="1"/>
    <col min="5" max="5" width="17.140625" style="2" customWidth="1"/>
    <col min="6" max="6" width="18.140625" style="2" hidden="1" customWidth="1"/>
    <col min="7" max="7" width="7.5703125" style="1" customWidth="1"/>
    <col min="8" max="8" width="16.140625" style="1" customWidth="1"/>
    <col min="9" max="9" width="31.42578125" style="1" customWidth="1"/>
    <col min="10" max="10" width="39.7109375" style="1" bestFit="1" customWidth="1"/>
    <col min="11" max="11" width="10.42578125" style="1" customWidth="1"/>
    <col min="12" max="12" width="10.85546875" style="1" customWidth="1"/>
    <col min="13" max="13" width="12.85546875" style="1" customWidth="1"/>
    <col min="14" max="14" width="16.5703125" style="1" customWidth="1"/>
    <col min="15" max="15" width="20.28515625" style="1" customWidth="1"/>
    <col min="16" max="17" width="12.140625" style="1" customWidth="1"/>
    <col min="18" max="16384" width="9.140625" style="1"/>
  </cols>
  <sheetData>
    <row r="1" spans="2:10" ht="27.75" customHeight="1" x14ac:dyDescent="0.25">
      <c r="B1" s="28" t="s">
        <v>0</v>
      </c>
      <c r="C1" s="28" t="s">
        <v>1</v>
      </c>
      <c r="D1" s="28" t="s">
        <v>2</v>
      </c>
      <c r="E1" s="29" t="s">
        <v>3</v>
      </c>
      <c r="F1" s="29"/>
      <c r="G1" s="30" t="s">
        <v>4</v>
      </c>
      <c r="H1" s="20" t="s">
        <v>5</v>
      </c>
      <c r="I1" s="20" t="s">
        <v>6</v>
      </c>
      <c r="J1" s="20" t="s">
        <v>7</v>
      </c>
    </row>
    <row r="2" spans="2:10" ht="12.75" customHeight="1" x14ac:dyDescent="0.25">
      <c r="B2" s="31"/>
      <c r="C2" s="32"/>
      <c r="D2" s="31"/>
      <c r="E2" s="31"/>
      <c r="F2" s="33"/>
      <c r="G2" s="33"/>
      <c r="H2" s="33"/>
      <c r="I2" s="33"/>
      <c r="J2" s="33"/>
    </row>
    <row r="3" spans="2:10" ht="14.25" customHeight="1" x14ac:dyDescent="0.25">
      <c r="B3" s="14">
        <v>1</v>
      </c>
      <c r="C3" s="9" t="s">
        <v>233</v>
      </c>
      <c r="D3" s="40" t="s">
        <v>206</v>
      </c>
      <c r="E3" s="15">
        <v>46037</v>
      </c>
      <c r="F3" s="15">
        <v>46039</v>
      </c>
      <c r="G3" s="14">
        <f t="shared" ref="G3" si="0">F3-E3</f>
        <v>2</v>
      </c>
      <c r="H3" s="43" t="s">
        <v>207</v>
      </c>
      <c r="I3" s="41" t="s">
        <v>236</v>
      </c>
      <c r="J3" s="41" t="s">
        <v>237</v>
      </c>
    </row>
    <row r="4" spans="2:10" ht="14.25" customHeight="1" x14ac:dyDescent="0.25">
      <c r="B4" s="23"/>
      <c r="C4" s="24"/>
      <c r="D4" s="24"/>
      <c r="E4" s="23"/>
      <c r="F4" s="25"/>
      <c r="G4" s="25"/>
      <c r="H4" s="25"/>
      <c r="I4" s="25"/>
      <c r="J4" s="25"/>
    </row>
    <row r="5" spans="2:10" ht="14.25" customHeight="1" x14ac:dyDescent="0.25">
      <c r="B5" s="12">
        <v>1</v>
      </c>
      <c r="C5" s="9" t="s">
        <v>232</v>
      </c>
      <c r="D5" s="40" t="s">
        <v>124</v>
      </c>
      <c r="E5" s="15">
        <v>46037</v>
      </c>
      <c r="F5" s="15">
        <v>46039</v>
      </c>
      <c r="G5" s="14">
        <f t="shared" ref="G5:G10" si="1">F5-E5</f>
        <v>2</v>
      </c>
      <c r="H5" s="50" t="s">
        <v>37</v>
      </c>
      <c r="I5" s="41" t="s">
        <v>234</v>
      </c>
      <c r="J5" s="41" t="s">
        <v>235</v>
      </c>
    </row>
    <row r="6" spans="2:10" ht="14.25" customHeight="1" x14ac:dyDescent="0.25">
      <c r="B6" s="12">
        <v>2</v>
      </c>
      <c r="C6" s="9" t="s">
        <v>252</v>
      </c>
      <c r="D6" s="40" t="s">
        <v>124</v>
      </c>
      <c r="E6" s="15">
        <v>46038</v>
      </c>
      <c r="F6" s="15">
        <v>46039</v>
      </c>
      <c r="G6" s="14">
        <f t="shared" si="1"/>
        <v>1</v>
      </c>
      <c r="H6" s="51"/>
      <c r="I6" s="41" t="s">
        <v>257</v>
      </c>
      <c r="J6" s="41" t="s">
        <v>258</v>
      </c>
    </row>
    <row r="7" spans="2:10" ht="14.25" customHeight="1" x14ac:dyDescent="0.25">
      <c r="B7" s="12">
        <v>3</v>
      </c>
      <c r="C7" s="9" t="s">
        <v>253</v>
      </c>
      <c r="D7" s="40" t="s">
        <v>124</v>
      </c>
      <c r="E7" s="15">
        <v>46038</v>
      </c>
      <c r="F7" s="15">
        <v>46039</v>
      </c>
      <c r="G7" s="14">
        <f t="shared" si="1"/>
        <v>1</v>
      </c>
      <c r="H7" s="51"/>
      <c r="I7" s="41" t="s">
        <v>259</v>
      </c>
      <c r="J7" s="41" t="s">
        <v>260</v>
      </c>
    </row>
    <row r="8" spans="2:10" ht="14.25" customHeight="1" x14ac:dyDescent="0.25">
      <c r="B8" s="12">
        <v>4</v>
      </c>
      <c r="C8" s="9" t="s">
        <v>254</v>
      </c>
      <c r="D8" s="40" t="s">
        <v>124</v>
      </c>
      <c r="E8" s="15">
        <v>46038</v>
      </c>
      <c r="F8" s="15">
        <v>46039</v>
      </c>
      <c r="G8" s="14">
        <f t="shared" si="1"/>
        <v>1</v>
      </c>
      <c r="H8" s="51"/>
      <c r="I8" s="41" t="s">
        <v>261</v>
      </c>
      <c r="J8" s="41" t="s">
        <v>262</v>
      </c>
    </row>
    <row r="9" spans="2:10" ht="14.25" customHeight="1" x14ac:dyDescent="0.25">
      <c r="B9" s="12">
        <v>5</v>
      </c>
      <c r="C9" s="14" t="s">
        <v>255</v>
      </c>
      <c r="D9" s="40" t="s">
        <v>124</v>
      </c>
      <c r="E9" s="15">
        <v>46038</v>
      </c>
      <c r="F9" s="15">
        <v>46039</v>
      </c>
      <c r="G9" s="14">
        <f t="shared" si="1"/>
        <v>1</v>
      </c>
      <c r="H9" s="51"/>
      <c r="I9" s="41" t="s">
        <v>263</v>
      </c>
      <c r="J9" s="41" t="s">
        <v>264</v>
      </c>
    </row>
    <row r="10" spans="2:10" ht="14.25" customHeight="1" x14ac:dyDescent="0.25">
      <c r="B10" s="12">
        <v>6</v>
      </c>
      <c r="C10" s="14" t="s">
        <v>256</v>
      </c>
      <c r="D10" s="40" t="s">
        <v>124</v>
      </c>
      <c r="E10" s="15">
        <v>46038</v>
      </c>
      <c r="F10" s="15">
        <v>46039</v>
      </c>
      <c r="G10" s="14">
        <f t="shared" si="1"/>
        <v>1</v>
      </c>
      <c r="H10" s="52"/>
      <c r="I10" s="41" t="s">
        <v>265</v>
      </c>
      <c r="J10" s="41" t="s">
        <v>266</v>
      </c>
    </row>
    <row r="11" spans="2:10" ht="14.25" customHeight="1" x14ac:dyDescent="0.25">
      <c r="B11" s="23"/>
      <c r="C11" s="24"/>
      <c r="D11" s="24"/>
      <c r="E11" s="23"/>
      <c r="F11" s="25"/>
      <c r="G11" s="25"/>
      <c r="H11" s="25"/>
      <c r="I11" s="25"/>
      <c r="J11" s="25"/>
    </row>
    <row r="12" spans="2:10" ht="14.25" customHeight="1" x14ac:dyDescent="0.25">
      <c r="B12" s="38"/>
      <c r="C12" s="39" t="s">
        <v>8</v>
      </c>
      <c r="D12" s="39" t="s">
        <v>9</v>
      </c>
      <c r="E12" s="39" t="s">
        <v>10</v>
      </c>
      <c r="F12" s="39" t="s">
        <v>11</v>
      </c>
      <c r="G12" s="38"/>
      <c r="H12" s="38" t="s">
        <v>42</v>
      </c>
      <c r="I12" s="38"/>
      <c r="J12" s="38"/>
    </row>
    <row r="13" spans="2:10" ht="14.25" customHeight="1" x14ac:dyDescent="0.25">
      <c r="B13" s="38"/>
      <c r="C13" s="14">
        <v>1</v>
      </c>
      <c r="D13" s="14" t="s">
        <v>207</v>
      </c>
      <c r="E13" s="14">
        <v>1</v>
      </c>
      <c r="F13" s="14"/>
      <c r="G13" s="38"/>
      <c r="H13" s="38"/>
      <c r="I13" s="38"/>
      <c r="J13" s="38"/>
    </row>
    <row r="14" spans="2:10" ht="14.25" customHeight="1" x14ac:dyDescent="0.25">
      <c r="B14" s="38"/>
      <c r="C14" s="14">
        <v>2</v>
      </c>
      <c r="D14" s="14" t="s">
        <v>37</v>
      </c>
      <c r="E14" s="14">
        <v>6</v>
      </c>
      <c r="F14" s="14"/>
      <c r="G14" s="38"/>
      <c r="H14" s="38"/>
      <c r="I14" s="38"/>
      <c r="J14" s="38"/>
    </row>
    <row r="15" spans="2:10" ht="14.25" customHeight="1" x14ac:dyDescent="0.25">
      <c r="B15" s="36"/>
      <c r="C15" s="35"/>
      <c r="D15" s="37" t="s">
        <v>13</v>
      </c>
      <c r="E15" s="37">
        <f>SUM(E13:E14)</f>
        <v>7</v>
      </c>
      <c r="F15" s="35"/>
      <c r="G15" s="36"/>
      <c r="H15" s="36"/>
      <c r="I15" s="36"/>
      <c r="J15" s="36"/>
    </row>
  </sheetData>
  <mergeCells count="1">
    <mergeCell ref="H5:H10"/>
  </mergeCells>
  <conditionalFormatting sqref="C3">
    <cfRule type="duplicateValues" dxfId="156" priority="222"/>
    <cfRule type="duplicateValues" dxfId="155" priority="223"/>
    <cfRule type="duplicateValues" dxfId="154" priority="224"/>
    <cfRule type="duplicateValues" dxfId="153" priority="225"/>
    <cfRule type="duplicateValues" dxfId="152" priority="226"/>
    <cfRule type="duplicateValues" dxfId="151" priority="227"/>
    <cfRule type="duplicateValues" dxfId="150" priority="228"/>
    <cfRule type="duplicateValues" dxfId="149" priority="229"/>
  </conditionalFormatting>
  <conditionalFormatting sqref="C11:C1048576 C1:C2 C4">
    <cfRule type="duplicateValues" dxfId="148" priority="781"/>
    <cfRule type="duplicateValues" dxfId="147" priority="25201"/>
  </conditionalFormatting>
  <conditionalFormatting sqref="C16:C1048576 C1:C2 C4 C11">
    <cfRule type="duplicateValues" dxfId="146" priority="25427"/>
  </conditionalFormatting>
  <conditionalFormatting sqref="D12">
    <cfRule type="duplicateValues" dxfId="145" priority="7204"/>
    <cfRule type="duplicateValues" dxfId="144" priority="7205"/>
    <cfRule type="duplicateValues" dxfId="143" priority="7206"/>
    <cfRule type="duplicateValues" dxfId="142" priority="7207"/>
    <cfRule type="duplicateValues" dxfId="141" priority="7208"/>
    <cfRule type="duplicateValues" dxfId="140" priority="7209"/>
    <cfRule type="duplicateValues" dxfId="139" priority="7210"/>
    <cfRule type="duplicateValues" dxfId="138" priority="7211"/>
    <cfRule type="duplicateValues" dxfId="137" priority="7212"/>
  </conditionalFormatting>
  <conditionalFormatting sqref="D12:D14">
    <cfRule type="duplicateValues" dxfId="136" priority="25913"/>
  </conditionalFormatting>
  <conditionalFormatting sqref="D12:D15">
    <cfRule type="duplicateValues" dxfId="135" priority="25898"/>
  </conditionalFormatting>
  <conditionalFormatting sqref="I3:J3">
    <cfRule type="duplicateValues" dxfId="134" priority="211"/>
    <cfRule type="duplicateValues" dxfId="133" priority="212"/>
    <cfRule type="duplicateValues" dxfId="132" priority="213"/>
    <cfRule type="duplicateValues" dxfId="131" priority="214"/>
    <cfRule type="duplicateValues" dxfId="130" priority="215"/>
    <cfRule type="duplicateValues" dxfId="129" priority="216"/>
    <cfRule type="duplicateValues" dxfId="128" priority="217"/>
    <cfRule type="duplicateValues" dxfId="127" priority="218"/>
  </conditionalFormatting>
  <conditionalFormatting sqref="C9">
    <cfRule type="duplicateValues" dxfId="126" priority="104"/>
    <cfRule type="duplicateValues" dxfId="125" priority="105"/>
    <cfRule type="duplicateValues" dxfId="124" priority="106"/>
    <cfRule type="duplicateValues" dxfId="123" priority="107"/>
    <cfRule type="duplicateValues" dxfId="122" priority="108"/>
    <cfRule type="duplicateValues" dxfId="121" priority="109"/>
    <cfRule type="duplicateValues" dxfId="120" priority="110"/>
    <cfRule type="duplicateValues" dxfId="119" priority="111"/>
    <cfRule type="duplicateValues" dxfId="118" priority="112"/>
    <cfRule type="duplicateValues" dxfId="117" priority="113"/>
    <cfRule type="duplicateValues" dxfId="116" priority="114"/>
    <cfRule type="duplicateValues" dxfId="115" priority="115"/>
    <cfRule type="duplicateValues" dxfId="114" priority="116"/>
    <cfRule type="duplicateValues" dxfId="113" priority="117"/>
    <cfRule type="duplicateValues" dxfId="112" priority="118"/>
    <cfRule type="duplicateValues" dxfId="111" priority="119"/>
    <cfRule type="duplicateValues" dxfId="110" priority="120"/>
    <cfRule type="duplicateValues" dxfId="109" priority="121"/>
  </conditionalFormatting>
  <conditionalFormatting sqref="C9">
    <cfRule type="duplicateValues" dxfId="108" priority="70"/>
    <cfRule type="duplicateValues" dxfId="107" priority="71"/>
    <cfRule type="duplicateValues" dxfId="106" priority="72"/>
    <cfRule type="duplicateValues" dxfId="105" priority="73"/>
    <cfRule type="duplicateValues" dxfId="104" priority="74"/>
    <cfRule type="duplicateValues" dxfId="103" priority="75"/>
    <cfRule type="duplicateValues" dxfId="102" priority="76"/>
    <cfRule type="duplicateValues" dxfId="101" priority="77"/>
    <cfRule type="duplicateValues" dxfId="100" priority="78"/>
    <cfRule type="duplicateValues" dxfId="99" priority="79"/>
    <cfRule type="duplicateValues" dxfId="98" priority="80"/>
    <cfRule type="duplicateValues" dxfId="97" priority="81"/>
    <cfRule type="duplicateValues" dxfId="96" priority="82"/>
    <cfRule type="duplicateValues" dxfId="95" priority="83"/>
    <cfRule type="duplicateValues" dxfId="94" priority="84"/>
    <cfRule type="duplicateValues" dxfId="93" priority="85"/>
    <cfRule type="duplicateValues" dxfId="92" priority="86"/>
    <cfRule type="duplicateValues" dxfId="91" priority="87"/>
    <cfRule type="duplicateValues" dxfId="90" priority="88"/>
    <cfRule type="duplicateValues" dxfId="89" priority="89"/>
    <cfRule type="duplicateValues" dxfId="88" priority="90"/>
    <cfRule type="duplicateValues" dxfId="87" priority="91"/>
    <cfRule type="duplicateValues" dxfId="86" priority="92"/>
    <cfRule type="duplicateValues" dxfId="85" priority="93"/>
    <cfRule type="duplicateValues" dxfId="84" priority="94"/>
    <cfRule type="duplicateValues" dxfId="83" priority="95"/>
    <cfRule type="duplicateValues" dxfId="82" priority="96"/>
    <cfRule type="duplicateValues" dxfId="81" priority="97"/>
    <cfRule type="duplicateValues" dxfId="80" priority="98"/>
    <cfRule type="duplicateValues" dxfId="79" priority="99"/>
    <cfRule type="duplicateValues" dxfId="78" priority="100"/>
    <cfRule type="duplicateValues" dxfId="77" priority="101"/>
    <cfRule type="duplicateValues" dxfId="76" priority="102"/>
    <cfRule type="duplicateValues" dxfId="75" priority="103"/>
  </conditionalFormatting>
  <conditionalFormatting sqref="C9">
    <cfRule type="duplicateValues" dxfId="74" priority="69"/>
  </conditionalFormatting>
  <conditionalFormatting sqref="C9">
    <cfRule type="duplicateValues" dxfId="73" priority="35"/>
    <cfRule type="duplicateValues" dxfId="72" priority="36"/>
    <cfRule type="duplicateValues" dxfId="71" priority="37"/>
    <cfRule type="duplicateValues" dxfId="70" priority="38"/>
    <cfRule type="duplicateValues" dxfId="69" priority="39"/>
    <cfRule type="duplicateValues" dxfId="68" priority="40"/>
    <cfRule type="duplicateValues" dxfId="67" priority="41"/>
    <cfRule type="duplicateValues" dxfId="66" priority="42"/>
    <cfRule type="duplicateValues" dxfId="65" priority="43"/>
    <cfRule type="duplicateValues" dxfId="64" priority="44"/>
    <cfRule type="duplicateValues" dxfId="63" priority="45"/>
    <cfRule type="duplicateValues" dxfId="62" priority="46"/>
    <cfRule type="duplicateValues" dxfId="61" priority="47"/>
    <cfRule type="duplicateValues" dxfId="60" priority="48"/>
    <cfRule type="duplicateValues" dxfId="59" priority="49"/>
    <cfRule type="duplicateValues" dxfId="58" priority="50"/>
    <cfRule type="duplicateValues" dxfId="57" priority="51"/>
    <cfRule type="duplicateValues" dxfId="56" priority="52"/>
    <cfRule type="duplicateValues" dxfId="55" priority="53"/>
    <cfRule type="duplicateValues" dxfId="54" priority="54"/>
    <cfRule type="duplicateValues" dxfId="53" priority="55"/>
    <cfRule type="duplicateValues" dxfId="52" priority="56"/>
    <cfRule type="duplicateValues" dxfId="51" priority="57"/>
    <cfRule type="duplicateValues" dxfId="50" priority="58"/>
    <cfRule type="duplicateValues" dxfId="49" priority="59"/>
    <cfRule type="duplicateValues" dxfId="48" priority="60"/>
    <cfRule type="duplicateValues" dxfId="47" priority="61"/>
    <cfRule type="duplicateValues" dxfId="46" priority="62"/>
    <cfRule type="duplicateValues" dxfId="45" priority="63"/>
    <cfRule type="duplicateValues" dxfId="44" priority="64"/>
    <cfRule type="duplicateValues" dxfId="43" priority="65"/>
    <cfRule type="duplicateValues" dxfId="42" priority="66"/>
    <cfRule type="duplicateValues" dxfId="41" priority="67"/>
    <cfRule type="duplicateValues" dxfId="40" priority="68"/>
  </conditionalFormatting>
  <conditionalFormatting sqref="C10">
    <cfRule type="duplicateValues" dxfId="39" priority="17"/>
    <cfRule type="duplicateValues" dxfId="38" priority="18"/>
    <cfRule type="duplicateValues" dxfId="37" priority="19"/>
    <cfRule type="duplicateValues" dxfId="36" priority="20"/>
    <cfRule type="duplicateValues" dxfId="35" priority="21"/>
    <cfRule type="duplicateValues" dxfId="34" priority="22"/>
    <cfRule type="duplicateValues" dxfId="33" priority="23"/>
    <cfRule type="duplicateValues" dxfId="32" priority="24"/>
    <cfRule type="duplicateValues" dxfId="31" priority="25"/>
    <cfRule type="duplicateValues" dxfId="30" priority="26"/>
    <cfRule type="duplicateValues" dxfId="29" priority="27"/>
    <cfRule type="duplicateValues" dxfId="28" priority="28"/>
    <cfRule type="duplicateValues" dxfId="27" priority="29"/>
    <cfRule type="duplicateValues" dxfId="26" priority="30"/>
    <cfRule type="duplicateValues" dxfId="25" priority="31"/>
    <cfRule type="duplicateValues" dxfId="24" priority="32"/>
    <cfRule type="duplicateValues" dxfId="23" priority="33"/>
    <cfRule type="duplicateValues" dxfId="22" priority="34"/>
  </conditionalFormatting>
  <conditionalFormatting sqref="C5:C8"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</conditionalFormatting>
  <conditionalFormatting sqref="I5:J10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/>
    <cfRule type="duplicateValues" dxfId="6" priority="8"/>
  </conditionalFormatting>
  <pageMargins left="0.7" right="0.7" top="0.75" bottom="0.75" header="0.3" footer="0.3"/>
  <pageSetup scale="83" fitToHeight="0" orientation="landscape" r:id="rId1"/>
  <ignoredErrors>
    <ignoredError sqref="J7:J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7284-740E-416E-8C1C-684F5548836F}">
  <dimension ref="B1:H121"/>
  <sheetViews>
    <sheetView tabSelected="1" topLeftCell="A111" zoomScaleNormal="100" workbookViewId="0">
      <selection activeCell="F115" sqref="F115"/>
    </sheetView>
  </sheetViews>
  <sheetFormatPr defaultRowHeight="15" x14ac:dyDescent="0.25"/>
  <cols>
    <col min="2" max="2" width="5.42578125" customWidth="1"/>
    <col min="3" max="3" width="11.85546875" customWidth="1"/>
    <col min="4" max="4" width="25" customWidth="1"/>
    <col min="5" max="5" width="11.42578125" bestFit="1" customWidth="1"/>
    <col min="6" max="6" width="22.28515625" customWidth="1"/>
    <col min="8" max="8" width="16.140625" customWidth="1"/>
  </cols>
  <sheetData>
    <row r="1" spans="2:8" x14ac:dyDescent="0.25">
      <c r="B1" s="4" t="s">
        <v>251</v>
      </c>
    </row>
    <row r="4" spans="2:8" x14ac:dyDescent="0.25">
      <c r="B4" s="10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4</v>
      </c>
      <c r="H4" s="11" t="s">
        <v>2</v>
      </c>
    </row>
    <row r="5" spans="2:8" ht="15.75" x14ac:dyDescent="0.25">
      <c r="B5" s="9">
        <v>1</v>
      </c>
      <c r="C5" s="9" t="s">
        <v>191</v>
      </c>
      <c r="D5" s="9" t="s">
        <v>195</v>
      </c>
      <c r="E5" s="14" t="s">
        <v>30</v>
      </c>
      <c r="F5" s="14" t="s">
        <v>19</v>
      </c>
      <c r="G5" s="22">
        <v>7</v>
      </c>
      <c r="H5" s="12" t="s">
        <v>31</v>
      </c>
    </row>
    <row r="6" spans="2:8" ht="15.75" x14ac:dyDescent="0.25">
      <c r="B6" s="13">
        <v>2</v>
      </c>
      <c r="C6" s="9" t="s">
        <v>192</v>
      </c>
      <c r="D6" s="9" t="s">
        <v>196</v>
      </c>
      <c r="E6" s="14" t="s">
        <v>30</v>
      </c>
      <c r="F6" s="14" t="s">
        <v>19</v>
      </c>
      <c r="G6" s="22">
        <v>7</v>
      </c>
      <c r="H6" s="12" t="s">
        <v>31</v>
      </c>
    </row>
    <row r="7" spans="2:8" ht="15.75" x14ac:dyDescent="0.25">
      <c r="B7" s="9">
        <v>3</v>
      </c>
      <c r="C7" s="9" t="s">
        <v>193</v>
      </c>
      <c r="D7" s="9" t="s">
        <v>197</v>
      </c>
      <c r="E7" s="14" t="s">
        <v>30</v>
      </c>
      <c r="F7" s="14" t="s">
        <v>19</v>
      </c>
      <c r="G7" s="22">
        <v>7</v>
      </c>
      <c r="H7" s="12" t="s">
        <v>31</v>
      </c>
    </row>
    <row r="8" spans="2:8" ht="15.75" x14ac:dyDescent="0.25">
      <c r="B8" s="13">
        <v>4</v>
      </c>
      <c r="C8" s="9" t="s">
        <v>208</v>
      </c>
      <c r="D8" s="9" t="s">
        <v>213</v>
      </c>
      <c r="E8" s="14" t="s">
        <v>30</v>
      </c>
      <c r="F8" s="14" t="s">
        <v>19</v>
      </c>
      <c r="G8" s="22">
        <v>3</v>
      </c>
      <c r="H8" s="12" t="s">
        <v>31</v>
      </c>
    </row>
    <row r="9" spans="2:8" ht="15.75" x14ac:dyDescent="0.25">
      <c r="B9" s="9">
        <v>5</v>
      </c>
      <c r="C9" s="9" t="s">
        <v>209</v>
      </c>
      <c r="D9" s="9" t="s">
        <v>214</v>
      </c>
      <c r="E9" s="14" t="s">
        <v>30</v>
      </c>
      <c r="F9" s="14" t="s">
        <v>19</v>
      </c>
      <c r="G9" s="22">
        <v>3</v>
      </c>
      <c r="H9" s="12" t="s">
        <v>31</v>
      </c>
    </row>
    <row r="10" spans="2:8" ht="15.75" x14ac:dyDescent="0.25">
      <c r="B10" s="13">
        <v>6</v>
      </c>
      <c r="C10" s="9" t="s">
        <v>210</v>
      </c>
      <c r="D10" s="9" t="s">
        <v>215</v>
      </c>
      <c r="E10" s="14" t="s">
        <v>30</v>
      </c>
      <c r="F10" s="14" t="s">
        <v>19</v>
      </c>
      <c r="G10" s="22">
        <v>3</v>
      </c>
      <c r="H10" s="12" t="s">
        <v>31</v>
      </c>
    </row>
    <row r="11" spans="2:8" ht="15.75" x14ac:dyDescent="0.25">
      <c r="B11" s="9">
        <v>7</v>
      </c>
      <c r="C11" s="9" t="s">
        <v>211</v>
      </c>
      <c r="D11" s="9" t="s">
        <v>216</v>
      </c>
      <c r="E11" s="14" t="s">
        <v>30</v>
      </c>
      <c r="F11" s="14" t="s">
        <v>19</v>
      </c>
      <c r="G11" s="22">
        <v>3</v>
      </c>
      <c r="H11" s="12" t="s">
        <v>31</v>
      </c>
    </row>
    <row r="12" spans="2:8" ht="15.75" x14ac:dyDescent="0.25">
      <c r="B12" s="13">
        <v>8</v>
      </c>
      <c r="C12" s="9" t="s">
        <v>212</v>
      </c>
      <c r="D12" s="9" t="s">
        <v>217</v>
      </c>
      <c r="E12" s="14" t="s">
        <v>30</v>
      </c>
      <c r="F12" s="14" t="s">
        <v>19</v>
      </c>
      <c r="G12" s="22">
        <v>3</v>
      </c>
      <c r="H12" s="12" t="s">
        <v>31</v>
      </c>
    </row>
    <row r="13" spans="2:8" ht="15.75" x14ac:dyDescent="0.25">
      <c r="B13" s="9">
        <v>9</v>
      </c>
      <c r="C13" s="12" t="s">
        <v>190</v>
      </c>
      <c r="D13" s="9" t="s">
        <v>194</v>
      </c>
      <c r="E13" s="14" t="s">
        <v>30</v>
      </c>
      <c r="F13" s="14" t="s">
        <v>19</v>
      </c>
      <c r="G13" s="22">
        <v>7</v>
      </c>
      <c r="H13" s="12" t="s">
        <v>31</v>
      </c>
    </row>
    <row r="15" spans="2:8" x14ac:dyDescent="0.25">
      <c r="B15" s="10" t="s">
        <v>14</v>
      </c>
      <c r="C15" s="11" t="s">
        <v>15</v>
      </c>
      <c r="D15" s="11" t="s">
        <v>16</v>
      </c>
      <c r="E15" s="11" t="s">
        <v>17</v>
      </c>
      <c r="F15" s="11" t="s">
        <v>18</v>
      </c>
      <c r="G15" s="11" t="s">
        <v>4</v>
      </c>
      <c r="H15" s="11" t="s">
        <v>2</v>
      </c>
    </row>
    <row r="16" spans="2:8" x14ac:dyDescent="0.25">
      <c r="B16" s="13">
        <v>1</v>
      </c>
      <c r="C16" s="14" t="s">
        <v>54</v>
      </c>
      <c r="D16" s="14" t="s">
        <v>60</v>
      </c>
      <c r="E16" s="13" t="s">
        <v>20</v>
      </c>
      <c r="F16" s="14" t="s">
        <v>19</v>
      </c>
      <c r="G16" s="21">
        <v>15</v>
      </c>
      <c r="H16" s="12" t="s">
        <v>12</v>
      </c>
    </row>
    <row r="17" spans="2:8" ht="14.25" customHeight="1" x14ac:dyDescent="0.25">
      <c r="B17" s="13">
        <v>2</v>
      </c>
      <c r="C17" s="14" t="s">
        <v>62</v>
      </c>
      <c r="D17" s="14" t="s">
        <v>83</v>
      </c>
      <c r="E17" s="13" t="s">
        <v>20</v>
      </c>
      <c r="F17" s="14" t="s">
        <v>19</v>
      </c>
      <c r="G17" s="21">
        <v>13</v>
      </c>
      <c r="H17" s="12" t="s">
        <v>12</v>
      </c>
    </row>
    <row r="18" spans="2:8" ht="14.25" customHeight="1" x14ac:dyDescent="0.25">
      <c r="B18" s="13">
        <v>3</v>
      </c>
      <c r="C18" s="14" t="s">
        <v>63</v>
      </c>
      <c r="D18" s="14" t="s">
        <v>84</v>
      </c>
      <c r="E18" s="13" t="s">
        <v>20</v>
      </c>
      <c r="F18" s="14" t="s">
        <v>19</v>
      </c>
      <c r="G18" s="21">
        <v>13</v>
      </c>
      <c r="H18" s="12" t="s">
        <v>12</v>
      </c>
    </row>
    <row r="19" spans="2:8" ht="14.25" customHeight="1" x14ac:dyDescent="0.25">
      <c r="B19" s="13">
        <v>4</v>
      </c>
      <c r="C19" s="14" t="s">
        <v>65</v>
      </c>
      <c r="D19" s="14" t="s">
        <v>86</v>
      </c>
      <c r="E19" s="13" t="s">
        <v>20</v>
      </c>
      <c r="F19" s="14" t="s">
        <v>19</v>
      </c>
      <c r="G19" s="21">
        <v>13</v>
      </c>
      <c r="H19" s="12" t="s">
        <v>12</v>
      </c>
    </row>
    <row r="20" spans="2:8" ht="14.25" customHeight="1" x14ac:dyDescent="0.25">
      <c r="B20" s="13">
        <v>5</v>
      </c>
      <c r="C20" s="14" t="s">
        <v>68</v>
      </c>
      <c r="D20" s="14" t="s">
        <v>89</v>
      </c>
      <c r="E20" s="13" t="s">
        <v>20</v>
      </c>
      <c r="F20" s="14" t="s">
        <v>19</v>
      </c>
      <c r="G20" s="21">
        <v>13</v>
      </c>
      <c r="H20" s="12" t="s">
        <v>12</v>
      </c>
    </row>
    <row r="21" spans="2:8" ht="14.25" customHeight="1" x14ac:dyDescent="0.25">
      <c r="B21" s="13">
        <v>6</v>
      </c>
      <c r="C21" s="14" t="s">
        <v>66</v>
      </c>
      <c r="D21" s="14" t="s">
        <v>87</v>
      </c>
      <c r="E21" s="13" t="s">
        <v>20</v>
      </c>
      <c r="F21" s="14" t="s">
        <v>19</v>
      </c>
      <c r="G21" s="21">
        <v>13</v>
      </c>
      <c r="H21" s="12" t="s">
        <v>12</v>
      </c>
    </row>
    <row r="22" spans="2:8" ht="14.25" customHeight="1" x14ac:dyDescent="0.25">
      <c r="B22" s="13">
        <v>7</v>
      </c>
      <c r="C22" s="14" t="s">
        <v>67</v>
      </c>
      <c r="D22" s="14" t="s">
        <v>88</v>
      </c>
      <c r="E22" s="13" t="s">
        <v>20</v>
      </c>
      <c r="F22" s="14" t="s">
        <v>19</v>
      </c>
      <c r="G22" s="21">
        <v>13</v>
      </c>
      <c r="H22" s="12" t="s">
        <v>12</v>
      </c>
    </row>
    <row r="23" spans="2:8" ht="14.25" customHeight="1" x14ac:dyDescent="0.25">
      <c r="B23" s="13">
        <v>8</v>
      </c>
      <c r="C23" s="14" t="s">
        <v>55</v>
      </c>
      <c r="D23" s="14" t="s">
        <v>61</v>
      </c>
      <c r="E23" s="13" t="s">
        <v>20</v>
      </c>
      <c r="F23" s="14" t="s">
        <v>19</v>
      </c>
      <c r="G23" s="21">
        <v>13</v>
      </c>
      <c r="H23" s="12" t="s">
        <v>12</v>
      </c>
    </row>
    <row r="24" spans="2:8" ht="14.25" customHeight="1" x14ac:dyDescent="0.25">
      <c r="B24" s="13">
        <v>9</v>
      </c>
      <c r="C24" s="14" t="s">
        <v>64</v>
      </c>
      <c r="D24" s="14" t="s">
        <v>85</v>
      </c>
      <c r="E24" s="13" t="s">
        <v>20</v>
      </c>
      <c r="F24" s="14" t="s">
        <v>19</v>
      </c>
      <c r="G24" s="21">
        <v>13</v>
      </c>
      <c r="H24" s="12" t="s">
        <v>12</v>
      </c>
    </row>
    <row r="25" spans="2:8" ht="15" customHeight="1" x14ac:dyDescent="0.25">
      <c r="B25" s="13">
        <v>10</v>
      </c>
      <c r="C25" s="14" t="s">
        <v>82</v>
      </c>
      <c r="D25" s="14" t="s">
        <v>103</v>
      </c>
      <c r="E25" s="13" t="s">
        <v>20</v>
      </c>
      <c r="F25" s="14" t="s">
        <v>19</v>
      </c>
      <c r="G25" s="21">
        <v>13</v>
      </c>
      <c r="H25" s="12" t="s">
        <v>12</v>
      </c>
    </row>
    <row r="26" spans="2:8" ht="15" customHeight="1" x14ac:dyDescent="0.25">
      <c r="B26" s="13">
        <v>11</v>
      </c>
      <c r="C26" s="34" t="s">
        <v>172</v>
      </c>
      <c r="D26" s="14" t="s">
        <v>173</v>
      </c>
      <c r="E26" s="13" t="s">
        <v>20</v>
      </c>
      <c r="F26" s="14" t="s">
        <v>19</v>
      </c>
      <c r="G26" s="21">
        <v>7</v>
      </c>
      <c r="H26" s="12" t="s">
        <v>12</v>
      </c>
    </row>
    <row r="27" spans="2:8" ht="15" customHeight="1" x14ac:dyDescent="0.25">
      <c r="B27" s="13">
        <v>12</v>
      </c>
      <c r="C27" s="14" t="s">
        <v>136</v>
      </c>
      <c r="D27" s="14" t="s">
        <v>147</v>
      </c>
      <c r="E27" s="13" t="s">
        <v>20</v>
      </c>
      <c r="F27" s="14" t="s">
        <v>21</v>
      </c>
      <c r="G27" s="21">
        <v>8</v>
      </c>
      <c r="H27" s="12" t="s">
        <v>12</v>
      </c>
    </row>
    <row r="28" spans="2:8" ht="15" customHeight="1" x14ac:dyDescent="0.25">
      <c r="B28" s="13">
        <v>13</v>
      </c>
      <c r="C28" s="14" t="s">
        <v>164</v>
      </c>
      <c r="D28" s="14" t="s">
        <v>171</v>
      </c>
      <c r="E28" s="13" t="s">
        <v>20</v>
      </c>
      <c r="F28" s="14" t="s">
        <v>21</v>
      </c>
      <c r="G28" s="21">
        <v>7</v>
      </c>
      <c r="H28" s="12" t="s">
        <v>12</v>
      </c>
    </row>
    <row r="29" spans="2:8" ht="15" customHeight="1" x14ac:dyDescent="0.25">
      <c r="B29" s="13">
        <v>14</v>
      </c>
      <c r="C29" s="27" t="s">
        <v>218</v>
      </c>
      <c r="D29" s="14" t="s">
        <v>223</v>
      </c>
      <c r="E29" s="13" t="s">
        <v>20</v>
      </c>
      <c r="F29" s="14" t="s">
        <v>21</v>
      </c>
      <c r="G29" s="21">
        <v>3</v>
      </c>
      <c r="H29" s="12" t="s">
        <v>12</v>
      </c>
    </row>
    <row r="30" spans="2:8" ht="15" customHeight="1" x14ac:dyDescent="0.25">
      <c r="B30" s="13">
        <v>15</v>
      </c>
      <c r="C30" s="27" t="s">
        <v>219</v>
      </c>
      <c r="D30" s="14" t="s">
        <v>224</v>
      </c>
      <c r="E30" s="13" t="s">
        <v>20</v>
      </c>
      <c r="F30" s="14" t="s">
        <v>21</v>
      </c>
      <c r="G30" s="21">
        <v>3</v>
      </c>
      <c r="H30" s="12" t="s">
        <v>12</v>
      </c>
    </row>
    <row r="31" spans="2:8" ht="15" customHeight="1" x14ac:dyDescent="0.25">
      <c r="B31" s="13">
        <v>16</v>
      </c>
      <c r="C31" s="45" t="s">
        <v>220</v>
      </c>
      <c r="D31" s="14" t="s">
        <v>225</v>
      </c>
      <c r="E31" s="13" t="s">
        <v>20</v>
      </c>
      <c r="F31" s="14" t="s">
        <v>21</v>
      </c>
      <c r="G31" s="21">
        <v>3</v>
      </c>
      <c r="H31" s="12" t="s">
        <v>12</v>
      </c>
    </row>
    <row r="32" spans="2:8" ht="15" customHeight="1" x14ac:dyDescent="0.25">
      <c r="B32" s="13">
        <v>17</v>
      </c>
      <c r="C32" s="18" t="s">
        <v>221</v>
      </c>
      <c r="D32" s="14" t="s">
        <v>226</v>
      </c>
      <c r="E32" s="13" t="s">
        <v>20</v>
      </c>
      <c r="F32" s="14" t="s">
        <v>21</v>
      </c>
      <c r="G32" s="21">
        <v>3</v>
      </c>
      <c r="H32" s="12" t="s">
        <v>12</v>
      </c>
    </row>
    <row r="33" spans="2:8" ht="15" customHeight="1" x14ac:dyDescent="0.25">
      <c r="B33" s="13">
        <v>18</v>
      </c>
      <c r="C33" s="13" t="s">
        <v>222</v>
      </c>
      <c r="D33" s="14" t="s">
        <v>227</v>
      </c>
      <c r="E33" s="13" t="s">
        <v>20</v>
      </c>
      <c r="F33" s="14" t="s">
        <v>21</v>
      </c>
      <c r="G33" s="21">
        <v>3</v>
      </c>
      <c r="H33" s="12" t="s">
        <v>12</v>
      </c>
    </row>
    <row r="34" spans="2:8" ht="15" customHeight="1" x14ac:dyDescent="0.25">
      <c r="B34" s="13">
        <v>19</v>
      </c>
      <c r="C34" s="26" t="s">
        <v>267</v>
      </c>
      <c r="D34" s="26" t="s">
        <v>269</v>
      </c>
      <c r="E34" s="13" t="s">
        <v>20</v>
      </c>
      <c r="F34" s="14" t="s">
        <v>21</v>
      </c>
      <c r="G34" s="21">
        <v>1</v>
      </c>
      <c r="H34" s="12" t="s">
        <v>12</v>
      </c>
    </row>
    <row r="35" spans="2:8" ht="15" customHeight="1" x14ac:dyDescent="0.25">
      <c r="B35" s="13">
        <v>20</v>
      </c>
      <c r="C35" s="42" t="s">
        <v>268</v>
      </c>
      <c r="D35" s="27" t="s">
        <v>270</v>
      </c>
      <c r="E35" s="13" t="s">
        <v>20</v>
      </c>
      <c r="F35" s="14" t="s">
        <v>21</v>
      </c>
      <c r="G35" s="21">
        <v>1</v>
      </c>
      <c r="H35" s="12" t="s">
        <v>12</v>
      </c>
    </row>
    <row r="36" spans="2:8" ht="15" customHeight="1" x14ac:dyDescent="0.25">
      <c r="B36" s="13">
        <v>21</v>
      </c>
      <c r="C36" s="14" t="s">
        <v>158</v>
      </c>
      <c r="D36" s="14" t="s">
        <v>165</v>
      </c>
      <c r="E36" s="13" t="s">
        <v>20</v>
      </c>
      <c r="F36" s="44" t="s">
        <v>198</v>
      </c>
      <c r="G36" s="21">
        <v>7</v>
      </c>
      <c r="H36" s="12" t="s">
        <v>12</v>
      </c>
    </row>
    <row r="37" spans="2:8" ht="15" customHeight="1" x14ac:dyDescent="0.25">
      <c r="B37" s="13"/>
      <c r="C37" s="13"/>
      <c r="D37" s="14"/>
      <c r="E37" s="13"/>
      <c r="F37" s="14"/>
      <c r="G37" s="21"/>
      <c r="H37" s="12"/>
    </row>
    <row r="38" spans="2:8" ht="15" customHeight="1" x14ac:dyDescent="0.25">
      <c r="B38" s="10" t="s">
        <v>14</v>
      </c>
      <c r="C38" s="11" t="s">
        <v>15</v>
      </c>
      <c r="D38" s="11" t="s">
        <v>16</v>
      </c>
      <c r="E38" s="11" t="s">
        <v>17</v>
      </c>
      <c r="F38" s="11" t="s">
        <v>18</v>
      </c>
      <c r="G38" s="11" t="s">
        <v>4</v>
      </c>
      <c r="H38" s="11" t="s">
        <v>2</v>
      </c>
    </row>
    <row r="39" spans="2:8" ht="15" customHeight="1" x14ac:dyDescent="0.25">
      <c r="B39" s="13">
        <v>1</v>
      </c>
      <c r="C39" s="14" t="s">
        <v>125</v>
      </c>
      <c r="D39" s="14" t="s">
        <v>137</v>
      </c>
      <c r="E39" s="13" t="s">
        <v>199</v>
      </c>
      <c r="F39" s="14" t="s">
        <v>19</v>
      </c>
      <c r="G39" s="21">
        <v>4</v>
      </c>
      <c r="H39" s="12" t="s">
        <v>12</v>
      </c>
    </row>
    <row r="40" spans="2:8" ht="15" customHeight="1" x14ac:dyDescent="0.25">
      <c r="B40" s="13">
        <v>2</v>
      </c>
      <c r="C40" s="14" t="s">
        <v>126</v>
      </c>
      <c r="D40" s="14" t="s">
        <v>138</v>
      </c>
      <c r="E40" s="13" t="s">
        <v>199</v>
      </c>
      <c r="F40" s="14" t="s">
        <v>19</v>
      </c>
      <c r="G40" s="21">
        <v>4</v>
      </c>
      <c r="H40" s="12" t="s">
        <v>12</v>
      </c>
    </row>
    <row r="41" spans="2:8" ht="15" customHeight="1" x14ac:dyDescent="0.25">
      <c r="B41" s="13">
        <v>3</v>
      </c>
      <c r="C41" s="14" t="s">
        <v>127</v>
      </c>
      <c r="D41" s="14" t="s">
        <v>139</v>
      </c>
      <c r="E41" s="13" t="s">
        <v>199</v>
      </c>
      <c r="F41" s="14" t="s">
        <v>19</v>
      </c>
      <c r="G41" s="21">
        <v>4</v>
      </c>
      <c r="H41" s="12" t="s">
        <v>12</v>
      </c>
    </row>
    <row r="42" spans="2:8" ht="15" customHeight="1" x14ac:dyDescent="0.25">
      <c r="B42" s="13">
        <v>4</v>
      </c>
      <c r="C42" s="14" t="s">
        <v>129</v>
      </c>
      <c r="D42" s="14" t="s">
        <v>141</v>
      </c>
      <c r="E42" s="13" t="s">
        <v>199</v>
      </c>
      <c r="F42" s="14" t="s">
        <v>19</v>
      </c>
      <c r="G42" s="21">
        <v>4</v>
      </c>
      <c r="H42" s="12" t="s">
        <v>12</v>
      </c>
    </row>
    <row r="43" spans="2:8" ht="15" customHeight="1" x14ac:dyDescent="0.25">
      <c r="B43" s="13">
        <v>5</v>
      </c>
      <c r="C43" s="14" t="s">
        <v>130</v>
      </c>
      <c r="D43" s="14" t="s">
        <v>46</v>
      </c>
      <c r="E43" s="13" t="s">
        <v>199</v>
      </c>
      <c r="F43" s="14" t="s">
        <v>19</v>
      </c>
      <c r="G43" s="21">
        <v>4</v>
      </c>
      <c r="H43" s="12" t="s">
        <v>12</v>
      </c>
    </row>
    <row r="44" spans="2:8" ht="15" customHeight="1" x14ac:dyDescent="0.25">
      <c r="B44" s="13">
        <v>6</v>
      </c>
      <c r="C44" s="14" t="s">
        <v>131</v>
      </c>
      <c r="D44" s="14" t="s">
        <v>142</v>
      </c>
      <c r="E44" s="13" t="s">
        <v>199</v>
      </c>
      <c r="F44" s="14" t="s">
        <v>19</v>
      </c>
      <c r="G44" s="21">
        <v>4</v>
      </c>
      <c r="H44" s="12" t="s">
        <v>12</v>
      </c>
    </row>
    <row r="45" spans="2:8" ht="15" customHeight="1" x14ac:dyDescent="0.25">
      <c r="B45" s="13">
        <v>7</v>
      </c>
      <c r="C45" s="14" t="s">
        <v>132</v>
      </c>
      <c r="D45" s="14" t="s">
        <v>143</v>
      </c>
      <c r="E45" s="13" t="s">
        <v>199</v>
      </c>
      <c r="F45" s="14" t="s">
        <v>19</v>
      </c>
      <c r="G45" s="21">
        <v>4</v>
      </c>
      <c r="H45" s="12" t="s">
        <v>12</v>
      </c>
    </row>
    <row r="46" spans="2:8" ht="15" customHeight="1" x14ac:dyDescent="0.25">
      <c r="B46" s="13">
        <v>8</v>
      </c>
      <c r="C46" s="14" t="s">
        <v>133</v>
      </c>
      <c r="D46" s="14" t="s">
        <v>144</v>
      </c>
      <c r="E46" s="13" t="s">
        <v>199</v>
      </c>
      <c r="F46" s="14" t="s">
        <v>19</v>
      </c>
      <c r="G46" s="21">
        <v>4</v>
      </c>
      <c r="H46" s="12" t="s">
        <v>12</v>
      </c>
    </row>
    <row r="47" spans="2:8" ht="15" customHeight="1" x14ac:dyDescent="0.25">
      <c r="B47" s="13">
        <v>9</v>
      </c>
      <c r="C47" s="14" t="s">
        <v>134</v>
      </c>
      <c r="D47" s="14" t="s">
        <v>145</v>
      </c>
      <c r="E47" s="13" t="s">
        <v>199</v>
      </c>
      <c r="F47" s="14" t="s">
        <v>19</v>
      </c>
      <c r="G47" s="21">
        <v>4</v>
      </c>
      <c r="H47" s="12" t="s">
        <v>12</v>
      </c>
    </row>
    <row r="48" spans="2:8" ht="15" customHeight="1" x14ac:dyDescent="0.25">
      <c r="B48" s="13">
        <v>10</v>
      </c>
      <c r="C48" s="14" t="s">
        <v>135</v>
      </c>
      <c r="D48" s="14" t="s">
        <v>146</v>
      </c>
      <c r="E48" s="13" t="s">
        <v>199</v>
      </c>
      <c r="F48" s="14" t="s">
        <v>19</v>
      </c>
      <c r="G48" s="21">
        <v>4</v>
      </c>
      <c r="H48" s="12" t="s">
        <v>12</v>
      </c>
    </row>
    <row r="49" spans="2:8" ht="15" customHeight="1" x14ac:dyDescent="0.25">
      <c r="B49" s="13">
        <v>11</v>
      </c>
      <c r="C49" s="14" t="s">
        <v>159</v>
      </c>
      <c r="D49" s="14" t="s">
        <v>166</v>
      </c>
      <c r="E49" s="13" t="s">
        <v>199</v>
      </c>
      <c r="F49" s="14" t="s">
        <v>19</v>
      </c>
      <c r="G49" s="21">
        <v>4</v>
      </c>
      <c r="H49" s="12" t="s">
        <v>12</v>
      </c>
    </row>
    <row r="50" spans="2:8" ht="15" customHeight="1" x14ac:dyDescent="0.25">
      <c r="B50" s="13">
        <v>12</v>
      </c>
      <c r="C50" s="14" t="s">
        <v>160</v>
      </c>
      <c r="D50" s="14" t="s">
        <v>167</v>
      </c>
      <c r="E50" s="13" t="s">
        <v>199</v>
      </c>
      <c r="F50" s="14" t="s">
        <v>19</v>
      </c>
      <c r="G50" s="21">
        <v>4</v>
      </c>
      <c r="H50" s="12" t="s">
        <v>12</v>
      </c>
    </row>
    <row r="51" spans="2:8" ht="15" customHeight="1" x14ac:dyDescent="0.25">
      <c r="B51" s="13">
        <v>13</v>
      </c>
      <c r="C51" s="14" t="s">
        <v>161</v>
      </c>
      <c r="D51" s="14" t="s">
        <v>168</v>
      </c>
      <c r="E51" s="13" t="s">
        <v>199</v>
      </c>
      <c r="F51" s="14" t="s">
        <v>19</v>
      </c>
      <c r="G51" s="21">
        <v>4</v>
      </c>
      <c r="H51" s="12" t="s">
        <v>12</v>
      </c>
    </row>
    <row r="52" spans="2:8" ht="15" customHeight="1" x14ac:dyDescent="0.25">
      <c r="B52" s="13">
        <v>14</v>
      </c>
      <c r="C52" s="14" t="s">
        <v>162</v>
      </c>
      <c r="D52" s="14" t="s">
        <v>169</v>
      </c>
      <c r="E52" s="13" t="s">
        <v>199</v>
      </c>
      <c r="F52" s="14" t="s">
        <v>19</v>
      </c>
      <c r="G52" s="21">
        <v>4</v>
      </c>
      <c r="H52" s="12" t="s">
        <v>12</v>
      </c>
    </row>
    <row r="53" spans="2:8" ht="15" customHeight="1" x14ac:dyDescent="0.25">
      <c r="B53" s="13">
        <v>15</v>
      </c>
      <c r="C53" s="14" t="s">
        <v>163</v>
      </c>
      <c r="D53" s="14" t="s">
        <v>170</v>
      </c>
      <c r="E53" s="13" t="s">
        <v>199</v>
      </c>
      <c r="F53" s="14" t="s">
        <v>19</v>
      </c>
      <c r="G53" s="21">
        <v>4</v>
      </c>
      <c r="H53" s="12" t="s">
        <v>12</v>
      </c>
    </row>
    <row r="54" spans="2:8" ht="15" customHeight="1" x14ac:dyDescent="0.25">
      <c r="B54" s="13">
        <v>16</v>
      </c>
      <c r="C54" s="14" t="s">
        <v>128</v>
      </c>
      <c r="D54" s="14" t="s">
        <v>140</v>
      </c>
      <c r="E54" s="13" t="s">
        <v>199</v>
      </c>
      <c r="F54" s="14" t="s">
        <v>19</v>
      </c>
      <c r="G54" s="21">
        <v>4</v>
      </c>
      <c r="H54" s="12" t="s">
        <v>12</v>
      </c>
    </row>
    <row r="55" spans="2:8" ht="14.25" customHeight="1" x14ac:dyDescent="0.25">
      <c r="B55" s="13"/>
      <c r="C55" s="14"/>
      <c r="D55" s="14"/>
      <c r="E55" s="13"/>
      <c r="F55" s="14"/>
      <c r="G55" s="21"/>
      <c r="H55" s="12"/>
    </row>
    <row r="56" spans="2:8" ht="14.25" customHeight="1" x14ac:dyDescent="0.25">
      <c r="B56" s="10" t="s">
        <v>14</v>
      </c>
      <c r="C56" s="11" t="s">
        <v>15</v>
      </c>
      <c r="D56" s="11" t="s">
        <v>16</v>
      </c>
      <c r="E56" s="11" t="s">
        <v>17</v>
      </c>
      <c r="F56" s="11" t="s">
        <v>18</v>
      </c>
      <c r="G56" s="11" t="s">
        <v>4</v>
      </c>
      <c r="H56" s="11" t="s">
        <v>2</v>
      </c>
    </row>
    <row r="57" spans="2:8" x14ac:dyDescent="0.25">
      <c r="B57" s="13">
        <v>1</v>
      </c>
      <c r="C57" s="14" t="s">
        <v>53</v>
      </c>
      <c r="D57" s="14" t="s">
        <v>59</v>
      </c>
      <c r="E57" s="13" t="s">
        <v>113</v>
      </c>
      <c r="F57" s="14" t="s">
        <v>19</v>
      </c>
      <c r="G57" s="21">
        <v>8</v>
      </c>
      <c r="H57" s="12" t="s">
        <v>12</v>
      </c>
    </row>
    <row r="58" spans="2:8" x14ac:dyDescent="0.25">
      <c r="B58" s="13">
        <v>2</v>
      </c>
      <c r="C58" s="14" t="s">
        <v>45</v>
      </c>
      <c r="D58" s="14" t="s">
        <v>49</v>
      </c>
      <c r="E58" s="13" t="s">
        <v>113</v>
      </c>
      <c r="F58" s="14" t="s">
        <v>19</v>
      </c>
      <c r="G58" s="21">
        <v>8</v>
      </c>
      <c r="H58" s="12" t="s">
        <v>12</v>
      </c>
    </row>
    <row r="59" spans="2:8" x14ac:dyDescent="0.25">
      <c r="B59" s="13">
        <v>3</v>
      </c>
      <c r="C59" s="14" t="s">
        <v>50</v>
      </c>
      <c r="D59" s="14" t="s">
        <v>56</v>
      </c>
      <c r="E59" s="13" t="s">
        <v>113</v>
      </c>
      <c r="F59" s="14" t="s">
        <v>19</v>
      </c>
      <c r="G59" s="21">
        <v>8</v>
      </c>
      <c r="H59" s="12" t="s">
        <v>12</v>
      </c>
    </row>
    <row r="60" spans="2:8" x14ac:dyDescent="0.25">
      <c r="B60" s="13">
        <v>4</v>
      </c>
      <c r="C60" s="14" t="s">
        <v>52</v>
      </c>
      <c r="D60" s="14" t="s">
        <v>58</v>
      </c>
      <c r="E60" s="13" t="s">
        <v>113</v>
      </c>
      <c r="F60" s="14" t="s">
        <v>19</v>
      </c>
      <c r="G60" s="21">
        <v>8</v>
      </c>
      <c r="H60" s="12" t="s">
        <v>12</v>
      </c>
    </row>
    <row r="61" spans="2:8" ht="14.25" customHeight="1" x14ac:dyDescent="0.25">
      <c r="B61" s="13">
        <v>5</v>
      </c>
      <c r="C61" s="14" t="s">
        <v>69</v>
      </c>
      <c r="D61" s="14" t="s">
        <v>90</v>
      </c>
      <c r="E61" s="13" t="s">
        <v>113</v>
      </c>
      <c r="F61" s="14" t="s">
        <v>19</v>
      </c>
      <c r="G61" s="21">
        <v>8</v>
      </c>
      <c r="H61" s="12" t="s">
        <v>12</v>
      </c>
    </row>
    <row r="62" spans="2:8" ht="14.25" customHeight="1" x14ac:dyDescent="0.25">
      <c r="B62" s="13">
        <v>6</v>
      </c>
      <c r="C62" s="14" t="s">
        <v>70</v>
      </c>
      <c r="D62" s="14" t="s">
        <v>91</v>
      </c>
      <c r="E62" s="13" t="s">
        <v>113</v>
      </c>
      <c r="F62" s="14" t="s">
        <v>19</v>
      </c>
      <c r="G62" s="21">
        <v>8</v>
      </c>
      <c r="H62" s="12" t="s">
        <v>12</v>
      </c>
    </row>
    <row r="63" spans="2:8" ht="14.25" customHeight="1" x14ac:dyDescent="0.25">
      <c r="B63" s="13">
        <v>7</v>
      </c>
      <c r="C63" s="14" t="s">
        <v>71</v>
      </c>
      <c r="D63" s="14" t="s">
        <v>92</v>
      </c>
      <c r="E63" s="13" t="s">
        <v>113</v>
      </c>
      <c r="F63" s="14" t="s">
        <v>19</v>
      </c>
      <c r="G63" s="21">
        <v>8</v>
      </c>
      <c r="H63" s="12" t="s">
        <v>12</v>
      </c>
    </row>
    <row r="64" spans="2:8" ht="14.25" customHeight="1" x14ac:dyDescent="0.25">
      <c r="B64" s="13">
        <v>8</v>
      </c>
      <c r="C64" s="14" t="s">
        <v>72</v>
      </c>
      <c r="D64" s="14" t="s">
        <v>93</v>
      </c>
      <c r="E64" s="13" t="s">
        <v>113</v>
      </c>
      <c r="F64" s="14" t="s">
        <v>19</v>
      </c>
      <c r="G64" s="21">
        <v>8</v>
      </c>
      <c r="H64" s="12" t="s">
        <v>12</v>
      </c>
    </row>
    <row r="65" spans="2:8" ht="14.25" customHeight="1" x14ac:dyDescent="0.25">
      <c r="B65" s="13">
        <v>9</v>
      </c>
      <c r="C65" s="14" t="s">
        <v>73</v>
      </c>
      <c r="D65" s="14" t="s">
        <v>94</v>
      </c>
      <c r="E65" s="13" t="s">
        <v>113</v>
      </c>
      <c r="F65" s="14" t="s">
        <v>19</v>
      </c>
      <c r="G65" s="21">
        <v>8</v>
      </c>
      <c r="H65" s="12" t="s">
        <v>12</v>
      </c>
    </row>
    <row r="66" spans="2:8" ht="14.25" customHeight="1" x14ac:dyDescent="0.25">
      <c r="B66" s="13">
        <v>10</v>
      </c>
      <c r="C66" s="14" t="s">
        <v>76</v>
      </c>
      <c r="D66" s="14" t="s">
        <v>97</v>
      </c>
      <c r="E66" s="13" t="s">
        <v>113</v>
      </c>
      <c r="F66" s="14" t="s">
        <v>19</v>
      </c>
      <c r="G66" s="21">
        <v>8</v>
      </c>
      <c r="H66" s="12" t="s">
        <v>12</v>
      </c>
    </row>
    <row r="67" spans="2:8" ht="14.25" customHeight="1" x14ac:dyDescent="0.25">
      <c r="B67" s="13">
        <v>11</v>
      </c>
      <c r="C67" s="14" t="s">
        <v>77</v>
      </c>
      <c r="D67" s="14" t="s">
        <v>98</v>
      </c>
      <c r="E67" s="13" t="s">
        <v>113</v>
      </c>
      <c r="F67" s="14" t="s">
        <v>19</v>
      </c>
      <c r="G67" s="21">
        <v>8</v>
      </c>
      <c r="H67" s="12" t="s">
        <v>12</v>
      </c>
    </row>
    <row r="68" spans="2:8" ht="14.25" customHeight="1" x14ac:dyDescent="0.25">
      <c r="B68" s="13">
        <v>12</v>
      </c>
      <c r="C68" s="14" t="s">
        <v>78</v>
      </c>
      <c r="D68" s="14" t="s">
        <v>99</v>
      </c>
      <c r="E68" s="13" t="s">
        <v>113</v>
      </c>
      <c r="F68" s="14" t="s">
        <v>19</v>
      </c>
      <c r="G68" s="21">
        <v>8</v>
      </c>
      <c r="H68" s="12" t="s">
        <v>12</v>
      </c>
    </row>
    <row r="69" spans="2:8" ht="14.25" customHeight="1" x14ac:dyDescent="0.25">
      <c r="B69" s="13">
        <v>13</v>
      </c>
      <c r="C69" s="14" t="s">
        <v>79</v>
      </c>
      <c r="D69" s="14" t="s">
        <v>100</v>
      </c>
      <c r="E69" s="13" t="s">
        <v>113</v>
      </c>
      <c r="F69" s="14" t="s">
        <v>19</v>
      </c>
      <c r="G69" s="21">
        <v>8</v>
      </c>
      <c r="H69" s="12" t="s">
        <v>12</v>
      </c>
    </row>
    <row r="70" spans="2:8" ht="14.25" customHeight="1" x14ac:dyDescent="0.25">
      <c r="B70" s="13">
        <v>14</v>
      </c>
      <c r="C70" s="14" t="s">
        <v>80</v>
      </c>
      <c r="D70" s="14" t="s">
        <v>101</v>
      </c>
      <c r="E70" s="13" t="s">
        <v>113</v>
      </c>
      <c r="F70" s="14" t="s">
        <v>19</v>
      </c>
      <c r="G70" s="21">
        <v>8</v>
      </c>
      <c r="H70" s="12" t="s">
        <v>12</v>
      </c>
    </row>
    <row r="71" spans="2:8" x14ac:dyDescent="0.25">
      <c r="B71" s="13">
        <v>15</v>
      </c>
      <c r="C71" s="14" t="s">
        <v>43</v>
      </c>
      <c r="D71" s="14" t="s">
        <v>47</v>
      </c>
      <c r="E71" s="13" t="s">
        <v>113</v>
      </c>
      <c r="F71" s="14" t="s">
        <v>19</v>
      </c>
      <c r="G71" s="21">
        <v>7</v>
      </c>
      <c r="H71" s="12" t="s">
        <v>12</v>
      </c>
    </row>
    <row r="72" spans="2:8" x14ac:dyDescent="0.25">
      <c r="B72" s="13">
        <v>16</v>
      </c>
      <c r="C72" s="14" t="s">
        <v>51</v>
      </c>
      <c r="D72" s="14" t="s">
        <v>57</v>
      </c>
      <c r="E72" s="13" t="s">
        <v>113</v>
      </c>
      <c r="F72" s="14" t="s">
        <v>19</v>
      </c>
      <c r="G72" s="21">
        <v>7</v>
      </c>
      <c r="H72" s="12" t="s">
        <v>12</v>
      </c>
    </row>
    <row r="73" spans="2:8" x14ac:dyDescent="0.25">
      <c r="B73" s="13">
        <v>17</v>
      </c>
      <c r="C73" s="14" t="s">
        <v>44</v>
      </c>
      <c r="D73" s="14" t="s">
        <v>48</v>
      </c>
      <c r="E73" s="13" t="s">
        <v>113</v>
      </c>
      <c r="F73" s="14" t="s">
        <v>19</v>
      </c>
      <c r="G73" s="21">
        <v>7</v>
      </c>
      <c r="H73" s="12" t="s">
        <v>12</v>
      </c>
    </row>
    <row r="74" spans="2:8" ht="14.25" customHeight="1" x14ac:dyDescent="0.25">
      <c r="B74" s="13">
        <v>18</v>
      </c>
      <c r="C74" s="14" t="s">
        <v>74</v>
      </c>
      <c r="D74" s="14" t="s">
        <v>95</v>
      </c>
      <c r="E74" s="13" t="s">
        <v>113</v>
      </c>
      <c r="F74" s="14" t="s">
        <v>19</v>
      </c>
      <c r="G74" s="21">
        <v>7</v>
      </c>
      <c r="H74" s="12" t="s">
        <v>12</v>
      </c>
    </row>
    <row r="75" spans="2:8" ht="14.25" customHeight="1" x14ac:dyDescent="0.25">
      <c r="B75" s="13">
        <v>19</v>
      </c>
      <c r="C75" s="14" t="s">
        <v>75</v>
      </c>
      <c r="D75" s="14" t="s">
        <v>96</v>
      </c>
      <c r="E75" s="13" t="s">
        <v>113</v>
      </c>
      <c r="F75" s="14" t="s">
        <v>19</v>
      </c>
      <c r="G75" s="21">
        <v>7</v>
      </c>
      <c r="H75" s="12" t="s">
        <v>12</v>
      </c>
    </row>
    <row r="76" spans="2:8" ht="14.25" customHeight="1" x14ac:dyDescent="0.25">
      <c r="B76" s="13">
        <v>20</v>
      </c>
      <c r="C76" s="14" t="s">
        <v>81</v>
      </c>
      <c r="D76" s="14" t="s">
        <v>102</v>
      </c>
      <c r="E76" s="13" t="s">
        <v>113</v>
      </c>
      <c r="F76" s="14" t="s">
        <v>19</v>
      </c>
      <c r="G76" s="21">
        <v>7</v>
      </c>
      <c r="H76" s="12" t="s">
        <v>12</v>
      </c>
    </row>
    <row r="77" spans="2:8" ht="14.25" customHeight="1" x14ac:dyDescent="0.25">
      <c r="B77" s="13"/>
      <c r="C77" s="27"/>
      <c r="D77" s="26"/>
      <c r="E77" s="13"/>
      <c r="F77" s="14"/>
      <c r="G77" s="21"/>
      <c r="H77" s="12"/>
    </row>
    <row r="79" spans="2:8" x14ac:dyDescent="0.25">
      <c r="B79" s="10" t="s">
        <v>14</v>
      </c>
      <c r="C79" s="11" t="s">
        <v>15</v>
      </c>
      <c r="D79" s="11" t="s">
        <v>16</v>
      </c>
      <c r="E79" s="11" t="s">
        <v>17</v>
      </c>
      <c r="F79" s="11" t="s">
        <v>18</v>
      </c>
      <c r="G79" s="11" t="s">
        <v>4</v>
      </c>
      <c r="H79" s="11" t="s">
        <v>2</v>
      </c>
    </row>
    <row r="80" spans="2:8" ht="15.75" x14ac:dyDescent="0.25">
      <c r="B80" s="13">
        <v>1</v>
      </c>
      <c r="C80" s="14" t="s">
        <v>33</v>
      </c>
      <c r="D80" s="14" t="s">
        <v>35</v>
      </c>
      <c r="E80" s="13" t="s">
        <v>32</v>
      </c>
      <c r="F80" s="14" t="s">
        <v>19</v>
      </c>
      <c r="G80" s="22">
        <v>23</v>
      </c>
      <c r="H80" s="12" t="s">
        <v>12</v>
      </c>
    </row>
    <row r="81" spans="2:8" ht="15.75" x14ac:dyDescent="0.25">
      <c r="B81" s="13">
        <v>2</v>
      </c>
      <c r="C81" s="14" t="s">
        <v>34</v>
      </c>
      <c r="D81" s="14" t="s">
        <v>36</v>
      </c>
      <c r="E81" s="13" t="s">
        <v>32</v>
      </c>
      <c r="F81" s="14" t="s">
        <v>19</v>
      </c>
      <c r="G81" s="22">
        <v>23</v>
      </c>
      <c r="H81" s="12" t="s">
        <v>12</v>
      </c>
    </row>
    <row r="82" spans="2:8" ht="15.75" x14ac:dyDescent="0.25">
      <c r="B82" s="13">
        <v>3</v>
      </c>
      <c r="C82" s="14" t="s">
        <v>38</v>
      </c>
      <c r="D82" s="14" t="s">
        <v>40</v>
      </c>
      <c r="E82" s="13" t="s">
        <v>32</v>
      </c>
      <c r="F82" s="14" t="s">
        <v>19</v>
      </c>
      <c r="G82" s="22">
        <v>20</v>
      </c>
      <c r="H82" s="12" t="s">
        <v>12</v>
      </c>
    </row>
    <row r="83" spans="2:8" ht="15.75" x14ac:dyDescent="0.25">
      <c r="B83" s="13">
        <v>4</v>
      </c>
      <c r="C83" s="14" t="s">
        <v>39</v>
      </c>
      <c r="D83" s="14" t="s">
        <v>41</v>
      </c>
      <c r="E83" s="13" t="s">
        <v>32</v>
      </c>
      <c r="F83" s="14" t="s">
        <v>19</v>
      </c>
      <c r="G83" s="22">
        <v>20</v>
      </c>
      <c r="H83" s="12" t="s">
        <v>12</v>
      </c>
    </row>
    <row r="84" spans="2:8" ht="15.75" x14ac:dyDescent="0.25">
      <c r="B84" s="13">
        <v>5</v>
      </c>
      <c r="C84" s="14" t="s">
        <v>107</v>
      </c>
      <c r="D84" s="14" t="s">
        <v>110</v>
      </c>
      <c r="E84" s="13" t="s">
        <v>32</v>
      </c>
      <c r="F84" s="14" t="s">
        <v>19</v>
      </c>
      <c r="G84" s="22">
        <v>11</v>
      </c>
      <c r="H84" s="12" t="s">
        <v>12</v>
      </c>
    </row>
    <row r="85" spans="2:8" ht="15.75" x14ac:dyDescent="0.25">
      <c r="B85" s="13">
        <v>6</v>
      </c>
      <c r="C85" s="14" t="s">
        <v>108</v>
      </c>
      <c r="D85" s="14" t="s">
        <v>111</v>
      </c>
      <c r="E85" s="13" t="s">
        <v>32</v>
      </c>
      <c r="F85" s="14" t="s">
        <v>19</v>
      </c>
      <c r="G85" s="22">
        <v>11</v>
      </c>
      <c r="H85" s="12" t="s">
        <v>12</v>
      </c>
    </row>
    <row r="86" spans="2:8" ht="15.75" x14ac:dyDescent="0.25">
      <c r="B86" s="13">
        <v>7</v>
      </c>
      <c r="C86" s="14" t="s">
        <v>109</v>
      </c>
      <c r="D86" s="14" t="s">
        <v>112</v>
      </c>
      <c r="E86" s="13" t="s">
        <v>32</v>
      </c>
      <c r="F86" s="14" t="s">
        <v>19</v>
      </c>
      <c r="G86" s="22">
        <v>11</v>
      </c>
      <c r="H86" s="12" t="s">
        <v>12</v>
      </c>
    </row>
    <row r="87" spans="2:8" ht="15.75" x14ac:dyDescent="0.25">
      <c r="B87" s="13">
        <v>8</v>
      </c>
      <c r="C87" s="14" t="s">
        <v>148</v>
      </c>
      <c r="D87" s="14" t="s">
        <v>153</v>
      </c>
      <c r="E87" s="13" t="s">
        <v>32</v>
      </c>
      <c r="F87" s="14" t="s">
        <v>19</v>
      </c>
      <c r="G87" s="22">
        <v>8</v>
      </c>
      <c r="H87" s="12" t="s">
        <v>12</v>
      </c>
    </row>
    <row r="88" spans="2:8" ht="15.75" x14ac:dyDescent="0.25">
      <c r="B88" s="13">
        <v>9</v>
      </c>
      <c r="C88" s="14" t="s">
        <v>149</v>
      </c>
      <c r="D88" s="14" t="s">
        <v>154</v>
      </c>
      <c r="E88" s="13" t="s">
        <v>32</v>
      </c>
      <c r="F88" s="14" t="s">
        <v>19</v>
      </c>
      <c r="G88" s="22">
        <v>8</v>
      </c>
      <c r="H88" s="12" t="s">
        <v>12</v>
      </c>
    </row>
    <row r="89" spans="2:8" ht="15.75" x14ac:dyDescent="0.25">
      <c r="B89" s="13">
        <v>10</v>
      </c>
      <c r="C89" s="14" t="s">
        <v>184</v>
      </c>
      <c r="D89" s="14" t="s">
        <v>185</v>
      </c>
      <c r="E89" s="13" t="s">
        <v>32</v>
      </c>
      <c r="F89" s="14" t="s">
        <v>19</v>
      </c>
      <c r="G89" s="22">
        <v>8</v>
      </c>
      <c r="H89" s="12" t="s">
        <v>12</v>
      </c>
    </row>
    <row r="90" spans="2:8" ht="15.75" x14ac:dyDescent="0.25">
      <c r="B90" s="13">
        <v>12</v>
      </c>
      <c r="C90" s="14" t="s">
        <v>151</v>
      </c>
      <c r="D90" s="14" t="s">
        <v>156</v>
      </c>
      <c r="E90" s="13" t="s">
        <v>32</v>
      </c>
      <c r="F90" s="14" t="s">
        <v>19</v>
      </c>
      <c r="G90" s="22">
        <v>8</v>
      </c>
      <c r="H90" s="12" t="s">
        <v>12</v>
      </c>
    </row>
    <row r="91" spans="2:8" ht="15.75" x14ac:dyDescent="0.25">
      <c r="B91" s="13">
        <v>11</v>
      </c>
      <c r="C91" s="14" t="s">
        <v>150</v>
      </c>
      <c r="D91" s="14" t="s">
        <v>155</v>
      </c>
      <c r="E91" s="13" t="s">
        <v>32</v>
      </c>
      <c r="F91" s="14" t="s">
        <v>19</v>
      </c>
      <c r="G91" s="22">
        <v>8</v>
      </c>
      <c r="H91" s="12" t="s">
        <v>12</v>
      </c>
    </row>
    <row r="92" spans="2:8" ht="15.75" x14ac:dyDescent="0.25">
      <c r="B92" s="13">
        <v>13</v>
      </c>
      <c r="C92" s="14" t="s">
        <v>152</v>
      </c>
      <c r="D92" s="14" t="s">
        <v>157</v>
      </c>
      <c r="E92" s="13" t="s">
        <v>32</v>
      </c>
      <c r="F92" s="14" t="s">
        <v>19</v>
      </c>
      <c r="G92" s="22">
        <v>8</v>
      </c>
      <c r="H92" s="12" t="s">
        <v>12</v>
      </c>
    </row>
    <row r="93" spans="2:8" ht="15.75" x14ac:dyDescent="0.25">
      <c r="B93" s="13">
        <v>14</v>
      </c>
      <c r="C93" s="14" t="s">
        <v>174</v>
      </c>
      <c r="D93" s="14" t="s">
        <v>179</v>
      </c>
      <c r="E93" s="13" t="s">
        <v>32</v>
      </c>
      <c r="F93" s="14" t="s">
        <v>19</v>
      </c>
      <c r="G93" s="22">
        <v>5</v>
      </c>
      <c r="H93" s="12" t="s">
        <v>12</v>
      </c>
    </row>
    <row r="94" spans="2:8" ht="15.75" x14ac:dyDescent="0.25">
      <c r="B94" s="13">
        <v>15</v>
      </c>
      <c r="C94" s="14" t="s">
        <v>175</v>
      </c>
      <c r="D94" s="14" t="s">
        <v>180</v>
      </c>
      <c r="E94" s="13" t="s">
        <v>32</v>
      </c>
      <c r="F94" s="14" t="s">
        <v>19</v>
      </c>
      <c r="G94" s="22">
        <v>5</v>
      </c>
      <c r="H94" s="12" t="s">
        <v>12</v>
      </c>
    </row>
    <row r="95" spans="2:8" ht="15.75" x14ac:dyDescent="0.25">
      <c r="B95" s="13">
        <v>16</v>
      </c>
      <c r="C95" s="14" t="s">
        <v>176</v>
      </c>
      <c r="D95" s="14" t="s">
        <v>181</v>
      </c>
      <c r="E95" s="13" t="s">
        <v>32</v>
      </c>
      <c r="F95" s="14" t="s">
        <v>19</v>
      </c>
      <c r="G95" s="22">
        <v>5</v>
      </c>
      <c r="H95" s="12" t="s">
        <v>12</v>
      </c>
    </row>
    <row r="96" spans="2:8" ht="15.75" x14ac:dyDescent="0.25">
      <c r="B96" s="13">
        <v>18</v>
      </c>
      <c r="C96" s="14" t="s">
        <v>178</v>
      </c>
      <c r="D96" s="14" t="s">
        <v>183</v>
      </c>
      <c r="E96" s="13" t="s">
        <v>32</v>
      </c>
      <c r="F96" s="14" t="s">
        <v>19</v>
      </c>
      <c r="G96" s="22">
        <v>5</v>
      </c>
      <c r="H96" s="12" t="s">
        <v>12</v>
      </c>
    </row>
    <row r="97" spans="2:8" ht="15.75" x14ac:dyDescent="0.25">
      <c r="B97" s="13">
        <v>17</v>
      </c>
      <c r="C97" s="14" t="s">
        <v>177</v>
      </c>
      <c r="D97" s="14" t="s">
        <v>182</v>
      </c>
      <c r="E97" s="13" t="s">
        <v>32</v>
      </c>
      <c r="F97" s="14" t="s">
        <v>21</v>
      </c>
      <c r="G97" s="22">
        <v>5</v>
      </c>
      <c r="H97" s="12" t="s">
        <v>12</v>
      </c>
    </row>
    <row r="98" spans="2:8" ht="15.75" x14ac:dyDescent="0.25">
      <c r="B98" s="13">
        <v>19</v>
      </c>
      <c r="C98" s="14" t="s">
        <v>228</v>
      </c>
      <c r="D98" s="14" t="s">
        <v>230</v>
      </c>
      <c r="E98" s="13" t="s">
        <v>32</v>
      </c>
      <c r="F98" s="14" t="s">
        <v>21</v>
      </c>
      <c r="G98" s="22">
        <v>3</v>
      </c>
      <c r="H98" s="12" t="s">
        <v>12</v>
      </c>
    </row>
    <row r="99" spans="2:8" ht="15.75" x14ac:dyDescent="0.25">
      <c r="B99" s="13">
        <v>20</v>
      </c>
      <c r="C99" s="14" t="s">
        <v>229</v>
      </c>
      <c r="D99" s="14" t="s">
        <v>231</v>
      </c>
      <c r="E99" s="13" t="s">
        <v>32</v>
      </c>
      <c r="F99" s="14" t="s">
        <v>21</v>
      </c>
      <c r="G99" s="22">
        <v>3</v>
      </c>
      <c r="H99" s="12" t="s">
        <v>12</v>
      </c>
    </row>
    <row r="100" spans="2:8" ht="15.75" x14ac:dyDescent="0.25">
      <c r="B100" s="13">
        <v>21</v>
      </c>
      <c r="C100" s="14" t="s">
        <v>238</v>
      </c>
      <c r="D100" s="14" t="s">
        <v>241</v>
      </c>
      <c r="E100" s="13" t="s">
        <v>32</v>
      </c>
      <c r="F100" s="14" t="s">
        <v>21</v>
      </c>
      <c r="G100" s="22">
        <v>2</v>
      </c>
      <c r="H100" s="12" t="s">
        <v>12</v>
      </c>
    </row>
    <row r="101" spans="2:8" ht="15.75" x14ac:dyDescent="0.25">
      <c r="B101" s="13">
        <v>22</v>
      </c>
      <c r="C101" s="14" t="s">
        <v>239</v>
      </c>
      <c r="D101" s="14" t="s">
        <v>242</v>
      </c>
      <c r="E101" s="13" t="s">
        <v>32</v>
      </c>
      <c r="F101" s="14" t="s">
        <v>21</v>
      </c>
      <c r="G101" s="22">
        <v>2</v>
      </c>
      <c r="H101" s="12" t="s">
        <v>12</v>
      </c>
    </row>
    <row r="102" spans="2:8" ht="15.75" x14ac:dyDescent="0.25">
      <c r="B102" s="13">
        <v>23</v>
      </c>
      <c r="C102" s="14" t="s">
        <v>240</v>
      </c>
      <c r="D102" s="14" t="s">
        <v>243</v>
      </c>
      <c r="E102" s="13" t="s">
        <v>32</v>
      </c>
      <c r="F102" s="14" t="s">
        <v>21</v>
      </c>
      <c r="G102" s="46">
        <v>2</v>
      </c>
      <c r="H102" s="12" t="s">
        <v>12</v>
      </c>
    </row>
    <row r="104" spans="2:8" x14ac:dyDescent="0.25">
      <c r="B104" s="10" t="s">
        <v>14</v>
      </c>
      <c r="C104" s="11" t="s">
        <v>15</v>
      </c>
      <c r="D104" s="11" t="s">
        <v>16</v>
      </c>
      <c r="E104" s="11" t="s">
        <v>17</v>
      </c>
      <c r="F104" s="11" t="s">
        <v>18</v>
      </c>
      <c r="G104" s="11" t="s">
        <v>4</v>
      </c>
      <c r="H104" s="11" t="s">
        <v>2</v>
      </c>
    </row>
    <row r="105" spans="2:8" ht="15.75" x14ac:dyDescent="0.25">
      <c r="B105" s="13">
        <v>1</v>
      </c>
      <c r="C105" s="14" t="s">
        <v>104</v>
      </c>
      <c r="D105" s="14" t="s">
        <v>105</v>
      </c>
      <c r="E105" s="13" t="s">
        <v>106</v>
      </c>
      <c r="F105" s="14" t="s">
        <v>19</v>
      </c>
      <c r="G105" s="22">
        <v>13</v>
      </c>
      <c r="H105" s="12" t="s">
        <v>12</v>
      </c>
    </row>
    <row r="106" spans="2:8" ht="15.75" x14ac:dyDescent="0.25">
      <c r="B106" s="13">
        <v>2</v>
      </c>
      <c r="C106" s="14" t="s">
        <v>114</v>
      </c>
      <c r="D106" s="14" t="s">
        <v>119</v>
      </c>
      <c r="E106" s="13" t="s">
        <v>106</v>
      </c>
      <c r="F106" s="14" t="s">
        <v>19</v>
      </c>
      <c r="G106" s="22">
        <v>9</v>
      </c>
      <c r="H106" s="12" t="s">
        <v>12</v>
      </c>
    </row>
    <row r="107" spans="2:8" ht="15.75" x14ac:dyDescent="0.25">
      <c r="B107" s="13">
        <v>3</v>
      </c>
      <c r="C107" s="14" t="s">
        <v>115</v>
      </c>
      <c r="D107" s="14" t="s">
        <v>120</v>
      </c>
      <c r="E107" s="13" t="s">
        <v>106</v>
      </c>
      <c r="F107" s="14" t="s">
        <v>19</v>
      </c>
      <c r="G107" s="22">
        <v>9</v>
      </c>
      <c r="H107" s="12" t="s">
        <v>12</v>
      </c>
    </row>
    <row r="108" spans="2:8" ht="15.75" x14ac:dyDescent="0.25">
      <c r="B108" s="13">
        <v>4</v>
      </c>
      <c r="C108" s="14" t="s">
        <v>116</v>
      </c>
      <c r="D108" s="14" t="s">
        <v>121</v>
      </c>
      <c r="E108" s="13" t="s">
        <v>106</v>
      </c>
      <c r="F108" s="14" t="s">
        <v>19</v>
      </c>
      <c r="G108" s="22">
        <v>9</v>
      </c>
      <c r="H108" s="12" t="s">
        <v>12</v>
      </c>
    </row>
    <row r="109" spans="2:8" ht="15.75" x14ac:dyDescent="0.25">
      <c r="B109" s="13">
        <v>5</v>
      </c>
      <c r="C109" s="14" t="s">
        <v>117</v>
      </c>
      <c r="D109" s="14" t="s">
        <v>122</v>
      </c>
      <c r="E109" s="13" t="s">
        <v>106</v>
      </c>
      <c r="F109" s="14" t="s">
        <v>19</v>
      </c>
      <c r="G109" s="22">
        <v>9</v>
      </c>
      <c r="H109" s="12" t="s">
        <v>12</v>
      </c>
    </row>
    <row r="110" spans="2:8" ht="15.75" x14ac:dyDescent="0.25">
      <c r="B110" s="13">
        <v>6</v>
      </c>
      <c r="C110" s="14" t="s">
        <v>118</v>
      </c>
      <c r="D110" s="14" t="s">
        <v>123</v>
      </c>
      <c r="E110" s="13" t="s">
        <v>106</v>
      </c>
      <c r="F110" s="14" t="s">
        <v>19</v>
      </c>
      <c r="G110" s="22">
        <v>9</v>
      </c>
      <c r="H110" s="12" t="s">
        <v>12</v>
      </c>
    </row>
    <row r="111" spans="2:8" ht="15.75" x14ac:dyDescent="0.25">
      <c r="B111" s="13">
        <v>7</v>
      </c>
      <c r="C111" s="14" t="s">
        <v>186</v>
      </c>
      <c r="D111" s="14" t="s">
        <v>188</v>
      </c>
      <c r="E111" s="13" t="s">
        <v>106</v>
      </c>
      <c r="F111" s="14" t="s">
        <v>19</v>
      </c>
      <c r="G111" s="22">
        <v>6</v>
      </c>
      <c r="H111" s="12" t="s">
        <v>12</v>
      </c>
    </row>
    <row r="112" spans="2:8" ht="15.75" x14ac:dyDescent="0.25">
      <c r="B112" s="13">
        <v>8</v>
      </c>
      <c r="C112" s="14" t="s">
        <v>187</v>
      </c>
      <c r="D112" s="14" t="s">
        <v>189</v>
      </c>
      <c r="E112" s="13" t="s">
        <v>106</v>
      </c>
      <c r="F112" s="14" t="s">
        <v>19</v>
      </c>
      <c r="G112" s="22">
        <v>5</v>
      </c>
      <c r="H112" s="12" t="s">
        <v>12</v>
      </c>
    </row>
    <row r="113" spans="2:8" ht="15.75" x14ac:dyDescent="0.25">
      <c r="B113" s="13">
        <v>9</v>
      </c>
      <c r="C113" s="14" t="s">
        <v>200</v>
      </c>
      <c r="D113" s="14" t="s">
        <v>203</v>
      </c>
      <c r="E113" s="13" t="s">
        <v>106</v>
      </c>
      <c r="F113" s="14" t="s">
        <v>19</v>
      </c>
      <c r="G113" s="22">
        <v>4</v>
      </c>
      <c r="H113" s="12" t="s">
        <v>12</v>
      </c>
    </row>
    <row r="114" spans="2:8" ht="15.75" x14ac:dyDescent="0.25">
      <c r="B114" s="13">
        <v>10</v>
      </c>
      <c r="C114" s="14" t="s">
        <v>201</v>
      </c>
      <c r="D114" s="14" t="s">
        <v>204</v>
      </c>
      <c r="E114" s="13" t="s">
        <v>106</v>
      </c>
      <c r="F114" s="14" t="s">
        <v>19</v>
      </c>
      <c r="G114" s="22">
        <v>4</v>
      </c>
      <c r="H114" s="12" t="s">
        <v>12</v>
      </c>
    </row>
    <row r="115" spans="2:8" ht="15.75" x14ac:dyDescent="0.25">
      <c r="B115" s="13">
        <v>11</v>
      </c>
      <c r="C115" s="14" t="s">
        <v>202</v>
      </c>
      <c r="D115" s="14" t="s">
        <v>205</v>
      </c>
      <c r="E115" s="13" t="s">
        <v>106</v>
      </c>
      <c r="F115" s="14" t="s">
        <v>19</v>
      </c>
      <c r="G115" s="22">
        <v>4</v>
      </c>
      <c r="H115" s="12" t="s">
        <v>12</v>
      </c>
    </row>
    <row r="116" spans="2:8" ht="15.75" x14ac:dyDescent="0.25">
      <c r="B116" s="13">
        <v>12</v>
      </c>
      <c r="C116" s="14" t="s">
        <v>244</v>
      </c>
      <c r="D116" s="14" t="s">
        <v>246</v>
      </c>
      <c r="E116" s="13" t="s">
        <v>106</v>
      </c>
      <c r="F116" s="14" t="s">
        <v>21</v>
      </c>
      <c r="G116" s="22">
        <v>2</v>
      </c>
      <c r="H116" s="12" t="s">
        <v>12</v>
      </c>
    </row>
    <row r="117" spans="2:8" ht="15.75" x14ac:dyDescent="0.25">
      <c r="B117" s="13">
        <v>13</v>
      </c>
      <c r="C117" s="14" t="s">
        <v>245</v>
      </c>
      <c r="D117" s="14" t="s">
        <v>247</v>
      </c>
      <c r="E117" s="13" t="s">
        <v>106</v>
      </c>
      <c r="F117" s="14" t="s">
        <v>21</v>
      </c>
      <c r="G117" s="22">
        <v>2</v>
      </c>
      <c r="H117" s="12" t="s">
        <v>12</v>
      </c>
    </row>
    <row r="120" spans="2:8" x14ac:dyDescent="0.25">
      <c r="B120" s="10" t="s">
        <v>14</v>
      </c>
      <c r="C120" s="11" t="s">
        <v>15</v>
      </c>
      <c r="D120" s="11" t="s">
        <v>16</v>
      </c>
      <c r="E120" s="11" t="s">
        <v>17</v>
      </c>
      <c r="F120" s="11" t="s">
        <v>18</v>
      </c>
      <c r="G120" s="11" t="s">
        <v>4</v>
      </c>
      <c r="H120" s="11" t="s">
        <v>2</v>
      </c>
    </row>
    <row r="121" spans="2:8" ht="15.75" x14ac:dyDescent="0.25">
      <c r="B121" s="48">
        <v>1</v>
      </c>
      <c r="C121" s="14" t="s">
        <v>248</v>
      </c>
      <c r="D121" s="49" t="s">
        <v>249</v>
      </c>
      <c r="E121" s="47" t="s">
        <v>250</v>
      </c>
      <c r="F121" s="14" t="s">
        <v>21</v>
      </c>
      <c r="G121" s="22">
        <v>2</v>
      </c>
      <c r="H121" s="12" t="s">
        <v>12</v>
      </c>
    </row>
  </sheetData>
  <conditionalFormatting sqref="D13">
    <cfRule type="duplicateValues" dxfId="5" priority="518"/>
    <cfRule type="duplicateValues" dxfId="4" priority="519"/>
  </conditionalFormatting>
  <conditionalFormatting sqref="C1:C33 C36:C1048576">
    <cfRule type="duplicateValues" dxfId="3" priority="80"/>
  </conditionalFormatting>
  <conditionalFormatting sqref="C35">
    <cfRule type="duplicateValues" dxfId="2" priority="3"/>
  </conditionalFormatting>
  <conditionalFormatting sqref="C34:C35">
    <cfRule type="duplicateValues" dxfId="1" priority="2"/>
  </conditionalFormatting>
  <conditionalFormatting sqref="C34:C3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2CC8-7119-4812-B958-9D4FE9B931AB}">
  <dimension ref="A1:F11"/>
  <sheetViews>
    <sheetView workbookViewId="0">
      <selection activeCell="D9" sqref="D9"/>
    </sheetView>
  </sheetViews>
  <sheetFormatPr defaultRowHeight="15" x14ac:dyDescent="0.25"/>
  <cols>
    <col min="1" max="1" width="5.7109375" style="5" customWidth="1"/>
    <col min="2" max="2" width="16" style="5" bestFit="1" customWidth="1"/>
    <col min="3" max="3" width="19" style="5" customWidth="1"/>
    <col min="4" max="4" width="17" style="5" customWidth="1"/>
    <col min="5" max="5" width="17.42578125" style="5" bestFit="1" customWidth="1"/>
    <col min="6" max="6" width="17.5703125" style="5" hidden="1" customWidth="1"/>
    <col min="7" max="16384" width="9.140625" style="5"/>
  </cols>
  <sheetData>
    <row r="1" spans="1:6" x14ac:dyDescent="0.25">
      <c r="A1" s="16" t="s">
        <v>22</v>
      </c>
      <c r="B1" s="16"/>
      <c r="C1" s="16"/>
      <c r="D1" s="53">
        <f ca="1">TODAY()</f>
        <v>46039</v>
      </c>
      <c r="E1" s="53"/>
    </row>
    <row r="2" spans="1:6" ht="27" customHeight="1" x14ac:dyDescent="0.25">
      <c r="A2" s="16" t="s">
        <v>23</v>
      </c>
      <c r="B2" s="16"/>
      <c r="C2" s="16"/>
      <c r="D2" s="53"/>
      <c r="E2" s="53"/>
    </row>
    <row r="3" spans="1:6" ht="16.5" customHeight="1" x14ac:dyDescent="0.25">
      <c r="A3" s="3" t="s">
        <v>0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</row>
    <row r="4" spans="1:6" x14ac:dyDescent="0.25">
      <c r="A4" s="17">
        <v>1</v>
      </c>
      <c r="B4" s="17" t="s">
        <v>30</v>
      </c>
      <c r="C4" s="17">
        <v>9</v>
      </c>
      <c r="D4" s="17">
        <v>9</v>
      </c>
      <c r="E4" s="17">
        <v>0</v>
      </c>
      <c r="F4" s="6"/>
    </row>
    <row r="5" spans="1:6" x14ac:dyDescent="0.25">
      <c r="A5" s="17">
        <v>2</v>
      </c>
      <c r="B5" s="18" t="s">
        <v>20</v>
      </c>
      <c r="C5" s="18">
        <v>21</v>
      </c>
      <c r="D5" s="18">
        <v>11</v>
      </c>
      <c r="E5" s="18">
        <v>10</v>
      </c>
      <c r="F5" s="7"/>
    </row>
    <row r="6" spans="1:6" x14ac:dyDescent="0.25">
      <c r="A6" s="17">
        <v>3</v>
      </c>
      <c r="B6" s="18" t="s">
        <v>32</v>
      </c>
      <c r="C6" s="18">
        <v>23</v>
      </c>
      <c r="D6" s="18">
        <v>16</v>
      </c>
      <c r="E6" s="18">
        <v>6</v>
      </c>
      <c r="F6" s="7"/>
    </row>
    <row r="7" spans="1:6" x14ac:dyDescent="0.25">
      <c r="A7" s="17">
        <v>4</v>
      </c>
      <c r="B7" s="18" t="s">
        <v>106</v>
      </c>
      <c r="C7" s="18">
        <v>13</v>
      </c>
      <c r="D7" s="18">
        <v>11</v>
      </c>
      <c r="E7" s="18">
        <v>2</v>
      </c>
      <c r="F7" s="7"/>
    </row>
    <row r="8" spans="1:6" x14ac:dyDescent="0.25">
      <c r="A8" s="17">
        <v>5</v>
      </c>
      <c r="B8" s="18" t="s">
        <v>113</v>
      </c>
      <c r="C8" s="18">
        <v>20</v>
      </c>
      <c r="D8" s="18">
        <v>20</v>
      </c>
      <c r="E8" s="18">
        <v>0</v>
      </c>
      <c r="F8" s="7"/>
    </row>
    <row r="9" spans="1:6" x14ac:dyDescent="0.25">
      <c r="A9" s="17">
        <v>6</v>
      </c>
      <c r="B9" s="18" t="s">
        <v>199</v>
      </c>
      <c r="C9" s="18">
        <v>16</v>
      </c>
      <c r="D9" s="18">
        <v>16</v>
      </c>
      <c r="E9" s="18">
        <v>0</v>
      </c>
      <c r="F9" s="7"/>
    </row>
    <row r="10" spans="1:6" x14ac:dyDescent="0.25">
      <c r="A10" s="17">
        <v>7</v>
      </c>
      <c r="B10" s="18" t="s">
        <v>250</v>
      </c>
      <c r="C10" s="18">
        <v>1</v>
      </c>
      <c r="D10" s="18">
        <v>0</v>
      </c>
      <c r="E10" s="18">
        <v>1</v>
      </c>
      <c r="F10" s="7"/>
    </row>
    <row r="11" spans="1:6" ht="28.5" customHeight="1" x14ac:dyDescent="0.25">
      <c r="A11" s="19"/>
      <c r="B11" s="19" t="s">
        <v>29</v>
      </c>
      <c r="C11" s="19">
        <f>SUM(C4:C10)</f>
        <v>103</v>
      </c>
      <c r="D11" s="19">
        <f>SUM(D4:D10)</f>
        <v>83</v>
      </c>
      <c r="E11" s="19">
        <f>SUM(E4:E10)</f>
        <v>19</v>
      </c>
      <c r="F11" s="8"/>
    </row>
  </sheetData>
  <mergeCells count="1">
    <mergeCell ref="D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Offloading DAR</vt:lpstr>
      <vt:lpstr>Export Mines</vt:lpstr>
      <vt:lpstr>Summary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Abuko</dc:creator>
  <cp:lastModifiedBy>Overland Tracking</cp:lastModifiedBy>
  <cp:lastPrinted>2026-01-05T06:42:25Z</cp:lastPrinted>
  <dcterms:created xsi:type="dcterms:W3CDTF">2025-09-27T07:23:06Z</dcterms:created>
  <dcterms:modified xsi:type="dcterms:W3CDTF">2026-01-17T06:52:52Z</dcterms:modified>
</cp:coreProperties>
</file>