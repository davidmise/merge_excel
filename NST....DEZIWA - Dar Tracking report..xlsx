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ck\Dropbox\CLIENTS REPORTS\_CURRENT REPORTS\EXPORT REPORTS\"/>
    </mc:Choice>
  </mc:AlternateContent>
  <xr:revisionPtr revIDLastSave="0" documentId="13_ncr:1_{78EA4643-D325-457B-8DA7-790A2D96BF94}" xr6:coauthVersionLast="47" xr6:coauthVersionMax="47" xr10:uidLastSave="{00000000-0000-0000-0000-000000000000}"/>
  <bookViews>
    <workbookView xWindow="-120" yWindow="-120" windowWidth="20730" windowHeight="11040" firstSheet="9" activeTab="10" xr2:uid="{9700E262-6C56-4E2F-B497-638ED2B58DE9}"/>
  </bookViews>
  <sheets>
    <sheet name="Feb DEZIWA- DAR" sheetId="1" state="hidden" r:id="rId1"/>
    <sheet name="April" sheetId="3" state="hidden" r:id="rId2"/>
    <sheet name="May" sheetId="4" state="hidden" r:id="rId3"/>
    <sheet name="May Additional 1000'MT" sheetId="5" state="hidden" r:id="rId4"/>
    <sheet name="June" sheetId="6" state="hidden" r:id="rId5"/>
    <sheet name="July Deziwa -Ndola" sheetId="8" state="hidden" r:id="rId6"/>
    <sheet name="July" sheetId="7" state="hidden" r:id="rId7"/>
    <sheet name="August " sheetId="9" state="hidden" r:id="rId8"/>
    <sheet name="September" sheetId="10" state="hidden" r:id="rId9"/>
    <sheet name="October" sheetId="11" r:id="rId10"/>
    <sheet name="Summary" sheetId="2" r:id="rId11"/>
  </sheets>
  <externalReferences>
    <externalReference r:id="rId12"/>
  </externalReferences>
  <definedNames>
    <definedName name="_xlnm._FilterDatabase" localSheetId="1" hidden="1">April!$A$3:$AF$57</definedName>
    <definedName name="_xlnm._FilterDatabase" localSheetId="7" hidden="1">'August '!$A$3:$AF$3</definedName>
    <definedName name="_xlnm._FilterDatabase" localSheetId="0" hidden="1">'Feb DEZIWA- DAR'!$A$3:$AF$32</definedName>
    <definedName name="_xlnm._FilterDatabase" localSheetId="5" hidden="1">'July Deziwa -Ndola'!$A$3:$AB$3</definedName>
    <definedName name="_xlnm._FilterDatabase" localSheetId="4" hidden="1">June!$A$3:$AF$19</definedName>
    <definedName name="_xlnm._FilterDatabase" localSheetId="2" hidden="1">May!$A$3:$AF$3</definedName>
    <definedName name="_xlnm._FilterDatabase" localSheetId="3" hidden="1">'May Additional 1000''MT'!$A$3:$AF$14</definedName>
    <definedName name="_xlnm._FilterDatabase" localSheetId="9" hidden="1">October!$A$2:$AF$2</definedName>
    <definedName name="_xlnm._FilterDatabase" localSheetId="8" hidden="1">September!$A$3:$AF$25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" i="11" l="1"/>
  <c r="M1" i="11"/>
  <c r="O3" i="2" l="1"/>
  <c r="O4" i="2"/>
  <c r="O5" i="2"/>
  <c r="M6" i="2"/>
  <c r="N6" i="2"/>
  <c r="A15" i="11"/>
  <c r="T15" i="11"/>
  <c r="O6" i="2" l="1"/>
  <c r="A12" i="11"/>
  <c r="A37" i="11"/>
  <c r="A14" i="11"/>
  <c r="A38" i="11"/>
  <c r="A5" i="11"/>
  <c r="A8" i="11"/>
  <c r="A40" i="11"/>
  <c r="A9" i="11"/>
  <c r="A10" i="11"/>
  <c r="A11" i="11"/>
  <c r="A6" i="11"/>
  <c r="A39" i="11"/>
  <c r="A13" i="11"/>
  <c r="A7" i="11"/>
  <c r="A4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T40" i="11" l="1"/>
  <c r="T37" i="11" l="1"/>
  <c r="T36" i="11"/>
  <c r="T21" i="11"/>
  <c r="T17" i="11"/>
  <c r="T35" i="11"/>
  <c r="M1" i="10" l="1"/>
  <c r="L1" i="10"/>
  <c r="T10" i="11" l="1"/>
  <c r="T7" i="11"/>
  <c r="T9" i="11"/>
  <c r="T27" i="11" l="1"/>
  <c r="T8" i="11"/>
  <c r="T12" i="11" l="1"/>
  <c r="T39" i="11"/>
  <c r="T13" i="11"/>
  <c r="T38" i="11"/>
  <c r="T14" i="11"/>
  <c r="T16" i="11" l="1"/>
  <c r="T4" i="11" l="1"/>
  <c r="M1" i="9" l="1"/>
  <c r="L1" i="9"/>
  <c r="T31" i="11"/>
  <c r="T5" i="11"/>
  <c r="T18" i="11"/>
  <c r="T30" i="11"/>
  <c r="T19" i="11"/>
  <c r="T20" i="11"/>
  <c r="T11" i="11"/>
  <c r="T32" i="11"/>
  <c r="T22" i="11"/>
  <c r="T26" i="11"/>
  <c r="T23" i="11"/>
  <c r="T28" i="11"/>
  <c r="T25" i="11"/>
  <c r="T34" i="11"/>
  <c r="T24" i="11"/>
  <c r="T29" i="11"/>
  <c r="T33" i="11"/>
  <c r="A36" i="11" l="1"/>
  <c r="T6" i="10" l="1"/>
  <c r="T5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4" i="10"/>
  <c r="T6" i="11" l="1"/>
  <c r="AE14" i="10" l="1"/>
  <c r="AE12" i="10"/>
  <c r="AE9" i="10"/>
  <c r="AE13" i="10"/>
  <c r="A7" i="9" l="1"/>
  <c r="A15" i="9"/>
  <c r="A4" i="9"/>
  <c r="A14" i="9"/>
  <c r="A9" i="9"/>
  <c r="A11" i="9"/>
  <c r="A12" i="9"/>
  <c r="A16" i="9"/>
  <c r="A8" i="9"/>
  <c r="A6" i="9"/>
  <c r="A10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E19" i="10" l="1"/>
  <c r="A13" i="9" l="1"/>
  <c r="A5" i="9"/>
  <c r="A41" i="9"/>
  <c r="A42" i="9"/>
  <c r="T14" i="9" l="1"/>
  <c r="T23" i="9"/>
  <c r="AE24" i="9"/>
  <c r="L1" i="8" l="1"/>
  <c r="M1" i="8"/>
  <c r="M1" i="7"/>
  <c r="L1" i="7"/>
  <c r="AE24" i="10" l="1"/>
  <c r="T24" i="10"/>
  <c r="AE20" i="10"/>
  <c r="AE5" i="10"/>
  <c r="AE10" i="10"/>
  <c r="AE17" i="10"/>
  <c r="AE15" i="10"/>
  <c r="AE8" i="10"/>
  <c r="AE22" i="10"/>
  <c r="AE7" i="10"/>
  <c r="AE18" i="10"/>
  <c r="AE6" i="10"/>
  <c r="AE16" i="10"/>
  <c r="AE11" i="10"/>
  <c r="AE21" i="10"/>
  <c r="AE23" i="10"/>
  <c r="AE5" i="7" l="1"/>
  <c r="T13" i="9" l="1"/>
  <c r="AE13" i="9"/>
  <c r="T15" i="9"/>
  <c r="AE15" i="9"/>
  <c r="T6" i="9"/>
  <c r="AE6" i="9"/>
  <c r="T11" i="9"/>
  <c r="AE11" i="9"/>
  <c r="T18" i="9"/>
  <c r="AE18" i="9"/>
  <c r="T10" i="9"/>
  <c r="AE10" i="9"/>
  <c r="T41" i="9"/>
  <c r="AE41" i="9"/>
  <c r="T19" i="9"/>
  <c r="AE19" i="9"/>
  <c r="T42" i="9"/>
  <c r="AE42" i="9"/>
  <c r="AF6" i="9" l="1"/>
  <c r="AF19" i="9"/>
  <c r="AF11" i="9"/>
  <c r="AF10" i="9"/>
  <c r="AF15" i="9"/>
  <c r="AF18" i="9"/>
  <c r="AF13" i="9"/>
  <c r="T33" i="9"/>
  <c r="AE33" i="9"/>
  <c r="AA5" i="8"/>
  <c r="AA4" i="8"/>
  <c r="AF33" i="9" l="1"/>
  <c r="AE4" i="9"/>
  <c r="T4" i="9"/>
  <c r="T8" i="9" l="1"/>
  <c r="AE8" i="9"/>
  <c r="T9" i="9"/>
  <c r="AE9" i="9"/>
  <c r="T17" i="9"/>
  <c r="AE17" i="9"/>
  <c r="T27" i="9"/>
  <c r="AE27" i="9"/>
  <c r="T32" i="9"/>
  <c r="AE32" i="9"/>
  <c r="T20" i="9"/>
  <c r="AE20" i="9"/>
  <c r="T34" i="9"/>
  <c r="AE34" i="9"/>
  <c r="T31" i="9"/>
  <c r="AE31" i="9"/>
  <c r="T29" i="9"/>
  <c r="AE29" i="9"/>
  <c r="T26" i="9"/>
  <c r="AE26" i="9"/>
  <c r="T35" i="9"/>
  <c r="AE35" i="9"/>
  <c r="T30" i="9"/>
  <c r="AE30" i="9"/>
  <c r="AE14" i="9"/>
  <c r="AF14" i="9" s="1"/>
  <c r="AE5" i="9"/>
  <c r="T5" i="9"/>
  <c r="AE16" i="9"/>
  <c r="T16" i="9"/>
  <c r="AE12" i="9"/>
  <c r="T12" i="9"/>
  <c r="AF12" i="9" s="1"/>
  <c r="AE22" i="9"/>
  <c r="T22" i="9"/>
  <c r="AE23" i="9"/>
  <c r="AF23" i="9" s="1"/>
  <c r="T24" i="9"/>
  <c r="AF24" i="9" s="1"/>
  <c r="AE21" i="9"/>
  <c r="T21" i="9"/>
  <c r="AE7" i="9"/>
  <c r="T7" i="9"/>
  <c r="AF7" i="9" s="1"/>
  <c r="AE39" i="9"/>
  <c r="T39" i="9"/>
  <c r="AE38" i="9"/>
  <c r="T38" i="9"/>
  <c r="AE37" i="9"/>
  <c r="T37" i="9"/>
  <c r="AE25" i="9"/>
  <c r="T25" i="9"/>
  <c r="AF25" i="9" s="1"/>
  <c r="AE40" i="9"/>
  <c r="T40" i="9"/>
  <c r="AE28" i="9"/>
  <c r="T28" i="9"/>
  <c r="AE36" i="9"/>
  <c r="T36" i="9"/>
  <c r="AF36" i="9" l="1"/>
  <c r="AF37" i="9"/>
  <c r="AF21" i="9"/>
  <c r="AF16" i="9"/>
  <c r="AF28" i="9"/>
  <c r="AF38" i="9"/>
  <c r="AF5" i="9"/>
  <c r="AF9" i="9"/>
  <c r="AF30" i="9"/>
  <c r="AF17" i="9"/>
  <c r="AF31" i="9"/>
  <c r="AF35" i="9"/>
  <c r="AF27" i="9"/>
  <c r="AF34" i="9"/>
  <c r="AF26" i="9"/>
  <c r="AF20" i="9"/>
  <c r="AF40" i="9"/>
  <c r="AF39" i="9"/>
  <c r="AF22" i="9"/>
  <c r="AF29" i="9"/>
  <c r="AF32" i="9"/>
  <c r="AF8" i="9"/>
  <c r="T11" i="8"/>
  <c r="T12" i="8"/>
  <c r="T13" i="8"/>
  <c r="T14" i="8"/>
  <c r="T15" i="8"/>
  <c r="T22" i="8"/>
  <c r="T23" i="8"/>
  <c r="T16" i="8"/>
  <c r="T17" i="8"/>
  <c r="T18" i="8"/>
  <c r="T19" i="8"/>
  <c r="T20" i="8"/>
  <c r="T21" i="8"/>
  <c r="AA21" i="8" l="1"/>
  <c r="AA20" i="8"/>
  <c r="AA19" i="8"/>
  <c r="AA18" i="8"/>
  <c r="AA17" i="8"/>
  <c r="AA16" i="8"/>
  <c r="AA23" i="8"/>
  <c r="AA22" i="8"/>
  <c r="AA15" i="8"/>
  <c r="AA14" i="8"/>
  <c r="AA13" i="8"/>
  <c r="AA12" i="8"/>
  <c r="AA11" i="8"/>
  <c r="AA10" i="8"/>
  <c r="AA9" i="8"/>
  <c r="AA8" i="8"/>
  <c r="AA7" i="8"/>
  <c r="AA6" i="8"/>
  <c r="A6" i="8" l="1"/>
  <c r="A7" i="8"/>
  <c r="A8" i="8"/>
  <c r="A9" i="8"/>
  <c r="A10" i="8"/>
  <c r="A11" i="8"/>
  <c r="A12" i="8"/>
  <c r="A13" i="8"/>
  <c r="A14" i="8"/>
  <c r="A15" i="8"/>
  <c r="A22" i="8"/>
  <c r="A23" i="8"/>
  <c r="A16" i="8"/>
  <c r="A17" i="8"/>
  <c r="A18" i="8"/>
  <c r="A19" i="8"/>
  <c r="A20" i="8"/>
  <c r="A21" i="8"/>
  <c r="AE36" i="7" l="1"/>
  <c r="T36" i="7"/>
  <c r="A36" i="7"/>
  <c r="L1" i="6" l="1"/>
  <c r="M1" i="6"/>
  <c r="T10" i="8" l="1"/>
  <c r="T9" i="8"/>
  <c r="T8" i="8"/>
  <c r="T7" i="8"/>
  <c r="T6" i="8"/>
  <c r="A24" i="7" l="1"/>
  <c r="T24" i="7"/>
  <c r="AE24" i="7"/>
  <c r="T4" i="7" l="1"/>
  <c r="T19" i="7"/>
  <c r="T20" i="7"/>
  <c r="T12" i="7"/>
  <c r="T11" i="7"/>
  <c r="L1" i="5" l="1"/>
  <c r="M1" i="5"/>
  <c r="M1" i="4"/>
  <c r="L1" i="4"/>
  <c r="AE6" i="7" l="1"/>
  <c r="T6" i="7"/>
  <c r="A6" i="7"/>
  <c r="AE8" i="7"/>
  <c r="T8" i="7"/>
  <c r="A8" i="7"/>
  <c r="AE6" i="5" l="1"/>
  <c r="A6" i="4" l="1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T9" i="6"/>
  <c r="T19" i="6"/>
  <c r="T12" i="6"/>
  <c r="T13" i="6"/>
  <c r="T4" i="6"/>
  <c r="T7" i="6"/>
  <c r="T18" i="6"/>
  <c r="T6" i="6"/>
  <c r="AE19" i="7" l="1"/>
  <c r="A19" i="7"/>
  <c r="AE12" i="7" l="1"/>
  <c r="AE11" i="7"/>
  <c r="AE10" i="7"/>
  <c r="AE25" i="7"/>
  <c r="AE20" i="7"/>
  <c r="AE21" i="7"/>
  <c r="AE30" i="7"/>
  <c r="AE9" i="7"/>
  <c r="AE26" i="7"/>
  <c r="AE15" i="7"/>
  <c r="AE14" i="7"/>
  <c r="AE16" i="7"/>
  <c r="AE23" i="7"/>
  <c r="AE32" i="7"/>
  <c r="AE28" i="7"/>
  <c r="AE22" i="7"/>
  <c r="AE13" i="7"/>
  <c r="AE37" i="7"/>
  <c r="AE4" i="7"/>
  <c r="AE34" i="7"/>
  <c r="AE27" i="7"/>
  <c r="AE35" i="7"/>
  <c r="AE29" i="7"/>
  <c r="AE18" i="7"/>
  <c r="T10" i="7" l="1"/>
  <c r="T25" i="7"/>
  <c r="T21" i="7"/>
  <c r="T30" i="7"/>
  <c r="T9" i="7"/>
  <c r="T26" i="7"/>
  <c r="T15" i="7"/>
  <c r="T14" i="7"/>
  <c r="T16" i="7"/>
  <c r="T23" i="7"/>
  <c r="T32" i="7"/>
  <c r="T28" i="7"/>
  <c r="T22" i="7"/>
  <c r="T13" i="7"/>
  <c r="T37" i="7"/>
  <c r="T5" i="7"/>
  <c r="A12" i="7"/>
  <c r="A11" i="7"/>
  <c r="A10" i="7"/>
  <c r="A25" i="7"/>
  <c r="A20" i="7"/>
  <c r="A21" i="7"/>
  <c r="A30" i="7"/>
  <c r="A9" i="7"/>
  <c r="A26" i="7"/>
  <c r="A15" i="7"/>
  <c r="A14" i="7"/>
  <c r="A16" i="7"/>
  <c r="A23" i="7"/>
  <c r="A32" i="7"/>
  <c r="A28" i="7"/>
  <c r="A22" i="7"/>
  <c r="A13" i="7"/>
  <c r="A37" i="7"/>
  <c r="A5" i="7"/>
  <c r="AE4" i="5" l="1"/>
  <c r="T7" i="7" l="1"/>
  <c r="A4" i="7" l="1"/>
  <c r="T34" i="7"/>
  <c r="A34" i="7"/>
  <c r="T27" i="7"/>
  <c r="A27" i="7"/>
  <c r="T35" i="7"/>
  <c r="A35" i="7"/>
  <c r="T29" i="7"/>
  <c r="A29" i="7"/>
  <c r="T18" i="7"/>
  <c r="A18" i="7"/>
  <c r="AE31" i="7"/>
  <c r="T31" i="7"/>
  <c r="A31" i="7"/>
  <c r="AE17" i="7"/>
  <c r="T17" i="7"/>
  <c r="A17" i="7"/>
  <c r="AE33" i="7"/>
  <c r="T33" i="7"/>
  <c r="A33" i="7"/>
  <c r="AE7" i="7"/>
  <c r="A7" i="7"/>
  <c r="A6" i="6" l="1"/>
  <c r="AE6" i="6"/>
  <c r="A9" i="6" l="1"/>
  <c r="A8" i="6" l="1"/>
  <c r="A13" i="6"/>
  <c r="A12" i="6"/>
  <c r="A19" i="6"/>
  <c r="A14" i="6"/>
  <c r="A10" i="6"/>
  <c r="A17" i="6"/>
  <c r="A5" i="6"/>
  <c r="A11" i="6"/>
  <c r="A15" i="6"/>
  <c r="A18" i="6"/>
  <c r="A7" i="6"/>
  <c r="A4" i="6"/>
  <c r="T15" i="4" l="1"/>
  <c r="AE15" i="4"/>
  <c r="AF15" i="4" l="1"/>
  <c r="AE4" i="6"/>
  <c r="AE7" i="6"/>
  <c r="AE18" i="6"/>
  <c r="AE15" i="6"/>
  <c r="AE11" i="6"/>
  <c r="AE5" i="6"/>
  <c r="AE17" i="6"/>
  <c r="AE10" i="6"/>
  <c r="AE14" i="6"/>
  <c r="T15" i="6"/>
  <c r="T11" i="6"/>
  <c r="T5" i="6"/>
  <c r="T17" i="6"/>
  <c r="T10" i="6"/>
  <c r="T14" i="6"/>
  <c r="AE20" i="5" l="1"/>
  <c r="AE28" i="4" l="1"/>
  <c r="AE26" i="4"/>
  <c r="AE25" i="4"/>
  <c r="AE24" i="4"/>
  <c r="AE23" i="4"/>
  <c r="AE22" i="4"/>
  <c r="AE21" i="4"/>
  <c r="AE18" i="4"/>
  <c r="AE17" i="4"/>
  <c r="AE16" i="4"/>
  <c r="AE14" i="4"/>
  <c r="AE9" i="6" l="1"/>
  <c r="AE19" i="6"/>
  <c r="AE8" i="6"/>
  <c r="T8" i="6"/>
  <c r="AE12" i="6"/>
  <c r="AE13" i="6"/>
  <c r="AE16" i="6"/>
  <c r="T16" i="6"/>
  <c r="A16" i="6"/>
  <c r="T13" i="4" l="1"/>
  <c r="T12" i="4"/>
  <c r="T6" i="4"/>
  <c r="T5" i="4"/>
  <c r="T4" i="4"/>
  <c r="T8" i="4"/>
  <c r="T11" i="4"/>
  <c r="M1" i="3" l="1"/>
  <c r="T12" i="5" l="1"/>
  <c r="T24" i="5"/>
  <c r="T4" i="5"/>
  <c r="T9" i="5"/>
  <c r="T19" i="5"/>
  <c r="T8" i="5"/>
  <c r="T23" i="5"/>
  <c r="T22" i="5"/>
  <c r="T11" i="5"/>
  <c r="T7" i="5"/>
  <c r="T21" i="5"/>
  <c r="T20" i="5"/>
  <c r="T13" i="5"/>
  <c r="T5" i="5"/>
  <c r="T6" i="5"/>
  <c r="T16" i="5"/>
  <c r="T18" i="5"/>
  <c r="T30" i="5"/>
  <c r="T10" i="5"/>
  <c r="T27" i="5"/>
  <c r="T25" i="5"/>
  <c r="T15" i="5"/>
  <c r="T26" i="5"/>
  <c r="T14" i="5"/>
  <c r="T28" i="5"/>
  <c r="T17" i="5"/>
  <c r="T29" i="5"/>
  <c r="T19" i="4" l="1"/>
  <c r="T14" i="4"/>
  <c r="AF14" i="4" s="1"/>
  <c r="T17" i="4"/>
  <c r="AF17" i="4" s="1"/>
  <c r="AE6" i="4" l="1"/>
  <c r="AF6" i="4" s="1"/>
  <c r="AE5" i="4"/>
  <c r="AF5" i="4" s="1"/>
  <c r="AE42" i="4"/>
  <c r="AE41" i="4"/>
  <c r="AE40" i="4"/>
  <c r="AE39" i="4"/>
  <c r="AE38" i="4"/>
  <c r="AE37" i="4"/>
  <c r="AE36" i="4"/>
  <c r="AE35" i="4"/>
  <c r="AE34" i="4"/>
  <c r="AE32" i="4"/>
  <c r="AE43" i="4"/>
  <c r="AE33" i="4"/>
  <c r="AE31" i="4"/>
  <c r="AE30" i="4"/>
  <c r="AE29" i="4"/>
  <c r="AE7" i="4"/>
  <c r="AE9" i="4"/>
  <c r="AE20" i="4"/>
  <c r="AE10" i="4"/>
  <c r="AE4" i="4"/>
  <c r="AF4" i="4" s="1"/>
  <c r="AE11" i="4"/>
  <c r="AF11" i="4" s="1"/>
  <c r="AE19" i="4"/>
  <c r="AF19" i="4" s="1"/>
  <c r="AE12" i="4"/>
  <c r="AF12" i="4" s="1"/>
  <c r="AE8" i="4"/>
  <c r="AF8" i="4" s="1"/>
  <c r="AE13" i="4"/>
  <c r="AF13" i="4" s="1"/>
  <c r="T33" i="5"/>
  <c r="T34" i="5"/>
  <c r="T35" i="5"/>
  <c r="T36" i="5"/>
  <c r="T9" i="4" l="1"/>
  <c r="AF9" i="4" s="1"/>
  <c r="T10" i="4" l="1"/>
  <c r="AF10" i="4" s="1"/>
  <c r="AE16" i="5" l="1"/>
  <c r="A16" i="5"/>
  <c r="AE18" i="5"/>
  <c r="A18" i="5"/>
  <c r="AE30" i="5"/>
  <c r="A30" i="5"/>
  <c r="AE25" i="5"/>
  <c r="A25" i="5"/>
  <c r="AE36" i="5"/>
  <c r="A36" i="5"/>
  <c r="AE35" i="5"/>
  <c r="A35" i="5"/>
  <c r="AE34" i="5"/>
  <c r="A34" i="5"/>
  <c r="AE33" i="5"/>
  <c r="A33" i="5"/>
  <c r="AE10" i="5"/>
  <c r="A10" i="5"/>
  <c r="AE27" i="5"/>
  <c r="A27" i="5"/>
  <c r="AE15" i="5"/>
  <c r="A15" i="5"/>
  <c r="AE26" i="5"/>
  <c r="A26" i="5"/>
  <c r="AE14" i="5"/>
  <c r="A14" i="5"/>
  <c r="AE28" i="5"/>
  <c r="A28" i="5"/>
  <c r="AE17" i="5"/>
  <c r="A17" i="5"/>
  <c r="AE29" i="5"/>
  <c r="A29" i="5"/>
  <c r="AE12" i="5"/>
  <c r="A12" i="5"/>
  <c r="AE24" i="5"/>
  <c r="A24" i="5"/>
  <c r="A4" i="5"/>
  <c r="AE9" i="5"/>
  <c r="A9" i="5"/>
  <c r="AE19" i="5"/>
  <c r="A19" i="5"/>
  <c r="AE8" i="5"/>
  <c r="A8" i="5"/>
  <c r="AE23" i="5"/>
  <c r="A23" i="5"/>
  <c r="AE22" i="5"/>
  <c r="A22" i="5"/>
  <c r="AE11" i="5"/>
  <c r="A11" i="5"/>
  <c r="AE7" i="5"/>
  <c r="A7" i="5"/>
  <c r="AE21" i="5"/>
  <c r="A21" i="5"/>
  <c r="A20" i="5"/>
  <c r="AE13" i="5"/>
  <c r="A13" i="5"/>
  <c r="AE5" i="5"/>
  <c r="A5" i="5"/>
  <c r="A6" i="5"/>
  <c r="T4" i="3" l="1"/>
  <c r="L1" i="3" l="1"/>
  <c r="A8" i="3" l="1"/>
  <c r="A6" i="3"/>
  <c r="A19" i="3"/>
  <c r="A12" i="3"/>
  <c r="A5" i="3"/>
  <c r="A11" i="3"/>
  <c r="A13" i="3"/>
  <c r="A17" i="3"/>
  <c r="A9" i="3"/>
  <c r="A14" i="3"/>
  <c r="A18" i="3"/>
  <c r="A15" i="3"/>
  <c r="A16" i="3"/>
  <c r="A10" i="3"/>
  <c r="A21" i="3"/>
  <c r="A24" i="3"/>
  <c r="A22" i="3"/>
  <c r="A25" i="3"/>
  <c r="A26" i="3"/>
  <c r="A20" i="3"/>
  <c r="A23" i="3"/>
  <c r="T18" i="4"/>
  <c r="AF18" i="4" s="1"/>
  <c r="T54" i="3" l="1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7" i="3"/>
  <c r="T8" i="3"/>
  <c r="T6" i="3"/>
  <c r="T19" i="3"/>
  <c r="T12" i="3"/>
  <c r="T5" i="3"/>
  <c r="T11" i="3"/>
  <c r="T13" i="3"/>
  <c r="T17" i="3"/>
  <c r="T9" i="3"/>
  <c r="T14" i="3"/>
  <c r="T18" i="3"/>
  <c r="T15" i="3"/>
  <c r="T16" i="3"/>
  <c r="T10" i="3"/>
  <c r="T26" i="3"/>
  <c r="T21" i="3"/>
  <c r="T24" i="3"/>
  <c r="T22" i="3"/>
  <c r="T25" i="3"/>
  <c r="T20" i="3"/>
  <c r="T27" i="3"/>
  <c r="T28" i="3"/>
  <c r="T23" i="3"/>
  <c r="T29" i="3"/>
  <c r="T43" i="4"/>
  <c r="AF43" i="4" s="1"/>
  <c r="T37" i="4"/>
  <c r="AF37" i="4" s="1"/>
  <c r="T36" i="4"/>
  <c r="AF36" i="4" s="1"/>
  <c r="T34" i="4"/>
  <c r="AF34" i="4" s="1"/>
  <c r="T32" i="4"/>
  <c r="AF32" i="4" s="1"/>
  <c r="T39" i="4"/>
  <c r="AF39" i="4" s="1"/>
  <c r="T35" i="4"/>
  <c r="AF35" i="4" s="1"/>
  <c r="T40" i="4"/>
  <c r="AF40" i="4" s="1"/>
  <c r="T33" i="4"/>
  <c r="AF33" i="4" s="1"/>
  <c r="T42" i="4"/>
  <c r="AF42" i="4" s="1"/>
  <c r="T38" i="4"/>
  <c r="AF38" i="4" s="1"/>
  <c r="T41" i="4"/>
  <c r="AF41" i="4" s="1"/>
  <c r="T28" i="4"/>
  <c r="AF28" i="4" s="1"/>
  <c r="T31" i="4"/>
  <c r="AF31" i="4" s="1"/>
  <c r="T30" i="4"/>
  <c r="AF30" i="4" s="1"/>
  <c r="T29" i="4"/>
  <c r="AF29" i="4" s="1"/>
  <c r="T7" i="4"/>
  <c r="AF7" i="4" s="1"/>
  <c r="T24" i="4"/>
  <c r="AF24" i="4" s="1"/>
  <c r="A4" i="4"/>
  <c r="A30" i="3" l="1"/>
  <c r="AE27" i="4" l="1"/>
  <c r="T26" i="4" l="1"/>
  <c r="AF26" i="4" s="1"/>
  <c r="T20" i="4"/>
  <c r="AF20" i="4" s="1"/>
  <c r="T27" i="4"/>
  <c r="AF27" i="4" s="1"/>
  <c r="T25" i="4"/>
  <c r="AF25" i="4" s="1"/>
  <c r="T22" i="4"/>
  <c r="AF22" i="4" s="1"/>
  <c r="T16" i="4"/>
  <c r="AF16" i="4" s="1"/>
  <c r="T23" i="4"/>
  <c r="AF23" i="4" s="1"/>
  <c r="T21" i="4"/>
  <c r="AF21" i="4" s="1"/>
  <c r="A5" i="4" l="1"/>
  <c r="A41" i="3" l="1"/>
  <c r="A42" i="3"/>
  <c r="A43" i="3"/>
  <c r="A44" i="3"/>
  <c r="A48" i="3"/>
  <c r="A45" i="3"/>
  <c r="A46" i="3"/>
  <c r="A39" i="3"/>
  <c r="A47" i="3"/>
  <c r="A37" i="3"/>
  <c r="A51" i="3"/>
  <c r="A7" i="3"/>
  <c r="A38" i="3"/>
  <c r="A49" i="3"/>
  <c r="A52" i="3"/>
  <c r="A53" i="3"/>
  <c r="A54" i="3"/>
  <c r="A34" i="3"/>
  <c r="A31" i="3"/>
  <c r="A36" i="3"/>
  <c r="A27" i="3"/>
  <c r="A35" i="3"/>
  <c r="A33" i="3"/>
  <c r="A29" i="3"/>
  <c r="A28" i="3"/>
  <c r="A32" i="3"/>
  <c r="A4" i="3"/>
  <c r="A40" i="3" l="1"/>
  <c r="A50" i="3" l="1"/>
  <c r="L1" i="1" l="1"/>
  <c r="M1" i="1"/>
  <c r="T25" i="1" l="1"/>
  <c r="A25" i="1"/>
  <c r="T5" i="1" l="1"/>
  <c r="A7" i="1" l="1"/>
  <c r="A24" i="1"/>
  <c r="A22" i="1"/>
  <c r="A20" i="1"/>
  <c r="A18" i="1"/>
  <c r="A21" i="1"/>
  <c r="A23" i="1"/>
  <c r="A17" i="1"/>
  <c r="A16" i="1"/>
  <c r="A19" i="1"/>
  <c r="A30" i="1"/>
  <c r="A27" i="1"/>
  <c r="A6" i="1"/>
  <c r="A31" i="1"/>
  <c r="A9" i="1"/>
  <c r="A8" i="1"/>
  <c r="A10" i="1"/>
  <c r="A15" i="1"/>
  <c r="A28" i="1"/>
  <c r="A11" i="1"/>
  <c r="A14" i="1"/>
  <c r="A13" i="1"/>
  <c r="A26" i="1"/>
  <c r="A29" i="1"/>
  <c r="A12" i="1"/>
  <c r="A32" i="1"/>
  <c r="T32" i="1" l="1"/>
  <c r="T12" i="1" l="1"/>
  <c r="T27" i="1"/>
  <c r="T29" i="1"/>
  <c r="T26" i="1"/>
  <c r="T13" i="1"/>
  <c r="T9" i="1"/>
  <c r="T7" i="1"/>
  <c r="T19" i="1"/>
  <c r="T16" i="1"/>
  <c r="T18" i="1"/>
  <c r="T20" i="1"/>
  <c r="T22" i="1"/>
  <c r="T17" i="1"/>
  <c r="T24" i="1"/>
  <c r="T30" i="1"/>
  <c r="T31" i="1"/>
  <c r="T14" i="1"/>
  <c r="T6" i="1"/>
  <c r="T11" i="1"/>
  <c r="T28" i="1"/>
  <c r="T15" i="1"/>
  <c r="T10" i="1"/>
  <c r="T8" i="1"/>
  <c r="T23" i="1"/>
  <c r="T21" i="1"/>
  <c r="T4" i="1" l="1"/>
  <c r="A5" i="1" l="1"/>
  <c r="A4" i="1" l="1"/>
</calcChain>
</file>

<file path=xl/sharedStrings.xml><?xml version="1.0" encoding="utf-8"?>
<sst xmlns="http://schemas.openxmlformats.org/spreadsheetml/2006/main" count="4499" uniqueCount="1918">
  <si>
    <t>Overland -- Tracking Status report</t>
  </si>
  <si>
    <t>SN#</t>
  </si>
  <si>
    <t>Uplift</t>
  </si>
  <si>
    <t>Offloading Point</t>
  </si>
  <si>
    <t>Transporter</t>
  </si>
  <si>
    <t>Lot No</t>
  </si>
  <si>
    <t>Truck</t>
  </si>
  <si>
    <t>Trailer I</t>
  </si>
  <si>
    <t>Trailer II</t>
  </si>
  <si>
    <t>Passport</t>
  </si>
  <si>
    <t>Loaded Mt</t>
  </si>
  <si>
    <t>Current Location</t>
  </si>
  <si>
    <t>REMARK</t>
  </si>
  <si>
    <t>L/SITE</t>
  </si>
  <si>
    <t>Origins</t>
  </si>
  <si>
    <t>WHISKY</t>
  </si>
  <si>
    <t>KASUMBALESA/SAKANIA</t>
  </si>
  <si>
    <t>Nakonde border</t>
  </si>
  <si>
    <t>Tunduma border</t>
  </si>
  <si>
    <t>Final destination</t>
  </si>
  <si>
    <t>First</t>
  </si>
  <si>
    <t>ETA</t>
  </si>
  <si>
    <t>Arrival</t>
  </si>
  <si>
    <t>Loaded</t>
  </si>
  <si>
    <t>Departure</t>
  </si>
  <si>
    <t>Days</t>
  </si>
  <si>
    <t>Dispatch</t>
  </si>
  <si>
    <t>Offloaded</t>
  </si>
  <si>
    <t>Total delays</t>
  </si>
  <si>
    <t>OVERLAND</t>
  </si>
  <si>
    <t>Telephone no</t>
  </si>
  <si>
    <t>Driver 's Details</t>
  </si>
  <si>
    <t xml:space="preserve">Truck's Capacities </t>
  </si>
  <si>
    <t>NO</t>
  </si>
  <si>
    <t>MINE</t>
  </si>
  <si>
    <t>Waiting to load</t>
  </si>
  <si>
    <t>Loaded waiting for release</t>
  </si>
  <si>
    <t>In -Transit (DRC)</t>
  </si>
  <si>
    <t>In -Transit (ZMB)</t>
  </si>
  <si>
    <t>In -Transit (TZ)</t>
  </si>
  <si>
    <t xml:space="preserve">Waiting to Offload </t>
  </si>
  <si>
    <t>TBA</t>
  </si>
  <si>
    <t>Total Active</t>
  </si>
  <si>
    <t>Overland Warehouse, Dar es Salaam</t>
  </si>
  <si>
    <t>T884EBS</t>
  </si>
  <si>
    <t>T962EBC</t>
  </si>
  <si>
    <t>T553EBB</t>
  </si>
  <si>
    <t>T856DVK</t>
  </si>
  <si>
    <t>T439DBY</t>
  </si>
  <si>
    <t>T635CKK</t>
  </si>
  <si>
    <t>T747BAK</t>
  </si>
  <si>
    <t>T526EFH</t>
  </si>
  <si>
    <t>T292DRM</t>
  </si>
  <si>
    <t>T928ATG</t>
  </si>
  <si>
    <t>T328DWZ</t>
  </si>
  <si>
    <t>T390ALY</t>
  </si>
  <si>
    <t>T343DWZ</t>
  </si>
  <si>
    <t>T120DXM</t>
  </si>
  <si>
    <t>T121DXM</t>
  </si>
  <si>
    <t>T505DQH</t>
  </si>
  <si>
    <t>T217DEG</t>
  </si>
  <si>
    <t>T679CJT</t>
  </si>
  <si>
    <t>T925CTU</t>
  </si>
  <si>
    <t>T311EES</t>
  </si>
  <si>
    <t>T988ANZ</t>
  </si>
  <si>
    <t>T664BXN</t>
  </si>
  <si>
    <t>T869CTU</t>
  </si>
  <si>
    <t>T305DRF</t>
  </si>
  <si>
    <t>T705APD</t>
  </si>
  <si>
    <t>T660BZH</t>
  </si>
  <si>
    <t>T648AVR</t>
  </si>
  <si>
    <t>T380DSM</t>
  </si>
  <si>
    <t>T648CJT</t>
  </si>
  <si>
    <t>T499DAA</t>
  </si>
  <si>
    <t>T444DZH</t>
  </si>
  <si>
    <t>T345EBB</t>
  </si>
  <si>
    <t>T562EBB</t>
  </si>
  <si>
    <t>T796DRY</t>
  </si>
  <si>
    <t>T205DSK</t>
  </si>
  <si>
    <t>T373DCA</t>
  </si>
  <si>
    <t>T187BUF</t>
  </si>
  <si>
    <t>T358DWZ</t>
  </si>
  <si>
    <t>T194DXQ</t>
  </si>
  <si>
    <t>T196DXQ</t>
  </si>
  <si>
    <t>T193DNF</t>
  </si>
  <si>
    <t>T882CBB</t>
  </si>
  <si>
    <t>T968DWJ</t>
  </si>
  <si>
    <t>T307CVN</t>
  </si>
  <si>
    <t>T508BWD</t>
  </si>
  <si>
    <t>T930DWJ</t>
  </si>
  <si>
    <t>T621DZH</t>
  </si>
  <si>
    <t>T303EBB</t>
  </si>
  <si>
    <t>T571EBB</t>
  </si>
  <si>
    <t>T161DDY</t>
  </si>
  <si>
    <t>T192BUF</t>
  </si>
  <si>
    <t>T578DMJ</t>
  </si>
  <si>
    <t>T177DCZ</t>
  </si>
  <si>
    <t>T556DTR</t>
  </si>
  <si>
    <t>T168EES</t>
  </si>
  <si>
    <t>T398BQX</t>
  </si>
  <si>
    <t>T531EFH</t>
  </si>
  <si>
    <t>T712DMS</t>
  </si>
  <si>
    <t>T494AUU</t>
  </si>
  <si>
    <t>T389DSM</t>
  </si>
  <si>
    <t>T330DWZ</t>
  </si>
  <si>
    <t>T247ARR</t>
  </si>
  <si>
    <t>T318DUD</t>
  </si>
  <si>
    <t>T863CJS</t>
  </si>
  <si>
    <t>T161CTH</t>
  </si>
  <si>
    <t>T675EFH</t>
  </si>
  <si>
    <t>T873CJS</t>
  </si>
  <si>
    <t>T383BXG</t>
  </si>
  <si>
    <t>T671EFH</t>
  </si>
  <si>
    <t>T232DNF</t>
  </si>
  <si>
    <t>T569CTF</t>
  </si>
  <si>
    <t>T566DTR</t>
  </si>
  <si>
    <t>T381EFR</t>
  </si>
  <si>
    <t>T414EFX</t>
  </si>
  <si>
    <t>T194EFX</t>
  </si>
  <si>
    <t xml:space="preserve">KAMEHA KENEDY CHALO </t>
  </si>
  <si>
    <t>RAJABU MUSTAFA NKWEPU</t>
  </si>
  <si>
    <t>MESHACK OSCAR MLANGWI</t>
  </si>
  <si>
    <t>IDDI TITUSI MKENGE</t>
  </si>
  <si>
    <t>VICTORY ANDREAY MWEAKALONGE</t>
  </si>
  <si>
    <t>GEORGE MARTIN CHOKOLA</t>
  </si>
  <si>
    <t>ALLY MOHAMEDI KAJO</t>
  </si>
  <si>
    <t>OMARI SELEMANI MGUDE</t>
  </si>
  <si>
    <t>OMARY BAKARI SHAHA</t>
  </si>
  <si>
    <t>ISSA MKADARA SHAME</t>
  </si>
  <si>
    <t>STEPHEN PEASON MTAMBI</t>
  </si>
  <si>
    <t>AHIMIDIWE JACKSON MASAKI</t>
  </si>
  <si>
    <t>NURDIN JUMA MSUYA</t>
  </si>
  <si>
    <t>MOHAMED ISMAIL MOHAMED</t>
  </si>
  <si>
    <t xml:space="preserve">HEMED SAID HEMED </t>
  </si>
  <si>
    <t>CHARLES OMARI NYATEGA</t>
  </si>
  <si>
    <t>SALUM RODGERS CHIPETA</t>
  </si>
  <si>
    <t xml:space="preserve">IBRAHIM EZEKIEL PHILIPO </t>
  </si>
  <si>
    <t>JOSEPH NICHOLAUS MKOMA</t>
  </si>
  <si>
    <t>KHAMIS ABDALLAH MKASI</t>
  </si>
  <si>
    <t>KASHINJE BUKUMBI JEREMIAN</t>
  </si>
  <si>
    <t>BASHIRU JUMA SOMBI</t>
  </si>
  <si>
    <t>EPRO GWIDO MVANDA</t>
  </si>
  <si>
    <t>ADAM SAID SHABANI</t>
  </si>
  <si>
    <t>MASAMA G BARNABA</t>
  </si>
  <si>
    <t>OMARY MOHAMED ALLY</t>
  </si>
  <si>
    <t>ABRAHAM FAUSTIN CHUNDU</t>
  </si>
  <si>
    <t>BASHIRI WAZIRI MFINANGA</t>
  </si>
  <si>
    <t>ADABERT SWITBERT CHILUMBA</t>
  </si>
  <si>
    <t>255762 443996/255783 758006</t>
  </si>
  <si>
    <t>255655 648210</t>
  </si>
  <si>
    <t>255758 298196</t>
  </si>
  <si>
    <t>255714 047124</t>
  </si>
  <si>
    <t>255769 237435/255782 898399</t>
  </si>
  <si>
    <t>255769 595993/255621 295959</t>
  </si>
  <si>
    <t>255655363333/255787826868</t>
  </si>
  <si>
    <t>255786 741003</t>
  </si>
  <si>
    <t>255766 338860</t>
  </si>
  <si>
    <t>255789 125020</t>
  </si>
  <si>
    <t>255766 368843</t>
  </si>
  <si>
    <t>255769 565668</t>
  </si>
  <si>
    <t>255769 441159</t>
  </si>
  <si>
    <t>255620 654248/255758 707404</t>
  </si>
  <si>
    <t>255689 713536</t>
  </si>
  <si>
    <t>255758 159486</t>
  </si>
  <si>
    <t>255782 418888/255717 662323</t>
  </si>
  <si>
    <t>255786 612102</t>
  </si>
  <si>
    <t>255769 991802</t>
  </si>
  <si>
    <t>255786 103844</t>
  </si>
  <si>
    <t>255766 539737</t>
  </si>
  <si>
    <t>255683 212710</t>
  </si>
  <si>
    <t>255764119258/255653758128</t>
  </si>
  <si>
    <t>255653072829/255623461377</t>
  </si>
  <si>
    <t>255786 474632</t>
  </si>
  <si>
    <t>255755747946/255755747946</t>
  </si>
  <si>
    <t>255656 000876/255753 392323</t>
  </si>
  <si>
    <t>255782 663225</t>
  </si>
  <si>
    <t>255686 220104</t>
  </si>
  <si>
    <t>TAE694963</t>
  </si>
  <si>
    <t>TAE711896</t>
  </si>
  <si>
    <t>TAE676353</t>
  </si>
  <si>
    <t>TAE694069</t>
  </si>
  <si>
    <t>TAE692344</t>
  </si>
  <si>
    <t>TAE659576</t>
  </si>
  <si>
    <t>TAE455330</t>
  </si>
  <si>
    <t>TAE806039</t>
  </si>
  <si>
    <t>TAE708965</t>
  </si>
  <si>
    <t>TAE660971</t>
  </si>
  <si>
    <t>TAE685336</t>
  </si>
  <si>
    <t>TAE563425</t>
  </si>
  <si>
    <t>AB1040857</t>
  </si>
  <si>
    <t>AB1587704</t>
  </si>
  <si>
    <t>TAE635262</t>
  </si>
  <si>
    <t>TAE652275</t>
  </si>
  <si>
    <t>AB1571619</t>
  </si>
  <si>
    <t>TAE635265</t>
  </si>
  <si>
    <t>TAE781513</t>
  </si>
  <si>
    <t>TAE663753</t>
  </si>
  <si>
    <t>AB1562445</t>
  </si>
  <si>
    <t>TAE725522</t>
  </si>
  <si>
    <t>TAE695902</t>
  </si>
  <si>
    <t>TAE685180</t>
  </si>
  <si>
    <t>TAE709165</t>
  </si>
  <si>
    <t>TAE485152</t>
  </si>
  <si>
    <t>TAE666745</t>
  </si>
  <si>
    <t>DEZIWA</t>
  </si>
  <si>
    <t>1) Loading Point: Deziwa Mine, DRC</t>
  </si>
  <si>
    <t>2) Offloading Point: Overland Warehouse, Dar es Salaam.</t>
  </si>
  <si>
    <t>3) Tunduma Clearance by Overland</t>
  </si>
  <si>
    <t>Total Allocations</t>
  </si>
  <si>
    <t>TAE720179</t>
  </si>
  <si>
    <t>AB1751503</t>
  </si>
  <si>
    <t>Kolwezi</t>
  </si>
  <si>
    <t>N/A</t>
  </si>
  <si>
    <t>B/Down</t>
  </si>
  <si>
    <t>SMD-CU-2025-173</t>
  </si>
  <si>
    <t>SMD-CU-2025-157</t>
  </si>
  <si>
    <t>SMD-CU-2025-DEC-67</t>
  </si>
  <si>
    <t>SMD-CU-2025-DEC-68</t>
  </si>
  <si>
    <t>SMD-CU-2025-DEC-69</t>
  </si>
  <si>
    <t>SMD-CU-2025-DEC-70</t>
  </si>
  <si>
    <t>SMD-CU-2025-149</t>
  </si>
  <si>
    <t>SMD-CU-2025-150</t>
  </si>
  <si>
    <t>SMD-CU-2025-151</t>
  </si>
  <si>
    <t>SMD-CU-2025-DEC-51</t>
  </si>
  <si>
    <t>SMD-CU-2025-DEC-52</t>
  </si>
  <si>
    <t>SMD-CU-2025-DEC-40</t>
  </si>
  <si>
    <t>SMD-CU-2025-DEC-41</t>
  </si>
  <si>
    <t>SMD-CU-2025-DEC-42</t>
  </si>
  <si>
    <t>SMD-CU-2025-DEC-43</t>
  </si>
  <si>
    <t>SMD-CU-2025-DEC-44</t>
  </si>
  <si>
    <t>SMD-CU-2025-DEC-45</t>
  </si>
  <si>
    <t>MD-CU-2025-120</t>
  </si>
  <si>
    <t>SMD-CU-2025-121</t>
  </si>
  <si>
    <t>SMD-CU-2025-122</t>
  </si>
  <si>
    <t>SMD-CU-2025-123</t>
  </si>
  <si>
    <t>SMD-CU-2025-124</t>
  </si>
  <si>
    <t>SMD-CU-2025-110</t>
  </si>
  <si>
    <t>SMD-CU-2025-111</t>
  </si>
  <si>
    <t>SMD-CU-2025-112</t>
  </si>
  <si>
    <t>SMD-CU-2025-113</t>
  </si>
  <si>
    <t>SMD-CU-2025-104</t>
  </si>
  <si>
    <t>SMD-CU-2025-105</t>
  </si>
  <si>
    <t>whisky border</t>
  </si>
  <si>
    <t>At Nakonde/Tunduma Border</t>
  </si>
  <si>
    <t>OFFLOADED</t>
  </si>
  <si>
    <t>COMPLETED</t>
  </si>
  <si>
    <t>T971EBX</t>
  </si>
  <si>
    <t>T323ECC</t>
  </si>
  <si>
    <t>T976EBX</t>
  </si>
  <si>
    <t>T243ECC</t>
  </si>
  <si>
    <t>T970EBX</t>
  </si>
  <si>
    <t>T252ECC</t>
  </si>
  <si>
    <t>T311ECC</t>
  </si>
  <si>
    <t>T982EBX</t>
  </si>
  <si>
    <t>T264ECC</t>
  </si>
  <si>
    <t>T960EBX</t>
  </si>
  <si>
    <t>T270ECC</t>
  </si>
  <si>
    <t>T963EBX</t>
  </si>
  <si>
    <t>T230ECC</t>
  </si>
  <si>
    <t>T977EBX</t>
  </si>
  <si>
    <t>T291ECC</t>
  </si>
  <si>
    <t>T405EFM</t>
  </si>
  <si>
    <t>T325ECC</t>
  </si>
  <si>
    <t>T192EES</t>
  </si>
  <si>
    <t>T714CWH</t>
  </si>
  <si>
    <t>T275DTA</t>
  </si>
  <si>
    <t>T266DSM</t>
  </si>
  <si>
    <t>T170EBA</t>
  </si>
  <si>
    <t>T932AMG</t>
  </si>
  <si>
    <t>T872DRL</t>
  </si>
  <si>
    <t>T924AEN</t>
  </si>
  <si>
    <t>T890ECV</t>
  </si>
  <si>
    <t>T500AUU</t>
  </si>
  <si>
    <t>T277DTA</t>
  </si>
  <si>
    <t>T269DSM</t>
  </si>
  <si>
    <t>T319DRM</t>
  </si>
  <si>
    <t>T648AEE</t>
  </si>
  <si>
    <t>T193DYR</t>
  </si>
  <si>
    <t>T643CKC</t>
  </si>
  <si>
    <t>T657DQF</t>
  </si>
  <si>
    <t>T872DQF</t>
  </si>
  <si>
    <t>T875DQF</t>
  </si>
  <si>
    <t>T336EFR</t>
  </si>
  <si>
    <t>T292EFX</t>
  </si>
  <si>
    <t>T296EFX</t>
  </si>
  <si>
    <t>T354DWZ</t>
  </si>
  <si>
    <t>T173DXQ</t>
  </si>
  <si>
    <t>T176DXQ</t>
  </si>
  <si>
    <t>T797DRY</t>
  </si>
  <si>
    <t>T262DTD</t>
  </si>
  <si>
    <t>T106DMZ</t>
  </si>
  <si>
    <t>T634DRM</t>
  </si>
  <si>
    <t>T640DRM</t>
  </si>
  <si>
    <t>T709DMS</t>
  </si>
  <si>
    <t>T221DQD</t>
  </si>
  <si>
    <t>T512DQD</t>
  </si>
  <si>
    <t>T449EFR</t>
  </si>
  <si>
    <t>T290EFX</t>
  </si>
  <si>
    <t>T294EFX</t>
  </si>
  <si>
    <t>T650DQF</t>
  </si>
  <si>
    <t>T363DRQ</t>
  </si>
  <si>
    <t>T625DRM</t>
  </si>
  <si>
    <t>T588CJT</t>
  </si>
  <si>
    <t>T182EFX</t>
  </si>
  <si>
    <t>T308EFX</t>
  </si>
  <si>
    <t>DAUD MICHAEL PIUS</t>
  </si>
  <si>
    <t>HASSANI HUSSEINI KAYOMBO</t>
  </si>
  <si>
    <t>RAMADHANI MOHAMED NG'ANZI</t>
  </si>
  <si>
    <t>SIJAONA MOHAMEDI NUNDA</t>
  </si>
  <si>
    <t>OMARY ALLY SEFU</t>
  </si>
  <si>
    <t>SEIF OMARY SALIM</t>
  </si>
  <si>
    <t>ABDALLAH ATHUMANI MKWAWA</t>
  </si>
  <si>
    <t>OTHMAN KILLEN SANGA</t>
  </si>
  <si>
    <t>SAIDI GERADI LIMO</t>
  </si>
  <si>
    <t>SEIPH HAMISI MAKITA</t>
  </si>
  <si>
    <t>ANDREW GEORGE KAUNDE</t>
  </si>
  <si>
    <t>SALUM JUNAIDI MDOSE</t>
  </si>
  <si>
    <t>OMARI HAMISI SALUMU</t>
  </si>
  <si>
    <t>MAURIDI ABASI  AMIRY</t>
  </si>
  <si>
    <t>JUMA SEPH SHUNDA</t>
  </si>
  <si>
    <t>KARIM AYUBU ALLY</t>
  </si>
  <si>
    <t>MBARAKA SALEHE SHENGOTO</t>
  </si>
  <si>
    <t>MRISHO ULEDI ALLY</t>
  </si>
  <si>
    <t>AMANI MWANDEGE MOHAMED</t>
  </si>
  <si>
    <t>SAIDI OBEDI MSOFE</t>
  </si>
  <si>
    <t>EMMANUEL PAUL MAKOYE</t>
  </si>
  <si>
    <t>HASSAN KHALID MAGARI</t>
  </si>
  <si>
    <t>ALAMINI SADICK OMARY</t>
  </si>
  <si>
    <t>AGUSTINO SHIJA SWEKHE</t>
  </si>
  <si>
    <t>MOHAMED ABASI MNINGE</t>
  </si>
  <si>
    <t>ROBINSON MKANDAWILE KASSIAN</t>
  </si>
  <si>
    <t>25578771005</t>
  </si>
  <si>
    <t>255765766196</t>
  </si>
  <si>
    <t>255756351695</t>
  </si>
  <si>
    <t>255773802098</t>
  </si>
  <si>
    <t>255684293898</t>
  </si>
  <si>
    <t>255679869802</t>
  </si>
  <si>
    <t>255717664421</t>
  </si>
  <si>
    <t>255673654439</t>
  </si>
  <si>
    <t>255754031589</t>
  </si>
  <si>
    <t>255759468001</t>
  </si>
  <si>
    <t>255784431638</t>
  </si>
  <si>
    <t>255677555036</t>
  </si>
  <si>
    <t>255683670097</t>
  </si>
  <si>
    <t>255752156069</t>
  </si>
  <si>
    <t>255766749335</t>
  </si>
  <si>
    <t>255683681664</t>
  </si>
  <si>
    <t>255754 463535</t>
  </si>
  <si>
    <t>255754905756/255715905756</t>
  </si>
  <si>
    <t>255718 584896</t>
  </si>
  <si>
    <t>255788 425081/255716 888170</t>
  </si>
  <si>
    <t>255759 490583</t>
  </si>
  <si>
    <t>255658 311992/255685 464453</t>
  </si>
  <si>
    <t>255713 546392/255752 169614</t>
  </si>
  <si>
    <t>255766 210147</t>
  </si>
  <si>
    <t>255719 500530</t>
  </si>
  <si>
    <t>255693 409777</t>
  </si>
  <si>
    <t>TAE724776</t>
  </si>
  <si>
    <t>AB10001977</t>
  </si>
  <si>
    <t>AB10001984</t>
  </si>
  <si>
    <t>AB10001994</t>
  </si>
  <si>
    <t>AB10001999</t>
  </si>
  <si>
    <t>AB10002024</t>
  </si>
  <si>
    <t>AB10001987</t>
  </si>
  <si>
    <t>AB10001974</t>
  </si>
  <si>
    <t>TAE678126</t>
  </si>
  <si>
    <t>TAE670206</t>
  </si>
  <si>
    <t>TAE694191</t>
  </si>
  <si>
    <t>AB1797623</t>
  </si>
  <si>
    <t>TAE641211</t>
  </si>
  <si>
    <t>TAE700469</t>
  </si>
  <si>
    <t>TAE820336</t>
  </si>
  <si>
    <t>TAE695738</t>
  </si>
  <si>
    <t>TAE690838</t>
  </si>
  <si>
    <t>TAE676212</t>
  </si>
  <si>
    <t>TAE688460</t>
  </si>
  <si>
    <t>TAE678441</t>
  </si>
  <si>
    <t>TAE350439</t>
  </si>
  <si>
    <t>TAE639623</t>
  </si>
  <si>
    <t>TAE623003</t>
  </si>
  <si>
    <t>TAE665120</t>
  </si>
  <si>
    <t>TAE713129</t>
  </si>
  <si>
    <t>TAE802612</t>
  </si>
  <si>
    <t>TAE689931</t>
  </si>
  <si>
    <t>RELOAD TANZANIA (TPA)</t>
  </si>
  <si>
    <t>T764EAE</t>
  </si>
  <si>
    <t>T481DAA</t>
  </si>
  <si>
    <t>T576DTR</t>
  </si>
  <si>
    <t>T781CRG</t>
  </si>
  <si>
    <t>T203DEG</t>
  </si>
  <si>
    <t>T987DWJ</t>
  </si>
  <si>
    <t>T361EFR</t>
  </si>
  <si>
    <t>T436CRA</t>
  </si>
  <si>
    <t>T511EFH</t>
  </si>
  <si>
    <t>T658BVB</t>
  </si>
  <si>
    <t>T977ASG</t>
  </si>
  <si>
    <t>T442DZH</t>
  </si>
  <si>
    <t>T347EBB</t>
  </si>
  <si>
    <t>T560EBB</t>
  </si>
  <si>
    <t>T459DMH</t>
  </si>
  <si>
    <t>T959ASG</t>
  </si>
  <si>
    <t>T500DMH</t>
  </si>
  <si>
    <t>T855CBB</t>
  </si>
  <si>
    <t>T612EFH</t>
  </si>
  <si>
    <t>T781CCY</t>
  </si>
  <si>
    <t>T417EFX</t>
  </si>
  <si>
    <t>T197EXF</t>
  </si>
  <si>
    <t>T638BVP</t>
  </si>
  <si>
    <t>T702BMY</t>
  </si>
  <si>
    <t>T528EFH</t>
  </si>
  <si>
    <t xml:space="preserve">MSAFIRI OSEI MPOGOLE </t>
  </si>
  <si>
    <t>ADOLF PAUL KILIMANJARO</t>
  </si>
  <si>
    <t>JEREMIAH MASALA ALPHONCE</t>
  </si>
  <si>
    <t xml:space="preserve">EMMANUEL EDWARD KYEJO </t>
  </si>
  <si>
    <t>KHATIBU HAMAD KAMOTE</t>
  </si>
  <si>
    <t>HEZRON GEORGE NSONGAMA</t>
  </si>
  <si>
    <t>TWAHA H BIYOMBO</t>
  </si>
  <si>
    <t>MIKIDADI MRISHO MAYUNGA</t>
  </si>
  <si>
    <t>TAE405129</t>
  </si>
  <si>
    <t>TAE695345</t>
  </si>
  <si>
    <t>TAE720168</t>
  </si>
  <si>
    <t>TAE696352</t>
  </si>
  <si>
    <t>TAE694132</t>
  </si>
  <si>
    <t>TAE628984</t>
  </si>
  <si>
    <t>TAE746399</t>
  </si>
  <si>
    <t>255692427742/255765333533</t>
  </si>
  <si>
    <t>255711 296514</t>
  </si>
  <si>
    <t>255765 549146</t>
  </si>
  <si>
    <t>255686 214061/255752 486553</t>
  </si>
  <si>
    <t>255767 281923</t>
  </si>
  <si>
    <t>255742368180/255717487998</t>
  </si>
  <si>
    <t>255754 236034</t>
  </si>
  <si>
    <t>255712469147/255659756369</t>
  </si>
  <si>
    <t>SMD-CU-2025-458</t>
  </si>
  <si>
    <t>SMD-CU-2025-460</t>
  </si>
  <si>
    <t>SMD-CU-2025-459</t>
  </si>
  <si>
    <t>SMD-CU-2025-456</t>
  </si>
  <si>
    <t>SMD-CU-2025-461</t>
  </si>
  <si>
    <t>SMD-CU-2025-451</t>
  </si>
  <si>
    <t>SMD-CU-2025-452</t>
  </si>
  <si>
    <t>SMD-CU-2025-453</t>
  </si>
  <si>
    <t>SMD-CU-2025-455</t>
  </si>
  <si>
    <t>SMD-CU-2025-457</t>
  </si>
  <si>
    <t>SMD-CU-2025-462</t>
  </si>
  <si>
    <t>T684BZY</t>
  </si>
  <si>
    <t>T534CTF</t>
  </si>
  <si>
    <t>T451EFR</t>
  </si>
  <si>
    <t>T472CBM</t>
  </si>
  <si>
    <t>T687BVB</t>
  </si>
  <si>
    <t>T495BWD</t>
  </si>
  <si>
    <t>T663CJT</t>
  </si>
  <si>
    <t>T553CTF</t>
  </si>
  <si>
    <t>T642DPW</t>
  </si>
  <si>
    <t>T535BWU</t>
  </si>
  <si>
    <t>T621DPV</t>
  </si>
  <si>
    <t>T177BUF</t>
  </si>
  <si>
    <t>T373BVZ</t>
  </si>
  <si>
    <t>T449CBM</t>
  </si>
  <si>
    <t>T691CXU</t>
  </si>
  <si>
    <t>T185DED</t>
  </si>
  <si>
    <t>T159DDY</t>
  </si>
  <si>
    <t>T737BAK</t>
  </si>
  <si>
    <t>T144DDY</t>
  </si>
  <si>
    <t>T110APA</t>
  </si>
  <si>
    <t>SAID ABDALAH ALLY</t>
  </si>
  <si>
    <t>SAID MOHAMED KHALFANI</t>
  </si>
  <si>
    <t>FRANK THOMAS NYILIKA</t>
  </si>
  <si>
    <t>BONIFACE KASIM KIMBANANGE</t>
  </si>
  <si>
    <t xml:space="preserve">LUGANO JOHN GWANKISA </t>
  </si>
  <si>
    <t>PAULO JENGO PAULO</t>
  </si>
  <si>
    <t>JAFARI IDDI IJUY</t>
  </si>
  <si>
    <t>JACKOB PHILIPO MAPOLU</t>
  </si>
  <si>
    <t>MATHIAS RICHARD NGAA</t>
  </si>
  <si>
    <t>ATHUMANI RAMADHANI HASHIMU</t>
  </si>
  <si>
    <t>FRANK MESHACK NASSON</t>
  </si>
  <si>
    <t>255712 064397/255674 525016</t>
  </si>
  <si>
    <t>255686 463275</t>
  </si>
  <si>
    <t>255779 141477</t>
  </si>
  <si>
    <t>255757 325769</t>
  </si>
  <si>
    <t>255744 722540</t>
  </si>
  <si>
    <t>255678 121082</t>
  </si>
  <si>
    <t>255675 465782</t>
  </si>
  <si>
    <t>255781 610606</t>
  </si>
  <si>
    <t>TAE655427</t>
  </si>
  <si>
    <t>TAE697542</t>
  </si>
  <si>
    <t>TAE697594</t>
  </si>
  <si>
    <t xml:space="preserve">TAE691168 </t>
  </si>
  <si>
    <t>AB1803570</t>
  </si>
  <si>
    <t>AB1810107</t>
  </si>
  <si>
    <t>AB1803576</t>
  </si>
  <si>
    <t>AB1803595</t>
  </si>
  <si>
    <t>AB10003582</t>
  </si>
  <si>
    <t>TAE755609</t>
  </si>
  <si>
    <t>SMD-CU-2025-DEC-216</t>
  </si>
  <si>
    <t>SMD-CU-2025-DEC-215</t>
  </si>
  <si>
    <t>SMD-CU-2025-490</t>
  </si>
  <si>
    <t>SMD-CU-2025-492</t>
  </si>
  <si>
    <t>SMD-CU-2025-494</t>
  </si>
  <si>
    <t>SMD-CU-2025-488</t>
  </si>
  <si>
    <t>SMD-CU-2025-493</t>
  </si>
  <si>
    <t>SMD-CU-2025-495</t>
  </si>
  <si>
    <t>SMD-CU-2025-497</t>
  </si>
  <si>
    <t>SMD-CU-2025-504</t>
  </si>
  <si>
    <t>SMD-CU-2025-505</t>
  </si>
  <si>
    <t>SMD-CU-2025-506</t>
  </si>
  <si>
    <t>SMD-CU-2025-524</t>
  </si>
  <si>
    <t>SMD-CU-2025-523</t>
  </si>
  <si>
    <t>EAT-DEZIWA-0092</t>
  </si>
  <si>
    <t>SMD-CU-2025-521</t>
  </si>
  <si>
    <t>SMD-CU-2025-539</t>
  </si>
  <si>
    <t>SMD-CU-2025-538</t>
  </si>
  <si>
    <t>SMD-CU-2025-549</t>
  </si>
  <si>
    <t>SMD-CU-2025-557</t>
  </si>
  <si>
    <t>T162DDY</t>
  </si>
  <si>
    <t>T148DDY</t>
  </si>
  <si>
    <t>T706EHZ</t>
  </si>
  <si>
    <t>T475DZH</t>
  </si>
  <si>
    <t>T585AQK</t>
  </si>
  <si>
    <t>T665AVR</t>
  </si>
  <si>
    <t>T145EHW</t>
  </si>
  <si>
    <t>T201DZH</t>
  </si>
  <si>
    <t>T925DZG</t>
  </si>
  <si>
    <t>ZABRON DANIEL OLAL</t>
  </si>
  <si>
    <t xml:space="preserve">OWENI NAZARENO NGOLO </t>
  </si>
  <si>
    <t>IDDY MOSHI IDDY</t>
  </si>
  <si>
    <t>OMARY KHAMIS KITEMBO </t>
  </si>
  <si>
    <t>255785 074817</t>
  </si>
  <si>
    <t>255683 778689</t>
  </si>
  <si>
    <t>255625 885988</t>
  </si>
  <si>
    <t>255712 277729</t>
  </si>
  <si>
    <t>TAE468034</t>
  </si>
  <si>
    <t>TAE093406</t>
  </si>
  <si>
    <t>AB1798081</t>
  </si>
  <si>
    <t>AB1776069</t>
  </si>
  <si>
    <t>AB1744660</t>
  </si>
  <si>
    <t>T204DYR</t>
  </si>
  <si>
    <t>T114DXM</t>
  </si>
  <si>
    <t>T115DXM</t>
  </si>
  <si>
    <t>T197DYR</t>
  </si>
  <si>
    <t>T637DRM</t>
  </si>
  <si>
    <t>T629DRM</t>
  </si>
  <si>
    <t>T321CFY</t>
  </si>
  <si>
    <t>T693BMY</t>
  </si>
  <si>
    <t>T351DWZ</t>
  </si>
  <si>
    <t>T623DXS</t>
  </si>
  <si>
    <t>T626DXS</t>
  </si>
  <si>
    <t>T139DDY</t>
  </si>
  <si>
    <t>T720DEG</t>
  </si>
  <si>
    <t>T857CJS</t>
  </si>
  <si>
    <t>T615EFH</t>
  </si>
  <si>
    <t>T887CJS</t>
  </si>
  <si>
    <t>T741CVC</t>
  </si>
  <si>
    <t>T432EFH</t>
  </si>
  <si>
    <t>T656DQF</t>
  </si>
  <si>
    <t>T870DQF</t>
  </si>
  <si>
    <t>T883DQF</t>
  </si>
  <si>
    <t>T375EFR</t>
  </si>
  <si>
    <t>T236EFX</t>
  </si>
  <si>
    <t>T407EFX</t>
  </si>
  <si>
    <t>T160EES</t>
  </si>
  <si>
    <t>T730BAK</t>
  </si>
  <si>
    <t>T539EFH</t>
  </si>
  <si>
    <t>T901ECV</t>
  </si>
  <si>
    <t>T350BDR</t>
  </si>
  <si>
    <t>T501DMH</t>
  </si>
  <si>
    <t>T997ANZ</t>
  </si>
  <si>
    <t>T129DUG</t>
  </si>
  <si>
    <t>T654CJT</t>
  </si>
  <si>
    <t>T167CTH</t>
  </si>
  <si>
    <t>T362EFR</t>
  </si>
  <si>
    <t>T237EFX</t>
  </si>
  <si>
    <t>T408EFX</t>
  </si>
  <si>
    <t>T696CXU</t>
  </si>
  <si>
    <t>T712AQU</t>
  </si>
  <si>
    <t>T854EBS</t>
  </si>
  <si>
    <t>T552EBB</t>
  </si>
  <si>
    <t>T373CRT</t>
  </si>
  <si>
    <t>T611DPW</t>
  </si>
  <si>
    <t>T202DEG</t>
  </si>
  <si>
    <t>T364DCA</t>
  </si>
  <si>
    <t>T338DGN</t>
  </si>
  <si>
    <t>T300CYC</t>
  </si>
  <si>
    <t>T215DCZ</t>
  </si>
  <si>
    <t>T580DPW</t>
  </si>
  <si>
    <t>T108APA</t>
  </si>
  <si>
    <t>T643EHZ</t>
  </si>
  <si>
    <t>T148EHW</t>
  </si>
  <si>
    <t>T467DZH</t>
  </si>
  <si>
    <t>T199DZH</t>
  </si>
  <si>
    <t>T906DZG</t>
  </si>
  <si>
    <t>HASSAN YAHAYA MWEKWALUMA</t>
  </si>
  <si>
    <t>MGANGA ALLY MZUNDA</t>
  </si>
  <si>
    <t>MASHAKA SALUM KIYOYA</t>
  </si>
  <si>
    <t>JAMES WILLIAM KIWIA</t>
  </si>
  <si>
    <t xml:space="preserve">SIMONI JULIUS NDILLAH </t>
  </si>
  <si>
    <t>HAMISI SHAIBU NGAYELA</t>
  </si>
  <si>
    <t>MICHAEL CHENI BWANAKOO</t>
  </si>
  <si>
    <t>BATWEL  MATHIAS NYEREGETE</t>
  </si>
  <si>
    <t>CLOFAC FAUSTIN MALIMA</t>
  </si>
  <si>
    <t>HUSSEIN SALEH MGENI</t>
  </si>
  <si>
    <t>ISSA KASSIMU MWEMBA</t>
  </si>
  <si>
    <t>BLASIUS DANIEL LAY</t>
  </si>
  <si>
    <t>SADICK RASHID KIBWANA</t>
  </si>
  <si>
    <t>MUSTAFA MWIDINI WAKATI</t>
  </si>
  <si>
    <t>ELIKI SAID MKAMI</t>
  </si>
  <si>
    <t>PETER FANO KAZUNGU</t>
  </si>
  <si>
    <t>ISACK HARIM MWAMENGO</t>
  </si>
  <si>
    <t>JONAS TUMAINIELI MWENDE</t>
  </si>
  <si>
    <t>DAUDI DANIELY MSEMO</t>
  </si>
  <si>
    <t>ALLY HUSSENI NG'OMBO</t>
  </si>
  <si>
    <t>EDWARD RICHARD MWAKATUMBULA</t>
  </si>
  <si>
    <t>MARTIN DEVILLIER JAPANIS</t>
  </si>
  <si>
    <t>255692 786247</t>
  </si>
  <si>
    <t>255682 782832</t>
  </si>
  <si>
    <t>255759 179217</t>
  </si>
  <si>
    <t>255653 981598/255768 931598</t>
  </si>
  <si>
    <t>255750 047248</t>
  </si>
  <si>
    <t>255612 945051</t>
  </si>
  <si>
    <t>255772 729487</t>
  </si>
  <si>
    <t>255784 308055</t>
  </si>
  <si>
    <t>255678 331008</t>
  </si>
  <si>
    <t>255746 791357</t>
  </si>
  <si>
    <t>255712 309184</t>
  </si>
  <si>
    <t>255655 265165</t>
  </si>
  <si>
    <t>255759373602/255652551355</t>
  </si>
  <si>
    <t>255717 777324/255687 357079</t>
  </si>
  <si>
    <t>255750 484441</t>
  </si>
  <si>
    <t>255687176232/255764186232</t>
  </si>
  <si>
    <t>255765 460046</t>
  </si>
  <si>
    <t>255712 484993</t>
  </si>
  <si>
    <t>255748 932415</t>
  </si>
  <si>
    <t>255767 980799</t>
  </si>
  <si>
    <t>255788 361663/255752 497127</t>
  </si>
  <si>
    <t>255763 373731/255787433393</t>
  </si>
  <si>
    <t>TAE711899</t>
  </si>
  <si>
    <t>TAE686876</t>
  </si>
  <si>
    <t>TAE5856850</t>
  </si>
  <si>
    <t>AB10004629</t>
  </si>
  <si>
    <t>AB10005229</t>
  </si>
  <si>
    <t>AB10005660</t>
  </si>
  <si>
    <t>AB10005768</t>
  </si>
  <si>
    <t>AB10006620</t>
  </si>
  <si>
    <t>TAE048605</t>
  </si>
  <si>
    <t>TAE411267</t>
  </si>
  <si>
    <t>TAE672815</t>
  </si>
  <si>
    <t>TAE698969</t>
  </si>
  <si>
    <t>TAE708939</t>
  </si>
  <si>
    <t>TAE709592</t>
  </si>
  <si>
    <t>TAE740885</t>
  </si>
  <si>
    <t>TAE743837</t>
  </si>
  <si>
    <t>TAE760433</t>
  </si>
  <si>
    <t>T616DPV</t>
  </si>
  <si>
    <t>T690BMY</t>
  </si>
  <si>
    <t>T629DPW</t>
  </si>
  <si>
    <t>T699BMY</t>
  </si>
  <si>
    <t>T872CQL</t>
  </si>
  <si>
    <t>T455CRA</t>
  </si>
  <si>
    <t>T322DUD</t>
  </si>
  <si>
    <t>T674CJT</t>
  </si>
  <si>
    <t>T728CVC</t>
  </si>
  <si>
    <t>T998DWJ</t>
  </si>
  <si>
    <t>JACKSON FRANK NASARI</t>
  </si>
  <si>
    <t>AB10005602</t>
  </si>
  <si>
    <t>FAIDHAL IAN SHUNDI</t>
  </si>
  <si>
    <t>AB10005642</t>
  </si>
  <si>
    <t>ABDALAH SAID NYAMONDE</t>
  </si>
  <si>
    <t>TAE702933</t>
  </si>
  <si>
    <t>HAMIS MOHAMED NYANYANGE</t>
  </si>
  <si>
    <t>TAE723240</t>
  </si>
  <si>
    <t>SMD-CU-2025-577</t>
  </si>
  <si>
    <t>SMD-CU-2025-576</t>
  </si>
  <si>
    <t>SMD-CU-2025-574</t>
  </si>
  <si>
    <t>SMD-CU-2025-575</t>
  </si>
  <si>
    <t>SMD-CU-2025-573</t>
  </si>
  <si>
    <t>SMD-CU-2025-491</t>
  </si>
  <si>
    <t>SMD-CU-2025-489</t>
  </si>
  <si>
    <t>SMD-CU-2025-496</t>
  </si>
  <si>
    <t>SMD-CU-2025-498</t>
  </si>
  <si>
    <t>SMD-CU-2025-DEC-227</t>
  </si>
  <si>
    <t>SMD-CU-2025-DEC-225</t>
  </si>
  <si>
    <t>SMD-CU-2025-DEC-226</t>
  </si>
  <si>
    <t>SMD-CU-2025-560</t>
  </si>
  <si>
    <t>SMD-CU-2025-558</t>
  </si>
  <si>
    <t>SMD-CU-2025-561</t>
  </si>
  <si>
    <t>SMD-CU-2025-559</t>
  </si>
  <si>
    <t>SMD-CU-2025-562</t>
  </si>
  <si>
    <t>SMD-CU-2025-563</t>
  </si>
  <si>
    <t>Completed</t>
  </si>
  <si>
    <t>255655262686</t>
  </si>
  <si>
    <t>THOBIAS NICOLUS ANDREA</t>
  </si>
  <si>
    <t>AB10011647</t>
  </si>
  <si>
    <t>2) Offloading Point: RELOAD TANZANIA (TPA)</t>
  </si>
  <si>
    <t>3) Tunduma Clearance by : AIRSEA CLEARING &amp; FORWARDING</t>
  </si>
  <si>
    <t>AB10005541</t>
  </si>
  <si>
    <t>AB100047642</t>
  </si>
  <si>
    <t>T184CVF</t>
  </si>
  <si>
    <t>SMD-CU-2025-638</t>
  </si>
  <si>
    <t>SMD-CU-2025-639</t>
  </si>
  <si>
    <t>SMD-CU-2025-640</t>
  </si>
  <si>
    <t>SMD-CU-2025-634</t>
  </si>
  <si>
    <t>SMD-CU-2025-635</t>
  </si>
  <si>
    <t>SMD-CU-2025-636</t>
  </si>
  <si>
    <t>SMD-CU-2025-637</t>
  </si>
  <si>
    <t>SMD-CU-2025-585</t>
  </si>
  <si>
    <t>SMD-CU-2025-586</t>
  </si>
  <si>
    <t>SMD-CU-2025-587</t>
  </si>
  <si>
    <t>SMD-CU-2025-588</t>
  </si>
  <si>
    <t>SMD-CU-2025-589</t>
  </si>
  <si>
    <t>SMD-CU-2025-591</t>
  </si>
  <si>
    <t>SMD-CU-2025-592</t>
  </si>
  <si>
    <t>SMD-CU-2025-597</t>
  </si>
  <si>
    <t>SMD-CU-2025-596</t>
  </si>
  <si>
    <t>SMD-CU-2025-595</t>
  </si>
  <si>
    <t>SMD-CU-2025-594</t>
  </si>
  <si>
    <t>SMD-CU-2025-593</t>
  </si>
  <si>
    <t>SMD-CU-2025-590</t>
  </si>
  <si>
    <t>T868CJS</t>
  </si>
  <si>
    <t>T189EGH</t>
  </si>
  <si>
    <t>T334DWZ</t>
  </si>
  <si>
    <t>T586DPW</t>
  </si>
  <si>
    <t>T469DZH</t>
  </si>
  <si>
    <t>T879EBS</t>
  </si>
  <si>
    <t>T134EES</t>
  </si>
  <si>
    <t>T203EES</t>
  </si>
  <si>
    <t>T955ASG</t>
  </si>
  <si>
    <t>T395DSM</t>
  </si>
  <si>
    <t>T630DXS</t>
  </si>
  <si>
    <t>T633DXS</t>
  </si>
  <si>
    <t>T517AUU</t>
  </si>
  <si>
    <t>T936DWJ</t>
  </si>
  <si>
    <t>T226DQD</t>
  </si>
  <si>
    <t>T509DQD</t>
  </si>
  <si>
    <t>T208DZH</t>
  </si>
  <si>
    <t>T193DZH</t>
  </si>
  <si>
    <t>T969EBC</t>
  </si>
  <si>
    <t>T548EBB</t>
  </si>
  <si>
    <t>T695EHV</t>
  </si>
  <si>
    <t>T726EHV</t>
  </si>
  <si>
    <t xml:space="preserve">RAMADHANI MOHAMED LIBONGE </t>
  </si>
  <si>
    <t>HARUOB MANSOORY SULEIMAN</t>
  </si>
  <si>
    <t>WAZIRI SALEHE MWADEGU</t>
  </si>
  <si>
    <t>MBARAKA ABDALLAH ATHUMANI</t>
  </si>
  <si>
    <t>ASAJILE RICHARD MWAKATUMBULA</t>
  </si>
  <si>
    <t>DENIS MWEMEZI THOMAS</t>
  </si>
  <si>
    <t>HAMISI SALUMU MAGOMBEKA</t>
  </si>
  <si>
    <t>KAYUSI COELESTINE ALFRED</t>
  </si>
  <si>
    <t>255784 983350</t>
  </si>
  <si>
    <t>255713 423221</t>
  </si>
  <si>
    <t>255719 186681</t>
  </si>
  <si>
    <t>255760631522</t>
  </si>
  <si>
    <t>255657 140755/255767 783499</t>
  </si>
  <si>
    <t>255785515414/255766852122</t>
  </si>
  <si>
    <t>255682 685649</t>
  </si>
  <si>
    <t>255759 948930</t>
  </si>
  <si>
    <t>AB10017036</t>
  </si>
  <si>
    <t>TAE725985</t>
  </si>
  <si>
    <t>TAE660218</t>
  </si>
  <si>
    <t>TAE700361</t>
  </si>
  <si>
    <t>TAE656657</t>
  </si>
  <si>
    <t>TAE813780</t>
  </si>
  <si>
    <t>TAE7955110</t>
  </si>
  <si>
    <t>T226DNF</t>
  </si>
  <si>
    <t>T634AVR</t>
  </si>
  <si>
    <t>T384DSM</t>
  </si>
  <si>
    <t>T580DMJ</t>
  </si>
  <si>
    <t>T735BAK</t>
  </si>
  <si>
    <t>T935DWJ</t>
  </si>
  <si>
    <t>T463DZH</t>
  </si>
  <si>
    <t>T340EBB</t>
  </si>
  <si>
    <t>T569EBB</t>
  </si>
  <si>
    <t>T872EBS</t>
  </si>
  <si>
    <t>T966EBC</t>
  </si>
  <si>
    <t>T550EBB</t>
  </si>
  <si>
    <t>BILALI ATHUMANI MTINDA</t>
  </si>
  <si>
    <t>IDDY SHABAN RAMADHAN </t>
  </si>
  <si>
    <t>JOSEPH NICODEMAS HOSEA</t>
  </si>
  <si>
    <t xml:space="preserve">MUSSA DAUDI PEME </t>
  </si>
  <si>
    <t>255655 424748</t>
  </si>
  <si>
    <t>255755 240624</t>
  </si>
  <si>
    <t>255689 314335</t>
  </si>
  <si>
    <t>255692000145/255755424550</t>
  </si>
  <si>
    <t>TAE717640</t>
  </si>
  <si>
    <t>SMD-CU-2025-694</t>
  </si>
  <si>
    <t>SMD-CU-2025-702</t>
  </si>
  <si>
    <t>SMD-CU-2025-701</t>
  </si>
  <si>
    <t>255614009002</t>
  </si>
  <si>
    <t>SMD-CU-2025-687</t>
  </si>
  <si>
    <t>255654 756362</t>
  </si>
  <si>
    <t>T965EBB</t>
  </si>
  <si>
    <t>T497EBZ</t>
  </si>
  <si>
    <t>T820EEC</t>
  </si>
  <si>
    <t>T259EDQ</t>
  </si>
  <si>
    <t>T674EBR</t>
  </si>
  <si>
    <t>T397EFV</t>
  </si>
  <si>
    <t>T977CCB</t>
  </si>
  <si>
    <t>T361EDQ</t>
  </si>
  <si>
    <t>T668EBR</t>
  </si>
  <si>
    <t>T607EFK</t>
  </si>
  <si>
    <t>T997DDJ</t>
  </si>
  <si>
    <t>T893EBK</t>
  </si>
  <si>
    <t>T217EGE</t>
  </si>
  <si>
    <t>T133ECF</t>
  </si>
  <si>
    <t>T223EGE</t>
  </si>
  <si>
    <t>T640EKR</t>
  </si>
  <si>
    <t>T981ECQ</t>
  </si>
  <si>
    <t>T228EKB</t>
  </si>
  <si>
    <t>T896EAJ</t>
  </si>
  <si>
    <t>T637EFV</t>
  </si>
  <si>
    <t>T693EJW</t>
  </si>
  <si>
    <t>T891EAJ</t>
  </si>
  <si>
    <t>T621EFV</t>
  </si>
  <si>
    <t>T230EKM</t>
  </si>
  <si>
    <t>T982ECQ</t>
  </si>
  <si>
    <t>FRANCISKAKWEMBE</t>
  </si>
  <si>
    <t>KASSIM NGASSA</t>
  </si>
  <si>
    <t>AHMED HUSSEIN</t>
  </si>
  <si>
    <t>MICHAEL KABETA</t>
  </si>
  <si>
    <t xml:space="preserve">RAMADHANI KITAMBI </t>
  </si>
  <si>
    <t>ISMAIL MSHANA</t>
  </si>
  <si>
    <t>MOHAMED YASIN</t>
  </si>
  <si>
    <t xml:space="preserve">JUMA TAMBA </t>
  </si>
  <si>
    <t xml:space="preserve">WILSON KENJA </t>
  </si>
  <si>
    <t>JONATHAN BUGANDA</t>
  </si>
  <si>
    <t>KASIAN HAULE</t>
  </si>
  <si>
    <t>AB1357888</t>
  </si>
  <si>
    <t>TAE684487</t>
  </si>
  <si>
    <t>TAE666851</t>
  </si>
  <si>
    <t>TAE615743</t>
  </si>
  <si>
    <t>TAE721195</t>
  </si>
  <si>
    <t>AB1556959</t>
  </si>
  <si>
    <t>TAE749549</t>
  </si>
  <si>
    <t>TAE675985</t>
  </si>
  <si>
    <t>TAE689140</t>
  </si>
  <si>
    <t>TAE657457</t>
  </si>
  <si>
    <t>AB01689343</t>
  </si>
  <si>
    <t>TAE699342</t>
  </si>
  <si>
    <t>AB1741297</t>
  </si>
  <si>
    <t>OP0350357</t>
  </si>
  <si>
    <t>TAE375270</t>
  </si>
  <si>
    <t>T196EBF</t>
  </si>
  <si>
    <t>T326EJU</t>
  </si>
  <si>
    <t>T604EFK</t>
  </si>
  <si>
    <t>T890EBK</t>
  </si>
  <si>
    <t>T805ECQ</t>
  </si>
  <si>
    <t>T645EKY</t>
  </si>
  <si>
    <t>T816DVF</t>
  </si>
  <si>
    <t>T980ECQ</t>
  </si>
  <si>
    <t xml:space="preserve">EDGAR CHILANGAZI </t>
  </si>
  <si>
    <t xml:space="preserve">KASSIM MKIKIMA </t>
  </si>
  <si>
    <t xml:space="preserve">MOSSI HUSSEIN </t>
  </si>
  <si>
    <t>GEORGE MASELE</t>
  </si>
  <si>
    <t>AB1684831</t>
  </si>
  <si>
    <t>AB1723257</t>
  </si>
  <si>
    <t>AB1684830</t>
  </si>
  <si>
    <t>TAE770040</t>
  </si>
  <si>
    <t>TAE577512</t>
  </si>
  <si>
    <t>TAE686274</t>
  </si>
  <si>
    <t>TAE491709</t>
  </si>
  <si>
    <t>TAE813677</t>
  </si>
  <si>
    <t>TAE685167</t>
  </si>
  <si>
    <t>TAE695393</t>
  </si>
  <si>
    <t>TAE735733</t>
  </si>
  <si>
    <t>TAE435825</t>
  </si>
  <si>
    <t>TAE778384</t>
  </si>
  <si>
    <t>TAE695183</t>
  </si>
  <si>
    <t>TAE565611</t>
  </si>
  <si>
    <t>TAE708834</t>
  </si>
  <si>
    <t>THABIT MRISHO BATTANSINGH</t>
  </si>
  <si>
    <t>BATISTER KRISTOM SOKO</t>
  </si>
  <si>
    <t>SAMWEL JACKSON CHACHA</t>
  </si>
  <si>
    <t>SAID YAHYA MOHAMMED</t>
  </si>
  <si>
    <t>ISAKA LAZARO DAUDI</t>
  </si>
  <si>
    <t>ATHUMANI NDIMBAYE</t>
  </si>
  <si>
    <t>ISACK MICHAEL NKELELWA</t>
  </si>
  <si>
    <t>MASALA SAMWEL MASANJA</t>
  </si>
  <si>
    <t>POLYCAP TITUS MDULINGWA</t>
  </si>
  <si>
    <t>BAHATI AUGUSTINO NGUVUMALI</t>
  </si>
  <si>
    <t>SEMU ALFREDY MUHEMECHI</t>
  </si>
  <si>
    <t>MTENZI METHEW SIYOVELA</t>
  </si>
  <si>
    <t>SHAHA TWALIBU MUSSA</t>
  </si>
  <si>
    <t>NASSOR SAID HASSANI</t>
  </si>
  <si>
    <t>HAJI HAMISI MNG'AGI</t>
  </si>
  <si>
    <t>SALUMU ABDALAAH LIAMBATA</t>
  </si>
  <si>
    <t>T880EJU</t>
  </si>
  <si>
    <t>T148EJV</t>
  </si>
  <si>
    <t>T922EJU</t>
  </si>
  <si>
    <t>T996EJU</t>
  </si>
  <si>
    <t>T912EJU</t>
  </si>
  <si>
    <t>T144EJV</t>
  </si>
  <si>
    <t>T931EJU</t>
  </si>
  <si>
    <t>T956EJU</t>
  </si>
  <si>
    <t>T857EFC</t>
  </si>
  <si>
    <t>T184EFH</t>
  </si>
  <si>
    <t>T928EFC</t>
  </si>
  <si>
    <t>T199EFH</t>
  </si>
  <si>
    <t>T893EFC</t>
  </si>
  <si>
    <t>T194EFH</t>
  </si>
  <si>
    <t>T890EJU</t>
  </si>
  <si>
    <t>T968EJU</t>
  </si>
  <si>
    <t>T940EFC</t>
  </si>
  <si>
    <t>T203EFH</t>
  </si>
  <si>
    <t>T916EJU</t>
  </si>
  <si>
    <t>T 133 EJV</t>
  </si>
  <si>
    <t>T883EJU</t>
  </si>
  <si>
    <t>T 152 EJV</t>
  </si>
  <si>
    <t>T871EFC</t>
  </si>
  <si>
    <t>T 188 EFH</t>
  </si>
  <si>
    <t>T840EFC</t>
  </si>
  <si>
    <t>T 179 EFH</t>
  </si>
  <si>
    <t>T923EJU</t>
  </si>
  <si>
    <t>T 952 EJU</t>
  </si>
  <si>
    <t>T930EJU</t>
  </si>
  <si>
    <t>T 155 EJV</t>
  </si>
  <si>
    <t>T908EJU</t>
  </si>
  <si>
    <t>T171EJV</t>
  </si>
  <si>
    <t>SMD-CU-2025-711</t>
  </si>
  <si>
    <t>SMD-CU-2025-705</t>
  </si>
  <si>
    <t>SMD-CU-2025-706</t>
  </si>
  <si>
    <t>SMD-CU-2025-707</t>
  </si>
  <si>
    <t>SMD-CU-2025-708</t>
  </si>
  <si>
    <t>SMD-CU-2025-709</t>
  </si>
  <si>
    <t>SMD-CU-2025-710</t>
  </si>
  <si>
    <t>SMD-CU-2025-724</t>
  </si>
  <si>
    <t>SMD-CU-2025-725</t>
  </si>
  <si>
    <t>SMD-CU-2025-726</t>
  </si>
  <si>
    <t>SMD-CU-2025-727</t>
  </si>
  <si>
    <t>SMD-CU-2025-728</t>
  </si>
  <si>
    <t>SMD-CU-2025-729</t>
  </si>
  <si>
    <t>SMD-CU-2025-730</t>
  </si>
  <si>
    <t>SMD-CU-2025-731</t>
  </si>
  <si>
    <t>SMD-CU-2025-732</t>
  </si>
  <si>
    <t>SMD-CU-2025-733</t>
  </si>
  <si>
    <t>SMD-CU-2025-734</t>
  </si>
  <si>
    <t>SMD-CU-2025-735</t>
  </si>
  <si>
    <t>SMD-CU-2025-736</t>
  </si>
  <si>
    <t>SMD-CU-2025-737</t>
  </si>
  <si>
    <t>SMD-CU-2025-738</t>
  </si>
  <si>
    <t>SMD-CU-2025-739</t>
  </si>
  <si>
    <t>SMD-CU-2025-740</t>
  </si>
  <si>
    <t>SMD-CU-2025-741</t>
  </si>
  <si>
    <t>SMD-CU-2025-742</t>
  </si>
  <si>
    <t>SMD-CU-2025-743</t>
  </si>
  <si>
    <t>SMD-CU-2025-744</t>
  </si>
  <si>
    <t>SMD-CU-2025-745</t>
  </si>
  <si>
    <r>
      <rPr>
        <strike/>
        <sz val="10"/>
        <color theme="1"/>
        <rFont val="Calibri"/>
        <family val="2"/>
        <scheme val="minor"/>
      </rPr>
      <t>T972EBX</t>
    </r>
    <r>
      <rPr>
        <sz val="10"/>
        <color theme="1"/>
        <rFont val="Calibri"/>
        <family val="2"/>
        <scheme val="minor"/>
      </rPr>
      <t>/T984EBX</t>
    </r>
  </si>
  <si>
    <t>AB10010522</t>
  </si>
  <si>
    <t>CANCELL TRUCKS</t>
  </si>
  <si>
    <t>AB1811413</t>
  </si>
  <si>
    <t>AB100147477</t>
  </si>
  <si>
    <t>AB10001386</t>
  </si>
  <si>
    <t>TAE698321</t>
  </si>
  <si>
    <t>SMD-CU-2025-747</t>
  </si>
  <si>
    <t>SMD-CU-2025-746</t>
  </si>
  <si>
    <t>SMD-CU-2025-748</t>
  </si>
  <si>
    <t>SMD-CU-2025-749</t>
  </si>
  <si>
    <t>SMD-CU-2025-750</t>
  </si>
  <si>
    <t>SMD-CU-2025-752</t>
  </si>
  <si>
    <t>SMD-CU-2025-753</t>
  </si>
  <si>
    <t>SMD-CU-2025-777</t>
  </si>
  <si>
    <t>SMD-CU-2025-761</t>
  </si>
  <si>
    <t>SMD-CU-2025-778</t>
  </si>
  <si>
    <t>SMD-CU-2025-759</t>
  </si>
  <si>
    <t>SMD-CU-2025-760</t>
  </si>
  <si>
    <t>SMD-CU-2025-782</t>
  </si>
  <si>
    <t>SMD-CU-2025-783</t>
  </si>
  <si>
    <t>SMD-CU-2025-751</t>
  </si>
  <si>
    <t>C. Steinweg Bridge Tanzania Ltd</t>
  </si>
  <si>
    <t>255675 326733</t>
  </si>
  <si>
    <t>255787 130500/255716 206877</t>
  </si>
  <si>
    <t>255713 008354</t>
  </si>
  <si>
    <t>255676 672421</t>
  </si>
  <si>
    <t>255713 207218</t>
  </si>
  <si>
    <t>255766 721814</t>
  </si>
  <si>
    <t>255784 072384</t>
  </si>
  <si>
    <t>255786 925786</t>
  </si>
  <si>
    <t>255614 009002</t>
  </si>
  <si>
    <t>255787 491400</t>
  </si>
  <si>
    <t>255717 174936</t>
  </si>
  <si>
    <t>2) Offloading Point:C. Steinweg Bridge Tanzania Ltd</t>
  </si>
  <si>
    <t>3) Tunduma Clearance by : : Bravo Logistics</t>
  </si>
  <si>
    <t>T709EHZ</t>
  </si>
  <si>
    <t>T147EHW</t>
  </si>
  <si>
    <t>T344DWZ</t>
  </si>
  <si>
    <t>T124DXM</t>
  </si>
  <si>
    <t>T125DXM</t>
  </si>
  <si>
    <t>T218EES</t>
  </si>
  <si>
    <t>T349EGE</t>
  </si>
  <si>
    <t>T167EES</t>
  </si>
  <si>
    <t>T118DXM</t>
  </si>
  <si>
    <t>T119DXM</t>
  </si>
  <si>
    <t>T145EES</t>
  </si>
  <si>
    <t>T522EFH</t>
  </si>
  <si>
    <t>T337BXK</t>
  </si>
  <si>
    <t>T462DZH</t>
  </si>
  <si>
    <t>T993ATE</t>
  </si>
  <si>
    <t>T338EFR</t>
  </si>
  <si>
    <t>T371CRT</t>
  </si>
  <si>
    <t>T102DWK</t>
  </si>
  <si>
    <t>T156DDY</t>
  </si>
  <si>
    <t>T848CBB</t>
  </si>
  <si>
    <t>ABDUL ALLY ALLY</t>
  </si>
  <si>
    <t>ABDALLAH ATHUMAN MUIRA</t>
  </si>
  <si>
    <t>ABRAHAM KATINA SHIJA</t>
  </si>
  <si>
    <t>TWALIBU JOSEPH CHUGA</t>
  </si>
  <si>
    <t>SHABANI RAMADHANI IDDI</t>
  </si>
  <si>
    <t>HUDHAIFA KAZEMBWE HILALY</t>
  </si>
  <si>
    <t>JUMA BAKARI ALLY</t>
  </si>
  <si>
    <t>NDANDA MATHIAS GEORGE</t>
  </si>
  <si>
    <t>BAKARI SEIF NGOO</t>
  </si>
  <si>
    <t>JACKOBO PHILIPO MAPOLU</t>
  </si>
  <si>
    <t>AB10042456</t>
  </si>
  <si>
    <t>TAE660104</t>
  </si>
  <si>
    <t>TAE712521</t>
  </si>
  <si>
    <t>AB10041658</t>
  </si>
  <si>
    <t>TAE736809</t>
  </si>
  <si>
    <t>TAE639404</t>
  </si>
  <si>
    <t>TAE856850</t>
  </si>
  <si>
    <t>AB10043132</t>
  </si>
  <si>
    <t>NDOLA</t>
  </si>
  <si>
    <t>AB10043518</t>
  </si>
  <si>
    <t>AB10043154</t>
  </si>
  <si>
    <t>AB10043223</t>
  </si>
  <si>
    <t>SMD-CU-2025-781</t>
  </si>
  <si>
    <t>AB10020702</t>
  </si>
  <si>
    <t>AB10040035</t>
  </si>
  <si>
    <t>AB10042239</t>
  </si>
  <si>
    <t>T873DRL</t>
  </si>
  <si>
    <t>T478CRA</t>
  </si>
  <si>
    <t>T703DRY</t>
  </si>
  <si>
    <t>T206DSK</t>
  </si>
  <si>
    <t>T307DRF</t>
  </si>
  <si>
    <t>T494DCA</t>
  </si>
  <si>
    <t>T158DDY</t>
  </si>
  <si>
    <t>T386ABA</t>
  </si>
  <si>
    <t>T722BVB</t>
  </si>
  <si>
    <t>T416EFX</t>
  </si>
  <si>
    <t>T201EFX</t>
  </si>
  <si>
    <t>T320DWU</t>
  </si>
  <si>
    <t>T722BAK</t>
  </si>
  <si>
    <t>T400DZH</t>
  </si>
  <si>
    <t>T502BWD</t>
  </si>
  <si>
    <t>T495DQH</t>
  </si>
  <si>
    <t>T362DRQ</t>
  </si>
  <si>
    <t>T633DRM</t>
  </si>
  <si>
    <t>T699DRY</t>
  </si>
  <si>
    <t>T207DSK</t>
  </si>
  <si>
    <t>T770CRG</t>
  </si>
  <si>
    <t>T187DED</t>
  </si>
  <si>
    <t>T557DTR</t>
  </si>
  <si>
    <t>CASTORY HENRY MWILAPWA</t>
  </si>
  <si>
    <t>LAWSON GWASEKANA KASHILILIKA</t>
  </si>
  <si>
    <t>MAGANGA EMMANUEL</t>
  </si>
  <si>
    <t>ALFRED FLOWIN KOMBA</t>
  </si>
  <si>
    <t>ABDALAH OMARI MATAKA</t>
  </si>
  <si>
    <t>ABAS AHMED ABAS</t>
  </si>
  <si>
    <t>JERRY KALEB MAZENGO</t>
  </si>
  <si>
    <t xml:space="preserve">MUSSA ZUBERI MATIMBWA </t>
  </si>
  <si>
    <t>DAUDI OMARI MDOE </t>
  </si>
  <si>
    <t>GODWIN KOSAMU SAMPAMBA </t>
  </si>
  <si>
    <t>255682232313</t>
  </si>
  <si>
    <t>255769 322599</t>
  </si>
  <si>
    <t>255685 433653/255786 696653</t>
  </si>
  <si>
    <t>255686 679452</t>
  </si>
  <si>
    <t>255687097710/255716422292</t>
  </si>
  <si>
    <t>255672 815940/255656 337713</t>
  </si>
  <si>
    <t>255783 825944</t>
  </si>
  <si>
    <t>255658 361072</t>
  </si>
  <si>
    <t>255653 105272/255743611581</t>
  </si>
  <si>
    <t>TAE679629</t>
  </si>
  <si>
    <t>TAE671650</t>
  </si>
  <si>
    <t>AB1646340</t>
  </si>
  <si>
    <t>TAE691183</t>
  </si>
  <si>
    <t>TAE687103</t>
  </si>
  <si>
    <t>AB10018144</t>
  </si>
  <si>
    <t>AB10016817</t>
  </si>
  <si>
    <t>TAE439179</t>
  </si>
  <si>
    <t>AB10023214</t>
  </si>
  <si>
    <t>TAE799612</t>
  </si>
  <si>
    <t>JACKSON FRANK NASAR</t>
  </si>
  <si>
    <t>255717 174937</t>
  </si>
  <si>
    <t>AB10043723</t>
  </si>
  <si>
    <t>AB10043251</t>
  </si>
  <si>
    <t>T606DPW</t>
  </si>
  <si>
    <t>T182DED</t>
  </si>
  <si>
    <t>T935CAS</t>
  </si>
  <si>
    <t>T118BFS</t>
  </si>
  <si>
    <t>T490ELF</t>
  </si>
  <si>
    <t>T154DDY</t>
  </si>
  <si>
    <t>T982ASG</t>
  </si>
  <si>
    <t>T923DCP</t>
  </si>
  <si>
    <t>T251ARR</t>
  </si>
  <si>
    <t>T725DPW</t>
  </si>
  <si>
    <t>T308BXG</t>
  </si>
  <si>
    <t>T588DPW</t>
  </si>
  <si>
    <t>T565CTF</t>
  </si>
  <si>
    <t>T623DPV</t>
  </si>
  <si>
    <t>T101APA</t>
  </si>
  <si>
    <t>T864EBS</t>
  </si>
  <si>
    <t>T964EBC</t>
  </si>
  <si>
    <t>T581DMJ</t>
  </si>
  <si>
    <t>T724CVC</t>
  </si>
  <si>
    <t>T917EJU</t>
  </si>
  <si>
    <t>T973EJU</t>
  </si>
  <si>
    <t>T892EJU</t>
  </si>
  <si>
    <t>T117EJV</t>
  </si>
  <si>
    <t>T408DTF</t>
  </si>
  <si>
    <t>T551EBB</t>
  </si>
  <si>
    <t>BONIPHACE KASIMU KAMBANANGE</t>
  </si>
  <si>
    <t>MATHIAS  RICHARD NGAA</t>
  </si>
  <si>
    <t>SALEH OMARY PASWELE</t>
  </si>
  <si>
    <t>ALLY  MOHAMEDI KAJO</t>
  </si>
  <si>
    <t>DANIFRED FANUEL DEDU</t>
  </si>
  <si>
    <t>EDWARD JOSEPH LISO</t>
  </si>
  <si>
    <t>CHILE JACOB MAHENGE</t>
  </si>
  <si>
    <t>ELIA EMANUEL MBAWALA</t>
  </si>
  <si>
    <t>GABRIEL MGAWE MPESULA</t>
  </si>
  <si>
    <t xml:space="preserve">OWENI  NAZARENO NGOLO </t>
  </si>
  <si>
    <t>ARON  GERALD MDUGO</t>
  </si>
  <si>
    <t>ALLY MWAMEDI RASHIDI</t>
  </si>
  <si>
    <t>MUSTAPHA RAJABU NKWEPU</t>
  </si>
  <si>
    <t>ANTHONI  NIKOLASI MAHINYA</t>
  </si>
  <si>
    <t>BENEDICT  DEOGRATIUS MBATA</t>
  </si>
  <si>
    <t>255655 262686</t>
  </si>
  <si>
    <t>255718971919</t>
  </si>
  <si>
    <t>255683 505994</t>
  </si>
  <si>
    <t>255622 020304</t>
  </si>
  <si>
    <t>255781 696620</t>
  </si>
  <si>
    <t>255783 584040</t>
  </si>
  <si>
    <t>255765 724450</t>
  </si>
  <si>
    <t>255788466224</t>
  </si>
  <si>
    <t>255654 871085</t>
  </si>
  <si>
    <t>255654708862/255745329358</t>
  </si>
  <si>
    <t>255696 964241</t>
  </si>
  <si>
    <t>0753933347</t>
  </si>
  <si>
    <t>0759426072</t>
  </si>
  <si>
    <t>AB10033667</t>
  </si>
  <si>
    <t>TAE 652871</t>
  </si>
  <si>
    <t>TAE684089</t>
  </si>
  <si>
    <t>AB10029813</t>
  </si>
  <si>
    <t>AB10028742</t>
  </si>
  <si>
    <t>AB10002444</t>
  </si>
  <si>
    <t>AB10039512</t>
  </si>
  <si>
    <t>AB10037395</t>
  </si>
  <si>
    <t>AB10041902</t>
  </si>
  <si>
    <t>AB10040283</t>
  </si>
  <si>
    <t>AB10041469</t>
  </si>
  <si>
    <t>AB10046725</t>
  </si>
  <si>
    <t>TAE805749</t>
  </si>
  <si>
    <t>AB10001696</t>
  </si>
  <si>
    <t>AB10037378</t>
  </si>
  <si>
    <t>SMD-CU-2025-923</t>
  </si>
  <si>
    <t>SMD-CU-2025-COSMOS-002</t>
  </si>
  <si>
    <t>SMD-CU--2025-COSMOS-003</t>
  </si>
  <si>
    <t>SMD-CU--2025-COSMOS-004</t>
  </si>
  <si>
    <t>SMD-CU--2025-COSMOS-012</t>
  </si>
  <si>
    <t>SMD-CU-2025-COSMOS-016</t>
  </si>
  <si>
    <t>SMD-CU-2025-COSMOS-017</t>
  </si>
  <si>
    <t>SMD-CU-2025-COSMOS-018</t>
  </si>
  <si>
    <t>SMD-CU-2025-COSMOS-019</t>
  </si>
  <si>
    <t>SMD-CU-2025-COSMOS-020</t>
  </si>
  <si>
    <t>SMD-CU-2025-COSMOS-021</t>
  </si>
  <si>
    <t>SMD-CU-2025-COSMOS-022</t>
  </si>
  <si>
    <t>SMD-CU-2025-COSMOS-023</t>
  </si>
  <si>
    <t>SMD-CU25-CSM-024</t>
  </si>
  <si>
    <t>SMD-CU25-CSM-025</t>
  </si>
  <si>
    <t>SMD-CU25-CSM-026</t>
  </si>
  <si>
    <t>SMD-CU25-CSM-027</t>
  </si>
  <si>
    <t>SMD-CU25-CSM-028</t>
  </si>
  <si>
    <t>SMD-CU25-CSM-029</t>
  </si>
  <si>
    <t>SMD-CU25-CSM-030</t>
  </si>
  <si>
    <t>SMD-CU-2025-COSMOS-005</t>
  </si>
  <si>
    <t>SMD-CU-2025-COSMOS-006</t>
  </si>
  <si>
    <t>SMD-CU-2025-948</t>
  </si>
  <si>
    <t>SMD-CU-2025-949</t>
  </si>
  <si>
    <t>SMD-CU-2025-951</t>
  </si>
  <si>
    <t>SMD-CU-2025-903</t>
  </si>
  <si>
    <t>TAE403176</t>
  </si>
  <si>
    <t>AB10043175</t>
  </si>
  <si>
    <t>255783363413</t>
  </si>
  <si>
    <t>255716 422902</t>
  </si>
  <si>
    <t>MAWLID HAMIS CHILUMBA</t>
  </si>
  <si>
    <t xml:space="preserve">MOSES JULIUS KASILO </t>
  </si>
  <si>
    <t>T327DWZ</t>
  </si>
  <si>
    <t>T208DSK</t>
  </si>
  <si>
    <t>T462DMH</t>
  </si>
  <si>
    <t>T311BXG</t>
  </si>
  <si>
    <t>T210DUD</t>
  </si>
  <si>
    <t>SMD-CU25-CSM-043</t>
  </si>
  <si>
    <t>SMD-CU25-CSM-038</t>
  </si>
  <si>
    <t>SMD-CU25-CSM-046</t>
  </si>
  <si>
    <t>SMD-CU25-CSM-047</t>
  </si>
  <si>
    <t>SMD-CU25-CSM-037</t>
  </si>
  <si>
    <t>SMD-CU25-CSM-040</t>
  </si>
  <si>
    <t>SMD-CU25-CSM-041</t>
  </si>
  <si>
    <t>SMD-CU25-CSM-042</t>
  </si>
  <si>
    <t>SMD-CU25-CSM-045</t>
  </si>
  <si>
    <t>SMD-CU25-CSM-049</t>
  </si>
  <si>
    <t>SMD-CU25-CSM-050</t>
  </si>
  <si>
    <t>SMD-CU25-CSM-051</t>
  </si>
  <si>
    <t>SMD-CU25-CSM-044</t>
  </si>
  <si>
    <t>SMD-CU25-CSM-048</t>
  </si>
  <si>
    <t>SMD-CU25-CSM-039</t>
  </si>
  <si>
    <t>SMD-CU25-CSM-974</t>
  </si>
  <si>
    <t>SMD-CU25-CSM-975</t>
  </si>
  <si>
    <t>SMD-CU-2025-988</t>
  </si>
  <si>
    <t>SMD-CU-2025-989</t>
  </si>
  <si>
    <t>SMD-CU25-CSM-075</t>
  </si>
  <si>
    <t>SMD-CU25-CSM-093</t>
  </si>
  <si>
    <t>SMD-CU25-CSM-094</t>
  </si>
  <si>
    <t>SMD-CU25-CSM-092</t>
  </si>
  <si>
    <t xml:space="preserve">Ndola Bridge </t>
  </si>
  <si>
    <t>BCF3768ZM</t>
  </si>
  <si>
    <t>BCF3770ZM</t>
  </si>
  <si>
    <t>BCF3769ZM</t>
  </si>
  <si>
    <t>BCF3774ZM</t>
  </si>
  <si>
    <t>BCE8389ZM</t>
  </si>
  <si>
    <t xml:space="preserve">BCE8390ZM </t>
  </si>
  <si>
    <t>BCE6947ZM</t>
  </si>
  <si>
    <t>BCE6949ZM</t>
  </si>
  <si>
    <t>BCF2432ZM</t>
  </si>
  <si>
    <t>BCG678ZM</t>
  </si>
  <si>
    <t>BCG679ZM</t>
  </si>
  <si>
    <t>AJE6607ZM</t>
  </si>
  <si>
    <t>AJE6608ZM</t>
  </si>
  <si>
    <t>AJE6609ZM</t>
  </si>
  <si>
    <t>AJE6610ZM</t>
  </si>
  <si>
    <t>AJE6619ZM</t>
  </si>
  <si>
    <t>AJE6620ZM</t>
  </si>
  <si>
    <t>BCD3549ZM</t>
  </si>
  <si>
    <t>BCD3551ZM</t>
  </si>
  <si>
    <t>BCD3552ZM</t>
  </si>
  <si>
    <t>BCD3546ZM</t>
  </si>
  <si>
    <t>BCD3547ZM</t>
  </si>
  <si>
    <t>BCD3548ZM</t>
  </si>
  <si>
    <t>BCE3532ZM</t>
  </si>
  <si>
    <t>BCF4886ZM</t>
  </si>
  <si>
    <t>BCF4898ZM</t>
  </si>
  <si>
    <t>BCB8023ZM</t>
  </si>
  <si>
    <t>ACP5990T</t>
  </si>
  <si>
    <t>BCE1524ZM</t>
  </si>
  <si>
    <t>ACH8765T</t>
  </si>
  <si>
    <t>BCB8267ZM</t>
  </si>
  <si>
    <t>ACL6791T</t>
  </si>
  <si>
    <t>ACP5619T</t>
  </si>
  <si>
    <t>BCB8178ZM</t>
  </si>
  <si>
    <t>BLB4398ZM</t>
  </si>
  <si>
    <t>BLB4399ZM</t>
  </si>
  <si>
    <t>BCE5315ZM</t>
  </si>
  <si>
    <t xml:space="preserve">ACL 6903T </t>
  </si>
  <si>
    <t>ACP 8293T</t>
  </si>
  <si>
    <t>MUTAU MATAU</t>
  </si>
  <si>
    <t xml:space="preserve"> BRUCE PHIRI </t>
  </si>
  <si>
    <t>KAKINGWE GRAYSON</t>
  </si>
  <si>
    <t>MONDAY HANDONGWE</t>
  </si>
  <si>
    <t>ABDINASIR ALI OMAR</t>
  </si>
  <si>
    <t>AARON MWAMULIMA</t>
  </si>
  <si>
    <t>GIFT MUTENDA</t>
  </si>
  <si>
    <t>ADRIAN MULUMBI</t>
  </si>
  <si>
    <t>MWANSA PARDON</t>
  </si>
  <si>
    <t>RODGERS FUNDA</t>
  </si>
  <si>
    <t>ZN417736</t>
  </si>
  <si>
    <t>ZN949143</t>
  </si>
  <si>
    <t>ZN921961</t>
  </si>
  <si>
    <t>ZN941499</t>
  </si>
  <si>
    <t>ZP052579</t>
  </si>
  <si>
    <t>ZN528357</t>
  </si>
  <si>
    <t>QZ118139</t>
  </si>
  <si>
    <t>P01458772</t>
  </si>
  <si>
    <t>ZQ079793</t>
  </si>
  <si>
    <t>ZN748692</t>
  </si>
  <si>
    <t>ZN790139</t>
  </si>
  <si>
    <t>ZN864069</t>
  </si>
  <si>
    <t>ZQ057544</t>
  </si>
  <si>
    <t>ZP044009</t>
  </si>
  <si>
    <t>HAMWENE KEBBY</t>
  </si>
  <si>
    <t>JONATHAN CHIWEWU</t>
  </si>
  <si>
    <t>KELVIN SIMUNGA</t>
  </si>
  <si>
    <t>JOSEPH LUNGU</t>
  </si>
  <si>
    <t>BCD6683ZM</t>
  </si>
  <si>
    <t>BCD8048ZM</t>
  </si>
  <si>
    <t>BCD9052ZM</t>
  </si>
  <si>
    <t>BCF3636ZM</t>
  </si>
  <si>
    <t>BCD9918ZM</t>
  </si>
  <si>
    <t>BCE3007ZM</t>
  </si>
  <si>
    <t>BCC9391ZM</t>
  </si>
  <si>
    <t>BCE3687ZM</t>
  </si>
  <si>
    <t>JOSEPH KAPUNDA</t>
  </si>
  <si>
    <t>LENARD KATELE</t>
  </si>
  <si>
    <t>EMMANUEL BANDA</t>
  </si>
  <si>
    <t>PATRICK NGULUBE</t>
  </si>
  <si>
    <t>ZQ157698</t>
  </si>
  <si>
    <t>ZN752863</t>
  </si>
  <si>
    <t>ZQ072543</t>
  </si>
  <si>
    <t>ZN926411</t>
  </si>
  <si>
    <t>SMD-CU-2025-950</t>
  </si>
  <si>
    <t>SMD-CU25-CSM-116</t>
  </si>
  <si>
    <t>SMD-CU25-CSM-110</t>
  </si>
  <si>
    <t>SMD-CU25-CSM-111</t>
  </si>
  <si>
    <t>SMD-CU25-CSM-126</t>
  </si>
  <si>
    <t>SMD-CU25-CSM-127</t>
  </si>
  <si>
    <t>SMD-CU25-CSM-128</t>
  </si>
  <si>
    <t>SMD-CU25-CSM-129</t>
  </si>
  <si>
    <t>SMD-CU25-CSM-112</t>
  </si>
  <si>
    <t>SMD-CU25-CSM-113</t>
  </si>
  <si>
    <t>SMD-CU25-CSM-114</t>
  </si>
  <si>
    <t>SMD-CU25-CSM-115</t>
  </si>
  <si>
    <t>SMD-CU25-CSM-117</t>
  </si>
  <si>
    <t>SMD-CU-2025-1060</t>
  </si>
  <si>
    <t>SMD-CU-2025-1061</t>
  </si>
  <si>
    <t>SMD-CU-2025-1062</t>
  </si>
  <si>
    <t>SMD-CU-2025-1063</t>
  </si>
  <si>
    <t>SMD-CU-2025-1064</t>
  </si>
  <si>
    <t>SMD-CU25-CSM-100</t>
  </si>
  <si>
    <t>AISHA HUSSEIN RAMADHANI</t>
  </si>
  <si>
    <t>BCB8101ZM</t>
  </si>
  <si>
    <t>BCF3181ZM</t>
  </si>
  <si>
    <t>BCF3180ZM</t>
  </si>
  <si>
    <t>ROBERT BANDA</t>
  </si>
  <si>
    <t>ZN789926</t>
  </si>
  <si>
    <t>BAJ1167ZM</t>
  </si>
  <si>
    <t>BCF3179ZM</t>
  </si>
  <si>
    <t>ABT2446T</t>
  </si>
  <si>
    <t>BRIGHT MWANSA</t>
  </si>
  <si>
    <t>ZN696828</t>
  </si>
  <si>
    <t>Dar Reload</t>
  </si>
  <si>
    <t>T883ECV</t>
  </si>
  <si>
    <t>T514AUU</t>
  </si>
  <si>
    <t>T383DZH</t>
  </si>
  <si>
    <t>T466CBM</t>
  </si>
  <si>
    <t>T287EMP</t>
  </si>
  <si>
    <t>T301BXT</t>
  </si>
  <si>
    <t>T758CVC</t>
  </si>
  <si>
    <t>T720EFH</t>
  </si>
  <si>
    <t>T859DVK</t>
  </si>
  <si>
    <t>T495DCA</t>
  </si>
  <si>
    <t>T490DQH</t>
  </si>
  <si>
    <t>T899BBQ</t>
  </si>
  <si>
    <t>T651BZY</t>
  </si>
  <si>
    <t>T654AVR</t>
  </si>
  <si>
    <t>T512EFH</t>
  </si>
  <si>
    <t>T614DPV</t>
  </si>
  <si>
    <t>T530CTF</t>
  </si>
  <si>
    <t>T196EMP</t>
  </si>
  <si>
    <t>T182EES</t>
  </si>
  <si>
    <t>T184BUF</t>
  </si>
  <si>
    <t>T536EFH</t>
  </si>
  <si>
    <t>T710EHZ</t>
  </si>
  <si>
    <t>T139EHW</t>
  </si>
  <si>
    <t>T232EMM</t>
  </si>
  <si>
    <t>T944DEY</t>
  </si>
  <si>
    <t>T383DGN</t>
  </si>
  <si>
    <t>T139EES</t>
  </si>
  <si>
    <t>T454CBM</t>
  </si>
  <si>
    <t>T290EMP</t>
  </si>
  <si>
    <t>T592DPW</t>
  </si>
  <si>
    <t>T777AXN</t>
  </si>
  <si>
    <t>T285EMP</t>
  </si>
  <si>
    <t>T223DNF</t>
  </si>
  <si>
    <t>T810BYV</t>
  </si>
  <si>
    <t>T253EMM</t>
  </si>
  <si>
    <t>T666CJT</t>
  </si>
  <si>
    <t>T929CTU</t>
  </si>
  <si>
    <t>T611EFH</t>
  </si>
  <si>
    <t>T447EFR</t>
  </si>
  <si>
    <t>T239EFX</t>
  </si>
  <si>
    <t>T315EFX</t>
  </si>
  <si>
    <t>T717DMS</t>
  </si>
  <si>
    <t>T246DQD</t>
  </si>
  <si>
    <t>T511DQD</t>
  </si>
  <si>
    <t>T310EES</t>
  </si>
  <si>
    <t>T254DQD</t>
  </si>
  <si>
    <t>T515DQD</t>
  </si>
  <si>
    <t>T207DYR</t>
  </si>
  <si>
    <t>T742BAK</t>
  </si>
  <si>
    <t>T567DTR</t>
  </si>
  <si>
    <t>T251CVP</t>
  </si>
  <si>
    <t>T188CVF</t>
  </si>
  <si>
    <t>T675DUQ</t>
  </si>
  <si>
    <t>T423EFH</t>
  </si>
  <si>
    <t>T418BVZ</t>
  </si>
  <si>
    <t>T463CBM</t>
  </si>
  <si>
    <t>T225EMP</t>
  </si>
  <si>
    <t>T716DMS</t>
  </si>
  <si>
    <t>T270DQD</t>
  </si>
  <si>
    <t>T507DQD</t>
  </si>
  <si>
    <t>T774CRG</t>
  </si>
  <si>
    <t>T949CTU</t>
  </si>
  <si>
    <t>T678EFH</t>
  </si>
  <si>
    <t>DAN JOHN NGWETA</t>
  </si>
  <si>
    <t>MOHAMED MUSSA MOHAMED</t>
  </si>
  <si>
    <t>COSMAS ISRAEL SANGA</t>
  </si>
  <si>
    <t>GABON KALUGE  MASALE</t>
  </si>
  <si>
    <t>BAKARI ATHUMAN MJAKEO</t>
  </si>
  <si>
    <t>OMARY JUMA MSUMARI</t>
  </si>
  <si>
    <t>MOHAMED OMAR SALEHE</t>
  </si>
  <si>
    <t>HEMEDI MWIDADI ALLY</t>
  </si>
  <si>
    <t>SALIMU AZIZ SALIMU</t>
  </si>
  <si>
    <t>FRANK PAULO CHIWANGO</t>
  </si>
  <si>
    <t>RAMADHANI OMARY MNONJI</t>
  </si>
  <si>
    <t>SALIM  SADIKI SALUMU</t>
  </si>
  <si>
    <t>ANTHONY E NGUMBI</t>
  </si>
  <si>
    <t>ALLY OMARY MNONJI</t>
  </si>
  <si>
    <t>EMANUEL ANDELILE MSUSI</t>
  </si>
  <si>
    <t>IDD MATAYI SABO</t>
  </si>
  <si>
    <t>BAHATI A MWATUPOSOLE</t>
  </si>
  <si>
    <t>EDGAR FRANCIS LALISA</t>
  </si>
  <si>
    <t>DANIEL ANDALILE FOKILE</t>
  </si>
  <si>
    <t>MUSSA DAUDI SADIKI</t>
  </si>
  <si>
    <t>DEOGRATIAS ENYASI SHIYO</t>
  </si>
  <si>
    <t>MOHAMMED ALLY MATIMBWA</t>
  </si>
  <si>
    <t>255719369099/255788736223</t>
  </si>
  <si>
    <t>255621 157925</t>
  </si>
  <si>
    <t>255768 846241/255652 183670</t>
  </si>
  <si>
    <t>255762 101700</t>
  </si>
  <si>
    <t>255753444245/255685386056</t>
  </si>
  <si>
    <t>255768 038269</t>
  </si>
  <si>
    <t>255699 798710</t>
  </si>
  <si>
    <t>255677 577669</t>
  </si>
  <si>
    <t>255676 544226</t>
  </si>
  <si>
    <t>255616 330891</t>
  </si>
  <si>
    <t>255711 299901</t>
  </si>
  <si>
    <t>255767 575756</t>
  </si>
  <si>
    <t>25576 2059139/255712 594175</t>
  </si>
  <si>
    <t>255786 825130</t>
  </si>
  <si>
    <t>255783 731041/255765 814430</t>
  </si>
  <si>
    <t>255679108858/255693154545</t>
  </si>
  <si>
    <t>255762 060755</t>
  </si>
  <si>
    <t>255765 333402</t>
  </si>
  <si>
    <t>255712477255</t>
  </si>
  <si>
    <t>255744 948922</t>
  </si>
  <si>
    <t>255757 090940/255684 207007</t>
  </si>
  <si>
    <t>255716 222448</t>
  </si>
  <si>
    <t>AB10045570</t>
  </si>
  <si>
    <t>TAE666664</t>
  </si>
  <si>
    <t>AB10085143</t>
  </si>
  <si>
    <t>AB10085011</t>
  </si>
  <si>
    <t>TAE701754</t>
  </si>
  <si>
    <t>TAE703299</t>
  </si>
  <si>
    <t>TAE639906</t>
  </si>
  <si>
    <t>TAE510421</t>
  </si>
  <si>
    <t>TAE757693</t>
  </si>
  <si>
    <t>TAE679312</t>
  </si>
  <si>
    <t>TAE644735</t>
  </si>
  <si>
    <t>TAE690982</t>
  </si>
  <si>
    <t>TAE457524</t>
  </si>
  <si>
    <t>TAE030872</t>
  </si>
  <si>
    <t>TAE747922</t>
  </si>
  <si>
    <t>TAE794573</t>
  </si>
  <si>
    <t>AB10047802</t>
  </si>
  <si>
    <t>TAE698059</t>
  </si>
  <si>
    <t>TAE657209</t>
  </si>
  <si>
    <t>TAE672838</t>
  </si>
  <si>
    <t>Enroute to Deziwa</t>
  </si>
  <si>
    <t>August</t>
  </si>
  <si>
    <t>BCC5184ZM</t>
  </si>
  <si>
    <t>T623ARM</t>
  </si>
  <si>
    <t>SAID ISMAIL MUHELO</t>
  </si>
  <si>
    <t>255788206979</t>
  </si>
  <si>
    <t>SMD-CU25-CSM-178</t>
  </si>
  <si>
    <t>SMD-CU25-CSM-179</t>
  </si>
  <si>
    <t>SMD-CU25-CSM-180</t>
  </si>
  <si>
    <t>SMD-CU25-CSM-181</t>
  </si>
  <si>
    <t>SMD-CU25-CSM-182</t>
  </si>
  <si>
    <t>SMD-CU25-CSM-183</t>
  </si>
  <si>
    <t>SMD-CU25-CSM-184</t>
  </si>
  <si>
    <t>SMD-CU25-CSM-185</t>
  </si>
  <si>
    <t>SMD-CU25-CSM-186</t>
  </si>
  <si>
    <t>SMD-CU25-CSM-187</t>
  </si>
  <si>
    <t>SMD-CU25-CSM-188</t>
  </si>
  <si>
    <t>SMD-CU25-CSM-132</t>
  </si>
  <si>
    <t>SMD-CU25-CSM-131</t>
  </si>
  <si>
    <t>SMD-CU25-CSM-189</t>
  </si>
  <si>
    <t>SMD-CU25-CSM-190</t>
  </si>
  <si>
    <t>SMD-CU25-CSM-201</t>
  </si>
  <si>
    <t>3) Tunduma Clearance by : AIRSEA CLEARING &amp; FORWARDING LTD</t>
  </si>
  <si>
    <t xml:space="preserve">2) Offloading Point:C.SHED NO. 2, BANDARI STREET, MANDELA ROAD, P. O. BOX 15109, KURASINI, DAR ES SALAAM, TANZANIA
 </t>
  </si>
  <si>
    <t>AB10030273</t>
  </si>
  <si>
    <t>T583DMJ</t>
  </si>
  <si>
    <t>T183DED</t>
  </si>
  <si>
    <t>T508EFH</t>
  </si>
  <si>
    <t>T937DEY</t>
  </si>
  <si>
    <t>T326DGN</t>
  </si>
  <si>
    <t>T771EAE</t>
  </si>
  <si>
    <t>T538CRA</t>
  </si>
  <si>
    <t>T932DWJ</t>
  </si>
  <si>
    <t>T482DZH</t>
  </si>
  <si>
    <t>T342EBB</t>
  </si>
  <si>
    <t>T564EBB</t>
  </si>
  <si>
    <t>T595BXN</t>
  </si>
  <si>
    <t>T127ATF</t>
  </si>
  <si>
    <t>T228EMP</t>
  </si>
  <si>
    <t>T221EES</t>
  </si>
  <si>
    <t>T362EGE</t>
  </si>
  <si>
    <t>T465DZH</t>
  </si>
  <si>
    <t>T341EBB</t>
  </si>
  <si>
    <t>T563EBB</t>
  </si>
  <si>
    <t>THEONAS VICENT KALYALYA</t>
  </si>
  <si>
    <t>MOGELLA ABDALA MBAWALA</t>
  </si>
  <si>
    <t>BAKARI MOHAMMED KHATIBU</t>
  </si>
  <si>
    <t>ABDUL MOHAMED SATAL</t>
  </si>
  <si>
    <t>SHABANI MOHAMEDI MAKANDAWILE</t>
  </si>
  <si>
    <t>KHAMIS ATHMAN KASUBI</t>
  </si>
  <si>
    <t>JUMA HAMISI BUNGARA</t>
  </si>
  <si>
    <t>255622 144265</t>
  </si>
  <si>
    <t>255755 075240</t>
  </si>
  <si>
    <t>255694 048278</t>
  </si>
  <si>
    <t>255783 357905</t>
  </si>
  <si>
    <t>255749 330253</t>
  </si>
  <si>
    <t>255735226536/255655226536</t>
  </si>
  <si>
    <t>255655 600828</t>
  </si>
  <si>
    <t>AB10086430</t>
  </si>
  <si>
    <t>TAE714148</t>
  </si>
  <si>
    <t>TAE702136</t>
  </si>
  <si>
    <t>TAE686856</t>
  </si>
  <si>
    <t>TAE683889</t>
  </si>
  <si>
    <t>`</t>
  </si>
  <si>
    <t>SMD-CU25-NYPRA-009</t>
  </si>
  <si>
    <t xml:space="preserve">2) Offloading Point:CSHED NO. 2, BANDARI STREET, MANDELA ROAD, P. O. BOX 15109, KURASINI, DAR ES SALAAM, TANZANIA
 </t>
  </si>
  <si>
    <t>T850CQL</t>
  </si>
  <si>
    <t>T234DNF</t>
  </si>
  <si>
    <t>T763CVC</t>
  </si>
  <si>
    <t>T959DWJ</t>
  </si>
  <si>
    <t>T659CJT</t>
  </si>
  <si>
    <t>T229EMP</t>
  </si>
  <si>
    <t>T772EAE</t>
  </si>
  <si>
    <t>T753CVC</t>
  </si>
  <si>
    <t>T993DWJ</t>
  </si>
  <si>
    <t>T446DZH</t>
  </si>
  <si>
    <t>T203DZH</t>
  </si>
  <si>
    <t>T862DZG</t>
  </si>
  <si>
    <t>T617DPV</t>
  </si>
  <si>
    <t>T214DCZ</t>
  </si>
  <si>
    <t>T318CFY</t>
  </si>
  <si>
    <t>T200BED</t>
  </si>
  <si>
    <t>T670EFH</t>
  </si>
  <si>
    <t>T170EES</t>
  </si>
  <si>
    <t>T741BYV</t>
  </si>
  <si>
    <t>T620EFH</t>
  </si>
  <si>
    <t>T710DMS</t>
  </si>
  <si>
    <t>T800AXN</t>
  </si>
  <si>
    <t>T387DSM</t>
  </si>
  <si>
    <t>T627CKK</t>
  </si>
  <si>
    <t>T368CRT</t>
  </si>
  <si>
    <t>T231EMP</t>
  </si>
  <si>
    <t>T797CCY</t>
  </si>
  <si>
    <t>T169AHE</t>
  </si>
  <si>
    <t>T693EFH</t>
  </si>
  <si>
    <t>T703BVB</t>
  </si>
  <si>
    <t>T254ARR</t>
  </si>
  <si>
    <t>T230EMP</t>
  </si>
  <si>
    <t>T724DRY</t>
  </si>
  <si>
    <t>T203DSK</t>
  </si>
  <si>
    <t>T642BZY</t>
  </si>
  <si>
    <t>T411BJE</t>
  </si>
  <si>
    <t>T538EFH</t>
  </si>
  <si>
    <t>T289EMP</t>
  </si>
  <si>
    <t>ADABERT SWEETBERT CHILUMBA</t>
  </si>
  <si>
    <t>RAMADHANI SALUM BEHO</t>
  </si>
  <si>
    <t>ABDALLAH HAMISI MGANGA</t>
  </si>
  <si>
    <t>DANIFRED F DEDU</t>
  </si>
  <si>
    <t>MLOWE MAIKO BENJAMIN</t>
  </si>
  <si>
    <t>ATHUMANI BAKARI CHIKOKO</t>
  </si>
  <si>
    <t>SUDI HALIFA MIZOZO</t>
  </si>
  <si>
    <t>JUMA PHINIAS FESTO</t>
  </si>
  <si>
    <t>AHMED MOHAMED CHALACHALA</t>
  </si>
  <si>
    <t>ABILLAH OMARY MNONJI</t>
  </si>
  <si>
    <t>BAKARI SAID KIBARATI</t>
  </si>
  <si>
    <t>YUSSUF MASUMBUKO BISHUMKUMBI</t>
  </si>
  <si>
    <t>OMARI ALLY KILABA</t>
  </si>
  <si>
    <t>SAID RASHIDI PAZI</t>
  </si>
  <si>
    <t>RICHARD MAGENI BUPAMBA</t>
  </si>
  <si>
    <t xml:space="preserve">ABDULAZIIZ ABUBAKAR SAID </t>
  </si>
  <si>
    <t>255679 446488</t>
  </si>
  <si>
    <t>255763830900</t>
  </si>
  <si>
    <t>255782545473</t>
  </si>
  <si>
    <t>255782191056/255711398971</t>
  </si>
  <si>
    <t>255698733609</t>
  </si>
  <si>
    <t>255715 077062/255755 496441</t>
  </si>
  <si>
    <t>255741 024541</t>
  </si>
  <si>
    <t>255750 825507</t>
  </si>
  <si>
    <t>255658 719067</t>
  </si>
  <si>
    <t>255687 596388</t>
  </si>
  <si>
    <t>255754 821504</t>
  </si>
  <si>
    <t>255755240624</t>
  </si>
  <si>
    <t>255752 486553</t>
  </si>
  <si>
    <t>255629 125718</t>
  </si>
  <si>
    <t>255684 898888/255759898898</t>
  </si>
  <si>
    <t>255784 650856</t>
  </si>
  <si>
    <t>255769 475323</t>
  </si>
  <si>
    <t>255693 174776</t>
  </si>
  <si>
    <t>TAE667459</t>
  </si>
  <si>
    <t>TAE749225</t>
  </si>
  <si>
    <t>AB10094806</t>
  </si>
  <si>
    <t>TAE685725</t>
  </si>
  <si>
    <t>TAE666837</t>
  </si>
  <si>
    <t>TAE687448</t>
  </si>
  <si>
    <t>TAE729749</t>
  </si>
  <si>
    <t>TAE784029</t>
  </si>
  <si>
    <t>TAE74119</t>
  </si>
  <si>
    <t>TAE701117</t>
  </si>
  <si>
    <t>AB10097680</t>
  </si>
  <si>
    <t>TAE833589</t>
  </si>
  <si>
    <t>TAE124637</t>
  </si>
  <si>
    <t>TAE721845</t>
  </si>
  <si>
    <t>TAE471129</t>
  </si>
  <si>
    <t>TAE716118</t>
  </si>
  <si>
    <t>September</t>
  </si>
  <si>
    <t>AB10092908</t>
  </si>
  <si>
    <t>TAE726947</t>
  </si>
  <si>
    <t>AB10090190</t>
  </si>
  <si>
    <t>AB10092859</t>
  </si>
  <si>
    <t>SMD-CU25-CSM-210</t>
  </si>
  <si>
    <t>SMD-CU25-CSM-257</t>
  </si>
  <si>
    <t>SMD-CU25-CSM-269</t>
  </si>
  <si>
    <t>SMD-CU25-CSM-258</t>
  </si>
  <si>
    <t>LIKASI</t>
  </si>
  <si>
    <t>MANONO</t>
  </si>
  <si>
    <t>SMD-CU25-CSM-335</t>
  </si>
  <si>
    <t>SMD-CU25-CSM-359</t>
  </si>
  <si>
    <t>SMD-CU25-CSM-362</t>
  </si>
  <si>
    <t>SMD-CU25-CSM-361</t>
  </si>
  <si>
    <t>SMD-CU25-CSM-357</t>
  </si>
  <si>
    <t>SMD-CU25-CSM-358</t>
  </si>
  <si>
    <t>SMD-CU25-CSM-360</t>
  </si>
  <si>
    <t>SMD-CU25-CSM-363</t>
  </si>
  <si>
    <t>SMD-CU25-CSM-356</t>
  </si>
  <si>
    <t>SMD-CU25-CSM-386</t>
  </si>
  <si>
    <t>SMD-CU25-CSM-311</t>
  </si>
  <si>
    <t>SMD-CU25-CSM-310</t>
  </si>
  <si>
    <t>SMD-CU25-CSM-312</t>
  </si>
  <si>
    <t>SMD-CU25-CSM-313</t>
  </si>
  <si>
    <t>SMD-CU25-CSM-318</t>
  </si>
  <si>
    <t>SMD-CU25-CSM-317</t>
  </si>
  <si>
    <t>SMD-CU25-CSM-316</t>
  </si>
  <si>
    <t>SMD-CU25-CSM-319</t>
  </si>
  <si>
    <t>SMD-CU25-CSM-1103</t>
  </si>
  <si>
    <t>SMD-CU25-CSM-427</t>
  </si>
  <si>
    <t>SMD-CU25-CSM-425</t>
  </si>
  <si>
    <t>SMD-CU25-CSM-426</t>
  </si>
  <si>
    <t>SMD-CU25-CSM-428</t>
  </si>
  <si>
    <t>SMD-CU25-NYPRA-064</t>
  </si>
  <si>
    <t>MD-CU25-NYPRA-060</t>
  </si>
  <si>
    <t>SMD-CU25-NYPRA-058</t>
  </si>
  <si>
    <t>SMD-CU25-NYPRA-059</t>
  </si>
  <si>
    <t>SMD-CU25-CSM-398</t>
  </si>
  <si>
    <t>SMD-CU25-CSM-397</t>
  </si>
  <si>
    <t>SMD-CU25-CSM-396</t>
  </si>
  <si>
    <t>SMD-CU25-1135</t>
  </si>
  <si>
    <t>SMD-CU25-1134</t>
  </si>
  <si>
    <t>SMD-CU25-1136</t>
  </si>
  <si>
    <t>SMD-CU25-1133</t>
  </si>
  <si>
    <t>SMD-CU25-CSM-434</t>
  </si>
  <si>
    <t>SMD-CU25-CSM-435</t>
  </si>
  <si>
    <t>SMD-CU-2025-1142</t>
  </si>
  <si>
    <t>SMD-CU-2025-1152</t>
  </si>
  <si>
    <t>At K-lesa/Sakania border</t>
  </si>
  <si>
    <t>Tel. number</t>
  </si>
  <si>
    <t>RELOAD DAR</t>
  </si>
  <si>
    <t>T573BEJ</t>
  </si>
  <si>
    <t>T270AXG</t>
  </si>
  <si>
    <t>255683227866</t>
  </si>
  <si>
    <t>AB10103528</t>
  </si>
  <si>
    <t>October</t>
  </si>
  <si>
    <t>T173EES</t>
  </si>
  <si>
    <t>T224DQD</t>
  </si>
  <si>
    <t>T501DQD</t>
  </si>
  <si>
    <t>T339DZH</t>
  </si>
  <si>
    <t>T206DZH</t>
  </si>
  <si>
    <t>T852DZG</t>
  </si>
  <si>
    <t>T301BZY</t>
  </si>
  <si>
    <t>T378BXG</t>
  </si>
  <si>
    <t>T618EFH</t>
  </si>
  <si>
    <t>T363DCA</t>
  </si>
  <si>
    <t>T810AEJ</t>
  </si>
  <si>
    <t>T459CBM</t>
  </si>
  <si>
    <t>T660DQF</t>
  </si>
  <si>
    <t>T348DWZ</t>
  </si>
  <si>
    <t>T540BWU</t>
  </si>
  <si>
    <t>T320CFY</t>
  </si>
  <si>
    <t>T326BXG</t>
  </si>
  <si>
    <t>T525EFH</t>
  </si>
  <si>
    <t>T389DZH</t>
  </si>
  <si>
    <t>T205DZH</t>
  </si>
  <si>
    <t>T850DZG</t>
  </si>
  <si>
    <t>T971CAS</t>
  </si>
  <si>
    <t>T807BVG</t>
  </si>
  <si>
    <t>T506EFH</t>
  </si>
  <si>
    <t>T650CJT</t>
  </si>
  <si>
    <t>T428CRA</t>
  </si>
  <si>
    <t>T263EMP</t>
  </si>
  <si>
    <t>T352DWZ</t>
  </si>
  <si>
    <t>T179DXQ</t>
  </si>
  <si>
    <t>T182DXQ</t>
  </si>
  <si>
    <t>T223EMM</t>
  </si>
  <si>
    <t>T514BXN</t>
  </si>
  <si>
    <t>T863CBB</t>
  </si>
  <si>
    <t>T513EFH</t>
  </si>
  <si>
    <t>T331DWZ</t>
  </si>
  <si>
    <t>T181DED</t>
  </si>
  <si>
    <t>T568DTR</t>
  </si>
  <si>
    <t>255753844094</t>
  </si>
  <si>
    <t>255687707472/255676236467</t>
  </si>
  <si>
    <t>255774424578</t>
  </si>
  <si>
    <t>255768070557</t>
  </si>
  <si>
    <t>255788914711</t>
  </si>
  <si>
    <t>255759968816</t>
  </si>
  <si>
    <t>255744224555</t>
  </si>
  <si>
    <t>255695809767</t>
  </si>
  <si>
    <t>255714560784</t>
  </si>
  <si>
    <t>255717870409</t>
  </si>
  <si>
    <t>255755 245192/255683 195166</t>
  </si>
  <si>
    <t>255655 854438/255755544387</t>
  </si>
  <si>
    <t>255753347686</t>
  </si>
  <si>
    <t>255768 584035</t>
  </si>
  <si>
    <t>255715 720000/255625 492497</t>
  </si>
  <si>
    <t>TAE690722</t>
  </si>
  <si>
    <t>TAE684455</t>
  </si>
  <si>
    <t>TAE896918</t>
  </si>
  <si>
    <t>AB10132916</t>
  </si>
  <si>
    <t> TAE700361</t>
  </si>
  <si>
    <t>TAE672834</t>
  </si>
  <si>
    <t>TAE703383</t>
  </si>
  <si>
    <t>AB10134871</t>
  </si>
  <si>
    <t>TAE634807</t>
  </si>
  <si>
    <t>TAE560483</t>
  </si>
  <si>
    <t>TAE666836</t>
  </si>
  <si>
    <t>TAE663434</t>
  </si>
  <si>
    <t>AB0990680</t>
  </si>
  <si>
    <t>TAE675812</t>
  </si>
  <si>
    <t>SMD-CU25-CSM-504</t>
  </si>
  <si>
    <t>T152EJA</t>
  </si>
  <si>
    <t>T760EHV</t>
  </si>
  <si>
    <t>T136DUG</t>
  </si>
  <si>
    <t>T718CVC</t>
  </si>
  <si>
    <t>T212EMP</t>
  </si>
  <si>
    <t>T978BXK</t>
  </si>
  <si>
    <t>T561EHZ</t>
  </si>
  <si>
    <t>T692EHV</t>
  </si>
  <si>
    <t>T247EMP</t>
  </si>
  <si>
    <t>T339DWZ</t>
  </si>
  <si>
    <t>T192DXQ</t>
  </si>
  <si>
    <t>T193DXQ</t>
  </si>
  <si>
    <t>T661BZY</t>
  </si>
  <si>
    <t>T464CRA</t>
  </si>
  <si>
    <t>T696EFH</t>
  </si>
  <si>
    <t>T869DRL</t>
  </si>
  <si>
    <t>T396DRY</t>
  </si>
  <si>
    <t>T294DRM</t>
  </si>
  <si>
    <t>T320BXG</t>
  </si>
  <si>
    <t>T374DCA</t>
  </si>
  <si>
    <t>T360CRT</t>
  </si>
  <si>
    <t>T265EMP</t>
  </si>
  <si>
    <t>T399DZH</t>
  </si>
  <si>
    <t>T344EBB</t>
  </si>
  <si>
    <t>T561EBB</t>
  </si>
  <si>
    <t>T516DQH</t>
  </si>
  <si>
    <t>T969ASG</t>
  </si>
  <si>
    <t>T283EMP</t>
  </si>
  <si>
    <t>T214ELH</t>
  </si>
  <si>
    <t>T576ELH</t>
  </si>
  <si>
    <t>T864EBK</t>
  </si>
  <si>
    <t>T402DTB</t>
  </si>
  <si>
    <t>T216DXD</t>
  </si>
  <si>
    <t>T448EFR</t>
  </si>
  <si>
    <t>T225EFX</t>
  </si>
  <si>
    <t>T399EFX</t>
  </si>
  <si>
    <t>T219DPX</t>
  </si>
  <si>
    <t>T989ANZ</t>
  </si>
  <si>
    <t>T619BVP</t>
  </si>
  <si>
    <t>T812BVG</t>
  </si>
  <si>
    <t>T415EFH</t>
  </si>
  <si>
    <t>T965EBC</t>
  </si>
  <si>
    <t>T480DZH</t>
  </si>
  <si>
    <t>T202DZH</t>
  </si>
  <si>
    <t>T856DZG</t>
  </si>
  <si>
    <t xml:space="preserve"> T277DTA</t>
  </si>
  <si>
    <t>T215EMM</t>
  </si>
  <si>
    <t>T198DYR</t>
  </si>
  <si>
    <t>T639AVR</t>
  </si>
  <si>
    <t>T577DTR</t>
  </si>
  <si>
    <t>T196DYR</t>
  </si>
  <si>
    <t>T548CTF</t>
  </si>
  <si>
    <t>T996DWJ</t>
  </si>
  <si>
    <t>T340DWZ</t>
  </si>
  <si>
    <t>T112DXM</t>
  </si>
  <si>
    <t>T113DXM</t>
  </si>
  <si>
    <t>T867EBS</t>
  </si>
  <si>
    <t>T961EBC</t>
  </si>
  <si>
    <t>T558EBB</t>
  </si>
  <si>
    <t>T962CAS</t>
  </si>
  <si>
    <t>T444CRA</t>
  </si>
  <si>
    <t>T614EFH</t>
  </si>
  <si>
    <t>OMARI  ABDALLAH SEIF</t>
  </si>
  <si>
    <t>MAHMOUD AHMED MAYMUN</t>
  </si>
  <si>
    <t>JACKSON DEDAN LENGWALA</t>
  </si>
  <si>
    <t>HASHIM AHMAD HASHIM</t>
  </si>
  <si>
    <t>EMMANUEL ANGWILILE MWANDENUKA</t>
  </si>
  <si>
    <t>MASHAKA GEORGE SONGOMA</t>
  </si>
  <si>
    <t>SELEMANI MZEE MNEMO</t>
  </si>
  <si>
    <t>SALUM JUMANNE WAZIRI</t>
  </si>
  <si>
    <t>AMIRI SAID MJATA</t>
  </si>
  <si>
    <t>MBWANA SAID ALLY</t>
  </si>
  <si>
    <t>DENISI KILISTOFA HAULE</t>
  </si>
  <si>
    <t>CHAME YASSIN SHEBE</t>
  </si>
  <si>
    <t>ISACK SAMSON KALIDUSHI</t>
  </si>
  <si>
    <t>FRANCIS JOHN HAULE</t>
  </si>
  <si>
    <t>GODWIN KOSAM SAMPAMPA</t>
  </si>
  <si>
    <t>KENETH AMON LULENGA</t>
  </si>
  <si>
    <t>HEMEDI MWINDADI ALLY</t>
  </si>
  <si>
    <t>NYASAHIRA WARYOBA DAMAS</t>
  </si>
  <si>
    <t>OMARY HASHIM MBUNDA</t>
  </si>
  <si>
    <t>MASOUD SHAMTE LUNGUSA</t>
  </si>
  <si>
    <t>WILSON REVERIANI NGAIZA</t>
  </si>
  <si>
    <t>NICODEMUS JORDAN MATWEGULA</t>
  </si>
  <si>
    <t>ALI MWINYIJUMA MABADI</t>
  </si>
  <si>
    <t>MSAFIRI BAKARI MBEJA</t>
  </si>
  <si>
    <t>IBRAHIM ADAM IBRAHIM  </t>
  </si>
  <si>
    <t>SHABANI ATHUMANI MASENDERA</t>
  </si>
  <si>
    <t>MOHAMED MATHIAS JUMA</t>
  </si>
  <si>
    <t>MOHAMED ALLY MOHAMED</t>
  </si>
  <si>
    <t>ONESMO LAULIAN SIZMWE</t>
  </si>
  <si>
    <t>MSAFIRI HOSEA MPOGOLE</t>
  </si>
  <si>
    <t>MHINA HOSSENI NTULWE</t>
  </si>
  <si>
    <t>PETER ERNEST JOSEPH</t>
  </si>
  <si>
    <t>FADHILI MOHAMED SASAMALO</t>
  </si>
  <si>
    <t>RAMADHAN MASOUD JAHADI</t>
  </si>
  <si>
    <t>DAVID JOSEPH MALIMI</t>
  </si>
  <si>
    <t>PASTORY MZUMARI CHARLES</t>
  </si>
  <si>
    <t>EDWIN PATRICK ZEBADI</t>
  </si>
  <si>
    <t>Driver's Name</t>
  </si>
  <si>
    <t>255675180013</t>
  </si>
  <si>
    <t>255752075240</t>
  </si>
  <si>
    <t>255768398248/255624878248</t>
  </si>
  <si>
    <t>255745848380</t>
  </si>
  <si>
    <t>255789 341955</t>
  </si>
  <si>
    <t>255719540085/255755504646</t>
  </si>
  <si>
    <t>255621 955644/255692 541095</t>
  </si>
  <si>
    <t>255747531371</t>
  </si>
  <si>
    <t>255716389866</t>
  </si>
  <si>
    <t>255716 040677</t>
  </si>
  <si>
    <t>255760112823</t>
  </si>
  <si>
    <t>255754661567</t>
  </si>
  <si>
    <t>255655226536</t>
  </si>
  <si>
    <t>255672757211</t>
  </si>
  <si>
    <t>255785 858669</t>
  </si>
  <si>
    <t>255782 117376/255685 386528</t>
  </si>
  <si>
    <t>255764186232</t>
  </si>
  <si>
    <t>255711 856442</t>
  </si>
  <si>
    <t>255684075821/255713279468</t>
  </si>
  <si>
    <t>255712996298/255762733836</t>
  </si>
  <si>
    <t>255742041188</t>
  </si>
  <si>
    <t>255769 597267</t>
  </si>
  <si>
    <t>255710 700552/255685 411959</t>
  </si>
  <si>
    <t>TAE720227</t>
  </si>
  <si>
    <t>TAE656098</t>
  </si>
  <si>
    <t>TAE696314</t>
  </si>
  <si>
    <t>TAE482465</t>
  </si>
  <si>
    <t>TAE893513</t>
  </si>
  <si>
    <t>TAE487649</t>
  </si>
  <si>
    <t>TAE698743</t>
  </si>
  <si>
    <t>TAE677843</t>
  </si>
  <si>
    <t>TAE717193</t>
  </si>
  <si>
    <t>TAE742718</t>
  </si>
  <si>
    <t>TAE681249</t>
  </si>
  <si>
    <t>TAE679873</t>
  </si>
  <si>
    <t>TAE610637</t>
  </si>
  <si>
    <t>TAE076772</t>
  </si>
  <si>
    <t>TAE754139</t>
  </si>
  <si>
    <t>TUNDUMA</t>
  </si>
  <si>
    <t>K-LESA ZMB</t>
  </si>
  <si>
    <t>CHINGOLA</t>
  </si>
  <si>
    <t>CHILLILABOMBWE</t>
  </si>
  <si>
    <t>KAMANGU</t>
  </si>
  <si>
    <t>MPIKA</t>
  </si>
  <si>
    <t>CHIMUTANDA</t>
  </si>
  <si>
    <t>AB10125080</t>
  </si>
  <si>
    <t>AB10147987</t>
  </si>
  <si>
    <t>AB10145239</t>
  </si>
  <si>
    <t>MOGELLA ABDALLAH MBAWALA</t>
  </si>
  <si>
    <r>
      <rPr>
        <strike/>
        <sz val="10"/>
        <rFont val="Calibri"/>
        <family val="2"/>
        <scheme val="minor"/>
      </rPr>
      <t>T694CXU</t>
    </r>
    <r>
      <rPr>
        <sz val="10"/>
        <rFont val="Calibri"/>
        <family val="2"/>
        <scheme val="minor"/>
      </rPr>
      <t>/T942DEY</t>
    </r>
  </si>
  <si>
    <t>SMD-CU25-NYPRA-131</t>
  </si>
  <si>
    <t>SMD-CU25-NYPRA-134</t>
  </si>
  <si>
    <t>SMD-CU25-NYPRA-123</t>
  </si>
  <si>
    <t>SMD-CU25-NYPRA-125</t>
  </si>
  <si>
    <t>SMD-CU25-NYPRA-132</t>
  </si>
  <si>
    <t>SMD-CU25-NYPRA-124</t>
  </si>
  <si>
    <t>SMD-CU25-NYPRA-133</t>
  </si>
  <si>
    <t>MD-CU25-NYPRA-135</t>
  </si>
  <si>
    <t>SMD-CU25-CSM-575</t>
  </si>
  <si>
    <t>SMD-CU25-2025-1200</t>
  </si>
  <si>
    <t>SMD-CU25-2025-1196</t>
  </si>
  <si>
    <t>SMD-CU25-2025-1198</t>
  </si>
  <si>
    <t>SMD-CU25-2025-1203</t>
  </si>
  <si>
    <t>SMD-CU25-2025-1194</t>
  </si>
  <si>
    <t>SMD-CU25-2025-1195</t>
  </si>
  <si>
    <t>SMD-CU25-2025-1192</t>
  </si>
  <si>
    <t>SMD-CU25-2025-1193</t>
  </si>
  <si>
    <t>SMD-CU25-2025-1197</t>
  </si>
  <si>
    <t>SMD-CU25-2025-1204</t>
  </si>
  <si>
    <t>SMD-CU25-2025-1202</t>
  </si>
  <si>
    <t>SMD-CU25-NYPRA-137</t>
  </si>
  <si>
    <t>SMD-CU25-NYPRA-138</t>
  </si>
  <si>
    <t>SMD-CU25-NYPRA-136</t>
  </si>
  <si>
    <t>SMD-CU25-CSM-610</t>
  </si>
  <si>
    <t>SMD-CU25-CSM-615</t>
  </si>
  <si>
    <t>SMD-CU25-NYPRA-102</t>
  </si>
  <si>
    <t>SMD-CU25-NYPRA-103</t>
  </si>
  <si>
    <t>SMD-CU25-NYPRA-104</t>
  </si>
  <si>
    <t>SMD-CU25-NYPRA-105</t>
  </si>
  <si>
    <t>SMD-CU25-NYPRA-106</t>
  </si>
  <si>
    <t>SMD-CU25-NYPRA-107</t>
  </si>
  <si>
    <t>SMD-CU25-NYPRA-108</t>
  </si>
  <si>
    <t>SMD-CU25-NYPRA-109</t>
  </si>
  <si>
    <t>SMD-CU25-NYPRA-110</t>
  </si>
  <si>
    <t>SMD-CU25-NYPRA-122</t>
  </si>
  <si>
    <t>SMD-CU25-2025-1201</t>
  </si>
  <si>
    <t>T595BXN/T642BZY</t>
  </si>
  <si>
    <t>OFFLODED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</si>
</sst>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(* #,##0_);_(* \(#,##0\);_(* &quot;-&quot;??_);_(@_)"/>
    <numFmt numFmtId="165" formatCode="[$-409]d\-mmm;@"/>
    <numFmt numFmtId="166" formatCode="[$-409]dd/mmm/yy;@"/>
    <numFmt numFmtId="167" formatCode="[$-409]d/mmm/yy;@"/>
    <numFmt numFmtId="168" formatCode="[$-409]d/mmm;@"/>
    <numFmt numFmtId="169" formatCode="_ * #,##0.00_ ;_ * \-#,##0.00_ ;_ * &quot;-&quot;??_ ;_ @_ "/>
    <numFmt numFmtId="170" formatCode="_-&quot;R&quot;* #,##0.00_-;\-&quot;R&quot;* #,##0.00_-;_-&quot;R&quot;* &quot;-&quot;??_-;_-@_-"/>
    <numFmt numFmtId="171" formatCode="[$-409]d\-mmm\-yy;@"/>
  </numFmts>
  <fonts count="4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Aptos"/>
      <family val="2"/>
    </font>
    <font>
      <i/>
      <sz val="10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trike/>
      <sz val="10"/>
      <name val="Calibri"/>
      <family val="2"/>
      <scheme val="minor"/>
    </font>
    <font>
      <i/>
      <strike/>
      <sz val="1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trike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trike/>
      <sz val="10"/>
      <name val="Calibri"/>
      <family val="2"/>
      <scheme val="minor"/>
    </font>
    <font>
      <b/>
      <strike/>
      <sz val="1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charset val="134"/>
      <scheme val="minor"/>
    </font>
    <font>
      <sz val="12"/>
      <color theme="1"/>
      <name val="Calibri"/>
      <family val="2"/>
      <scheme val="minor"/>
    </font>
    <font>
      <b/>
      <sz val="11"/>
      <color indexed="63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7"/>
      <color rgb="FF4A597A"/>
      <name val="Arial"/>
      <family val="2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  <font>
      <strike/>
      <sz val="11"/>
      <color theme="1" tint="4.9989318521683403E-2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trike/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rgb="FFEBEEF5"/>
      </right>
      <top/>
      <bottom style="medium">
        <color rgb="FFEBEEF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7">
    <xf numFmtId="0" fontId="0" fillId="0" borderId="0"/>
    <xf numFmtId="0" fontId="7" fillId="0" borderId="0">
      <alignment vertical="center"/>
    </xf>
    <xf numFmtId="0" fontId="8" fillId="0" borderId="0">
      <protection locked="0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9" fontId="29" fillId="0" borderId="0" applyFont="0" applyFill="0" applyBorder="0" applyAlignment="0" applyProtection="0"/>
    <xf numFmtId="0" fontId="7" fillId="0" borderId="0">
      <alignment vertical="center"/>
    </xf>
    <xf numFmtId="0" fontId="21" fillId="0" borderId="0"/>
    <xf numFmtId="0" fontId="30" fillId="9" borderId="0" applyNumberFormat="0" applyBorder="0" applyAlignment="0" applyProtection="0"/>
    <xf numFmtId="0" fontId="21" fillId="0" borderId="0"/>
    <xf numFmtId="0" fontId="31" fillId="0" borderId="0">
      <alignment vertical="center"/>
    </xf>
    <xf numFmtId="0" fontId="32" fillId="0" borderId="0"/>
    <xf numFmtId="0" fontId="29" fillId="0" borderId="0"/>
    <xf numFmtId="0" fontId="21" fillId="0" borderId="0"/>
    <xf numFmtId="0" fontId="21" fillId="0" borderId="0"/>
    <xf numFmtId="0" fontId="21" fillId="0" borderId="0"/>
    <xf numFmtId="0" fontId="29" fillId="0" borderId="0"/>
    <xf numFmtId="0" fontId="8" fillId="0" borderId="0"/>
    <xf numFmtId="0" fontId="29" fillId="0" borderId="0"/>
    <xf numFmtId="0" fontId="21" fillId="0" borderId="0"/>
    <xf numFmtId="0" fontId="7" fillId="0" borderId="0">
      <alignment vertical="center"/>
    </xf>
    <xf numFmtId="0" fontId="33" fillId="10" borderId="9" applyNumberFormat="0" applyAlignment="0" applyProtection="0"/>
    <xf numFmtId="0" fontId="34" fillId="0" borderId="0"/>
    <xf numFmtId="0" fontId="7" fillId="0" borderId="0">
      <alignment vertical="center"/>
    </xf>
    <xf numFmtId="0" fontId="35" fillId="0" borderId="0"/>
    <xf numFmtId="0" fontId="8" fillId="0" borderId="0" applyBorder="0"/>
    <xf numFmtId="0" fontId="21" fillId="0" borderId="0"/>
    <xf numFmtId="0" fontId="21" fillId="0" borderId="0"/>
    <xf numFmtId="0" fontId="7" fillId="0" borderId="0">
      <alignment vertical="center"/>
    </xf>
    <xf numFmtId="0" fontId="21" fillId="0" borderId="0"/>
    <xf numFmtId="0" fontId="21" fillId="0" borderId="0"/>
    <xf numFmtId="0" fontId="30" fillId="0" borderId="0" applyNumberFormat="0" applyFill="0" applyBorder="0" applyProtection="0">
      <alignment vertical="center"/>
    </xf>
    <xf numFmtId="9" fontId="30" fillId="0" borderId="0" applyFill="0" applyBorder="0" applyProtection="0"/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21" fillId="0" borderId="0"/>
    <xf numFmtId="0" fontId="21" fillId="0" borderId="0"/>
    <xf numFmtId="0" fontId="21" fillId="0" borderId="0"/>
    <xf numFmtId="0" fontId="8" fillId="0" borderId="0" applyBorder="0"/>
    <xf numFmtId="0" fontId="32" fillId="0" borderId="0"/>
    <xf numFmtId="0" fontId="29" fillId="0" borderId="0"/>
    <xf numFmtId="0" fontId="21" fillId="0" borderId="0"/>
    <xf numFmtId="0" fontId="21" fillId="0" borderId="0"/>
    <xf numFmtId="0" fontId="32" fillId="0" borderId="0"/>
    <xf numFmtId="0" fontId="21" fillId="0" borderId="0"/>
    <xf numFmtId="0" fontId="21" fillId="0" borderId="0"/>
    <xf numFmtId="0" fontId="21" fillId="0" borderId="0"/>
    <xf numFmtId="0" fontId="30" fillId="11" borderId="0" applyNumberFormat="0" applyBorder="0" applyAlignment="0" applyProtection="0"/>
    <xf numFmtId="0" fontId="7" fillId="0" borderId="0">
      <alignment vertical="center"/>
    </xf>
    <xf numFmtId="169" fontId="29" fillId="0" borderId="0" applyFont="0" applyFill="0" applyBorder="0" applyAlignment="0" applyProtection="0"/>
    <xf numFmtId="0" fontId="21" fillId="0" borderId="0"/>
    <xf numFmtId="0" fontId="21" fillId="0" borderId="0"/>
    <xf numFmtId="0" fontId="7" fillId="0" borderId="0">
      <alignment vertical="center"/>
    </xf>
    <xf numFmtId="0" fontId="21" fillId="0" borderId="0"/>
    <xf numFmtId="0" fontId="29" fillId="0" borderId="0"/>
    <xf numFmtId="0" fontId="7" fillId="0" borderId="0">
      <alignment vertical="center"/>
    </xf>
    <xf numFmtId="0" fontId="7" fillId="0" borderId="0">
      <alignment vertical="center"/>
    </xf>
    <xf numFmtId="0" fontId="34" fillId="0" borderId="0"/>
    <xf numFmtId="0" fontId="21" fillId="0" borderId="0"/>
    <xf numFmtId="0" fontId="7" fillId="0" borderId="0">
      <alignment vertical="center"/>
    </xf>
    <xf numFmtId="0" fontId="21" fillId="0" borderId="0">
      <alignment vertical="center"/>
    </xf>
    <xf numFmtId="0" fontId="21" fillId="0" borderId="0"/>
    <xf numFmtId="0" fontId="8" fillId="0" borderId="0"/>
    <xf numFmtId="0" fontId="21" fillId="0" borderId="0"/>
    <xf numFmtId="0" fontId="29" fillId="0" borderId="0"/>
    <xf numFmtId="0" fontId="33" fillId="12" borderId="9" applyNumberFormat="0" applyAlignment="0" applyProtection="0"/>
    <xf numFmtId="0" fontId="21" fillId="0" borderId="0"/>
    <xf numFmtId="0" fontId="21" fillId="0" borderId="0"/>
    <xf numFmtId="0" fontId="21" fillId="0" borderId="0"/>
    <xf numFmtId="169" fontId="29" fillId="0" borderId="0" applyFont="0" applyFill="0" applyBorder="0" applyAlignment="0" applyProtection="0"/>
    <xf numFmtId="0" fontId="33" fillId="10" borderId="9" applyNumberFormat="0" applyAlignment="0" applyProtection="0"/>
    <xf numFmtId="170" fontId="21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0" fontId="33" fillId="10" borderId="11" applyNumberFormat="0" applyAlignment="0" applyProtection="0"/>
    <xf numFmtId="0" fontId="33" fillId="10" borderId="12" applyNumberFormat="0" applyAlignment="0" applyProtection="0"/>
    <xf numFmtId="0" fontId="33" fillId="10" borderId="12" applyNumberFormat="0" applyAlignment="0" applyProtection="0"/>
    <xf numFmtId="0" fontId="33" fillId="10" borderId="11" applyNumberFormat="0" applyAlignment="0" applyProtection="0"/>
  </cellStyleXfs>
  <cellXfs count="24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4" xfId="0" applyFont="1" applyBorder="1" applyAlignment="1">
      <alignment horizontal="center" vertical="center"/>
    </xf>
    <xf numFmtId="16" fontId="5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164" fontId="10" fillId="0" borderId="2" xfId="0" applyNumberFormat="1" applyFont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166" fontId="3" fillId="5" borderId="4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165" fontId="11" fillId="2" borderId="4" xfId="0" applyNumberFormat="1" applyFont="1" applyFill="1" applyBorder="1" applyAlignment="1">
      <alignment horizontal="center" vertical="center" wrapText="1"/>
    </xf>
    <xf numFmtId="166" fontId="3" fillId="2" borderId="4" xfId="0" applyNumberFormat="1" applyFont="1" applyFill="1" applyBorder="1" applyAlignment="1">
      <alignment horizontal="center" vertical="center" wrapText="1"/>
    </xf>
    <xf numFmtId="14" fontId="3" fillId="2" borderId="4" xfId="0" applyNumberFormat="1" applyFont="1" applyFill="1" applyBorder="1" applyAlignment="1">
      <alignment horizontal="center" vertical="center" wrapText="1"/>
    </xf>
    <xf numFmtId="167" fontId="11" fillId="2" borderId="4" xfId="0" applyNumberFormat="1" applyFont="1" applyFill="1" applyBorder="1" applyAlignment="1">
      <alignment horizontal="center" vertical="center" wrapText="1"/>
    </xf>
    <xf numFmtId="14" fontId="11" fillId="2" borderId="4" xfId="0" applyNumberFormat="1" applyFont="1" applyFill="1" applyBorder="1" applyAlignment="1">
      <alignment horizontal="center" vertical="center"/>
    </xf>
    <xf numFmtId="14" fontId="11" fillId="2" borderId="4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14" fontId="11" fillId="6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13" fillId="0" borderId="0" xfId="0" applyFont="1" applyAlignment="1">
      <alignment vertical="center"/>
    </xf>
    <xf numFmtId="0" fontId="9" fillId="0" borderId="0" xfId="0" applyFont="1"/>
    <xf numFmtId="0" fontId="14" fillId="3" borderId="0" xfId="0" applyFont="1" applyFill="1" applyAlignment="1">
      <alignment horizontal="left" vertical="center" indent="1"/>
    </xf>
    <xf numFmtId="0" fontId="4" fillId="3" borderId="0" xfId="0" applyFont="1" applyFill="1"/>
    <xf numFmtId="0" fontId="4" fillId="6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1" fontId="4" fillId="6" borderId="4" xfId="0" applyNumberFormat="1" applyFont="1" applyFill="1" applyBorder="1" applyAlignment="1">
      <alignment horizontal="center" vertical="center" wrapText="1"/>
    </xf>
    <xf numFmtId="14" fontId="5" fillId="6" borderId="4" xfId="0" applyNumberFormat="1" applyFont="1" applyFill="1" applyBorder="1" applyAlignment="1">
      <alignment horizontal="center" vertical="center" wrapText="1"/>
    </xf>
    <xf numFmtId="14" fontId="4" fillId="3" borderId="4" xfId="0" applyNumberFormat="1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6" fillId="6" borderId="4" xfId="0" applyFont="1" applyFill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0" fillId="6" borderId="4" xfId="0" applyFont="1" applyFill="1" applyBorder="1" applyAlignment="1">
      <alignment horizontal="center"/>
    </xf>
    <xf numFmtId="16" fontId="17" fillId="0" borderId="4" xfId="0" applyNumberFormat="1" applyFont="1" applyBorder="1" applyAlignment="1">
      <alignment horizontal="center" vertical="center"/>
    </xf>
    <xf numFmtId="1" fontId="16" fillId="6" borderId="4" xfId="0" applyNumberFormat="1" applyFont="1" applyFill="1" applyBorder="1" applyAlignment="1">
      <alignment horizontal="center" vertical="center" wrapText="1"/>
    </xf>
    <xf numFmtId="167" fontId="17" fillId="6" borderId="4" xfId="0" applyNumberFormat="1" applyFont="1" applyFill="1" applyBorder="1" applyAlignment="1">
      <alignment horizontal="center" vertical="center" wrapText="1"/>
    </xf>
    <xf numFmtId="14" fontId="17" fillId="6" borderId="4" xfId="0" applyNumberFormat="1" applyFont="1" applyFill="1" applyBorder="1" applyAlignment="1">
      <alignment horizontal="center" vertical="center" wrapText="1"/>
    </xf>
    <xf numFmtId="14" fontId="16" fillId="3" borderId="4" xfId="0" applyNumberFormat="1" applyFont="1" applyFill="1" applyBorder="1" applyAlignment="1">
      <alignment horizontal="center" vertical="center" wrapText="1"/>
    </xf>
    <xf numFmtId="0" fontId="16" fillId="0" borderId="0" xfId="0" applyFont="1"/>
    <xf numFmtId="16" fontId="5" fillId="0" borderId="0" xfId="0" applyNumberFormat="1" applyFont="1" applyAlignment="1">
      <alignment horizontal="center" vertical="center"/>
    </xf>
    <xf numFmtId="0" fontId="7" fillId="0" borderId="0" xfId="1">
      <alignment vertical="center"/>
    </xf>
    <xf numFmtId="16" fontId="4" fillId="0" borderId="0" xfId="0" applyNumberFormat="1" applyFont="1"/>
    <xf numFmtId="14" fontId="9" fillId="0" borderId="0" xfId="0" applyNumberFormat="1" applyFont="1"/>
    <xf numFmtId="0" fontId="4" fillId="0" borderId="4" xfId="0" applyFont="1" applyBorder="1" applyAlignment="1">
      <alignment horizontal="center" vertical="center"/>
    </xf>
    <xf numFmtId="168" fontId="3" fillId="2" borderId="2" xfId="0" applyNumberFormat="1" applyFont="1" applyFill="1" applyBorder="1" applyAlignment="1">
      <alignment vertical="center"/>
    </xf>
    <xf numFmtId="168" fontId="3" fillId="2" borderId="4" xfId="0" applyNumberFormat="1" applyFont="1" applyFill="1" applyBorder="1" applyAlignment="1">
      <alignment horizontal="center" vertical="center" wrapText="1"/>
    </xf>
    <xf numFmtId="168" fontId="11" fillId="2" borderId="4" xfId="0" applyNumberFormat="1" applyFont="1" applyFill="1" applyBorder="1" applyAlignment="1">
      <alignment horizontal="center" vertical="center" wrapText="1"/>
    </xf>
    <xf numFmtId="168" fontId="11" fillId="2" borderId="4" xfId="0" applyNumberFormat="1" applyFont="1" applyFill="1" applyBorder="1" applyAlignment="1">
      <alignment horizontal="center" vertical="center"/>
    </xf>
    <xf numFmtId="168" fontId="4" fillId="0" borderId="0" xfId="0" applyNumberFormat="1" applyFont="1"/>
    <xf numFmtId="0" fontId="3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168" fontId="16" fillId="0" borderId="0" xfId="0" applyNumberFormat="1" applyFont="1"/>
    <xf numFmtId="0" fontId="5" fillId="6" borderId="4" xfId="3" applyFont="1" applyFill="1" applyBorder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168" fontId="5" fillId="0" borderId="4" xfId="0" applyNumberFormat="1" applyFont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wrapText="1"/>
    </xf>
    <xf numFmtId="0" fontId="4" fillId="0" borderId="4" xfId="0" quotePrefix="1" applyFont="1" applyBorder="1" applyAlignment="1">
      <alignment horizontal="center"/>
    </xf>
    <xf numFmtId="0" fontId="5" fillId="6" borderId="4" xfId="0" applyFont="1" applyFill="1" applyBorder="1" applyAlignment="1">
      <alignment horizontal="center" vertical="center" wrapText="1"/>
    </xf>
    <xf numFmtId="0" fontId="5" fillId="0" borderId="4" xfId="3" quotePrefix="1" applyFont="1" applyBorder="1" applyAlignment="1">
      <alignment horizontal="center" vertical="center"/>
    </xf>
    <xf numFmtId="16" fontId="11" fillId="6" borderId="4" xfId="0" applyNumberFormat="1" applyFont="1" applyFill="1" applyBorder="1" applyAlignment="1">
      <alignment horizontal="center" vertical="center" wrapText="1"/>
    </xf>
    <xf numFmtId="0" fontId="5" fillId="0" borderId="4" xfId="0" quotePrefix="1" applyFont="1" applyBorder="1" applyAlignment="1">
      <alignment horizontal="center" vertical="center"/>
    </xf>
    <xf numFmtId="168" fontId="17" fillId="0" borderId="4" xfId="0" applyNumberFormat="1" applyFont="1" applyBorder="1" applyAlignment="1">
      <alignment horizontal="center" vertical="center"/>
    </xf>
    <xf numFmtId="14" fontId="22" fillId="3" borderId="4" xfId="0" applyNumberFormat="1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23" fillId="0" borderId="4" xfId="0" applyFont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6" fillId="0" borderId="4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66" fontId="11" fillId="2" borderId="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65" fontId="11" fillId="2" borderId="7" xfId="0" applyNumberFormat="1" applyFont="1" applyFill="1" applyBorder="1" applyAlignment="1">
      <alignment horizontal="center" vertical="center"/>
    </xf>
    <xf numFmtId="165" fontId="11" fillId="2" borderId="8" xfId="0" applyNumberFormat="1" applyFont="1" applyFill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10" fillId="0" borderId="0" xfId="0" applyFont="1"/>
    <xf numFmtId="0" fontId="24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4" xfId="0" applyFont="1" applyBorder="1" applyAlignment="1">
      <alignment horizontal="center" vertical="center"/>
    </xf>
    <xf numFmtId="0" fontId="26" fillId="6" borderId="4" xfId="0" applyFont="1" applyFill="1" applyBorder="1" applyAlignment="1">
      <alignment horizontal="center"/>
    </xf>
    <xf numFmtId="0" fontId="25" fillId="0" borderId="4" xfId="0" applyFont="1" applyBorder="1" applyAlignment="1">
      <alignment horizontal="center"/>
    </xf>
    <xf numFmtId="16" fontId="27" fillId="0" borderId="4" xfId="0" applyNumberFormat="1" applyFont="1" applyBorder="1" applyAlignment="1">
      <alignment horizontal="center" vertical="center"/>
    </xf>
    <xf numFmtId="168" fontId="24" fillId="0" borderId="4" xfId="0" applyNumberFormat="1" applyFont="1" applyBorder="1" applyAlignment="1">
      <alignment horizontal="center" vertical="center"/>
    </xf>
    <xf numFmtId="16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0" xfId="0" applyFont="1"/>
    <xf numFmtId="164" fontId="3" fillId="3" borderId="2" xfId="0" applyNumberFormat="1" applyFont="1" applyFill="1" applyBorder="1"/>
    <xf numFmtId="14" fontId="5" fillId="0" borderId="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0" fontId="4" fillId="6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6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 wrapText="1"/>
    </xf>
    <xf numFmtId="14" fontId="4" fillId="0" borderId="0" xfId="0" applyNumberFormat="1" applyFont="1"/>
    <xf numFmtId="0" fontId="23" fillId="6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16" fontId="23" fillId="0" borderId="4" xfId="0" applyNumberFormat="1" applyFont="1" applyBorder="1" applyAlignment="1">
      <alignment horizontal="center" vertical="center"/>
    </xf>
    <xf numFmtId="0" fontId="23" fillId="0" borderId="0" xfId="0" applyFont="1"/>
    <xf numFmtId="0" fontId="23" fillId="0" borderId="4" xfId="0" quotePrefix="1" applyFont="1" applyBorder="1" applyAlignment="1">
      <alignment horizontal="center"/>
    </xf>
    <xf numFmtId="0" fontId="23" fillId="0" borderId="4" xfId="0" quotePrefix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quotePrefix="1" applyBorder="1" applyAlignment="1">
      <alignment horizontal="center" vertical="center"/>
    </xf>
    <xf numFmtId="0" fontId="6" fillId="0" borderId="0" xfId="0" applyFont="1"/>
    <xf numFmtId="0" fontId="0" fillId="13" borderId="0" xfId="0" applyFill="1"/>
    <xf numFmtId="0" fontId="36" fillId="13" borderId="10" xfId="0" applyFont="1" applyFill="1" applyBorder="1" applyAlignment="1">
      <alignment horizontal="center" vertical="center" wrapText="1"/>
    </xf>
    <xf numFmtId="22" fontId="36" fillId="13" borderId="10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36" fillId="14" borderId="10" xfId="0" applyFont="1" applyFill="1" applyBorder="1" applyAlignment="1">
      <alignment horizontal="center" vertical="center" wrapText="1"/>
    </xf>
    <xf numFmtId="14" fontId="26" fillId="3" borderId="4" xfId="0" applyNumberFormat="1" applyFont="1" applyFill="1" applyBorder="1" applyAlignment="1">
      <alignment horizontal="center" vertical="center" wrapText="1"/>
    </xf>
    <xf numFmtId="168" fontId="25" fillId="0" borderId="4" xfId="0" applyNumberFormat="1" applyFont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16" fontId="25" fillId="0" borderId="4" xfId="0" applyNumberFormat="1" applyFont="1" applyBorder="1" applyAlignment="1">
      <alignment horizontal="center" vertical="center"/>
    </xf>
    <xf numFmtId="0" fontId="26" fillId="0" borderId="0" xfId="0" applyFont="1"/>
    <xf numFmtId="0" fontId="25" fillId="0" borderId="13" xfId="0" applyFont="1" applyBorder="1" applyAlignment="1">
      <alignment horizontal="center"/>
    </xf>
    <xf numFmtId="0" fontId="26" fillId="0" borderId="13" xfId="0" applyFont="1" applyBorder="1" applyAlignment="1">
      <alignment horizontal="center"/>
    </xf>
    <xf numFmtId="0" fontId="25" fillId="3" borderId="13" xfId="0" applyFont="1" applyFill="1" applyBorder="1" applyAlignment="1">
      <alignment horizontal="center"/>
    </xf>
    <xf numFmtId="16" fontId="25" fillId="0" borderId="13" xfId="0" applyNumberFormat="1" applyFont="1" applyBorder="1" applyAlignment="1">
      <alignment horizontal="center" vertical="center"/>
    </xf>
    <xf numFmtId="0" fontId="4" fillId="0" borderId="14" xfId="0" applyFont="1" applyBorder="1"/>
    <xf numFmtId="0" fontId="9" fillId="0" borderId="14" xfId="0" applyFont="1" applyBorder="1"/>
    <xf numFmtId="168" fontId="4" fillId="0" borderId="14" xfId="0" applyNumberFormat="1" applyFont="1" applyBorder="1"/>
    <xf numFmtId="0" fontId="25" fillId="3" borderId="13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68" fontId="5" fillId="0" borderId="1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" fontId="5" fillId="0" borderId="6" xfId="0" applyNumberFormat="1" applyFont="1" applyBorder="1" applyAlignment="1">
      <alignment horizontal="center" vertical="center"/>
    </xf>
    <xf numFmtId="168" fontId="5" fillId="0" borderId="6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5" fillId="2" borderId="15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16" fontId="5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16" fontId="24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16" fontId="5" fillId="0" borderId="13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8" fontId="3" fillId="2" borderId="4" xfId="0" applyNumberFormat="1" applyFont="1" applyFill="1" applyBorder="1" applyAlignment="1">
      <alignment vertical="center"/>
    </xf>
    <xf numFmtId="0" fontId="1" fillId="8" borderId="6" xfId="0" applyFon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 wrapText="1"/>
    </xf>
    <xf numFmtId="166" fontId="3" fillId="2" borderId="13" xfId="0" applyNumberFormat="1" applyFont="1" applyFill="1" applyBorder="1" applyAlignment="1">
      <alignment horizontal="center" vertical="center" wrapText="1"/>
    </xf>
    <xf numFmtId="166" fontId="11" fillId="2" borderId="13" xfId="0" applyNumberFormat="1" applyFont="1" applyFill="1" applyBorder="1" applyAlignment="1">
      <alignment horizontal="center" vertical="center"/>
    </xf>
    <xf numFmtId="165" fontId="11" fillId="2" borderId="13" xfId="0" applyNumberFormat="1" applyFont="1" applyFill="1" applyBorder="1" applyAlignment="1">
      <alignment horizontal="center" wrapText="1"/>
    </xf>
    <xf numFmtId="165" fontId="11" fillId="2" borderId="4" xfId="0" applyNumberFormat="1" applyFont="1" applyFill="1" applyBorder="1" applyAlignment="1">
      <alignment horizontal="center" vertical="center"/>
    </xf>
    <xf numFmtId="14" fontId="3" fillId="3" borderId="13" xfId="0" applyNumberFormat="1" applyFont="1" applyFill="1" applyBorder="1" applyAlignment="1">
      <alignment horizontal="center" vertical="center" wrapText="1"/>
    </xf>
    <xf numFmtId="1" fontId="3" fillId="3" borderId="4" xfId="0" applyNumberFormat="1" applyFont="1" applyFill="1" applyBorder="1" applyAlignment="1">
      <alignment horizontal="center" vertical="center" wrapText="1"/>
    </xf>
    <xf numFmtId="0" fontId="38" fillId="0" borderId="4" xfId="0" applyFont="1" applyBorder="1" applyAlignment="1">
      <alignment horizontal="center"/>
    </xf>
    <xf numFmtId="171" fontId="38" fillId="6" borderId="4" xfId="0" quotePrefix="1" applyNumberFormat="1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38" fillId="0" borderId="0" xfId="0" applyFont="1" applyAlignment="1">
      <alignment horizontal="center"/>
    </xf>
    <xf numFmtId="0" fontId="23" fillId="2" borderId="4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1" fontId="23" fillId="0" borderId="4" xfId="0" applyNumberFormat="1" applyFont="1" applyBorder="1" applyAlignment="1">
      <alignment horizontal="center"/>
    </xf>
    <xf numFmtId="0" fontId="39" fillId="2" borderId="4" xfId="0" applyFont="1" applyFill="1" applyBorder="1" applyAlignment="1">
      <alignment horizontal="center"/>
    </xf>
    <xf numFmtId="0" fontId="39" fillId="0" borderId="4" xfId="0" applyFont="1" applyBorder="1" applyAlignment="1">
      <alignment horizontal="center"/>
    </xf>
    <xf numFmtId="0" fontId="39" fillId="6" borderId="4" xfId="0" applyFont="1" applyFill="1" applyBorder="1" applyAlignment="1">
      <alignment horizontal="center"/>
    </xf>
    <xf numFmtId="0" fontId="39" fillId="0" borderId="4" xfId="0" quotePrefix="1" applyFont="1" applyBorder="1" applyAlignment="1">
      <alignment horizontal="center"/>
    </xf>
    <xf numFmtId="1" fontId="39" fillId="0" borderId="4" xfId="0" applyNumberFormat="1" applyFont="1" applyBorder="1" applyAlignment="1">
      <alignment horizontal="center"/>
    </xf>
    <xf numFmtId="0" fontId="41" fillId="0" borderId="13" xfId="0" applyFont="1" applyBorder="1" applyAlignment="1">
      <alignment horizontal="center"/>
    </xf>
    <xf numFmtId="0" fontId="42" fillId="0" borderId="4" xfId="0" applyFont="1" applyBorder="1" applyAlignment="1">
      <alignment horizontal="center" readingOrder="1"/>
    </xf>
    <xf numFmtId="0" fontId="39" fillId="6" borderId="4" xfId="0" quotePrefix="1" applyFont="1" applyFill="1" applyBorder="1" applyAlignment="1">
      <alignment horizontal="center"/>
    </xf>
    <xf numFmtId="1" fontId="23" fillId="0" borderId="4" xfId="0" quotePrefix="1" applyNumberFormat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4" fontId="38" fillId="0" borderId="4" xfId="0" applyNumberFormat="1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3" fillId="2" borderId="15" xfId="0" applyFont="1" applyFill="1" applyBorder="1" applyAlignment="1">
      <alignment horizontal="center" vertical="center" wrapText="1"/>
    </xf>
    <xf numFmtId="165" fontId="11" fillId="2" borderId="15" xfId="0" applyNumberFormat="1" applyFont="1" applyFill="1" applyBorder="1" applyAlignment="1">
      <alignment horizontal="center" vertical="center" wrapText="1"/>
    </xf>
    <xf numFmtId="1" fontId="23" fillId="0" borderId="13" xfId="0" applyNumberFormat="1" applyFont="1" applyBorder="1" applyAlignment="1">
      <alignment horizontal="center"/>
    </xf>
    <xf numFmtId="0" fontId="23" fillId="6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 wrapText="1"/>
    </xf>
    <xf numFmtId="166" fontId="3" fillId="2" borderId="15" xfId="0" applyNumberFormat="1" applyFont="1" applyFill="1" applyBorder="1" applyAlignment="1">
      <alignment horizontal="center" vertical="center" wrapText="1"/>
    </xf>
    <xf numFmtId="168" fontId="3" fillId="2" borderId="15" xfId="0" applyNumberFormat="1" applyFont="1" applyFill="1" applyBorder="1" applyAlignment="1">
      <alignment horizontal="center" vertical="center" wrapText="1"/>
    </xf>
    <xf numFmtId="14" fontId="3" fillId="2" borderId="15" xfId="0" applyNumberFormat="1" applyFont="1" applyFill="1" applyBorder="1" applyAlignment="1">
      <alignment horizontal="center" vertical="center" wrapText="1"/>
    </xf>
    <xf numFmtId="168" fontId="11" fillId="2" borderId="15" xfId="0" applyNumberFormat="1" applyFont="1" applyFill="1" applyBorder="1" applyAlignment="1">
      <alignment horizontal="center" vertical="center" wrapText="1"/>
    </xf>
    <xf numFmtId="168" fontId="11" fillId="2" borderId="15" xfId="0" applyNumberFormat="1" applyFont="1" applyFill="1" applyBorder="1" applyAlignment="1">
      <alignment horizontal="center" vertical="center"/>
    </xf>
    <xf numFmtId="14" fontId="11" fillId="2" borderId="15" xfId="0" applyNumberFormat="1" applyFont="1" applyFill="1" applyBorder="1" applyAlignment="1">
      <alignment horizontal="center" vertical="center" wrapText="1"/>
    </xf>
    <xf numFmtId="14" fontId="3" fillId="3" borderId="15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6" fontId="0" fillId="0" borderId="13" xfId="0" applyNumberFormat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6" borderId="13" xfId="0" quotePrefix="1" applyFill="1" applyBorder="1" applyAlignment="1">
      <alignment horizontal="center"/>
    </xf>
    <xf numFmtId="0" fontId="0" fillId="15" borderId="13" xfId="0" quotePrefix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3" fillId="2" borderId="1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65" fontId="11" fillId="2" borderId="4" xfId="0" applyNumberFormat="1" applyFont="1" applyFill="1" applyBorder="1" applyAlignment="1">
      <alignment horizontal="center" vertical="center"/>
    </xf>
    <xf numFmtId="167" fontId="11" fillId="2" borderId="4" xfId="0" applyNumberFormat="1" applyFont="1" applyFill="1" applyBorder="1" applyAlignment="1">
      <alignment horizontal="center" vertical="center"/>
    </xf>
    <xf numFmtId="14" fontId="11" fillId="2" borderId="4" xfId="0" applyNumberFormat="1" applyFont="1" applyFill="1" applyBorder="1" applyAlignment="1">
      <alignment horizontal="center" vertical="center"/>
    </xf>
    <xf numFmtId="166" fontId="11" fillId="2" borderId="4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4" fontId="3" fillId="3" borderId="5" xfId="0" applyNumberFormat="1" applyFont="1" applyFill="1" applyBorder="1" applyAlignment="1">
      <alignment horizontal="center" vertical="center" wrapText="1"/>
    </xf>
    <xf numFmtId="14" fontId="3" fillId="3" borderId="6" xfId="0" applyNumberFormat="1" applyFont="1" applyFill="1" applyBorder="1" applyAlignment="1">
      <alignment horizontal="center" vertical="center" wrapText="1"/>
    </xf>
    <xf numFmtId="168" fontId="11" fillId="2" borderId="4" xfId="0" applyNumberFormat="1" applyFont="1" applyFill="1" applyBorder="1" applyAlignment="1">
      <alignment horizontal="center" vertical="center"/>
    </xf>
    <xf numFmtId="165" fontId="11" fillId="2" borderId="7" xfId="0" applyNumberFormat="1" applyFont="1" applyFill="1" applyBorder="1" applyAlignment="1">
      <alignment horizontal="center" vertical="center"/>
    </xf>
    <xf numFmtId="165" fontId="11" fillId="2" borderId="8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 wrapText="1"/>
    </xf>
    <xf numFmtId="0" fontId="28" fillId="3" borderId="8" xfId="0" applyFont="1" applyFill="1" applyBorder="1" applyAlignment="1">
      <alignment horizontal="center" vertical="center" wrapText="1"/>
    </xf>
    <xf numFmtId="168" fontId="11" fillId="2" borderId="13" xfId="0" applyNumberFormat="1" applyFont="1" applyFill="1" applyBorder="1" applyAlignment="1">
      <alignment horizontal="center" vertical="center"/>
    </xf>
    <xf numFmtId="14" fontId="11" fillId="2" borderId="13" xfId="0" applyNumberFormat="1" applyFont="1" applyFill="1" applyBorder="1" applyAlignment="1">
      <alignment horizontal="center" vertical="center"/>
    </xf>
  </cellXfs>
  <cellStyles count="97">
    <cellStyle name="20% - Accent5 2" xfId="14" xr:uid="{00000000-0005-0000-0000-000000000000}"/>
    <cellStyle name="20% - Accent5 2 2" xfId="53" xr:uid="{EA5D7530-B96B-4525-9375-F159437E6C95}"/>
    <cellStyle name="Comma 2" xfId="11" xr:uid="{00000000-0005-0000-0000-000001000000}"/>
    <cellStyle name="Comma 2 2" xfId="55" xr:uid="{0755B9A1-A26C-4542-99E6-1FDDE0C582C3}"/>
    <cellStyle name="Comma 2 2 2" xfId="85" xr:uid="{D36D6FED-A23D-4BA2-8BA5-CED0C51B1D92}"/>
    <cellStyle name="Comma 2 2 2 2" xfId="91" xr:uid="{ED034E2C-4065-49ED-8FFF-4F7BD9752985}"/>
    <cellStyle name="Comma 2 2 3" xfId="82" xr:uid="{3778D6F0-BD9B-491F-8D3D-E86A34E5AF9E}"/>
    <cellStyle name="Comma 2 2 4" xfId="88" xr:uid="{E0BC6BA6-2F0B-4011-9CB2-6D814BA3DFEF}"/>
    <cellStyle name="Comma 2 2 5" xfId="79" xr:uid="{27F6CA16-65E1-4F9E-88DF-8730ED700520}"/>
    <cellStyle name="Comma 2 3" xfId="75" xr:uid="{4E855C5D-63A7-4627-8CEF-4E7642002A74}"/>
    <cellStyle name="Comma 2 3 2" xfId="86" xr:uid="{9C93E1D4-7376-4352-B363-BA26A7512E2C}"/>
    <cellStyle name="Comma 2 3 2 2" xfId="92" xr:uid="{E66818A8-7556-47E4-B5CF-5498E08001B4}"/>
    <cellStyle name="Comma 2 3 3" xfId="83" xr:uid="{7369E0A4-2947-4F42-9812-FCB4AF5C9BAB}"/>
    <cellStyle name="Comma 2 3 4" xfId="89" xr:uid="{0F10DF51-7FB0-46B2-B064-4575283B5B8A}"/>
    <cellStyle name="Comma 2 3 5" xfId="80" xr:uid="{AB65D798-E10A-4E19-8034-C1FAF9AA7BA7}"/>
    <cellStyle name="Comma 2 4" xfId="84" xr:uid="{6B841F16-D50E-4EF4-A676-78124E6CCA0D}"/>
    <cellStyle name="Comma 2 4 2" xfId="90" xr:uid="{D4CCFE8C-2956-4292-9298-AE35B457BD0C}"/>
    <cellStyle name="Comma 2 5" xfId="81" xr:uid="{7821E307-9A4F-4829-88C2-1F2A97A424BC}"/>
    <cellStyle name="Comma 2 6" xfId="87" xr:uid="{F066CEB1-1C1D-44E3-99FA-12943A77077C}"/>
    <cellStyle name="Comma 2 7" xfId="78" xr:uid="{77FC894D-0265-45A8-9084-DC9B3C656079}"/>
    <cellStyle name="Currency 2" xfId="77" xr:uid="{C3B7B007-D95E-40AF-AE44-494FA0B2B7DF}"/>
    <cellStyle name="Normal" xfId="0" builtinId="0"/>
    <cellStyle name="Normal 10" xfId="25" xr:uid="{71A3E07C-528B-4D9A-B411-34FF3D633764}"/>
    <cellStyle name="Normal 10 2" xfId="57" xr:uid="{DAD92884-0993-469B-AFCB-032ECC0AE5B4}"/>
    <cellStyle name="Normal 10 3 2" xfId="33" xr:uid="{86C11B24-8FC6-42B6-9B10-69CF5E3FA122}"/>
    <cellStyle name="Normal 10 3 2 2" xfId="51" xr:uid="{C07F9F90-716E-4981-93C6-54AE89FA00DC}"/>
    <cellStyle name="Normal 11" xfId="20" xr:uid="{511E81E8-A077-4D60-9AD7-A8DA9634E1C5}"/>
    <cellStyle name="Normal 11 2" xfId="21" xr:uid="{DB25133A-024E-4E6D-AAB0-27749A8DF9E7}"/>
    <cellStyle name="Normal 11 2 2" xfId="52" xr:uid="{E9AFCA7C-9FEB-41C9-9832-0000701DC876}"/>
    <cellStyle name="Normal 11 3" xfId="56" xr:uid="{673C8CF9-C8FD-4F7F-8259-3AF575E6068D}"/>
    <cellStyle name="Normal 12 2" xfId="72" xr:uid="{6CA64FC0-CE37-450D-BA6C-5334D205C2F2}"/>
    <cellStyle name="Normal 14 19" xfId="10" xr:uid="{823B6B14-FD5E-4DFC-A913-2E4D7EEB99ED}"/>
    <cellStyle name="Normal 2" xfId="1" xr:uid="{00000000-0005-0000-0000-00002F000000}"/>
    <cellStyle name="Normal 2 2" xfId="5" xr:uid="{8917ECC8-62E4-42F0-828F-30A2D17CD731}"/>
    <cellStyle name="Normal 2 2 2" xfId="18" xr:uid="{00000000-0005-0000-0000-000004000000}"/>
    <cellStyle name="Normal 2 2 2 2" xfId="46" xr:uid="{8F717068-77B0-40C9-8582-2061CA240F88}"/>
    <cellStyle name="Normal 2 2 3" xfId="54" xr:uid="{D39AC002-BA70-4FA7-A5D1-A39891CDF96C}"/>
    <cellStyle name="Normal 2 2 4" xfId="34" xr:uid="{694C77D9-0EC9-4169-80CA-32C8B756FE1C}"/>
    <cellStyle name="Normal 2 2 4 2" xfId="58" xr:uid="{C41F1474-31FE-42F8-87A6-849CD4D11343}"/>
    <cellStyle name="Normal 2 2 5" xfId="12" xr:uid="{00000000-0005-0000-0000-000003000000}"/>
    <cellStyle name="Normal 2 3" xfId="30" xr:uid="{2B37A22F-6955-4BF3-B612-3E96C2373294}"/>
    <cellStyle name="Normal 2 3 2" xfId="59" xr:uid="{721A1981-5ACE-4171-97C7-E466D6152E39}"/>
    <cellStyle name="Normal 2 4" xfId="45" xr:uid="{9DFE213E-8DCB-4AAD-BCE3-0B5B99446DB4}"/>
    <cellStyle name="Normal 2 5" xfId="48" xr:uid="{BAEE6FC5-D28A-4D51-81E6-604053AF0F9A}"/>
    <cellStyle name="Normal 2 6" xfId="19" xr:uid="{2425A686-A432-45E8-82C3-2DBB41130277}"/>
    <cellStyle name="Normal 24" xfId="35" xr:uid="{EB6DA734-286A-40BF-B9BE-23EF221A9986}"/>
    <cellStyle name="Normal 24 2" xfId="47" xr:uid="{4D279381-2D31-4596-9296-7D64451FAFF3}"/>
    <cellStyle name="Normal 27" xfId="36" xr:uid="{D52C8191-B73F-4160-9F36-9819F9ABE123}"/>
    <cellStyle name="Normal 27 2" xfId="50" xr:uid="{DC2D29E3-1313-49F5-BB50-1809EC9CB589}"/>
    <cellStyle name="Normal 3" xfId="4" xr:uid="{BAE758CD-FB8C-426D-86E7-E8053525CD41}"/>
    <cellStyle name="Normal 3 2" xfId="24" xr:uid="{B674AB44-9304-4CED-9357-07AFD57D6349}"/>
    <cellStyle name="Normal 3 2 2" xfId="60" xr:uid="{6DFAFA0A-68D9-4F31-9F02-145C057BBFEA}"/>
    <cellStyle name="Normal 3 3" xfId="29" xr:uid="{0D7AD9EF-2D81-4DA9-BA76-8A850F501DDE}"/>
    <cellStyle name="Normal 3 3 2" xfId="61" xr:uid="{BEBED15C-8E2D-428F-B30E-04E2E8DF01D5}"/>
    <cellStyle name="Normal 3 4" xfId="26" xr:uid="{88EE35E8-6E43-4AFD-8A9B-5889B6E968B6}"/>
    <cellStyle name="Normal 3 4 2" xfId="62" xr:uid="{85599AEB-BF0D-49A8-BC71-99E850E21AC3}"/>
    <cellStyle name="Normal 3 5" xfId="49" xr:uid="{1060B5BF-114B-4245-A88A-413F8C85B82E}"/>
    <cellStyle name="Normal 3 6" xfId="17" xr:uid="{00000000-0005-0000-0000-000005000000}"/>
    <cellStyle name="Normal 4" xfId="28" xr:uid="{40F3E032-66C7-4779-8B78-7DDFFAF0900F}"/>
    <cellStyle name="Normal 4 2" xfId="6" xr:uid="{212DACB2-D49A-447C-9AC0-3FB7AAF9E4F1}"/>
    <cellStyle name="Normal 4 2 2" xfId="64" xr:uid="{20E727A0-5A28-4E08-8B1C-650AB36B9B95}"/>
    <cellStyle name="Normal 4 3" xfId="65" xr:uid="{1A093243-DF37-4D00-841F-B8E6810DB5ED}"/>
    <cellStyle name="Normal 4 3 2" xfId="3" xr:uid="{B4A4A407-7276-4115-B9C3-FE0D3D6B8D26}"/>
    <cellStyle name="Normal 4 4" xfId="63" xr:uid="{D200D1F0-BD41-409B-A1CC-7770041B5FFC}"/>
    <cellStyle name="Normal 5" xfId="16" xr:uid="{00000000-0005-0000-0000-000006000000}"/>
    <cellStyle name="Normal 5 2" xfId="15" xr:uid="{00000000-0005-0000-0000-000007000000}"/>
    <cellStyle name="Normal 5 2 2" xfId="67" xr:uid="{C86F1736-ACD4-4348-ACFF-563E05F1A160}"/>
    <cellStyle name="Normal 5 3" xfId="31" xr:uid="{CACFBC7C-C10B-4E1E-887A-EE2C2C3E76AB}"/>
    <cellStyle name="Normal 5 3 2" xfId="44" xr:uid="{A68D112D-B06A-422F-84E7-895313D44189}"/>
    <cellStyle name="Normal 5 4" xfId="66" xr:uid="{0EF0B85C-C859-4332-80C1-23EB2844601F}"/>
    <cellStyle name="Normal 50 2" xfId="23" xr:uid="{D726C068-D542-44FA-A34D-06AECF2B2DA8}"/>
    <cellStyle name="Normal 50 2 2" xfId="68" xr:uid="{82A6276B-8262-47E9-8D07-1CD8106F6132}"/>
    <cellStyle name="Normal 6" xfId="2" xr:uid="{00000000-0005-0000-0000-000001000000}"/>
    <cellStyle name="Normal 6 2" xfId="39" xr:uid="{45F6AD7A-B48E-4005-90D4-6A58BA71CC52}"/>
    <cellStyle name="Normal 6 3" xfId="40" xr:uid="{40882ECA-388D-4435-A827-0698900463EB}"/>
    <cellStyle name="Normal 6 4" xfId="37" xr:uid="{9F04037B-18EC-4116-9AC7-8DA8A140377D}"/>
    <cellStyle name="Normal 7" xfId="42" xr:uid="{9A6DC7FD-833C-464D-90BF-75F4FAAC0BB5}"/>
    <cellStyle name="Normal 7 2" xfId="32" xr:uid="{BB90CAAB-45F9-4DA4-9BBF-7828C55705AA}"/>
    <cellStyle name="Normal 7 2 2" xfId="43" xr:uid="{DC0361C3-763E-488A-B5E7-BF455BDF3C4E}"/>
    <cellStyle name="Normal 7 2 4" xfId="73" xr:uid="{E34EA162-2505-42F4-92D6-A85032D95920}"/>
    <cellStyle name="Normal 7 2 4 2" xfId="74" xr:uid="{1610B606-6534-4859-89FF-47C6A41DC9C7}"/>
    <cellStyle name="Normal 7 2 4 2 20" xfId="8" xr:uid="{677BEBF4-0393-48C4-A988-424022A4710A}"/>
    <cellStyle name="Normal 7 2 4 2 20 4" xfId="9" xr:uid="{6B2FBCDD-6B3A-474E-8FBD-971A4B9D1F38}"/>
    <cellStyle name="Normal 76" xfId="7" xr:uid="{FBCA6EC2-51A5-454E-9457-A0DB85AA3217}"/>
    <cellStyle name="Normal 8" xfId="41" xr:uid="{9963001D-4D1F-4341-8DB3-1D12CCBAE7CF}"/>
    <cellStyle name="Normal 9" xfId="13" xr:uid="{00000000-0005-0000-0000-000008000000}"/>
    <cellStyle name="Normal 9 2" xfId="22" xr:uid="{8411B5F8-FEFE-4AF0-B8FF-F5C39419D570}"/>
    <cellStyle name="Normal 9 2 2" xfId="70" xr:uid="{F6623F27-649C-44C1-BC13-4037CAA10200}"/>
    <cellStyle name="Normal 9 3" xfId="69" xr:uid="{78F58691-4475-438B-8CB8-4E9D038E0866}"/>
    <cellStyle name="Output 2" xfId="27" xr:uid="{CD3F8B54-690E-449A-A4E9-3ECE09E165F3}"/>
    <cellStyle name="Output 2 2" xfId="71" xr:uid="{7777E794-9956-4212-964F-5C72F1179C31}"/>
    <cellStyle name="Output 2 2 2" xfId="76" xr:uid="{694F5974-4D3F-432B-BE9A-1A1C21E47C69}"/>
    <cellStyle name="Output 2 2 3" xfId="96" xr:uid="{694F5974-4D3F-432B-BE9A-1A1C21E47C69}"/>
    <cellStyle name="Output 2 2 4" xfId="95" xr:uid="{694F5974-4D3F-432B-BE9A-1A1C21E47C69}"/>
    <cellStyle name="Output 2 3" xfId="93" xr:uid="{FD14D76C-3707-407D-9051-E67871979CF3}"/>
    <cellStyle name="Output 2 4" xfId="94" xr:uid="{FD14D76C-3707-407D-9051-E67871979CF3}"/>
    <cellStyle name="Percent 2" xfId="38" xr:uid="{90DE7C62-3107-473C-98FF-4DB9859596FE}"/>
  </cellStyles>
  <dxfs count="31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D9E3F3"/>
          <bgColor rgb="FFD9E3F3"/>
        </patternFill>
      </fill>
      <border>
        <left/>
        <right/>
        <top/>
        <bottom style="thin">
          <color rgb="FF8FABDB"/>
        </bottom>
      </border>
    </dxf>
    <dxf>
      <font>
        <b/>
      </font>
      <fill>
        <patternFill patternType="solid">
          <fgColor rgb="FFD9E3F3"/>
          <bgColor rgb="FFD9E3F3"/>
        </patternFill>
      </fill>
      <border>
        <left/>
        <right/>
        <top/>
        <bottom style="thin">
          <color rgb="FF8FABDB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8FABDB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4473C4"/>
        </top>
        <bottom style="thin">
          <color rgb="FF4473C4"/>
        </bottom>
      </border>
    </dxf>
    <dxf>
      <fill>
        <patternFill patternType="solid">
          <fgColor rgb="FFD9E3F3"/>
          <bgColor rgb="FFD9E3F3"/>
        </patternFill>
      </fill>
    </dxf>
    <dxf>
      <fill>
        <patternFill patternType="solid">
          <fgColor rgb="FFD9E3F3"/>
          <bgColor rgb="FFD9E3F3"/>
        </patternFill>
      </fill>
    </dxf>
    <dxf>
      <font>
        <b/>
        <color rgb="FF000000"/>
      </font>
      <fill>
        <patternFill patternType="solid">
          <fgColor rgb="FFD9E3F3"/>
          <bgColor rgb="FFD9E3F3"/>
        </patternFill>
      </fill>
      <border>
        <left/>
        <right/>
        <top style="thin">
          <color rgb="FF8FABDB"/>
        </top>
        <bottom style="thin">
          <color rgb="FF8FABDB"/>
        </bottom>
      </border>
    </dxf>
    <dxf>
      <font>
        <b/>
        <color rgb="FF000000"/>
      </font>
      <fill>
        <patternFill patternType="solid">
          <fgColor rgb="FFD9E3F3"/>
          <bgColor rgb="FFD9E3F3"/>
        </patternFill>
      </fill>
      <border>
        <left/>
        <right/>
        <top/>
        <bottom style="thin">
          <color rgb="FF8FABDB"/>
        </bottom>
      </border>
    </dxf>
    <dxf>
      <fill>
        <patternFill patternType="solid">
          <fgColor rgb="FFD9E3F3"/>
          <bgColor rgb="FFD9E3F3"/>
        </patternFill>
      </fill>
    </dxf>
    <dxf>
      <fill>
        <patternFill patternType="solid">
          <fgColor rgb="FFD9E3F3"/>
          <bgColor rgb="FFD9E3F3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4473C4"/>
        </top>
        <bottom/>
      </border>
    </dxf>
    <dxf>
      <font>
        <b/>
        <color rgb="FFFFFFFF"/>
      </font>
      <fill>
        <patternFill patternType="solid">
          <fgColor rgb="FF4473C4"/>
          <bgColor rgb="FF4473C4"/>
        </patternFill>
      </fill>
    </dxf>
    <dxf>
      <font>
        <color rgb="FF000000"/>
      </font>
      <border>
        <left style="thin">
          <color rgb="FF4473C4"/>
        </left>
        <right style="thin">
          <color rgb="FF4473C4"/>
        </right>
        <top style="thin">
          <color rgb="FF4473C4"/>
        </top>
        <bottom style="thin">
          <color rgb="FF4473C4"/>
        </bottom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3155"/>
      <tableStyleElement type="headerRow" dxfId="3154"/>
      <tableStyleElement type="totalRow" dxfId="3153"/>
      <tableStyleElement type="firstColumn" dxfId="3152"/>
      <tableStyleElement type="lastColumn" dxfId="3151"/>
      <tableStyleElement type="firstRowStripe" dxfId="3150"/>
      <tableStyleElement type="firstColumnStripe" dxfId="3149"/>
    </tableStyle>
    <tableStyle name="PivotStylePreset2_Accent1" table="0" count="10" xr9:uid="{00000000-0011-0000-FFFF-FFFF01000000}">
      <tableStyleElement type="headerRow" dxfId="3148"/>
      <tableStyleElement type="totalRow" dxfId="3147"/>
      <tableStyleElement type="firstRowStripe" dxfId="3146"/>
      <tableStyleElement type="firstColumnStripe" dxfId="3145"/>
      <tableStyleElement type="firstSubtotalRow" dxfId="3144"/>
      <tableStyleElement type="secondSubtotalRow" dxfId="3143"/>
      <tableStyleElement type="firstRowSubheading" dxfId="3142"/>
      <tableStyleElement type="secondRowSubheading" dxfId="3141"/>
      <tableStyleElement type="pageFieldLabels" dxfId="3140"/>
      <tableStyleElement type="pageFieldValues" dxfId="313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39</xdr:row>
      <xdr:rowOff>0</xdr:rowOff>
    </xdr:from>
    <xdr:ext cx="12700" cy="12700"/>
    <xdr:pic>
      <xdr:nvPicPr>
        <xdr:cNvPr id="2" name="Picture 1" descr="https://mail.google.com/mail/u/0/images/cleardot.gif">
          <a:extLst>
            <a:ext uri="{FF2B5EF4-FFF2-40B4-BE49-F238E27FC236}">
              <a16:creationId xmlns:a16="http://schemas.microsoft.com/office/drawing/2014/main" id="{0F8ED093-B12D-4553-92D0-51D6E0188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" name="Picture 2" descr="https://mail.google.com/mail/u/0/images/cleardot.gif">
          <a:extLst>
            <a:ext uri="{FF2B5EF4-FFF2-40B4-BE49-F238E27FC236}">
              <a16:creationId xmlns:a16="http://schemas.microsoft.com/office/drawing/2014/main" id="{8CD2BBD8-251C-4FF8-979B-457A2217B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" name="Picture 3" descr="https://mail.google.com/mail/u/0/images/cleardot.gif">
          <a:extLst>
            <a:ext uri="{FF2B5EF4-FFF2-40B4-BE49-F238E27FC236}">
              <a16:creationId xmlns:a16="http://schemas.microsoft.com/office/drawing/2014/main" id="{D1045C5B-F068-4854-AF52-EBD0BBE1A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" name="Picture 4" descr="https://mail.google.com/mail/u/0/images/cleardot.gif">
          <a:extLst>
            <a:ext uri="{FF2B5EF4-FFF2-40B4-BE49-F238E27FC236}">
              <a16:creationId xmlns:a16="http://schemas.microsoft.com/office/drawing/2014/main" id="{D7C73B8C-DA6A-411A-9F15-8DF3EED3B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" name="Picture 5" descr="https://mail.google.com/mail/u/0/images/cleardot.gif">
          <a:extLst>
            <a:ext uri="{FF2B5EF4-FFF2-40B4-BE49-F238E27FC236}">
              <a16:creationId xmlns:a16="http://schemas.microsoft.com/office/drawing/2014/main" id="{47387525-88FE-4E61-A460-171922291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" name="Picture 6" descr="https://mail.google.com/mail/u/0/images/cleardot.gif">
          <a:extLst>
            <a:ext uri="{FF2B5EF4-FFF2-40B4-BE49-F238E27FC236}">
              <a16:creationId xmlns:a16="http://schemas.microsoft.com/office/drawing/2014/main" id="{574703B7-CED1-4D55-9249-ABDE3B252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" name="Picture 7" descr="https://mail.google.com/mail/u/0/images/cleardot.gif">
          <a:extLst>
            <a:ext uri="{FF2B5EF4-FFF2-40B4-BE49-F238E27FC236}">
              <a16:creationId xmlns:a16="http://schemas.microsoft.com/office/drawing/2014/main" id="{55235FBF-976C-4766-999A-3B12273B4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" name="Picture 8" descr="https://mail.google.com/mail/u/0/images/cleardot.gif">
          <a:extLst>
            <a:ext uri="{FF2B5EF4-FFF2-40B4-BE49-F238E27FC236}">
              <a16:creationId xmlns:a16="http://schemas.microsoft.com/office/drawing/2014/main" id="{DF801154-2A65-41A2-AEC7-2F06D65CF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" name="Picture 9" descr="https://mail.google.com/mail/u/0/images/cleardot.gif">
          <a:extLst>
            <a:ext uri="{FF2B5EF4-FFF2-40B4-BE49-F238E27FC236}">
              <a16:creationId xmlns:a16="http://schemas.microsoft.com/office/drawing/2014/main" id="{F6F64FD0-C303-4CDD-8FD1-D470866D8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" name="Picture 10" descr="https://mail.google.com/mail/u/0/images/cleardot.gif">
          <a:extLst>
            <a:ext uri="{FF2B5EF4-FFF2-40B4-BE49-F238E27FC236}">
              <a16:creationId xmlns:a16="http://schemas.microsoft.com/office/drawing/2014/main" id="{8387F2A4-4628-431B-8EC4-C7A6538AB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" name="Picture 11" descr="https://mail.google.com/mail/u/0/images/cleardot.gif">
          <a:extLst>
            <a:ext uri="{FF2B5EF4-FFF2-40B4-BE49-F238E27FC236}">
              <a16:creationId xmlns:a16="http://schemas.microsoft.com/office/drawing/2014/main" id="{1572C148-1110-476A-AADC-ADE534E4D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" name="Picture 12" descr="https://mail.google.com/mail/u/0/images/cleardot.gif">
          <a:extLst>
            <a:ext uri="{FF2B5EF4-FFF2-40B4-BE49-F238E27FC236}">
              <a16:creationId xmlns:a16="http://schemas.microsoft.com/office/drawing/2014/main" id="{EB5DFC72-329C-4754-85FC-8442799B1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" name="Picture 13" descr="https://mail.google.com/mail/u/0/images/cleardot.gif">
          <a:extLst>
            <a:ext uri="{FF2B5EF4-FFF2-40B4-BE49-F238E27FC236}">
              <a16:creationId xmlns:a16="http://schemas.microsoft.com/office/drawing/2014/main" id="{6571868A-DC89-4208-BAE5-058591B42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" name="Picture 14" descr="https://mail.google.com/mail/u/0/images/cleardot.gif">
          <a:extLst>
            <a:ext uri="{FF2B5EF4-FFF2-40B4-BE49-F238E27FC236}">
              <a16:creationId xmlns:a16="http://schemas.microsoft.com/office/drawing/2014/main" id="{A1BA2E16-C610-489D-9D5D-EA3980C23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" name="Picture 15" descr="https://mail.google.com/mail/u/0/images/cleardot.gif">
          <a:extLst>
            <a:ext uri="{FF2B5EF4-FFF2-40B4-BE49-F238E27FC236}">
              <a16:creationId xmlns:a16="http://schemas.microsoft.com/office/drawing/2014/main" id="{3D10ECEE-81A9-4920-8A1C-E1A0578B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" name="Picture 16" descr="https://mail.google.com/mail/u/0/images/cleardot.gif">
          <a:extLst>
            <a:ext uri="{FF2B5EF4-FFF2-40B4-BE49-F238E27FC236}">
              <a16:creationId xmlns:a16="http://schemas.microsoft.com/office/drawing/2014/main" id="{766C5B98-8A63-463A-B2CB-4A0446482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" name="Picture 17" descr="https://mail.google.com/mail/u/0/images/cleardot.gif">
          <a:extLst>
            <a:ext uri="{FF2B5EF4-FFF2-40B4-BE49-F238E27FC236}">
              <a16:creationId xmlns:a16="http://schemas.microsoft.com/office/drawing/2014/main" id="{5339B79B-125A-457B-A477-3C8805DBB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" name="Picture 18" descr="https://mail.google.com/mail/u/0/images/cleardot.gif">
          <a:extLst>
            <a:ext uri="{FF2B5EF4-FFF2-40B4-BE49-F238E27FC236}">
              <a16:creationId xmlns:a16="http://schemas.microsoft.com/office/drawing/2014/main" id="{6E797647-B2F4-4D40-AAEC-A29C2C852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" name="Picture 19" descr="https://mail.google.com/mail/u/0/images/cleardot.gif">
          <a:extLst>
            <a:ext uri="{FF2B5EF4-FFF2-40B4-BE49-F238E27FC236}">
              <a16:creationId xmlns:a16="http://schemas.microsoft.com/office/drawing/2014/main" id="{F5E3F18B-24B1-4EF1-AFE5-E33DF0255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" name="Picture 20" descr="https://mail.google.com/mail/u/0/images/cleardot.gif">
          <a:extLst>
            <a:ext uri="{FF2B5EF4-FFF2-40B4-BE49-F238E27FC236}">
              <a16:creationId xmlns:a16="http://schemas.microsoft.com/office/drawing/2014/main" id="{730BB43D-FDA0-441C-874A-B57D2574D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" name="Picture 21" descr="https://mail.google.com/mail/u/0/images/cleardot.gif">
          <a:extLst>
            <a:ext uri="{FF2B5EF4-FFF2-40B4-BE49-F238E27FC236}">
              <a16:creationId xmlns:a16="http://schemas.microsoft.com/office/drawing/2014/main" id="{3DFFCCC5-B27E-41D1-9A94-1608624F4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" name="Picture 22" descr="https://mail.google.com/mail/u/0/images/cleardot.gif">
          <a:extLst>
            <a:ext uri="{FF2B5EF4-FFF2-40B4-BE49-F238E27FC236}">
              <a16:creationId xmlns:a16="http://schemas.microsoft.com/office/drawing/2014/main" id="{0EE366BC-2F92-4897-BF5D-0090A1C58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" name="Picture 23" descr="https://mail.google.com/mail/u/0/images/cleardot.gif">
          <a:extLst>
            <a:ext uri="{FF2B5EF4-FFF2-40B4-BE49-F238E27FC236}">
              <a16:creationId xmlns:a16="http://schemas.microsoft.com/office/drawing/2014/main" id="{B2931458-6B97-4FA0-AD5C-1250ED312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" name="Picture 24" descr="https://mail.google.com/mail/u/0/images/cleardot.gif">
          <a:extLst>
            <a:ext uri="{FF2B5EF4-FFF2-40B4-BE49-F238E27FC236}">
              <a16:creationId xmlns:a16="http://schemas.microsoft.com/office/drawing/2014/main" id="{EB4A8894-D6A9-4EFD-B217-DE6266F51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" name="Picture 25" descr="https://mail.google.com/mail/u/0/images/cleardot.gif">
          <a:extLst>
            <a:ext uri="{FF2B5EF4-FFF2-40B4-BE49-F238E27FC236}">
              <a16:creationId xmlns:a16="http://schemas.microsoft.com/office/drawing/2014/main" id="{437EB7CD-3199-40E2-BFFC-B467F40ED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" name="Picture 26" descr="https://mail.google.com/mail/u/0/images/cleardot.gif">
          <a:extLst>
            <a:ext uri="{FF2B5EF4-FFF2-40B4-BE49-F238E27FC236}">
              <a16:creationId xmlns:a16="http://schemas.microsoft.com/office/drawing/2014/main" id="{E2509798-6C05-4397-B01D-1B0BC627F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8" name="Picture 27" descr="https://mail.google.com/mail/u/0/images/cleardot.gif">
          <a:extLst>
            <a:ext uri="{FF2B5EF4-FFF2-40B4-BE49-F238E27FC236}">
              <a16:creationId xmlns:a16="http://schemas.microsoft.com/office/drawing/2014/main" id="{56D5DD32-CB9B-4C24-ADBC-1A606D707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9" name="Picture 28" descr="https://mail.google.com/mail/u/0/images/cleardot.gif">
          <a:extLst>
            <a:ext uri="{FF2B5EF4-FFF2-40B4-BE49-F238E27FC236}">
              <a16:creationId xmlns:a16="http://schemas.microsoft.com/office/drawing/2014/main" id="{30C2DACB-CC6E-4F47-89BD-B7A537FAC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0" name="Picture 29" descr="https://mail.google.com/mail/u/0/images/cleardot.gif">
          <a:extLst>
            <a:ext uri="{FF2B5EF4-FFF2-40B4-BE49-F238E27FC236}">
              <a16:creationId xmlns:a16="http://schemas.microsoft.com/office/drawing/2014/main" id="{63FF2FBA-F086-44AB-9F81-82E6737B8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1" name="Picture 30" descr="https://mail.google.com/mail/u/0/images/cleardot.gif">
          <a:extLst>
            <a:ext uri="{FF2B5EF4-FFF2-40B4-BE49-F238E27FC236}">
              <a16:creationId xmlns:a16="http://schemas.microsoft.com/office/drawing/2014/main" id="{BBDB6E53-6D34-47B1-AA26-24EEAF803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2" name="Picture 31" descr="https://mail.google.com/mail/u/0/images/cleardot.gif">
          <a:extLst>
            <a:ext uri="{FF2B5EF4-FFF2-40B4-BE49-F238E27FC236}">
              <a16:creationId xmlns:a16="http://schemas.microsoft.com/office/drawing/2014/main" id="{5F638487-16F0-4147-9A76-9E644B2DE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3" name="Picture 32" descr="https://mail.google.com/mail/u/0/images/cleardot.gif">
          <a:extLst>
            <a:ext uri="{FF2B5EF4-FFF2-40B4-BE49-F238E27FC236}">
              <a16:creationId xmlns:a16="http://schemas.microsoft.com/office/drawing/2014/main" id="{FACF3844-CE24-49A6-884D-16A8AD070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4" name="Picture 33" descr="https://mail.google.com/mail/u/0/images/cleardot.gif">
          <a:extLst>
            <a:ext uri="{FF2B5EF4-FFF2-40B4-BE49-F238E27FC236}">
              <a16:creationId xmlns:a16="http://schemas.microsoft.com/office/drawing/2014/main" id="{9068B47A-C4CE-42FC-B8BA-9AA6124D2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5" name="Picture 34" descr="https://mail.google.com/mail/u/0/images/cleardot.gif">
          <a:extLst>
            <a:ext uri="{FF2B5EF4-FFF2-40B4-BE49-F238E27FC236}">
              <a16:creationId xmlns:a16="http://schemas.microsoft.com/office/drawing/2014/main" id="{46CF1747-0827-4169-BB3A-DC702D1EF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6" name="Picture 35" descr="https://mail.google.com/mail/u/0/images/cleardot.gif">
          <a:extLst>
            <a:ext uri="{FF2B5EF4-FFF2-40B4-BE49-F238E27FC236}">
              <a16:creationId xmlns:a16="http://schemas.microsoft.com/office/drawing/2014/main" id="{55AC58BA-C1E5-4A1A-A8B7-44DDE86BB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7" name="Picture 36" descr="https://mail.google.com/mail/u/0/images/cleardot.gif">
          <a:extLst>
            <a:ext uri="{FF2B5EF4-FFF2-40B4-BE49-F238E27FC236}">
              <a16:creationId xmlns:a16="http://schemas.microsoft.com/office/drawing/2014/main" id="{86E322F2-65C9-49BD-8A28-21120DDFD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8" name="Picture 37" descr="https://mail.google.com/mail/u/0/images/cleardot.gif">
          <a:extLst>
            <a:ext uri="{FF2B5EF4-FFF2-40B4-BE49-F238E27FC236}">
              <a16:creationId xmlns:a16="http://schemas.microsoft.com/office/drawing/2014/main" id="{3ADB5C49-31D2-4AB8-9794-BA35AC651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9" name="Picture 38" descr="https://mail.google.com/mail/u/0/images/cleardot.gif">
          <a:extLst>
            <a:ext uri="{FF2B5EF4-FFF2-40B4-BE49-F238E27FC236}">
              <a16:creationId xmlns:a16="http://schemas.microsoft.com/office/drawing/2014/main" id="{FD2C226D-BD8F-423C-A246-BBAB772E8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0" name="Picture 39" descr="https://mail.google.com/mail/u/0/images/cleardot.gif">
          <a:extLst>
            <a:ext uri="{FF2B5EF4-FFF2-40B4-BE49-F238E27FC236}">
              <a16:creationId xmlns:a16="http://schemas.microsoft.com/office/drawing/2014/main" id="{B69AC62B-A61D-40A4-93B1-6950171F9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1" name="Picture 40" descr="https://mail.google.com/mail/u/0/images/cleardot.gif">
          <a:extLst>
            <a:ext uri="{FF2B5EF4-FFF2-40B4-BE49-F238E27FC236}">
              <a16:creationId xmlns:a16="http://schemas.microsoft.com/office/drawing/2014/main" id="{9621542B-D849-4067-8EE4-4AEEE3C15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2" name="Picture 41" descr="https://mail.google.com/mail/u/0/images/cleardot.gif">
          <a:extLst>
            <a:ext uri="{FF2B5EF4-FFF2-40B4-BE49-F238E27FC236}">
              <a16:creationId xmlns:a16="http://schemas.microsoft.com/office/drawing/2014/main" id="{77E8748A-3528-4442-92D3-761983F61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3" name="Picture 42" descr="https://mail.google.com/mail/u/0/images/cleardot.gif">
          <a:extLst>
            <a:ext uri="{FF2B5EF4-FFF2-40B4-BE49-F238E27FC236}">
              <a16:creationId xmlns:a16="http://schemas.microsoft.com/office/drawing/2014/main" id="{753528B0-04F9-4677-B95E-1CDE579B3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4" name="Picture 43" descr="https://mail.google.com/mail/u/0/images/cleardot.gif">
          <a:extLst>
            <a:ext uri="{FF2B5EF4-FFF2-40B4-BE49-F238E27FC236}">
              <a16:creationId xmlns:a16="http://schemas.microsoft.com/office/drawing/2014/main" id="{D8C24DA9-6A18-4FC8-8EFE-246F1EA8B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5" name="Picture 44" descr="https://mail.google.com/mail/u/0/images/cleardot.gif">
          <a:extLst>
            <a:ext uri="{FF2B5EF4-FFF2-40B4-BE49-F238E27FC236}">
              <a16:creationId xmlns:a16="http://schemas.microsoft.com/office/drawing/2014/main" id="{630FD0B9-A8EF-42F5-A000-8803DAC7F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6" name="Picture 45" descr="https://mail.google.com/mail/u/0/images/cleardot.gif">
          <a:extLst>
            <a:ext uri="{FF2B5EF4-FFF2-40B4-BE49-F238E27FC236}">
              <a16:creationId xmlns:a16="http://schemas.microsoft.com/office/drawing/2014/main" id="{B8873271-A7C9-4A34-9BA8-FC78AC3A3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7" name="Picture 46" descr="https://mail.google.com/mail/u/0/images/cleardot.gif">
          <a:extLst>
            <a:ext uri="{FF2B5EF4-FFF2-40B4-BE49-F238E27FC236}">
              <a16:creationId xmlns:a16="http://schemas.microsoft.com/office/drawing/2014/main" id="{12FDD7F1-4A36-49D2-A512-3D6DF4FC9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8" name="Picture 47" descr="https://mail.google.com/mail/u/0/images/cleardot.gif">
          <a:extLst>
            <a:ext uri="{FF2B5EF4-FFF2-40B4-BE49-F238E27FC236}">
              <a16:creationId xmlns:a16="http://schemas.microsoft.com/office/drawing/2014/main" id="{C690F99B-4EC4-4B91-9F29-46A39AD64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9" name="Picture 48" descr="https://mail.google.com/mail/u/0/images/cleardot.gif">
          <a:extLst>
            <a:ext uri="{FF2B5EF4-FFF2-40B4-BE49-F238E27FC236}">
              <a16:creationId xmlns:a16="http://schemas.microsoft.com/office/drawing/2014/main" id="{18A55D5B-B50E-49A9-90F8-D81F71BFD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0" name="Picture 49" descr="https://mail.google.com/mail/u/0/images/cleardot.gif">
          <a:extLst>
            <a:ext uri="{FF2B5EF4-FFF2-40B4-BE49-F238E27FC236}">
              <a16:creationId xmlns:a16="http://schemas.microsoft.com/office/drawing/2014/main" id="{CA7C82C3-456C-439D-BC85-A73E9DC3A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1" name="Picture 50" descr="https://mail.google.com/mail/u/0/images/cleardot.gif">
          <a:extLst>
            <a:ext uri="{FF2B5EF4-FFF2-40B4-BE49-F238E27FC236}">
              <a16:creationId xmlns:a16="http://schemas.microsoft.com/office/drawing/2014/main" id="{99C9D7E5-1C09-4D20-92EE-C118B44B0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2" name="Picture 51" descr="https://mail.google.com/mail/u/0/images/cleardot.gif">
          <a:extLst>
            <a:ext uri="{FF2B5EF4-FFF2-40B4-BE49-F238E27FC236}">
              <a16:creationId xmlns:a16="http://schemas.microsoft.com/office/drawing/2014/main" id="{33A398E8-524C-432C-853A-E1BDC0AA7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3" name="Picture 52" descr="https://mail.google.com/mail/u/0/images/cleardot.gif">
          <a:extLst>
            <a:ext uri="{FF2B5EF4-FFF2-40B4-BE49-F238E27FC236}">
              <a16:creationId xmlns:a16="http://schemas.microsoft.com/office/drawing/2014/main" id="{2293AEBE-5EF6-4C08-A162-0A9B622C1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4" name="Picture 53" descr="https://mail.google.com/mail/u/0/images/cleardot.gif">
          <a:extLst>
            <a:ext uri="{FF2B5EF4-FFF2-40B4-BE49-F238E27FC236}">
              <a16:creationId xmlns:a16="http://schemas.microsoft.com/office/drawing/2014/main" id="{89073270-2595-449D-A59A-7330D7DF4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5" name="Picture 54" descr="https://mail.google.com/mail/u/0/images/cleardot.gif">
          <a:extLst>
            <a:ext uri="{FF2B5EF4-FFF2-40B4-BE49-F238E27FC236}">
              <a16:creationId xmlns:a16="http://schemas.microsoft.com/office/drawing/2014/main" id="{6864F127-ACD4-4A70-A174-E867C7663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6" name="Picture 55" descr="https://mail.google.com/mail/u/0/images/cleardot.gif">
          <a:extLst>
            <a:ext uri="{FF2B5EF4-FFF2-40B4-BE49-F238E27FC236}">
              <a16:creationId xmlns:a16="http://schemas.microsoft.com/office/drawing/2014/main" id="{CAE2BCE0-8EFE-49BC-A7A1-04FDA5CE5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7" name="Picture 56" descr="https://mail.google.com/mail/u/0/images/cleardot.gif">
          <a:extLst>
            <a:ext uri="{FF2B5EF4-FFF2-40B4-BE49-F238E27FC236}">
              <a16:creationId xmlns:a16="http://schemas.microsoft.com/office/drawing/2014/main" id="{4C8D707F-7BD6-4515-99A6-79140A49A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8" name="Picture 57" descr="https://mail.google.com/mail/u/0/images/cleardot.gif">
          <a:extLst>
            <a:ext uri="{FF2B5EF4-FFF2-40B4-BE49-F238E27FC236}">
              <a16:creationId xmlns:a16="http://schemas.microsoft.com/office/drawing/2014/main" id="{0BCCD59E-698C-4A45-8D13-3F7FFF3E2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9" name="Picture 58" descr="https://mail.google.com/mail/u/0/images/cleardot.gif">
          <a:extLst>
            <a:ext uri="{FF2B5EF4-FFF2-40B4-BE49-F238E27FC236}">
              <a16:creationId xmlns:a16="http://schemas.microsoft.com/office/drawing/2014/main" id="{BC8AD95C-4DC0-4BB3-8B02-448C9DDEC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0" name="Picture 59" descr="https://mail.google.com/mail/u/0/images/cleardot.gif">
          <a:extLst>
            <a:ext uri="{FF2B5EF4-FFF2-40B4-BE49-F238E27FC236}">
              <a16:creationId xmlns:a16="http://schemas.microsoft.com/office/drawing/2014/main" id="{C47E48A7-7A93-4109-A620-1325A932C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1" name="Picture 60" descr="https://mail.google.com/mail/u/0/images/cleardot.gif">
          <a:extLst>
            <a:ext uri="{FF2B5EF4-FFF2-40B4-BE49-F238E27FC236}">
              <a16:creationId xmlns:a16="http://schemas.microsoft.com/office/drawing/2014/main" id="{BFB5A53B-D4DD-497A-8144-E05B87724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2" name="Picture 61" descr="https://mail.google.com/mail/u/0/images/cleardot.gif">
          <a:extLst>
            <a:ext uri="{FF2B5EF4-FFF2-40B4-BE49-F238E27FC236}">
              <a16:creationId xmlns:a16="http://schemas.microsoft.com/office/drawing/2014/main" id="{F33F9E3C-E8DA-47A6-8233-CB9CBAAE7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3" name="Picture 62" descr="https://mail.google.com/mail/u/0/images/cleardot.gif">
          <a:extLst>
            <a:ext uri="{FF2B5EF4-FFF2-40B4-BE49-F238E27FC236}">
              <a16:creationId xmlns:a16="http://schemas.microsoft.com/office/drawing/2014/main" id="{B4BAB988-E4BE-4320-8C62-72D686BE4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4" name="Picture 63" descr="https://mail.google.com/mail/u/0/images/cleardot.gif">
          <a:extLst>
            <a:ext uri="{FF2B5EF4-FFF2-40B4-BE49-F238E27FC236}">
              <a16:creationId xmlns:a16="http://schemas.microsoft.com/office/drawing/2014/main" id="{E5D46C92-F5CF-4631-AA84-A70B3C6BE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5" name="Picture 64" descr="https://mail.google.com/mail/u/0/images/cleardot.gif">
          <a:extLst>
            <a:ext uri="{FF2B5EF4-FFF2-40B4-BE49-F238E27FC236}">
              <a16:creationId xmlns:a16="http://schemas.microsoft.com/office/drawing/2014/main" id="{440A43DA-4972-4E1F-B3D9-17B06CDE5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6" name="Picture 65" descr="https://mail.google.com/mail/u/0/images/cleardot.gif">
          <a:extLst>
            <a:ext uri="{FF2B5EF4-FFF2-40B4-BE49-F238E27FC236}">
              <a16:creationId xmlns:a16="http://schemas.microsoft.com/office/drawing/2014/main" id="{0D8E0231-B941-4600-8CE8-6C760A238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7" name="Picture 66" descr="https://mail.google.com/mail/u/0/images/cleardot.gif">
          <a:extLst>
            <a:ext uri="{FF2B5EF4-FFF2-40B4-BE49-F238E27FC236}">
              <a16:creationId xmlns:a16="http://schemas.microsoft.com/office/drawing/2014/main" id="{5126A7A3-D4AE-4D52-91DB-F271F80B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8" name="Picture 67" descr="https://mail.google.com/mail/u/0/images/cleardot.gif">
          <a:extLst>
            <a:ext uri="{FF2B5EF4-FFF2-40B4-BE49-F238E27FC236}">
              <a16:creationId xmlns:a16="http://schemas.microsoft.com/office/drawing/2014/main" id="{ADA19868-CA7B-44BE-BFA6-2FCD43F9F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9" name="Picture 68" descr="https://mail.google.com/mail/u/0/images/cleardot.gif">
          <a:extLst>
            <a:ext uri="{FF2B5EF4-FFF2-40B4-BE49-F238E27FC236}">
              <a16:creationId xmlns:a16="http://schemas.microsoft.com/office/drawing/2014/main" id="{CAA6FB9A-F748-4729-B397-20B1E565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0" name="Picture 69" descr="https://mail.google.com/mail/u/0/images/cleardot.gif">
          <a:extLst>
            <a:ext uri="{FF2B5EF4-FFF2-40B4-BE49-F238E27FC236}">
              <a16:creationId xmlns:a16="http://schemas.microsoft.com/office/drawing/2014/main" id="{7B19E529-E486-47DF-9198-4B92440BF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1" name="Picture 70" descr="https://mail.google.com/mail/u/0/images/cleardot.gif">
          <a:extLst>
            <a:ext uri="{FF2B5EF4-FFF2-40B4-BE49-F238E27FC236}">
              <a16:creationId xmlns:a16="http://schemas.microsoft.com/office/drawing/2014/main" id="{C2C29A93-996D-45ED-AED0-91B41D225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2" name="Picture 71" descr="https://mail.google.com/mail/u/0/images/cleardot.gif">
          <a:extLst>
            <a:ext uri="{FF2B5EF4-FFF2-40B4-BE49-F238E27FC236}">
              <a16:creationId xmlns:a16="http://schemas.microsoft.com/office/drawing/2014/main" id="{2DB6D48A-BB79-4CD5-BDE3-9B96B23CC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3" name="Picture 72" descr="https://mail.google.com/mail/u/0/images/cleardot.gif">
          <a:extLst>
            <a:ext uri="{FF2B5EF4-FFF2-40B4-BE49-F238E27FC236}">
              <a16:creationId xmlns:a16="http://schemas.microsoft.com/office/drawing/2014/main" id="{A10AAC00-36B3-4A0A-951B-B1A1A4F16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4" name="Picture 73" descr="https://mail.google.com/mail/u/0/images/cleardot.gif">
          <a:extLst>
            <a:ext uri="{FF2B5EF4-FFF2-40B4-BE49-F238E27FC236}">
              <a16:creationId xmlns:a16="http://schemas.microsoft.com/office/drawing/2014/main" id="{FAE13129-11B2-4D09-8E86-8A39869A5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5" name="Picture 74" descr="https://mail.google.com/mail/u/0/images/cleardot.gif">
          <a:extLst>
            <a:ext uri="{FF2B5EF4-FFF2-40B4-BE49-F238E27FC236}">
              <a16:creationId xmlns:a16="http://schemas.microsoft.com/office/drawing/2014/main" id="{EDAFEEE6-C819-4652-B459-E0F817CB4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6" name="Picture 75" descr="https://mail.google.com/mail/u/0/images/cleardot.gif">
          <a:extLst>
            <a:ext uri="{FF2B5EF4-FFF2-40B4-BE49-F238E27FC236}">
              <a16:creationId xmlns:a16="http://schemas.microsoft.com/office/drawing/2014/main" id="{AF0C7E05-0613-4F9F-8C14-4C388F330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7" name="Picture 76" descr="https://mail.google.com/mail/u/0/images/cleardot.gif">
          <a:extLst>
            <a:ext uri="{FF2B5EF4-FFF2-40B4-BE49-F238E27FC236}">
              <a16:creationId xmlns:a16="http://schemas.microsoft.com/office/drawing/2014/main" id="{D8F030D2-8F35-4FEE-AFC8-237321FE1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8" name="Picture 77" descr="https://mail.google.com/mail/u/0/images/cleardot.gif">
          <a:extLst>
            <a:ext uri="{FF2B5EF4-FFF2-40B4-BE49-F238E27FC236}">
              <a16:creationId xmlns:a16="http://schemas.microsoft.com/office/drawing/2014/main" id="{906CCFFA-49A2-4DFF-B928-339C4F984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9" name="Picture 78" descr="https://mail.google.com/mail/u/0/images/cleardot.gif">
          <a:extLst>
            <a:ext uri="{FF2B5EF4-FFF2-40B4-BE49-F238E27FC236}">
              <a16:creationId xmlns:a16="http://schemas.microsoft.com/office/drawing/2014/main" id="{968D6863-F2F1-45AE-A836-BF018E4AA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0" name="Picture 79" descr="https://mail.google.com/mail/u/0/images/cleardot.gif">
          <a:extLst>
            <a:ext uri="{FF2B5EF4-FFF2-40B4-BE49-F238E27FC236}">
              <a16:creationId xmlns:a16="http://schemas.microsoft.com/office/drawing/2014/main" id="{8A5BC0D6-C7B3-439F-A5F4-CA3E53ED3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1" name="Picture 80" descr="https://mail.google.com/mail/u/0/images/cleardot.gif">
          <a:extLst>
            <a:ext uri="{FF2B5EF4-FFF2-40B4-BE49-F238E27FC236}">
              <a16:creationId xmlns:a16="http://schemas.microsoft.com/office/drawing/2014/main" id="{A28D51EC-FC6B-4029-981D-9B3502C9F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2" name="Picture 81" descr="https://mail.google.com/mail/u/0/images/cleardot.gif">
          <a:extLst>
            <a:ext uri="{FF2B5EF4-FFF2-40B4-BE49-F238E27FC236}">
              <a16:creationId xmlns:a16="http://schemas.microsoft.com/office/drawing/2014/main" id="{C39119B8-7C75-49E0-93FA-0C45B68C4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3" name="Picture 82" descr="https://mail.google.com/mail/u/0/images/cleardot.gif">
          <a:extLst>
            <a:ext uri="{FF2B5EF4-FFF2-40B4-BE49-F238E27FC236}">
              <a16:creationId xmlns:a16="http://schemas.microsoft.com/office/drawing/2014/main" id="{ADE38A98-3ECE-420F-8750-F315ED75E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4" name="Picture 83" descr="https://mail.google.com/mail/u/0/images/cleardot.gif">
          <a:extLst>
            <a:ext uri="{FF2B5EF4-FFF2-40B4-BE49-F238E27FC236}">
              <a16:creationId xmlns:a16="http://schemas.microsoft.com/office/drawing/2014/main" id="{01B55D1E-15C1-40A6-BE9D-2A464E461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5" name="Picture 84" descr="https://mail.google.com/mail/u/0/images/cleardot.gif">
          <a:extLst>
            <a:ext uri="{FF2B5EF4-FFF2-40B4-BE49-F238E27FC236}">
              <a16:creationId xmlns:a16="http://schemas.microsoft.com/office/drawing/2014/main" id="{E8C4BC53-DBD9-4093-8B5E-CFFBBD71D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6" name="Picture 85" descr="https://mail.google.com/mail/u/0/images/cleardot.gif">
          <a:extLst>
            <a:ext uri="{FF2B5EF4-FFF2-40B4-BE49-F238E27FC236}">
              <a16:creationId xmlns:a16="http://schemas.microsoft.com/office/drawing/2014/main" id="{BBD93CB0-40F0-4F8C-A9C4-6946F1A96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7" name="Picture 86" descr="https://mail.google.com/mail/u/0/images/cleardot.gif">
          <a:extLst>
            <a:ext uri="{FF2B5EF4-FFF2-40B4-BE49-F238E27FC236}">
              <a16:creationId xmlns:a16="http://schemas.microsoft.com/office/drawing/2014/main" id="{3679C0E9-C708-4880-80EB-F3FBDE170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8" name="Picture 87" descr="https://mail.google.com/mail/u/0/images/cleardot.gif">
          <a:extLst>
            <a:ext uri="{FF2B5EF4-FFF2-40B4-BE49-F238E27FC236}">
              <a16:creationId xmlns:a16="http://schemas.microsoft.com/office/drawing/2014/main" id="{59B98D67-B528-4012-8FA6-7994A4327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9" name="Picture 88" descr="https://mail.google.com/mail/u/0/images/cleardot.gif">
          <a:extLst>
            <a:ext uri="{FF2B5EF4-FFF2-40B4-BE49-F238E27FC236}">
              <a16:creationId xmlns:a16="http://schemas.microsoft.com/office/drawing/2014/main" id="{49FAD1DF-6D3A-4A62-ACAB-BA18C24F1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0" name="Picture 89" descr="https://mail.google.com/mail/u/0/images/cleardot.gif">
          <a:extLst>
            <a:ext uri="{FF2B5EF4-FFF2-40B4-BE49-F238E27FC236}">
              <a16:creationId xmlns:a16="http://schemas.microsoft.com/office/drawing/2014/main" id="{C062BFFE-01CF-4109-A4DF-B7DF4E324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1" name="Picture 90" descr="https://mail.google.com/mail/u/0/images/cleardot.gif">
          <a:extLst>
            <a:ext uri="{FF2B5EF4-FFF2-40B4-BE49-F238E27FC236}">
              <a16:creationId xmlns:a16="http://schemas.microsoft.com/office/drawing/2014/main" id="{288271C1-D95E-4309-A368-B083328C7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2" name="Picture 91" descr="https://mail.google.com/mail/u/0/images/cleardot.gif">
          <a:extLst>
            <a:ext uri="{FF2B5EF4-FFF2-40B4-BE49-F238E27FC236}">
              <a16:creationId xmlns:a16="http://schemas.microsoft.com/office/drawing/2014/main" id="{A3ADAA8E-8E81-4DBA-B2A9-545923DAE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3" name="Picture 92" descr="https://mail.google.com/mail/u/0/images/cleardot.gif">
          <a:extLst>
            <a:ext uri="{FF2B5EF4-FFF2-40B4-BE49-F238E27FC236}">
              <a16:creationId xmlns:a16="http://schemas.microsoft.com/office/drawing/2014/main" id="{28CB321A-A021-4002-AA68-D1F2CCF25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4" name="Picture 93" descr="https://mail.google.com/mail/u/0/images/cleardot.gif">
          <a:extLst>
            <a:ext uri="{FF2B5EF4-FFF2-40B4-BE49-F238E27FC236}">
              <a16:creationId xmlns:a16="http://schemas.microsoft.com/office/drawing/2014/main" id="{4D46FF0A-5147-4E21-A009-EAFEDDA51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5" name="Picture 94" descr="https://mail.google.com/mail/u/0/images/cleardot.gif">
          <a:extLst>
            <a:ext uri="{FF2B5EF4-FFF2-40B4-BE49-F238E27FC236}">
              <a16:creationId xmlns:a16="http://schemas.microsoft.com/office/drawing/2014/main" id="{7E308BA1-CCCF-42DF-AD02-2279B4F12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6" name="Picture 95" descr="https://mail.google.com/mail/u/0/images/cleardot.gif">
          <a:extLst>
            <a:ext uri="{FF2B5EF4-FFF2-40B4-BE49-F238E27FC236}">
              <a16:creationId xmlns:a16="http://schemas.microsoft.com/office/drawing/2014/main" id="{C24837DA-E422-4ABA-982F-A006943D7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7" name="Picture 96" descr="https://mail.google.com/mail/u/0/images/cleardot.gif">
          <a:extLst>
            <a:ext uri="{FF2B5EF4-FFF2-40B4-BE49-F238E27FC236}">
              <a16:creationId xmlns:a16="http://schemas.microsoft.com/office/drawing/2014/main" id="{A4DD951B-6BA3-452F-9828-AFDFCCB56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8" name="Picture 97" descr="https://mail.google.com/mail/u/0/images/cleardot.gif">
          <a:extLst>
            <a:ext uri="{FF2B5EF4-FFF2-40B4-BE49-F238E27FC236}">
              <a16:creationId xmlns:a16="http://schemas.microsoft.com/office/drawing/2014/main" id="{20CC4A25-BA01-4C1F-A9F4-792D0BB6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9" name="Picture 98" descr="https://mail.google.com/mail/u/0/images/cleardot.gif">
          <a:extLst>
            <a:ext uri="{FF2B5EF4-FFF2-40B4-BE49-F238E27FC236}">
              <a16:creationId xmlns:a16="http://schemas.microsoft.com/office/drawing/2014/main" id="{368E65B3-161D-4FE2-B34F-899A5D116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0" name="Picture 99" descr="https://mail.google.com/mail/u/0/images/cleardot.gif">
          <a:extLst>
            <a:ext uri="{FF2B5EF4-FFF2-40B4-BE49-F238E27FC236}">
              <a16:creationId xmlns:a16="http://schemas.microsoft.com/office/drawing/2014/main" id="{D142A3C0-3357-4CCC-B78B-1DA625D5E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1" name="Picture 100" descr="https://mail.google.com/mail/u/0/images/cleardot.gif">
          <a:extLst>
            <a:ext uri="{FF2B5EF4-FFF2-40B4-BE49-F238E27FC236}">
              <a16:creationId xmlns:a16="http://schemas.microsoft.com/office/drawing/2014/main" id="{C7D30F6F-12DB-4E0E-AA6E-DE0B7135C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2" name="Picture 101" descr="https://mail.google.com/mail/u/0/images/cleardot.gif">
          <a:extLst>
            <a:ext uri="{FF2B5EF4-FFF2-40B4-BE49-F238E27FC236}">
              <a16:creationId xmlns:a16="http://schemas.microsoft.com/office/drawing/2014/main" id="{48E12E3D-57F2-41A7-98C8-D0CEFFE82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3" name="Picture 102" descr="https://mail.google.com/mail/u/0/images/cleardot.gif">
          <a:extLst>
            <a:ext uri="{FF2B5EF4-FFF2-40B4-BE49-F238E27FC236}">
              <a16:creationId xmlns:a16="http://schemas.microsoft.com/office/drawing/2014/main" id="{55DFD7D8-583A-4FDD-AAB4-A1FC60EC4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4" name="Picture 103" descr="https://mail.google.com/mail/u/0/images/cleardot.gif">
          <a:extLst>
            <a:ext uri="{FF2B5EF4-FFF2-40B4-BE49-F238E27FC236}">
              <a16:creationId xmlns:a16="http://schemas.microsoft.com/office/drawing/2014/main" id="{07CC71E1-41BA-41E8-B65F-936D12444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5" name="Picture 104" descr="https://mail.google.com/mail/u/0/images/cleardot.gif">
          <a:extLst>
            <a:ext uri="{FF2B5EF4-FFF2-40B4-BE49-F238E27FC236}">
              <a16:creationId xmlns:a16="http://schemas.microsoft.com/office/drawing/2014/main" id="{8DA2C620-F685-411C-BE95-D6626278B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6" name="Picture 105" descr="https://mail.google.com/mail/u/0/images/cleardot.gif">
          <a:extLst>
            <a:ext uri="{FF2B5EF4-FFF2-40B4-BE49-F238E27FC236}">
              <a16:creationId xmlns:a16="http://schemas.microsoft.com/office/drawing/2014/main" id="{FBCDB7AC-1304-4922-B025-22FF8103B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7" name="Picture 106" descr="https://mail.google.com/mail/u/0/images/cleardot.gif">
          <a:extLst>
            <a:ext uri="{FF2B5EF4-FFF2-40B4-BE49-F238E27FC236}">
              <a16:creationId xmlns:a16="http://schemas.microsoft.com/office/drawing/2014/main" id="{B38F1261-66DA-4A28-BCDB-DD1DBF2BE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8" name="Picture 107" descr="https://mail.google.com/mail/u/0/images/cleardot.gif">
          <a:extLst>
            <a:ext uri="{FF2B5EF4-FFF2-40B4-BE49-F238E27FC236}">
              <a16:creationId xmlns:a16="http://schemas.microsoft.com/office/drawing/2014/main" id="{ACC11C9E-B6CF-4A5C-ADF4-B9CE72AEE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9" name="Picture 108" descr="https://mail.google.com/mail/u/0/images/cleardot.gif">
          <a:extLst>
            <a:ext uri="{FF2B5EF4-FFF2-40B4-BE49-F238E27FC236}">
              <a16:creationId xmlns:a16="http://schemas.microsoft.com/office/drawing/2014/main" id="{029128CE-FD61-45B1-BA51-385DF2300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0" name="Picture 109" descr="https://mail.google.com/mail/u/0/images/cleardot.gif">
          <a:extLst>
            <a:ext uri="{FF2B5EF4-FFF2-40B4-BE49-F238E27FC236}">
              <a16:creationId xmlns:a16="http://schemas.microsoft.com/office/drawing/2014/main" id="{F45234CA-BD63-4941-B7B7-C53269202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1" name="Picture 110" descr="https://mail.google.com/mail/u/0/images/cleardot.gif">
          <a:extLst>
            <a:ext uri="{FF2B5EF4-FFF2-40B4-BE49-F238E27FC236}">
              <a16:creationId xmlns:a16="http://schemas.microsoft.com/office/drawing/2014/main" id="{C0F81939-DAF3-4A1B-BB34-EA9F2AE22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2" name="Picture 111" descr="https://mail.google.com/mail/u/0/images/cleardot.gif">
          <a:extLst>
            <a:ext uri="{FF2B5EF4-FFF2-40B4-BE49-F238E27FC236}">
              <a16:creationId xmlns:a16="http://schemas.microsoft.com/office/drawing/2014/main" id="{0829BF61-3856-4E4A-96D0-67CB32CA4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3" name="Picture 112" descr="https://mail.google.com/mail/u/0/images/cleardot.gif">
          <a:extLst>
            <a:ext uri="{FF2B5EF4-FFF2-40B4-BE49-F238E27FC236}">
              <a16:creationId xmlns:a16="http://schemas.microsoft.com/office/drawing/2014/main" id="{406E3BB2-2B69-42F6-83ED-928C02249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4" name="Picture 113" descr="https://mail.google.com/mail/u/0/images/cleardot.gif">
          <a:extLst>
            <a:ext uri="{FF2B5EF4-FFF2-40B4-BE49-F238E27FC236}">
              <a16:creationId xmlns:a16="http://schemas.microsoft.com/office/drawing/2014/main" id="{B6758621-F2E8-447E-B21E-6E4B5F461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5" name="Picture 114" descr="https://mail.google.com/mail/u/0/images/cleardot.gif">
          <a:extLst>
            <a:ext uri="{FF2B5EF4-FFF2-40B4-BE49-F238E27FC236}">
              <a16:creationId xmlns:a16="http://schemas.microsoft.com/office/drawing/2014/main" id="{3EE9EA38-0C7F-45BF-A71F-02C9D1CCD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6" name="Picture 115" descr="https://mail.google.com/mail/u/0/images/cleardot.gif">
          <a:extLst>
            <a:ext uri="{FF2B5EF4-FFF2-40B4-BE49-F238E27FC236}">
              <a16:creationId xmlns:a16="http://schemas.microsoft.com/office/drawing/2014/main" id="{CA71BAC7-1ECD-44EC-ABF1-755B618E4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7" name="Picture 116" descr="https://mail.google.com/mail/u/0/images/cleardot.gif">
          <a:extLst>
            <a:ext uri="{FF2B5EF4-FFF2-40B4-BE49-F238E27FC236}">
              <a16:creationId xmlns:a16="http://schemas.microsoft.com/office/drawing/2014/main" id="{CEC792DF-7A42-417A-953A-7E83CFECB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8" name="Picture 117" descr="https://mail.google.com/mail/u/0/images/cleardot.gif">
          <a:extLst>
            <a:ext uri="{FF2B5EF4-FFF2-40B4-BE49-F238E27FC236}">
              <a16:creationId xmlns:a16="http://schemas.microsoft.com/office/drawing/2014/main" id="{ED19754B-1F83-464D-886E-B98D2650E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9" name="Picture 118" descr="https://mail.google.com/mail/u/0/images/cleardot.gif">
          <a:extLst>
            <a:ext uri="{FF2B5EF4-FFF2-40B4-BE49-F238E27FC236}">
              <a16:creationId xmlns:a16="http://schemas.microsoft.com/office/drawing/2014/main" id="{E88C8CA7-7C50-4C47-A333-686340104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0" name="Picture 119" descr="https://mail.google.com/mail/u/0/images/cleardot.gif">
          <a:extLst>
            <a:ext uri="{FF2B5EF4-FFF2-40B4-BE49-F238E27FC236}">
              <a16:creationId xmlns:a16="http://schemas.microsoft.com/office/drawing/2014/main" id="{822AF2D7-C5BF-4DE6-89D5-9D2342565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1" name="Picture 120" descr="https://mail.google.com/mail/u/0/images/cleardot.gif">
          <a:extLst>
            <a:ext uri="{FF2B5EF4-FFF2-40B4-BE49-F238E27FC236}">
              <a16:creationId xmlns:a16="http://schemas.microsoft.com/office/drawing/2014/main" id="{1B58376C-4CC2-49A3-BF67-B343C156F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2" name="Picture 121" descr="https://mail.google.com/mail/u/0/images/cleardot.gif">
          <a:extLst>
            <a:ext uri="{FF2B5EF4-FFF2-40B4-BE49-F238E27FC236}">
              <a16:creationId xmlns:a16="http://schemas.microsoft.com/office/drawing/2014/main" id="{39C49924-B5AD-4B4A-A10F-51E0B8A6D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3" name="Picture 122" descr="https://mail.google.com/mail/u/0/images/cleardot.gif">
          <a:extLst>
            <a:ext uri="{FF2B5EF4-FFF2-40B4-BE49-F238E27FC236}">
              <a16:creationId xmlns:a16="http://schemas.microsoft.com/office/drawing/2014/main" id="{9F59BF02-7EC0-43E7-91F5-B5AA565B7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4" name="Picture 123" descr="https://mail.google.com/mail/u/0/images/cleardot.gif">
          <a:extLst>
            <a:ext uri="{FF2B5EF4-FFF2-40B4-BE49-F238E27FC236}">
              <a16:creationId xmlns:a16="http://schemas.microsoft.com/office/drawing/2014/main" id="{308D8D98-3706-40EB-AA59-68EFFF331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5" name="Picture 124" descr="https://mail.google.com/mail/u/0/images/cleardot.gif">
          <a:extLst>
            <a:ext uri="{FF2B5EF4-FFF2-40B4-BE49-F238E27FC236}">
              <a16:creationId xmlns:a16="http://schemas.microsoft.com/office/drawing/2014/main" id="{B0248E00-3301-4F00-8B70-BD47E24EA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6" name="Picture 125" descr="https://mail.google.com/mail/u/0/images/cleardot.gif">
          <a:extLst>
            <a:ext uri="{FF2B5EF4-FFF2-40B4-BE49-F238E27FC236}">
              <a16:creationId xmlns:a16="http://schemas.microsoft.com/office/drawing/2014/main" id="{1018105B-3E6E-44BD-B21B-95CEEC0E4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7" name="Picture 126" descr="https://mail.google.com/mail/u/0/images/cleardot.gif">
          <a:extLst>
            <a:ext uri="{FF2B5EF4-FFF2-40B4-BE49-F238E27FC236}">
              <a16:creationId xmlns:a16="http://schemas.microsoft.com/office/drawing/2014/main" id="{2830D7E7-D68F-433A-9541-1D1A6D917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8" name="Picture 127" descr="https://mail.google.com/mail/u/0/images/cleardot.gif">
          <a:extLst>
            <a:ext uri="{FF2B5EF4-FFF2-40B4-BE49-F238E27FC236}">
              <a16:creationId xmlns:a16="http://schemas.microsoft.com/office/drawing/2014/main" id="{DDAD55B4-8B61-4BC9-B365-E274FF747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9" name="Picture 128" descr="https://mail.google.com/mail/u/0/images/cleardot.gif">
          <a:extLst>
            <a:ext uri="{FF2B5EF4-FFF2-40B4-BE49-F238E27FC236}">
              <a16:creationId xmlns:a16="http://schemas.microsoft.com/office/drawing/2014/main" id="{F2F0B3D7-244D-409E-8B8D-BEC4FF9E1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0" name="Picture 129" descr="https://mail.google.com/mail/u/0/images/cleardot.gif">
          <a:extLst>
            <a:ext uri="{FF2B5EF4-FFF2-40B4-BE49-F238E27FC236}">
              <a16:creationId xmlns:a16="http://schemas.microsoft.com/office/drawing/2014/main" id="{802DE380-E69F-4D7E-8E31-6B87FB530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1" name="Picture 130" descr="https://mail.google.com/mail/u/0/images/cleardot.gif">
          <a:extLst>
            <a:ext uri="{FF2B5EF4-FFF2-40B4-BE49-F238E27FC236}">
              <a16:creationId xmlns:a16="http://schemas.microsoft.com/office/drawing/2014/main" id="{59E33613-2E91-41A2-B4B2-DDB64D66D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2" name="Picture 131" descr="https://mail.google.com/mail/u/0/images/cleardot.gif">
          <a:extLst>
            <a:ext uri="{FF2B5EF4-FFF2-40B4-BE49-F238E27FC236}">
              <a16:creationId xmlns:a16="http://schemas.microsoft.com/office/drawing/2014/main" id="{95A87670-FBD0-4266-AC85-FA57ABF39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3" name="Picture 132" descr="https://mail.google.com/mail/u/0/images/cleardot.gif">
          <a:extLst>
            <a:ext uri="{FF2B5EF4-FFF2-40B4-BE49-F238E27FC236}">
              <a16:creationId xmlns:a16="http://schemas.microsoft.com/office/drawing/2014/main" id="{7D2BED6D-0D59-4368-932B-F8547CDE2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4" name="Picture 133" descr="https://mail.google.com/mail/u/0/images/cleardot.gif">
          <a:extLst>
            <a:ext uri="{FF2B5EF4-FFF2-40B4-BE49-F238E27FC236}">
              <a16:creationId xmlns:a16="http://schemas.microsoft.com/office/drawing/2014/main" id="{CA23618A-3136-4289-A913-31BE86F9F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5" name="Picture 134" descr="https://mail.google.com/mail/u/0/images/cleardot.gif">
          <a:extLst>
            <a:ext uri="{FF2B5EF4-FFF2-40B4-BE49-F238E27FC236}">
              <a16:creationId xmlns:a16="http://schemas.microsoft.com/office/drawing/2014/main" id="{40CB4974-39A0-41A6-8359-B023C8804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6" name="Picture 135" descr="https://mail.google.com/mail/u/0/images/cleardot.gif">
          <a:extLst>
            <a:ext uri="{FF2B5EF4-FFF2-40B4-BE49-F238E27FC236}">
              <a16:creationId xmlns:a16="http://schemas.microsoft.com/office/drawing/2014/main" id="{5F3190B2-7C6A-4256-8E52-225B3D309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7" name="Picture 136" descr="https://mail.google.com/mail/u/0/images/cleardot.gif">
          <a:extLst>
            <a:ext uri="{FF2B5EF4-FFF2-40B4-BE49-F238E27FC236}">
              <a16:creationId xmlns:a16="http://schemas.microsoft.com/office/drawing/2014/main" id="{3EC01C3C-4B79-4AD4-94F3-519E38AB6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8" name="Picture 137" descr="https://mail.google.com/mail/u/0/images/cleardot.gif">
          <a:extLst>
            <a:ext uri="{FF2B5EF4-FFF2-40B4-BE49-F238E27FC236}">
              <a16:creationId xmlns:a16="http://schemas.microsoft.com/office/drawing/2014/main" id="{FC043340-5041-4852-B61A-9D756C4F4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9" name="Picture 138" descr="https://mail.google.com/mail/u/0/images/cleardot.gif">
          <a:extLst>
            <a:ext uri="{FF2B5EF4-FFF2-40B4-BE49-F238E27FC236}">
              <a16:creationId xmlns:a16="http://schemas.microsoft.com/office/drawing/2014/main" id="{71BBAE84-547C-4CE6-864C-4FDC67B6A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0" name="Picture 139" descr="https://mail.google.com/mail/u/0/images/cleardot.gif">
          <a:extLst>
            <a:ext uri="{FF2B5EF4-FFF2-40B4-BE49-F238E27FC236}">
              <a16:creationId xmlns:a16="http://schemas.microsoft.com/office/drawing/2014/main" id="{BAE969F7-8ADB-4B3E-8698-960E2994C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1" name="Picture 140" descr="https://mail.google.com/mail/u/0/images/cleardot.gif">
          <a:extLst>
            <a:ext uri="{FF2B5EF4-FFF2-40B4-BE49-F238E27FC236}">
              <a16:creationId xmlns:a16="http://schemas.microsoft.com/office/drawing/2014/main" id="{214DC343-86DE-4D76-BB3C-9FB1C5996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2" name="Picture 141" descr="https://mail.google.com/mail/u/0/images/cleardot.gif">
          <a:extLst>
            <a:ext uri="{FF2B5EF4-FFF2-40B4-BE49-F238E27FC236}">
              <a16:creationId xmlns:a16="http://schemas.microsoft.com/office/drawing/2014/main" id="{6CAA51C2-472B-4D20-96BE-D19CF519B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3" name="Picture 142" descr="https://mail.google.com/mail/u/0/images/cleardot.gif">
          <a:extLst>
            <a:ext uri="{FF2B5EF4-FFF2-40B4-BE49-F238E27FC236}">
              <a16:creationId xmlns:a16="http://schemas.microsoft.com/office/drawing/2014/main" id="{C87547D4-2B9B-4F2F-9473-515C6AA60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4" name="Picture 143" descr="https://mail.google.com/mail/u/0/images/cleardot.gif">
          <a:extLst>
            <a:ext uri="{FF2B5EF4-FFF2-40B4-BE49-F238E27FC236}">
              <a16:creationId xmlns:a16="http://schemas.microsoft.com/office/drawing/2014/main" id="{5E0CC37C-4860-471F-90FC-3D94667FA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5" name="Picture 144" descr="https://mail.google.com/mail/u/0/images/cleardot.gif">
          <a:extLst>
            <a:ext uri="{FF2B5EF4-FFF2-40B4-BE49-F238E27FC236}">
              <a16:creationId xmlns:a16="http://schemas.microsoft.com/office/drawing/2014/main" id="{C8DC88C5-8569-4BCE-AB8B-5A4363C65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6" name="Picture 145" descr="https://mail.google.com/mail/u/0/images/cleardot.gif">
          <a:extLst>
            <a:ext uri="{FF2B5EF4-FFF2-40B4-BE49-F238E27FC236}">
              <a16:creationId xmlns:a16="http://schemas.microsoft.com/office/drawing/2014/main" id="{0B48197E-5335-477C-8FE4-ADF07B47F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7" name="Picture 146" descr="https://mail.google.com/mail/u/0/images/cleardot.gif">
          <a:extLst>
            <a:ext uri="{FF2B5EF4-FFF2-40B4-BE49-F238E27FC236}">
              <a16:creationId xmlns:a16="http://schemas.microsoft.com/office/drawing/2014/main" id="{3A89FF0B-0D41-4C81-B6DC-E157D192D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8" name="Picture 147" descr="https://mail.google.com/mail/u/0/images/cleardot.gif">
          <a:extLst>
            <a:ext uri="{FF2B5EF4-FFF2-40B4-BE49-F238E27FC236}">
              <a16:creationId xmlns:a16="http://schemas.microsoft.com/office/drawing/2014/main" id="{8492ABA1-7F17-4367-B78A-9A2382052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9" name="Picture 148" descr="https://mail.google.com/mail/u/0/images/cleardot.gif">
          <a:extLst>
            <a:ext uri="{FF2B5EF4-FFF2-40B4-BE49-F238E27FC236}">
              <a16:creationId xmlns:a16="http://schemas.microsoft.com/office/drawing/2014/main" id="{8B77F125-A353-4E3E-8C7B-30F37FB6B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0" name="Picture 149" descr="https://mail.google.com/mail/u/0/images/cleardot.gif">
          <a:extLst>
            <a:ext uri="{FF2B5EF4-FFF2-40B4-BE49-F238E27FC236}">
              <a16:creationId xmlns:a16="http://schemas.microsoft.com/office/drawing/2014/main" id="{114C67C3-F02D-4636-ACF1-855DA7207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1" name="Picture 150" descr="https://mail.google.com/mail/u/0/images/cleardot.gif">
          <a:extLst>
            <a:ext uri="{FF2B5EF4-FFF2-40B4-BE49-F238E27FC236}">
              <a16:creationId xmlns:a16="http://schemas.microsoft.com/office/drawing/2014/main" id="{15D850AC-6F90-4111-B0E8-64F118B90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2" name="Picture 151" descr="https://mail.google.com/mail/u/0/images/cleardot.gif">
          <a:extLst>
            <a:ext uri="{FF2B5EF4-FFF2-40B4-BE49-F238E27FC236}">
              <a16:creationId xmlns:a16="http://schemas.microsoft.com/office/drawing/2014/main" id="{A60C4363-3023-41EF-A93B-0ABA1AB12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3" name="Picture 152" descr="https://mail.google.com/mail/u/0/images/cleardot.gif">
          <a:extLst>
            <a:ext uri="{FF2B5EF4-FFF2-40B4-BE49-F238E27FC236}">
              <a16:creationId xmlns:a16="http://schemas.microsoft.com/office/drawing/2014/main" id="{5C882D3B-E7D2-4689-82F0-13C50FED3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4" name="Picture 153" descr="https://mail.google.com/mail/u/0/images/cleardot.gif">
          <a:extLst>
            <a:ext uri="{FF2B5EF4-FFF2-40B4-BE49-F238E27FC236}">
              <a16:creationId xmlns:a16="http://schemas.microsoft.com/office/drawing/2014/main" id="{5CB0D148-F4DC-4835-944C-25104D0A7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5" name="Picture 154" descr="https://mail.google.com/mail/u/0/images/cleardot.gif">
          <a:extLst>
            <a:ext uri="{FF2B5EF4-FFF2-40B4-BE49-F238E27FC236}">
              <a16:creationId xmlns:a16="http://schemas.microsoft.com/office/drawing/2014/main" id="{8F9AFEE7-8B92-4E17-930F-41F78FCB5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6" name="Picture 155" descr="https://mail.google.com/mail/u/0/images/cleardot.gif">
          <a:extLst>
            <a:ext uri="{FF2B5EF4-FFF2-40B4-BE49-F238E27FC236}">
              <a16:creationId xmlns:a16="http://schemas.microsoft.com/office/drawing/2014/main" id="{75EAFB29-7346-40AD-A279-EDBE27BDE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7" name="Picture 156" descr="https://mail.google.com/mail/u/0/images/cleardot.gif">
          <a:extLst>
            <a:ext uri="{FF2B5EF4-FFF2-40B4-BE49-F238E27FC236}">
              <a16:creationId xmlns:a16="http://schemas.microsoft.com/office/drawing/2014/main" id="{BD152E7A-77DC-43EF-84F9-4596D7732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8" name="Picture 157" descr="https://mail.google.com/mail/u/0/images/cleardot.gif">
          <a:extLst>
            <a:ext uri="{FF2B5EF4-FFF2-40B4-BE49-F238E27FC236}">
              <a16:creationId xmlns:a16="http://schemas.microsoft.com/office/drawing/2014/main" id="{AE4D03D4-B68D-4297-A4AF-F622D4542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9" name="Picture 158" descr="https://mail.google.com/mail/u/0/images/cleardot.gif">
          <a:extLst>
            <a:ext uri="{FF2B5EF4-FFF2-40B4-BE49-F238E27FC236}">
              <a16:creationId xmlns:a16="http://schemas.microsoft.com/office/drawing/2014/main" id="{44EF2882-4F98-498A-A86F-EBCA2718B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0" name="Picture 159" descr="https://mail.google.com/mail/u/0/images/cleardot.gif">
          <a:extLst>
            <a:ext uri="{FF2B5EF4-FFF2-40B4-BE49-F238E27FC236}">
              <a16:creationId xmlns:a16="http://schemas.microsoft.com/office/drawing/2014/main" id="{CDCA4DD5-F76F-48FC-8E4D-7AE12E293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1" name="Picture 160" descr="https://mail.google.com/mail/u/0/images/cleardot.gif">
          <a:extLst>
            <a:ext uri="{FF2B5EF4-FFF2-40B4-BE49-F238E27FC236}">
              <a16:creationId xmlns:a16="http://schemas.microsoft.com/office/drawing/2014/main" id="{B5A862D3-DA8F-4CB4-903C-CA0DEA00C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2" name="Picture 161" descr="https://mail.google.com/mail/u/0/images/cleardot.gif">
          <a:extLst>
            <a:ext uri="{FF2B5EF4-FFF2-40B4-BE49-F238E27FC236}">
              <a16:creationId xmlns:a16="http://schemas.microsoft.com/office/drawing/2014/main" id="{6C7DDEC7-FF9D-4D4D-91FD-C5EDBD2BF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3" name="Picture 162" descr="https://mail.google.com/mail/u/0/images/cleardot.gif">
          <a:extLst>
            <a:ext uri="{FF2B5EF4-FFF2-40B4-BE49-F238E27FC236}">
              <a16:creationId xmlns:a16="http://schemas.microsoft.com/office/drawing/2014/main" id="{970EC1A2-7207-4D75-8816-20E11B485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4" name="Picture 163" descr="https://mail.google.com/mail/u/0/images/cleardot.gif">
          <a:extLst>
            <a:ext uri="{FF2B5EF4-FFF2-40B4-BE49-F238E27FC236}">
              <a16:creationId xmlns:a16="http://schemas.microsoft.com/office/drawing/2014/main" id="{C6A28993-B1FA-4D8A-9244-069E8A7FB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5" name="Picture 164" descr="https://mail.google.com/mail/u/0/images/cleardot.gif">
          <a:extLst>
            <a:ext uri="{FF2B5EF4-FFF2-40B4-BE49-F238E27FC236}">
              <a16:creationId xmlns:a16="http://schemas.microsoft.com/office/drawing/2014/main" id="{D1CEAA73-A678-4697-802D-9C86B6A90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6" name="Picture 165" descr="https://mail.google.com/mail/u/0/images/cleardot.gif">
          <a:extLst>
            <a:ext uri="{FF2B5EF4-FFF2-40B4-BE49-F238E27FC236}">
              <a16:creationId xmlns:a16="http://schemas.microsoft.com/office/drawing/2014/main" id="{838BFC15-C14D-4BED-B893-D48415818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7" name="Picture 166" descr="https://mail.google.com/mail/u/0/images/cleardot.gif">
          <a:extLst>
            <a:ext uri="{FF2B5EF4-FFF2-40B4-BE49-F238E27FC236}">
              <a16:creationId xmlns:a16="http://schemas.microsoft.com/office/drawing/2014/main" id="{6F9660CC-06FF-43DE-BB3D-A97500EB1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8" name="Picture 167" descr="https://mail.google.com/mail/u/0/images/cleardot.gif">
          <a:extLst>
            <a:ext uri="{FF2B5EF4-FFF2-40B4-BE49-F238E27FC236}">
              <a16:creationId xmlns:a16="http://schemas.microsoft.com/office/drawing/2014/main" id="{A32DF3D1-F2AA-4B6E-A9A2-40E6F6BA2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9" name="Picture 168" descr="https://mail.google.com/mail/u/0/images/cleardot.gif">
          <a:extLst>
            <a:ext uri="{FF2B5EF4-FFF2-40B4-BE49-F238E27FC236}">
              <a16:creationId xmlns:a16="http://schemas.microsoft.com/office/drawing/2014/main" id="{5FB4F35E-9397-4043-B130-926E40834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0" name="Picture 169" descr="https://mail.google.com/mail/u/0/images/cleardot.gif">
          <a:extLst>
            <a:ext uri="{FF2B5EF4-FFF2-40B4-BE49-F238E27FC236}">
              <a16:creationId xmlns:a16="http://schemas.microsoft.com/office/drawing/2014/main" id="{4B15A758-6568-44E0-8616-F74EB7D79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1" name="Picture 170" descr="https://mail.google.com/mail/u/0/images/cleardot.gif">
          <a:extLst>
            <a:ext uri="{FF2B5EF4-FFF2-40B4-BE49-F238E27FC236}">
              <a16:creationId xmlns:a16="http://schemas.microsoft.com/office/drawing/2014/main" id="{DACF7084-2C3B-4138-8EB3-867A54347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2" name="Picture 171" descr="https://mail.google.com/mail/u/0/images/cleardot.gif">
          <a:extLst>
            <a:ext uri="{FF2B5EF4-FFF2-40B4-BE49-F238E27FC236}">
              <a16:creationId xmlns:a16="http://schemas.microsoft.com/office/drawing/2014/main" id="{A6C375B5-F892-461B-9280-CA32591A2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3" name="Picture 172" descr="https://mail.google.com/mail/u/0/images/cleardot.gif">
          <a:extLst>
            <a:ext uri="{FF2B5EF4-FFF2-40B4-BE49-F238E27FC236}">
              <a16:creationId xmlns:a16="http://schemas.microsoft.com/office/drawing/2014/main" id="{EE46916D-69F5-481A-BE06-BA83F2749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4" name="Picture 173" descr="https://mail.google.com/mail/u/0/images/cleardot.gif">
          <a:extLst>
            <a:ext uri="{FF2B5EF4-FFF2-40B4-BE49-F238E27FC236}">
              <a16:creationId xmlns:a16="http://schemas.microsoft.com/office/drawing/2014/main" id="{2D54B7F2-84E1-45AA-A939-CECEFA17D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5" name="Picture 174" descr="https://mail.google.com/mail/u/0/images/cleardot.gif">
          <a:extLst>
            <a:ext uri="{FF2B5EF4-FFF2-40B4-BE49-F238E27FC236}">
              <a16:creationId xmlns:a16="http://schemas.microsoft.com/office/drawing/2014/main" id="{35020C14-A991-41A2-B57E-07D4E9359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6" name="Picture 175" descr="https://mail.google.com/mail/u/0/images/cleardot.gif">
          <a:extLst>
            <a:ext uri="{FF2B5EF4-FFF2-40B4-BE49-F238E27FC236}">
              <a16:creationId xmlns:a16="http://schemas.microsoft.com/office/drawing/2014/main" id="{22214ED9-DD4D-4AF1-A032-342FE25DF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7" name="Picture 176" descr="https://mail.google.com/mail/u/0/images/cleardot.gif">
          <a:extLst>
            <a:ext uri="{FF2B5EF4-FFF2-40B4-BE49-F238E27FC236}">
              <a16:creationId xmlns:a16="http://schemas.microsoft.com/office/drawing/2014/main" id="{A828A011-9491-4CB2-952B-7594A6BE1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8" name="Picture 177" descr="https://mail.google.com/mail/u/0/images/cleardot.gif">
          <a:extLst>
            <a:ext uri="{FF2B5EF4-FFF2-40B4-BE49-F238E27FC236}">
              <a16:creationId xmlns:a16="http://schemas.microsoft.com/office/drawing/2014/main" id="{600C2C66-E390-4F0F-9DFB-CE06106A3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9" name="Picture 178" descr="https://mail.google.com/mail/u/0/images/cleardot.gif">
          <a:extLst>
            <a:ext uri="{FF2B5EF4-FFF2-40B4-BE49-F238E27FC236}">
              <a16:creationId xmlns:a16="http://schemas.microsoft.com/office/drawing/2014/main" id="{22380000-E7AD-459F-B2DA-6D99A8A2B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0" name="Picture 179" descr="https://mail.google.com/mail/u/0/images/cleardot.gif">
          <a:extLst>
            <a:ext uri="{FF2B5EF4-FFF2-40B4-BE49-F238E27FC236}">
              <a16:creationId xmlns:a16="http://schemas.microsoft.com/office/drawing/2014/main" id="{AE4F1B55-5506-43EB-8FE4-AB54C549B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1" name="Picture 180" descr="https://mail.google.com/mail/u/0/images/cleardot.gif">
          <a:extLst>
            <a:ext uri="{FF2B5EF4-FFF2-40B4-BE49-F238E27FC236}">
              <a16:creationId xmlns:a16="http://schemas.microsoft.com/office/drawing/2014/main" id="{C5F21E33-29DE-4823-AB01-D94336499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2" name="Picture 181" descr="https://mail.google.com/mail/u/0/images/cleardot.gif">
          <a:extLst>
            <a:ext uri="{FF2B5EF4-FFF2-40B4-BE49-F238E27FC236}">
              <a16:creationId xmlns:a16="http://schemas.microsoft.com/office/drawing/2014/main" id="{6F3F8B80-D780-41C8-B6E7-EA4AC47DF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3" name="Picture 182" descr="https://mail.google.com/mail/u/0/images/cleardot.gif">
          <a:extLst>
            <a:ext uri="{FF2B5EF4-FFF2-40B4-BE49-F238E27FC236}">
              <a16:creationId xmlns:a16="http://schemas.microsoft.com/office/drawing/2014/main" id="{3917AAE0-3FE7-4A5E-8636-7972C87A5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4" name="Picture 183" descr="https://mail.google.com/mail/u/0/images/cleardot.gif">
          <a:extLst>
            <a:ext uri="{FF2B5EF4-FFF2-40B4-BE49-F238E27FC236}">
              <a16:creationId xmlns:a16="http://schemas.microsoft.com/office/drawing/2014/main" id="{9DD2E68A-892E-4E6B-B223-1B592DC96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5" name="Picture 184" descr="https://mail.google.com/mail/u/0/images/cleardot.gif">
          <a:extLst>
            <a:ext uri="{FF2B5EF4-FFF2-40B4-BE49-F238E27FC236}">
              <a16:creationId xmlns:a16="http://schemas.microsoft.com/office/drawing/2014/main" id="{BEC32C9F-F0EF-4AE4-8A7F-98353C13C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6" name="Picture 185" descr="https://mail.google.com/mail/u/0/images/cleardot.gif">
          <a:extLst>
            <a:ext uri="{FF2B5EF4-FFF2-40B4-BE49-F238E27FC236}">
              <a16:creationId xmlns:a16="http://schemas.microsoft.com/office/drawing/2014/main" id="{4CF35868-AEBE-463C-B20E-0AECF83DD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7" name="Picture 186" descr="https://mail.google.com/mail/u/0/images/cleardot.gif">
          <a:extLst>
            <a:ext uri="{FF2B5EF4-FFF2-40B4-BE49-F238E27FC236}">
              <a16:creationId xmlns:a16="http://schemas.microsoft.com/office/drawing/2014/main" id="{0A2B4522-5F41-462D-BDEA-6ACA695AF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8" name="Picture 187" descr="https://mail.google.com/mail/u/0/images/cleardot.gif">
          <a:extLst>
            <a:ext uri="{FF2B5EF4-FFF2-40B4-BE49-F238E27FC236}">
              <a16:creationId xmlns:a16="http://schemas.microsoft.com/office/drawing/2014/main" id="{0CAF0C0C-326C-46C8-AF24-66B0A9823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9" name="Picture 188" descr="https://mail.google.com/mail/u/0/images/cleardot.gif">
          <a:extLst>
            <a:ext uri="{FF2B5EF4-FFF2-40B4-BE49-F238E27FC236}">
              <a16:creationId xmlns:a16="http://schemas.microsoft.com/office/drawing/2014/main" id="{851851D7-FE50-425E-9753-FF8ADF179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0" name="Picture 189" descr="https://mail.google.com/mail/u/0/images/cleardot.gif">
          <a:extLst>
            <a:ext uri="{FF2B5EF4-FFF2-40B4-BE49-F238E27FC236}">
              <a16:creationId xmlns:a16="http://schemas.microsoft.com/office/drawing/2014/main" id="{B61B04D3-87B6-478E-95ED-3112FCA97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1" name="Picture 190" descr="https://mail.google.com/mail/u/0/images/cleardot.gif">
          <a:extLst>
            <a:ext uri="{FF2B5EF4-FFF2-40B4-BE49-F238E27FC236}">
              <a16:creationId xmlns:a16="http://schemas.microsoft.com/office/drawing/2014/main" id="{573A0F4F-F0F4-4C0C-844A-D7A80459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2" name="Picture 191" descr="https://mail.google.com/mail/u/0/images/cleardot.gif">
          <a:extLst>
            <a:ext uri="{FF2B5EF4-FFF2-40B4-BE49-F238E27FC236}">
              <a16:creationId xmlns:a16="http://schemas.microsoft.com/office/drawing/2014/main" id="{6CDCB888-B621-45C3-B2BE-DA41F27BD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3" name="Picture 192" descr="https://mail.google.com/mail/u/0/images/cleardot.gif">
          <a:extLst>
            <a:ext uri="{FF2B5EF4-FFF2-40B4-BE49-F238E27FC236}">
              <a16:creationId xmlns:a16="http://schemas.microsoft.com/office/drawing/2014/main" id="{EE903CA1-DB3F-4569-B424-ECAFF2BB9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4" name="Picture 193" descr="https://mail.google.com/mail/u/0/images/cleardot.gif">
          <a:extLst>
            <a:ext uri="{FF2B5EF4-FFF2-40B4-BE49-F238E27FC236}">
              <a16:creationId xmlns:a16="http://schemas.microsoft.com/office/drawing/2014/main" id="{DCB8F610-0D5B-47D7-B322-DBB58874B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5" name="Picture 194" descr="https://mail.google.com/mail/u/0/images/cleardot.gif">
          <a:extLst>
            <a:ext uri="{FF2B5EF4-FFF2-40B4-BE49-F238E27FC236}">
              <a16:creationId xmlns:a16="http://schemas.microsoft.com/office/drawing/2014/main" id="{331B0255-A6BA-46C6-8ED6-ABAFD7377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6" name="Picture 195" descr="https://mail.google.com/mail/u/0/images/cleardot.gif">
          <a:extLst>
            <a:ext uri="{FF2B5EF4-FFF2-40B4-BE49-F238E27FC236}">
              <a16:creationId xmlns:a16="http://schemas.microsoft.com/office/drawing/2014/main" id="{C15F7ACB-9721-4591-A378-889C471B2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7" name="Picture 196" descr="https://mail.google.com/mail/u/0/images/cleardot.gif">
          <a:extLst>
            <a:ext uri="{FF2B5EF4-FFF2-40B4-BE49-F238E27FC236}">
              <a16:creationId xmlns:a16="http://schemas.microsoft.com/office/drawing/2014/main" id="{A0366FF3-1B92-4747-9A65-CAFD4AFFA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8" name="Picture 197" descr="https://mail.google.com/mail/u/0/images/cleardot.gif">
          <a:extLst>
            <a:ext uri="{FF2B5EF4-FFF2-40B4-BE49-F238E27FC236}">
              <a16:creationId xmlns:a16="http://schemas.microsoft.com/office/drawing/2014/main" id="{B55E1D2E-767C-4E02-956A-B9A2A732C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9" name="Picture 198" descr="https://mail.google.com/mail/u/0/images/cleardot.gif">
          <a:extLst>
            <a:ext uri="{FF2B5EF4-FFF2-40B4-BE49-F238E27FC236}">
              <a16:creationId xmlns:a16="http://schemas.microsoft.com/office/drawing/2014/main" id="{EC746517-8833-4521-AEC8-36BA97482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0" name="Picture 199" descr="https://mail.google.com/mail/u/0/images/cleardot.gif">
          <a:extLst>
            <a:ext uri="{FF2B5EF4-FFF2-40B4-BE49-F238E27FC236}">
              <a16:creationId xmlns:a16="http://schemas.microsoft.com/office/drawing/2014/main" id="{D1C1206D-6A72-4D65-A9A4-4B110CF5A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1" name="Picture 200" descr="https://mail.google.com/mail/u/0/images/cleardot.gif">
          <a:extLst>
            <a:ext uri="{FF2B5EF4-FFF2-40B4-BE49-F238E27FC236}">
              <a16:creationId xmlns:a16="http://schemas.microsoft.com/office/drawing/2014/main" id="{AF7E508E-8664-4045-985F-4C7FDD4DB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2" name="Picture 201" descr="https://mail.google.com/mail/u/0/images/cleardot.gif">
          <a:extLst>
            <a:ext uri="{FF2B5EF4-FFF2-40B4-BE49-F238E27FC236}">
              <a16:creationId xmlns:a16="http://schemas.microsoft.com/office/drawing/2014/main" id="{3CA86412-06D0-4D9A-8D5C-CE3AD9186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3" name="Picture 202" descr="https://mail.google.com/mail/u/0/images/cleardot.gif">
          <a:extLst>
            <a:ext uri="{FF2B5EF4-FFF2-40B4-BE49-F238E27FC236}">
              <a16:creationId xmlns:a16="http://schemas.microsoft.com/office/drawing/2014/main" id="{73A5DC98-0C71-4FB6-99D5-FBD054350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4" name="Picture 203" descr="https://mail.google.com/mail/u/0/images/cleardot.gif">
          <a:extLst>
            <a:ext uri="{FF2B5EF4-FFF2-40B4-BE49-F238E27FC236}">
              <a16:creationId xmlns:a16="http://schemas.microsoft.com/office/drawing/2014/main" id="{0B2B4ED8-86DE-4843-A9FD-F11895E9C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5" name="Picture 204" descr="https://mail.google.com/mail/u/0/images/cleardot.gif">
          <a:extLst>
            <a:ext uri="{FF2B5EF4-FFF2-40B4-BE49-F238E27FC236}">
              <a16:creationId xmlns:a16="http://schemas.microsoft.com/office/drawing/2014/main" id="{9DDDBCFF-6819-454B-AB3D-622B9EC37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6" name="Picture 205" descr="https://mail.google.com/mail/u/0/images/cleardot.gif">
          <a:extLst>
            <a:ext uri="{FF2B5EF4-FFF2-40B4-BE49-F238E27FC236}">
              <a16:creationId xmlns:a16="http://schemas.microsoft.com/office/drawing/2014/main" id="{8A1E8C9D-DE2D-4BED-932B-2C997F104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7" name="Picture 206" descr="https://mail.google.com/mail/u/0/images/cleardot.gif">
          <a:extLst>
            <a:ext uri="{FF2B5EF4-FFF2-40B4-BE49-F238E27FC236}">
              <a16:creationId xmlns:a16="http://schemas.microsoft.com/office/drawing/2014/main" id="{8B9A2C78-A207-48A4-B8F8-E5CF4BE1E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8" name="Picture 207" descr="https://mail.google.com/mail/u/0/images/cleardot.gif">
          <a:extLst>
            <a:ext uri="{FF2B5EF4-FFF2-40B4-BE49-F238E27FC236}">
              <a16:creationId xmlns:a16="http://schemas.microsoft.com/office/drawing/2014/main" id="{E31D3972-6D5A-43CC-AC1B-79986FF42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9" name="Picture 208" descr="https://mail.google.com/mail/u/0/images/cleardot.gif">
          <a:extLst>
            <a:ext uri="{FF2B5EF4-FFF2-40B4-BE49-F238E27FC236}">
              <a16:creationId xmlns:a16="http://schemas.microsoft.com/office/drawing/2014/main" id="{2CA8D77D-EB00-47E2-B253-707948E57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0" name="Picture 209" descr="https://mail.google.com/mail/u/0/images/cleardot.gif">
          <a:extLst>
            <a:ext uri="{FF2B5EF4-FFF2-40B4-BE49-F238E27FC236}">
              <a16:creationId xmlns:a16="http://schemas.microsoft.com/office/drawing/2014/main" id="{D7E9944D-40A1-437A-8B7E-26548426E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1" name="Picture 210" descr="https://mail.google.com/mail/u/0/images/cleardot.gif">
          <a:extLst>
            <a:ext uri="{FF2B5EF4-FFF2-40B4-BE49-F238E27FC236}">
              <a16:creationId xmlns:a16="http://schemas.microsoft.com/office/drawing/2014/main" id="{21978CE7-6CBD-4248-874B-76AFF59A3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2" name="Picture 211" descr="https://mail.google.com/mail/u/0/images/cleardot.gif">
          <a:extLst>
            <a:ext uri="{FF2B5EF4-FFF2-40B4-BE49-F238E27FC236}">
              <a16:creationId xmlns:a16="http://schemas.microsoft.com/office/drawing/2014/main" id="{F2BE53F8-1D32-438E-AC5C-FB94E39F7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3" name="Picture 212" descr="https://mail.google.com/mail/u/0/images/cleardot.gif">
          <a:extLst>
            <a:ext uri="{FF2B5EF4-FFF2-40B4-BE49-F238E27FC236}">
              <a16:creationId xmlns:a16="http://schemas.microsoft.com/office/drawing/2014/main" id="{FD1D5793-B8F9-4F3E-BF08-C6C025846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4" name="Picture 213" descr="https://mail.google.com/mail/u/0/images/cleardot.gif">
          <a:extLst>
            <a:ext uri="{FF2B5EF4-FFF2-40B4-BE49-F238E27FC236}">
              <a16:creationId xmlns:a16="http://schemas.microsoft.com/office/drawing/2014/main" id="{D56AC98B-367C-4C7F-8754-862CDDF7C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5" name="Picture 214" descr="https://mail.google.com/mail/u/0/images/cleardot.gif">
          <a:extLst>
            <a:ext uri="{FF2B5EF4-FFF2-40B4-BE49-F238E27FC236}">
              <a16:creationId xmlns:a16="http://schemas.microsoft.com/office/drawing/2014/main" id="{1445B451-BA89-4F5D-80AD-E7580C7DE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6" name="Picture 215" descr="https://mail.google.com/mail/u/0/images/cleardot.gif">
          <a:extLst>
            <a:ext uri="{FF2B5EF4-FFF2-40B4-BE49-F238E27FC236}">
              <a16:creationId xmlns:a16="http://schemas.microsoft.com/office/drawing/2014/main" id="{862193D3-8F53-454E-BF2A-4F68C3669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7" name="Picture 216" descr="https://mail.google.com/mail/u/0/images/cleardot.gif">
          <a:extLst>
            <a:ext uri="{FF2B5EF4-FFF2-40B4-BE49-F238E27FC236}">
              <a16:creationId xmlns:a16="http://schemas.microsoft.com/office/drawing/2014/main" id="{32FBF8A7-5910-4D3A-B4A1-9D42DED63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8" name="Picture 217" descr="https://mail.google.com/mail/u/0/images/cleardot.gif">
          <a:extLst>
            <a:ext uri="{FF2B5EF4-FFF2-40B4-BE49-F238E27FC236}">
              <a16:creationId xmlns:a16="http://schemas.microsoft.com/office/drawing/2014/main" id="{BF3BABBB-5A01-4748-AD03-AE365931F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9" name="Picture 218" descr="https://mail.google.com/mail/u/0/images/cleardot.gif">
          <a:extLst>
            <a:ext uri="{FF2B5EF4-FFF2-40B4-BE49-F238E27FC236}">
              <a16:creationId xmlns:a16="http://schemas.microsoft.com/office/drawing/2014/main" id="{5EFEC413-C12E-4645-A0F9-C6FC27301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0" name="Picture 219" descr="https://mail.google.com/mail/u/0/images/cleardot.gif">
          <a:extLst>
            <a:ext uri="{FF2B5EF4-FFF2-40B4-BE49-F238E27FC236}">
              <a16:creationId xmlns:a16="http://schemas.microsoft.com/office/drawing/2014/main" id="{63C83D92-C4A5-468B-95B3-BF985B3EA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1" name="Picture 220" descr="https://mail.google.com/mail/u/0/images/cleardot.gif">
          <a:extLst>
            <a:ext uri="{FF2B5EF4-FFF2-40B4-BE49-F238E27FC236}">
              <a16:creationId xmlns:a16="http://schemas.microsoft.com/office/drawing/2014/main" id="{FEA4E53A-E395-433C-AFC6-0456EE06C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2" name="Picture 221" descr="https://mail.google.com/mail/u/0/images/cleardot.gif">
          <a:extLst>
            <a:ext uri="{FF2B5EF4-FFF2-40B4-BE49-F238E27FC236}">
              <a16:creationId xmlns:a16="http://schemas.microsoft.com/office/drawing/2014/main" id="{2E3DC594-4A56-4B71-8FC2-D9C202107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3" name="Picture 222" descr="https://mail.google.com/mail/u/0/images/cleardot.gif">
          <a:extLst>
            <a:ext uri="{FF2B5EF4-FFF2-40B4-BE49-F238E27FC236}">
              <a16:creationId xmlns:a16="http://schemas.microsoft.com/office/drawing/2014/main" id="{A3675DBE-54EC-45EE-A6B3-E9F16581F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4" name="Picture 223" descr="https://mail.google.com/mail/u/0/images/cleardot.gif">
          <a:extLst>
            <a:ext uri="{FF2B5EF4-FFF2-40B4-BE49-F238E27FC236}">
              <a16:creationId xmlns:a16="http://schemas.microsoft.com/office/drawing/2014/main" id="{1F5E77AA-89BF-4F6F-8973-200839D58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5" name="Picture 224" descr="https://mail.google.com/mail/u/0/images/cleardot.gif">
          <a:extLst>
            <a:ext uri="{FF2B5EF4-FFF2-40B4-BE49-F238E27FC236}">
              <a16:creationId xmlns:a16="http://schemas.microsoft.com/office/drawing/2014/main" id="{E09114C9-BF66-4BBA-ABB9-A9C446EF8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6" name="Picture 225" descr="https://mail.google.com/mail/u/0/images/cleardot.gif">
          <a:extLst>
            <a:ext uri="{FF2B5EF4-FFF2-40B4-BE49-F238E27FC236}">
              <a16:creationId xmlns:a16="http://schemas.microsoft.com/office/drawing/2014/main" id="{4B27D620-B693-4296-B765-74CFD8B15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7" name="Picture 226" descr="https://mail.google.com/mail/u/0/images/cleardot.gif">
          <a:extLst>
            <a:ext uri="{FF2B5EF4-FFF2-40B4-BE49-F238E27FC236}">
              <a16:creationId xmlns:a16="http://schemas.microsoft.com/office/drawing/2014/main" id="{B5F055DE-80BA-47B2-9F33-A33D6DE25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8" name="Picture 227" descr="https://mail.google.com/mail/u/0/images/cleardot.gif">
          <a:extLst>
            <a:ext uri="{FF2B5EF4-FFF2-40B4-BE49-F238E27FC236}">
              <a16:creationId xmlns:a16="http://schemas.microsoft.com/office/drawing/2014/main" id="{C57C8110-A600-496A-B432-1C2B0136D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9" name="Picture 228" descr="https://mail.google.com/mail/u/0/images/cleardot.gif">
          <a:extLst>
            <a:ext uri="{FF2B5EF4-FFF2-40B4-BE49-F238E27FC236}">
              <a16:creationId xmlns:a16="http://schemas.microsoft.com/office/drawing/2014/main" id="{37D5D5C0-C381-42E8-A143-9BBDE485A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0" name="Picture 229" descr="https://mail.google.com/mail/u/0/images/cleardot.gif">
          <a:extLst>
            <a:ext uri="{FF2B5EF4-FFF2-40B4-BE49-F238E27FC236}">
              <a16:creationId xmlns:a16="http://schemas.microsoft.com/office/drawing/2014/main" id="{A9CD550F-1013-4FE0-AAA0-03F109DF7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1" name="Picture 230" descr="https://mail.google.com/mail/u/0/images/cleardot.gif">
          <a:extLst>
            <a:ext uri="{FF2B5EF4-FFF2-40B4-BE49-F238E27FC236}">
              <a16:creationId xmlns:a16="http://schemas.microsoft.com/office/drawing/2014/main" id="{8DA97EAA-9F53-4095-B78A-2F90A5179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2" name="Picture 231" descr="https://mail.google.com/mail/u/0/images/cleardot.gif">
          <a:extLst>
            <a:ext uri="{FF2B5EF4-FFF2-40B4-BE49-F238E27FC236}">
              <a16:creationId xmlns:a16="http://schemas.microsoft.com/office/drawing/2014/main" id="{A9410EDD-A7C2-4E0A-A955-A8477BBFF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3" name="Picture 232" descr="https://mail.google.com/mail/u/0/images/cleardot.gif">
          <a:extLst>
            <a:ext uri="{FF2B5EF4-FFF2-40B4-BE49-F238E27FC236}">
              <a16:creationId xmlns:a16="http://schemas.microsoft.com/office/drawing/2014/main" id="{8695AD7E-2A6A-42B1-B19E-BDB7A0F18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4" name="Picture 233" descr="https://mail.google.com/mail/u/0/images/cleardot.gif">
          <a:extLst>
            <a:ext uri="{FF2B5EF4-FFF2-40B4-BE49-F238E27FC236}">
              <a16:creationId xmlns:a16="http://schemas.microsoft.com/office/drawing/2014/main" id="{F983787F-06B6-4431-8D15-DC800C58A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5" name="Picture 234" descr="https://mail.google.com/mail/u/0/images/cleardot.gif">
          <a:extLst>
            <a:ext uri="{FF2B5EF4-FFF2-40B4-BE49-F238E27FC236}">
              <a16:creationId xmlns:a16="http://schemas.microsoft.com/office/drawing/2014/main" id="{22C20A0E-2052-4F65-AEB4-B9912A93E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6" name="Picture 235" descr="https://mail.google.com/mail/u/0/images/cleardot.gif">
          <a:extLst>
            <a:ext uri="{FF2B5EF4-FFF2-40B4-BE49-F238E27FC236}">
              <a16:creationId xmlns:a16="http://schemas.microsoft.com/office/drawing/2014/main" id="{005ED0CE-4C5F-4E83-A336-13EF20652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7" name="Picture 236" descr="https://mail.google.com/mail/u/0/images/cleardot.gif">
          <a:extLst>
            <a:ext uri="{FF2B5EF4-FFF2-40B4-BE49-F238E27FC236}">
              <a16:creationId xmlns:a16="http://schemas.microsoft.com/office/drawing/2014/main" id="{55D2868E-EE51-4796-86B0-BD92C6C88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8" name="Picture 237" descr="https://mail.google.com/mail/u/0/images/cleardot.gif">
          <a:extLst>
            <a:ext uri="{FF2B5EF4-FFF2-40B4-BE49-F238E27FC236}">
              <a16:creationId xmlns:a16="http://schemas.microsoft.com/office/drawing/2014/main" id="{FD3A9A4F-6F83-4287-ADBD-F4DE49741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9" name="Picture 238" descr="https://mail.google.com/mail/u/0/images/cleardot.gif">
          <a:extLst>
            <a:ext uri="{FF2B5EF4-FFF2-40B4-BE49-F238E27FC236}">
              <a16:creationId xmlns:a16="http://schemas.microsoft.com/office/drawing/2014/main" id="{36DFA10B-2480-4448-A1FD-05F6B6D1D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0" name="Picture 239" descr="https://mail.google.com/mail/u/0/images/cleardot.gif">
          <a:extLst>
            <a:ext uri="{FF2B5EF4-FFF2-40B4-BE49-F238E27FC236}">
              <a16:creationId xmlns:a16="http://schemas.microsoft.com/office/drawing/2014/main" id="{62EC8BEE-1813-42AA-AFAE-01FE55937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1" name="Picture 240" descr="https://mail.google.com/mail/u/0/images/cleardot.gif">
          <a:extLst>
            <a:ext uri="{FF2B5EF4-FFF2-40B4-BE49-F238E27FC236}">
              <a16:creationId xmlns:a16="http://schemas.microsoft.com/office/drawing/2014/main" id="{FC048ED0-E249-4FD8-AA73-B76EFE1D2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2" name="Picture 241" descr="https://mail.google.com/mail/u/0/images/cleardot.gif">
          <a:extLst>
            <a:ext uri="{FF2B5EF4-FFF2-40B4-BE49-F238E27FC236}">
              <a16:creationId xmlns:a16="http://schemas.microsoft.com/office/drawing/2014/main" id="{11879F87-4729-4256-A5E0-4255A915B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3" name="Picture 242" descr="https://mail.google.com/mail/u/0/images/cleardot.gif">
          <a:extLst>
            <a:ext uri="{FF2B5EF4-FFF2-40B4-BE49-F238E27FC236}">
              <a16:creationId xmlns:a16="http://schemas.microsoft.com/office/drawing/2014/main" id="{513FD566-07BB-441F-BD38-1ED2D2684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4" name="Picture 243" descr="https://mail.google.com/mail/u/0/images/cleardot.gif">
          <a:extLst>
            <a:ext uri="{FF2B5EF4-FFF2-40B4-BE49-F238E27FC236}">
              <a16:creationId xmlns:a16="http://schemas.microsoft.com/office/drawing/2014/main" id="{AAEE156A-FCCF-42CF-B150-39C88C937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5" name="Picture 244" descr="https://mail.google.com/mail/u/0/images/cleardot.gif">
          <a:extLst>
            <a:ext uri="{FF2B5EF4-FFF2-40B4-BE49-F238E27FC236}">
              <a16:creationId xmlns:a16="http://schemas.microsoft.com/office/drawing/2014/main" id="{4861547B-627E-4B27-B257-30B9DDA4D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6" name="Picture 245" descr="https://mail.google.com/mail/u/0/images/cleardot.gif">
          <a:extLst>
            <a:ext uri="{FF2B5EF4-FFF2-40B4-BE49-F238E27FC236}">
              <a16:creationId xmlns:a16="http://schemas.microsoft.com/office/drawing/2014/main" id="{26319DF1-959C-4E03-9BF1-D1271C845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7" name="Picture 246" descr="https://mail.google.com/mail/u/0/images/cleardot.gif">
          <a:extLst>
            <a:ext uri="{FF2B5EF4-FFF2-40B4-BE49-F238E27FC236}">
              <a16:creationId xmlns:a16="http://schemas.microsoft.com/office/drawing/2014/main" id="{E1EA8DD9-0A8C-4555-AAE2-1867E4FCB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8" name="Picture 247" descr="https://mail.google.com/mail/u/0/images/cleardot.gif">
          <a:extLst>
            <a:ext uri="{FF2B5EF4-FFF2-40B4-BE49-F238E27FC236}">
              <a16:creationId xmlns:a16="http://schemas.microsoft.com/office/drawing/2014/main" id="{83F1F954-FAB9-4CA4-89B7-53A1F72EA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9" name="Picture 248" descr="https://mail.google.com/mail/u/0/images/cleardot.gif">
          <a:extLst>
            <a:ext uri="{FF2B5EF4-FFF2-40B4-BE49-F238E27FC236}">
              <a16:creationId xmlns:a16="http://schemas.microsoft.com/office/drawing/2014/main" id="{B5A7C4CD-3F1A-42FE-8EA4-88EDA1530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0" name="Picture 249" descr="https://mail.google.com/mail/u/0/images/cleardot.gif">
          <a:extLst>
            <a:ext uri="{FF2B5EF4-FFF2-40B4-BE49-F238E27FC236}">
              <a16:creationId xmlns:a16="http://schemas.microsoft.com/office/drawing/2014/main" id="{5E7D682E-BF34-47D0-8347-1B6B58A38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1" name="Picture 250" descr="https://mail.google.com/mail/u/0/images/cleardot.gif">
          <a:extLst>
            <a:ext uri="{FF2B5EF4-FFF2-40B4-BE49-F238E27FC236}">
              <a16:creationId xmlns:a16="http://schemas.microsoft.com/office/drawing/2014/main" id="{99063DA0-5BE5-455B-BE5E-8BE195078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2" name="Picture 251" descr="https://mail.google.com/mail/u/0/images/cleardot.gif">
          <a:extLst>
            <a:ext uri="{FF2B5EF4-FFF2-40B4-BE49-F238E27FC236}">
              <a16:creationId xmlns:a16="http://schemas.microsoft.com/office/drawing/2014/main" id="{03B275FC-69CF-4DF8-8121-EAB42503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3" name="Picture 252" descr="https://mail.google.com/mail/u/0/images/cleardot.gif">
          <a:extLst>
            <a:ext uri="{FF2B5EF4-FFF2-40B4-BE49-F238E27FC236}">
              <a16:creationId xmlns:a16="http://schemas.microsoft.com/office/drawing/2014/main" id="{2314CCFE-EB5E-45F2-9E9C-B1DCF0070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4" name="Picture 253" descr="https://mail.google.com/mail/u/0/images/cleardot.gif">
          <a:extLst>
            <a:ext uri="{FF2B5EF4-FFF2-40B4-BE49-F238E27FC236}">
              <a16:creationId xmlns:a16="http://schemas.microsoft.com/office/drawing/2014/main" id="{21940757-8365-4820-8C6F-7768ABE74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5" name="Picture 254" descr="https://mail.google.com/mail/u/0/images/cleardot.gif">
          <a:extLst>
            <a:ext uri="{FF2B5EF4-FFF2-40B4-BE49-F238E27FC236}">
              <a16:creationId xmlns:a16="http://schemas.microsoft.com/office/drawing/2014/main" id="{477DC9E2-31D3-46F9-BE25-6B769CF37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6" name="Picture 255" descr="https://mail.google.com/mail/u/0/images/cleardot.gif">
          <a:extLst>
            <a:ext uri="{FF2B5EF4-FFF2-40B4-BE49-F238E27FC236}">
              <a16:creationId xmlns:a16="http://schemas.microsoft.com/office/drawing/2014/main" id="{E142DF1A-95A9-43DB-A7DA-26E3BDC23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7" name="Picture 256" descr="https://mail.google.com/mail/u/0/images/cleardot.gif">
          <a:extLst>
            <a:ext uri="{FF2B5EF4-FFF2-40B4-BE49-F238E27FC236}">
              <a16:creationId xmlns:a16="http://schemas.microsoft.com/office/drawing/2014/main" id="{C335CE0A-9FB9-4866-9420-89FA0301F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8" name="Picture 257" descr="https://mail.google.com/mail/u/0/images/cleardot.gif">
          <a:extLst>
            <a:ext uri="{FF2B5EF4-FFF2-40B4-BE49-F238E27FC236}">
              <a16:creationId xmlns:a16="http://schemas.microsoft.com/office/drawing/2014/main" id="{8CD44982-4CB4-4119-9324-BA2A75F23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9" name="Picture 258" descr="https://mail.google.com/mail/u/0/images/cleardot.gif">
          <a:extLst>
            <a:ext uri="{FF2B5EF4-FFF2-40B4-BE49-F238E27FC236}">
              <a16:creationId xmlns:a16="http://schemas.microsoft.com/office/drawing/2014/main" id="{2EB4A7A6-6679-477C-BA75-242EE51CC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0" name="Picture 259" descr="https://mail.google.com/mail/u/0/images/cleardot.gif">
          <a:extLst>
            <a:ext uri="{FF2B5EF4-FFF2-40B4-BE49-F238E27FC236}">
              <a16:creationId xmlns:a16="http://schemas.microsoft.com/office/drawing/2014/main" id="{543B89B7-859B-4ABB-8BD7-4185D5386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1" name="Picture 260" descr="https://mail.google.com/mail/u/0/images/cleardot.gif">
          <a:extLst>
            <a:ext uri="{FF2B5EF4-FFF2-40B4-BE49-F238E27FC236}">
              <a16:creationId xmlns:a16="http://schemas.microsoft.com/office/drawing/2014/main" id="{BE6964CF-C7CF-4353-ACD1-0893B0DDC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2" name="Picture 261" descr="https://mail.google.com/mail/u/0/images/cleardot.gif">
          <a:extLst>
            <a:ext uri="{FF2B5EF4-FFF2-40B4-BE49-F238E27FC236}">
              <a16:creationId xmlns:a16="http://schemas.microsoft.com/office/drawing/2014/main" id="{0B6D99A5-174B-4FF1-823C-8F6B97A43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3" name="Picture 262" descr="https://mail.google.com/mail/u/0/images/cleardot.gif">
          <a:extLst>
            <a:ext uri="{FF2B5EF4-FFF2-40B4-BE49-F238E27FC236}">
              <a16:creationId xmlns:a16="http://schemas.microsoft.com/office/drawing/2014/main" id="{56671301-9183-47AE-BE7B-4487EEE7E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4" name="Picture 263" descr="https://mail.google.com/mail/u/0/images/cleardot.gif">
          <a:extLst>
            <a:ext uri="{FF2B5EF4-FFF2-40B4-BE49-F238E27FC236}">
              <a16:creationId xmlns:a16="http://schemas.microsoft.com/office/drawing/2014/main" id="{E46887F1-EDA5-49F2-83A9-8444D4553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5" name="Picture 264" descr="https://mail.google.com/mail/u/0/images/cleardot.gif">
          <a:extLst>
            <a:ext uri="{FF2B5EF4-FFF2-40B4-BE49-F238E27FC236}">
              <a16:creationId xmlns:a16="http://schemas.microsoft.com/office/drawing/2014/main" id="{42567046-45A9-402A-9823-9DD886309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6" name="Picture 265" descr="https://mail.google.com/mail/u/0/images/cleardot.gif">
          <a:extLst>
            <a:ext uri="{FF2B5EF4-FFF2-40B4-BE49-F238E27FC236}">
              <a16:creationId xmlns:a16="http://schemas.microsoft.com/office/drawing/2014/main" id="{3AEF1749-E2CF-4F57-8A69-2E39D0786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7" name="Picture 266" descr="https://mail.google.com/mail/u/0/images/cleardot.gif">
          <a:extLst>
            <a:ext uri="{FF2B5EF4-FFF2-40B4-BE49-F238E27FC236}">
              <a16:creationId xmlns:a16="http://schemas.microsoft.com/office/drawing/2014/main" id="{20211DFE-46CC-4343-976C-B09498A31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8" name="Picture 267" descr="https://mail.google.com/mail/u/0/images/cleardot.gif">
          <a:extLst>
            <a:ext uri="{FF2B5EF4-FFF2-40B4-BE49-F238E27FC236}">
              <a16:creationId xmlns:a16="http://schemas.microsoft.com/office/drawing/2014/main" id="{C17B4FD2-7632-49BE-BF93-516F966E4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9" name="Picture 268" descr="https://mail.google.com/mail/u/0/images/cleardot.gif">
          <a:extLst>
            <a:ext uri="{FF2B5EF4-FFF2-40B4-BE49-F238E27FC236}">
              <a16:creationId xmlns:a16="http://schemas.microsoft.com/office/drawing/2014/main" id="{D0346F55-9CED-4F6F-8011-55351680F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0" name="Picture 269" descr="https://mail.google.com/mail/u/0/images/cleardot.gif">
          <a:extLst>
            <a:ext uri="{FF2B5EF4-FFF2-40B4-BE49-F238E27FC236}">
              <a16:creationId xmlns:a16="http://schemas.microsoft.com/office/drawing/2014/main" id="{018694E0-FE21-48A6-80A6-85BBDA556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1" name="Picture 270" descr="https://mail.google.com/mail/u/0/images/cleardot.gif">
          <a:extLst>
            <a:ext uri="{FF2B5EF4-FFF2-40B4-BE49-F238E27FC236}">
              <a16:creationId xmlns:a16="http://schemas.microsoft.com/office/drawing/2014/main" id="{C0385401-BE45-4462-9ECD-BC876AABC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2" name="Picture 271" descr="https://mail.google.com/mail/u/0/images/cleardot.gif">
          <a:extLst>
            <a:ext uri="{FF2B5EF4-FFF2-40B4-BE49-F238E27FC236}">
              <a16:creationId xmlns:a16="http://schemas.microsoft.com/office/drawing/2014/main" id="{BD0BBE37-9D6E-4974-B31E-5D2DD903D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3" name="Picture 272" descr="https://mail.google.com/mail/u/0/images/cleardot.gif">
          <a:extLst>
            <a:ext uri="{FF2B5EF4-FFF2-40B4-BE49-F238E27FC236}">
              <a16:creationId xmlns:a16="http://schemas.microsoft.com/office/drawing/2014/main" id="{2AF6D77F-3C9D-4D64-A2FE-0553F6B67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4" name="Picture 273" descr="https://mail.google.com/mail/u/0/images/cleardot.gif">
          <a:extLst>
            <a:ext uri="{FF2B5EF4-FFF2-40B4-BE49-F238E27FC236}">
              <a16:creationId xmlns:a16="http://schemas.microsoft.com/office/drawing/2014/main" id="{B618284F-5190-4ED4-8780-FE75230FC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5" name="Picture 274" descr="https://mail.google.com/mail/u/0/images/cleardot.gif">
          <a:extLst>
            <a:ext uri="{FF2B5EF4-FFF2-40B4-BE49-F238E27FC236}">
              <a16:creationId xmlns:a16="http://schemas.microsoft.com/office/drawing/2014/main" id="{88A93C03-596D-44C3-8018-09C9794F2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6" name="Picture 275" descr="https://mail.google.com/mail/u/0/images/cleardot.gif">
          <a:extLst>
            <a:ext uri="{FF2B5EF4-FFF2-40B4-BE49-F238E27FC236}">
              <a16:creationId xmlns:a16="http://schemas.microsoft.com/office/drawing/2014/main" id="{5B2D3DF9-FD00-4DBC-842B-3BE598F2F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7" name="Picture 276" descr="https://mail.google.com/mail/u/0/images/cleardot.gif">
          <a:extLst>
            <a:ext uri="{FF2B5EF4-FFF2-40B4-BE49-F238E27FC236}">
              <a16:creationId xmlns:a16="http://schemas.microsoft.com/office/drawing/2014/main" id="{09614CD0-28B7-4983-9834-55687A713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8" name="Picture 277" descr="https://mail.google.com/mail/u/0/images/cleardot.gif">
          <a:extLst>
            <a:ext uri="{FF2B5EF4-FFF2-40B4-BE49-F238E27FC236}">
              <a16:creationId xmlns:a16="http://schemas.microsoft.com/office/drawing/2014/main" id="{B9040904-C216-4858-97A4-6BA2C433C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9" name="Picture 278" descr="https://mail.google.com/mail/u/0/images/cleardot.gif">
          <a:extLst>
            <a:ext uri="{FF2B5EF4-FFF2-40B4-BE49-F238E27FC236}">
              <a16:creationId xmlns:a16="http://schemas.microsoft.com/office/drawing/2014/main" id="{90163B26-41B4-4B96-AE21-49BD9C43D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80" name="Picture 279" descr="https://mail.google.com/mail/u/0/images/cleardot.gif">
          <a:extLst>
            <a:ext uri="{FF2B5EF4-FFF2-40B4-BE49-F238E27FC236}">
              <a16:creationId xmlns:a16="http://schemas.microsoft.com/office/drawing/2014/main" id="{723A77EA-DCA3-4154-9A65-2D2E5C0E8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81" name="Picture 280" descr="https://mail.google.com/mail/u/0/images/cleardot.gif">
          <a:extLst>
            <a:ext uri="{FF2B5EF4-FFF2-40B4-BE49-F238E27FC236}">
              <a16:creationId xmlns:a16="http://schemas.microsoft.com/office/drawing/2014/main" id="{F9E69C6D-6AD8-4FEA-A44B-9039F6438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2876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23</xdr:row>
      <xdr:rowOff>0</xdr:rowOff>
    </xdr:from>
    <xdr:ext cx="12700" cy="12700"/>
    <xdr:pic>
      <xdr:nvPicPr>
        <xdr:cNvPr id="2" name="Picture 1" descr="https://mail.google.com/mail/u/0/images/cleardot.gif">
          <a:extLst>
            <a:ext uri="{FF2B5EF4-FFF2-40B4-BE49-F238E27FC236}">
              <a16:creationId xmlns:a16="http://schemas.microsoft.com/office/drawing/2014/main" id="{BE3FA77D-F2CB-4F95-A02D-AA15D132D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3" name="Picture 2" descr="https://mail.google.com/mail/u/0/images/cleardot.gif">
          <a:extLst>
            <a:ext uri="{FF2B5EF4-FFF2-40B4-BE49-F238E27FC236}">
              <a16:creationId xmlns:a16="http://schemas.microsoft.com/office/drawing/2014/main" id="{01C5F54A-34C9-4DA3-A0A9-5A15867A9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4" name="Picture 3" descr="https://mail.google.com/mail/u/0/images/cleardot.gif">
          <a:extLst>
            <a:ext uri="{FF2B5EF4-FFF2-40B4-BE49-F238E27FC236}">
              <a16:creationId xmlns:a16="http://schemas.microsoft.com/office/drawing/2014/main" id="{FEBBC74D-E86C-4AEB-97CA-22BBB10FD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5" name="Picture 4" descr="https://mail.google.com/mail/u/0/images/cleardot.gif">
          <a:extLst>
            <a:ext uri="{FF2B5EF4-FFF2-40B4-BE49-F238E27FC236}">
              <a16:creationId xmlns:a16="http://schemas.microsoft.com/office/drawing/2014/main" id="{916CAE45-C1B3-4167-96E0-5582FC46E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6" name="Picture 5" descr="https://mail.google.com/mail/u/0/images/cleardot.gif">
          <a:extLst>
            <a:ext uri="{FF2B5EF4-FFF2-40B4-BE49-F238E27FC236}">
              <a16:creationId xmlns:a16="http://schemas.microsoft.com/office/drawing/2014/main" id="{16CCEA30-F57A-481C-B728-3D688C69A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7" name="Picture 6" descr="https://mail.google.com/mail/u/0/images/cleardot.gif">
          <a:extLst>
            <a:ext uri="{FF2B5EF4-FFF2-40B4-BE49-F238E27FC236}">
              <a16:creationId xmlns:a16="http://schemas.microsoft.com/office/drawing/2014/main" id="{045DF0EE-1419-4A0C-83E4-3B9CF697E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8" name="Picture 7" descr="https://mail.google.com/mail/u/0/images/cleardot.gif">
          <a:extLst>
            <a:ext uri="{FF2B5EF4-FFF2-40B4-BE49-F238E27FC236}">
              <a16:creationId xmlns:a16="http://schemas.microsoft.com/office/drawing/2014/main" id="{520E7362-1A9D-4734-B9CD-E1ABD7362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9" name="Picture 8" descr="https://mail.google.com/mail/u/0/images/cleardot.gif">
          <a:extLst>
            <a:ext uri="{FF2B5EF4-FFF2-40B4-BE49-F238E27FC236}">
              <a16:creationId xmlns:a16="http://schemas.microsoft.com/office/drawing/2014/main" id="{C1F7C766-318C-4093-8692-85F0E00F8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0" name="Picture 9" descr="https://mail.google.com/mail/u/0/images/cleardot.gif">
          <a:extLst>
            <a:ext uri="{FF2B5EF4-FFF2-40B4-BE49-F238E27FC236}">
              <a16:creationId xmlns:a16="http://schemas.microsoft.com/office/drawing/2014/main" id="{FFB85D36-98D9-4850-B3F5-D504DD72C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1" name="Picture 10" descr="https://mail.google.com/mail/u/0/images/cleardot.gif">
          <a:extLst>
            <a:ext uri="{FF2B5EF4-FFF2-40B4-BE49-F238E27FC236}">
              <a16:creationId xmlns:a16="http://schemas.microsoft.com/office/drawing/2014/main" id="{9643F222-243F-4098-84E3-F117211ED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2" name="Picture 11" descr="https://mail.google.com/mail/u/0/images/cleardot.gif">
          <a:extLst>
            <a:ext uri="{FF2B5EF4-FFF2-40B4-BE49-F238E27FC236}">
              <a16:creationId xmlns:a16="http://schemas.microsoft.com/office/drawing/2014/main" id="{C67F3846-40FE-4B3C-BE05-A515A6EBB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3" name="Picture 12" descr="https://mail.google.com/mail/u/0/images/cleardot.gif">
          <a:extLst>
            <a:ext uri="{FF2B5EF4-FFF2-40B4-BE49-F238E27FC236}">
              <a16:creationId xmlns:a16="http://schemas.microsoft.com/office/drawing/2014/main" id="{ECDE2D22-6E3B-4B8F-A0A4-2CCDB6657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4" name="Picture 13" descr="https://mail.google.com/mail/u/0/images/cleardot.gif">
          <a:extLst>
            <a:ext uri="{FF2B5EF4-FFF2-40B4-BE49-F238E27FC236}">
              <a16:creationId xmlns:a16="http://schemas.microsoft.com/office/drawing/2014/main" id="{3CB491E0-5228-4677-AA7D-58942C2F1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5" name="Picture 14" descr="https://mail.google.com/mail/u/0/images/cleardot.gif">
          <a:extLst>
            <a:ext uri="{FF2B5EF4-FFF2-40B4-BE49-F238E27FC236}">
              <a16:creationId xmlns:a16="http://schemas.microsoft.com/office/drawing/2014/main" id="{8D0DEA4D-6933-42F9-9E18-E4C684A9D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6" name="Picture 15" descr="https://mail.google.com/mail/u/0/images/cleardot.gif">
          <a:extLst>
            <a:ext uri="{FF2B5EF4-FFF2-40B4-BE49-F238E27FC236}">
              <a16:creationId xmlns:a16="http://schemas.microsoft.com/office/drawing/2014/main" id="{7274B0F9-D888-4529-8EE5-5092DA67E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7" name="Picture 16" descr="https://mail.google.com/mail/u/0/images/cleardot.gif">
          <a:extLst>
            <a:ext uri="{FF2B5EF4-FFF2-40B4-BE49-F238E27FC236}">
              <a16:creationId xmlns:a16="http://schemas.microsoft.com/office/drawing/2014/main" id="{92E75DB7-23A0-4F8D-924B-253475CA5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8" name="Picture 17" descr="https://mail.google.com/mail/u/0/images/cleardot.gif">
          <a:extLst>
            <a:ext uri="{FF2B5EF4-FFF2-40B4-BE49-F238E27FC236}">
              <a16:creationId xmlns:a16="http://schemas.microsoft.com/office/drawing/2014/main" id="{2BBBBBFD-43BE-4C12-82F7-5169226F8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9" name="Picture 18" descr="https://mail.google.com/mail/u/0/images/cleardot.gif">
          <a:extLst>
            <a:ext uri="{FF2B5EF4-FFF2-40B4-BE49-F238E27FC236}">
              <a16:creationId xmlns:a16="http://schemas.microsoft.com/office/drawing/2014/main" id="{7ECE9C92-6949-478C-B356-540FCE768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0" name="Picture 19" descr="https://mail.google.com/mail/u/0/images/cleardot.gif">
          <a:extLst>
            <a:ext uri="{FF2B5EF4-FFF2-40B4-BE49-F238E27FC236}">
              <a16:creationId xmlns:a16="http://schemas.microsoft.com/office/drawing/2014/main" id="{62F2B25A-9756-4D2C-BF91-12C115BB5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1" name="Picture 20" descr="https://mail.google.com/mail/u/0/images/cleardot.gif">
          <a:extLst>
            <a:ext uri="{FF2B5EF4-FFF2-40B4-BE49-F238E27FC236}">
              <a16:creationId xmlns:a16="http://schemas.microsoft.com/office/drawing/2014/main" id="{1D5321B8-4CBD-4F2E-9BEE-4C1DDEE0A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2" name="Picture 21" descr="https://mail.google.com/mail/u/0/images/cleardot.gif">
          <a:extLst>
            <a:ext uri="{FF2B5EF4-FFF2-40B4-BE49-F238E27FC236}">
              <a16:creationId xmlns:a16="http://schemas.microsoft.com/office/drawing/2014/main" id="{A1975DC4-0617-4CF5-AFC1-10C42A70D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3" name="Picture 22" descr="https://mail.google.com/mail/u/0/images/cleardot.gif">
          <a:extLst>
            <a:ext uri="{FF2B5EF4-FFF2-40B4-BE49-F238E27FC236}">
              <a16:creationId xmlns:a16="http://schemas.microsoft.com/office/drawing/2014/main" id="{3910F341-6564-4360-B4A8-8B2F5CCD1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4" name="Picture 23" descr="https://mail.google.com/mail/u/0/images/cleardot.gif">
          <a:extLst>
            <a:ext uri="{FF2B5EF4-FFF2-40B4-BE49-F238E27FC236}">
              <a16:creationId xmlns:a16="http://schemas.microsoft.com/office/drawing/2014/main" id="{9FE39CDF-6E10-44A7-ACD4-B939DEE6C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5" name="Picture 24" descr="https://mail.google.com/mail/u/0/images/cleardot.gif">
          <a:extLst>
            <a:ext uri="{FF2B5EF4-FFF2-40B4-BE49-F238E27FC236}">
              <a16:creationId xmlns:a16="http://schemas.microsoft.com/office/drawing/2014/main" id="{8558861D-AD2E-4EE2-824C-D8E76799D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6" name="Picture 25" descr="https://mail.google.com/mail/u/0/images/cleardot.gif">
          <a:extLst>
            <a:ext uri="{FF2B5EF4-FFF2-40B4-BE49-F238E27FC236}">
              <a16:creationId xmlns:a16="http://schemas.microsoft.com/office/drawing/2014/main" id="{4FF81D73-4C96-4988-8217-9902E5356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7" name="Picture 26" descr="https://mail.google.com/mail/u/0/images/cleardot.gif">
          <a:extLst>
            <a:ext uri="{FF2B5EF4-FFF2-40B4-BE49-F238E27FC236}">
              <a16:creationId xmlns:a16="http://schemas.microsoft.com/office/drawing/2014/main" id="{5B187B3B-C6E3-426B-842E-0008821D3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8" name="Picture 27" descr="https://mail.google.com/mail/u/0/images/cleardot.gif">
          <a:extLst>
            <a:ext uri="{FF2B5EF4-FFF2-40B4-BE49-F238E27FC236}">
              <a16:creationId xmlns:a16="http://schemas.microsoft.com/office/drawing/2014/main" id="{8E3F7981-41CB-4B5A-838F-0B400E477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9" name="Picture 28" descr="https://mail.google.com/mail/u/0/images/cleardot.gif">
          <a:extLst>
            <a:ext uri="{FF2B5EF4-FFF2-40B4-BE49-F238E27FC236}">
              <a16:creationId xmlns:a16="http://schemas.microsoft.com/office/drawing/2014/main" id="{7FCCD4C6-0E22-4DC4-86C9-A44897344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30" name="Picture 29" descr="https://mail.google.com/mail/u/0/images/cleardot.gif">
          <a:extLst>
            <a:ext uri="{FF2B5EF4-FFF2-40B4-BE49-F238E27FC236}">
              <a16:creationId xmlns:a16="http://schemas.microsoft.com/office/drawing/2014/main" id="{64BD408F-77AD-4B6A-BD33-4AD7B3D5D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31" name="Picture 30" descr="https://mail.google.com/mail/u/0/images/cleardot.gif">
          <a:extLst>
            <a:ext uri="{FF2B5EF4-FFF2-40B4-BE49-F238E27FC236}">
              <a16:creationId xmlns:a16="http://schemas.microsoft.com/office/drawing/2014/main" id="{096A4A36-EB89-4605-AFEA-D029B9629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32" name="Picture 31" descr="https://mail.google.com/mail/u/0/images/cleardot.gif">
          <a:extLst>
            <a:ext uri="{FF2B5EF4-FFF2-40B4-BE49-F238E27FC236}">
              <a16:creationId xmlns:a16="http://schemas.microsoft.com/office/drawing/2014/main" id="{CCF7E896-3F26-463A-8569-9CBF1C033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33" name="Picture 32" descr="https://mail.google.com/mail/u/0/images/cleardot.gif">
          <a:extLst>
            <a:ext uri="{FF2B5EF4-FFF2-40B4-BE49-F238E27FC236}">
              <a16:creationId xmlns:a16="http://schemas.microsoft.com/office/drawing/2014/main" id="{D9027C2E-B245-462E-8A08-32E2FBD80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34" name="Picture 33" descr="https://mail.google.com/mail/u/0/images/cleardot.gif">
          <a:extLst>
            <a:ext uri="{FF2B5EF4-FFF2-40B4-BE49-F238E27FC236}">
              <a16:creationId xmlns:a16="http://schemas.microsoft.com/office/drawing/2014/main" id="{39702BBD-32D9-4ED0-BACA-530C88E64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35" name="Picture 34" descr="https://mail.google.com/mail/u/0/images/cleardot.gif">
          <a:extLst>
            <a:ext uri="{FF2B5EF4-FFF2-40B4-BE49-F238E27FC236}">
              <a16:creationId xmlns:a16="http://schemas.microsoft.com/office/drawing/2014/main" id="{324911BD-01C7-4A0A-8373-C3F9C02A6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36" name="Picture 35" descr="https://mail.google.com/mail/u/0/images/cleardot.gif">
          <a:extLst>
            <a:ext uri="{FF2B5EF4-FFF2-40B4-BE49-F238E27FC236}">
              <a16:creationId xmlns:a16="http://schemas.microsoft.com/office/drawing/2014/main" id="{ADF20520-9792-4A0F-AE27-213AEB966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37" name="Picture 36" descr="https://mail.google.com/mail/u/0/images/cleardot.gif">
          <a:extLst>
            <a:ext uri="{FF2B5EF4-FFF2-40B4-BE49-F238E27FC236}">
              <a16:creationId xmlns:a16="http://schemas.microsoft.com/office/drawing/2014/main" id="{D4529196-526A-4A0E-910E-F0E3D3D50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38" name="Picture 37" descr="https://mail.google.com/mail/u/0/images/cleardot.gif">
          <a:extLst>
            <a:ext uri="{FF2B5EF4-FFF2-40B4-BE49-F238E27FC236}">
              <a16:creationId xmlns:a16="http://schemas.microsoft.com/office/drawing/2014/main" id="{A2707BCC-0971-4F42-969C-E8472B968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39" name="Picture 38" descr="https://mail.google.com/mail/u/0/images/cleardot.gif">
          <a:extLst>
            <a:ext uri="{FF2B5EF4-FFF2-40B4-BE49-F238E27FC236}">
              <a16:creationId xmlns:a16="http://schemas.microsoft.com/office/drawing/2014/main" id="{6C6831FC-3E3F-46C1-B4F9-220613B2C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40" name="Picture 39" descr="https://mail.google.com/mail/u/0/images/cleardot.gif">
          <a:extLst>
            <a:ext uri="{FF2B5EF4-FFF2-40B4-BE49-F238E27FC236}">
              <a16:creationId xmlns:a16="http://schemas.microsoft.com/office/drawing/2014/main" id="{C607B35E-55A4-4A27-94C5-01F10D255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41" name="Picture 40" descr="https://mail.google.com/mail/u/0/images/cleardot.gif">
          <a:extLst>
            <a:ext uri="{FF2B5EF4-FFF2-40B4-BE49-F238E27FC236}">
              <a16:creationId xmlns:a16="http://schemas.microsoft.com/office/drawing/2014/main" id="{AD07A0B9-BCBB-49D2-B1D5-3411998DF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42" name="Picture 41" descr="https://mail.google.com/mail/u/0/images/cleardot.gif">
          <a:extLst>
            <a:ext uri="{FF2B5EF4-FFF2-40B4-BE49-F238E27FC236}">
              <a16:creationId xmlns:a16="http://schemas.microsoft.com/office/drawing/2014/main" id="{33F6D42C-D462-4E01-9138-86387E283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43" name="Picture 42" descr="https://mail.google.com/mail/u/0/images/cleardot.gif">
          <a:extLst>
            <a:ext uri="{FF2B5EF4-FFF2-40B4-BE49-F238E27FC236}">
              <a16:creationId xmlns:a16="http://schemas.microsoft.com/office/drawing/2014/main" id="{377D6A7C-9AA1-4AD3-A03A-31EA4A0BB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44" name="Picture 43" descr="https://mail.google.com/mail/u/0/images/cleardot.gif">
          <a:extLst>
            <a:ext uri="{FF2B5EF4-FFF2-40B4-BE49-F238E27FC236}">
              <a16:creationId xmlns:a16="http://schemas.microsoft.com/office/drawing/2014/main" id="{05E3AA69-6E38-4D69-BCDE-F73420322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45" name="Picture 44" descr="https://mail.google.com/mail/u/0/images/cleardot.gif">
          <a:extLst>
            <a:ext uri="{FF2B5EF4-FFF2-40B4-BE49-F238E27FC236}">
              <a16:creationId xmlns:a16="http://schemas.microsoft.com/office/drawing/2014/main" id="{ABF61777-8314-4123-821D-BE6AA7C40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46" name="Picture 45" descr="https://mail.google.com/mail/u/0/images/cleardot.gif">
          <a:extLst>
            <a:ext uri="{FF2B5EF4-FFF2-40B4-BE49-F238E27FC236}">
              <a16:creationId xmlns:a16="http://schemas.microsoft.com/office/drawing/2014/main" id="{5F883FDC-98EB-4E26-B5DC-CA75D8C5F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47" name="Picture 46" descr="https://mail.google.com/mail/u/0/images/cleardot.gif">
          <a:extLst>
            <a:ext uri="{FF2B5EF4-FFF2-40B4-BE49-F238E27FC236}">
              <a16:creationId xmlns:a16="http://schemas.microsoft.com/office/drawing/2014/main" id="{2A088ED6-A8B5-4AB1-B0EE-2247D031F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48" name="Picture 47" descr="https://mail.google.com/mail/u/0/images/cleardot.gif">
          <a:extLst>
            <a:ext uri="{FF2B5EF4-FFF2-40B4-BE49-F238E27FC236}">
              <a16:creationId xmlns:a16="http://schemas.microsoft.com/office/drawing/2014/main" id="{E29B7E86-E487-48F6-A66B-82231E58C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49" name="Picture 48" descr="https://mail.google.com/mail/u/0/images/cleardot.gif">
          <a:extLst>
            <a:ext uri="{FF2B5EF4-FFF2-40B4-BE49-F238E27FC236}">
              <a16:creationId xmlns:a16="http://schemas.microsoft.com/office/drawing/2014/main" id="{58D9A218-8D72-4CD6-8D0E-7F03065EB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50" name="Picture 49" descr="https://mail.google.com/mail/u/0/images/cleardot.gif">
          <a:extLst>
            <a:ext uri="{FF2B5EF4-FFF2-40B4-BE49-F238E27FC236}">
              <a16:creationId xmlns:a16="http://schemas.microsoft.com/office/drawing/2014/main" id="{5679069B-C97E-439F-AB48-F9862BD9E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51" name="Picture 50" descr="https://mail.google.com/mail/u/0/images/cleardot.gif">
          <a:extLst>
            <a:ext uri="{FF2B5EF4-FFF2-40B4-BE49-F238E27FC236}">
              <a16:creationId xmlns:a16="http://schemas.microsoft.com/office/drawing/2014/main" id="{47CFA858-3B13-4F1B-9A95-9D96190ED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52" name="Picture 51" descr="https://mail.google.com/mail/u/0/images/cleardot.gif">
          <a:extLst>
            <a:ext uri="{FF2B5EF4-FFF2-40B4-BE49-F238E27FC236}">
              <a16:creationId xmlns:a16="http://schemas.microsoft.com/office/drawing/2014/main" id="{E894DAAD-2B14-4972-8177-0409DE667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53" name="Picture 52" descr="https://mail.google.com/mail/u/0/images/cleardot.gif">
          <a:extLst>
            <a:ext uri="{FF2B5EF4-FFF2-40B4-BE49-F238E27FC236}">
              <a16:creationId xmlns:a16="http://schemas.microsoft.com/office/drawing/2014/main" id="{78B14808-7C9F-41D9-B7CF-A982F50AE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54" name="Picture 53" descr="https://mail.google.com/mail/u/0/images/cleardot.gif">
          <a:extLst>
            <a:ext uri="{FF2B5EF4-FFF2-40B4-BE49-F238E27FC236}">
              <a16:creationId xmlns:a16="http://schemas.microsoft.com/office/drawing/2014/main" id="{31206841-488F-46B0-BB51-7E6070076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55" name="Picture 54" descr="https://mail.google.com/mail/u/0/images/cleardot.gif">
          <a:extLst>
            <a:ext uri="{FF2B5EF4-FFF2-40B4-BE49-F238E27FC236}">
              <a16:creationId xmlns:a16="http://schemas.microsoft.com/office/drawing/2014/main" id="{23125DA3-9EF1-408C-9472-C62721405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56" name="Picture 55" descr="https://mail.google.com/mail/u/0/images/cleardot.gif">
          <a:extLst>
            <a:ext uri="{FF2B5EF4-FFF2-40B4-BE49-F238E27FC236}">
              <a16:creationId xmlns:a16="http://schemas.microsoft.com/office/drawing/2014/main" id="{2D00FE99-B3A8-4DA9-A46B-2D221ABF9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57" name="Picture 56" descr="https://mail.google.com/mail/u/0/images/cleardot.gif">
          <a:extLst>
            <a:ext uri="{FF2B5EF4-FFF2-40B4-BE49-F238E27FC236}">
              <a16:creationId xmlns:a16="http://schemas.microsoft.com/office/drawing/2014/main" id="{A0649476-245E-4B1B-9AD5-A86B4F5DE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58" name="Picture 57" descr="https://mail.google.com/mail/u/0/images/cleardot.gif">
          <a:extLst>
            <a:ext uri="{FF2B5EF4-FFF2-40B4-BE49-F238E27FC236}">
              <a16:creationId xmlns:a16="http://schemas.microsoft.com/office/drawing/2014/main" id="{D6CB55E8-0B51-493F-8678-E033D2406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59" name="Picture 58" descr="https://mail.google.com/mail/u/0/images/cleardot.gif">
          <a:extLst>
            <a:ext uri="{FF2B5EF4-FFF2-40B4-BE49-F238E27FC236}">
              <a16:creationId xmlns:a16="http://schemas.microsoft.com/office/drawing/2014/main" id="{EE95C178-CBB2-4BB1-B207-115777D51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60" name="Picture 59" descr="https://mail.google.com/mail/u/0/images/cleardot.gif">
          <a:extLst>
            <a:ext uri="{FF2B5EF4-FFF2-40B4-BE49-F238E27FC236}">
              <a16:creationId xmlns:a16="http://schemas.microsoft.com/office/drawing/2014/main" id="{FF7D39E0-AD22-42CD-A9DC-1FA826AAD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61" name="Picture 60" descr="https://mail.google.com/mail/u/0/images/cleardot.gif">
          <a:extLst>
            <a:ext uri="{FF2B5EF4-FFF2-40B4-BE49-F238E27FC236}">
              <a16:creationId xmlns:a16="http://schemas.microsoft.com/office/drawing/2014/main" id="{347CFA81-083E-4F16-A727-463948BE4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62" name="Picture 61" descr="https://mail.google.com/mail/u/0/images/cleardot.gif">
          <a:extLst>
            <a:ext uri="{FF2B5EF4-FFF2-40B4-BE49-F238E27FC236}">
              <a16:creationId xmlns:a16="http://schemas.microsoft.com/office/drawing/2014/main" id="{F31C2D03-2900-4D49-BA0C-DB0A3E068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63" name="Picture 62" descr="https://mail.google.com/mail/u/0/images/cleardot.gif">
          <a:extLst>
            <a:ext uri="{FF2B5EF4-FFF2-40B4-BE49-F238E27FC236}">
              <a16:creationId xmlns:a16="http://schemas.microsoft.com/office/drawing/2014/main" id="{F96FC782-DC28-42D8-8646-DC7EF60FB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64" name="Picture 63" descr="https://mail.google.com/mail/u/0/images/cleardot.gif">
          <a:extLst>
            <a:ext uri="{FF2B5EF4-FFF2-40B4-BE49-F238E27FC236}">
              <a16:creationId xmlns:a16="http://schemas.microsoft.com/office/drawing/2014/main" id="{632B3FB2-7217-47FB-A9AC-880549871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65" name="Picture 64" descr="https://mail.google.com/mail/u/0/images/cleardot.gif">
          <a:extLst>
            <a:ext uri="{FF2B5EF4-FFF2-40B4-BE49-F238E27FC236}">
              <a16:creationId xmlns:a16="http://schemas.microsoft.com/office/drawing/2014/main" id="{ADDF9793-90D3-4F1A-B603-EC8218931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66" name="Picture 65" descr="https://mail.google.com/mail/u/0/images/cleardot.gif">
          <a:extLst>
            <a:ext uri="{FF2B5EF4-FFF2-40B4-BE49-F238E27FC236}">
              <a16:creationId xmlns:a16="http://schemas.microsoft.com/office/drawing/2014/main" id="{1203B7E1-5E65-479A-B49D-941634C7D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67" name="Picture 66" descr="https://mail.google.com/mail/u/0/images/cleardot.gif">
          <a:extLst>
            <a:ext uri="{FF2B5EF4-FFF2-40B4-BE49-F238E27FC236}">
              <a16:creationId xmlns:a16="http://schemas.microsoft.com/office/drawing/2014/main" id="{AEFAC4E2-260B-49DE-9DA6-5E76F81BA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68" name="Picture 67" descr="https://mail.google.com/mail/u/0/images/cleardot.gif">
          <a:extLst>
            <a:ext uri="{FF2B5EF4-FFF2-40B4-BE49-F238E27FC236}">
              <a16:creationId xmlns:a16="http://schemas.microsoft.com/office/drawing/2014/main" id="{B20973F2-9A32-484F-8F85-095D69A00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69" name="Picture 68" descr="https://mail.google.com/mail/u/0/images/cleardot.gif">
          <a:extLst>
            <a:ext uri="{FF2B5EF4-FFF2-40B4-BE49-F238E27FC236}">
              <a16:creationId xmlns:a16="http://schemas.microsoft.com/office/drawing/2014/main" id="{B046F596-8C74-464C-A59A-87B53BFCA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70" name="Picture 69" descr="https://mail.google.com/mail/u/0/images/cleardot.gif">
          <a:extLst>
            <a:ext uri="{FF2B5EF4-FFF2-40B4-BE49-F238E27FC236}">
              <a16:creationId xmlns:a16="http://schemas.microsoft.com/office/drawing/2014/main" id="{18156E97-629C-4422-9661-EA2FEE06B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71" name="Picture 70" descr="https://mail.google.com/mail/u/0/images/cleardot.gif">
          <a:extLst>
            <a:ext uri="{FF2B5EF4-FFF2-40B4-BE49-F238E27FC236}">
              <a16:creationId xmlns:a16="http://schemas.microsoft.com/office/drawing/2014/main" id="{19838894-AC9C-42EE-A168-308C16C4F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72" name="Picture 71" descr="https://mail.google.com/mail/u/0/images/cleardot.gif">
          <a:extLst>
            <a:ext uri="{FF2B5EF4-FFF2-40B4-BE49-F238E27FC236}">
              <a16:creationId xmlns:a16="http://schemas.microsoft.com/office/drawing/2014/main" id="{9FE6475B-8B91-4F58-B256-D7A8AD66C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73" name="Picture 72" descr="https://mail.google.com/mail/u/0/images/cleardot.gif">
          <a:extLst>
            <a:ext uri="{FF2B5EF4-FFF2-40B4-BE49-F238E27FC236}">
              <a16:creationId xmlns:a16="http://schemas.microsoft.com/office/drawing/2014/main" id="{CF69932B-918E-4906-A507-29360121F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74" name="Picture 73" descr="https://mail.google.com/mail/u/0/images/cleardot.gif">
          <a:extLst>
            <a:ext uri="{FF2B5EF4-FFF2-40B4-BE49-F238E27FC236}">
              <a16:creationId xmlns:a16="http://schemas.microsoft.com/office/drawing/2014/main" id="{9AECB556-C8B5-4ABB-97BB-68B69204F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75" name="Picture 74" descr="https://mail.google.com/mail/u/0/images/cleardot.gif">
          <a:extLst>
            <a:ext uri="{FF2B5EF4-FFF2-40B4-BE49-F238E27FC236}">
              <a16:creationId xmlns:a16="http://schemas.microsoft.com/office/drawing/2014/main" id="{9BEB41B7-6157-42F6-84BA-3D9188BF9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76" name="Picture 75" descr="https://mail.google.com/mail/u/0/images/cleardot.gif">
          <a:extLst>
            <a:ext uri="{FF2B5EF4-FFF2-40B4-BE49-F238E27FC236}">
              <a16:creationId xmlns:a16="http://schemas.microsoft.com/office/drawing/2014/main" id="{80DF8BDE-65ED-4424-A008-6BF7E20C4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77" name="Picture 76" descr="https://mail.google.com/mail/u/0/images/cleardot.gif">
          <a:extLst>
            <a:ext uri="{FF2B5EF4-FFF2-40B4-BE49-F238E27FC236}">
              <a16:creationId xmlns:a16="http://schemas.microsoft.com/office/drawing/2014/main" id="{97B045FA-65C6-4DA3-92F3-AAB48FD45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78" name="Picture 77" descr="https://mail.google.com/mail/u/0/images/cleardot.gif">
          <a:extLst>
            <a:ext uri="{FF2B5EF4-FFF2-40B4-BE49-F238E27FC236}">
              <a16:creationId xmlns:a16="http://schemas.microsoft.com/office/drawing/2014/main" id="{B24BA2B8-F7C5-4675-AE04-3F048E29E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79" name="Picture 78" descr="https://mail.google.com/mail/u/0/images/cleardot.gif">
          <a:extLst>
            <a:ext uri="{FF2B5EF4-FFF2-40B4-BE49-F238E27FC236}">
              <a16:creationId xmlns:a16="http://schemas.microsoft.com/office/drawing/2014/main" id="{E9A041C8-4AD8-4630-BB72-F78C0060B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80" name="Picture 79" descr="https://mail.google.com/mail/u/0/images/cleardot.gif">
          <a:extLst>
            <a:ext uri="{FF2B5EF4-FFF2-40B4-BE49-F238E27FC236}">
              <a16:creationId xmlns:a16="http://schemas.microsoft.com/office/drawing/2014/main" id="{BE8E796E-6F13-4DB6-B3A2-EF64BDCC7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81" name="Picture 80" descr="https://mail.google.com/mail/u/0/images/cleardot.gif">
          <a:extLst>
            <a:ext uri="{FF2B5EF4-FFF2-40B4-BE49-F238E27FC236}">
              <a16:creationId xmlns:a16="http://schemas.microsoft.com/office/drawing/2014/main" id="{83513AA1-5911-4E95-AF83-366277DA3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82" name="Picture 81" descr="https://mail.google.com/mail/u/0/images/cleardot.gif">
          <a:extLst>
            <a:ext uri="{FF2B5EF4-FFF2-40B4-BE49-F238E27FC236}">
              <a16:creationId xmlns:a16="http://schemas.microsoft.com/office/drawing/2014/main" id="{ABDF6934-8793-4FB1-8729-BE1DC9B7B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83" name="Picture 82" descr="https://mail.google.com/mail/u/0/images/cleardot.gif">
          <a:extLst>
            <a:ext uri="{FF2B5EF4-FFF2-40B4-BE49-F238E27FC236}">
              <a16:creationId xmlns:a16="http://schemas.microsoft.com/office/drawing/2014/main" id="{44D79524-7C71-4D87-A9B8-D6E7FCEED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84" name="Picture 83" descr="https://mail.google.com/mail/u/0/images/cleardot.gif">
          <a:extLst>
            <a:ext uri="{FF2B5EF4-FFF2-40B4-BE49-F238E27FC236}">
              <a16:creationId xmlns:a16="http://schemas.microsoft.com/office/drawing/2014/main" id="{73F649E5-28EF-43E6-ABA5-1F55E7992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85" name="Picture 84" descr="https://mail.google.com/mail/u/0/images/cleardot.gif">
          <a:extLst>
            <a:ext uri="{FF2B5EF4-FFF2-40B4-BE49-F238E27FC236}">
              <a16:creationId xmlns:a16="http://schemas.microsoft.com/office/drawing/2014/main" id="{54E11087-BFAA-45CF-9E09-08EFA55E8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86" name="Picture 85" descr="https://mail.google.com/mail/u/0/images/cleardot.gif">
          <a:extLst>
            <a:ext uri="{FF2B5EF4-FFF2-40B4-BE49-F238E27FC236}">
              <a16:creationId xmlns:a16="http://schemas.microsoft.com/office/drawing/2014/main" id="{D9146351-99F6-4B0F-9165-6C9A34381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87" name="Picture 86" descr="https://mail.google.com/mail/u/0/images/cleardot.gif">
          <a:extLst>
            <a:ext uri="{FF2B5EF4-FFF2-40B4-BE49-F238E27FC236}">
              <a16:creationId xmlns:a16="http://schemas.microsoft.com/office/drawing/2014/main" id="{E4A671E6-694D-4D2F-A24E-4E74C4739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88" name="Picture 87" descr="https://mail.google.com/mail/u/0/images/cleardot.gif">
          <a:extLst>
            <a:ext uri="{FF2B5EF4-FFF2-40B4-BE49-F238E27FC236}">
              <a16:creationId xmlns:a16="http://schemas.microsoft.com/office/drawing/2014/main" id="{CA5AEBD6-95CB-4853-8A8C-0DC27920C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89" name="Picture 88" descr="https://mail.google.com/mail/u/0/images/cleardot.gif">
          <a:extLst>
            <a:ext uri="{FF2B5EF4-FFF2-40B4-BE49-F238E27FC236}">
              <a16:creationId xmlns:a16="http://schemas.microsoft.com/office/drawing/2014/main" id="{675D8A97-80F8-45AA-A6A4-E7B257304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90" name="Picture 89" descr="https://mail.google.com/mail/u/0/images/cleardot.gif">
          <a:extLst>
            <a:ext uri="{FF2B5EF4-FFF2-40B4-BE49-F238E27FC236}">
              <a16:creationId xmlns:a16="http://schemas.microsoft.com/office/drawing/2014/main" id="{F3719004-5D81-48C8-8708-52D896BCB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91" name="Picture 90" descr="https://mail.google.com/mail/u/0/images/cleardot.gif">
          <a:extLst>
            <a:ext uri="{FF2B5EF4-FFF2-40B4-BE49-F238E27FC236}">
              <a16:creationId xmlns:a16="http://schemas.microsoft.com/office/drawing/2014/main" id="{E4A9CE49-4143-44DB-B5A7-16CF045DE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92" name="Picture 91" descr="https://mail.google.com/mail/u/0/images/cleardot.gif">
          <a:extLst>
            <a:ext uri="{FF2B5EF4-FFF2-40B4-BE49-F238E27FC236}">
              <a16:creationId xmlns:a16="http://schemas.microsoft.com/office/drawing/2014/main" id="{B4A747C5-90F2-4E87-BDEE-A7016FEC6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93" name="Picture 92" descr="https://mail.google.com/mail/u/0/images/cleardot.gif">
          <a:extLst>
            <a:ext uri="{FF2B5EF4-FFF2-40B4-BE49-F238E27FC236}">
              <a16:creationId xmlns:a16="http://schemas.microsoft.com/office/drawing/2014/main" id="{5F6813A2-FF71-4D26-9DD4-D23835F31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94" name="Picture 93" descr="https://mail.google.com/mail/u/0/images/cleardot.gif">
          <a:extLst>
            <a:ext uri="{FF2B5EF4-FFF2-40B4-BE49-F238E27FC236}">
              <a16:creationId xmlns:a16="http://schemas.microsoft.com/office/drawing/2014/main" id="{6D86D950-1FCF-4BBD-AB95-14864C6D0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95" name="Picture 94" descr="https://mail.google.com/mail/u/0/images/cleardot.gif">
          <a:extLst>
            <a:ext uri="{FF2B5EF4-FFF2-40B4-BE49-F238E27FC236}">
              <a16:creationId xmlns:a16="http://schemas.microsoft.com/office/drawing/2014/main" id="{6BDC22D4-FC78-4077-B7A6-7E9E77E65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96" name="Picture 95" descr="https://mail.google.com/mail/u/0/images/cleardot.gif">
          <a:extLst>
            <a:ext uri="{FF2B5EF4-FFF2-40B4-BE49-F238E27FC236}">
              <a16:creationId xmlns:a16="http://schemas.microsoft.com/office/drawing/2014/main" id="{5F1FEFCB-9D78-424D-9EDD-0AD956742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97" name="Picture 96" descr="https://mail.google.com/mail/u/0/images/cleardot.gif">
          <a:extLst>
            <a:ext uri="{FF2B5EF4-FFF2-40B4-BE49-F238E27FC236}">
              <a16:creationId xmlns:a16="http://schemas.microsoft.com/office/drawing/2014/main" id="{B7711CEB-F3AB-4CFB-80D6-03DC25AA0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98" name="Picture 97" descr="https://mail.google.com/mail/u/0/images/cleardot.gif">
          <a:extLst>
            <a:ext uri="{FF2B5EF4-FFF2-40B4-BE49-F238E27FC236}">
              <a16:creationId xmlns:a16="http://schemas.microsoft.com/office/drawing/2014/main" id="{D999DDCD-B885-4FEC-8054-B7A223CDF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99" name="Picture 98" descr="https://mail.google.com/mail/u/0/images/cleardot.gif">
          <a:extLst>
            <a:ext uri="{FF2B5EF4-FFF2-40B4-BE49-F238E27FC236}">
              <a16:creationId xmlns:a16="http://schemas.microsoft.com/office/drawing/2014/main" id="{DC93AE33-6903-433F-80EF-0D6E181D2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00" name="Picture 99" descr="https://mail.google.com/mail/u/0/images/cleardot.gif">
          <a:extLst>
            <a:ext uri="{FF2B5EF4-FFF2-40B4-BE49-F238E27FC236}">
              <a16:creationId xmlns:a16="http://schemas.microsoft.com/office/drawing/2014/main" id="{8BB915B4-93A1-4B0A-AA0F-810A23DC8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01" name="Picture 100" descr="https://mail.google.com/mail/u/0/images/cleardot.gif">
          <a:extLst>
            <a:ext uri="{FF2B5EF4-FFF2-40B4-BE49-F238E27FC236}">
              <a16:creationId xmlns:a16="http://schemas.microsoft.com/office/drawing/2014/main" id="{DA39DFCA-A308-471D-8746-060ABCE84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02" name="Picture 101" descr="https://mail.google.com/mail/u/0/images/cleardot.gif">
          <a:extLst>
            <a:ext uri="{FF2B5EF4-FFF2-40B4-BE49-F238E27FC236}">
              <a16:creationId xmlns:a16="http://schemas.microsoft.com/office/drawing/2014/main" id="{5FFCA685-8FF0-461B-B8CA-240FDA994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03" name="Picture 102" descr="https://mail.google.com/mail/u/0/images/cleardot.gif">
          <a:extLst>
            <a:ext uri="{FF2B5EF4-FFF2-40B4-BE49-F238E27FC236}">
              <a16:creationId xmlns:a16="http://schemas.microsoft.com/office/drawing/2014/main" id="{C941C426-80D2-47FF-9A1F-017EB1ECC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04" name="Picture 103" descr="https://mail.google.com/mail/u/0/images/cleardot.gif">
          <a:extLst>
            <a:ext uri="{FF2B5EF4-FFF2-40B4-BE49-F238E27FC236}">
              <a16:creationId xmlns:a16="http://schemas.microsoft.com/office/drawing/2014/main" id="{159AFF11-D5C6-43D4-BB09-F89DEF371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05" name="Picture 104" descr="https://mail.google.com/mail/u/0/images/cleardot.gif">
          <a:extLst>
            <a:ext uri="{FF2B5EF4-FFF2-40B4-BE49-F238E27FC236}">
              <a16:creationId xmlns:a16="http://schemas.microsoft.com/office/drawing/2014/main" id="{EC0601EB-FADD-4500-BBE0-39E67409B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06" name="Picture 105" descr="https://mail.google.com/mail/u/0/images/cleardot.gif">
          <a:extLst>
            <a:ext uri="{FF2B5EF4-FFF2-40B4-BE49-F238E27FC236}">
              <a16:creationId xmlns:a16="http://schemas.microsoft.com/office/drawing/2014/main" id="{7C6BBDB4-DA48-4729-99A2-604A4829E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07" name="Picture 106" descr="https://mail.google.com/mail/u/0/images/cleardot.gif">
          <a:extLst>
            <a:ext uri="{FF2B5EF4-FFF2-40B4-BE49-F238E27FC236}">
              <a16:creationId xmlns:a16="http://schemas.microsoft.com/office/drawing/2014/main" id="{40CD5ABD-48DF-4703-A77C-01206593B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08" name="Picture 107" descr="https://mail.google.com/mail/u/0/images/cleardot.gif">
          <a:extLst>
            <a:ext uri="{FF2B5EF4-FFF2-40B4-BE49-F238E27FC236}">
              <a16:creationId xmlns:a16="http://schemas.microsoft.com/office/drawing/2014/main" id="{8DE8E2F7-DFDA-4BAA-9767-FBD271751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09" name="Picture 108" descr="https://mail.google.com/mail/u/0/images/cleardot.gif">
          <a:extLst>
            <a:ext uri="{FF2B5EF4-FFF2-40B4-BE49-F238E27FC236}">
              <a16:creationId xmlns:a16="http://schemas.microsoft.com/office/drawing/2014/main" id="{FB4E82E4-0772-4632-A868-4B617544A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10" name="Picture 109" descr="https://mail.google.com/mail/u/0/images/cleardot.gif">
          <a:extLst>
            <a:ext uri="{FF2B5EF4-FFF2-40B4-BE49-F238E27FC236}">
              <a16:creationId xmlns:a16="http://schemas.microsoft.com/office/drawing/2014/main" id="{66D7EF3A-E285-4F16-8BEC-3DD37915C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11" name="Picture 110" descr="https://mail.google.com/mail/u/0/images/cleardot.gif">
          <a:extLst>
            <a:ext uri="{FF2B5EF4-FFF2-40B4-BE49-F238E27FC236}">
              <a16:creationId xmlns:a16="http://schemas.microsoft.com/office/drawing/2014/main" id="{DE5B5263-AC6F-4F2A-9392-1D11A7A5D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12" name="Picture 111" descr="https://mail.google.com/mail/u/0/images/cleardot.gif">
          <a:extLst>
            <a:ext uri="{FF2B5EF4-FFF2-40B4-BE49-F238E27FC236}">
              <a16:creationId xmlns:a16="http://schemas.microsoft.com/office/drawing/2014/main" id="{F9672F8E-A629-40E1-99CA-9A2571B7C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13" name="Picture 112" descr="https://mail.google.com/mail/u/0/images/cleardot.gif">
          <a:extLst>
            <a:ext uri="{FF2B5EF4-FFF2-40B4-BE49-F238E27FC236}">
              <a16:creationId xmlns:a16="http://schemas.microsoft.com/office/drawing/2014/main" id="{E295E246-B94B-4056-8716-6F0F5784C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14" name="Picture 113" descr="https://mail.google.com/mail/u/0/images/cleardot.gif">
          <a:extLst>
            <a:ext uri="{FF2B5EF4-FFF2-40B4-BE49-F238E27FC236}">
              <a16:creationId xmlns:a16="http://schemas.microsoft.com/office/drawing/2014/main" id="{25918158-02BD-4AD5-A725-F0839C55C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15" name="Picture 114" descr="https://mail.google.com/mail/u/0/images/cleardot.gif">
          <a:extLst>
            <a:ext uri="{FF2B5EF4-FFF2-40B4-BE49-F238E27FC236}">
              <a16:creationId xmlns:a16="http://schemas.microsoft.com/office/drawing/2014/main" id="{CC59E4A8-F557-4D51-A936-88FBC2F5C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16" name="Picture 115" descr="https://mail.google.com/mail/u/0/images/cleardot.gif">
          <a:extLst>
            <a:ext uri="{FF2B5EF4-FFF2-40B4-BE49-F238E27FC236}">
              <a16:creationId xmlns:a16="http://schemas.microsoft.com/office/drawing/2014/main" id="{C821D910-EB82-400F-BAFE-40AF6AA7C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17" name="Picture 116" descr="https://mail.google.com/mail/u/0/images/cleardot.gif">
          <a:extLst>
            <a:ext uri="{FF2B5EF4-FFF2-40B4-BE49-F238E27FC236}">
              <a16:creationId xmlns:a16="http://schemas.microsoft.com/office/drawing/2014/main" id="{192BBF21-B249-48EF-9A0A-C74439937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18" name="Picture 117" descr="https://mail.google.com/mail/u/0/images/cleardot.gif">
          <a:extLst>
            <a:ext uri="{FF2B5EF4-FFF2-40B4-BE49-F238E27FC236}">
              <a16:creationId xmlns:a16="http://schemas.microsoft.com/office/drawing/2014/main" id="{D69D30C8-6B21-449A-99C9-5EEC1CA1D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19" name="Picture 118" descr="https://mail.google.com/mail/u/0/images/cleardot.gif">
          <a:extLst>
            <a:ext uri="{FF2B5EF4-FFF2-40B4-BE49-F238E27FC236}">
              <a16:creationId xmlns:a16="http://schemas.microsoft.com/office/drawing/2014/main" id="{79B368F6-7A8A-4572-9078-CF713F41C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20" name="Picture 119" descr="https://mail.google.com/mail/u/0/images/cleardot.gif">
          <a:extLst>
            <a:ext uri="{FF2B5EF4-FFF2-40B4-BE49-F238E27FC236}">
              <a16:creationId xmlns:a16="http://schemas.microsoft.com/office/drawing/2014/main" id="{916FC98F-5D88-4722-A4A7-A67362084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21" name="Picture 120" descr="https://mail.google.com/mail/u/0/images/cleardot.gif">
          <a:extLst>
            <a:ext uri="{FF2B5EF4-FFF2-40B4-BE49-F238E27FC236}">
              <a16:creationId xmlns:a16="http://schemas.microsoft.com/office/drawing/2014/main" id="{BC54E9F9-2EB9-40D3-B23D-150ED9CCE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22" name="Picture 121" descr="https://mail.google.com/mail/u/0/images/cleardot.gif">
          <a:extLst>
            <a:ext uri="{FF2B5EF4-FFF2-40B4-BE49-F238E27FC236}">
              <a16:creationId xmlns:a16="http://schemas.microsoft.com/office/drawing/2014/main" id="{6F5598CB-A0B0-4D08-8AE6-D0F8EBA15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23" name="Picture 122" descr="https://mail.google.com/mail/u/0/images/cleardot.gif">
          <a:extLst>
            <a:ext uri="{FF2B5EF4-FFF2-40B4-BE49-F238E27FC236}">
              <a16:creationId xmlns:a16="http://schemas.microsoft.com/office/drawing/2014/main" id="{13B5E961-1DD0-4CDF-93DD-E2619BFBD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24" name="Picture 123" descr="https://mail.google.com/mail/u/0/images/cleardot.gif">
          <a:extLst>
            <a:ext uri="{FF2B5EF4-FFF2-40B4-BE49-F238E27FC236}">
              <a16:creationId xmlns:a16="http://schemas.microsoft.com/office/drawing/2014/main" id="{51D4E46A-7263-41F2-9138-5D8C7214C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25" name="Picture 124" descr="https://mail.google.com/mail/u/0/images/cleardot.gif">
          <a:extLst>
            <a:ext uri="{FF2B5EF4-FFF2-40B4-BE49-F238E27FC236}">
              <a16:creationId xmlns:a16="http://schemas.microsoft.com/office/drawing/2014/main" id="{1736DB63-A2E0-47B9-AE65-06A14423B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26" name="Picture 125" descr="https://mail.google.com/mail/u/0/images/cleardot.gif">
          <a:extLst>
            <a:ext uri="{FF2B5EF4-FFF2-40B4-BE49-F238E27FC236}">
              <a16:creationId xmlns:a16="http://schemas.microsoft.com/office/drawing/2014/main" id="{ECD6E493-42D0-48AA-A3FF-0A6B1A332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27" name="Picture 126" descr="https://mail.google.com/mail/u/0/images/cleardot.gif">
          <a:extLst>
            <a:ext uri="{FF2B5EF4-FFF2-40B4-BE49-F238E27FC236}">
              <a16:creationId xmlns:a16="http://schemas.microsoft.com/office/drawing/2014/main" id="{CF097E5C-75A7-4509-ADCB-3CA32A32B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28" name="Picture 127" descr="https://mail.google.com/mail/u/0/images/cleardot.gif">
          <a:extLst>
            <a:ext uri="{FF2B5EF4-FFF2-40B4-BE49-F238E27FC236}">
              <a16:creationId xmlns:a16="http://schemas.microsoft.com/office/drawing/2014/main" id="{E9A2DD4E-1358-4018-AF0C-844646691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29" name="Picture 128" descr="https://mail.google.com/mail/u/0/images/cleardot.gif">
          <a:extLst>
            <a:ext uri="{FF2B5EF4-FFF2-40B4-BE49-F238E27FC236}">
              <a16:creationId xmlns:a16="http://schemas.microsoft.com/office/drawing/2014/main" id="{D5DE2A23-18E4-4874-B7D1-B10B9F377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30" name="Picture 129" descr="https://mail.google.com/mail/u/0/images/cleardot.gif">
          <a:extLst>
            <a:ext uri="{FF2B5EF4-FFF2-40B4-BE49-F238E27FC236}">
              <a16:creationId xmlns:a16="http://schemas.microsoft.com/office/drawing/2014/main" id="{698BC628-C0B7-4B29-95F6-77FA69DCE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31" name="Picture 130" descr="https://mail.google.com/mail/u/0/images/cleardot.gif">
          <a:extLst>
            <a:ext uri="{FF2B5EF4-FFF2-40B4-BE49-F238E27FC236}">
              <a16:creationId xmlns:a16="http://schemas.microsoft.com/office/drawing/2014/main" id="{485629FC-C529-45C4-B39A-759688101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32" name="Picture 131" descr="https://mail.google.com/mail/u/0/images/cleardot.gif">
          <a:extLst>
            <a:ext uri="{FF2B5EF4-FFF2-40B4-BE49-F238E27FC236}">
              <a16:creationId xmlns:a16="http://schemas.microsoft.com/office/drawing/2014/main" id="{AE4B058C-4198-4B55-9E48-2629DAB63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33" name="Picture 132" descr="https://mail.google.com/mail/u/0/images/cleardot.gif">
          <a:extLst>
            <a:ext uri="{FF2B5EF4-FFF2-40B4-BE49-F238E27FC236}">
              <a16:creationId xmlns:a16="http://schemas.microsoft.com/office/drawing/2014/main" id="{43CC594E-B76E-4667-898F-462B40ABD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34" name="Picture 133" descr="https://mail.google.com/mail/u/0/images/cleardot.gif">
          <a:extLst>
            <a:ext uri="{FF2B5EF4-FFF2-40B4-BE49-F238E27FC236}">
              <a16:creationId xmlns:a16="http://schemas.microsoft.com/office/drawing/2014/main" id="{E29EB651-5BB4-4DFF-8D67-90A2AA42D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35" name="Picture 134" descr="https://mail.google.com/mail/u/0/images/cleardot.gif">
          <a:extLst>
            <a:ext uri="{FF2B5EF4-FFF2-40B4-BE49-F238E27FC236}">
              <a16:creationId xmlns:a16="http://schemas.microsoft.com/office/drawing/2014/main" id="{FD137C03-ECA7-4BB8-B83D-59ADE7DDA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36" name="Picture 135" descr="https://mail.google.com/mail/u/0/images/cleardot.gif">
          <a:extLst>
            <a:ext uri="{FF2B5EF4-FFF2-40B4-BE49-F238E27FC236}">
              <a16:creationId xmlns:a16="http://schemas.microsoft.com/office/drawing/2014/main" id="{8B074179-50AA-4C40-A13D-4FA0669EE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37" name="Picture 136" descr="https://mail.google.com/mail/u/0/images/cleardot.gif">
          <a:extLst>
            <a:ext uri="{FF2B5EF4-FFF2-40B4-BE49-F238E27FC236}">
              <a16:creationId xmlns:a16="http://schemas.microsoft.com/office/drawing/2014/main" id="{C1A6E0B7-6835-401F-A134-D8F7DA562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38" name="Picture 137" descr="https://mail.google.com/mail/u/0/images/cleardot.gif">
          <a:extLst>
            <a:ext uri="{FF2B5EF4-FFF2-40B4-BE49-F238E27FC236}">
              <a16:creationId xmlns:a16="http://schemas.microsoft.com/office/drawing/2014/main" id="{3834B7B9-0467-4846-8F51-45279D4E6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39" name="Picture 138" descr="https://mail.google.com/mail/u/0/images/cleardot.gif">
          <a:extLst>
            <a:ext uri="{FF2B5EF4-FFF2-40B4-BE49-F238E27FC236}">
              <a16:creationId xmlns:a16="http://schemas.microsoft.com/office/drawing/2014/main" id="{A769B6D5-AA44-4646-8E26-9584D2B48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40" name="Picture 139" descr="https://mail.google.com/mail/u/0/images/cleardot.gif">
          <a:extLst>
            <a:ext uri="{FF2B5EF4-FFF2-40B4-BE49-F238E27FC236}">
              <a16:creationId xmlns:a16="http://schemas.microsoft.com/office/drawing/2014/main" id="{AE5F0F6C-E477-4F18-8493-4F154AD10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41" name="Picture 140" descr="https://mail.google.com/mail/u/0/images/cleardot.gif">
          <a:extLst>
            <a:ext uri="{FF2B5EF4-FFF2-40B4-BE49-F238E27FC236}">
              <a16:creationId xmlns:a16="http://schemas.microsoft.com/office/drawing/2014/main" id="{BCCC89C1-F928-448F-8F98-1D7CDC27A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42" name="Picture 141" descr="https://mail.google.com/mail/u/0/images/cleardot.gif">
          <a:extLst>
            <a:ext uri="{FF2B5EF4-FFF2-40B4-BE49-F238E27FC236}">
              <a16:creationId xmlns:a16="http://schemas.microsoft.com/office/drawing/2014/main" id="{9BCEF159-D303-400F-B8F2-0B39DF150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43" name="Picture 142" descr="https://mail.google.com/mail/u/0/images/cleardot.gif">
          <a:extLst>
            <a:ext uri="{FF2B5EF4-FFF2-40B4-BE49-F238E27FC236}">
              <a16:creationId xmlns:a16="http://schemas.microsoft.com/office/drawing/2014/main" id="{D52660BF-B84C-4B86-9D09-F249B5DD5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44" name="Picture 143" descr="https://mail.google.com/mail/u/0/images/cleardot.gif">
          <a:extLst>
            <a:ext uri="{FF2B5EF4-FFF2-40B4-BE49-F238E27FC236}">
              <a16:creationId xmlns:a16="http://schemas.microsoft.com/office/drawing/2014/main" id="{274C7A3E-22BE-4661-BC65-BD57BA29B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45" name="Picture 144" descr="https://mail.google.com/mail/u/0/images/cleardot.gif">
          <a:extLst>
            <a:ext uri="{FF2B5EF4-FFF2-40B4-BE49-F238E27FC236}">
              <a16:creationId xmlns:a16="http://schemas.microsoft.com/office/drawing/2014/main" id="{C4B16E3E-69E4-4134-AB38-C180CA847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46" name="Picture 145" descr="https://mail.google.com/mail/u/0/images/cleardot.gif">
          <a:extLst>
            <a:ext uri="{FF2B5EF4-FFF2-40B4-BE49-F238E27FC236}">
              <a16:creationId xmlns:a16="http://schemas.microsoft.com/office/drawing/2014/main" id="{8E84DAD3-A4D6-44CA-BB79-705881830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47" name="Picture 146" descr="https://mail.google.com/mail/u/0/images/cleardot.gif">
          <a:extLst>
            <a:ext uri="{FF2B5EF4-FFF2-40B4-BE49-F238E27FC236}">
              <a16:creationId xmlns:a16="http://schemas.microsoft.com/office/drawing/2014/main" id="{10B21454-6ED7-433F-96AA-3940D5B4B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48" name="Picture 147" descr="https://mail.google.com/mail/u/0/images/cleardot.gif">
          <a:extLst>
            <a:ext uri="{FF2B5EF4-FFF2-40B4-BE49-F238E27FC236}">
              <a16:creationId xmlns:a16="http://schemas.microsoft.com/office/drawing/2014/main" id="{02C9FE46-0530-4247-966C-3EFE7B57A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49" name="Picture 148" descr="https://mail.google.com/mail/u/0/images/cleardot.gif">
          <a:extLst>
            <a:ext uri="{FF2B5EF4-FFF2-40B4-BE49-F238E27FC236}">
              <a16:creationId xmlns:a16="http://schemas.microsoft.com/office/drawing/2014/main" id="{4E5D9DD4-A470-4862-8504-692D53024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50" name="Picture 149" descr="https://mail.google.com/mail/u/0/images/cleardot.gif">
          <a:extLst>
            <a:ext uri="{FF2B5EF4-FFF2-40B4-BE49-F238E27FC236}">
              <a16:creationId xmlns:a16="http://schemas.microsoft.com/office/drawing/2014/main" id="{05FCAA99-1C98-4E2D-ABF7-D5C38B7AF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51" name="Picture 150" descr="https://mail.google.com/mail/u/0/images/cleardot.gif">
          <a:extLst>
            <a:ext uri="{FF2B5EF4-FFF2-40B4-BE49-F238E27FC236}">
              <a16:creationId xmlns:a16="http://schemas.microsoft.com/office/drawing/2014/main" id="{D5B4C23A-3A16-470E-B583-115023D01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52" name="Picture 151" descr="https://mail.google.com/mail/u/0/images/cleardot.gif">
          <a:extLst>
            <a:ext uri="{FF2B5EF4-FFF2-40B4-BE49-F238E27FC236}">
              <a16:creationId xmlns:a16="http://schemas.microsoft.com/office/drawing/2014/main" id="{89CDE823-8E72-4092-B1EE-69CCEF5D0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53" name="Picture 152" descr="https://mail.google.com/mail/u/0/images/cleardot.gif">
          <a:extLst>
            <a:ext uri="{FF2B5EF4-FFF2-40B4-BE49-F238E27FC236}">
              <a16:creationId xmlns:a16="http://schemas.microsoft.com/office/drawing/2014/main" id="{013147C5-7A13-4B57-A9C3-479FFDDBF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54" name="Picture 153" descr="https://mail.google.com/mail/u/0/images/cleardot.gif">
          <a:extLst>
            <a:ext uri="{FF2B5EF4-FFF2-40B4-BE49-F238E27FC236}">
              <a16:creationId xmlns:a16="http://schemas.microsoft.com/office/drawing/2014/main" id="{5C6056DB-4A22-4E18-856E-2D123725D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55" name="Picture 154" descr="https://mail.google.com/mail/u/0/images/cleardot.gif">
          <a:extLst>
            <a:ext uri="{FF2B5EF4-FFF2-40B4-BE49-F238E27FC236}">
              <a16:creationId xmlns:a16="http://schemas.microsoft.com/office/drawing/2014/main" id="{8F03E765-0ECF-4730-934C-D2CF4BD18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56" name="Picture 155" descr="https://mail.google.com/mail/u/0/images/cleardot.gif">
          <a:extLst>
            <a:ext uri="{FF2B5EF4-FFF2-40B4-BE49-F238E27FC236}">
              <a16:creationId xmlns:a16="http://schemas.microsoft.com/office/drawing/2014/main" id="{7A10D336-2E9C-4373-852F-F16A0F954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57" name="Picture 156" descr="https://mail.google.com/mail/u/0/images/cleardot.gif">
          <a:extLst>
            <a:ext uri="{FF2B5EF4-FFF2-40B4-BE49-F238E27FC236}">
              <a16:creationId xmlns:a16="http://schemas.microsoft.com/office/drawing/2014/main" id="{ED1D4290-AB45-4AB8-A148-24971DC7E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58" name="Picture 157" descr="https://mail.google.com/mail/u/0/images/cleardot.gif">
          <a:extLst>
            <a:ext uri="{FF2B5EF4-FFF2-40B4-BE49-F238E27FC236}">
              <a16:creationId xmlns:a16="http://schemas.microsoft.com/office/drawing/2014/main" id="{CCC77A43-2867-4DC2-9B4C-419A78AA2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59" name="Picture 158" descr="https://mail.google.com/mail/u/0/images/cleardot.gif">
          <a:extLst>
            <a:ext uri="{FF2B5EF4-FFF2-40B4-BE49-F238E27FC236}">
              <a16:creationId xmlns:a16="http://schemas.microsoft.com/office/drawing/2014/main" id="{5E6449AE-F1E9-4402-822B-B2D30EF6C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60" name="Picture 159" descr="https://mail.google.com/mail/u/0/images/cleardot.gif">
          <a:extLst>
            <a:ext uri="{FF2B5EF4-FFF2-40B4-BE49-F238E27FC236}">
              <a16:creationId xmlns:a16="http://schemas.microsoft.com/office/drawing/2014/main" id="{6C96DDA9-98CB-4FA2-AA91-9FECDB839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61" name="Picture 160" descr="https://mail.google.com/mail/u/0/images/cleardot.gif">
          <a:extLst>
            <a:ext uri="{FF2B5EF4-FFF2-40B4-BE49-F238E27FC236}">
              <a16:creationId xmlns:a16="http://schemas.microsoft.com/office/drawing/2014/main" id="{15DDFA3F-DFCB-4765-903C-A14B17450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62" name="Picture 161" descr="https://mail.google.com/mail/u/0/images/cleardot.gif">
          <a:extLst>
            <a:ext uri="{FF2B5EF4-FFF2-40B4-BE49-F238E27FC236}">
              <a16:creationId xmlns:a16="http://schemas.microsoft.com/office/drawing/2014/main" id="{A464BC87-A84C-4332-A96F-BDF21E123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63" name="Picture 162" descr="https://mail.google.com/mail/u/0/images/cleardot.gif">
          <a:extLst>
            <a:ext uri="{FF2B5EF4-FFF2-40B4-BE49-F238E27FC236}">
              <a16:creationId xmlns:a16="http://schemas.microsoft.com/office/drawing/2014/main" id="{BF0942B9-EFCF-426C-A345-BA8F91A20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64" name="Picture 163" descr="https://mail.google.com/mail/u/0/images/cleardot.gif">
          <a:extLst>
            <a:ext uri="{FF2B5EF4-FFF2-40B4-BE49-F238E27FC236}">
              <a16:creationId xmlns:a16="http://schemas.microsoft.com/office/drawing/2014/main" id="{C57B75A1-1CFA-4F9A-97FB-6D15C4D81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65" name="Picture 164" descr="https://mail.google.com/mail/u/0/images/cleardot.gif">
          <a:extLst>
            <a:ext uri="{FF2B5EF4-FFF2-40B4-BE49-F238E27FC236}">
              <a16:creationId xmlns:a16="http://schemas.microsoft.com/office/drawing/2014/main" id="{9FC11B05-8899-42A6-8832-B21968D96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66" name="Picture 165" descr="https://mail.google.com/mail/u/0/images/cleardot.gif">
          <a:extLst>
            <a:ext uri="{FF2B5EF4-FFF2-40B4-BE49-F238E27FC236}">
              <a16:creationId xmlns:a16="http://schemas.microsoft.com/office/drawing/2014/main" id="{264920EC-645B-4A94-A36D-6956BFDED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67" name="Picture 166" descr="https://mail.google.com/mail/u/0/images/cleardot.gif">
          <a:extLst>
            <a:ext uri="{FF2B5EF4-FFF2-40B4-BE49-F238E27FC236}">
              <a16:creationId xmlns:a16="http://schemas.microsoft.com/office/drawing/2014/main" id="{6A445059-B84E-4341-9A0D-91E40CABD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68" name="Picture 167" descr="https://mail.google.com/mail/u/0/images/cleardot.gif">
          <a:extLst>
            <a:ext uri="{FF2B5EF4-FFF2-40B4-BE49-F238E27FC236}">
              <a16:creationId xmlns:a16="http://schemas.microsoft.com/office/drawing/2014/main" id="{EB9BDA5C-EFD9-46DF-B97A-F4BEEE7E5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69" name="Picture 168" descr="https://mail.google.com/mail/u/0/images/cleardot.gif">
          <a:extLst>
            <a:ext uri="{FF2B5EF4-FFF2-40B4-BE49-F238E27FC236}">
              <a16:creationId xmlns:a16="http://schemas.microsoft.com/office/drawing/2014/main" id="{24EEC539-E016-47DE-A709-26B9D9D11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70" name="Picture 169" descr="https://mail.google.com/mail/u/0/images/cleardot.gif">
          <a:extLst>
            <a:ext uri="{FF2B5EF4-FFF2-40B4-BE49-F238E27FC236}">
              <a16:creationId xmlns:a16="http://schemas.microsoft.com/office/drawing/2014/main" id="{202F96E5-781C-423B-B43D-263B0907E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71" name="Picture 170" descr="https://mail.google.com/mail/u/0/images/cleardot.gif">
          <a:extLst>
            <a:ext uri="{FF2B5EF4-FFF2-40B4-BE49-F238E27FC236}">
              <a16:creationId xmlns:a16="http://schemas.microsoft.com/office/drawing/2014/main" id="{FF768C09-EFD7-4F87-BCCD-E93C78017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72" name="Picture 171" descr="https://mail.google.com/mail/u/0/images/cleardot.gif">
          <a:extLst>
            <a:ext uri="{FF2B5EF4-FFF2-40B4-BE49-F238E27FC236}">
              <a16:creationId xmlns:a16="http://schemas.microsoft.com/office/drawing/2014/main" id="{326C3298-86A9-40B3-B398-5A9151FE2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73" name="Picture 172" descr="https://mail.google.com/mail/u/0/images/cleardot.gif">
          <a:extLst>
            <a:ext uri="{FF2B5EF4-FFF2-40B4-BE49-F238E27FC236}">
              <a16:creationId xmlns:a16="http://schemas.microsoft.com/office/drawing/2014/main" id="{5BA32213-ABFE-4BA1-9DB1-9AAEBB357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74" name="Picture 173" descr="https://mail.google.com/mail/u/0/images/cleardot.gif">
          <a:extLst>
            <a:ext uri="{FF2B5EF4-FFF2-40B4-BE49-F238E27FC236}">
              <a16:creationId xmlns:a16="http://schemas.microsoft.com/office/drawing/2014/main" id="{80664CAC-748D-49EF-A8F0-0B8BD31D5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75" name="Picture 174" descr="https://mail.google.com/mail/u/0/images/cleardot.gif">
          <a:extLst>
            <a:ext uri="{FF2B5EF4-FFF2-40B4-BE49-F238E27FC236}">
              <a16:creationId xmlns:a16="http://schemas.microsoft.com/office/drawing/2014/main" id="{BD395548-06AF-4394-B045-8E12FA682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76" name="Picture 175" descr="https://mail.google.com/mail/u/0/images/cleardot.gif">
          <a:extLst>
            <a:ext uri="{FF2B5EF4-FFF2-40B4-BE49-F238E27FC236}">
              <a16:creationId xmlns:a16="http://schemas.microsoft.com/office/drawing/2014/main" id="{FCFAC370-966D-4A3C-9C3C-5509F3EE0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77" name="Picture 176" descr="https://mail.google.com/mail/u/0/images/cleardot.gif">
          <a:extLst>
            <a:ext uri="{FF2B5EF4-FFF2-40B4-BE49-F238E27FC236}">
              <a16:creationId xmlns:a16="http://schemas.microsoft.com/office/drawing/2014/main" id="{96AA1D3B-30ED-4440-9BEC-71990D433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78" name="Picture 177" descr="https://mail.google.com/mail/u/0/images/cleardot.gif">
          <a:extLst>
            <a:ext uri="{FF2B5EF4-FFF2-40B4-BE49-F238E27FC236}">
              <a16:creationId xmlns:a16="http://schemas.microsoft.com/office/drawing/2014/main" id="{7AD3EE11-FFCF-4F25-AEBF-114A4DDA8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79" name="Picture 178" descr="https://mail.google.com/mail/u/0/images/cleardot.gif">
          <a:extLst>
            <a:ext uri="{FF2B5EF4-FFF2-40B4-BE49-F238E27FC236}">
              <a16:creationId xmlns:a16="http://schemas.microsoft.com/office/drawing/2014/main" id="{36390791-D1BC-49C9-AAA8-ACF3573FB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80" name="Picture 179" descr="https://mail.google.com/mail/u/0/images/cleardot.gif">
          <a:extLst>
            <a:ext uri="{FF2B5EF4-FFF2-40B4-BE49-F238E27FC236}">
              <a16:creationId xmlns:a16="http://schemas.microsoft.com/office/drawing/2014/main" id="{74E00616-89BD-4DDD-8B3B-194A2D6B9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81" name="Picture 180" descr="https://mail.google.com/mail/u/0/images/cleardot.gif">
          <a:extLst>
            <a:ext uri="{FF2B5EF4-FFF2-40B4-BE49-F238E27FC236}">
              <a16:creationId xmlns:a16="http://schemas.microsoft.com/office/drawing/2014/main" id="{81000B72-4464-4C2F-A12F-3B854F62B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82" name="Picture 181" descr="https://mail.google.com/mail/u/0/images/cleardot.gif">
          <a:extLst>
            <a:ext uri="{FF2B5EF4-FFF2-40B4-BE49-F238E27FC236}">
              <a16:creationId xmlns:a16="http://schemas.microsoft.com/office/drawing/2014/main" id="{C7711F9E-393C-413E-BDB7-057F68B0B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83" name="Picture 182" descr="https://mail.google.com/mail/u/0/images/cleardot.gif">
          <a:extLst>
            <a:ext uri="{FF2B5EF4-FFF2-40B4-BE49-F238E27FC236}">
              <a16:creationId xmlns:a16="http://schemas.microsoft.com/office/drawing/2014/main" id="{072BF699-8CDF-4CB4-99AD-3B5151542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84" name="Picture 183" descr="https://mail.google.com/mail/u/0/images/cleardot.gif">
          <a:extLst>
            <a:ext uri="{FF2B5EF4-FFF2-40B4-BE49-F238E27FC236}">
              <a16:creationId xmlns:a16="http://schemas.microsoft.com/office/drawing/2014/main" id="{B797EE4A-7EA1-415E-86D9-4932F0F84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85" name="Picture 184" descr="https://mail.google.com/mail/u/0/images/cleardot.gif">
          <a:extLst>
            <a:ext uri="{FF2B5EF4-FFF2-40B4-BE49-F238E27FC236}">
              <a16:creationId xmlns:a16="http://schemas.microsoft.com/office/drawing/2014/main" id="{945F5A09-CCFE-42EF-A331-64C9412BB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86" name="Picture 185" descr="https://mail.google.com/mail/u/0/images/cleardot.gif">
          <a:extLst>
            <a:ext uri="{FF2B5EF4-FFF2-40B4-BE49-F238E27FC236}">
              <a16:creationId xmlns:a16="http://schemas.microsoft.com/office/drawing/2014/main" id="{4469E514-381A-4A58-934D-F51FCC385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87" name="Picture 186" descr="https://mail.google.com/mail/u/0/images/cleardot.gif">
          <a:extLst>
            <a:ext uri="{FF2B5EF4-FFF2-40B4-BE49-F238E27FC236}">
              <a16:creationId xmlns:a16="http://schemas.microsoft.com/office/drawing/2014/main" id="{5C7C144D-D885-486B-9452-C7400955E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88" name="Picture 187" descr="https://mail.google.com/mail/u/0/images/cleardot.gif">
          <a:extLst>
            <a:ext uri="{FF2B5EF4-FFF2-40B4-BE49-F238E27FC236}">
              <a16:creationId xmlns:a16="http://schemas.microsoft.com/office/drawing/2014/main" id="{8FAA3878-A025-4A6D-A2EE-FDB3D96AA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89" name="Picture 188" descr="https://mail.google.com/mail/u/0/images/cleardot.gif">
          <a:extLst>
            <a:ext uri="{FF2B5EF4-FFF2-40B4-BE49-F238E27FC236}">
              <a16:creationId xmlns:a16="http://schemas.microsoft.com/office/drawing/2014/main" id="{7492D55B-C1DF-434B-95F6-244D1BB0B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90" name="Picture 189" descr="https://mail.google.com/mail/u/0/images/cleardot.gif">
          <a:extLst>
            <a:ext uri="{FF2B5EF4-FFF2-40B4-BE49-F238E27FC236}">
              <a16:creationId xmlns:a16="http://schemas.microsoft.com/office/drawing/2014/main" id="{045DDBA5-9C7E-4CC5-86DA-D69BFACB5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91" name="Picture 190" descr="https://mail.google.com/mail/u/0/images/cleardot.gif">
          <a:extLst>
            <a:ext uri="{FF2B5EF4-FFF2-40B4-BE49-F238E27FC236}">
              <a16:creationId xmlns:a16="http://schemas.microsoft.com/office/drawing/2014/main" id="{30B0B1C8-28D9-439B-B1FD-B9D0F29B4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92" name="Picture 191" descr="https://mail.google.com/mail/u/0/images/cleardot.gif">
          <a:extLst>
            <a:ext uri="{FF2B5EF4-FFF2-40B4-BE49-F238E27FC236}">
              <a16:creationId xmlns:a16="http://schemas.microsoft.com/office/drawing/2014/main" id="{8040C293-E1BD-4602-A3F8-165F312A4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93" name="Picture 192" descr="https://mail.google.com/mail/u/0/images/cleardot.gif">
          <a:extLst>
            <a:ext uri="{FF2B5EF4-FFF2-40B4-BE49-F238E27FC236}">
              <a16:creationId xmlns:a16="http://schemas.microsoft.com/office/drawing/2014/main" id="{747198CE-6005-4128-81E0-78D8962FD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94" name="Picture 193" descr="https://mail.google.com/mail/u/0/images/cleardot.gif">
          <a:extLst>
            <a:ext uri="{FF2B5EF4-FFF2-40B4-BE49-F238E27FC236}">
              <a16:creationId xmlns:a16="http://schemas.microsoft.com/office/drawing/2014/main" id="{74C5E1D0-CFE6-4AF8-997F-B35AE1944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95" name="Picture 194" descr="https://mail.google.com/mail/u/0/images/cleardot.gif">
          <a:extLst>
            <a:ext uri="{FF2B5EF4-FFF2-40B4-BE49-F238E27FC236}">
              <a16:creationId xmlns:a16="http://schemas.microsoft.com/office/drawing/2014/main" id="{A203F01B-7CE9-4C8D-8F84-D400A4179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96" name="Picture 195" descr="https://mail.google.com/mail/u/0/images/cleardot.gif">
          <a:extLst>
            <a:ext uri="{FF2B5EF4-FFF2-40B4-BE49-F238E27FC236}">
              <a16:creationId xmlns:a16="http://schemas.microsoft.com/office/drawing/2014/main" id="{D5C32AEC-6287-47D3-8C8C-56387F67C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97" name="Picture 196" descr="https://mail.google.com/mail/u/0/images/cleardot.gif">
          <a:extLst>
            <a:ext uri="{FF2B5EF4-FFF2-40B4-BE49-F238E27FC236}">
              <a16:creationId xmlns:a16="http://schemas.microsoft.com/office/drawing/2014/main" id="{0FA11DAC-8162-4FDC-BB88-302BE2B0F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98" name="Picture 197" descr="https://mail.google.com/mail/u/0/images/cleardot.gif">
          <a:extLst>
            <a:ext uri="{FF2B5EF4-FFF2-40B4-BE49-F238E27FC236}">
              <a16:creationId xmlns:a16="http://schemas.microsoft.com/office/drawing/2014/main" id="{9644BF85-41A0-438F-B94C-D07359153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199" name="Picture 198" descr="https://mail.google.com/mail/u/0/images/cleardot.gif">
          <a:extLst>
            <a:ext uri="{FF2B5EF4-FFF2-40B4-BE49-F238E27FC236}">
              <a16:creationId xmlns:a16="http://schemas.microsoft.com/office/drawing/2014/main" id="{5AA71905-2559-4F65-837C-7C5E31310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00" name="Picture 199" descr="https://mail.google.com/mail/u/0/images/cleardot.gif">
          <a:extLst>
            <a:ext uri="{FF2B5EF4-FFF2-40B4-BE49-F238E27FC236}">
              <a16:creationId xmlns:a16="http://schemas.microsoft.com/office/drawing/2014/main" id="{3D2452DC-1E4F-4416-91BF-4FAF40A52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01" name="Picture 200" descr="https://mail.google.com/mail/u/0/images/cleardot.gif">
          <a:extLst>
            <a:ext uri="{FF2B5EF4-FFF2-40B4-BE49-F238E27FC236}">
              <a16:creationId xmlns:a16="http://schemas.microsoft.com/office/drawing/2014/main" id="{AC311FCB-235F-4028-AB8E-4F5DB85BC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02" name="Picture 201" descr="https://mail.google.com/mail/u/0/images/cleardot.gif">
          <a:extLst>
            <a:ext uri="{FF2B5EF4-FFF2-40B4-BE49-F238E27FC236}">
              <a16:creationId xmlns:a16="http://schemas.microsoft.com/office/drawing/2014/main" id="{8F535CD6-EAC7-4FE3-AE05-B51707229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03" name="Picture 202" descr="https://mail.google.com/mail/u/0/images/cleardot.gif">
          <a:extLst>
            <a:ext uri="{FF2B5EF4-FFF2-40B4-BE49-F238E27FC236}">
              <a16:creationId xmlns:a16="http://schemas.microsoft.com/office/drawing/2014/main" id="{ED1CB915-F082-4ABB-9A1E-93784D20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04" name="Picture 203" descr="https://mail.google.com/mail/u/0/images/cleardot.gif">
          <a:extLst>
            <a:ext uri="{FF2B5EF4-FFF2-40B4-BE49-F238E27FC236}">
              <a16:creationId xmlns:a16="http://schemas.microsoft.com/office/drawing/2014/main" id="{13A93B5E-EA5F-47FC-B0D3-E4CCDFE04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05" name="Picture 204" descr="https://mail.google.com/mail/u/0/images/cleardot.gif">
          <a:extLst>
            <a:ext uri="{FF2B5EF4-FFF2-40B4-BE49-F238E27FC236}">
              <a16:creationId xmlns:a16="http://schemas.microsoft.com/office/drawing/2014/main" id="{8EF68C3F-8F43-41F9-9AC4-FF2746C57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06" name="Picture 205" descr="https://mail.google.com/mail/u/0/images/cleardot.gif">
          <a:extLst>
            <a:ext uri="{FF2B5EF4-FFF2-40B4-BE49-F238E27FC236}">
              <a16:creationId xmlns:a16="http://schemas.microsoft.com/office/drawing/2014/main" id="{387CBB32-6908-48E4-94B8-84879B93F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07" name="Picture 206" descr="https://mail.google.com/mail/u/0/images/cleardot.gif">
          <a:extLst>
            <a:ext uri="{FF2B5EF4-FFF2-40B4-BE49-F238E27FC236}">
              <a16:creationId xmlns:a16="http://schemas.microsoft.com/office/drawing/2014/main" id="{5C22583E-C21F-4C10-85F5-951F6CD1B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08" name="Picture 207" descr="https://mail.google.com/mail/u/0/images/cleardot.gif">
          <a:extLst>
            <a:ext uri="{FF2B5EF4-FFF2-40B4-BE49-F238E27FC236}">
              <a16:creationId xmlns:a16="http://schemas.microsoft.com/office/drawing/2014/main" id="{DCE7C27F-69BA-43F0-BA86-9D6BFF0E1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09" name="Picture 208" descr="https://mail.google.com/mail/u/0/images/cleardot.gif">
          <a:extLst>
            <a:ext uri="{FF2B5EF4-FFF2-40B4-BE49-F238E27FC236}">
              <a16:creationId xmlns:a16="http://schemas.microsoft.com/office/drawing/2014/main" id="{B8F1CAF8-0B4E-4BA5-B1C6-A5EBC5C03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10" name="Picture 209" descr="https://mail.google.com/mail/u/0/images/cleardot.gif">
          <a:extLst>
            <a:ext uri="{FF2B5EF4-FFF2-40B4-BE49-F238E27FC236}">
              <a16:creationId xmlns:a16="http://schemas.microsoft.com/office/drawing/2014/main" id="{5FC104D8-62D5-406F-B89E-5A4C9B13A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11" name="Picture 210" descr="https://mail.google.com/mail/u/0/images/cleardot.gif">
          <a:extLst>
            <a:ext uri="{FF2B5EF4-FFF2-40B4-BE49-F238E27FC236}">
              <a16:creationId xmlns:a16="http://schemas.microsoft.com/office/drawing/2014/main" id="{C8E7C42A-1A1E-434C-A7D5-67D9A99AA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12" name="Picture 211" descr="https://mail.google.com/mail/u/0/images/cleardot.gif">
          <a:extLst>
            <a:ext uri="{FF2B5EF4-FFF2-40B4-BE49-F238E27FC236}">
              <a16:creationId xmlns:a16="http://schemas.microsoft.com/office/drawing/2014/main" id="{1C10E765-5976-438E-94E0-365427576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13" name="Picture 212" descr="https://mail.google.com/mail/u/0/images/cleardot.gif">
          <a:extLst>
            <a:ext uri="{FF2B5EF4-FFF2-40B4-BE49-F238E27FC236}">
              <a16:creationId xmlns:a16="http://schemas.microsoft.com/office/drawing/2014/main" id="{1079F2C6-9BCB-4F8A-9374-A90FF1352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14" name="Picture 213" descr="https://mail.google.com/mail/u/0/images/cleardot.gif">
          <a:extLst>
            <a:ext uri="{FF2B5EF4-FFF2-40B4-BE49-F238E27FC236}">
              <a16:creationId xmlns:a16="http://schemas.microsoft.com/office/drawing/2014/main" id="{686C70E2-0FCD-4E44-811D-86CE3FD7D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15" name="Picture 214" descr="https://mail.google.com/mail/u/0/images/cleardot.gif">
          <a:extLst>
            <a:ext uri="{FF2B5EF4-FFF2-40B4-BE49-F238E27FC236}">
              <a16:creationId xmlns:a16="http://schemas.microsoft.com/office/drawing/2014/main" id="{A2795957-10F7-46DE-BA01-CC8235F27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16" name="Picture 215" descr="https://mail.google.com/mail/u/0/images/cleardot.gif">
          <a:extLst>
            <a:ext uri="{FF2B5EF4-FFF2-40B4-BE49-F238E27FC236}">
              <a16:creationId xmlns:a16="http://schemas.microsoft.com/office/drawing/2014/main" id="{F4CF136D-B01E-4179-85A3-D4A13A62C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17" name="Picture 216" descr="https://mail.google.com/mail/u/0/images/cleardot.gif">
          <a:extLst>
            <a:ext uri="{FF2B5EF4-FFF2-40B4-BE49-F238E27FC236}">
              <a16:creationId xmlns:a16="http://schemas.microsoft.com/office/drawing/2014/main" id="{C9E4D941-7E89-4DD3-9B52-D5A7543B3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18" name="Picture 217" descr="https://mail.google.com/mail/u/0/images/cleardot.gif">
          <a:extLst>
            <a:ext uri="{FF2B5EF4-FFF2-40B4-BE49-F238E27FC236}">
              <a16:creationId xmlns:a16="http://schemas.microsoft.com/office/drawing/2014/main" id="{83AC9564-7347-4D58-A4C0-DCB1395A9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19" name="Picture 218" descr="https://mail.google.com/mail/u/0/images/cleardot.gif">
          <a:extLst>
            <a:ext uri="{FF2B5EF4-FFF2-40B4-BE49-F238E27FC236}">
              <a16:creationId xmlns:a16="http://schemas.microsoft.com/office/drawing/2014/main" id="{CF7DDD16-2706-432B-929F-6769B2BC4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20" name="Picture 219" descr="https://mail.google.com/mail/u/0/images/cleardot.gif">
          <a:extLst>
            <a:ext uri="{FF2B5EF4-FFF2-40B4-BE49-F238E27FC236}">
              <a16:creationId xmlns:a16="http://schemas.microsoft.com/office/drawing/2014/main" id="{E238CB48-F876-46E1-A7DE-7285D1388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21" name="Picture 220" descr="https://mail.google.com/mail/u/0/images/cleardot.gif">
          <a:extLst>
            <a:ext uri="{FF2B5EF4-FFF2-40B4-BE49-F238E27FC236}">
              <a16:creationId xmlns:a16="http://schemas.microsoft.com/office/drawing/2014/main" id="{FB47C766-574D-4FE5-B6C3-9F516341A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22" name="Picture 221" descr="https://mail.google.com/mail/u/0/images/cleardot.gif">
          <a:extLst>
            <a:ext uri="{FF2B5EF4-FFF2-40B4-BE49-F238E27FC236}">
              <a16:creationId xmlns:a16="http://schemas.microsoft.com/office/drawing/2014/main" id="{06A86F9E-A8E3-4FD1-AF7C-4C44D01E1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23" name="Picture 222" descr="https://mail.google.com/mail/u/0/images/cleardot.gif">
          <a:extLst>
            <a:ext uri="{FF2B5EF4-FFF2-40B4-BE49-F238E27FC236}">
              <a16:creationId xmlns:a16="http://schemas.microsoft.com/office/drawing/2014/main" id="{A7BD43DC-D94A-4488-BA22-0C4C9C47B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24" name="Picture 223" descr="https://mail.google.com/mail/u/0/images/cleardot.gif">
          <a:extLst>
            <a:ext uri="{FF2B5EF4-FFF2-40B4-BE49-F238E27FC236}">
              <a16:creationId xmlns:a16="http://schemas.microsoft.com/office/drawing/2014/main" id="{1766ABAA-58C6-42DC-A1DD-B1B22E7BC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25" name="Picture 224" descr="https://mail.google.com/mail/u/0/images/cleardot.gif">
          <a:extLst>
            <a:ext uri="{FF2B5EF4-FFF2-40B4-BE49-F238E27FC236}">
              <a16:creationId xmlns:a16="http://schemas.microsoft.com/office/drawing/2014/main" id="{A5B93C0C-8192-46B3-9C35-8A166FFDB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26" name="Picture 225" descr="https://mail.google.com/mail/u/0/images/cleardot.gif">
          <a:extLst>
            <a:ext uri="{FF2B5EF4-FFF2-40B4-BE49-F238E27FC236}">
              <a16:creationId xmlns:a16="http://schemas.microsoft.com/office/drawing/2014/main" id="{20E4455F-D297-420C-8BFF-A1F91B88C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27" name="Picture 226" descr="https://mail.google.com/mail/u/0/images/cleardot.gif">
          <a:extLst>
            <a:ext uri="{FF2B5EF4-FFF2-40B4-BE49-F238E27FC236}">
              <a16:creationId xmlns:a16="http://schemas.microsoft.com/office/drawing/2014/main" id="{B3F0A7E4-CE01-42F3-94DB-FF294D9B9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28" name="Picture 227" descr="https://mail.google.com/mail/u/0/images/cleardot.gif">
          <a:extLst>
            <a:ext uri="{FF2B5EF4-FFF2-40B4-BE49-F238E27FC236}">
              <a16:creationId xmlns:a16="http://schemas.microsoft.com/office/drawing/2014/main" id="{BE43D0CA-B4B6-45E4-8EBC-FF8876E1B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29" name="Picture 228" descr="https://mail.google.com/mail/u/0/images/cleardot.gif">
          <a:extLst>
            <a:ext uri="{FF2B5EF4-FFF2-40B4-BE49-F238E27FC236}">
              <a16:creationId xmlns:a16="http://schemas.microsoft.com/office/drawing/2014/main" id="{167879D7-4953-4064-8361-75A85F684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30" name="Picture 229" descr="https://mail.google.com/mail/u/0/images/cleardot.gif">
          <a:extLst>
            <a:ext uri="{FF2B5EF4-FFF2-40B4-BE49-F238E27FC236}">
              <a16:creationId xmlns:a16="http://schemas.microsoft.com/office/drawing/2014/main" id="{7FE96E62-3BF5-4A33-9FFB-E4BB44EAE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31" name="Picture 230" descr="https://mail.google.com/mail/u/0/images/cleardot.gif">
          <a:extLst>
            <a:ext uri="{FF2B5EF4-FFF2-40B4-BE49-F238E27FC236}">
              <a16:creationId xmlns:a16="http://schemas.microsoft.com/office/drawing/2014/main" id="{148DAE36-9DD0-4318-A61B-E0F79A24B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32" name="Picture 231" descr="https://mail.google.com/mail/u/0/images/cleardot.gif">
          <a:extLst>
            <a:ext uri="{FF2B5EF4-FFF2-40B4-BE49-F238E27FC236}">
              <a16:creationId xmlns:a16="http://schemas.microsoft.com/office/drawing/2014/main" id="{2D858B78-8948-4147-A3E3-EB17CCFDC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33" name="Picture 232" descr="https://mail.google.com/mail/u/0/images/cleardot.gif">
          <a:extLst>
            <a:ext uri="{FF2B5EF4-FFF2-40B4-BE49-F238E27FC236}">
              <a16:creationId xmlns:a16="http://schemas.microsoft.com/office/drawing/2014/main" id="{517FCA22-1ACB-4238-9DD8-4C8B7EAB2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34" name="Picture 233" descr="https://mail.google.com/mail/u/0/images/cleardot.gif">
          <a:extLst>
            <a:ext uri="{FF2B5EF4-FFF2-40B4-BE49-F238E27FC236}">
              <a16:creationId xmlns:a16="http://schemas.microsoft.com/office/drawing/2014/main" id="{05D06B97-E98E-42A8-BDBC-A48504232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35" name="Picture 234" descr="https://mail.google.com/mail/u/0/images/cleardot.gif">
          <a:extLst>
            <a:ext uri="{FF2B5EF4-FFF2-40B4-BE49-F238E27FC236}">
              <a16:creationId xmlns:a16="http://schemas.microsoft.com/office/drawing/2014/main" id="{E4453C85-FBCB-4CBF-A3D6-CF1629FA1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36" name="Picture 235" descr="https://mail.google.com/mail/u/0/images/cleardot.gif">
          <a:extLst>
            <a:ext uri="{FF2B5EF4-FFF2-40B4-BE49-F238E27FC236}">
              <a16:creationId xmlns:a16="http://schemas.microsoft.com/office/drawing/2014/main" id="{F5C1F555-8CE2-4FA2-8375-61D6D048C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37" name="Picture 236" descr="https://mail.google.com/mail/u/0/images/cleardot.gif">
          <a:extLst>
            <a:ext uri="{FF2B5EF4-FFF2-40B4-BE49-F238E27FC236}">
              <a16:creationId xmlns:a16="http://schemas.microsoft.com/office/drawing/2014/main" id="{C54418B2-5F92-4EB5-BC22-FF6CB7AD5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38" name="Picture 237" descr="https://mail.google.com/mail/u/0/images/cleardot.gif">
          <a:extLst>
            <a:ext uri="{FF2B5EF4-FFF2-40B4-BE49-F238E27FC236}">
              <a16:creationId xmlns:a16="http://schemas.microsoft.com/office/drawing/2014/main" id="{65FB1225-537B-4551-A900-6C252146D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39" name="Picture 238" descr="https://mail.google.com/mail/u/0/images/cleardot.gif">
          <a:extLst>
            <a:ext uri="{FF2B5EF4-FFF2-40B4-BE49-F238E27FC236}">
              <a16:creationId xmlns:a16="http://schemas.microsoft.com/office/drawing/2014/main" id="{BE945B7F-4846-4ECE-B6CB-BB25196EF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40" name="Picture 239" descr="https://mail.google.com/mail/u/0/images/cleardot.gif">
          <a:extLst>
            <a:ext uri="{FF2B5EF4-FFF2-40B4-BE49-F238E27FC236}">
              <a16:creationId xmlns:a16="http://schemas.microsoft.com/office/drawing/2014/main" id="{A5789469-C9D7-461E-89D1-7D6FA5757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41" name="Picture 240" descr="https://mail.google.com/mail/u/0/images/cleardot.gif">
          <a:extLst>
            <a:ext uri="{FF2B5EF4-FFF2-40B4-BE49-F238E27FC236}">
              <a16:creationId xmlns:a16="http://schemas.microsoft.com/office/drawing/2014/main" id="{E07D34A7-4DEE-4752-BAEA-33080AB9F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42" name="Picture 241" descr="https://mail.google.com/mail/u/0/images/cleardot.gif">
          <a:extLst>
            <a:ext uri="{FF2B5EF4-FFF2-40B4-BE49-F238E27FC236}">
              <a16:creationId xmlns:a16="http://schemas.microsoft.com/office/drawing/2014/main" id="{F55D9A5A-1B37-49AE-A3E5-9FADA08D0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43" name="Picture 242" descr="https://mail.google.com/mail/u/0/images/cleardot.gif">
          <a:extLst>
            <a:ext uri="{FF2B5EF4-FFF2-40B4-BE49-F238E27FC236}">
              <a16:creationId xmlns:a16="http://schemas.microsoft.com/office/drawing/2014/main" id="{6C77E1CC-5FE4-4E3B-A45A-38AF99015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44" name="Picture 243" descr="https://mail.google.com/mail/u/0/images/cleardot.gif">
          <a:extLst>
            <a:ext uri="{FF2B5EF4-FFF2-40B4-BE49-F238E27FC236}">
              <a16:creationId xmlns:a16="http://schemas.microsoft.com/office/drawing/2014/main" id="{C3516F60-CE2A-4256-9FAF-BB25E426A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45" name="Picture 244" descr="https://mail.google.com/mail/u/0/images/cleardot.gif">
          <a:extLst>
            <a:ext uri="{FF2B5EF4-FFF2-40B4-BE49-F238E27FC236}">
              <a16:creationId xmlns:a16="http://schemas.microsoft.com/office/drawing/2014/main" id="{949B23C8-A697-4DA3-9121-96C25A0F7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46" name="Picture 245" descr="https://mail.google.com/mail/u/0/images/cleardot.gif">
          <a:extLst>
            <a:ext uri="{FF2B5EF4-FFF2-40B4-BE49-F238E27FC236}">
              <a16:creationId xmlns:a16="http://schemas.microsoft.com/office/drawing/2014/main" id="{F99F4092-1025-49F3-8D3B-38B2CDE6C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47" name="Picture 246" descr="https://mail.google.com/mail/u/0/images/cleardot.gif">
          <a:extLst>
            <a:ext uri="{FF2B5EF4-FFF2-40B4-BE49-F238E27FC236}">
              <a16:creationId xmlns:a16="http://schemas.microsoft.com/office/drawing/2014/main" id="{9555F7EA-2C6B-4683-8861-4D1BF79EF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48" name="Picture 247" descr="https://mail.google.com/mail/u/0/images/cleardot.gif">
          <a:extLst>
            <a:ext uri="{FF2B5EF4-FFF2-40B4-BE49-F238E27FC236}">
              <a16:creationId xmlns:a16="http://schemas.microsoft.com/office/drawing/2014/main" id="{FF6166FE-5050-4193-8CFD-37107B6AE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49" name="Picture 248" descr="https://mail.google.com/mail/u/0/images/cleardot.gif">
          <a:extLst>
            <a:ext uri="{FF2B5EF4-FFF2-40B4-BE49-F238E27FC236}">
              <a16:creationId xmlns:a16="http://schemas.microsoft.com/office/drawing/2014/main" id="{644CC513-BB3C-48FE-9A95-84D6F3B9E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50" name="Picture 249" descr="https://mail.google.com/mail/u/0/images/cleardot.gif">
          <a:extLst>
            <a:ext uri="{FF2B5EF4-FFF2-40B4-BE49-F238E27FC236}">
              <a16:creationId xmlns:a16="http://schemas.microsoft.com/office/drawing/2014/main" id="{A45E7933-E05E-473E-AC16-068072672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51" name="Picture 250" descr="https://mail.google.com/mail/u/0/images/cleardot.gif">
          <a:extLst>
            <a:ext uri="{FF2B5EF4-FFF2-40B4-BE49-F238E27FC236}">
              <a16:creationId xmlns:a16="http://schemas.microsoft.com/office/drawing/2014/main" id="{E66E35E2-50EE-45AF-B3BB-FC3A96747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52" name="Picture 251" descr="https://mail.google.com/mail/u/0/images/cleardot.gif">
          <a:extLst>
            <a:ext uri="{FF2B5EF4-FFF2-40B4-BE49-F238E27FC236}">
              <a16:creationId xmlns:a16="http://schemas.microsoft.com/office/drawing/2014/main" id="{A8E7EC95-4148-4C30-B34E-39081DA5B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53" name="Picture 252" descr="https://mail.google.com/mail/u/0/images/cleardot.gif">
          <a:extLst>
            <a:ext uri="{FF2B5EF4-FFF2-40B4-BE49-F238E27FC236}">
              <a16:creationId xmlns:a16="http://schemas.microsoft.com/office/drawing/2014/main" id="{5155FDF2-A9DD-4DEC-877A-C21A05727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54" name="Picture 253" descr="https://mail.google.com/mail/u/0/images/cleardot.gif">
          <a:extLst>
            <a:ext uri="{FF2B5EF4-FFF2-40B4-BE49-F238E27FC236}">
              <a16:creationId xmlns:a16="http://schemas.microsoft.com/office/drawing/2014/main" id="{ACB74261-9475-4FD9-BDA2-9405D6072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55" name="Picture 254" descr="https://mail.google.com/mail/u/0/images/cleardot.gif">
          <a:extLst>
            <a:ext uri="{FF2B5EF4-FFF2-40B4-BE49-F238E27FC236}">
              <a16:creationId xmlns:a16="http://schemas.microsoft.com/office/drawing/2014/main" id="{C8A321A1-689E-4FC9-910C-B55289D62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56" name="Picture 255" descr="https://mail.google.com/mail/u/0/images/cleardot.gif">
          <a:extLst>
            <a:ext uri="{FF2B5EF4-FFF2-40B4-BE49-F238E27FC236}">
              <a16:creationId xmlns:a16="http://schemas.microsoft.com/office/drawing/2014/main" id="{0EDC0014-66DC-4655-BBE2-9089C9EA5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57" name="Picture 256" descr="https://mail.google.com/mail/u/0/images/cleardot.gif">
          <a:extLst>
            <a:ext uri="{FF2B5EF4-FFF2-40B4-BE49-F238E27FC236}">
              <a16:creationId xmlns:a16="http://schemas.microsoft.com/office/drawing/2014/main" id="{6761CCF3-23ED-4240-9AFD-748FB20AE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58" name="Picture 257" descr="https://mail.google.com/mail/u/0/images/cleardot.gif">
          <a:extLst>
            <a:ext uri="{FF2B5EF4-FFF2-40B4-BE49-F238E27FC236}">
              <a16:creationId xmlns:a16="http://schemas.microsoft.com/office/drawing/2014/main" id="{088C6A2F-9B11-46A8-AFD8-00FACC3F7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59" name="Picture 258" descr="https://mail.google.com/mail/u/0/images/cleardot.gif">
          <a:extLst>
            <a:ext uri="{FF2B5EF4-FFF2-40B4-BE49-F238E27FC236}">
              <a16:creationId xmlns:a16="http://schemas.microsoft.com/office/drawing/2014/main" id="{C4B58ED7-B37A-4146-A4E7-7D674E7EF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60" name="Picture 259" descr="https://mail.google.com/mail/u/0/images/cleardot.gif">
          <a:extLst>
            <a:ext uri="{FF2B5EF4-FFF2-40B4-BE49-F238E27FC236}">
              <a16:creationId xmlns:a16="http://schemas.microsoft.com/office/drawing/2014/main" id="{2E8E04FE-6003-48E3-A9DA-4263C36D5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61" name="Picture 260" descr="https://mail.google.com/mail/u/0/images/cleardot.gif">
          <a:extLst>
            <a:ext uri="{FF2B5EF4-FFF2-40B4-BE49-F238E27FC236}">
              <a16:creationId xmlns:a16="http://schemas.microsoft.com/office/drawing/2014/main" id="{194F480D-322C-4854-80AA-4DAFE42FA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62" name="Picture 261" descr="https://mail.google.com/mail/u/0/images/cleardot.gif">
          <a:extLst>
            <a:ext uri="{FF2B5EF4-FFF2-40B4-BE49-F238E27FC236}">
              <a16:creationId xmlns:a16="http://schemas.microsoft.com/office/drawing/2014/main" id="{C5B75682-E69F-45DF-9F88-53B42EDC5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63" name="Picture 262" descr="https://mail.google.com/mail/u/0/images/cleardot.gif">
          <a:extLst>
            <a:ext uri="{FF2B5EF4-FFF2-40B4-BE49-F238E27FC236}">
              <a16:creationId xmlns:a16="http://schemas.microsoft.com/office/drawing/2014/main" id="{04BA4B5F-FA19-468E-9A7D-AFCF5EA55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64" name="Picture 263" descr="https://mail.google.com/mail/u/0/images/cleardot.gif">
          <a:extLst>
            <a:ext uri="{FF2B5EF4-FFF2-40B4-BE49-F238E27FC236}">
              <a16:creationId xmlns:a16="http://schemas.microsoft.com/office/drawing/2014/main" id="{E798600C-C1AD-41FD-96FA-94F3F1B79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65" name="Picture 264" descr="https://mail.google.com/mail/u/0/images/cleardot.gif">
          <a:extLst>
            <a:ext uri="{FF2B5EF4-FFF2-40B4-BE49-F238E27FC236}">
              <a16:creationId xmlns:a16="http://schemas.microsoft.com/office/drawing/2014/main" id="{0ED33367-5608-4194-A7B1-C6563ECAD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66" name="Picture 265" descr="https://mail.google.com/mail/u/0/images/cleardot.gif">
          <a:extLst>
            <a:ext uri="{FF2B5EF4-FFF2-40B4-BE49-F238E27FC236}">
              <a16:creationId xmlns:a16="http://schemas.microsoft.com/office/drawing/2014/main" id="{9D000EBA-4870-4201-8875-D4F9FEB10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67" name="Picture 266" descr="https://mail.google.com/mail/u/0/images/cleardot.gif">
          <a:extLst>
            <a:ext uri="{FF2B5EF4-FFF2-40B4-BE49-F238E27FC236}">
              <a16:creationId xmlns:a16="http://schemas.microsoft.com/office/drawing/2014/main" id="{F52C4DDB-76AE-4A42-9446-1B0160747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68" name="Picture 267" descr="https://mail.google.com/mail/u/0/images/cleardot.gif">
          <a:extLst>
            <a:ext uri="{FF2B5EF4-FFF2-40B4-BE49-F238E27FC236}">
              <a16:creationId xmlns:a16="http://schemas.microsoft.com/office/drawing/2014/main" id="{75DE0AFC-2477-4613-ADF1-E0A9DFA05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69" name="Picture 268" descr="https://mail.google.com/mail/u/0/images/cleardot.gif">
          <a:extLst>
            <a:ext uri="{FF2B5EF4-FFF2-40B4-BE49-F238E27FC236}">
              <a16:creationId xmlns:a16="http://schemas.microsoft.com/office/drawing/2014/main" id="{54FAE178-AEB4-469D-9695-121C82EE9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70" name="Picture 269" descr="https://mail.google.com/mail/u/0/images/cleardot.gif">
          <a:extLst>
            <a:ext uri="{FF2B5EF4-FFF2-40B4-BE49-F238E27FC236}">
              <a16:creationId xmlns:a16="http://schemas.microsoft.com/office/drawing/2014/main" id="{F1682600-7743-44FF-B837-DFDCA4F0E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71" name="Picture 270" descr="https://mail.google.com/mail/u/0/images/cleardot.gif">
          <a:extLst>
            <a:ext uri="{FF2B5EF4-FFF2-40B4-BE49-F238E27FC236}">
              <a16:creationId xmlns:a16="http://schemas.microsoft.com/office/drawing/2014/main" id="{1CE34896-48E1-4CEA-97C8-0ABB8A73E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72" name="Picture 271" descr="https://mail.google.com/mail/u/0/images/cleardot.gif">
          <a:extLst>
            <a:ext uri="{FF2B5EF4-FFF2-40B4-BE49-F238E27FC236}">
              <a16:creationId xmlns:a16="http://schemas.microsoft.com/office/drawing/2014/main" id="{93E9422B-5190-45F3-B9D8-7B4F71135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73" name="Picture 272" descr="https://mail.google.com/mail/u/0/images/cleardot.gif">
          <a:extLst>
            <a:ext uri="{FF2B5EF4-FFF2-40B4-BE49-F238E27FC236}">
              <a16:creationId xmlns:a16="http://schemas.microsoft.com/office/drawing/2014/main" id="{22CF7A2A-36D9-4C94-95BF-2092A459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74" name="Picture 273" descr="https://mail.google.com/mail/u/0/images/cleardot.gif">
          <a:extLst>
            <a:ext uri="{FF2B5EF4-FFF2-40B4-BE49-F238E27FC236}">
              <a16:creationId xmlns:a16="http://schemas.microsoft.com/office/drawing/2014/main" id="{2119EF43-0EF3-44E9-8408-B599EECF7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75" name="Picture 274" descr="https://mail.google.com/mail/u/0/images/cleardot.gif">
          <a:extLst>
            <a:ext uri="{FF2B5EF4-FFF2-40B4-BE49-F238E27FC236}">
              <a16:creationId xmlns:a16="http://schemas.microsoft.com/office/drawing/2014/main" id="{B4A50354-1FE0-452F-87E8-6115F2CB7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76" name="Picture 275" descr="https://mail.google.com/mail/u/0/images/cleardot.gif">
          <a:extLst>
            <a:ext uri="{FF2B5EF4-FFF2-40B4-BE49-F238E27FC236}">
              <a16:creationId xmlns:a16="http://schemas.microsoft.com/office/drawing/2014/main" id="{3175CC1B-B472-4B2E-B605-D2F82B652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77" name="Picture 276" descr="https://mail.google.com/mail/u/0/images/cleardot.gif">
          <a:extLst>
            <a:ext uri="{FF2B5EF4-FFF2-40B4-BE49-F238E27FC236}">
              <a16:creationId xmlns:a16="http://schemas.microsoft.com/office/drawing/2014/main" id="{FB46E346-1A2A-4B62-8EC7-F791440C9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78" name="Picture 277" descr="https://mail.google.com/mail/u/0/images/cleardot.gif">
          <a:extLst>
            <a:ext uri="{FF2B5EF4-FFF2-40B4-BE49-F238E27FC236}">
              <a16:creationId xmlns:a16="http://schemas.microsoft.com/office/drawing/2014/main" id="{22319266-2F7E-4ACA-BE44-87358F385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79" name="Picture 278" descr="https://mail.google.com/mail/u/0/images/cleardot.gif">
          <a:extLst>
            <a:ext uri="{FF2B5EF4-FFF2-40B4-BE49-F238E27FC236}">
              <a16:creationId xmlns:a16="http://schemas.microsoft.com/office/drawing/2014/main" id="{9ACA0ED0-7DC2-457C-8E9E-1E10647F1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80" name="Picture 279" descr="https://mail.google.com/mail/u/0/images/cleardot.gif">
          <a:extLst>
            <a:ext uri="{FF2B5EF4-FFF2-40B4-BE49-F238E27FC236}">
              <a16:creationId xmlns:a16="http://schemas.microsoft.com/office/drawing/2014/main" id="{6EAED15D-148F-4105-B822-1EDCE53EE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0</xdr:rowOff>
    </xdr:from>
    <xdr:ext cx="12700" cy="12700"/>
    <xdr:pic>
      <xdr:nvPicPr>
        <xdr:cNvPr id="281" name="Picture 280" descr="https://mail.google.com/mail/u/0/images/cleardot.gif">
          <a:extLst>
            <a:ext uri="{FF2B5EF4-FFF2-40B4-BE49-F238E27FC236}">
              <a16:creationId xmlns:a16="http://schemas.microsoft.com/office/drawing/2014/main" id="{A0E527A3-1AC2-4A94-A103-113F549DE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7410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</xdr:row>
      <xdr:rowOff>0</xdr:rowOff>
    </xdr:from>
    <xdr:ext cx="12700" cy="12700"/>
    <xdr:pic>
      <xdr:nvPicPr>
        <xdr:cNvPr id="2" name="Picture 1" descr="https://mail.google.com/mail/u/0/images/cleardot.gif">
          <a:extLst>
            <a:ext uri="{FF2B5EF4-FFF2-40B4-BE49-F238E27FC236}">
              <a16:creationId xmlns:a16="http://schemas.microsoft.com/office/drawing/2014/main" id="{6CB809D2-F050-4B27-AD2F-2B0F2EE8A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" name="Picture 2" descr="https://mail.google.com/mail/u/0/images/cleardot.gif">
          <a:extLst>
            <a:ext uri="{FF2B5EF4-FFF2-40B4-BE49-F238E27FC236}">
              <a16:creationId xmlns:a16="http://schemas.microsoft.com/office/drawing/2014/main" id="{3C7B75E6-3728-4391-A763-B17DB6CFF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" name="Picture 3" descr="https://mail.google.com/mail/u/0/images/cleardot.gif">
          <a:extLst>
            <a:ext uri="{FF2B5EF4-FFF2-40B4-BE49-F238E27FC236}">
              <a16:creationId xmlns:a16="http://schemas.microsoft.com/office/drawing/2014/main" id="{63002D29-2F7F-43E9-8626-B47656566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" name="Picture 4" descr="https://mail.google.com/mail/u/0/images/cleardot.gif">
          <a:extLst>
            <a:ext uri="{FF2B5EF4-FFF2-40B4-BE49-F238E27FC236}">
              <a16:creationId xmlns:a16="http://schemas.microsoft.com/office/drawing/2014/main" id="{DA17340A-7806-4633-A5C4-7E81CE84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6" name="Picture 5" descr="https://mail.google.com/mail/u/0/images/cleardot.gif">
          <a:extLst>
            <a:ext uri="{FF2B5EF4-FFF2-40B4-BE49-F238E27FC236}">
              <a16:creationId xmlns:a16="http://schemas.microsoft.com/office/drawing/2014/main" id="{BD2B7600-BBD0-458A-9714-682CBDDB9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7" name="Picture 6" descr="https://mail.google.com/mail/u/0/images/cleardot.gif">
          <a:extLst>
            <a:ext uri="{FF2B5EF4-FFF2-40B4-BE49-F238E27FC236}">
              <a16:creationId xmlns:a16="http://schemas.microsoft.com/office/drawing/2014/main" id="{6A83921D-709D-46D8-98E6-929A32580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8" name="Picture 7" descr="https://mail.google.com/mail/u/0/images/cleardot.gif">
          <a:extLst>
            <a:ext uri="{FF2B5EF4-FFF2-40B4-BE49-F238E27FC236}">
              <a16:creationId xmlns:a16="http://schemas.microsoft.com/office/drawing/2014/main" id="{53F9E10D-29D5-4E93-B2E0-809774FC4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9" name="Picture 8" descr="https://mail.google.com/mail/u/0/images/cleardot.gif">
          <a:extLst>
            <a:ext uri="{FF2B5EF4-FFF2-40B4-BE49-F238E27FC236}">
              <a16:creationId xmlns:a16="http://schemas.microsoft.com/office/drawing/2014/main" id="{AC11C3E4-997B-4A7B-9F77-793B4442C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0" name="Picture 9" descr="https://mail.google.com/mail/u/0/images/cleardot.gif">
          <a:extLst>
            <a:ext uri="{FF2B5EF4-FFF2-40B4-BE49-F238E27FC236}">
              <a16:creationId xmlns:a16="http://schemas.microsoft.com/office/drawing/2014/main" id="{E6C8BC19-8DC6-4007-871F-BD1425148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1" name="Picture 10" descr="https://mail.google.com/mail/u/0/images/cleardot.gif">
          <a:extLst>
            <a:ext uri="{FF2B5EF4-FFF2-40B4-BE49-F238E27FC236}">
              <a16:creationId xmlns:a16="http://schemas.microsoft.com/office/drawing/2014/main" id="{5CA3B33D-91ED-4F51-B2AB-B1FC00ECD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2" name="Picture 11" descr="https://mail.google.com/mail/u/0/images/cleardot.gif">
          <a:extLst>
            <a:ext uri="{FF2B5EF4-FFF2-40B4-BE49-F238E27FC236}">
              <a16:creationId xmlns:a16="http://schemas.microsoft.com/office/drawing/2014/main" id="{975D6F9B-8EFD-452E-85A4-A54747A58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3" name="Picture 12" descr="https://mail.google.com/mail/u/0/images/cleardot.gif">
          <a:extLst>
            <a:ext uri="{FF2B5EF4-FFF2-40B4-BE49-F238E27FC236}">
              <a16:creationId xmlns:a16="http://schemas.microsoft.com/office/drawing/2014/main" id="{1702E687-CF04-43DC-BF0F-3DD68C982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4" name="Picture 13" descr="https://mail.google.com/mail/u/0/images/cleardot.gif">
          <a:extLst>
            <a:ext uri="{FF2B5EF4-FFF2-40B4-BE49-F238E27FC236}">
              <a16:creationId xmlns:a16="http://schemas.microsoft.com/office/drawing/2014/main" id="{705DE6C5-E807-4A38-9C54-2836ACE1C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5" name="Picture 14" descr="https://mail.google.com/mail/u/0/images/cleardot.gif">
          <a:extLst>
            <a:ext uri="{FF2B5EF4-FFF2-40B4-BE49-F238E27FC236}">
              <a16:creationId xmlns:a16="http://schemas.microsoft.com/office/drawing/2014/main" id="{24C696BD-9972-483C-A5DB-08BA6F8EB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6" name="Picture 15" descr="https://mail.google.com/mail/u/0/images/cleardot.gif">
          <a:extLst>
            <a:ext uri="{FF2B5EF4-FFF2-40B4-BE49-F238E27FC236}">
              <a16:creationId xmlns:a16="http://schemas.microsoft.com/office/drawing/2014/main" id="{9E77BE8D-1A97-4356-9794-87056BD4C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7" name="Picture 16" descr="https://mail.google.com/mail/u/0/images/cleardot.gif">
          <a:extLst>
            <a:ext uri="{FF2B5EF4-FFF2-40B4-BE49-F238E27FC236}">
              <a16:creationId xmlns:a16="http://schemas.microsoft.com/office/drawing/2014/main" id="{70B64A0A-A580-4FDE-A80F-239BDAF48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8" name="Picture 17" descr="https://mail.google.com/mail/u/0/images/cleardot.gif">
          <a:extLst>
            <a:ext uri="{FF2B5EF4-FFF2-40B4-BE49-F238E27FC236}">
              <a16:creationId xmlns:a16="http://schemas.microsoft.com/office/drawing/2014/main" id="{B4CA96A4-EA59-46F1-A672-76A473D0B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9" name="Picture 18" descr="https://mail.google.com/mail/u/0/images/cleardot.gif">
          <a:extLst>
            <a:ext uri="{FF2B5EF4-FFF2-40B4-BE49-F238E27FC236}">
              <a16:creationId xmlns:a16="http://schemas.microsoft.com/office/drawing/2014/main" id="{F938A1CB-E5B7-4071-BC41-7C10EF0BC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0" name="Picture 19" descr="https://mail.google.com/mail/u/0/images/cleardot.gif">
          <a:extLst>
            <a:ext uri="{FF2B5EF4-FFF2-40B4-BE49-F238E27FC236}">
              <a16:creationId xmlns:a16="http://schemas.microsoft.com/office/drawing/2014/main" id="{B559ADE6-DF7C-409C-8C42-1766ED039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1" name="Picture 20" descr="https://mail.google.com/mail/u/0/images/cleardot.gif">
          <a:extLst>
            <a:ext uri="{FF2B5EF4-FFF2-40B4-BE49-F238E27FC236}">
              <a16:creationId xmlns:a16="http://schemas.microsoft.com/office/drawing/2014/main" id="{90B6B266-DEDC-48C1-A38F-9706BD36D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2" name="Picture 21" descr="https://mail.google.com/mail/u/0/images/cleardot.gif">
          <a:extLst>
            <a:ext uri="{FF2B5EF4-FFF2-40B4-BE49-F238E27FC236}">
              <a16:creationId xmlns:a16="http://schemas.microsoft.com/office/drawing/2014/main" id="{D238ABCA-69EB-4CE2-9D06-734AC7DB3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3" name="Picture 22" descr="https://mail.google.com/mail/u/0/images/cleardot.gif">
          <a:extLst>
            <a:ext uri="{FF2B5EF4-FFF2-40B4-BE49-F238E27FC236}">
              <a16:creationId xmlns:a16="http://schemas.microsoft.com/office/drawing/2014/main" id="{10D4F2E1-129D-47AE-8BB0-401B16CD2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4" name="Picture 23" descr="https://mail.google.com/mail/u/0/images/cleardot.gif">
          <a:extLst>
            <a:ext uri="{FF2B5EF4-FFF2-40B4-BE49-F238E27FC236}">
              <a16:creationId xmlns:a16="http://schemas.microsoft.com/office/drawing/2014/main" id="{52C5B2A5-65EC-48CF-8C81-541D5D9D5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5" name="Picture 24" descr="https://mail.google.com/mail/u/0/images/cleardot.gif">
          <a:extLst>
            <a:ext uri="{FF2B5EF4-FFF2-40B4-BE49-F238E27FC236}">
              <a16:creationId xmlns:a16="http://schemas.microsoft.com/office/drawing/2014/main" id="{9159756F-4932-45FC-8BE9-E1A7D6941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6" name="Picture 25" descr="https://mail.google.com/mail/u/0/images/cleardot.gif">
          <a:extLst>
            <a:ext uri="{FF2B5EF4-FFF2-40B4-BE49-F238E27FC236}">
              <a16:creationId xmlns:a16="http://schemas.microsoft.com/office/drawing/2014/main" id="{113894D8-0C03-4361-9B1D-982FE62E5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7" name="Picture 26" descr="https://mail.google.com/mail/u/0/images/cleardot.gif">
          <a:extLst>
            <a:ext uri="{FF2B5EF4-FFF2-40B4-BE49-F238E27FC236}">
              <a16:creationId xmlns:a16="http://schemas.microsoft.com/office/drawing/2014/main" id="{0B34D122-276C-4DC9-984E-829E597A3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8" name="Picture 27" descr="https://mail.google.com/mail/u/0/images/cleardot.gif">
          <a:extLst>
            <a:ext uri="{FF2B5EF4-FFF2-40B4-BE49-F238E27FC236}">
              <a16:creationId xmlns:a16="http://schemas.microsoft.com/office/drawing/2014/main" id="{8E0C744E-38E1-460E-9FCC-B1B890C10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9" name="Picture 28" descr="https://mail.google.com/mail/u/0/images/cleardot.gif">
          <a:extLst>
            <a:ext uri="{FF2B5EF4-FFF2-40B4-BE49-F238E27FC236}">
              <a16:creationId xmlns:a16="http://schemas.microsoft.com/office/drawing/2014/main" id="{952A38A2-A3DF-476D-861F-5AF9041F3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0" name="Picture 29" descr="https://mail.google.com/mail/u/0/images/cleardot.gif">
          <a:extLst>
            <a:ext uri="{FF2B5EF4-FFF2-40B4-BE49-F238E27FC236}">
              <a16:creationId xmlns:a16="http://schemas.microsoft.com/office/drawing/2014/main" id="{C96C606F-9BF7-402D-9A57-24D941B40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1" name="Picture 30" descr="https://mail.google.com/mail/u/0/images/cleardot.gif">
          <a:extLst>
            <a:ext uri="{FF2B5EF4-FFF2-40B4-BE49-F238E27FC236}">
              <a16:creationId xmlns:a16="http://schemas.microsoft.com/office/drawing/2014/main" id="{9788D84D-8969-4D71-B580-16DCE6DFB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2" name="Picture 31" descr="https://mail.google.com/mail/u/0/images/cleardot.gif">
          <a:extLst>
            <a:ext uri="{FF2B5EF4-FFF2-40B4-BE49-F238E27FC236}">
              <a16:creationId xmlns:a16="http://schemas.microsoft.com/office/drawing/2014/main" id="{2953FB31-D764-468E-AE23-022739086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3" name="Picture 32" descr="https://mail.google.com/mail/u/0/images/cleardot.gif">
          <a:extLst>
            <a:ext uri="{FF2B5EF4-FFF2-40B4-BE49-F238E27FC236}">
              <a16:creationId xmlns:a16="http://schemas.microsoft.com/office/drawing/2014/main" id="{C3E13BC2-CBEE-4286-8B6E-D10807C3B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4" name="Picture 33" descr="https://mail.google.com/mail/u/0/images/cleardot.gif">
          <a:extLst>
            <a:ext uri="{FF2B5EF4-FFF2-40B4-BE49-F238E27FC236}">
              <a16:creationId xmlns:a16="http://schemas.microsoft.com/office/drawing/2014/main" id="{9A495AF7-B780-4D99-8588-F7E5E620A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5" name="Picture 34" descr="https://mail.google.com/mail/u/0/images/cleardot.gif">
          <a:extLst>
            <a:ext uri="{FF2B5EF4-FFF2-40B4-BE49-F238E27FC236}">
              <a16:creationId xmlns:a16="http://schemas.microsoft.com/office/drawing/2014/main" id="{8C4B23FA-8BD7-4DEC-9965-00E32C19E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6" name="Picture 35" descr="https://mail.google.com/mail/u/0/images/cleardot.gif">
          <a:extLst>
            <a:ext uri="{FF2B5EF4-FFF2-40B4-BE49-F238E27FC236}">
              <a16:creationId xmlns:a16="http://schemas.microsoft.com/office/drawing/2014/main" id="{DEDB58D5-FBC3-4FA7-BB9A-B42D5CDBA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7" name="Picture 36" descr="https://mail.google.com/mail/u/0/images/cleardot.gif">
          <a:extLst>
            <a:ext uri="{FF2B5EF4-FFF2-40B4-BE49-F238E27FC236}">
              <a16:creationId xmlns:a16="http://schemas.microsoft.com/office/drawing/2014/main" id="{8A4C9358-970F-4EB4-AF28-94B550F2E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8" name="Picture 37" descr="https://mail.google.com/mail/u/0/images/cleardot.gif">
          <a:extLst>
            <a:ext uri="{FF2B5EF4-FFF2-40B4-BE49-F238E27FC236}">
              <a16:creationId xmlns:a16="http://schemas.microsoft.com/office/drawing/2014/main" id="{1993FCD8-278E-4647-B5A6-BF14FA4FA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9" name="Picture 38" descr="https://mail.google.com/mail/u/0/images/cleardot.gif">
          <a:extLst>
            <a:ext uri="{FF2B5EF4-FFF2-40B4-BE49-F238E27FC236}">
              <a16:creationId xmlns:a16="http://schemas.microsoft.com/office/drawing/2014/main" id="{4EE3FEA2-F84A-4AA8-80D8-A0032C67F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0" name="Picture 39" descr="https://mail.google.com/mail/u/0/images/cleardot.gif">
          <a:extLst>
            <a:ext uri="{FF2B5EF4-FFF2-40B4-BE49-F238E27FC236}">
              <a16:creationId xmlns:a16="http://schemas.microsoft.com/office/drawing/2014/main" id="{A4D0FE6E-65EC-4A97-8634-550ECD899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1" name="Picture 40" descr="https://mail.google.com/mail/u/0/images/cleardot.gif">
          <a:extLst>
            <a:ext uri="{FF2B5EF4-FFF2-40B4-BE49-F238E27FC236}">
              <a16:creationId xmlns:a16="http://schemas.microsoft.com/office/drawing/2014/main" id="{0130F320-630E-4A66-8522-4CEB5326C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2" name="Picture 41" descr="https://mail.google.com/mail/u/0/images/cleardot.gif">
          <a:extLst>
            <a:ext uri="{FF2B5EF4-FFF2-40B4-BE49-F238E27FC236}">
              <a16:creationId xmlns:a16="http://schemas.microsoft.com/office/drawing/2014/main" id="{373E5546-961E-4FBB-80BB-B406784F2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3" name="Picture 42" descr="https://mail.google.com/mail/u/0/images/cleardot.gif">
          <a:extLst>
            <a:ext uri="{FF2B5EF4-FFF2-40B4-BE49-F238E27FC236}">
              <a16:creationId xmlns:a16="http://schemas.microsoft.com/office/drawing/2014/main" id="{3D6EB52F-C1F0-44CC-AF8A-7F974C9F9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4" name="Picture 43" descr="https://mail.google.com/mail/u/0/images/cleardot.gif">
          <a:extLst>
            <a:ext uri="{FF2B5EF4-FFF2-40B4-BE49-F238E27FC236}">
              <a16:creationId xmlns:a16="http://schemas.microsoft.com/office/drawing/2014/main" id="{D00452D1-0338-4766-A789-F5B98D3A7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5" name="Picture 44" descr="https://mail.google.com/mail/u/0/images/cleardot.gif">
          <a:extLst>
            <a:ext uri="{FF2B5EF4-FFF2-40B4-BE49-F238E27FC236}">
              <a16:creationId xmlns:a16="http://schemas.microsoft.com/office/drawing/2014/main" id="{CD4BBAEA-D41C-4C71-938C-6C17D4AD8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6" name="Picture 45" descr="https://mail.google.com/mail/u/0/images/cleardot.gif">
          <a:extLst>
            <a:ext uri="{FF2B5EF4-FFF2-40B4-BE49-F238E27FC236}">
              <a16:creationId xmlns:a16="http://schemas.microsoft.com/office/drawing/2014/main" id="{070000CE-6F09-431E-9F7F-D01570FA3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7" name="Picture 46" descr="https://mail.google.com/mail/u/0/images/cleardot.gif">
          <a:extLst>
            <a:ext uri="{FF2B5EF4-FFF2-40B4-BE49-F238E27FC236}">
              <a16:creationId xmlns:a16="http://schemas.microsoft.com/office/drawing/2014/main" id="{E6F11F82-88EF-4B35-BE43-9E75F33CB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8" name="Picture 47" descr="https://mail.google.com/mail/u/0/images/cleardot.gif">
          <a:extLst>
            <a:ext uri="{FF2B5EF4-FFF2-40B4-BE49-F238E27FC236}">
              <a16:creationId xmlns:a16="http://schemas.microsoft.com/office/drawing/2014/main" id="{7D012D22-86C7-4B52-9355-846F017D9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9" name="Picture 48" descr="https://mail.google.com/mail/u/0/images/cleardot.gif">
          <a:extLst>
            <a:ext uri="{FF2B5EF4-FFF2-40B4-BE49-F238E27FC236}">
              <a16:creationId xmlns:a16="http://schemas.microsoft.com/office/drawing/2014/main" id="{54B55E08-9988-4A23-ACC2-9D48C9E68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0" name="Picture 49" descr="https://mail.google.com/mail/u/0/images/cleardot.gif">
          <a:extLst>
            <a:ext uri="{FF2B5EF4-FFF2-40B4-BE49-F238E27FC236}">
              <a16:creationId xmlns:a16="http://schemas.microsoft.com/office/drawing/2014/main" id="{57288200-3878-45B4-A469-D8ED12AC7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1" name="Picture 50" descr="https://mail.google.com/mail/u/0/images/cleardot.gif">
          <a:extLst>
            <a:ext uri="{FF2B5EF4-FFF2-40B4-BE49-F238E27FC236}">
              <a16:creationId xmlns:a16="http://schemas.microsoft.com/office/drawing/2014/main" id="{C13E4AE1-3B4A-4D85-A16F-9B4221471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2" name="Picture 51" descr="https://mail.google.com/mail/u/0/images/cleardot.gif">
          <a:extLst>
            <a:ext uri="{FF2B5EF4-FFF2-40B4-BE49-F238E27FC236}">
              <a16:creationId xmlns:a16="http://schemas.microsoft.com/office/drawing/2014/main" id="{8423AA77-FBFD-430B-9D7C-4258C0D9D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3" name="Picture 52" descr="https://mail.google.com/mail/u/0/images/cleardot.gif">
          <a:extLst>
            <a:ext uri="{FF2B5EF4-FFF2-40B4-BE49-F238E27FC236}">
              <a16:creationId xmlns:a16="http://schemas.microsoft.com/office/drawing/2014/main" id="{5B53E5A2-7DBD-4EC3-AA6C-BE7905C0A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4" name="Picture 53" descr="https://mail.google.com/mail/u/0/images/cleardot.gif">
          <a:extLst>
            <a:ext uri="{FF2B5EF4-FFF2-40B4-BE49-F238E27FC236}">
              <a16:creationId xmlns:a16="http://schemas.microsoft.com/office/drawing/2014/main" id="{2A8EF0BC-ECF2-42B2-8DC5-3F0E419AB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5" name="Picture 54" descr="https://mail.google.com/mail/u/0/images/cleardot.gif">
          <a:extLst>
            <a:ext uri="{FF2B5EF4-FFF2-40B4-BE49-F238E27FC236}">
              <a16:creationId xmlns:a16="http://schemas.microsoft.com/office/drawing/2014/main" id="{A29F794A-8123-4627-AA48-8AB50E32E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6" name="Picture 55" descr="https://mail.google.com/mail/u/0/images/cleardot.gif">
          <a:extLst>
            <a:ext uri="{FF2B5EF4-FFF2-40B4-BE49-F238E27FC236}">
              <a16:creationId xmlns:a16="http://schemas.microsoft.com/office/drawing/2014/main" id="{938E2858-AE9E-4FC6-BBF1-6A5D2902A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7" name="Picture 56" descr="https://mail.google.com/mail/u/0/images/cleardot.gif">
          <a:extLst>
            <a:ext uri="{FF2B5EF4-FFF2-40B4-BE49-F238E27FC236}">
              <a16:creationId xmlns:a16="http://schemas.microsoft.com/office/drawing/2014/main" id="{8468DBAD-7124-45FC-8C50-256187BEA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8" name="Picture 57" descr="https://mail.google.com/mail/u/0/images/cleardot.gif">
          <a:extLst>
            <a:ext uri="{FF2B5EF4-FFF2-40B4-BE49-F238E27FC236}">
              <a16:creationId xmlns:a16="http://schemas.microsoft.com/office/drawing/2014/main" id="{8255E282-724B-4100-A6B5-A4A2DA556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9" name="Picture 58" descr="https://mail.google.com/mail/u/0/images/cleardot.gif">
          <a:extLst>
            <a:ext uri="{FF2B5EF4-FFF2-40B4-BE49-F238E27FC236}">
              <a16:creationId xmlns:a16="http://schemas.microsoft.com/office/drawing/2014/main" id="{B36310D0-2D57-4A37-8C46-6B9762AAB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60" name="Picture 59" descr="https://mail.google.com/mail/u/0/images/cleardot.gif">
          <a:extLst>
            <a:ext uri="{FF2B5EF4-FFF2-40B4-BE49-F238E27FC236}">
              <a16:creationId xmlns:a16="http://schemas.microsoft.com/office/drawing/2014/main" id="{FEDDCA79-202E-4C8F-9E33-9CEE921E3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61" name="Picture 60" descr="https://mail.google.com/mail/u/0/images/cleardot.gif">
          <a:extLst>
            <a:ext uri="{FF2B5EF4-FFF2-40B4-BE49-F238E27FC236}">
              <a16:creationId xmlns:a16="http://schemas.microsoft.com/office/drawing/2014/main" id="{A9EEFBC5-7BE1-4DDC-9137-8C0F63DED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62" name="Picture 61" descr="https://mail.google.com/mail/u/0/images/cleardot.gif">
          <a:extLst>
            <a:ext uri="{FF2B5EF4-FFF2-40B4-BE49-F238E27FC236}">
              <a16:creationId xmlns:a16="http://schemas.microsoft.com/office/drawing/2014/main" id="{F87E8AD3-0DD7-49E1-82BC-053FB89B6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63" name="Picture 62" descr="https://mail.google.com/mail/u/0/images/cleardot.gif">
          <a:extLst>
            <a:ext uri="{FF2B5EF4-FFF2-40B4-BE49-F238E27FC236}">
              <a16:creationId xmlns:a16="http://schemas.microsoft.com/office/drawing/2014/main" id="{D14A18BD-D173-433D-A155-7A8CC6C55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64" name="Picture 63" descr="https://mail.google.com/mail/u/0/images/cleardot.gif">
          <a:extLst>
            <a:ext uri="{FF2B5EF4-FFF2-40B4-BE49-F238E27FC236}">
              <a16:creationId xmlns:a16="http://schemas.microsoft.com/office/drawing/2014/main" id="{DB06E3EE-8804-4A00-A068-7C42F12B1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65" name="Picture 64" descr="https://mail.google.com/mail/u/0/images/cleardot.gif">
          <a:extLst>
            <a:ext uri="{FF2B5EF4-FFF2-40B4-BE49-F238E27FC236}">
              <a16:creationId xmlns:a16="http://schemas.microsoft.com/office/drawing/2014/main" id="{D58A6E10-33E9-4C64-BBE1-4E30F753D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66" name="Picture 65" descr="https://mail.google.com/mail/u/0/images/cleardot.gif">
          <a:extLst>
            <a:ext uri="{FF2B5EF4-FFF2-40B4-BE49-F238E27FC236}">
              <a16:creationId xmlns:a16="http://schemas.microsoft.com/office/drawing/2014/main" id="{564F0339-093D-4AC9-B0C2-1FB04D30B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67" name="Picture 66" descr="https://mail.google.com/mail/u/0/images/cleardot.gif">
          <a:extLst>
            <a:ext uri="{FF2B5EF4-FFF2-40B4-BE49-F238E27FC236}">
              <a16:creationId xmlns:a16="http://schemas.microsoft.com/office/drawing/2014/main" id="{1C8DFC92-C430-4B83-9B7D-DC79C2F36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68" name="Picture 67" descr="https://mail.google.com/mail/u/0/images/cleardot.gif">
          <a:extLst>
            <a:ext uri="{FF2B5EF4-FFF2-40B4-BE49-F238E27FC236}">
              <a16:creationId xmlns:a16="http://schemas.microsoft.com/office/drawing/2014/main" id="{4C0836D3-0256-436C-A49F-F915ECAA4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69" name="Picture 68" descr="https://mail.google.com/mail/u/0/images/cleardot.gif">
          <a:extLst>
            <a:ext uri="{FF2B5EF4-FFF2-40B4-BE49-F238E27FC236}">
              <a16:creationId xmlns:a16="http://schemas.microsoft.com/office/drawing/2014/main" id="{C432D875-C9CB-413B-8116-D1FBE670F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70" name="Picture 69" descr="https://mail.google.com/mail/u/0/images/cleardot.gif">
          <a:extLst>
            <a:ext uri="{FF2B5EF4-FFF2-40B4-BE49-F238E27FC236}">
              <a16:creationId xmlns:a16="http://schemas.microsoft.com/office/drawing/2014/main" id="{740B2D4E-F442-4BD2-83CB-5CB435443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71" name="Picture 70" descr="https://mail.google.com/mail/u/0/images/cleardot.gif">
          <a:extLst>
            <a:ext uri="{FF2B5EF4-FFF2-40B4-BE49-F238E27FC236}">
              <a16:creationId xmlns:a16="http://schemas.microsoft.com/office/drawing/2014/main" id="{C0DE0460-F3F0-4400-A750-A57D31046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72" name="Picture 71" descr="https://mail.google.com/mail/u/0/images/cleardot.gif">
          <a:extLst>
            <a:ext uri="{FF2B5EF4-FFF2-40B4-BE49-F238E27FC236}">
              <a16:creationId xmlns:a16="http://schemas.microsoft.com/office/drawing/2014/main" id="{9EBF4E1A-23F4-4933-A309-2F9A74EAC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73" name="Picture 72" descr="https://mail.google.com/mail/u/0/images/cleardot.gif">
          <a:extLst>
            <a:ext uri="{FF2B5EF4-FFF2-40B4-BE49-F238E27FC236}">
              <a16:creationId xmlns:a16="http://schemas.microsoft.com/office/drawing/2014/main" id="{4336B845-5E04-4925-85C4-283A545EC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74" name="Picture 73" descr="https://mail.google.com/mail/u/0/images/cleardot.gif">
          <a:extLst>
            <a:ext uri="{FF2B5EF4-FFF2-40B4-BE49-F238E27FC236}">
              <a16:creationId xmlns:a16="http://schemas.microsoft.com/office/drawing/2014/main" id="{E0A12E23-95F4-41CD-8335-A19E6489C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75" name="Picture 74" descr="https://mail.google.com/mail/u/0/images/cleardot.gif">
          <a:extLst>
            <a:ext uri="{FF2B5EF4-FFF2-40B4-BE49-F238E27FC236}">
              <a16:creationId xmlns:a16="http://schemas.microsoft.com/office/drawing/2014/main" id="{B80090DE-E9E3-4A8A-A83D-421FF3681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76" name="Picture 75" descr="https://mail.google.com/mail/u/0/images/cleardot.gif">
          <a:extLst>
            <a:ext uri="{FF2B5EF4-FFF2-40B4-BE49-F238E27FC236}">
              <a16:creationId xmlns:a16="http://schemas.microsoft.com/office/drawing/2014/main" id="{92512945-6780-4139-A7AB-C8A5F5E50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77" name="Picture 76" descr="https://mail.google.com/mail/u/0/images/cleardot.gif">
          <a:extLst>
            <a:ext uri="{FF2B5EF4-FFF2-40B4-BE49-F238E27FC236}">
              <a16:creationId xmlns:a16="http://schemas.microsoft.com/office/drawing/2014/main" id="{04D7BAB6-D3FF-495E-AAB3-085500598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78" name="Picture 77" descr="https://mail.google.com/mail/u/0/images/cleardot.gif">
          <a:extLst>
            <a:ext uri="{FF2B5EF4-FFF2-40B4-BE49-F238E27FC236}">
              <a16:creationId xmlns:a16="http://schemas.microsoft.com/office/drawing/2014/main" id="{669AA90F-DEBC-49FB-B67D-CABAC9312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79" name="Picture 78" descr="https://mail.google.com/mail/u/0/images/cleardot.gif">
          <a:extLst>
            <a:ext uri="{FF2B5EF4-FFF2-40B4-BE49-F238E27FC236}">
              <a16:creationId xmlns:a16="http://schemas.microsoft.com/office/drawing/2014/main" id="{3CDB01BC-E2ED-4914-B40F-D03AD9893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80" name="Picture 79" descr="https://mail.google.com/mail/u/0/images/cleardot.gif">
          <a:extLst>
            <a:ext uri="{FF2B5EF4-FFF2-40B4-BE49-F238E27FC236}">
              <a16:creationId xmlns:a16="http://schemas.microsoft.com/office/drawing/2014/main" id="{21960EAA-1D8A-4351-80CC-A669D141F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81" name="Picture 80" descr="https://mail.google.com/mail/u/0/images/cleardot.gif">
          <a:extLst>
            <a:ext uri="{FF2B5EF4-FFF2-40B4-BE49-F238E27FC236}">
              <a16:creationId xmlns:a16="http://schemas.microsoft.com/office/drawing/2014/main" id="{30243ED4-B88D-48C1-98F8-11D358BE1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82" name="Picture 81" descr="https://mail.google.com/mail/u/0/images/cleardot.gif">
          <a:extLst>
            <a:ext uri="{FF2B5EF4-FFF2-40B4-BE49-F238E27FC236}">
              <a16:creationId xmlns:a16="http://schemas.microsoft.com/office/drawing/2014/main" id="{40DA2A00-DC99-48C2-9614-D9545D720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83" name="Picture 82" descr="https://mail.google.com/mail/u/0/images/cleardot.gif">
          <a:extLst>
            <a:ext uri="{FF2B5EF4-FFF2-40B4-BE49-F238E27FC236}">
              <a16:creationId xmlns:a16="http://schemas.microsoft.com/office/drawing/2014/main" id="{198EA532-410E-45E6-AAF8-1620C25AD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84" name="Picture 83" descr="https://mail.google.com/mail/u/0/images/cleardot.gif">
          <a:extLst>
            <a:ext uri="{FF2B5EF4-FFF2-40B4-BE49-F238E27FC236}">
              <a16:creationId xmlns:a16="http://schemas.microsoft.com/office/drawing/2014/main" id="{A52BEC2D-4D8F-4A2A-8657-F635B04A1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85" name="Picture 84" descr="https://mail.google.com/mail/u/0/images/cleardot.gif">
          <a:extLst>
            <a:ext uri="{FF2B5EF4-FFF2-40B4-BE49-F238E27FC236}">
              <a16:creationId xmlns:a16="http://schemas.microsoft.com/office/drawing/2014/main" id="{FF7BC894-7EC8-4AA0-BED5-887EB26CA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86" name="Picture 85" descr="https://mail.google.com/mail/u/0/images/cleardot.gif">
          <a:extLst>
            <a:ext uri="{FF2B5EF4-FFF2-40B4-BE49-F238E27FC236}">
              <a16:creationId xmlns:a16="http://schemas.microsoft.com/office/drawing/2014/main" id="{851A38BE-DBD6-4ABD-B260-C3361FB82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87" name="Picture 86" descr="https://mail.google.com/mail/u/0/images/cleardot.gif">
          <a:extLst>
            <a:ext uri="{FF2B5EF4-FFF2-40B4-BE49-F238E27FC236}">
              <a16:creationId xmlns:a16="http://schemas.microsoft.com/office/drawing/2014/main" id="{2EF1E9E6-A689-49A7-BAEB-46777D390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88" name="Picture 87" descr="https://mail.google.com/mail/u/0/images/cleardot.gif">
          <a:extLst>
            <a:ext uri="{FF2B5EF4-FFF2-40B4-BE49-F238E27FC236}">
              <a16:creationId xmlns:a16="http://schemas.microsoft.com/office/drawing/2014/main" id="{78BC3192-66E2-44B4-8354-263986BA2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89" name="Picture 88" descr="https://mail.google.com/mail/u/0/images/cleardot.gif">
          <a:extLst>
            <a:ext uri="{FF2B5EF4-FFF2-40B4-BE49-F238E27FC236}">
              <a16:creationId xmlns:a16="http://schemas.microsoft.com/office/drawing/2014/main" id="{B298FE4C-01B4-4A95-887F-053BEA428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90" name="Picture 89" descr="https://mail.google.com/mail/u/0/images/cleardot.gif">
          <a:extLst>
            <a:ext uri="{FF2B5EF4-FFF2-40B4-BE49-F238E27FC236}">
              <a16:creationId xmlns:a16="http://schemas.microsoft.com/office/drawing/2014/main" id="{39BD24D0-FEC5-4218-8D9D-079987F20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91" name="Picture 90" descr="https://mail.google.com/mail/u/0/images/cleardot.gif">
          <a:extLst>
            <a:ext uri="{FF2B5EF4-FFF2-40B4-BE49-F238E27FC236}">
              <a16:creationId xmlns:a16="http://schemas.microsoft.com/office/drawing/2014/main" id="{0E9F97FE-BE4B-4EC8-8EB7-935717087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92" name="Picture 91" descr="https://mail.google.com/mail/u/0/images/cleardot.gif">
          <a:extLst>
            <a:ext uri="{FF2B5EF4-FFF2-40B4-BE49-F238E27FC236}">
              <a16:creationId xmlns:a16="http://schemas.microsoft.com/office/drawing/2014/main" id="{3B718ABE-7443-413C-9BAC-1DD2840C7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93" name="Picture 92" descr="https://mail.google.com/mail/u/0/images/cleardot.gif">
          <a:extLst>
            <a:ext uri="{FF2B5EF4-FFF2-40B4-BE49-F238E27FC236}">
              <a16:creationId xmlns:a16="http://schemas.microsoft.com/office/drawing/2014/main" id="{94E1135C-CD6C-48E1-BE86-4CADEB157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94" name="Picture 93" descr="https://mail.google.com/mail/u/0/images/cleardot.gif">
          <a:extLst>
            <a:ext uri="{FF2B5EF4-FFF2-40B4-BE49-F238E27FC236}">
              <a16:creationId xmlns:a16="http://schemas.microsoft.com/office/drawing/2014/main" id="{C3370526-8AE7-46AC-87B7-1FC0D41FD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95" name="Picture 94" descr="https://mail.google.com/mail/u/0/images/cleardot.gif">
          <a:extLst>
            <a:ext uri="{FF2B5EF4-FFF2-40B4-BE49-F238E27FC236}">
              <a16:creationId xmlns:a16="http://schemas.microsoft.com/office/drawing/2014/main" id="{EDA65110-E9D8-4464-93CB-2A27259D5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96" name="Picture 95" descr="https://mail.google.com/mail/u/0/images/cleardot.gif">
          <a:extLst>
            <a:ext uri="{FF2B5EF4-FFF2-40B4-BE49-F238E27FC236}">
              <a16:creationId xmlns:a16="http://schemas.microsoft.com/office/drawing/2014/main" id="{E49ABB59-A3BD-4F44-92E5-86FF36611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97" name="Picture 96" descr="https://mail.google.com/mail/u/0/images/cleardot.gif">
          <a:extLst>
            <a:ext uri="{FF2B5EF4-FFF2-40B4-BE49-F238E27FC236}">
              <a16:creationId xmlns:a16="http://schemas.microsoft.com/office/drawing/2014/main" id="{0CEFE1CE-6B88-4C3D-9685-3790540DD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98" name="Picture 97" descr="https://mail.google.com/mail/u/0/images/cleardot.gif">
          <a:extLst>
            <a:ext uri="{FF2B5EF4-FFF2-40B4-BE49-F238E27FC236}">
              <a16:creationId xmlns:a16="http://schemas.microsoft.com/office/drawing/2014/main" id="{DBABAD61-99CE-470B-8270-9A8E217E7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99" name="Picture 98" descr="https://mail.google.com/mail/u/0/images/cleardot.gif">
          <a:extLst>
            <a:ext uri="{FF2B5EF4-FFF2-40B4-BE49-F238E27FC236}">
              <a16:creationId xmlns:a16="http://schemas.microsoft.com/office/drawing/2014/main" id="{4AC76360-268C-49A5-9E04-679F40C18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00" name="Picture 99" descr="https://mail.google.com/mail/u/0/images/cleardot.gif">
          <a:extLst>
            <a:ext uri="{FF2B5EF4-FFF2-40B4-BE49-F238E27FC236}">
              <a16:creationId xmlns:a16="http://schemas.microsoft.com/office/drawing/2014/main" id="{91A315AA-55A8-4A29-AF8F-019E180C4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01" name="Picture 100" descr="https://mail.google.com/mail/u/0/images/cleardot.gif">
          <a:extLst>
            <a:ext uri="{FF2B5EF4-FFF2-40B4-BE49-F238E27FC236}">
              <a16:creationId xmlns:a16="http://schemas.microsoft.com/office/drawing/2014/main" id="{BE4F0300-5069-4CB9-934D-2FAA6EA35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02" name="Picture 101" descr="https://mail.google.com/mail/u/0/images/cleardot.gif">
          <a:extLst>
            <a:ext uri="{FF2B5EF4-FFF2-40B4-BE49-F238E27FC236}">
              <a16:creationId xmlns:a16="http://schemas.microsoft.com/office/drawing/2014/main" id="{B343014B-8BB4-410B-9FFC-F74F31D66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03" name="Picture 102" descr="https://mail.google.com/mail/u/0/images/cleardot.gif">
          <a:extLst>
            <a:ext uri="{FF2B5EF4-FFF2-40B4-BE49-F238E27FC236}">
              <a16:creationId xmlns:a16="http://schemas.microsoft.com/office/drawing/2014/main" id="{5F76E972-8ECC-40EC-9EA7-72BF07C60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04" name="Picture 103" descr="https://mail.google.com/mail/u/0/images/cleardot.gif">
          <a:extLst>
            <a:ext uri="{FF2B5EF4-FFF2-40B4-BE49-F238E27FC236}">
              <a16:creationId xmlns:a16="http://schemas.microsoft.com/office/drawing/2014/main" id="{4C86B42E-ED10-4A2E-A231-C19BF22BA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05" name="Picture 104" descr="https://mail.google.com/mail/u/0/images/cleardot.gif">
          <a:extLst>
            <a:ext uri="{FF2B5EF4-FFF2-40B4-BE49-F238E27FC236}">
              <a16:creationId xmlns:a16="http://schemas.microsoft.com/office/drawing/2014/main" id="{82683151-B130-485E-A15F-3F9845A2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06" name="Picture 105" descr="https://mail.google.com/mail/u/0/images/cleardot.gif">
          <a:extLst>
            <a:ext uri="{FF2B5EF4-FFF2-40B4-BE49-F238E27FC236}">
              <a16:creationId xmlns:a16="http://schemas.microsoft.com/office/drawing/2014/main" id="{89BB33EC-90E8-4AE6-AF31-9DE7A6619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07" name="Picture 106" descr="https://mail.google.com/mail/u/0/images/cleardot.gif">
          <a:extLst>
            <a:ext uri="{FF2B5EF4-FFF2-40B4-BE49-F238E27FC236}">
              <a16:creationId xmlns:a16="http://schemas.microsoft.com/office/drawing/2014/main" id="{03FAFBA5-E3FB-43A7-9A24-EE68510D2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08" name="Picture 107" descr="https://mail.google.com/mail/u/0/images/cleardot.gif">
          <a:extLst>
            <a:ext uri="{FF2B5EF4-FFF2-40B4-BE49-F238E27FC236}">
              <a16:creationId xmlns:a16="http://schemas.microsoft.com/office/drawing/2014/main" id="{5D1C08F5-247C-4A2E-A6D7-499ACAD21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09" name="Picture 108" descr="https://mail.google.com/mail/u/0/images/cleardot.gif">
          <a:extLst>
            <a:ext uri="{FF2B5EF4-FFF2-40B4-BE49-F238E27FC236}">
              <a16:creationId xmlns:a16="http://schemas.microsoft.com/office/drawing/2014/main" id="{0E673E39-426D-4E47-B02B-6369A4C6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10" name="Picture 109" descr="https://mail.google.com/mail/u/0/images/cleardot.gif">
          <a:extLst>
            <a:ext uri="{FF2B5EF4-FFF2-40B4-BE49-F238E27FC236}">
              <a16:creationId xmlns:a16="http://schemas.microsoft.com/office/drawing/2014/main" id="{854D85AC-8A81-4A5E-B037-CB2795AA6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11" name="Picture 110" descr="https://mail.google.com/mail/u/0/images/cleardot.gif">
          <a:extLst>
            <a:ext uri="{FF2B5EF4-FFF2-40B4-BE49-F238E27FC236}">
              <a16:creationId xmlns:a16="http://schemas.microsoft.com/office/drawing/2014/main" id="{08EF5652-2CCC-495A-82DE-A6E6C21AA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12" name="Picture 111" descr="https://mail.google.com/mail/u/0/images/cleardot.gif">
          <a:extLst>
            <a:ext uri="{FF2B5EF4-FFF2-40B4-BE49-F238E27FC236}">
              <a16:creationId xmlns:a16="http://schemas.microsoft.com/office/drawing/2014/main" id="{6DFFB457-EC1D-47F8-88C5-92D3573CC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13" name="Picture 112" descr="https://mail.google.com/mail/u/0/images/cleardot.gif">
          <a:extLst>
            <a:ext uri="{FF2B5EF4-FFF2-40B4-BE49-F238E27FC236}">
              <a16:creationId xmlns:a16="http://schemas.microsoft.com/office/drawing/2014/main" id="{90E7F8B1-0993-4C3A-A20E-BF6B174D4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14" name="Picture 113" descr="https://mail.google.com/mail/u/0/images/cleardot.gif">
          <a:extLst>
            <a:ext uri="{FF2B5EF4-FFF2-40B4-BE49-F238E27FC236}">
              <a16:creationId xmlns:a16="http://schemas.microsoft.com/office/drawing/2014/main" id="{CA031027-DB65-4EE6-A383-29AC09ECD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15" name="Picture 114" descr="https://mail.google.com/mail/u/0/images/cleardot.gif">
          <a:extLst>
            <a:ext uri="{FF2B5EF4-FFF2-40B4-BE49-F238E27FC236}">
              <a16:creationId xmlns:a16="http://schemas.microsoft.com/office/drawing/2014/main" id="{739B43C1-C006-4C60-AD17-A9BA49E13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16" name="Picture 115" descr="https://mail.google.com/mail/u/0/images/cleardot.gif">
          <a:extLst>
            <a:ext uri="{FF2B5EF4-FFF2-40B4-BE49-F238E27FC236}">
              <a16:creationId xmlns:a16="http://schemas.microsoft.com/office/drawing/2014/main" id="{AA31A277-EAEC-458F-A167-0794520B7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17" name="Picture 116" descr="https://mail.google.com/mail/u/0/images/cleardot.gif">
          <a:extLst>
            <a:ext uri="{FF2B5EF4-FFF2-40B4-BE49-F238E27FC236}">
              <a16:creationId xmlns:a16="http://schemas.microsoft.com/office/drawing/2014/main" id="{EB7C9CE4-ACD3-4BD5-8DFE-362DF528F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18" name="Picture 117" descr="https://mail.google.com/mail/u/0/images/cleardot.gif">
          <a:extLst>
            <a:ext uri="{FF2B5EF4-FFF2-40B4-BE49-F238E27FC236}">
              <a16:creationId xmlns:a16="http://schemas.microsoft.com/office/drawing/2014/main" id="{70D31B68-B4A7-4AF3-8654-660E1A523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19" name="Picture 118" descr="https://mail.google.com/mail/u/0/images/cleardot.gif">
          <a:extLst>
            <a:ext uri="{FF2B5EF4-FFF2-40B4-BE49-F238E27FC236}">
              <a16:creationId xmlns:a16="http://schemas.microsoft.com/office/drawing/2014/main" id="{BF61B488-3A6A-4AC6-B04E-884EA24FD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20" name="Picture 119" descr="https://mail.google.com/mail/u/0/images/cleardot.gif">
          <a:extLst>
            <a:ext uri="{FF2B5EF4-FFF2-40B4-BE49-F238E27FC236}">
              <a16:creationId xmlns:a16="http://schemas.microsoft.com/office/drawing/2014/main" id="{088BBE2A-8971-405F-9894-01A30AAEF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21" name="Picture 120" descr="https://mail.google.com/mail/u/0/images/cleardot.gif">
          <a:extLst>
            <a:ext uri="{FF2B5EF4-FFF2-40B4-BE49-F238E27FC236}">
              <a16:creationId xmlns:a16="http://schemas.microsoft.com/office/drawing/2014/main" id="{AF25FA0C-EE9E-43AD-9FAE-4EE3705BC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22" name="Picture 121" descr="https://mail.google.com/mail/u/0/images/cleardot.gif">
          <a:extLst>
            <a:ext uri="{FF2B5EF4-FFF2-40B4-BE49-F238E27FC236}">
              <a16:creationId xmlns:a16="http://schemas.microsoft.com/office/drawing/2014/main" id="{E95BA22C-CB76-4318-860B-0CCAC5155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23" name="Picture 122" descr="https://mail.google.com/mail/u/0/images/cleardot.gif">
          <a:extLst>
            <a:ext uri="{FF2B5EF4-FFF2-40B4-BE49-F238E27FC236}">
              <a16:creationId xmlns:a16="http://schemas.microsoft.com/office/drawing/2014/main" id="{F1E0F483-03B3-4639-88C6-F96B69C6F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24" name="Picture 123" descr="https://mail.google.com/mail/u/0/images/cleardot.gif">
          <a:extLst>
            <a:ext uri="{FF2B5EF4-FFF2-40B4-BE49-F238E27FC236}">
              <a16:creationId xmlns:a16="http://schemas.microsoft.com/office/drawing/2014/main" id="{BC8B1597-A1BB-43D2-B732-FD9D25CA8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25" name="Picture 124" descr="https://mail.google.com/mail/u/0/images/cleardot.gif">
          <a:extLst>
            <a:ext uri="{FF2B5EF4-FFF2-40B4-BE49-F238E27FC236}">
              <a16:creationId xmlns:a16="http://schemas.microsoft.com/office/drawing/2014/main" id="{91B4D521-01ED-4C0C-B67E-E3417DAC2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26" name="Picture 125" descr="https://mail.google.com/mail/u/0/images/cleardot.gif">
          <a:extLst>
            <a:ext uri="{FF2B5EF4-FFF2-40B4-BE49-F238E27FC236}">
              <a16:creationId xmlns:a16="http://schemas.microsoft.com/office/drawing/2014/main" id="{8D8CD4EC-1FF3-4354-906B-64E850154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27" name="Picture 126" descr="https://mail.google.com/mail/u/0/images/cleardot.gif">
          <a:extLst>
            <a:ext uri="{FF2B5EF4-FFF2-40B4-BE49-F238E27FC236}">
              <a16:creationId xmlns:a16="http://schemas.microsoft.com/office/drawing/2014/main" id="{74D9AE50-F849-4BBF-AD2E-E306B681D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28" name="Picture 127" descr="https://mail.google.com/mail/u/0/images/cleardot.gif">
          <a:extLst>
            <a:ext uri="{FF2B5EF4-FFF2-40B4-BE49-F238E27FC236}">
              <a16:creationId xmlns:a16="http://schemas.microsoft.com/office/drawing/2014/main" id="{302622A5-78A7-4ECD-AF15-3DA307686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29" name="Picture 128" descr="https://mail.google.com/mail/u/0/images/cleardot.gif">
          <a:extLst>
            <a:ext uri="{FF2B5EF4-FFF2-40B4-BE49-F238E27FC236}">
              <a16:creationId xmlns:a16="http://schemas.microsoft.com/office/drawing/2014/main" id="{93F93153-2F10-49F8-803C-EE97CB881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30" name="Picture 129" descr="https://mail.google.com/mail/u/0/images/cleardot.gif">
          <a:extLst>
            <a:ext uri="{FF2B5EF4-FFF2-40B4-BE49-F238E27FC236}">
              <a16:creationId xmlns:a16="http://schemas.microsoft.com/office/drawing/2014/main" id="{FEDA60E1-A2D0-4C98-9CFD-BCCF1C802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31" name="Picture 130" descr="https://mail.google.com/mail/u/0/images/cleardot.gif">
          <a:extLst>
            <a:ext uri="{FF2B5EF4-FFF2-40B4-BE49-F238E27FC236}">
              <a16:creationId xmlns:a16="http://schemas.microsoft.com/office/drawing/2014/main" id="{5823A9F1-499E-490E-B8B4-040519DD5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32" name="Picture 131" descr="https://mail.google.com/mail/u/0/images/cleardot.gif">
          <a:extLst>
            <a:ext uri="{FF2B5EF4-FFF2-40B4-BE49-F238E27FC236}">
              <a16:creationId xmlns:a16="http://schemas.microsoft.com/office/drawing/2014/main" id="{25039ADA-2F5F-4B3F-97C4-5F834472E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33" name="Picture 132" descr="https://mail.google.com/mail/u/0/images/cleardot.gif">
          <a:extLst>
            <a:ext uri="{FF2B5EF4-FFF2-40B4-BE49-F238E27FC236}">
              <a16:creationId xmlns:a16="http://schemas.microsoft.com/office/drawing/2014/main" id="{EC24AD38-2654-460C-81DD-2D197DDA5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34" name="Picture 133" descr="https://mail.google.com/mail/u/0/images/cleardot.gif">
          <a:extLst>
            <a:ext uri="{FF2B5EF4-FFF2-40B4-BE49-F238E27FC236}">
              <a16:creationId xmlns:a16="http://schemas.microsoft.com/office/drawing/2014/main" id="{A8E9FC31-C0FE-4E59-98E4-5A96C7E60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35" name="Picture 134" descr="https://mail.google.com/mail/u/0/images/cleardot.gif">
          <a:extLst>
            <a:ext uri="{FF2B5EF4-FFF2-40B4-BE49-F238E27FC236}">
              <a16:creationId xmlns:a16="http://schemas.microsoft.com/office/drawing/2014/main" id="{569FA596-B29C-423D-8A0D-9BB4539ED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36" name="Picture 135" descr="https://mail.google.com/mail/u/0/images/cleardot.gif">
          <a:extLst>
            <a:ext uri="{FF2B5EF4-FFF2-40B4-BE49-F238E27FC236}">
              <a16:creationId xmlns:a16="http://schemas.microsoft.com/office/drawing/2014/main" id="{76ACFA49-7856-4551-AA09-0B1BD0636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37" name="Picture 136" descr="https://mail.google.com/mail/u/0/images/cleardot.gif">
          <a:extLst>
            <a:ext uri="{FF2B5EF4-FFF2-40B4-BE49-F238E27FC236}">
              <a16:creationId xmlns:a16="http://schemas.microsoft.com/office/drawing/2014/main" id="{63628574-ADA5-49E7-91B7-511AD9120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38" name="Picture 137" descr="https://mail.google.com/mail/u/0/images/cleardot.gif">
          <a:extLst>
            <a:ext uri="{FF2B5EF4-FFF2-40B4-BE49-F238E27FC236}">
              <a16:creationId xmlns:a16="http://schemas.microsoft.com/office/drawing/2014/main" id="{F6400D14-4A48-4FD8-AEBD-A65A343D6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39" name="Picture 138" descr="https://mail.google.com/mail/u/0/images/cleardot.gif">
          <a:extLst>
            <a:ext uri="{FF2B5EF4-FFF2-40B4-BE49-F238E27FC236}">
              <a16:creationId xmlns:a16="http://schemas.microsoft.com/office/drawing/2014/main" id="{5D7755AD-AC2E-4D16-833D-400562DDD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40" name="Picture 139" descr="https://mail.google.com/mail/u/0/images/cleardot.gif">
          <a:extLst>
            <a:ext uri="{FF2B5EF4-FFF2-40B4-BE49-F238E27FC236}">
              <a16:creationId xmlns:a16="http://schemas.microsoft.com/office/drawing/2014/main" id="{AC132FC1-39B2-4B3E-A3DD-DC277AFD2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41" name="Picture 140" descr="https://mail.google.com/mail/u/0/images/cleardot.gif">
          <a:extLst>
            <a:ext uri="{FF2B5EF4-FFF2-40B4-BE49-F238E27FC236}">
              <a16:creationId xmlns:a16="http://schemas.microsoft.com/office/drawing/2014/main" id="{A7099EC7-66AD-46A6-B795-3DD33A605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42" name="Picture 141" descr="https://mail.google.com/mail/u/0/images/cleardot.gif">
          <a:extLst>
            <a:ext uri="{FF2B5EF4-FFF2-40B4-BE49-F238E27FC236}">
              <a16:creationId xmlns:a16="http://schemas.microsoft.com/office/drawing/2014/main" id="{3288504F-0464-476B-B77B-51BEE6B7E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43" name="Picture 142" descr="https://mail.google.com/mail/u/0/images/cleardot.gif">
          <a:extLst>
            <a:ext uri="{FF2B5EF4-FFF2-40B4-BE49-F238E27FC236}">
              <a16:creationId xmlns:a16="http://schemas.microsoft.com/office/drawing/2014/main" id="{50EA2EB8-D23C-463B-9095-F1919418E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44" name="Picture 143" descr="https://mail.google.com/mail/u/0/images/cleardot.gif">
          <a:extLst>
            <a:ext uri="{FF2B5EF4-FFF2-40B4-BE49-F238E27FC236}">
              <a16:creationId xmlns:a16="http://schemas.microsoft.com/office/drawing/2014/main" id="{0F4C1518-793A-4CE8-A4D1-AF16FF5D0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45" name="Picture 144" descr="https://mail.google.com/mail/u/0/images/cleardot.gif">
          <a:extLst>
            <a:ext uri="{FF2B5EF4-FFF2-40B4-BE49-F238E27FC236}">
              <a16:creationId xmlns:a16="http://schemas.microsoft.com/office/drawing/2014/main" id="{CCCEFE23-303C-4C3E-9A87-4AE46A1AE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46" name="Picture 145" descr="https://mail.google.com/mail/u/0/images/cleardot.gif">
          <a:extLst>
            <a:ext uri="{FF2B5EF4-FFF2-40B4-BE49-F238E27FC236}">
              <a16:creationId xmlns:a16="http://schemas.microsoft.com/office/drawing/2014/main" id="{E8A98082-EF5A-4635-8347-0C3725186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47" name="Picture 146" descr="https://mail.google.com/mail/u/0/images/cleardot.gif">
          <a:extLst>
            <a:ext uri="{FF2B5EF4-FFF2-40B4-BE49-F238E27FC236}">
              <a16:creationId xmlns:a16="http://schemas.microsoft.com/office/drawing/2014/main" id="{F513CF65-3BA5-426E-9DD2-B4DEA48CB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48" name="Picture 147" descr="https://mail.google.com/mail/u/0/images/cleardot.gif">
          <a:extLst>
            <a:ext uri="{FF2B5EF4-FFF2-40B4-BE49-F238E27FC236}">
              <a16:creationId xmlns:a16="http://schemas.microsoft.com/office/drawing/2014/main" id="{7FDE278B-7626-47E1-AE16-D16B2AEDD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49" name="Picture 148" descr="https://mail.google.com/mail/u/0/images/cleardot.gif">
          <a:extLst>
            <a:ext uri="{FF2B5EF4-FFF2-40B4-BE49-F238E27FC236}">
              <a16:creationId xmlns:a16="http://schemas.microsoft.com/office/drawing/2014/main" id="{EE20B537-9F19-4C65-829D-CD0B2257A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50" name="Picture 149" descr="https://mail.google.com/mail/u/0/images/cleardot.gif">
          <a:extLst>
            <a:ext uri="{FF2B5EF4-FFF2-40B4-BE49-F238E27FC236}">
              <a16:creationId xmlns:a16="http://schemas.microsoft.com/office/drawing/2014/main" id="{474E28F8-0D46-441A-957F-4427DA8E1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51" name="Picture 150" descr="https://mail.google.com/mail/u/0/images/cleardot.gif">
          <a:extLst>
            <a:ext uri="{FF2B5EF4-FFF2-40B4-BE49-F238E27FC236}">
              <a16:creationId xmlns:a16="http://schemas.microsoft.com/office/drawing/2014/main" id="{3165E27C-A935-42AC-8662-6CC292B0F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52" name="Picture 151" descr="https://mail.google.com/mail/u/0/images/cleardot.gif">
          <a:extLst>
            <a:ext uri="{FF2B5EF4-FFF2-40B4-BE49-F238E27FC236}">
              <a16:creationId xmlns:a16="http://schemas.microsoft.com/office/drawing/2014/main" id="{4FBF383A-2761-43CE-B8D6-BC1414774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53" name="Picture 152" descr="https://mail.google.com/mail/u/0/images/cleardot.gif">
          <a:extLst>
            <a:ext uri="{FF2B5EF4-FFF2-40B4-BE49-F238E27FC236}">
              <a16:creationId xmlns:a16="http://schemas.microsoft.com/office/drawing/2014/main" id="{7068835C-B439-4629-AC36-2B16AB5FA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54" name="Picture 153" descr="https://mail.google.com/mail/u/0/images/cleardot.gif">
          <a:extLst>
            <a:ext uri="{FF2B5EF4-FFF2-40B4-BE49-F238E27FC236}">
              <a16:creationId xmlns:a16="http://schemas.microsoft.com/office/drawing/2014/main" id="{DD44C2DE-2D98-40DB-BDB0-C443F7A5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55" name="Picture 154" descr="https://mail.google.com/mail/u/0/images/cleardot.gif">
          <a:extLst>
            <a:ext uri="{FF2B5EF4-FFF2-40B4-BE49-F238E27FC236}">
              <a16:creationId xmlns:a16="http://schemas.microsoft.com/office/drawing/2014/main" id="{4F22E782-018D-4BD9-9387-1FC2C65E2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56" name="Picture 155" descr="https://mail.google.com/mail/u/0/images/cleardot.gif">
          <a:extLst>
            <a:ext uri="{FF2B5EF4-FFF2-40B4-BE49-F238E27FC236}">
              <a16:creationId xmlns:a16="http://schemas.microsoft.com/office/drawing/2014/main" id="{06894E5F-7902-4B2E-BC98-8D68D971A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57" name="Picture 156" descr="https://mail.google.com/mail/u/0/images/cleardot.gif">
          <a:extLst>
            <a:ext uri="{FF2B5EF4-FFF2-40B4-BE49-F238E27FC236}">
              <a16:creationId xmlns:a16="http://schemas.microsoft.com/office/drawing/2014/main" id="{1050A8C2-55D4-4B57-AFAE-DCA56B746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58" name="Picture 157" descr="https://mail.google.com/mail/u/0/images/cleardot.gif">
          <a:extLst>
            <a:ext uri="{FF2B5EF4-FFF2-40B4-BE49-F238E27FC236}">
              <a16:creationId xmlns:a16="http://schemas.microsoft.com/office/drawing/2014/main" id="{C0E3C4B3-58C5-4309-ACE5-794882B0A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59" name="Picture 158" descr="https://mail.google.com/mail/u/0/images/cleardot.gif">
          <a:extLst>
            <a:ext uri="{FF2B5EF4-FFF2-40B4-BE49-F238E27FC236}">
              <a16:creationId xmlns:a16="http://schemas.microsoft.com/office/drawing/2014/main" id="{03CDBDD4-EFA2-4467-9535-512531ED0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60" name="Picture 159" descr="https://mail.google.com/mail/u/0/images/cleardot.gif">
          <a:extLst>
            <a:ext uri="{FF2B5EF4-FFF2-40B4-BE49-F238E27FC236}">
              <a16:creationId xmlns:a16="http://schemas.microsoft.com/office/drawing/2014/main" id="{AE685405-F257-428B-80BC-AC82E5FE6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61" name="Picture 160" descr="https://mail.google.com/mail/u/0/images/cleardot.gif">
          <a:extLst>
            <a:ext uri="{FF2B5EF4-FFF2-40B4-BE49-F238E27FC236}">
              <a16:creationId xmlns:a16="http://schemas.microsoft.com/office/drawing/2014/main" id="{E2FED110-0C92-49CB-B93E-33EF03C4D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62" name="Picture 161" descr="https://mail.google.com/mail/u/0/images/cleardot.gif">
          <a:extLst>
            <a:ext uri="{FF2B5EF4-FFF2-40B4-BE49-F238E27FC236}">
              <a16:creationId xmlns:a16="http://schemas.microsoft.com/office/drawing/2014/main" id="{5E102CF3-0FB6-4691-8F32-49226D209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63" name="Picture 162" descr="https://mail.google.com/mail/u/0/images/cleardot.gif">
          <a:extLst>
            <a:ext uri="{FF2B5EF4-FFF2-40B4-BE49-F238E27FC236}">
              <a16:creationId xmlns:a16="http://schemas.microsoft.com/office/drawing/2014/main" id="{4D7ED13E-C704-4005-ABC1-AF75E831B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64" name="Picture 163" descr="https://mail.google.com/mail/u/0/images/cleardot.gif">
          <a:extLst>
            <a:ext uri="{FF2B5EF4-FFF2-40B4-BE49-F238E27FC236}">
              <a16:creationId xmlns:a16="http://schemas.microsoft.com/office/drawing/2014/main" id="{BD711147-3675-40C1-A772-0A9F6B5EE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65" name="Picture 164" descr="https://mail.google.com/mail/u/0/images/cleardot.gif">
          <a:extLst>
            <a:ext uri="{FF2B5EF4-FFF2-40B4-BE49-F238E27FC236}">
              <a16:creationId xmlns:a16="http://schemas.microsoft.com/office/drawing/2014/main" id="{B56E8C27-2B34-4BE4-9BF5-8E2F88258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66" name="Picture 165" descr="https://mail.google.com/mail/u/0/images/cleardot.gif">
          <a:extLst>
            <a:ext uri="{FF2B5EF4-FFF2-40B4-BE49-F238E27FC236}">
              <a16:creationId xmlns:a16="http://schemas.microsoft.com/office/drawing/2014/main" id="{5DFA3AF0-7F10-49C5-8D2B-7F7438D9C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67" name="Picture 166" descr="https://mail.google.com/mail/u/0/images/cleardot.gif">
          <a:extLst>
            <a:ext uri="{FF2B5EF4-FFF2-40B4-BE49-F238E27FC236}">
              <a16:creationId xmlns:a16="http://schemas.microsoft.com/office/drawing/2014/main" id="{B799BC5F-FAF1-4B21-BF41-269F5D4BB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68" name="Picture 167" descr="https://mail.google.com/mail/u/0/images/cleardot.gif">
          <a:extLst>
            <a:ext uri="{FF2B5EF4-FFF2-40B4-BE49-F238E27FC236}">
              <a16:creationId xmlns:a16="http://schemas.microsoft.com/office/drawing/2014/main" id="{C93D8FA0-B0FD-431C-B24A-CA04E0BE6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69" name="Picture 168" descr="https://mail.google.com/mail/u/0/images/cleardot.gif">
          <a:extLst>
            <a:ext uri="{FF2B5EF4-FFF2-40B4-BE49-F238E27FC236}">
              <a16:creationId xmlns:a16="http://schemas.microsoft.com/office/drawing/2014/main" id="{8DE72858-CCFA-4BC7-8DF0-7A4883F47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70" name="Picture 169" descr="https://mail.google.com/mail/u/0/images/cleardot.gif">
          <a:extLst>
            <a:ext uri="{FF2B5EF4-FFF2-40B4-BE49-F238E27FC236}">
              <a16:creationId xmlns:a16="http://schemas.microsoft.com/office/drawing/2014/main" id="{3EA55246-6F32-45F0-B5CE-9F825A756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71" name="Picture 170" descr="https://mail.google.com/mail/u/0/images/cleardot.gif">
          <a:extLst>
            <a:ext uri="{FF2B5EF4-FFF2-40B4-BE49-F238E27FC236}">
              <a16:creationId xmlns:a16="http://schemas.microsoft.com/office/drawing/2014/main" id="{3AA9734C-96C1-4676-A624-0F435429E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72" name="Picture 171" descr="https://mail.google.com/mail/u/0/images/cleardot.gif">
          <a:extLst>
            <a:ext uri="{FF2B5EF4-FFF2-40B4-BE49-F238E27FC236}">
              <a16:creationId xmlns:a16="http://schemas.microsoft.com/office/drawing/2014/main" id="{0BE6BD53-DCAB-4437-8FB2-F7B5A5828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73" name="Picture 172" descr="https://mail.google.com/mail/u/0/images/cleardot.gif">
          <a:extLst>
            <a:ext uri="{FF2B5EF4-FFF2-40B4-BE49-F238E27FC236}">
              <a16:creationId xmlns:a16="http://schemas.microsoft.com/office/drawing/2014/main" id="{A466F587-3947-4A92-81C3-E49235EAC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74" name="Picture 173" descr="https://mail.google.com/mail/u/0/images/cleardot.gif">
          <a:extLst>
            <a:ext uri="{FF2B5EF4-FFF2-40B4-BE49-F238E27FC236}">
              <a16:creationId xmlns:a16="http://schemas.microsoft.com/office/drawing/2014/main" id="{CCCDDC10-D055-41D6-8C61-F4642DAE7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75" name="Picture 174" descr="https://mail.google.com/mail/u/0/images/cleardot.gif">
          <a:extLst>
            <a:ext uri="{FF2B5EF4-FFF2-40B4-BE49-F238E27FC236}">
              <a16:creationId xmlns:a16="http://schemas.microsoft.com/office/drawing/2014/main" id="{84A94E43-40F1-4784-BE8F-7D42BDB07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76" name="Picture 175" descr="https://mail.google.com/mail/u/0/images/cleardot.gif">
          <a:extLst>
            <a:ext uri="{FF2B5EF4-FFF2-40B4-BE49-F238E27FC236}">
              <a16:creationId xmlns:a16="http://schemas.microsoft.com/office/drawing/2014/main" id="{5193985C-A149-4D39-9B60-C43D64132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77" name="Picture 176" descr="https://mail.google.com/mail/u/0/images/cleardot.gif">
          <a:extLst>
            <a:ext uri="{FF2B5EF4-FFF2-40B4-BE49-F238E27FC236}">
              <a16:creationId xmlns:a16="http://schemas.microsoft.com/office/drawing/2014/main" id="{68860094-D316-4D24-9CDF-15B31A52C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78" name="Picture 177" descr="https://mail.google.com/mail/u/0/images/cleardot.gif">
          <a:extLst>
            <a:ext uri="{FF2B5EF4-FFF2-40B4-BE49-F238E27FC236}">
              <a16:creationId xmlns:a16="http://schemas.microsoft.com/office/drawing/2014/main" id="{8D619FCD-6279-4DEF-9746-E13667A75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79" name="Picture 178" descr="https://mail.google.com/mail/u/0/images/cleardot.gif">
          <a:extLst>
            <a:ext uri="{FF2B5EF4-FFF2-40B4-BE49-F238E27FC236}">
              <a16:creationId xmlns:a16="http://schemas.microsoft.com/office/drawing/2014/main" id="{AF197BD3-7508-4147-9CCE-ADF8FDAA6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80" name="Picture 179" descr="https://mail.google.com/mail/u/0/images/cleardot.gif">
          <a:extLst>
            <a:ext uri="{FF2B5EF4-FFF2-40B4-BE49-F238E27FC236}">
              <a16:creationId xmlns:a16="http://schemas.microsoft.com/office/drawing/2014/main" id="{D9B37EAA-18C1-484B-BD68-4B97BCF4F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81" name="Picture 180" descr="https://mail.google.com/mail/u/0/images/cleardot.gif">
          <a:extLst>
            <a:ext uri="{FF2B5EF4-FFF2-40B4-BE49-F238E27FC236}">
              <a16:creationId xmlns:a16="http://schemas.microsoft.com/office/drawing/2014/main" id="{2F4623AD-A937-477E-A196-65A220C2F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82" name="Picture 181" descr="https://mail.google.com/mail/u/0/images/cleardot.gif">
          <a:extLst>
            <a:ext uri="{FF2B5EF4-FFF2-40B4-BE49-F238E27FC236}">
              <a16:creationId xmlns:a16="http://schemas.microsoft.com/office/drawing/2014/main" id="{DC219277-0DE3-4796-AC2F-8C4DB7959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83" name="Picture 182" descr="https://mail.google.com/mail/u/0/images/cleardot.gif">
          <a:extLst>
            <a:ext uri="{FF2B5EF4-FFF2-40B4-BE49-F238E27FC236}">
              <a16:creationId xmlns:a16="http://schemas.microsoft.com/office/drawing/2014/main" id="{A487C659-75FD-4C7E-BE03-F8F7D1A0A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84" name="Picture 183" descr="https://mail.google.com/mail/u/0/images/cleardot.gif">
          <a:extLst>
            <a:ext uri="{FF2B5EF4-FFF2-40B4-BE49-F238E27FC236}">
              <a16:creationId xmlns:a16="http://schemas.microsoft.com/office/drawing/2014/main" id="{695DF3B1-9FD6-437B-9F22-850D332F7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85" name="Picture 184" descr="https://mail.google.com/mail/u/0/images/cleardot.gif">
          <a:extLst>
            <a:ext uri="{FF2B5EF4-FFF2-40B4-BE49-F238E27FC236}">
              <a16:creationId xmlns:a16="http://schemas.microsoft.com/office/drawing/2014/main" id="{8BEB47E3-2CF6-4043-A9CA-51C3A7D15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86" name="Picture 185" descr="https://mail.google.com/mail/u/0/images/cleardot.gif">
          <a:extLst>
            <a:ext uri="{FF2B5EF4-FFF2-40B4-BE49-F238E27FC236}">
              <a16:creationId xmlns:a16="http://schemas.microsoft.com/office/drawing/2014/main" id="{2430AE04-957B-41ED-894E-B1C028259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87" name="Picture 186" descr="https://mail.google.com/mail/u/0/images/cleardot.gif">
          <a:extLst>
            <a:ext uri="{FF2B5EF4-FFF2-40B4-BE49-F238E27FC236}">
              <a16:creationId xmlns:a16="http://schemas.microsoft.com/office/drawing/2014/main" id="{3EF0AF3B-2A6A-477C-BF03-7F315B18C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88" name="Picture 187" descr="https://mail.google.com/mail/u/0/images/cleardot.gif">
          <a:extLst>
            <a:ext uri="{FF2B5EF4-FFF2-40B4-BE49-F238E27FC236}">
              <a16:creationId xmlns:a16="http://schemas.microsoft.com/office/drawing/2014/main" id="{A0403EE5-A924-4AB4-BF7D-369E365C4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89" name="Picture 188" descr="https://mail.google.com/mail/u/0/images/cleardot.gif">
          <a:extLst>
            <a:ext uri="{FF2B5EF4-FFF2-40B4-BE49-F238E27FC236}">
              <a16:creationId xmlns:a16="http://schemas.microsoft.com/office/drawing/2014/main" id="{6545A075-C00A-4AE7-A10D-55671953B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90" name="Picture 189" descr="https://mail.google.com/mail/u/0/images/cleardot.gif">
          <a:extLst>
            <a:ext uri="{FF2B5EF4-FFF2-40B4-BE49-F238E27FC236}">
              <a16:creationId xmlns:a16="http://schemas.microsoft.com/office/drawing/2014/main" id="{0246CB49-52A4-492B-B787-2B9FC208B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91" name="Picture 190" descr="https://mail.google.com/mail/u/0/images/cleardot.gif">
          <a:extLst>
            <a:ext uri="{FF2B5EF4-FFF2-40B4-BE49-F238E27FC236}">
              <a16:creationId xmlns:a16="http://schemas.microsoft.com/office/drawing/2014/main" id="{B89D580C-6152-4451-B112-5B644DC4E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92" name="Picture 191" descr="https://mail.google.com/mail/u/0/images/cleardot.gif">
          <a:extLst>
            <a:ext uri="{FF2B5EF4-FFF2-40B4-BE49-F238E27FC236}">
              <a16:creationId xmlns:a16="http://schemas.microsoft.com/office/drawing/2014/main" id="{2135F42B-796C-49AC-A9F4-11BF2BCAC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93" name="Picture 192" descr="https://mail.google.com/mail/u/0/images/cleardot.gif">
          <a:extLst>
            <a:ext uri="{FF2B5EF4-FFF2-40B4-BE49-F238E27FC236}">
              <a16:creationId xmlns:a16="http://schemas.microsoft.com/office/drawing/2014/main" id="{5C342550-32BE-4B60-AA22-7EB4095B5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94" name="Picture 193" descr="https://mail.google.com/mail/u/0/images/cleardot.gif">
          <a:extLst>
            <a:ext uri="{FF2B5EF4-FFF2-40B4-BE49-F238E27FC236}">
              <a16:creationId xmlns:a16="http://schemas.microsoft.com/office/drawing/2014/main" id="{8E01C006-9F19-448B-821A-98A1CCE3E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95" name="Picture 194" descr="https://mail.google.com/mail/u/0/images/cleardot.gif">
          <a:extLst>
            <a:ext uri="{FF2B5EF4-FFF2-40B4-BE49-F238E27FC236}">
              <a16:creationId xmlns:a16="http://schemas.microsoft.com/office/drawing/2014/main" id="{A8D7F4E9-9146-4E91-8626-ABB974A4C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96" name="Picture 195" descr="https://mail.google.com/mail/u/0/images/cleardot.gif">
          <a:extLst>
            <a:ext uri="{FF2B5EF4-FFF2-40B4-BE49-F238E27FC236}">
              <a16:creationId xmlns:a16="http://schemas.microsoft.com/office/drawing/2014/main" id="{B2A1708E-3596-4395-963D-D385E8BDA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97" name="Picture 196" descr="https://mail.google.com/mail/u/0/images/cleardot.gif">
          <a:extLst>
            <a:ext uri="{FF2B5EF4-FFF2-40B4-BE49-F238E27FC236}">
              <a16:creationId xmlns:a16="http://schemas.microsoft.com/office/drawing/2014/main" id="{B897A44A-1BBE-4AD2-9F40-E070E59C5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98" name="Picture 197" descr="https://mail.google.com/mail/u/0/images/cleardot.gif">
          <a:extLst>
            <a:ext uri="{FF2B5EF4-FFF2-40B4-BE49-F238E27FC236}">
              <a16:creationId xmlns:a16="http://schemas.microsoft.com/office/drawing/2014/main" id="{1ADEA234-3366-4D1F-955D-7D823772C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199" name="Picture 198" descr="https://mail.google.com/mail/u/0/images/cleardot.gif">
          <a:extLst>
            <a:ext uri="{FF2B5EF4-FFF2-40B4-BE49-F238E27FC236}">
              <a16:creationId xmlns:a16="http://schemas.microsoft.com/office/drawing/2014/main" id="{CBAA7379-831C-41B2-8395-971FC20C7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00" name="Picture 199" descr="https://mail.google.com/mail/u/0/images/cleardot.gif">
          <a:extLst>
            <a:ext uri="{FF2B5EF4-FFF2-40B4-BE49-F238E27FC236}">
              <a16:creationId xmlns:a16="http://schemas.microsoft.com/office/drawing/2014/main" id="{CAE44F37-30E7-45DA-A20C-6D0DAF2F6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01" name="Picture 200" descr="https://mail.google.com/mail/u/0/images/cleardot.gif">
          <a:extLst>
            <a:ext uri="{FF2B5EF4-FFF2-40B4-BE49-F238E27FC236}">
              <a16:creationId xmlns:a16="http://schemas.microsoft.com/office/drawing/2014/main" id="{044EE8FA-CB27-4C22-B70C-634FE890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02" name="Picture 201" descr="https://mail.google.com/mail/u/0/images/cleardot.gif">
          <a:extLst>
            <a:ext uri="{FF2B5EF4-FFF2-40B4-BE49-F238E27FC236}">
              <a16:creationId xmlns:a16="http://schemas.microsoft.com/office/drawing/2014/main" id="{E9A3DCC8-CFB2-4417-9503-83EAA3339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03" name="Picture 202" descr="https://mail.google.com/mail/u/0/images/cleardot.gif">
          <a:extLst>
            <a:ext uri="{FF2B5EF4-FFF2-40B4-BE49-F238E27FC236}">
              <a16:creationId xmlns:a16="http://schemas.microsoft.com/office/drawing/2014/main" id="{36BF5390-BBE7-4542-AD19-059C94162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04" name="Picture 203" descr="https://mail.google.com/mail/u/0/images/cleardot.gif">
          <a:extLst>
            <a:ext uri="{FF2B5EF4-FFF2-40B4-BE49-F238E27FC236}">
              <a16:creationId xmlns:a16="http://schemas.microsoft.com/office/drawing/2014/main" id="{F253D96E-7271-45B9-9E8C-2A1BED376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05" name="Picture 204" descr="https://mail.google.com/mail/u/0/images/cleardot.gif">
          <a:extLst>
            <a:ext uri="{FF2B5EF4-FFF2-40B4-BE49-F238E27FC236}">
              <a16:creationId xmlns:a16="http://schemas.microsoft.com/office/drawing/2014/main" id="{35E60E69-55FA-4161-8A11-039D0349F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06" name="Picture 205" descr="https://mail.google.com/mail/u/0/images/cleardot.gif">
          <a:extLst>
            <a:ext uri="{FF2B5EF4-FFF2-40B4-BE49-F238E27FC236}">
              <a16:creationId xmlns:a16="http://schemas.microsoft.com/office/drawing/2014/main" id="{3A142E15-81DD-4B2D-8947-D8A3980FB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07" name="Picture 206" descr="https://mail.google.com/mail/u/0/images/cleardot.gif">
          <a:extLst>
            <a:ext uri="{FF2B5EF4-FFF2-40B4-BE49-F238E27FC236}">
              <a16:creationId xmlns:a16="http://schemas.microsoft.com/office/drawing/2014/main" id="{FCBC9F91-0F65-4A29-AD5E-F4D54C476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08" name="Picture 207" descr="https://mail.google.com/mail/u/0/images/cleardot.gif">
          <a:extLst>
            <a:ext uri="{FF2B5EF4-FFF2-40B4-BE49-F238E27FC236}">
              <a16:creationId xmlns:a16="http://schemas.microsoft.com/office/drawing/2014/main" id="{92C1CDDE-F444-4D12-B261-2D96C620E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09" name="Picture 208" descr="https://mail.google.com/mail/u/0/images/cleardot.gif">
          <a:extLst>
            <a:ext uri="{FF2B5EF4-FFF2-40B4-BE49-F238E27FC236}">
              <a16:creationId xmlns:a16="http://schemas.microsoft.com/office/drawing/2014/main" id="{ADBBFBDA-4AE2-46A0-8DC1-D493BF286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10" name="Picture 209" descr="https://mail.google.com/mail/u/0/images/cleardot.gif">
          <a:extLst>
            <a:ext uri="{FF2B5EF4-FFF2-40B4-BE49-F238E27FC236}">
              <a16:creationId xmlns:a16="http://schemas.microsoft.com/office/drawing/2014/main" id="{781CF4F1-DEE1-4ACA-A13F-2510B1322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11" name="Picture 210" descr="https://mail.google.com/mail/u/0/images/cleardot.gif">
          <a:extLst>
            <a:ext uri="{FF2B5EF4-FFF2-40B4-BE49-F238E27FC236}">
              <a16:creationId xmlns:a16="http://schemas.microsoft.com/office/drawing/2014/main" id="{2BA0E632-466E-457E-9832-7BD373B72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12" name="Picture 211" descr="https://mail.google.com/mail/u/0/images/cleardot.gif">
          <a:extLst>
            <a:ext uri="{FF2B5EF4-FFF2-40B4-BE49-F238E27FC236}">
              <a16:creationId xmlns:a16="http://schemas.microsoft.com/office/drawing/2014/main" id="{0598D64D-5D68-43DF-BAD7-2900CA285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13" name="Picture 212" descr="https://mail.google.com/mail/u/0/images/cleardot.gif">
          <a:extLst>
            <a:ext uri="{FF2B5EF4-FFF2-40B4-BE49-F238E27FC236}">
              <a16:creationId xmlns:a16="http://schemas.microsoft.com/office/drawing/2014/main" id="{3DC1B6DB-E718-46A5-9868-D45D3740C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14" name="Picture 213" descr="https://mail.google.com/mail/u/0/images/cleardot.gif">
          <a:extLst>
            <a:ext uri="{FF2B5EF4-FFF2-40B4-BE49-F238E27FC236}">
              <a16:creationId xmlns:a16="http://schemas.microsoft.com/office/drawing/2014/main" id="{422883E6-D938-4207-B04E-C146410DA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15" name="Picture 214" descr="https://mail.google.com/mail/u/0/images/cleardot.gif">
          <a:extLst>
            <a:ext uri="{FF2B5EF4-FFF2-40B4-BE49-F238E27FC236}">
              <a16:creationId xmlns:a16="http://schemas.microsoft.com/office/drawing/2014/main" id="{C04D06A8-710D-4C64-A1A0-A47A8EE90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16" name="Picture 215" descr="https://mail.google.com/mail/u/0/images/cleardot.gif">
          <a:extLst>
            <a:ext uri="{FF2B5EF4-FFF2-40B4-BE49-F238E27FC236}">
              <a16:creationId xmlns:a16="http://schemas.microsoft.com/office/drawing/2014/main" id="{ED1B50E0-3F02-4F5C-86D6-A88BE09C3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17" name="Picture 216" descr="https://mail.google.com/mail/u/0/images/cleardot.gif">
          <a:extLst>
            <a:ext uri="{FF2B5EF4-FFF2-40B4-BE49-F238E27FC236}">
              <a16:creationId xmlns:a16="http://schemas.microsoft.com/office/drawing/2014/main" id="{186DA9EB-CC33-4AB4-BEDA-CC7832983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18" name="Picture 217" descr="https://mail.google.com/mail/u/0/images/cleardot.gif">
          <a:extLst>
            <a:ext uri="{FF2B5EF4-FFF2-40B4-BE49-F238E27FC236}">
              <a16:creationId xmlns:a16="http://schemas.microsoft.com/office/drawing/2014/main" id="{DCA9B0A4-F09F-4AA6-99BC-F3EE47421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19" name="Picture 218" descr="https://mail.google.com/mail/u/0/images/cleardot.gif">
          <a:extLst>
            <a:ext uri="{FF2B5EF4-FFF2-40B4-BE49-F238E27FC236}">
              <a16:creationId xmlns:a16="http://schemas.microsoft.com/office/drawing/2014/main" id="{F93ABDEB-F40D-4BD1-B14C-6659FAC86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20" name="Picture 219" descr="https://mail.google.com/mail/u/0/images/cleardot.gif">
          <a:extLst>
            <a:ext uri="{FF2B5EF4-FFF2-40B4-BE49-F238E27FC236}">
              <a16:creationId xmlns:a16="http://schemas.microsoft.com/office/drawing/2014/main" id="{0823C3E8-7230-41CA-A1ED-BAC0F5B2C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21" name="Picture 220" descr="https://mail.google.com/mail/u/0/images/cleardot.gif">
          <a:extLst>
            <a:ext uri="{FF2B5EF4-FFF2-40B4-BE49-F238E27FC236}">
              <a16:creationId xmlns:a16="http://schemas.microsoft.com/office/drawing/2014/main" id="{69B5F64F-3624-46DE-A2F5-D6A6EB95F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22" name="Picture 221" descr="https://mail.google.com/mail/u/0/images/cleardot.gif">
          <a:extLst>
            <a:ext uri="{FF2B5EF4-FFF2-40B4-BE49-F238E27FC236}">
              <a16:creationId xmlns:a16="http://schemas.microsoft.com/office/drawing/2014/main" id="{5D615EB1-F27E-4274-B9D0-57F655B57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23" name="Picture 222" descr="https://mail.google.com/mail/u/0/images/cleardot.gif">
          <a:extLst>
            <a:ext uri="{FF2B5EF4-FFF2-40B4-BE49-F238E27FC236}">
              <a16:creationId xmlns:a16="http://schemas.microsoft.com/office/drawing/2014/main" id="{E2635E71-5879-403A-AC1E-358DB4EE4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24" name="Picture 223" descr="https://mail.google.com/mail/u/0/images/cleardot.gif">
          <a:extLst>
            <a:ext uri="{FF2B5EF4-FFF2-40B4-BE49-F238E27FC236}">
              <a16:creationId xmlns:a16="http://schemas.microsoft.com/office/drawing/2014/main" id="{6083E772-ADFA-4ED6-8EB2-EABE7E0CF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25" name="Picture 224" descr="https://mail.google.com/mail/u/0/images/cleardot.gif">
          <a:extLst>
            <a:ext uri="{FF2B5EF4-FFF2-40B4-BE49-F238E27FC236}">
              <a16:creationId xmlns:a16="http://schemas.microsoft.com/office/drawing/2014/main" id="{9165A85E-2B88-4828-82E5-19A54BB84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26" name="Picture 225" descr="https://mail.google.com/mail/u/0/images/cleardot.gif">
          <a:extLst>
            <a:ext uri="{FF2B5EF4-FFF2-40B4-BE49-F238E27FC236}">
              <a16:creationId xmlns:a16="http://schemas.microsoft.com/office/drawing/2014/main" id="{B5E39BFB-C491-4FFA-BC2D-33A88F19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27" name="Picture 226" descr="https://mail.google.com/mail/u/0/images/cleardot.gif">
          <a:extLst>
            <a:ext uri="{FF2B5EF4-FFF2-40B4-BE49-F238E27FC236}">
              <a16:creationId xmlns:a16="http://schemas.microsoft.com/office/drawing/2014/main" id="{D43967B1-34BA-43C5-B77F-EB6CBEA10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28" name="Picture 227" descr="https://mail.google.com/mail/u/0/images/cleardot.gif">
          <a:extLst>
            <a:ext uri="{FF2B5EF4-FFF2-40B4-BE49-F238E27FC236}">
              <a16:creationId xmlns:a16="http://schemas.microsoft.com/office/drawing/2014/main" id="{6EE9EB51-26CF-4487-8599-CDFC8EA55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29" name="Picture 228" descr="https://mail.google.com/mail/u/0/images/cleardot.gif">
          <a:extLst>
            <a:ext uri="{FF2B5EF4-FFF2-40B4-BE49-F238E27FC236}">
              <a16:creationId xmlns:a16="http://schemas.microsoft.com/office/drawing/2014/main" id="{CD6939E1-6A38-448D-9C01-7AE08B924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30" name="Picture 229" descr="https://mail.google.com/mail/u/0/images/cleardot.gif">
          <a:extLst>
            <a:ext uri="{FF2B5EF4-FFF2-40B4-BE49-F238E27FC236}">
              <a16:creationId xmlns:a16="http://schemas.microsoft.com/office/drawing/2014/main" id="{B44D5082-1357-401B-BE9E-5A48E789F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31" name="Picture 230" descr="https://mail.google.com/mail/u/0/images/cleardot.gif">
          <a:extLst>
            <a:ext uri="{FF2B5EF4-FFF2-40B4-BE49-F238E27FC236}">
              <a16:creationId xmlns:a16="http://schemas.microsoft.com/office/drawing/2014/main" id="{306EF6B3-A6EE-4604-ACD6-C9F6CE6AB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32" name="Picture 231" descr="https://mail.google.com/mail/u/0/images/cleardot.gif">
          <a:extLst>
            <a:ext uri="{FF2B5EF4-FFF2-40B4-BE49-F238E27FC236}">
              <a16:creationId xmlns:a16="http://schemas.microsoft.com/office/drawing/2014/main" id="{285AB36C-12BE-4D5D-8694-B878030CE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33" name="Picture 232" descr="https://mail.google.com/mail/u/0/images/cleardot.gif">
          <a:extLst>
            <a:ext uri="{FF2B5EF4-FFF2-40B4-BE49-F238E27FC236}">
              <a16:creationId xmlns:a16="http://schemas.microsoft.com/office/drawing/2014/main" id="{3F6B98CE-0031-49A8-834D-4EC280415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34" name="Picture 233" descr="https://mail.google.com/mail/u/0/images/cleardot.gif">
          <a:extLst>
            <a:ext uri="{FF2B5EF4-FFF2-40B4-BE49-F238E27FC236}">
              <a16:creationId xmlns:a16="http://schemas.microsoft.com/office/drawing/2014/main" id="{C46B9519-798E-4840-9F13-CA4F03009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35" name="Picture 234" descr="https://mail.google.com/mail/u/0/images/cleardot.gif">
          <a:extLst>
            <a:ext uri="{FF2B5EF4-FFF2-40B4-BE49-F238E27FC236}">
              <a16:creationId xmlns:a16="http://schemas.microsoft.com/office/drawing/2014/main" id="{87B1CEAF-B340-496C-82D0-2C11CDA9F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36" name="Picture 235" descr="https://mail.google.com/mail/u/0/images/cleardot.gif">
          <a:extLst>
            <a:ext uri="{FF2B5EF4-FFF2-40B4-BE49-F238E27FC236}">
              <a16:creationId xmlns:a16="http://schemas.microsoft.com/office/drawing/2014/main" id="{E48794EA-6321-4E1F-BD0E-CE211D5AF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37" name="Picture 236" descr="https://mail.google.com/mail/u/0/images/cleardot.gif">
          <a:extLst>
            <a:ext uri="{FF2B5EF4-FFF2-40B4-BE49-F238E27FC236}">
              <a16:creationId xmlns:a16="http://schemas.microsoft.com/office/drawing/2014/main" id="{E5280BD5-F068-43AE-AE9A-A45E0A768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38" name="Picture 237" descr="https://mail.google.com/mail/u/0/images/cleardot.gif">
          <a:extLst>
            <a:ext uri="{FF2B5EF4-FFF2-40B4-BE49-F238E27FC236}">
              <a16:creationId xmlns:a16="http://schemas.microsoft.com/office/drawing/2014/main" id="{F2C7B8B5-11B6-48EE-98D9-1198A860C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39" name="Picture 238" descr="https://mail.google.com/mail/u/0/images/cleardot.gif">
          <a:extLst>
            <a:ext uri="{FF2B5EF4-FFF2-40B4-BE49-F238E27FC236}">
              <a16:creationId xmlns:a16="http://schemas.microsoft.com/office/drawing/2014/main" id="{CC7D5B47-7FAD-42BA-8372-CE7248548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40" name="Picture 239" descr="https://mail.google.com/mail/u/0/images/cleardot.gif">
          <a:extLst>
            <a:ext uri="{FF2B5EF4-FFF2-40B4-BE49-F238E27FC236}">
              <a16:creationId xmlns:a16="http://schemas.microsoft.com/office/drawing/2014/main" id="{9C78F859-1297-4D5B-A921-E4A877EF2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41" name="Picture 240" descr="https://mail.google.com/mail/u/0/images/cleardot.gif">
          <a:extLst>
            <a:ext uri="{FF2B5EF4-FFF2-40B4-BE49-F238E27FC236}">
              <a16:creationId xmlns:a16="http://schemas.microsoft.com/office/drawing/2014/main" id="{3A76022C-1B28-4D2C-89BC-4CD3DCBCD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42" name="Picture 241" descr="https://mail.google.com/mail/u/0/images/cleardot.gif">
          <a:extLst>
            <a:ext uri="{FF2B5EF4-FFF2-40B4-BE49-F238E27FC236}">
              <a16:creationId xmlns:a16="http://schemas.microsoft.com/office/drawing/2014/main" id="{AE4C7B0F-91EF-4A2D-BDF0-A6FF28C65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43" name="Picture 242" descr="https://mail.google.com/mail/u/0/images/cleardot.gif">
          <a:extLst>
            <a:ext uri="{FF2B5EF4-FFF2-40B4-BE49-F238E27FC236}">
              <a16:creationId xmlns:a16="http://schemas.microsoft.com/office/drawing/2014/main" id="{C51A01E7-682E-4091-931C-9FA4B9CFA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44" name="Picture 243" descr="https://mail.google.com/mail/u/0/images/cleardot.gif">
          <a:extLst>
            <a:ext uri="{FF2B5EF4-FFF2-40B4-BE49-F238E27FC236}">
              <a16:creationId xmlns:a16="http://schemas.microsoft.com/office/drawing/2014/main" id="{E5B57C61-2B36-465D-952E-1EE4500FB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45" name="Picture 244" descr="https://mail.google.com/mail/u/0/images/cleardot.gif">
          <a:extLst>
            <a:ext uri="{FF2B5EF4-FFF2-40B4-BE49-F238E27FC236}">
              <a16:creationId xmlns:a16="http://schemas.microsoft.com/office/drawing/2014/main" id="{AB8CDB0C-9C0E-4C6D-AE74-2042F30DB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46" name="Picture 245" descr="https://mail.google.com/mail/u/0/images/cleardot.gif">
          <a:extLst>
            <a:ext uri="{FF2B5EF4-FFF2-40B4-BE49-F238E27FC236}">
              <a16:creationId xmlns:a16="http://schemas.microsoft.com/office/drawing/2014/main" id="{3CD9A900-F16A-41C0-8EC0-9B0198F3A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47" name="Picture 246" descr="https://mail.google.com/mail/u/0/images/cleardot.gif">
          <a:extLst>
            <a:ext uri="{FF2B5EF4-FFF2-40B4-BE49-F238E27FC236}">
              <a16:creationId xmlns:a16="http://schemas.microsoft.com/office/drawing/2014/main" id="{1BA3041D-8E10-47D5-B108-97C8C9AC7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48" name="Picture 247" descr="https://mail.google.com/mail/u/0/images/cleardot.gif">
          <a:extLst>
            <a:ext uri="{FF2B5EF4-FFF2-40B4-BE49-F238E27FC236}">
              <a16:creationId xmlns:a16="http://schemas.microsoft.com/office/drawing/2014/main" id="{68BBB8E9-0325-4071-B6F7-FEFC6D064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49" name="Picture 248" descr="https://mail.google.com/mail/u/0/images/cleardot.gif">
          <a:extLst>
            <a:ext uri="{FF2B5EF4-FFF2-40B4-BE49-F238E27FC236}">
              <a16:creationId xmlns:a16="http://schemas.microsoft.com/office/drawing/2014/main" id="{B5DE3461-04F1-4774-9A1D-4E62FE789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50" name="Picture 249" descr="https://mail.google.com/mail/u/0/images/cleardot.gif">
          <a:extLst>
            <a:ext uri="{FF2B5EF4-FFF2-40B4-BE49-F238E27FC236}">
              <a16:creationId xmlns:a16="http://schemas.microsoft.com/office/drawing/2014/main" id="{1BA96D99-173B-499C-B1B3-77E7896AB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51" name="Picture 250" descr="https://mail.google.com/mail/u/0/images/cleardot.gif">
          <a:extLst>
            <a:ext uri="{FF2B5EF4-FFF2-40B4-BE49-F238E27FC236}">
              <a16:creationId xmlns:a16="http://schemas.microsoft.com/office/drawing/2014/main" id="{4D6C297D-92B2-432B-8F28-C2E8FC933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52" name="Picture 251" descr="https://mail.google.com/mail/u/0/images/cleardot.gif">
          <a:extLst>
            <a:ext uri="{FF2B5EF4-FFF2-40B4-BE49-F238E27FC236}">
              <a16:creationId xmlns:a16="http://schemas.microsoft.com/office/drawing/2014/main" id="{2184E68C-1D6D-4101-B255-7261FDDB3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53" name="Picture 252" descr="https://mail.google.com/mail/u/0/images/cleardot.gif">
          <a:extLst>
            <a:ext uri="{FF2B5EF4-FFF2-40B4-BE49-F238E27FC236}">
              <a16:creationId xmlns:a16="http://schemas.microsoft.com/office/drawing/2014/main" id="{5325A1CF-BE03-41CD-8DB0-1476EA8A2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54" name="Picture 253" descr="https://mail.google.com/mail/u/0/images/cleardot.gif">
          <a:extLst>
            <a:ext uri="{FF2B5EF4-FFF2-40B4-BE49-F238E27FC236}">
              <a16:creationId xmlns:a16="http://schemas.microsoft.com/office/drawing/2014/main" id="{014B035B-BB54-4DC0-8421-364B73552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55" name="Picture 254" descr="https://mail.google.com/mail/u/0/images/cleardot.gif">
          <a:extLst>
            <a:ext uri="{FF2B5EF4-FFF2-40B4-BE49-F238E27FC236}">
              <a16:creationId xmlns:a16="http://schemas.microsoft.com/office/drawing/2014/main" id="{0D661205-3E1F-467C-88BA-DEC54D20B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56" name="Picture 255" descr="https://mail.google.com/mail/u/0/images/cleardot.gif">
          <a:extLst>
            <a:ext uri="{FF2B5EF4-FFF2-40B4-BE49-F238E27FC236}">
              <a16:creationId xmlns:a16="http://schemas.microsoft.com/office/drawing/2014/main" id="{E7BB6A20-B8DE-45DF-B291-29144E314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57" name="Picture 256" descr="https://mail.google.com/mail/u/0/images/cleardot.gif">
          <a:extLst>
            <a:ext uri="{FF2B5EF4-FFF2-40B4-BE49-F238E27FC236}">
              <a16:creationId xmlns:a16="http://schemas.microsoft.com/office/drawing/2014/main" id="{C4E77A37-205B-4E0F-AC07-FE49093EC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58" name="Picture 257" descr="https://mail.google.com/mail/u/0/images/cleardot.gif">
          <a:extLst>
            <a:ext uri="{FF2B5EF4-FFF2-40B4-BE49-F238E27FC236}">
              <a16:creationId xmlns:a16="http://schemas.microsoft.com/office/drawing/2014/main" id="{EE4F88F2-D1AA-439E-A5E1-FB71C934F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59" name="Picture 258" descr="https://mail.google.com/mail/u/0/images/cleardot.gif">
          <a:extLst>
            <a:ext uri="{FF2B5EF4-FFF2-40B4-BE49-F238E27FC236}">
              <a16:creationId xmlns:a16="http://schemas.microsoft.com/office/drawing/2014/main" id="{058903B1-7DF2-483D-8C3B-45694238E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60" name="Picture 259" descr="https://mail.google.com/mail/u/0/images/cleardot.gif">
          <a:extLst>
            <a:ext uri="{FF2B5EF4-FFF2-40B4-BE49-F238E27FC236}">
              <a16:creationId xmlns:a16="http://schemas.microsoft.com/office/drawing/2014/main" id="{AB3F7024-5C33-44A8-88FE-B10213E7D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61" name="Picture 260" descr="https://mail.google.com/mail/u/0/images/cleardot.gif">
          <a:extLst>
            <a:ext uri="{FF2B5EF4-FFF2-40B4-BE49-F238E27FC236}">
              <a16:creationId xmlns:a16="http://schemas.microsoft.com/office/drawing/2014/main" id="{010DF7F7-E09D-4EDF-8437-06E959780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62" name="Picture 261" descr="https://mail.google.com/mail/u/0/images/cleardot.gif">
          <a:extLst>
            <a:ext uri="{FF2B5EF4-FFF2-40B4-BE49-F238E27FC236}">
              <a16:creationId xmlns:a16="http://schemas.microsoft.com/office/drawing/2014/main" id="{5E1EF0EF-CF16-45CB-B4A4-76AA0B622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63" name="Picture 262" descr="https://mail.google.com/mail/u/0/images/cleardot.gif">
          <a:extLst>
            <a:ext uri="{FF2B5EF4-FFF2-40B4-BE49-F238E27FC236}">
              <a16:creationId xmlns:a16="http://schemas.microsoft.com/office/drawing/2014/main" id="{74F2893E-80C6-4395-97ED-2278AB883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64" name="Picture 263" descr="https://mail.google.com/mail/u/0/images/cleardot.gif">
          <a:extLst>
            <a:ext uri="{FF2B5EF4-FFF2-40B4-BE49-F238E27FC236}">
              <a16:creationId xmlns:a16="http://schemas.microsoft.com/office/drawing/2014/main" id="{ACEBEECF-9D8A-46DD-AD81-AD66BAA1F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65" name="Picture 264" descr="https://mail.google.com/mail/u/0/images/cleardot.gif">
          <a:extLst>
            <a:ext uri="{FF2B5EF4-FFF2-40B4-BE49-F238E27FC236}">
              <a16:creationId xmlns:a16="http://schemas.microsoft.com/office/drawing/2014/main" id="{24AFC6ED-3FD5-4558-8EE0-EAAD962B7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66" name="Picture 265" descr="https://mail.google.com/mail/u/0/images/cleardot.gif">
          <a:extLst>
            <a:ext uri="{FF2B5EF4-FFF2-40B4-BE49-F238E27FC236}">
              <a16:creationId xmlns:a16="http://schemas.microsoft.com/office/drawing/2014/main" id="{EA210F55-BB2B-4826-88D5-B77B4B096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67" name="Picture 266" descr="https://mail.google.com/mail/u/0/images/cleardot.gif">
          <a:extLst>
            <a:ext uri="{FF2B5EF4-FFF2-40B4-BE49-F238E27FC236}">
              <a16:creationId xmlns:a16="http://schemas.microsoft.com/office/drawing/2014/main" id="{3C95BE8C-528C-481D-A3CA-BAF0CC50F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68" name="Picture 267" descr="https://mail.google.com/mail/u/0/images/cleardot.gif">
          <a:extLst>
            <a:ext uri="{FF2B5EF4-FFF2-40B4-BE49-F238E27FC236}">
              <a16:creationId xmlns:a16="http://schemas.microsoft.com/office/drawing/2014/main" id="{78A8F45F-C347-489D-A3B2-38EDFBD85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69" name="Picture 268" descr="https://mail.google.com/mail/u/0/images/cleardot.gif">
          <a:extLst>
            <a:ext uri="{FF2B5EF4-FFF2-40B4-BE49-F238E27FC236}">
              <a16:creationId xmlns:a16="http://schemas.microsoft.com/office/drawing/2014/main" id="{BD10FB93-5109-4D57-905B-7B8F4E058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70" name="Picture 269" descr="https://mail.google.com/mail/u/0/images/cleardot.gif">
          <a:extLst>
            <a:ext uri="{FF2B5EF4-FFF2-40B4-BE49-F238E27FC236}">
              <a16:creationId xmlns:a16="http://schemas.microsoft.com/office/drawing/2014/main" id="{5EC73958-787E-4CAC-94E9-F24C3C407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71" name="Picture 270" descr="https://mail.google.com/mail/u/0/images/cleardot.gif">
          <a:extLst>
            <a:ext uri="{FF2B5EF4-FFF2-40B4-BE49-F238E27FC236}">
              <a16:creationId xmlns:a16="http://schemas.microsoft.com/office/drawing/2014/main" id="{B65965F9-7CB6-40DC-A06C-5328D5EE9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72" name="Picture 271" descr="https://mail.google.com/mail/u/0/images/cleardot.gif">
          <a:extLst>
            <a:ext uri="{FF2B5EF4-FFF2-40B4-BE49-F238E27FC236}">
              <a16:creationId xmlns:a16="http://schemas.microsoft.com/office/drawing/2014/main" id="{09CEAC38-988E-4E16-9C3A-9C5C4BC2C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73" name="Picture 272" descr="https://mail.google.com/mail/u/0/images/cleardot.gif">
          <a:extLst>
            <a:ext uri="{FF2B5EF4-FFF2-40B4-BE49-F238E27FC236}">
              <a16:creationId xmlns:a16="http://schemas.microsoft.com/office/drawing/2014/main" id="{9AEEA042-E870-4B7C-8FF0-84B715629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74" name="Picture 273" descr="https://mail.google.com/mail/u/0/images/cleardot.gif">
          <a:extLst>
            <a:ext uri="{FF2B5EF4-FFF2-40B4-BE49-F238E27FC236}">
              <a16:creationId xmlns:a16="http://schemas.microsoft.com/office/drawing/2014/main" id="{D8CF40A4-9356-4156-86D1-AF26677E5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75" name="Picture 274" descr="https://mail.google.com/mail/u/0/images/cleardot.gif">
          <a:extLst>
            <a:ext uri="{FF2B5EF4-FFF2-40B4-BE49-F238E27FC236}">
              <a16:creationId xmlns:a16="http://schemas.microsoft.com/office/drawing/2014/main" id="{854989A9-4FB3-442A-9C08-79A6CE6FA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76" name="Picture 275" descr="https://mail.google.com/mail/u/0/images/cleardot.gif">
          <a:extLst>
            <a:ext uri="{FF2B5EF4-FFF2-40B4-BE49-F238E27FC236}">
              <a16:creationId xmlns:a16="http://schemas.microsoft.com/office/drawing/2014/main" id="{2E0CA3D2-6D1B-4092-B8EA-43DA430F6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77" name="Picture 276" descr="https://mail.google.com/mail/u/0/images/cleardot.gif">
          <a:extLst>
            <a:ext uri="{FF2B5EF4-FFF2-40B4-BE49-F238E27FC236}">
              <a16:creationId xmlns:a16="http://schemas.microsoft.com/office/drawing/2014/main" id="{717FBE81-48ED-458B-8B71-63A369A22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78" name="Picture 277" descr="https://mail.google.com/mail/u/0/images/cleardot.gif">
          <a:extLst>
            <a:ext uri="{FF2B5EF4-FFF2-40B4-BE49-F238E27FC236}">
              <a16:creationId xmlns:a16="http://schemas.microsoft.com/office/drawing/2014/main" id="{A7AA50A6-4287-408F-8A1D-FF2382EE7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79" name="Picture 278" descr="https://mail.google.com/mail/u/0/images/cleardot.gif">
          <a:extLst>
            <a:ext uri="{FF2B5EF4-FFF2-40B4-BE49-F238E27FC236}">
              <a16:creationId xmlns:a16="http://schemas.microsoft.com/office/drawing/2014/main" id="{1B40BED0-E536-446B-85BE-5752BBD54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80" name="Picture 279" descr="https://mail.google.com/mail/u/0/images/cleardot.gif">
          <a:extLst>
            <a:ext uri="{FF2B5EF4-FFF2-40B4-BE49-F238E27FC236}">
              <a16:creationId xmlns:a16="http://schemas.microsoft.com/office/drawing/2014/main" id="{E7FE48C4-EADE-41C4-80F3-F73784BAA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81" name="Picture 280" descr="https://mail.google.com/mail/u/0/images/cleardot.gif">
          <a:extLst>
            <a:ext uri="{FF2B5EF4-FFF2-40B4-BE49-F238E27FC236}">
              <a16:creationId xmlns:a16="http://schemas.microsoft.com/office/drawing/2014/main" id="{14CC8B6D-6319-467C-BC60-DBD0F6BF1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5325" y="7791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82" name="Picture 281" descr="https://mail.google.com/mail/u/0/images/cleardot.gif">
          <a:extLst>
            <a:ext uri="{FF2B5EF4-FFF2-40B4-BE49-F238E27FC236}">
              <a16:creationId xmlns:a16="http://schemas.microsoft.com/office/drawing/2014/main" id="{D98322DD-79A2-432F-8489-C81DCDA87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83" name="Picture 282" descr="https://mail.google.com/mail/u/0/images/cleardot.gif">
          <a:extLst>
            <a:ext uri="{FF2B5EF4-FFF2-40B4-BE49-F238E27FC236}">
              <a16:creationId xmlns:a16="http://schemas.microsoft.com/office/drawing/2014/main" id="{F3C307AA-5C49-4EAC-97D1-D7B89B25D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84" name="Picture 283" descr="https://mail.google.com/mail/u/0/images/cleardot.gif">
          <a:extLst>
            <a:ext uri="{FF2B5EF4-FFF2-40B4-BE49-F238E27FC236}">
              <a16:creationId xmlns:a16="http://schemas.microsoft.com/office/drawing/2014/main" id="{7FA0104B-46B1-40E9-B29E-618A167B8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85" name="Picture 284" descr="https://mail.google.com/mail/u/0/images/cleardot.gif">
          <a:extLst>
            <a:ext uri="{FF2B5EF4-FFF2-40B4-BE49-F238E27FC236}">
              <a16:creationId xmlns:a16="http://schemas.microsoft.com/office/drawing/2014/main" id="{CA623073-FB38-4064-BD16-8692382F5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86" name="Picture 285" descr="https://mail.google.com/mail/u/0/images/cleardot.gif">
          <a:extLst>
            <a:ext uri="{FF2B5EF4-FFF2-40B4-BE49-F238E27FC236}">
              <a16:creationId xmlns:a16="http://schemas.microsoft.com/office/drawing/2014/main" id="{168D569C-4C4F-40D7-84DE-24DFC46FC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87" name="Picture 286" descr="https://mail.google.com/mail/u/0/images/cleardot.gif">
          <a:extLst>
            <a:ext uri="{FF2B5EF4-FFF2-40B4-BE49-F238E27FC236}">
              <a16:creationId xmlns:a16="http://schemas.microsoft.com/office/drawing/2014/main" id="{C4044AED-D086-4CDF-8C46-33D7BF8D8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88" name="Picture 287" descr="https://mail.google.com/mail/u/0/images/cleardot.gif">
          <a:extLst>
            <a:ext uri="{FF2B5EF4-FFF2-40B4-BE49-F238E27FC236}">
              <a16:creationId xmlns:a16="http://schemas.microsoft.com/office/drawing/2014/main" id="{2571C298-D992-4CA2-BB4E-224300434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89" name="Picture 288" descr="https://mail.google.com/mail/u/0/images/cleardot.gif">
          <a:extLst>
            <a:ext uri="{FF2B5EF4-FFF2-40B4-BE49-F238E27FC236}">
              <a16:creationId xmlns:a16="http://schemas.microsoft.com/office/drawing/2014/main" id="{B7EDDAD3-16FF-4B13-BF83-388FF629C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90" name="Picture 289" descr="https://mail.google.com/mail/u/0/images/cleardot.gif">
          <a:extLst>
            <a:ext uri="{FF2B5EF4-FFF2-40B4-BE49-F238E27FC236}">
              <a16:creationId xmlns:a16="http://schemas.microsoft.com/office/drawing/2014/main" id="{EE37AC2F-1542-44DF-9424-05FAE1ABB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91" name="Picture 290" descr="https://mail.google.com/mail/u/0/images/cleardot.gif">
          <a:extLst>
            <a:ext uri="{FF2B5EF4-FFF2-40B4-BE49-F238E27FC236}">
              <a16:creationId xmlns:a16="http://schemas.microsoft.com/office/drawing/2014/main" id="{63A9AFF2-D226-41D0-8235-8CF6ADC19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92" name="Picture 291" descr="https://mail.google.com/mail/u/0/images/cleardot.gif">
          <a:extLst>
            <a:ext uri="{FF2B5EF4-FFF2-40B4-BE49-F238E27FC236}">
              <a16:creationId xmlns:a16="http://schemas.microsoft.com/office/drawing/2014/main" id="{8A23824F-E7B2-4253-A8CD-F99FA44B5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93" name="Picture 292" descr="https://mail.google.com/mail/u/0/images/cleardot.gif">
          <a:extLst>
            <a:ext uri="{FF2B5EF4-FFF2-40B4-BE49-F238E27FC236}">
              <a16:creationId xmlns:a16="http://schemas.microsoft.com/office/drawing/2014/main" id="{616D5AB6-491E-49B6-B4B4-DF909B8C0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94" name="Picture 293" descr="https://mail.google.com/mail/u/0/images/cleardot.gif">
          <a:extLst>
            <a:ext uri="{FF2B5EF4-FFF2-40B4-BE49-F238E27FC236}">
              <a16:creationId xmlns:a16="http://schemas.microsoft.com/office/drawing/2014/main" id="{D6396BD6-B90E-45F7-B004-02E371A2A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95" name="Picture 294" descr="https://mail.google.com/mail/u/0/images/cleardot.gif">
          <a:extLst>
            <a:ext uri="{FF2B5EF4-FFF2-40B4-BE49-F238E27FC236}">
              <a16:creationId xmlns:a16="http://schemas.microsoft.com/office/drawing/2014/main" id="{372E8C2E-A2B2-46BA-8208-3CDC6A3C0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96" name="Picture 295" descr="https://mail.google.com/mail/u/0/images/cleardot.gif">
          <a:extLst>
            <a:ext uri="{FF2B5EF4-FFF2-40B4-BE49-F238E27FC236}">
              <a16:creationId xmlns:a16="http://schemas.microsoft.com/office/drawing/2014/main" id="{05423336-166F-4C01-8880-13745F14E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97" name="Picture 296" descr="https://mail.google.com/mail/u/0/images/cleardot.gif">
          <a:extLst>
            <a:ext uri="{FF2B5EF4-FFF2-40B4-BE49-F238E27FC236}">
              <a16:creationId xmlns:a16="http://schemas.microsoft.com/office/drawing/2014/main" id="{7B104C4C-298B-45D5-A694-152EC6F4A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98" name="Picture 297" descr="https://mail.google.com/mail/u/0/images/cleardot.gif">
          <a:extLst>
            <a:ext uri="{FF2B5EF4-FFF2-40B4-BE49-F238E27FC236}">
              <a16:creationId xmlns:a16="http://schemas.microsoft.com/office/drawing/2014/main" id="{97FA0769-54F7-47B6-94F1-6664E4FC9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299" name="Picture 298" descr="https://mail.google.com/mail/u/0/images/cleardot.gif">
          <a:extLst>
            <a:ext uri="{FF2B5EF4-FFF2-40B4-BE49-F238E27FC236}">
              <a16:creationId xmlns:a16="http://schemas.microsoft.com/office/drawing/2014/main" id="{A21F1EFE-CE47-4F1F-AE9C-3EBE8CEAF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00" name="Picture 299" descr="https://mail.google.com/mail/u/0/images/cleardot.gif">
          <a:extLst>
            <a:ext uri="{FF2B5EF4-FFF2-40B4-BE49-F238E27FC236}">
              <a16:creationId xmlns:a16="http://schemas.microsoft.com/office/drawing/2014/main" id="{16CFB09C-98E6-4FAB-8739-189A0E810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01" name="Picture 300" descr="https://mail.google.com/mail/u/0/images/cleardot.gif">
          <a:extLst>
            <a:ext uri="{FF2B5EF4-FFF2-40B4-BE49-F238E27FC236}">
              <a16:creationId xmlns:a16="http://schemas.microsoft.com/office/drawing/2014/main" id="{E9AC24CB-702C-44CA-92E3-AD1B395AC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02" name="Picture 301" descr="https://mail.google.com/mail/u/0/images/cleardot.gif">
          <a:extLst>
            <a:ext uri="{FF2B5EF4-FFF2-40B4-BE49-F238E27FC236}">
              <a16:creationId xmlns:a16="http://schemas.microsoft.com/office/drawing/2014/main" id="{0F705BC4-8FFA-4A9E-B15A-544FE9D0A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03" name="Picture 302" descr="https://mail.google.com/mail/u/0/images/cleardot.gif">
          <a:extLst>
            <a:ext uri="{FF2B5EF4-FFF2-40B4-BE49-F238E27FC236}">
              <a16:creationId xmlns:a16="http://schemas.microsoft.com/office/drawing/2014/main" id="{FE75D7C4-9738-42AA-AC9B-7F4765DAD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04" name="Picture 303" descr="https://mail.google.com/mail/u/0/images/cleardot.gif">
          <a:extLst>
            <a:ext uri="{FF2B5EF4-FFF2-40B4-BE49-F238E27FC236}">
              <a16:creationId xmlns:a16="http://schemas.microsoft.com/office/drawing/2014/main" id="{463F7119-EF0D-4369-9F89-554DB86B9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05" name="Picture 304" descr="https://mail.google.com/mail/u/0/images/cleardot.gif">
          <a:extLst>
            <a:ext uri="{FF2B5EF4-FFF2-40B4-BE49-F238E27FC236}">
              <a16:creationId xmlns:a16="http://schemas.microsoft.com/office/drawing/2014/main" id="{96D58A58-448E-459E-BAAE-F2382AC29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06" name="Picture 305" descr="https://mail.google.com/mail/u/0/images/cleardot.gif">
          <a:extLst>
            <a:ext uri="{FF2B5EF4-FFF2-40B4-BE49-F238E27FC236}">
              <a16:creationId xmlns:a16="http://schemas.microsoft.com/office/drawing/2014/main" id="{7DB01404-DC96-4AFA-9AAE-A0C83405A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07" name="Picture 306" descr="https://mail.google.com/mail/u/0/images/cleardot.gif">
          <a:extLst>
            <a:ext uri="{FF2B5EF4-FFF2-40B4-BE49-F238E27FC236}">
              <a16:creationId xmlns:a16="http://schemas.microsoft.com/office/drawing/2014/main" id="{AA574493-5708-4EF4-871F-B9B50569F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08" name="Picture 307" descr="https://mail.google.com/mail/u/0/images/cleardot.gif">
          <a:extLst>
            <a:ext uri="{FF2B5EF4-FFF2-40B4-BE49-F238E27FC236}">
              <a16:creationId xmlns:a16="http://schemas.microsoft.com/office/drawing/2014/main" id="{AE9EE476-2D3F-4CC6-8D38-485739E36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09" name="Picture 308" descr="https://mail.google.com/mail/u/0/images/cleardot.gif">
          <a:extLst>
            <a:ext uri="{FF2B5EF4-FFF2-40B4-BE49-F238E27FC236}">
              <a16:creationId xmlns:a16="http://schemas.microsoft.com/office/drawing/2014/main" id="{2DAA660E-D485-4204-B785-C676E37ED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10" name="Picture 309" descr="https://mail.google.com/mail/u/0/images/cleardot.gif">
          <a:extLst>
            <a:ext uri="{FF2B5EF4-FFF2-40B4-BE49-F238E27FC236}">
              <a16:creationId xmlns:a16="http://schemas.microsoft.com/office/drawing/2014/main" id="{EBA5F41E-9ADE-45DC-A67B-7DC7DCD26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11" name="Picture 310" descr="https://mail.google.com/mail/u/0/images/cleardot.gif">
          <a:extLst>
            <a:ext uri="{FF2B5EF4-FFF2-40B4-BE49-F238E27FC236}">
              <a16:creationId xmlns:a16="http://schemas.microsoft.com/office/drawing/2014/main" id="{4C6B415A-8545-43D7-B3F6-D3A08D5E2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12" name="Picture 311" descr="https://mail.google.com/mail/u/0/images/cleardot.gif">
          <a:extLst>
            <a:ext uri="{FF2B5EF4-FFF2-40B4-BE49-F238E27FC236}">
              <a16:creationId xmlns:a16="http://schemas.microsoft.com/office/drawing/2014/main" id="{22EC8BAD-8497-49F4-BBEB-82F1BE097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13" name="Picture 312" descr="https://mail.google.com/mail/u/0/images/cleardot.gif">
          <a:extLst>
            <a:ext uri="{FF2B5EF4-FFF2-40B4-BE49-F238E27FC236}">
              <a16:creationId xmlns:a16="http://schemas.microsoft.com/office/drawing/2014/main" id="{38D8ED20-1A8E-4CBB-83AA-707A6F200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14" name="Picture 313" descr="https://mail.google.com/mail/u/0/images/cleardot.gif">
          <a:extLst>
            <a:ext uri="{FF2B5EF4-FFF2-40B4-BE49-F238E27FC236}">
              <a16:creationId xmlns:a16="http://schemas.microsoft.com/office/drawing/2014/main" id="{F959D651-B578-4017-AB58-825D25448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15" name="Picture 314" descr="https://mail.google.com/mail/u/0/images/cleardot.gif">
          <a:extLst>
            <a:ext uri="{FF2B5EF4-FFF2-40B4-BE49-F238E27FC236}">
              <a16:creationId xmlns:a16="http://schemas.microsoft.com/office/drawing/2014/main" id="{A55A1E06-DFF8-47B2-8925-A312C929A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16" name="Picture 315" descr="https://mail.google.com/mail/u/0/images/cleardot.gif">
          <a:extLst>
            <a:ext uri="{FF2B5EF4-FFF2-40B4-BE49-F238E27FC236}">
              <a16:creationId xmlns:a16="http://schemas.microsoft.com/office/drawing/2014/main" id="{868036ED-B832-4961-A27C-5C3523A48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17" name="Picture 316" descr="https://mail.google.com/mail/u/0/images/cleardot.gif">
          <a:extLst>
            <a:ext uri="{FF2B5EF4-FFF2-40B4-BE49-F238E27FC236}">
              <a16:creationId xmlns:a16="http://schemas.microsoft.com/office/drawing/2014/main" id="{FAAC0325-E240-480C-9A1F-DBA7B7FE2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18" name="Picture 317" descr="https://mail.google.com/mail/u/0/images/cleardot.gif">
          <a:extLst>
            <a:ext uri="{FF2B5EF4-FFF2-40B4-BE49-F238E27FC236}">
              <a16:creationId xmlns:a16="http://schemas.microsoft.com/office/drawing/2014/main" id="{2D817324-3401-4E28-B0D6-CAC17783B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19" name="Picture 318" descr="https://mail.google.com/mail/u/0/images/cleardot.gif">
          <a:extLst>
            <a:ext uri="{FF2B5EF4-FFF2-40B4-BE49-F238E27FC236}">
              <a16:creationId xmlns:a16="http://schemas.microsoft.com/office/drawing/2014/main" id="{B98DD00E-A850-4B76-8CBC-EA2198303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20" name="Picture 319" descr="https://mail.google.com/mail/u/0/images/cleardot.gif">
          <a:extLst>
            <a:ext uri="{FF2B5EF4-FFF2-40B4-BE49-F238E27FC236}">
              <a16:creationId xmlns:a16="http://schemas.microsoft.com/office/drawing/2014/main" id="{E8F79E5E-167C-4316-9C5C-CC36BC34F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21" name="Picture 320" descr="https://mail.google.com/mail/u/0/images/cleardot.gif">
          <a:extLst>
            <a:ext uri="{FF2B5EF4-FFF2-40B4-BE49-F238E27FC236}">
              <a16:creationId xmlns:a16="http://schemas.microsoft.com/office/drawing/2014/main" id="{89BC10BC-EAC5-442C-B0DA-D6D56F71C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22" name="Picture 321" descr="https://mail.google.com/mail/u/0/images/cleardot.gif">
          <a:extLst>
            <a:ext uri="{FF2B5EF4-FFF2-40B4-BE49-F238E27FC236}">
              <a16:creationId xmlns:a16="http://schemas.microsoft.com/office/drawing/2014/main" id="{9087A4B5-6F87-4B9E-802E-834C64E2D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23" name="Picture 322" descr="https://mail.google.com/mail/u/0/images/cleardot.gif">
          <a:extLst>
            <a:ext uri="{FF2B5EF4-FFF2-40B4-BE49-F238E27FC236}">
              <a16:creationId xmlns:a16="http://schemas.microsoft.com/office/drawing/2014/main" id="{EBC25D43-C0E6-42E6-B516-A525B2405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24" name="Picture 323" descr="https://mail.google.com/mail/u/0/images/cleardot.gif">
          <a:extLst>
            <a:ext uri="{FF2B5EF4-FFF2-40B4-BE49-F238E27FC236}">
              <a16:creationId xmlns:a16="http://schemas.microsoft.com/office/drawing/2014/main" id="{74758F57-6B41-429D-8669-DA2D8BD60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25" name="Picture 324" descr="https://mail.google.com/mail/u/0/images/cleardot.gif">
          <a:extLst>
            <a:ext uri="{FF2B5EF4-FFF2-40B4-BE49-F238E27FC236}">
              <a16:creationId xmlns:a16="http://schemas.microsoft.com/office/drawing/2014/main" id="{04FFDC63-00B5-4ACA-AB02-8FA7108FB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26" name="Picture 325" descr="https://mail.google.com/mail/u/0/images/cleardot.gif">
          <a:extLst>
            <a:ext uri="{FF2B5EF4-FFF2-40B4-BE49-F238E27FC236}">
              <a16:creationId xmlns:a16="http://schemas.microsoft.com/office/drawing/2014/main" id="{922727C7-6A4B-448B-BA77-9D5BBA94F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27" name="Picture 326" descr="https://mail.google.com/mail/u/0/images/cleardot.gif">
          <a:extLst>
            <a:ext uri="{FF2B5EF4-FFF2-40B4-BE49-F238E27FC236}">
              <a16:creationId xmlns:a16="http://schemas.microsoft.com/office/drawing/2014/main" id="{181A236B-BA45-4868-A44E-C92C15107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28" name="Picture 327" descr="https://mail.google.com/mail/u/0/images/cleardot.gif">
          <a:extLst>
            <a:ext uri="{FF2B5EF4-FFF2-40B4-BE49-F238E27FC236}">
              <a16:creationId xmlns:a16="http://schemas.microsoft.com/office/drawing/2014/main" id="{B3424349-2FAD-49F2-B42F-E199808E3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29" name="Picture 328" descr="https://mail.google.com/mail/u/0/images/cleardot.gif">
          <a:extLst>
            <a:ext uri="{FF2B5EF4-FFF2-40B4-BE49-F238E27FC236}">
              <a16:creationId xmlns:a16="http://schemas.microsoft.com/office/drawing/2014/main" id="{CAF2BBDB-A3D8-4EC1-A01D-F15508355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30" name="Picture 329" descr="https://mail.google.com/mail/u/0/images/cleardot.gif">
          <a:extLst>
            <a:ext uri="{FF2B5EF4-FFF2-40B4-BE49-F238E27FC236}">
              <a16:creationId xmlns:a16="http://schemas.microsoft.com/office/drawing/2014/main" id="{25609123-8028-4270-82BB-3EA686ED3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31" name="Picture 330" descr="https://mail.google.com/mail/u/0/images/cleardot.gif">
          <a:extLst>
            <a:ext uri="{FF2B5EF4-FFF2-40B4-BE49-F238E27FC236}">
              <a16:creationId xmlns:a16="http://schemas.microsoft.com/office/drawing/2014/main" id="{28EF66E0-CA49-4EB6-A9CE-0E9EFEA44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32" name="Picture 331" descr="https://mail.google.com/mail/u/0/images/cleardot.gif">
          <a:extLst>
            <a:ext uri="{FF2B5EF4-FFF2-40B4-BE49-F238E27FC236}">
              <a16:creationId xmlns:a16="http://schemas.microsoft.com/office/drawing/2014/main" id="{803DD574-1E46-4CED-A2D5-E8E1EB2E8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33" name="Picture 332" descr="https://mail.google.com/mail/u/0/images/cleardot.gif">
          <a:extLst>
            <a:ext uri="{FF2B5EF4-FFF2-40B4-BE49-F238E27FC236}">
              <a16:creationId xmlns:a16="http://schemas.microsoft.com/office/drawing/2014/main" id="{D7EE4604-8032-4C87-855D-35C762380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34" name="Picture 333" descr="https://mail.google.com/mail/u/0/images/cleardot.gif">
          <a:extLst>
            <a:ext uri="{FF2B5EF4-FFF2-40B4-BE49-F238E27FC236}">
              <a16:creationId xmlns:a16="http://schemas.microsoft.com/office/drawing/2014/main" id="{2D3FC593-1FF0-4648-BF46-A0FDF9328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35" name="Picture 334" descr="https://mail.google.com/mail/u/0/images/cleardot.gif">
          <a:extLst>
            <a:ext uri="{FF2B5EF4-FFF2-40B4-BE49-F238E27FC236}">
              <a16:creationId xmlns:a16="http://schemas.microsoft.com/office/drawing/2014/main" id="{7A5589DE-C524-4C0B-A055-7772F8746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36" name="Picture 335" descr="https://mail.google.com/mail/u/0/images/cleardot.gif">
          <a:extLst>
            <a:ext uri="{FF2B5EF4-FFF2-40B4-BE49-F238E27FC236}">
              <a16:creationId xmlns:a16="http://schemas.microsoft.com/office/drawing/2014/main" id="{DEECBC47-3772-41A1-AA1A-A07A0397B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37" name="Picture 336" descr="https://mail.google.com/mail/u/0/images/cleardot.gif">
          <a:extLst>
            <a:ext uri="{FF2B5EF4-FFF2-40B4-BE49-F238E27FC236}">
              <a16:creationId xmlns:a16="http://schemas.microsoft.com/office/drawing/2014/main" id="{8667575A-3F36-445F-8592-7680FD5FE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38" name="Picture 337" descr="https://mail.google.com/mail/u/0/images/cleardot.gif">
          <a:extLst>
            <a:ext uri="{FF2B5EF4-FFF2-40B4-BE49-F238E27FC236}">
              <a16:creationId xmlns:a16="http://schemas.microsoft.com/office/drawing/2014/main" id="{15510946-1843-4649-81B0-CBB81A0CB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39" name="Picture 338" descr="https://mail.google.com/mail/u/0/images/cleardot.gif">
          <a:extLst>
            <a:ext uri="{FF2B5EF4-FFF2-40B4-BE49-F238E27FC236}">
              <a16:creationId xmlns:a16="http://schemas.microsoft.com/office/drawing/2014/main" id="{3FF2FC06-49EB-41FA-AA0E-B6A73161E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40" name="Picture 339" descr="https://mail.google.com/mail/u/0/images/cleardot.gif">
          <a:extLst>
            <a:ext uri="{FF2B5EF4-FFF2-40B4-BE49-F238E27FC236}">
              <a16:creationId xmlns:a16="http://schemas.microsoft.com/office/drawing/2014/main" id="{64276E27-CE66-4EB5-9E6B-C7B01DFBF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41" name="Picture 340" descr="https://mail.google.com/mail/u/0/images/cleardot.gif">
          <a:extLst>
            <a:ext uri="{FF2B5EF4-FFF2-40B4-BE49-F238E27FC236}">
              <a16:creationId xmlns:a16="http://schemas.microsoft.com/office/drawing/2014/main" id="{536404EA-7698-4F14-BE2D-DC1E78DDC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42" name="Picture 341" descr="https://mail.google.com/mail/u/0/images/cleardot.gif">
          <a:extLst>
            <a:ext uri="{FF2B5EF4-FFF2-40B4-BE49-F238E27FC236}">
              <a16:creationId xmlns:a16="http://schemas.microsoft.com/office/drawing/2014/main" id="{A24903CB-EB96-41E0-BC53-050BAA0F2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43" name="Picture 342" descr="https://mail.google.com/mail/u/0/images/cleardot.gif">
          <a:extLst>
            <a:ext uri="{FF2B5EF4-FFF2-40B4-BE49-F238E27FC236}">
              <a16:creationId xmlns:a16="http://schemas.microsoft.com/office/drawing/2014/main" id="{C14C2421-1937-497E-A9FC-9753D168A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44" name="Picture 343" descr="https://mail.google.com/mail/u/0/images/cleardot.gif">
          <a:extLst>
            <a:ext uri="{FF2B5EF4-FFF2-40B4-BE49-F238E27FC236}">
              <a16:creationId xmlns:a16="http://schemas.microsoft.com/office/drawing/2014/main" id="{068C955F-BB0D-4E83-947E-1DB641E2F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45" name="Picture 344" descr="https://mail.google.com/mail/u/0/images/cleardot.gif">
          <a:extLst>
            <a:ext uri="{FF2B5EF4-FFF2-40B4-BE49-F238E27FC236}">
              <a16:creationId xmlns:a16="http://schemas.microsoft.com/office/drawing/2014/main" id="{A1CA20B4-460E-4BB3-8BDD-584937C2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46" name="Picture 345" descr="https://mail.google.com/mail/u/0/images/cleardot.gif">
          <a:extLst>
            <a:ext uri="{FF2B5EF4-FFF2-40B4-BE49-F238E27FC236}">
              <a16:creationId xmlns:a16="http://schemas.microsoft.com/office/drawing/2014/main" id="{C20D4F58-75DB-4028-9EC0-7F31085CC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47" name="Picture 346" descr="https://mail.google.com/mail/u/0/images/cleardot.gif">
          <a:extLst>
            <a:ext uri="{FF2B5EF4-FFF2-40B4-BE49-F238E27FC236}">
              <a16:creationId xmlns:a16="http://schemas.microsoft.com/office/drawing/2014/main" id="{B05E692D-58F1-46BC-AC8B-0856A6454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48" name="Picture 347" descr="https://mail.google.com/mail/u/0/images/cleardot.gif">
          <a:extLst>
            <a:ext uri="{FF2B5EF4-FFF2-40B4-BE49-F238E27FC236}">
              <a16:creationId xmlns:a16="http://schemas.microsoft.com/office/drawing/2014/main" id="{44E6446F-CFE0-41A9-87AB-350B2A983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49" name="Picture 348" descr="https://mail.google.com/mail/u/0/images/cleardot.gif">
          <a:extLst>
            <a:ext uri="{FF2B5EF4-FFF2-40B4-BE49-F238E27FC236}">
              <a16:creationId xmlns:a16="http://schemas.microsoft.com/office/drawing/2014/main" id="{6AA2EF2B-44A6-4050-95EF-AB253C6FA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50" name="Picture 349" descr="https://mail.google.com/mail/u/0/images/cleardot.gif">
          <a:extLst>
            <a:ext uri="{FF2B5EF4-FFF2-40B4-BE49-F238E27FC236}">
              <a16:creationId xmlns:a16="http://schemas.microsoft.com/office/drawing/2014/main" id="{574EBA3A-40FD-4611-95FC-1E6C4FF37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51" name="Picture 350" descr="https://mail.google.com/mail/u/0/images/cleardot.gif">
          <a:extLst>
            <a:ext uri="{FF2B5EF4-FFF2-40B4-BE49-F238E27FC236}">
              <a16:creationId xmlns:a16="http://schemas.microsoft.com/office/drawing/2014/main" id="{BD599521-BEDB-40DD-90DF-681A90196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52" name="Picture 351" descr="https://mail.google.com/mail/u/0/images/cleardot.gif">
          <a:extLst>
            <a:ext uri="{FF2B5EF4-FFF2-40B4-BE49-F238E27FC236}">
              <a16:creationId xmlns:a16="http://schemas.microsoft.com/office/drawing/2014/main" id="{C0C33C2E-FD6A-49F4-BE8B-11CC1137C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53" name="Picture 352" descr="https://mail.google.com/mail/u/0/images/cleardot.gif">
          <a:extLst>
            <a:ext uri="{FF2B5EF4-FFF2-40B4-BE49-F238E27FC236}">
              <a16:creationId xmlns:a16="http://schemas.microsoft.com/office/drawing/2014/main" id="{CBE09A54-C113-4C52-A021-DA77888E9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54" name="Picture 353" descr="https://mail.google.com/mail/u/0/images/cleardot.gif">
          <a:extLst>
            <a:ext uri="{FF2B5EF4-FFF2-40B4-BE49-F238E27FC236}">
              <a16:creationId xmlns:a16="http://schemas.microsoft.com/office/drawing/2014/main" id="{94187622-DC08-418A-A491-FC7A299CE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55" name="Picture 354" descr="https://mail.google.com/mail/u/0/images/cleardot.gif">
          <a:extLst>
            <a:ext uri="{FF2B5EF4-FFF2-40B4-BE49-F238E27FC236}">
              <a16:creationId xmlns:a16="http://schemas.microsoft.com/office/drawing/2014/main" id="{BC35EF60-6886-42A6-BEAB-AFD1CF056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56" name="Picture 355" descr="https://mail.google.com/mail/u/0/images/cleardot.gif">
          <a:extLst>
            <a:ext uri="{FF2B5EF4-FFF2-40B4-BE49-F238E27FC236}">
              <a16:creationId xmlns:a16="http://schemas.microsoft.com/office/drawing/2014/main" id="{E8AE2485-53E1-4A79-8778-048C5DD9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57" name="Picture 356" descr="https://mail.google.com/mail/u/0/images/cleardot.gif">
          <a:extLst>
            <a:ext uri="{FF2B5EF4-FFF2-40B4-BE49-F238E27FC236}">
              <a16:creationId xmlns:a16="http://schemas.microsoft.com/office/drawing/2014/main" id="{A3BE8CC3-688F-4C4F-81FC-434924B6F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58" name="Picture 357" descr="https://mail.google.com/mail/u/0/images/cleardot.gif">
          <a:extLst>
            <a:ext uri="{FF2B5EF4-FFF2-40B4-BE49-F238E27FC236}">
              <a16:creationId xmlns:a16="http://schemas.microsoft.com/office/drawing/2014/main" id="{0BC91D12-7BAC-4285-B95A-19A0A0ED5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59" name="Picture 358" descr="https://mail.google.com/mail/u/0/images/cleardot.gif">
          <a:extLst>
            <a:ext uri="{FF2B5EF4-FFF2-40B4-BE49-F238E27FC236}">
              <a16:creationId xmlns:a16="http://schemas.microsoft.com/office/drawing/2014/main" id="{CCD49FDA-7C7D-4634-97E3-719047396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60" name="Picture 359" descr="https://mail.google.com/mail/u/0/images/cleardot.gif">
          <a:extLst>
            <a:ext uri="{FF2B5EF4-FFF2-40B4-BE49-F238E27FC236}">
              <a16:creationId xmlns:a16="http://schemas.microsoft.com/office/drawing/2014/main" id="{B0078E8D-7AC0-4771-9A98-92B947E8F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61" name="Picture 360" descr="https://mail.google.com/mail/u/0/images/cleardot.gif">
          <a:extLst>
            <a:ext uri="{FF2B5EF4-FFF2-40B4-BE49-F238E27FC236}">
              <a16:creationId xmlns:a16="http://schemas.microsoft.com/office/drawing/2014/main" id="{3B01F395-B8E5-486D-B389-DD156E4CC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62" name="Picture 361" descr="https://mail.google.com/mail/u/0/images/cleardot.gif">
          <a:extLst>
            <a:ext uri="{FF2B5EF4-FFF2-40B4-BE49-F238E27FC236}">
              <a16:creationId xmlns:a16="http://schemas.microsoft.com/office/drawing/2014/main" id="{547D24EB-6CBC-4C17-A45F-A7DFBBBB7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63" name="Picture 362" descr="https://mail.google.com/mail/u/0/images/cleardot.gif">
          <a:extLst>
            <a:ext uri="{FF2B5EF4-FFF2-40B4-BE49-F238E27FC236}">
              <a16:creationId xmlns:a16="http://schemas.microsoft.com/office/drawing/2014/main" id="{0531A148-8415-48BF-B2AB-046D9A5A5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64" name="Picture 363" descr="https://mail.google.com/mail/u/0/images/cleardot.gif">
          <a:extLst>
            <a:ext uri="{FF2B5EF4-FFF2-40B4-BE49-F238E27FC236}">
              <a16:creationId xmlns:a16="http://schemas.microsoft.com/office/drawing/2014/main" id="{AD6142DC-C29B-436B-90EE-4B8ABE66D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65" name="Picture 364" descr="https://mail.google.com/mail/u/0/images/cleardot.gif">
          <a:extLst>
            <a:ext uri="{FF2B5EF4-FFF2-40B4-BE49-F238E27FC236}">
              <a16:creationId xmlns:a16="http://schemas.microsoft.com/office/drawing/2014/main" id="{39BB14EF-1AE8-48A6-B0E9-6F58A7948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66" name="Picture 365" descr="https://mail.google.com/mail/u/0/images/cleardot.gif">
          <a:extLst>
            <a:ext uri="{FF2B5EF4-FFF2-40B4-BE49-F238E27FC236}">
              <a16:creationId xmlns:a16="http://schemas.microsoft.com/office/drawing/2014/main" id="{81D56B58-384E-4CEC-B5E4-A206AD5D0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67" name="Picture 366" descr="https://mail.google.com/mail/u/0/images/cleardot.gif">
          <a:extLst>
            <a:ext uri="{FF2B5EF4-FFF2-40B4-BE49-F238E27FC236}">
              <a16:creationId xmlns:a16="http://schemas.microsoft.com/office/drawing/2014/main" id="{2E1DE18B-8EA9-4CEE-A186-56FA599EE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68" name="Picture 367" descr="https://mail.google.com/mail/u/0/images/cleardot.gif">
          <a:extLst>
            <a:ext uri="{FF2B5EF4-FFF2-40B4-BE49-F238E27FC236}">
              <a16:creationId xmlns:a16="http://schemas.microsoft.com/office/drawing/2014/main" id="{352C1142-4E23-48CD-B512-9D9BE8AD4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69" name="Picture 368" descr="https://mail.google.com/mail/u/0/images/cleardot.gif">
          <a:extLst>
            <a:ext uri="{FF2B5EF4-FFF2-40B4-BE49-F238E27FC236}">
              <a16:creationId xmlns:a16="http://schemas.microsoft.com/office/drawing/2014/main" id="{21EE9475-407B-481A-9FF4-3C2500E37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70" name="Picture 369" descr="https://mail.google.com/mail/u/0/images/cleardot.gif">
          <a:extLst>
            <a:ext uri="{FF2B5EF4-FFF2-40B4-BE49-F238E27FC236}">
              <a16:creationId xmlns:a16="http://schemas.microsoft.com/office/drawing/2014/main" id="{3D230A30-3BA6-44FD-91A4-F3B8F16B2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71" name="Picture 370" descr="https://mail.google.com/mail/u/0/images/cleardot.gif">
          <a:extLst>
            <a:ext uri="{FF2B5EF4-FFF2-40B4-BE49-F238E27FC236}">
              <a16:creationId xmlns:a16="http://schemas.microsoft.com/office/drawing/2014/main" id="{D8E104A7-5B73-4857-8EF8-1F299AD4C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72" name="Picture 371" descr="https://mail.google.com/mail/u/0/images/cleardot.gif">
          <a:extLst>
            <a:ext uri="{FF2B5EF4-FFF2-40B4-BE49-F238E27FC236}">
              <a16:creationId xmlns:a16="http://schemas.microsoft.com/office/drawing/2014/main" id="{ACF79DB2-E35C-4BB7-9C2A-0C892D8C6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73" name="Picture 372" descr="https://mail.google.com/mail/u/0/images/cleardot.gif">
          <a:extLst>
            <a:ext uri="{FF2B5EF4-FFF2-40B4-BE49-F238E27FC236}">
              <a16:creationId xmlns:a16="http://schemas.microsoft.com/office/drawing/2014/main" id="{75AEB971-3468-4175-A3E8-4218F6E19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74" name="Picture 373" descr="https://mail.google.com/mail/u/0/images/cleardot.gif">
          <a:extLst>
            <a:ext uri="{FF2B5EF4-FFF2-40B4-BE49-F238E27FC236}">
              <a16:creationId xmlns:a16="http://schemas.microsoft.com/office/drawing/2014/main" id="{05D121DB-D0C5-41EB-B10D-08853092C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75" name="Picture 374" descr="https://mail.google.com/mail/u/0/images/cleardot.gif">
          <a:extLst>
            <a:ext uri="{FF2B5EF4-FFF2-40B4-BE49-F238E27FC236}">
              <a16:creationId xmlns:a16="http://schemas.microsoft.com/office/drawing/2014/main" id="{5CA5A0E0-F0AD-4227-B50F-A53742EC4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76" name="Picture 375" descr="https://mail.google.com/mail/u/0/images/cleardot.gif">
          <a:extLst>
            <a:ext uri="{FF2B5EF4-FFF2-40B4-BE49-F238E27FC236}">
              <a16:creationId xmlns:a16="http://schemas.microsoft.com/office/drawing/2014/main" id="{4D1D7179-0F75-4DF5-BADA-70C51FE68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77" name="Picture 376" descr="https://mail.google.com/mail/u/0/images/cleardot.gif">
          <a:extLst>
            <a:ext uri="{FF2B5EF4-FFF2-40B4-BE49-F238E27FC236}">
              <a16:creationId xmlns:a16="http://schemas.microsoft.com/office/drawing/2014/main" id="{FA75FA6A-33A3-44DB-BB4C-BF2E6CF61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78" name="Picture 377" descr="https://mail.google.com/mail/u/0/images/cleardot.gif">
          <a:extLst>
            <a:ext uri="{FF2B5EF4-FFF2-40B4-BE49-F238E27FC236}">
              <a16:creationId xmlns:a16="http://schemas.microsoft.com/office/drawing/2014/main" id="{C2872161-DF4B-4FF2-BF27-1B6AED769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79" name="Picture 378" descr="https://mail.google.com/mail/u/0/images/cleardot.gif">
          <a:extLst>
            <a:ext uri="{FF2B5EF4-FFF2-40B4-BE49-F238E27FC236}">
              <a16:creationId xmlns:a16="http://schemas.microsoft.com/office/drawing/2014/main" id="{CC2BF5BC-A2B2-45B8-8CEF-42EC5B548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80" name="Picture 379" descr="https://mail.google.com/mail/u/0/images/cleardot.gif">
          <a:extLst>
            <a:ext uri="{FF2B5EF4-FFF2-40B4-BE49-F238E27FC236}">
              <a16:creationId xmlns:a16="http://schemas.microsoft.com/office/drawing/2014/main" id="{D4952178-D76E-48D3-A15F-FA7586BCE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81" name="Picture 380" descr="https://mail.google.com/mail/u/0/images/cleardot.gif">
          <a:extLst>
            <a:ext uri="{FF2B5EF4-FFF2-40B4-BE49-F238E27FC236}">
              <a16:creationId xmlns:a16="http://schemas.microsoft.com/office/drawing/2014/main" id="{64ADCB03-572E-4CE5-95D3-EC6E0890F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82" name="Picture 381" descr="https://mail.google.com/mail/u/0/images/cleardot.gif">
          <a:extLst>
            <a:ext uri="{FF2B5EF4-FFF2-40B4-BE49-F238E27FC236}">
              <a16:creationId xmlns:a16="http://schemas.microsoft.com/office/drawing/2014/main" id="{36574FEE-73A8-444A-B54F-3025C8236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83" name="Picture 382" descr="https://mail.google.com/mail/u/0/images/cleardot.gif">
          <a:extLst>
            <a:ext uri="{FF2B5EF4-FFF2-40B4-BE49-F238E27FC236}">
              <a16:creationId xmlns:a16="http://schemas.microsoft.com/office/drawing/2014/main" id="{AD146DB2-56E4-4DDD-A5C6-01EEEE9AB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84" name="Picture 383" descr="https://mail.google.com/mail/u/0/images/cleardot.gif">
          <a:extLst>
            <a:ext uri="{FF2B5EF4-FFF2-40B4-BE49-F238E27FC236}">
              <a16:creationId xmlns:a16="http://schemas.microsoft.com/office/drawing/2014/main" id="{98BF909F-0E57-4135-8454-3EFBB434C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85" name="Picture 384" descr="https://mail.google.com/mail/u/0/images/cleardot.gif">
          <a:extLst>
            <a:ext uri="{FF2B5EF4-FFF2-40B4-BE49-F238E27FC236}">
              <a16:creationId xmlns:a16="http://schemas.microsoft.com/office/drawing/2014/main" id="{094DDDBE-34B6-4728-A64E-BBC53C3B8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86" name="Picture 385" descr="https://mail.google.com/mail/u/0/images/cleardot.gif">
          <a:extLst>
            <a:ext uri="{FF2B5EF4-FFF2-40B4-BE49-F238E27FC236}">
              <a16:creationId xmlns:a16="http://schemas.microsoft.com/office/drawing/2014/main" id="{17F1A74B-C7AA-4A1A-ACB9-BDF0DBBC0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87" name="Picture 386" descr="https://mail.google.com/mail/u/0/images/cleardot.gif">
          <a:extLst>
            <a:ext uri="{FF2B5EF4-FFF2-40B4-BE49-F238E27FC236}">
              <a16:creationId xmlns:a16="http://schemas.microsoft.com/office/drawing/2014/main" id="{57E03830-77D1-40D7-B664-F09064D46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88" name="Picture 387" descr="https://mail.google.com/mail/u/0/images/cleardot.gif">
          <a:extLst>
            <a:ext uri="{FF2B5EF4-FFF2-40B4-BE49-F238E27FC236}">
              <a16:creationId xmlns:a16="http://schemas.microsoft.com/office/drawing/2014/main" id="{CDDD58DF-D848-429D-A6AD-5A1749476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89" name="Picture 388" descr="https://mail.google.com/mail/u/0/images/cleardot.gif">
          <a:extLst>
            <a:ext uri="{FF2B5EF4-FFF2-40B4-BE49-F238E27FC236}">
              <a16:creationId xmlns:a16="http://schemas.microsoft.com/office/drawing/2014/main" id="{8C50EE46-A930-44B6-84A7-56B78209C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90" name="Picture 389" descr="https://mail.google.com/mail/u/0/images/cleardot.gif">
          <a:extLst>
            <a:ext uri="{FF2B5EF4-FFF2-40B4-BE49-F238E27FC236}">
              <a16:creationId xmlns:a16="http://schemas.microsoft.com/office/drawing/2014/main" id="{F385EFD2-44CA-40D7-BB37-5A3F5B02E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91" name="Picture 390" descr="https://mail.google.com/mail/u/0/images/cleardot.gif">
          <a:extLst>
            <a:ext uri="{FF2B5EF4-FFF2-40B4-BE49-F238E27FC236}">
              <a16:creationId xmlns:a16="http://schemas.microsoft.com/office/drawing/2014/main" id="{068BC7B7-029F-4A0D-8E07-C262C569F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92" name="Picture 391" descr="https://mail.google.com/mail/u/0/images/cleardot.gif">
          <a:extLst>
            <a:ext uri="{FF2B5EF4-FFF2-40B4-BE49-F238E27FC236}">
              <a16:creationId xmlns:a16="http://schemas.microsoft.com/office/drawing/2014/main" id="{1449EC1E-F407-4EC5-A0F2-7879A2668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93" name="Picture 392" descr="https://mail.google.com/mail/u/0/images/cleardot.gif">
          <a:extLst>
            <a:ext uri="{FF2B5EF4-FFF2-40B4-BE49-F238E27FC236}">
              <a16:creationId xmlns:a16="http://schemas.microsoft.com/office/drawing/2014/main" id="{8FF37125-9EBE-4AB5-A98A-5B8E58A7E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94" name="Picture 393" descr="https://mail.google.com/mail/u/0/images/cleardot.gif">
          <a:extLst>
            <a:ext uri="{FF2B5EF4-FFF2-40B4-BE49-F238E27FC236}">
              <a16:creationId xmlns:a16="http://schemas.microsoft.com/office/drawing/2014/main" id="{587917F5-4466-41A2-914B-B872C5DEA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95" name="Picture 394" descr="https://mail.google.com/mail/u/0/images/cleardot.gif">
          <a:extLst>
            <a:ext uri="{FF2B5EF4-FFF2-40B4-BE49-F238E27FC236}">
              <a16:creationId xmlns:a16="http://schemas.microsoft.com/office/drawing/2014/main" id="{9BD98547-F370-40E1-B9F3-7E7ECA339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96" name="Picture 395" descr="https://mail.google.com/mail/u/0/images/cleardot.gif">
          <a:extLst>
            <a:ext uri="{FF2B5EF4-FFF2-40B4-BE49-F238E27FC236}">
              <a16:creationId xmlns:a16="http://schemas.microsoft.com/office/drawing/2014/main" id="{FAC43E66-CA39-4D0F-8333-757F5F652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97" name="Picture 396" descr="https://mail.google.com/mail/u/0/images/cleardot.gif">
          <a:extLst>
            <a:ext uri="{FF2B5EF4-FFF2-40B4-BE49-F238E27FC236}">
              <a16:creationId xmlns:a16="http://schemas.microsoft.com/office/drawing/2014/main" id="{ADBA4A74-A0D3-4900-AB95-25BAB0EAF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98" name="Picture 397" descr="https://mail.google.com/mail/u/0/images/cleardot.gif">
          <a:extLst>
            <a:ext uri="{FF2B5EF4-FFF2-40B4-BE49-F238E27FC236}">
              <a16:creationId xmlns:a16="http://schemas.microsoft.com/office/drawing/2014/main" id="{FAF1E347-E7A3-4212-8EBF-E69EF8CD0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399" name="Picture 398" descr="https://mail.google.com/mail/u/0/images/cleardot.gif">
          <a:extLst>
            <a:ext uri="{FF2B5EF4-FFF2-40B4-BE49-F238E27FC236}">
              <a16:creationId xmlns:a16="http://schemas.microsoft.com/office/drawing/2014/main" id="{DD2B2856-585D-4C53-AFB8-9A4860330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00" name="Picture 399" descr="https://mail.google.com/mail/u/0/images/cleardot.gif">
          <a:extLst>
            <a:ext uri="{FF2B5EF4-FFF2-40B4-BE49-F238E27FC236}">
              <a16:creationId xmlns:a16="http://schemas.microsoft.com/office/drawing/2014/main" id="{F1D7208E-CA46-4647-B85A-D1A1F41B0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01" name="Picture 400" descr="https://mail.google.com/mail/u/0/images/cleardot.gif">
          <a:extLst>
            <a:ext uri="{FF2B5EF4-FFF2-40B4-BE49-F238E27FC236}">
              <a16:creationId xmlns:a16="http://schemas.microsoft.com/office/drawing/2014/main" id="{BF88D532-4EE6-4D4B-8615-0B8B3B38C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02" name="Picture 401" descr="https://mail.google.com/mail/u/0/images/cleardot.gif">
          <a:extLst>
            <a:ext uri="{FF2B5EF4-FFF2-40B4-BE49-F238E27FC236}">
              <a16:creationId xmlns:a16="http://schemas.microsoft.com/office/drawing/2014/main" id="{5605868B-3F3A-43D7-A035-ABE09DFF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03" name="Picture 402" descr="https://mail.google.com/mail/u/0/images/cleardot.gif">
          <a:extLst>
            <a:ext uri="{FF2B5EF4-FFF2-40B4-BE49-F238E27FC236}">
              <a16:creationId xmlns:a16="http://schemas.microsoft.com/office/drawing/2014/main" id="{B80BE5F1-53A2-41F0-BC01-DF2FFBA13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04" name="Picture 403" descr="https://mail.google.com/mail/u/0/images/cleardot.gif">
          <a:extLst>
            <a:ext uri="{FF2B5EF4-FFF2-40B4-BE49-F238E27FC236}">
              <a16:creationId xmlns:a16="http://schemas.microsoft.com/office/drawing/2014/main" id="{B4EA11EC-5624-4C0E-BDFE-3EA3B8C01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05" name="Picture 404" descr="https://mail.google.com/mail/u/0/images/cleardot.gif">
          <a:extLst>
            <a:ext uri="{FF2B5EF4-FFF2-40B4-BE49-F238E27FC236}">
              <a16:creationId xmlns:a16="http://schemas.microsoft.com/office/drawing/2014/main" id="{4B3AEFA8-09DD-44DD-957E-AE091B261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06" name="Picture 405" descr="https://mail.google.com/mail/u/0/images/cleardot.gif">
          <a:extLst>
            <a:ext uri="{FF2B5EF4-FFF2-40B4-BE49-F238E27FC236}">
              <a16:creationId xmlns:a16="http://schemas.microsoft.com/office/drawing/2014/main" id="{2759F95D-4B69-4594-BAC3-29DE39EA5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07" name="Picture 406" descr="https://mail.google.com/mail/u/0/images/cleardot.gif">
          <a:extLst>
            <a:ext uri="{FF2B5EF4-FFF2-40B4-BE49-F238E27FC236}">
              <a16:creationId xmlns:a16="http://schemas.microsoft.com/office/drawing/2014/main" id="{AA44825F-2727-4313-BDA4-B26F8BA88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08" name="Picture 407" descr="https://mail.google.com/mail/u/0/images/cleardot.gif">
          <a:extLst>
            <a:ext uri="{FF2B5EF4-FFF2-40B4-BE49-F238E27FC236}">
              <a16:creationId xmlns:a16="http://schemas.microsoft.com/office/drawing/2014/main" id="{ED6A8D6F-0CBC-47DF-933F-9749C955D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09" name="Picture 408" descr="https://mail.google.com/mail/u/0/images/cleardot.gif">
          <a:extLst>
            <a:ext uri="{FF2B5EF4-FFF2-40B4-BE49-F238E27FC236}">
              <a16:creationId xmlns:a16="http://schemas.microsoft.com/office/drawing/2014/main" id="{9E3D612A-3D0D-4866-9E97-71E2D614E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10" name="Picture 409" descr="https://mail.google.com/mail/u/0/images/cleardot.gif">
          <a:extLst>
            <a:ext uri="{FF2B5EF4-FFF2-40B4-BE49-F238E27FC236}">
              <a16:creationId xmlns:a16="http://schemas.microsoft.com/office/drawing/2014/main" id="{1A355461-5EA9-425D-8581-EF8ABAB26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11" name="Picture 410" descr="https://mail.google.com/mail/u/0/images/cleardot.gif">
          <a:extLst>
            <a:ext uri="{FF2B5EF4-FFF2-40B4-BE49-F238E27FC236}">
              <a16:creationId xmlns:a16="http://schemas.microsoft.com/office/drawing/2014/main" id="{B08F294E-991E-4736-A83A-025DD64ED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12" name="Picture 411" descr="https://mail.google.com/mail/u/0/images/cleardot.gif">
          <a:extLst>
            <a:ext uri="{FF2B5EF4-FFF2-40B4-BE49-F238E27FC236}">
              <a16:creationId xmlns:a16="http://schemas.microsoft.com/office/drawing/2014/main" id="{1186CA38-D96F-4C83-A2D3-249A11FC3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13" name="Picture 412" descr="https://mail.google.com/mail/u/0/images/cleardot.gif">
          <a:extLst>
            <a:ext uri="{FF2B5EF4-FFF2-40B4-BE49-F238E27FC236}">
              <a16:creationId xmlns:a16="http://schemas.microsoft.com/office/drawing/2014/main" id="{D955D515-C5CB-4D81-BFE9-F4E8955CF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14" name="Picture 413" descr="https://mail.google.com/mail/u/0/images/cleardot.gif">
          <a:extLst>
            <a:ext uri="{FF2B5EF4-FFF2-40B4-BE49-F238E27FC236}">
              <a16:creationId xmlns:a16="http://schemas.microsoft.com/office/drawing/2014/main" id="{6C2E48E5-05A2-4871-8EB9-6227F27C4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15" name="Picture 414" descr="https://mail.google.com/mail/u/0/images/cleardot.gif">
          <a:extLst>
            <a:ext uri="{FF2B5EF4-FFF2-40B4-BE49-F238E27FC236}">
              <a16:creationId xmlns:a16="http://schemas.microsoft.com/office/drawing/2014/main" id="{2A1C0CC9-1C2D-4C13-81A1-DC556A4AF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16" name="Picture 415" descr="https://mail.google.com/mail/u/0/images/cleardot.gif">
          <a:extLst>
            <a:ext uri="{FF2B5EF4-FFF2-40B4-BE49-F238E27FC236}">
              <a16:creationId xmlns:a16="http://schemas.microsoft.com/office/drawing/2014/main" id="{CB886557-AD32-47F6-A7B9-97B3BE129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17" name="Picture 416" descr="https://mail.google.com/mail/u/0/images/cleardot.gif">
          <a:extLst>
            <a:ext uri="{FF2B5EF4-FFF2-40B4-BE49-F238E27FC236}">
              <a16:creationId xmlns:a16="http://schemas.microsoft.com/office/drawing/2014/main" id="{D656A61C-1988-4AFF-ADE0-C1307EA3C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18" name="Picture 417" descr="https://mail.google.com/mail/u/0/images/cleardot.gif">
          <a:extLst>
            <a:ext uri="{FF2B5EF4-FFF2-40B4-BE49-F238E27FC236}">
              <a16:creationId xmlns:a16="http://schemas.microsoft.com/office/drawing/2014/main" id="{844509A0-542E-467A-BED4-37857A2DC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19" name="Picture 418" descr="https://mail.google.com/mail/u/0/images/cleardot.gif">
          <a:extLst>
            <a:ext uri="{FF2B5EF4-FFF2-40B4-BE49-F238E27FC236}">
              <a16:creationId xmlns:a16="http://schemas.microsoft.com/office/drawing/2014/main" id="{1E5C2DCB-6626-44BC-BE13-36D6BC527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20" name="Picture 419" descr="https://mail.google.com/mail/u/0/images/cleardot.gif">
          <a:extLst>
            <a:ext uri="{FF2B5EF4-FFF2-40B4-BE49-F238E27FC236}">
              <a16:creationId xmlns:a16="http://schemas.microsoft.com/office/drawing/2014/main" id="{C37D20B4-1B85-4EFF-8925-51256CBFC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21" name="Picture 420" descr="https://mail.google.com/mail/u/0/images/cleardot.gif">
          <a:extLst>
            <a:ext uri="{FF2B5EF4-FFF2-40B4-BE49-F238E27FC236}">
              <a16:creationId xmlns:a16="http://schemas.microsoft.com/office/drawing/2014/main" id="{971C82E5-85A5-4C19-9C2E-86E3B0F0B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22" name="Picture 421" descr="https://mail.google.com/mail/u/0/images/cleardot.gif">
          <a:extLst>
            <a:ext uri="{FF2B5EF4-FFF2-40B4-BE49-F238E27FC236}">
              <a16:creationId xmlns:a16="http://schemas.microsoft.com/office/drawing/2014/main" id="{CB98631E-D65E-4144-B4C2-F5E1CDD2B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23" name="Picture 422" descr="https://mail.google.com/mail/u/0/images/cleardot.gif">
          <a:extLst>
            <a:ext uri="{FF2B5EF4-FFF2-40B4-BE49-F238E27FC236}">
              <a16:creationId xmlns:a16="http://schemas.microsoft.com/office/drawing/2014/main" id="{1F64FD6B-060A-4AE9-BD9B-F4913E22A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24" name="Picture 423" descr="https://mail.google.com/mail/u/0/images/cleardot.gif">
          <a:extLst>
            <a:ext uri="{FF2B5EF4-FFF2-40B4-BE49-F238E27FC236}">
              <a16:creationId xmlns:a16="http://schemas.microsoft.com/office/drawing/2014/main" id="{6FA21731-A3AA-457E-90DE-15153C4AF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25" name="Picture 424" descr="https://mail.google.com/mail/u/0/images/cleardot.gif">
          <a:extLst>
            <a:ext uri="{FF2B5EF4-FFF2-40B4-BE49-F238E27FC236}">
              <a16:creationId xmlns:a16="http://schemas.microsoft.com/office/drawing/2014/main" id="{1BACAB3A-912C-430C-9398-BAA277C3E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26" name="Picture 425" descr="https://mail.google.com/mail/u/0/images/cleardot.gif">
          <a:extLst>
            <a:ext uri="{FF2B5EF4-FFF2-40B4-BE49-F238E27FC236}">
              <a16:creationId xmlns:a16="http://schemas.microsoft.com/office/drawing/2014/main" id="{27D0D655-6F29-4468-87B6-BCB73107C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27" name="Picture 426" descr="https://mail.google.com/mail/u/0/images/cleardot.gif">
          <a:extLst>
            <a:ext uri="{FF2B5EF4-FFF2-40B4-BE49-F238E27FC236}">
              <a16:creationId xmlns:a16="http://schemas.microsoft.com/office/drawing/2014/main" id="{AAB58E75-DF41-442E-AEBB-5728BE4A5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28" name="Picture 427" descr="https://mail.google.com/mail/u/0/images/cleardot.gif">
          <a:extLst>
            <a:ext uri="{FF2B5EF4-FFF2-40B4-BE49-F238E27FC236}">
              <a16:creationId xmlns:a16="http://schemas.microsoft.com/office/drawing/2014/main" id="{97B2B05F-2561-480B-B56A-256B321A3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29" name="Picture 428" descr="https://mail.google.com/mail/u/0/images/cleardot.gif">
          <a:extLst>
            <a:ext uri="{FF2B5EF4-FFF2-40B4-BE49-F238E27FC236}">
              <a16:creationId xmlns:a16="http://schemas.microsoft.com/office/drawing/2014/main" id="{D9009C95-7556-426E-A813-B51047B36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30" name="Picture 429" descr="https://mail.google.com/mail/u/0/images/cleardot.gif">
          <a:extLst>
            <a:ext uri="{FF2B5EF4-FFF2-40B4-BE49-F238E27FC236}">
              <a16:creationId xmlns:a16="http://schemas.microsoft.com/office/drawing/2014/main" id="{E2749BAE-C71E-4AFA-A261-42A4D4114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31" name="Picture 430" descr="https://mail.google.com/mail/u/0/images/cleardot.gif">
          <a:extLst>
            <a:ext uri="{FF2B5EF4-FFF2-40B4-BE49-F238E27FC236}">
              <a16:creationId xmlns:a16="http://schemas.microsoft.com/office/drawing/2014/main" id="{B45FCFFA-9EA5-4C3E-A053-536402EB0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32" name="Picture 431" descr="https://mail.google.com/mail/u/0/images/cleardot.gif">
          <a:extLst>
            <a:ext uri="{FF2B5EF4-FFF2-40B4-BE49-F238E27FC236}">
              <a16:creationId xmlns:a16="http://schemas.microsoft.com/office/drawing/2014/main" id="{4A8F83F6-EA05-4C4A-9C0C-11D6DB345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33" name="Picture 432" descr="https://mail.google.com/mail/u/0/images/cleardot.gif">
          <a:extLst>
            <a:ext uri="{FF2B5EF4-FFF2-40B4-BE49-F238E27FC236}">
              <a16:creationId xmlns:a16="http://schemas.microsoft.com/office/drawing/2014/main" id="{E5E9AADF-BAB5-40F2-BA0B-8D0975056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34" name="Picture 433" descr="https://mail.google.com/mail/u/0/images/cleardot.gif">
          <a:extLst>
            <a:ext uri="{FF2B5EF4-FFF2-40B4-BE49-F238E27FC236}">
              <a16:creationId xmlns:a16="http://schemas.microsoft.com/office/drawing/2014/main" id="{94EBFCE1-81D0-48FB-96D5-D108ABC36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35" name="Picture 434" descr="https://mail.google.com/mail/u/0/images/cleardot.gif">
          <a:extLst>
            <a:ext uri="{FF2B5EF4-FFF2-40B4-BE49-F238E27FC236}">
              <a16:creationId xmlns:a16="http://schemas.microsoft.com/office/drawing/2014/main" id="{88992DEA-ECD0-4BF4-B050-6E6703A91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36" name="Picture 435" descr="https://mail.google.com/mail/u/0/images/cleardot.gif">
          <a:extLst>
            <a:ext uri="{FF2B5EF4-FFF2-40B4-BE49-F238E27FC236}">
              <a16:creationId xmlns:a16="http://schemas.microsoft.com/office/drawing/2014/main" id="{6E1AC77B-2095-42FA-8476-DB2627468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37" name="Picture 436" descr="https://mail.google.com/mail/u/0/images/cleardot.gif">
          <a:extLst>
            <a:ext uri="{FF2B5EF4-FFF2-40B4-BE49-F238E27FC236}">
              <a16:creationId xmlns:a16="http://schemas.microsoft.com/office/drawing/2014/main" id="{99DF59DD-0062-418E-9348-101503DD8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38" name="Picture 437" descr="https://mail.google.com/mail/u/0/images/cleardot.gif">
          <a:extLst>
            <a:ext uri="{FF2B5EF4-FFF2-40B4-BE49-F238E27FC236}">
              <a16:creationId xmlns:a16="http://schemas.microsoft.com/office/drawing/2014/main" id="{3C3E5FCF-AA42-4687-ABE3-A866D7769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39" name="Picture 438" descr="https://mail.google.com/mail/u/0/images/cleardot.gif">
          <a:extLst>
            <a:ext uri="{FF2B5EF4-FFF2-40B4-BE49-F238E27FC236}">
              <a16:creationId xmlns:a16="http://schemas.microsoft.com/office/drawing/2014/main" id="{775BE741-1E0F-42C2-A8B7-D50DEF6AB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40" name="Picture 439" descr="https://mail.google.com/mail/u/0/images/cleardot.gif">
          <a:extLst>
            <a:ext uri="{FF2B5EF4-FFF2-40B4-BE49-F238E27FC236}">
              <a16:creationId xmlns:a16="http://schemas.microsoft.com/office/drawing/2014/main" id="{4DA97C20-C038-4E3B-8603-A5162F997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41" name="Picture 440" descr="https://mail.google.com/mail/u/0/images/cleardot.gif">
          <a:extLst>
            <a:ext uri="{FF2B5EF4-FFF2-40B4-BE49-F238E27FC236}">
              <a16:creationId xmlns:a16="http://schemas.microsoft.com/office/drawing/2014/main" id="{1D69A63E-7CF9-49FA-AB9D-82B610CCB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42" name="Picture 441" descr="https://mail.google.com/mail/u/0/images/cleardot.gif">
          <a:extLst>
            <a:ext uri="{FF2B5EF4-FFF2-40B4-BE49-F238E27FC236}">
              <a16:creationId xmlns:a16="http://schemas.microsoft.com/office/drawing/2014/main" id="{C9573AD3-0A0F-450D-8863-7E35F68DC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43" name="Picture 442" descr="https://mail.google.com/mail/u/0/images/cleardot.gif">
          <a:extLst>
            <a:ext uri="{FF2B5EF4-FFF2-40B4-BE49-F238E27FC236}">
              <a16:creationId xmlns:a16="http://schemas.microsoft.com/office/drawing/2014/main" id="{3D036579-7F70-4C75-BB66-0C93AF47A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44" name="Picture 443" descr="https://mail.google.com/mail/u/0/images/cleardot.gif">
          <a:extLst>
            <a:ext uri="{FF2B5EF4-FFF2-40B4-BE49-F238E27FC236}">
              <a16:creationId xmlns:a16="http://schemas.microsoft.com/office/drawing/2014/main" id="{E6ECEA30-FC44-49CC-8FAB-C8C477765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45" name="Picture 444" descr="https://mail.google.com/mail/u/0/images/cleardot.gif">
          <a:extLst>
            <a:ext uri="{FF2B5EF4-FFF2-40B4-BE49-F238E27FC236}">
              <a16:creationId xmlns:a16="http://schemas.microsoft.com/office/drawing/2014/main" id="{1DE452B2-3BDD-45B3-8000-E549A160D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46" name="Picture 445" descr="https://mail.google.com/mail/u/0/images/cleardot.gif">
          <a:extLst>
            <a:ext uri="{FF2B5EF4-FFF2-40B4-BE49-F238E27FC236}">
              <a16:creationId xmlns:a16="http://schemas.microsoft.com/office/drawing/2014/main" id="{E20EDD00-E4A9-4934-8975-6931680DF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47" name="Picture 446" descr="https://mail.google.com/mail/u/0/images/cleardot.gif">
          <a:extLst>
            <a:ext uri="{FF2B5EF4-FFF2-40B4-BE49-F238E27FC236}">
              <a16:creationId xmlns:a16="http://schemas.microsoft.com/office/drawing/2014/main" id="{583240CE-EB41-45FC-A61B-D16E54BB7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48" name="Picture 447" descr="https://mail.google.com/mail/u/0/images/cleardot.gif">
          <a:extLst>
            <a:ext uri="{FF2B5EF4-FFF2-40B4-BE49-F238E27FC236}">
              <a16:creationId xmlns:a16="http://schemas.microsoft.com/office/drawing/2014/main" id="{4BF2A68A-74C1-4758-8A98-5E8D70231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49" name="Picture 448" descr="https://mail.google.com/mail/u/0/images/cleardot.gif">
          <a:extLst>
            <a:ext uri="{FF2B5EF4-FFF2-40B4-BE49-F238E27FC236}">
              <a16:creationId xmlns:a16="http://schemas.microsoft.com/office/drawing/2014/main" id="{AD014F15-2400-489A-8B84-C30DD4A83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50" name="Picture 449" descr="https://mail.google.com/mail/u/0/images/cleardot.gif">
          <a:extLst>
            <a:ext uri="{FF2B5EF4-FFF2-40B4-BE49-F238E27FC236}">
              <a16:creationId xmlns:a16="http://schemas.microsoft.com/office/drawing/2014/main" id="{25A50051-9568-4E27-BF56-ED2985836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51" name="Picture 450" descr="https://mail.google.com/mail/u/0/images/cleardot.gif">
          <a:extLst>
            <a:ext uri="{FF2B5EF4-FFF2-40B4-BE49-F238E27FC236}">
              <a16:creationId xmlns:a16="http://schemas.microsoft.com/office/drawing/2014/main" id="{54F31EBF-5CF3-4D6D-8339-CBF4E3F77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52" name="Picture 451" descr="https://mail.google.com/mail/u/0/images/cleardot.gif">
          <a:extLst>
            <a:ext uri="{FF2B5EF4-FFF2-40B4-BE49-F238E27FC236}">
              <a16:creationId xmlns:a16="http://schemas.microsoft.com/office/drawing/2014/main" id="{F6F60CCD-D08D-46A3-8F75-54EB4E5F9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53" name="Picture 452" descr="https://mail.google.com/mail/u/0/images/cleardot.gif">
          <a:extLst>
            <a:ext uri="{FF2B5EF4-FFF2-40B4-BE49-F238E27FC236}">
              <a16:creationId xmlns:a16="http://schemas.microsoft.com/office/drawing/2014/main" id="{85331B0A-48E9-4930-B244-628162C50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54" name="Picture 453" descr="https://mail.google.com/mail/u/0/images/cleardot.gif">
          <a:extLst>
            <a:ext uri="{FF2B5EF4-FFF2-40B4-BE49-F238E27FC236}">
              <a16:creationId xmlns:a16="http://schemas.microsoft.com/office/drawing/2014/main" id="{D9DD5F94-6F7C-4EED-BE4D-ABE7645CD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55" name="Picture 454" descr="https://mail.google.com/mail/u/0/images/cleardot.gif">
          <a:extLst>
            <a:ext uri="{FF2B5EF4-FFF2-40B4-BE49-F238E27FC236}">
              <a16:creationId xmlns:a16="http://schemas.microsoft.com/office/drawing/2014/main" id="{F4C4CFEF-909D-423D-AD73-6568844A8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56" name="Picture 455" descr="https://mail.google.com/mail/u/0/images/cleardot.gif">
          <a:extLst>
            <a:ext uri="{FF2B5EF4-FFF2-40B4-BE49-F238E27FC236}">
              <a16:creationId xmlns:a16="http://schemas.microsoft.com/office/drawing/2014/main" id="{CD36EA28-EB8F-4EC8-9824-807ED1854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57" name="Picture 456" descr="https://mail.google.com/mail/u/0/images/cleardot.gif">
          <a:extLst>
            <a:ext uri="{FF2B5EF4-FFF2-40B4-BE49-F238E27FC236}">
              <a16:creationId xmlns:a16="http://schemas.microsoft.com/office/drawing/2014/main" id="{1806E775-204E-4016-A14F-BE22F6638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58" name="Picture 457" descr="https://mail.google.com/mail/u/0/images/cleardot.gif">
          <a:extLst>
            <a:ext uri="{FF2B5EF4-FFF2-40B4-BE49-F238E27FC236}">
              <a16:creationId xmlns:a16="http://schemas.microsoft.com/office/drawing/2014/main" id="{FE7551AF-88E4-4160-9B0D-B3173D362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59" name="Picture 458" descr="https://mail.google.com/mail/u/0/images/cleardot.gif">
          <a:extLst>
            <a:ext uri="{FF2B5EF4-FFF2-40B4-BE49-F238E27FC236}">
              <a16:creationId xmlns:a16="http://schemas.microsoft.com/office/drawing/2014/main" id="{BA44945B-9577-46DD-8E3F-88D658C3A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60" name="Picture 459" descr="https://mail.google.com/mail/u/0/images/cleardot.gif">
          <a:extLst>
            <a:ext uri="{FF2B5EF4-FFF2-40B4-BE49-F238E27FC236}">
              <a16:creationId xmlns:a16="http://schemas.microsoft.com/office/drawing/2014/main" id="{065C6E69-4EA0-4426-87F1-EACD9913C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61" name="Picture 460" descr="https://mail.google.com/mail/u/0/images/cleardot.gif">
          <a:extLst>
            <a:ext uri="{FF2B5EF4-FFF2-40B4-BE49-F238E27FC236}">
              <a16:creationId xmlns:a16="http://schemas.microsoft.com/office/drawing/2014/main" id="{236FAAF0-F4F3-45BB-9DDE-92A2EC3F6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62" name="Picture 461" descr="https://mail.google.com/mail/u/0/images/cleardot.gif">
          <a:extLst>
            <a:ext uri="{FF2B5EF4-FFF2-40B4-BE49-F238E27FC236}">
              <a16:creationId xmlns:a16="http://schemas.microsoft.com/office/drawing/2014/main" id="{CA1378B6-B840-49E3-A5D8-4BD883839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63" name="Picture 462" descr="https://mail.google.com/mail/u/0/images/cleardot.gif">
          <a:extLst>
            <a:ext uri="{FF2B5EF4-FFF2-40B4-BE49-F238E27FC236}">
              <a16:creationId xmlns:a16="http://schemas.microsoft.com/office/drawing/2014/main" id="{D30306C2-F9C3-4F3A-B160-AF2D83D0D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64" name="Picture 463" descr="https://mail.google.com/mail/u/0/images/cleardot.gif">
          <a:extLst>
            <a:ext uri="{FF2B5EF4-FFF2-40B4-BE49-F238E27FC236}">
              <a16:creationId xmlns:a16="http://schemas.microsoft.com/office/drawing/2014/main" id="{7ED7785E-8E03-4C79-87CE-7247C8447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65" name="Picture 464" descr="https://mail.google.com/mail/u/0/images/cleardot.gif">
          <a:extLst>
            <a:ext uri="{FF2B5EF4-FFF2-40B4-BE49-F238E27FC236}">
              <a16:creationId xmlns:a16="http://schemas.microsoft.com/office/drawing/2014/main" id="{C13003E3-B27C-4572-9D16-67D65526E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66" name="Picture 465" descr="https://mail.google.com/mail/u/0/images/cleardot.gif">
          <a:extLst>
            <a:ext uri="{FF2B5EF4-FFF2-40B4-BE49-F238E27FC236}">
              <a16:creationId xmlns:a16="http://schemas.microsoft.com/office/drawing/2014/main" id="{67C7037D-C65F-43EA-BA49-C415E6523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67" name="Picture 466" descr="https://mail.google.com/mail/u/0/images/cleardot.gif">
          <a:extLst>
            <a:ext uri="{FF2B5EF4-FFF2-40B4-BE49-F238E27FC236}">
              <a16:creationId xmlns:a16="http://schemas.microsoft.com/office/drawing/2014/main" id="{09674105-47C5-4E4E-B6DC-8AB19C229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68" name="Picture 467" descr="https://mail.google.com/mail/u/0/images/cleardot.gif">
          <a:extLst>
            <a:ext uri="{FF2B5EF4-FFF2-40B4-BE49-F238E27FC236}">
              <a16:creationId xmlns:a16="http://schemas.microsoft.com/office/drawing/2014/main" id="{20624982-3E50-46E7-A319-FBF6C7BE9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69" name="Picture 468" descr="https://mail.google.com/mail/u/0/images/cleardot.gif">
          <a:extLst>
            <a:ext uri="{FF2B5EF4-FFF2-40B4-BE49-F238E27FC236}">
              <a16:creationId xmlns:a16="http://schemas.microsoft.com/office/drawing/2014/main" id="{3D6E7F55-0A4A-4CE8-B115-94AA5F041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70" name="Picture 469" descr="https://mail.google.com/mail/u/0/images/cleardot.gif">
          <a:extLst>
            <a:ext uri="{FF2B5EF4-FFF2-40B4-BE49-F238E27FC236}">
              <a16:creationId xmlns:a16="http://schemas.microsoft.com/office/drawing/2014/main" id="{D2EE1040-AE04-4748-BB04-0EB8D745C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71" name="Picture 470" descr="https://mail.google.com/mail/u/0/images/cleardot.gif">
          <a:extLst>
            <a:ext uri="{FF2B5EF4-FFF2-40B4-BE49-F238E27FC236}">
              <a16:creationId xmlns:a16="http://schemas.microsoft.com/office/drawing/2014/main" id="{40A3B536-F450-4AEA-A55E-9B84C7218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72" name="Picture 471" descr="https://mail.google.com/mail/u/0/images/cleardot.gif">
          <a:extLst>
            <a:ext uri="{FF2B5EF4-FFF2-40B4-BE49-F238E27FC236}">
              <a16:creationId xmlns:a16="http://schemas.microsoft.com/office/drawing/2014/main" id="{0862DD91-20C3-492C-894C-E7C5E3798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73" name="Picture 472" descr="https://mail.google.com/mail/u/0/images/cleardot.gif">
          <a:extLst>
            <a:ext uri="{FF2B5EF4-FFF2-40B4-BE49-F238E27FC236}">
              <a16:creationId xmlns:a16="http://schemas.microsoft.com/office/drawing/2014/main" id="{006C9F41-5FE8-4FB8-A48E-4D49D698C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74" name="Picture 473" descr="https://mail.google.com/mail/u/0/images/cleardot.gif">
          <a:extLst>
            <a:ext uri="{FF2B5EF4-FFF2-40B4-BE49-F238E27FC236}">
              <a16:creationId xmlns:a16="http://schemas.microsoft.com/office/drawing/2014/main" id="{AAA87ED1-BCE1-4B10-A85E-740C93B00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75" name="Picture 474" descr="https://mail.google.com/mail/u/0/images/cleardot.gif">
          <a:extLst>
            <a:ext uri="{FF2B5EF4-FFF2-40B4-BE49-F238E27FC236}">
              <a16:creationId xmlns:a16="http://schemas.microsoft.com/office/drawing/2014/main" id="{2E332D85-B71E-4674-9363-AE9C8B24F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76" name="Picture 475" descr="https://mail.google.com/mail/u/0/images/cleardot.gif">
          <a:extLst>
            <a:ext uri="{FF2B5EF4-FFF2-40B4-BE49-F238E27FC236}">
              <a16:creationId xmlns:a16="http://schemas.microsoft.com/office/drawing/2014/main" id="{39E27B3E-670A-4B1E-BE46-84753B5C9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77" name="Picture 476" descr="https://mail.google.com/mail/u/0/images/cleardot.gif">
          <a:extLst>
            <a:ext uri="{FF2B5EF4-FFF2-40B4-BE49-F238E27FC236}">
              <a16:creationId xmlns:a16="http://schemas.microsoft.com/office/drawing/2014/main" id="{B0BD9171-EFB4-4331-A42F-756AAEEBE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78" name="Picture 477" descr="https://mail.google.com/mail/u/0/images/cleardot.gif">
          <a:extLst>
            <a:ext uri="{FF2B5EF4-FFF2-40B4-BE49-F238E27FC236}">
              <a16:creationId xmlns:a16="http://schemas.microsoft.com/office/drawing/2014/main" id="{70892462-6904-4DAE-BFC6-5617FB453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79" name="Picture 478" descr="https://mail.google.com/mail/u/0/images/cleardot.gif">
          <a:extLst>
            <a:ext uri="{FF2B5EF4-FFF2-40B4-BE49-F238E27FC236}">
              <a16:creationId xmlns:a16="http://schemas.microsoft.com/office/drawing/2014/main" id="{444B1FF5-E755-4DE6-9119-A24F4D23F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80" name="Picture 479" descr="https://mail.google.com/mail/u/0/images/cleardot.gif">
          <a:extLst>
            <a:ext uri="{FF2B5EF4-FFF2-40B4-BE49-F238E27FC236}">
              <a16:creationId xmlns:a16="http://schemas.microsoft.com/office/drawing/2014/main" id="{85444FB9-8E8D-498C-9D6A-B659F7B94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81" name="Picture 480" descr="https://mail.google.com/mail/u/0/images/cleardot.gif">
          <a:extLst>
            <a:ext uri="{FF2B5EF4-FFF2-40B4-BE49-F238E27FC236}">
              <a16:creationId xmlns:a16="http://schemas.microsoft.com/office/drawing/2014/main" id="{9A7CBAE5-A20F-4111-9189-49EE3896B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82" name="Picture 481" descr="https://mail.google.com/mail/u/0/images/cleardot.gif">
          <a:extLst>
            <a:ext uri="{FF2B5EF4-FFF2-40B4-BE49-F238E27FC236}">
              <a16:creationId xmlns:a16="http://schemas.microsoft.com/office/drawing/2014/main" id="{53CFA207-3A13-4D95-A324-9FE050560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83" name="Picture 482" descr="https://mail.google.com/mail/u/0/images/cleardot.gif">
          <a:extLst>
            <a:ext uri="{FF2B5EF4-FFF2-40B4-BE49-F238E27FC236}">
              <a16:creationId xmlns:a16="http://schemas.microsoft.com/office/drawing/2014/main" id="{3E63777B-1940-4F0F-A990-0DA751C36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84" name="Picture 483" descr="https://mail.google.com/mail/u/0/images/cleardot.gif">
          <a:extLst>
            <a:ext uri="{FF2B5EF4-FFF2-40B4-BE49-F238E27FC236}">
              <a16:creationId xmlns:a16="http://schemas.microsoft.com/office/drawing/2014/main" id="{4A9B941E-94BC-4164-B16C-A1C18EE4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85" name="Picture 484" descr="https://mail.google.com/mail/u/0/images/cleardot.gif">
          <a:extLst>
            <a:ext uri="{FF2B5EF4-FFF2-40B4-BE49-F238E27FC236}">
              <a16:creationId xmlns:a16="http://schemas.microsoft.com/office/drawing/2014/main" id="{47DFC1E6-48ED-4031-9C02-E83F32517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86" name="Picture 485" descr="https://mail.google.com/mail/u/0/images/cleardot.gif">
          <a:extLst>
            <a:ext uri="{FF2B5EF4-FFF2-40B4-BE49-F238E27FC236}">
              <a16:creationId xmlns:a16="http://schemas.microsoft.com/office/drawing/2014/main" id="{74D830B9-C9DF-48A6-B63D-9629585D5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87" name="Picture 486" descr="https://mail.google.com/mail/u/0/images/cleardot.gif">
          <a:extLst>
            <a:ext uri="{FF2B5EF4-FFF2-40B4-BE49-F238E27FC236}">
              <a16:creationId xmlns:a16="http://schemas.microsoft.com/office/drawing/2014/main" id="{D0211543-3091-4A04-B93F-C473848F1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88" name="Picture 487" descr="https://mail.google.com/mail/u/0/images/cleardot.gif">
          <a:extLst>
            <a:ext uri="{FF2B5EF4-FFF2-40B4-BE49-F238E27FC236}">
              <a16:creationId xmlns:a16="http://schemas.microsoft.com/office/drawing/2014/main" id="{740E1E40-DD6F-4FF6-813A-5AA1B9E67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89" name="Picture 488" descr="https://mail.google.com/mail/u/0/images/cleardot.gif">
          <a:extLst>
            <a:ext uri="{FF2B5EF4-FFF2-40B4-BE49-F238E27FC236}">
              <a16:creationId xmlns:a16="http://schemas.microsoft.com/office/drawing/2014/main" id="{06EB6B6F-FD18-4F5A-9F31-D68D55A7D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90" name="Picture 489" descr="https://mail.google.com/mail/u/0/images/cleardot.gif">
          <a:extLst>
            <a:ext uri="{FF2B5EF4-FFF2-40B4-BE49-F238E27FC236}">
              <a16:creationId xmlns:a16="http://schemas.microsoft.com/office/drawing/2014/main" id="{7AD6A723-2FD5-480D-8AD0-CA8D2DB26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91" name="Picture 490" descr="https://mail.google.com/mail/u/0/images/cleardot.gif">
          <a:extLst>
            <a:ext uri="{FF2B5EF4-FFF2-40B4-BE49-F238E27FC236}">
              <a16:creationId xmlns:a16="http://schemas.microsoft.com/office/drawing/2014/main" id="{9D80E4F0-4141-44C8-A6A1-8204BC7E0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92" name="Picture 491" descr="https://mail.google.com/mail/u/0/images/cleardot.gif">
          <a:extLst>
            <a:ext uri="{FF2B5EF4-FFF2-40B4-BE49-F238E27FC236}">
              <a16:creationId xmlns:a16="http://schemas.microsoft.com/office/drawing/2014/main" id="{B15FB713-38C9-4316-BD6F-538D18B16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93" name="Picture 492" descr="https://mail.google.com/mail/u/0/images/cleardot.gif">
          <a:extLst>
            <a:ext uri="{FF2B5EF4-FFF2-40B4-BE49-F238E27FC236}">
              <a16:creationId xmlns:a16="http://schemas.microsoft.com/office/drawing/2014/main" id="{9C17D930-9F64-4D88-AF1D-C4573496A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94" name="Picture 493" descr="https://mail.google.com/mail/u/0/images/cleardot.gif">
          <a:extLst>
            <a:ext uri="{FF2B5EF4-FFF2-40B4-BE49-F238E27FC236}">
              <a16:creationId xmlns:a16="http://schemas.microsoft.com/office/drawing/2014/main" id="{79383D4A-C5B2-4CDA-9D79-BB0CACDD0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95" name="Picture 494" descr="https://mail.google.com/mail/u/0/images/cleardot.gif">
          <a:extLst>
            <a:ext uri="{FF2B5EF4-FFF2-40B4-BE49-F238E27FC236}">
              <a16:creationId xmlns:a16="http://schemas.microsoft.com/office/drawing/2014/main" id="{98ADA2B0-0012-4F9E-905C-7D9836BF1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96" name="Picture 495" descr="https://mail.google.com/mail/u/0/images/cleardot.gif">
          <a:extLst>
            <a:ext uri="{FF2B5EF4-FFF2-40B4-BE49-F238E27FC236}">
              <a16:creationId xmlns:a16="http://schemas.microsoft.com/office/drawing/2014/main" id="{3AF257B4-513A-4B96-8638-2E7D950D7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97" name="Picture 496" descr="https://mail.google.com/mail/u/0/images/cleardot.gif">
          <a:extLst>
            <a:ext uri="{FF2B5EF4-FFF2-40B4-BE49-F238E27FC236}">
              <a16:creationId xmlns:a16="http://schemas.microsoft.com/office/drawing/2014/main" id="{8F51BC19-32AF-4D38-BEE9-A3F0C973C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98" name="Picture 497" descr="https://mail.google.com/mail/u/0/images/cleardot.gif">
          <a:extLst>
            <a:ext uri="{FF2B5EF4-FFF2-40B4-BE49-F238E27FC236}">
              <a16:creationId xmlns:a16="http://schemas.microsoft.com/office/drawing/2014/main" id="{881108D5-9F71-483F-A802-2F2195ABF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499" name="Picture 498" descr="https://mail.google.com/mail/u/0/images/cleardot.gif">
          <a:extLst>
            <a:ext uri="{FF2B5EF4-FFF2-40B4-BE49-F238E27FC236}">
              <a16:creationId xmlns:a16="http://schemas.microsoft.com/office/drawing/2014/main" id="{F84CEBF0-9439-41A7-A80B-6B6BE53DA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00" name="Picture 499" descr="https://mail.google.com/mail/u/0/images/cleardot.gif">
          <a:extLst>
            <a:ext uri="{FF2B5EF4-FFF2-40B4-BE49-F238E27FC236}">
              <a16:creationId xmlns:a16="http://schemas.microsoft.com/office/drawing/2014/main" id="{F7DBFDBB-5340-404D-AFF2-06F53E7AA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01" name="Picture 500" descr="https://mail.google.com/mail/u/0/images/cleardot.gif">
          <a:extLst>
            <a:ext uri="{FF2B5EF4-FFF2-40B4-BE49-F238E27FC236}">
              <a16:creationId xmlns:a16="http://schemas.microsoft.com/office/drawing/2014/main" id="{180C94B6-C2B8-45CB-85CB-0AE2691C6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02" name="Picture 501" descr="https://mail.google.com/mail/u/0/images/cleardot.gif">
          <a:extLst>
            <a:ext uri="{FF2B5EF4-FFF2-40B4-BE49-F238E27FC236}">
              <a16:creationId xmlns:a16="http://schemas.microsoft.com/office/drawing/2014/main" id="{1938B8EC-DEF8-484E-AE0A-AD4FF29F5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03" name="Picture 502" descr="https://mail.google.com/mail/u/0/images/cleardot.gif">
          <a:extLst>
            <a:ext uri="{FF2B5EF4-FFF2-40B4-BE49-F238E27FC236}">
              <a16:creationId xmlns:a16="http://schemas.microsoft.com/office/drawing/2014/main" id="{9FFBA6D7-6AA3-4A2B-BC7D-4262B7E4F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04" name="Picture 503" descr="https://mail.google.com/mail/u/0/images/cleardot.gif">
          <a:extLst>
            <a:ext uri="{FF2B5EF4-FFF2-40B4-BE49-F238E27FC236}">
              <a16:creationId xmlns:a16="http://schemas.microsoft.com/office/drawing/2014/main" id="{892E8C77-02BD-4E76-83E3-BE7A6C7EC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05" name="Picture 504" descr="https://mail.google.com/mail/u/0/images/cleardot.gif">
          <a:extLst>
            <a:ext uri="{FF2B5EF4-FFF2-40B4-BE49-F238E27FC236}">
              <a16:creationId xmlns:a16="http://schemas.microsoft.com/office/drawing/2014/main" id="{39165724-4ED2-42FC-910E-179181A4E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06" name="Picture 505" descr="https://mail.google.com/mail/u/0/images/cleardot.gif">
          <a:extLst>
            <a:ext uri="{FF2B5EF4-FFF2-40B4-BE49-F238E27FC236}">
              <a16:creationId xmlns:a16="http://schemas.microsoft.com/office/drawing/2014/main" id="{C7349537-E772-4E5F-9C77-B071FA622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07" name="Picture 506" descr="https://mail.google.com/mail/u/0/images/cleardot.gif">
          <a:extLst>
            <a:ext uri="{FF2B5EF4-FFF2-40B4-BE49-F238E27FC236}">
              <a16:creationId xmlns:a16="http://schemas.microsoft.com/office/drawing/2014/main" id="{578260F0-8D36-44DD-9EAF-92D6AD126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08" name="Picture 507" descr="https://mail.google.com/mail/u/0/images/cleardot.gif">
          <a:extLst>
            <a:ext uri="{FF2B5EF4-FFF2-40B4-BE49-F238E27FC236}">
              <a16:creationId xmlns:a16="http://schemas.microsoft.com/office/drawing/2014/main" id="{56F018E9-36EF-4939-9B2C-9229A6725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09" name="Picture 508" descr="https://mail.google.com/mail/u/0/images/cleardot.gif">
          <a:extLst>
            <a:ext uri="{FF2B5EF4-FFF2-40B4-BE49-F238E27FC236}">
              <a16:creationId xmlns:a16="http://schemas.microsoft.com/office/drawing/2014/main" id="{C37D395A-503D-4A46-A6C2-06905252F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10" name="Picture 509" descr="https://mail.google.com/mail/u/0/images/cleardot.gif">
          <a:extLst>
            <a:ext uri="{FF2B5EF4-FFF2-40B4-BE49-F238E27FC236}">
              <a16:creationId xmlns:a16="http://schemas.microsoft.com/office/drawing/2014/main" id="{B4325BEF-5DC8-4279-8109-A10BF71D9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11" name="Picture 510" descr="https://mail.google.com/mail/u/0/images/cleardot.gif">
          <a:extLst>
            <a:ext uri="{FF2B5EF4-FFF2-40B4-BE49-F238E27FC236}">
              <a16:creationId xmlns:a16="http://schemas.microsoft.com/office/drawing/2014/main" id="{20A6660E-9CB2-460A-9A78-64F356BD2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12" name="Picture 511" descr="https://mail.google.com/mail/u/0/images/cleardot.gif">
          <a:extLst>
            <a:ext uri="{FF2B5EF4-FFF2-40B4-BE49-F238E27FC236}">
              <a16:creationId xmlns:a16="http://schemas.microsoft.com/office/drawing/2014/main" id="{0A84F74F-9129-4C20-B587-A9C1CE483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13" name="Picture 512" descr="https://mail.google.com/mail/u/0/images/cleardot.gif">
          <a:extLst>
            <a:ext uri="{FF2B5EF4-FFF2-40B4-BE49-F238E27FC236}">
              <a16:creationId xmlns:a16="http://schemas.microsoft.com/office/drawing/2014/main" id="{B4F96AF7-1C40-47FE-8682-07806031E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14" name="Picture 513" descr="https://mail.google.com/mail/u/0/images/cleardot.gif">
          <a:extLst>
            <a:ext uri="{FF2B5EF4-FFF2-40B4-BE49-F238E27FC236}">
              <a16:creationId xmlns:a16="http://schemas.microsoft.com/office/drawing/2014/main" id="{2DAFE3E6-86B8-4072-B7C7-25B79E9B8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15" name="Picture 514" descr="https://mail.google.com/mail/u/0/images/cleardot.gif">
          <a:extLst>
            <a:ext uri="{FF2B5EF4-FFF2-40B4-BE49-F238E27FC236}">
              <a16:creationId xmlns:a16="http://schemas.microsoft.com/office/drawing/2014/main" id="{F2DB0871-DD6B-4361-B30C-CA0FE46C8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16" name="Picture 515" descr="https://mail.google.com/mail/u/0/images/cleardot.gif">
          <a:extLst>
            <a:ext uri="{FF2B5EF4-FFF2-40B4-BE49-F238E27FC236}">
              <a16:creationId xmlns:a16="http://schemas.microsoft.com/office/drawing/2014/main" id="{4FB72E20-7BD9-42CD-9899-10F96CE15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17" name="Picture 516" descr="https://mail.google.com/mail/u/0/images/cleardot.gif">
          <a:extLst>
            <a:ext uri="{FF2B5EF4-FFF2-40B4-BE49-F238E27FC236}">
              <a16:creationId xmlns:a16="http://schemas.microsoft.com/office/drawing/2014/main" id="{FF16B7E2-BF75-4799-B97B-50644A04B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18" name="Picture 517" descr="https://mail.google.com/mail/u/0/images/cleardot.gif">
          <a:extLst>
            <a:ext uri="{FF2B5EF4-FFF2-40B4-BE49-F238E27FC236}">
              <a16:creationId xmlns:a16="http://schemas.microsoft.com/office/drawing/2014/main" id="{79C1C295-72AB-4FA9-B778-7C0CF098C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19" name="Picture 518" descr="https://mail.google.com/mail/u/0/images/cleardot.gif">
          <a:extLst>
            <a:ext uri="{FF2B5EF4-FFF2-40B4-BE49-F238E27FC236}">
              <a16:creationId xmlns:a16="http://schemas.microsoft.com/office/drawing/2014/main" id="{A9937164-2315-44C0-9C5B-7EB1AF410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20" name="Picture 519" descr="https://mail.google.com/mail/u/0/images/cleardot.gif">
          <a:extLst>
            <a:ext uri="{FF2B5EF4-FFF2-40B4-BE49-F238E27FC236}">
              <a16:creationId xmlns:a16="http://schemas.microsoft.com/office/drawing/2014/main" id="{B4C71404-E625-4464-B353-7F36DFA5F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21" name="Picture 520" descr="https://mail.google.com/mail/u/0/images/cleardot.gif">
          <a:extLst>
            <a:ext uri="{FF2B5EF4-FFF2-40B4-BE49-F238E27FC236}">
              <a16:creationId xmlns:a16="http://schemas.microsoft.com/office/drawing/2014/main" id="{EAC85898-06C4-46BF-9CE0-720E6F240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22" name="Picture 521" descr="https://mail.google.com/mail/u/0/images/cleardot.gif">
          <a:extLst>
            <a:ext uri="{FF2B5EF4-FFF2-40B4-BE49-F238E27FC236}">
              <a16:creationId xmlns:a16="http://schemas.microsoft.com/office/drawing/2014/main" id="{66B56A38-3114-4174-9D54-E64049890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23" name="Picture 522" descr="https://mail.google.com/mail/u/0/images/cleardot.gif">
          <a:extLst>
            <a:ext uri="{FF2B5EF4-FFF2-40B4-BE49-F238E27FC236}">
              <a16:creationId xmlns:a16="http://schemas.microsoft.com/office/drawing/2014/main" id="{5366E757-F22D-49B5-904C-42F7B1B52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24" name="Picture 523" descr="https://mail.google.com/mail/u/0/images/cleardot.gif">
          <a:extLst>
            <a:ext uri="{FF2B5EF4-FFF2-40B4-BE49-F238E27FC236}">
              <a16:creationId xmlns:a16="http://schemas.microsoft.com/office/drawing/2014/main" id="{CBBD4F1D-4C54-4C52-885A-46FF6930D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25" name="Picture 524" descr="https://mail.google.com/mail/u/0/images/cleardot.gif">
          <a:extLst>
            <a:ext uri="{FF2B5EF4-FFF2-40B4-BE49-F238E27FC236}">
              <a16:creationId xmlns:a16="http://schemas.microsoft.com/office/drawing/2014/main" id="{59D7C705-3C4F-41B6-9FCE-EE4A66693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26" name="Picture 525" descr="https://mail.google.com/mail/u/0/images/cleardot.gif">
          <a:extLst>
            <a:ext uri="{FF2B5EF4-FFF2-40B4-BE49-F238E27FC236}">
              <a16:creationId xmlns:a16="http://schemas.microsoft.com/office/drawing/2014/main" id="{042DB18B-8A7C-4358-95DB-365B5BF1F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27" name="Picture 526" descr="https://mail.google.com/mail/u/0/images/cleardot.gif">
          <a:extLst>
            <a:ext uri="{FF2B5EF4-FFF2-40B4-BE49-F238E27FC236}">
              <a16:creationId xmlns:a16="http://schemas.microsoft.com/office/drawing/2014/main" id="{C397B0EC-B515-4E49-8985-11E5B006D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28" name="Picture 527" descr="https://mail.google.com/mail/u/0/images/cleardot.gif">
          <a:extLst>
            <a:ext uri="{FF2B5EF4-FFF2-40B4-BE49-F238E27FC236}">
              <a16:creationId xmlns:a16="http://schemas.microsoft.com/office/drawing/2014/main" id="{EE53A093-8E81-44AF-8171-44BFB4D23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29" name="Picture 528" descr="https://mail.google.com/mail/u/0/images/cleardot.gif">
          <a:extLst>
            <a:ext uri="{FF2B5EF4-FFF2-40B4-BE49-F238E27FC236}">
              <a16:creationId xmlns:a16="http://schemas.microsoft.com/office/drawing/2014/main" id="{6667D39C-EF95-413C-9A66-0B2D4AB19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30" name="Picture 529" descr="https://mail.google.com/mail/u/0/images/cleardot.gif">
          <a:extLst>
            <a:ext uri="{FF2B5EF4-FFF2-40B4-BE49-F238E27FC236}">
              <a16:creationId xmlns:a16="http://schemas.microsoft.com/office/drawing/2014/main" id="{E7EE7946-09B3-4321-8FD0-A3E8515B6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31" name="Picture 530" descr="https://mail.google.com/mail/u/0/images/cleardot.gif">
          <a:extLst>
            <a:ext uri="{FF2B5EF4-FFF2-40B4-BE49-F238E27FC236}">
              <a16:creationId xmlns:a16="http://schemas.microsoft.com/office/drawing/2014/main" id="{2E0AD0F7-B51B-4641-A5DD-850A81B49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32" name="Picture 531" descr="https://mail.google.com/mail/u/0/images/cleardot.gif">
          <a:extLst>
            <a:ext uri="{FF2B5EF4-FFF2-40B4-BE49-F238E27FC236}">
              <a16:creationId xmlns:a16="http://schemas.microsoft.com/office/drawing/2014/main" id="{4E84A288-8620-4458-8C2C-188E59CDA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33" name="Picture 532" descr="https://mail.google.com/mail/u/0/images/cleardot.gif">
          <a:extLst>
            <a:ext uri="{FF2B5EF4-FFF2-40B4-BE49-F238E27FC236}">
              <a16:creationId xmlns:a16="http://schemas.microsoft.com/office/drawing/2014/main" id="{D25AD8E7-88C3-4B84-8437-2D7220FE5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34" name="Picture 533" descr="https://mail.google.com/mail/u/0/images/cleardot.gif">
          <a:extLst>
            <a:ext uri="{FF2B5EF4-FFF2-40B4-BE49-F238E27FC236}">
              <a16:creationId xmlns:a16="http://schemas.microsoft.com/office/drawing/2014/main" id="{BEC2B3EC-C65B-4FC1-B6CF-EFED578A5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35" name="Picture 534" descr="https://mail.google.com/mail/u/0/images/cleardot.gif">
          <a:extLst>
            <a:ext uri="{FF2B5EF4-FFF2-40B4-BE49-F238E27FC236}">
              <a16:creationId xmlns:a16="http://schemas.microsoft.com/office/drawing/2014/main" id="{846EBF2F-F52D-4947-B8CA-70D87E6CA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36" name="Picture 535" descr="https://mail.google.com/mail/u/0/images/cleardot.gif">
          <a:extLst>
            <a:ext uri="{FF2B5EF4-FFF2-40B4-BE49-F238E27FC236}">
              <a16:creationId xmlns:a16="http://schemas.microsoft.com/office/drawing/2014/main" id="{16F87D1B-F6CA-4BB4-AC95-8AC1E71A5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37" name="Picture 536" descr="https://mail.google.com/mail/u/0/images/cleardot.gif">
          <a:extLst>
            <a:ext uri="{FF2B5EF4-FFF2-40B4-BE49-F238E27FC236}">
              <a16:creationId xmlns:a16="http://schemas.microsoft.com/office/drawing/2014/main" id="{E55415D4-7C7D-4521-955C-A5D174FEE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38" name="Picture 537" descr="https://mail.google.com/mail/u/0/images/cleardot.gif">
          <a:extLst>
            <a:ext uri="{FF2B5EF4-FFF2-40B4-BE49-F238E27FC236}">
              <a16:creationId xmlns:a16="http://schemas.microsoft.com/office/drawing/2014/main" id="{F30FC503-EB7F-4487-AD6B-B8F7BB03C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39" name="Picture 538" descr="https://mail.google.com/mail/u/0/images/cleardot.gif">
          <a:extLst>
            <a:ext uri="{FF2B5EF4-FFF2-40B4-BE49-F238E27FC236}">
              <a16:creationId xmlns:a16="http://schemas.microsoft.com/office/drawing/2014/main" id="{F92A41B3-B545-40CE-B006-EA7749B20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40" name="Picture 539" descr="https://mail.google.com/mail/u/0/images/cleardot.gif">
          <a:extLst>
            <a:ext uri="{FF2B5EF4-FFF2-40B4-BE49-F238E27FC236}">
              <a16:creationId xmlns:a16="http://schemas.microsoft.com/office/drawing/2014/main" id="{65D9D1D7-9790-4198-8442-122139867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41" name="Picture 540" descr="https://mail.google.com/mail/u/0/images/cleardot.gif">
          <a:extLst>
            <a:ext uri="{FF2B5EF4-FFF2-40B4-BE49-F238E27FC236}">
              <a16:creationId xmlns:a16="http://schemas.microsoft.com/office/drawing/2014/main" id="{7423F2D5-70F1-4E00-8E50-FC334DBA3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42" name="Picture 541" descr="https://mail.google.com/mail/u/0/images/cleardot.gif">
          <a:extLst>
            <a:ext uri="{FF2B5EF4-FFF2-40B4-BE49-F238E27FC236}">
              <a16:creationId xmlns:a16="http://schemas.microsoft.com/office/drawing/2014/main" id="{3E0BD98F-7FBC-4D20-BDD0-BD2334BCA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43" name="Picture 542" descr="https://mail.google.com/mail/u/0/images/cleardot.gif">
          <a:extLst>
            <a:ext uri="{FF2B5EF4-FFF2-40B4-BE49-F238E27FC236}">
              <a16:creationId xmlns:a16="http://schemas.microsoft.com/office/drawing/2014/main" id="{1FC825D6-90CC-457B-A35F-8B5A1CF0F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44" name="Picture 543" descr="https://mail.google.com/mail/u/0/images/cleardot.gif">
          <a:extLst>
            <a:ext uri="{FF2B5EF4-FFF2-40B4-BE49-F238E27FC236}">
              <a16:creationId xmlns:a16="http://schemas.microsoft.com/office/drawing/2014/main" id="{8F70810E-2AED-4E38-AB81-763EF2B63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45" name="Picture 544" descr="https://mail.google.com/mail/u/0/images/cleardot.gif">
          <a:extLst>
            <a:ext uri="{FF2B5EF4-FFF2-40B4-BE49-F238E27FC236}">
              <a16:creationId xmlns:a16="http://schemas.microsoft.com/office/drawing/2014/main" id="{F78C2314-7EC0-48F7-A706-B9A15025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46" name="Picture 545" descr="https://mail.google.com/mail/u/0/images/cleardot.gif">
          <a:extLst>
            <a:ext uri="{FF2B5EF4-FFF2-40B4-BE49-F238E27FC236}">
              <a16:creationId xmlns:a16="http://schemas.microsoft.com/office/drawing/2014/main" id="{BE1418C5-B94A-459C-8BC4-F4D200E3E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47" name="Picture 546" descr="https://mail.google.com/mail/u/0/images/cleardot.gif">
          <a:extLst>
            <a:ext uri="{FF2B5EF4-FFF2-40B4-BE49-F238E27FC236}">
              <a16:creationId xmlns:a16="http://schemas.microsoft.com/office/drawing/2014/main" id="{589D07F2-70B8-42F3-9089-C9F740062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48" name="Picture 547" descr="https://mail.google.com/mail/u/0/images/cleardot.gif">
          <a:extLst>
            <a:ext uri="{FF2B5EF4-FFF2-40B4-BE49-F238E27FC236}">
              <a16:creationId xmlns:a16="http://schemas.microsoft.com/office/drawing/2014/main" id="{F73AF6C6-840B-4B4D-9F6F-4309DE1C6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49" name="Picture 548" descr="https://mail.google.com/mail/u/0/images/cleardot.gif">
          <a:extLst>
            <a:ext uri="{FF2B5EF4-FFF2-40B4-BE49-F238E27FC236}">
              <a16:creationId xmlns:a16="http://schemas.microsoft.com/office/drawing/2014/main" id="{9D67DF1A-64ED-4C3F-9E8A-A93A59976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50" name="Picture 549" descr="https://mail.google.com/mail/u/0/images/cleardot.gif">
          <a:extLst>
            <a:ext uri="{FF2B5EF4-FFF2-40B4-BE49-F238E27FC236}">
              <a16:creationId xmlns:a16="http://schemas.microsoft.com/office/drawing/2014/main" id="{0CC66630-6EA6-49BB-BC47-F19D7E1E0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51" name="Picture 550" descr="https://mail.google.com/mail/u/0/images/cleardot.gif">
          <a:extLst>
            <a:ext uri="{FF2B5EF4-FFF2-40B4-BE49-F238E27FC236}">
              <a16:creationId xmlns:a16="http://schemas.microsoft.com/office/drawing/2014/main" id="{52A0EF17-EB55-413F-B427-A8B7EA1A9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52" name="Picture 551" descr="https://mail.google.com/mail/u/0/images/cleardot.gif">
          <a:extLst>
            <a:ext uri="{FF2B5EF4-FFF2-40B4-BE49-F238E27FC236}">
              <a16:creationId xmlns:a16="http://schemas.microsoft.com/office/drawing/2014/main" id="{375F9E6D-D004-4C63-A459-E15503430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53" name="Picture 552" descr="https://mail.google.com/mail/u/0/images/cleardot.gif">
          <a:extLst>
            <a:ext uri="{FF2B5EF4-FFF2-40B4-BE49-F238E27FC236}">
              <a16:creationId xmlns:a16="http://schemas.microsoft.com/office/drawing/2014/main" id="{42804E30-99DD-4DB6-A16A-52A3D91DF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54" name="Picture 553" descr="https://mail.google.com/mail/u/0/images/cleardot.gif">
          <a:extLst>
            <a:ext uri="{FF2B5EF4-FFF2-40B4-BE49-F238E27FC236}">
              <a16:creationId xmlns:a16="http://schemas.microsoft.com/office/drawing/2014/main" id="{8FB274F0-5AB0-4DE5-B490-8ED50F7FC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55" name="Picture 554" descr="https://mail.google.com/mail/u/0/images/cleardot.gif">
          <a:extLst>
            <a:ext uri="{FF2B5EF4-FFF2-40B4-BE49-F238E27FC236}">
              <a16:creationId xmlns:a16="http://schemas.microsoft.com/office/drawing/2014/main" id="{82134714-618A-4FE1-AE50-20546E882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56" name="Picture 555" descr="https://mail.google.com/mail/u/0/images/cleardot.gif">
          <a:extLst>
            <a:ext uri="{FF2B5EF4-FFF2-40B4-BE49-F238E27FC236}">
              <a16:creationId xmlns:a16="http://schemas.microsoft.com/office/drawing/2014/main" id="{2EF9A86B-C359-4E72-BDE0-627D590DD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57" name="Picture 556" descr="https://mail.google.com/mail/u/0/images/cleardot.gif">
          <a:extLst>
            <a:ext uri="{FF2B5EF4-FFF2-40B4-BE49-F238E27FC236}">
              <a16:creationId xmlns:a16="http://schemas.microsoft.com/office/drawing/2014/main" id="{736C3801-EAF9-41E8-8F40-EBBF68751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58" name="Picture 557" descr="https://mail.google.com/mail/u/0/images/cleardot.gif">
          <a:extLst>
            <a:ext uri="{FF2B5EF4-FFF2-40B4-BE49-F238E27FC236}">
              <a16:creationId xmlns:a16="http://schemas.microsoft.com/office/drawing/2014/main" id="{5E4DD0C6-ADFF-40C2-A0AF-9BA8D7FF7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59" name="Picture 558" descr="https://mail.google.com/mail/u/0/images/cleardot.gif">
          <a:extLst>
            <a:ext uri="{FF2B5EF4-FFF2-40B4-BE49-F238E27FC236}">
              <a16:creationId xmlns:a16="http://schemas.microsoft.com/office/drawing/2014/main" id="{51428199-4D1D-42BB-A327-B280707E5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60" name="Picture 559" descr="https://mail.google.com/mail/u/0/images/cleardot.gif">
          <a:extLst>
            <a:ext uri="{FF2B5EF4-FFF2-40B4-BE49-F238E27FC236}">
              <a16:creationId xmlns:a16="http://schemas.microsoft.com/office/drawing/2014/main" id="{728EDA24-667D-441A-BC31-AB25C4423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</xdr:row>
      <xdr:rowOff>0</xdr:rowOff>
    </xdr:from>
    <xdr:ext cx="12700" cy="12700"/>
    <xdr:pic>
      <xdr:nvPicPr>
        <xdr:cNvPr id="561" name="Picture 560" descr="https://mail.google.com/mail/u/0/images/cleardot.gif">
          <a:extLst>
            <a:ext uri="{FF2B5EF4-FFF2-40B4-BE49-F238E27FC236}">
              <a16:creationId xmlns:a16="http://schemas.microsoft.com/office/drawing/2014/main" id="{F403C778-55D7-46C9-A581-550E9D756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6686" y="4414157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39</xdr:row>
      <xdr:rowOff>0</xdr:rowOff>
    </xdr:from>
    <xdr:ext cx="12700" cy="12700"/>
    <xdr:pic>
      <xdr:nvPicPr>
        <xdr:cNvPr id="2" name="Picture 1" descr="https://mail.google.com/mail/u/0/images/cleardot.gif">
          <a:extLst>
            <a:ext uri="{FF2B5EF4-FFF2-40B4-BE49-F238E27FC236}">
              <a16:creationId xmlns:a16="http://schemas.microsoft.com/office/drawing/2014/main" id="{DFAEAE2E-8C50-4E06-8979-32FF90FC5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" name="Picture 2" descr="https://mail.google.com/mail/u/0/images/cleardot.gif">
          <a:extLst>
            <a:ext uri="{FF2B5EF4-FFF2-40B4-BE49-F238E27FC236}">
              <a16:creationId xmlns:a16="http://schemas.microsoft.com/office/drawing/2014/main" id="{D8D899B7-97D4-47C9-9AE6-D816237C5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" name="Picture 3" descr="https://mail.google.com/mail/u/0/images/cleardot.gif">
          <a:extLst>
            <a:ext uri="{FF2B5EF4-FFF2-40B4-BE49-F238E27FC236}">
              <a16:creationId xmlns:a16="http://schemas.microsoft.com/office/drawing/2014/main" id="{92D96C3B-3BEA-4538-ABE1-96D11A6AD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" name="Picture 4" descr="https://mail.google.com/mail/u/0/images/cleardot.gif">
          <a:extLst>
            <a:ext uri="{FF2B5EF4-FFF2-40B4-BE49-F238E27FC236}">
              <a16:creationId xmlns:a16="http://schemas.microsoft.com/office/drawing/2014/main" id="{C436CFB2-BFC7-4B73-8CD4-CC3E8F095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" name="Picture 5" descr="https://mail.google.com/mail/u/0/images/cleardot.gif">
          <a:extLst>
            <a:ext uri="{FF2B5EF4-FFF2-40B4-BE49-F238E27FC236}">
              <a16:creationId xmlns:a16="http://schemas.microsoft.com/office/drawing/2014/main" id="{2A70015A-5453-40DB-991D-6F9A6B2A0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" name="Picture 6" descr="https://mail.google.com/mail/u/0/images/cleardot.gif">
          <a:extLst>
            <a:ext uri="{FF2B5EF4-FFF2-40B4-BE49-F238E27FC236}">
              <a16:creationId xmlns:a16="http://schemas.microsoft.com/office/drawing/2014/main" id="{C2B9185B-9C53-4989-BDAB-2D9886DA2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" name="Picture 7" descr="https://mail.google.com/mail/u/0/images/cleardot.gif">
          <a:extLst>
            <a:ext uri="{FF2B5EF4-FFF2-40B4-BE49-F238E27FC236}">
              <a16:creationId xmlns:a16="http://schemas.microsoft.com/office/drawing/2014/main" id="{021F4714-DF48-48FE-BF8C-A62F25599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" name="Picture 8" descr="https://mail.google.com/mail/u/0/images/cleardot.gif">
          <a:extLst>
            <a:ext uri="{FF2B5EF4-FFF2-40B4-BE49-F238E27FC236}">
              <a16:creationId xmlns:a16="http://schemas.microsoft.com/office/drawing/2014/main" id="{03679494-0EE4-4A47-9C49-9014CE798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" name="Picture 9" descr="https://mail.google.com/mail/u/0/images/cleardot.gif">
          <a:extLst>
            <a:ext uri="{FF2B5EF4-FFF2-40B4-BE49-F238E27FC236}">
              <a16:creationId xmlns:a16="http://schemas.microsoft.com/office/drawing/2014/main" id="{5E357949-B76D-410C-B558-11CFC47EC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" name="Picture 10" descr="https://mail.google.com/mail/u/0/images/cleardot.gif">
          <a:extLst>
            <a:ext uri="{FF2B5EF4-FFF2-40B4-BE49-F238E27FC236}">
              <a16:creationId xmlns:a16="http://schemas.microsoft.com/office/drawing/2014/main" id="{A7DCF35B-388F-402F-B2A5-0E46D9731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" name="Picture 11" descr="https://mail.google.com/mail/u/0/images/cleardot.gif">
          <a:extLst>
            <a:ext uri="{FF2B5EF4-FFF2-40B4-BE49-F238E27FC236}">
              <a16:creationId xmlns:a16="http://schemas.microsoft.com/office/drawing/2014/main" id="{8D7DDA70-0DEE-4E8F-85CB-43392928A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" name="Picture 12" descr="https://mail.google.com/mail/u/0/images/cleardot.gif">
          <a:extLst>
            <a:ext uri="{FF2B5EF4-FFF2-40B4-BE49-F238E27FC236}">
              <a16:creationId xmlns:a16="http://schemas.microsoft.com/office/drawing/2014/main" id="{9D226C19-861B-466B-9F17-49F2CA061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" name="Picture 13" descr="https://mail.google.com/mail/u/0/images/cleardot.gif">
          <a:extLst>
            <a:ext uri="{FF2B5EF4-FFF2-40B4-BE49-F238E27FC236}">
              <a16:creationId xmlns:a16="http://schemas.microsoft.com/office/drawing/2014/main" id="{C94F735D-9DB0-4CC1-B13D-B38D0E7F8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" name="Picture 14" descr="https://mail.google.com/mail/u/0/images/cleardot.gif">
          <a:extLst>
            <a:ext uri="{FF2B5EF4-FFF2-40B4-BE49-F238E27FC236}">
              <a16:creationId xmlns:a16="http://schemas.microsoft.com/office/drawing/2014/main" id="{848C4DDB-B490-4913-9778-030078DEF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" name="Picture 15" descr="https://mail.google.com/mail/u/0/images/cleardot.gif">
          <a:extLst>
            <a:ext uri="{FF2B5EF4-FFF2-40B4-BE49-F238E27FC236}">
              <a16:creationId xmlns:a16="http://schemas.microsoft.com/office/drawing/2014/main" id="{66F07274-D52A-41E9-A24F-926195705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" name="Picture 16" descr="https://mail.google.com/mail/u/0/images/cleardot.gif">
          <a:extLst>
            <a:ext uri="{FF2B5EF4-FFF2-40B4-BE49-F238E27FC236}">
              <a16:creationId xmlns:a16="http://schemas.microsoft.com/office/drawing/2014/main" id="{2C0E4195-06DF-429C-9EC6-9B61CA062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" name="Picture 17" descr="https://mail.google.com/mail/u/0/images/cleardot.gif">
          <a:extLst>
            <a:ext uri="{FF2B5EF4-FFF2-40B4-BE49-F238E27FC236}">
              <a16:creationId xmlns:a16="http://schemas.microsoft.com/office/drawing/2014/main" id="{91D52F18-5B58-4FBA-B13D-38542DF92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" name="Picture 18" descr="https://mail.google.com/mail/u/0/images/cleardot.gif">
          <a:extLst>
            <a:ext uri="{FF2B5EF4-FFF2-40B4-BE49-F238E27FC236}">
              <a16:creationId xmlns:a16="http://schemas.microsoft.com/office/drawing/2014/main" id="{D55D8CD6-C28B-44A7-80EF-30CE39DC1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" name="Picture 19" descr="https://mail.google.com/mail/u/0/images/cleardot.gif">
          <a:extLst>
            <a:ext uri="{FF2B5EF4-FFF2-40B4-BE49-F238E27FC236}">
              <a16:creationId xmlns:a16="http://schemas.microsoft.com/office/drawing/2014/main" id="{2F89C4C6-EF1F-4FCA-A449-60537A3AE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" name="Picture 20" descr="https://mail.google.com/mail/u/0/images/cleardot.gif">
          <a:extLst>
            <a:ext uri="{FF2B5EF4-FFF2-40B4-BE49-F238E27FC236}">
              <a16:creationId xmlns:a16="http://schemas.microsoft.com/office/drawing/2014/main" id="{AA317A9C-810C-4427-AB2F-0BD23D638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" name="Picture 21" descr="https://mail.google.com/mail/u/0/images/cleardot.gif">
          <a:extLst>
            <a:ext uri="{FF2B5EF4-FFF2-40B4-BE49-F238E27FC236}">
              <a16:creationId xmlns:a16="http://schemas.microsoft.com/office/drawing/2014/main" id="{283C8A42-77C1-4822-98CB-C1B6C12AD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" name="Picture 22" descr="https://mail.google.com/mail/u/0/images/cleardot.gif">
          <a:extLst>
            <a:ext uri="{FF2B5EF4-FFF2-40B4-BE49-F238E27FC236}">
              <a16:creationId xmlns:a16="http://schemas.microsoft.com/office/drawing/2014/main" id="{4A2ACB1A-1980-463C-A94A-54BE9DFFC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" name="Picture 23" descr="https://mail.google.com/mail/u/0/images/cleardot.gif">
          <a:extLst>
            <a:ext uri="{FF2B5EF4-FFF2-40B4-BE49-F238E27FC236}">
              <a16:creationId xmlns:a16="http://schemas.microsoft.com/office/drawing/2014/main" id="{0CC2F7A5-E5FA-42B2-AE42-7895B78F8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" name="Picture 24" descr="https://mail.google.com/mail/u/0/images/cleardot.gif">
          <a:extLst>
            <a:ext uri="{FF2B5EF4-FFF2-40B4-BE49-F238E27FC236}">
              <a16:creationId xmlns:a16="http://schemas.microsoft.com/office/drawing/2014/main" id="{51531C50-4A82-459F-8F84-C28D1EF26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" name="Picture 25" descr="https://mail.google.com/mail/u/0/images/cleardot.gif">
          <a:extLst>
            <a:ext uri="{FF2B5EF4-FFF2-40B4-BE49-F238E27FC236}">
              <a16:creationId xmlns:a16="http://schemas.microsoft.com/office/drawing/2014/main" id="{3EA34D5B-5431-4301-9E89-63406AF19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" name="Picture 26" descr="https://mail.google.com/mail/u/0/images/cleardot.gif">
          <a:extLst>
            <a:ext uri="{FF2B5EF4-FFF2-40B4-BE49-F238E27FC236}">
              <a16:creationId xmlns:a16="http://schemas.microsoft.com/office/drawing/2014/main" id="{8B0DA08F-5C91-4FFB-8A40-3E7B933CA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8" name="Picture 27" descr="https://mail.google.com/mail/u/0/images/cleardot.gif">
          <a:extLst>
            <a:ext uri="{FF2B5EF4-FFF2-40B4-BE49-F238E27FC236}">
              <a16:creationId xmlns:a16="http://schemas.microsoft.com/office/drawing/2014/main" id="{CC053E83-BEFC-4338-BEAB-B0754856D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9" name="Picture 28" descr="https://mail.google.com/mail/u/0/images/cleardot.gif">
          <a:extLst>
            <a:ext uri="{FF2B5EF4-FFF2-40B4-BE49-F238E27FC236}">
              <a16:creationId xmlns:a16="http://schemas.microsoft.com/office/drawing/2014/main" id="{E51380B1-D4B3-4412-9E9D-3F1B8FF7B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0" name="Picture 29" descr="https://mail.google.com/mail/u/0/images/cleardot.gif">
          <a:extLst>
            <a:ext uri="{FF2B5EF4-FFF2-40B4-BE49-F238E27FC236}">
              <a16:creationId xmlns:a16="http://schemas.microsoft.com/office/drawing/2014/main" id="{BCA9628A-8CDB-4C60-A200-37E536668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1" name="Picture 30" descr="https://mail.google.com/mail/u/0/images/cleardot.gif">
          <a:extLst>
            <a:ext uri="{FF2B5EF4-FFF2-40B4-BE49-F238E27FC236}">
              <a16:creationId xmlns:a16="http://schemas.microsoft.com/office/drawing/2014/main" id="{D00A0D8E-F5A7-475C-AD3C-E52B177EA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2" name="Picture 31" descr="https://mail.google.com/mail/u/0/images/cleardot.gif">
          <a:extLst>
            <a:ext uri="{FF2B5EF4-FFF2-40B4-BE49-F238E27FC236}">
              <a16:creationId xmlns:a16="http://schemas.microsoft.com/office/drawing/2014/main" id="{A9EE62FA-0CB9-4304-BDC6-C05E6E1F0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3" name="Picture 32" descr="https://mail.google.com/mail/u/0/images/cleardot.gif">
          <a:extLst>
            <a:ext uri="{FF2B5EF4-FFF2-40B4-BE49-F238E27FC236}">
              <a16:creationId xmlns:a16="http://schemas.microsoft.com/office/drawing/2014/main" id="{2D913EC4-55E7-48D0-B757-ED97A94AF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4" name="Picture 33" descr="https://mail.google.com/mail/u/0/images/cleardot.gif">
          <a:extLst>
            <a:ext uri="{FF2B5EF4-FFF2-40B4-BE49-F238E27FC236}">
              <a16:creationId xmlns:a16="http://schemas.microsoft.com/office/drawing/2014/main" id="{CB926714-30FF-4A82-B910-002FC55EE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5" name="Picture 34" descr="https://mail.google.com/mail/u/0/images/cleardot.gif">
          <a:extLst>
            <a:ext uri="{FF2B5EF4-FFF2-40B4-BE49-F238E27FC236}">
              <a16:creationId xmlns:a16="http://schemas.microsoft.com/office/drawing/2014/main" id="{8C3E8584-377D-4AFF-8F64-4DB79BEAF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6" name="Picture 35" descr="https://mail.google.com/mail/u/0/images/cleardot.gif">
          <a:extLst>
            <a:ext uri="{FF2B5EF4-FFF2-40B4-BE49-F238E27FC236}">
              <a16:creationId xmlns:a16="http://schemas.microsoft.com/office/drawing/2014/main" id="{2306442B-A53B-45A8-B7B5-CFCC26136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7" name="Picture 36" descr="https://mail.google.com/mail/u/0/images/cleardot.gif">
          <a:extLst>
            <a:ext uri="{FF2B5EF4-FFF2-40B4-BE49-F238E27FC236}">
              <a16:creationId xmlns:a16="http://schemas.microsoft.com/office/drawing/2014/main" id="{12404425-53B4-4781-B3ED-BE37B4993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8" name="Picture 37" descr="https://mail.google.com/mail/u/0/images/cleardot.gif">
          <a:extLst>
            <a:ext uri="{FF2B5EF4-FFF2-40B4-BE49-F238E27FC236}">
              <a16:creationId xmlns:a16="http://schemas.microsoft.com/office/drawing/2014/main" id="{05AA82F4-1993-4846-B5F7-B001EA646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39" name="Picture 38" descr="https://mail.google.com/mail/u/0/images/cleardot.gif">
          <a:extLst>
            <a:ext uri="{FF2B5EF4-FFF2-40B4-BE49-F238E27FC236}">
              <a16:creationId xmlns:a16="http://schemas.microsoft.com/office/drawing/2014/main" id="{86E63ADF-6E11-469E-9E3E-EF26F50D8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0" name="Picture 39" descr="https://mail.google.com/mail/u/0/images/cleardot.gif">
          <a:extLst>
            <a:ext uri="{FF2B5EF4-FFF2-40B4-BE49-F238E27FC236}">
              <a16:creationId xmlns:a16="http://schemas.microsoft.com/office/drawing/2014/main" id="{B25962A0-E2DE-4D97-A393-EB0A04348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1" name="Picture 40" descr="https://mail.google.com/mail/u/0/images/cleardot.gif">
          <a:extLst>
            <a:ext uri="{FF2B5EF4-FFF2-40B4-BE49-F238E27FC236}">
              <a16:creationId xmlns:a16="http://schemas.microsoft.com/office/drawing/2014/main" id="{AA01BECF-A4A0-4A42-9D56-427342CFD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2" name="Picture 41" descr="https://mail.google.com/mail/u/0/images/cleardot.gif">
          <a:extLst>
            <a:ext uri="{FF2B5EF4-FFF2-40B4-BE49-F238E27FC236}">
              <a16:creationId xmlns:a16="http://schemas.microsoft.com/office/drawing/2014/main" id="{327CF0A3-FE17-4A9D-8DD2-74742357D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3" name="Picture 42" descr="https://mail.google.com/mail/u/0/images/cleardot.gif">
          <a:extLst>
            <a:ext uri="{FF2B5EF4-FFF2-40B4-BE49-F238E27FC236}">
              <a16:creationId xmlns:a16="http://schemas.microsoft.com/office/drawing/2014/main" id="{9A2AE621-00BC-407A-9A6A-F69F021A5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4" name="Picture 43" descr="https://mail.google.com/mail/u/0/images/cleardot.gif">
          <a:extLst>
            <a:ext uri="{FF2B5EF4-FFF2-40B4-BE49-F238E27FC236}">
              <a16:creationId xmlns:a16="http://schemas.microsoft.com/office/drawing/2014/main" id="{FE27EC4B-A369-4480-ADAE-00630FB3E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5" name="Picture 44" descr="https://mail.google.com/mail/u/0/images/cleardot.gif">
          <a:extLst>
            <a:ext uri="{FF2B5EF4-FFF2-40B4-BE49-F238E27FC236}">
              <a16:creationId xmlns:a16="http://schemas.microsoft.com/office/drawing/2014/main" id="{5C643945-37AD-405D-B620-B407AB343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6" name="Picture 45" descr="https://mail.google.com/mail/u/0/images/cleardot.gif">
          <a:extLst>
            <a:ext uri="{FF2B5EF4-FFF2-40B4-BE49-F238E27FC236}">
              <a16:creationId xmlns:a16="http://schemas.microsoft.com/office/drawing/2014/main" id="{92CFF8DB-0C94-47A5-A862-FFA3367E9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7" name="Picture 46" descr="https://mail.google.com/mail/u/0/images/cleardot.gif">
          <a:extLst>
            <a:ext uri="{FF2B5EF4-FFF2-40B4-BE49-F238E27FC236}">
              <a16:creationId xmlns:a16="http://schemas.microsoft.com/office/drawing/2014/main" id="{FA914C60-9D56-4112-921B-E8AA3372A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8" name="Picture 47" descr="https://mail.google.com/mail/u/0/images/cleardot.gif">
          <a:extLst>
            <a:ext uri="{FF2B5EF4-FFF2-40B4-BE49-F238E27FC236}">
              <a16:creationId xmlns:a16="http://schemas.microsoft.com/office/drawing/2014/main" id="{0B1396BB-E208-4C3B-BF59-9E1892F3A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49" name="Picture 48" descr="https://mail.google.com/mail/u/0/images/cleardot.gif">
          <a:extLst>
            <a:ext uri="{FF2B5EF4-FFF2-40B4-BE49-F238E27FC236}">
              <a16:creationId xmlns:a16="http://schemas.microsoft.com/office/drawing/2014/main" id="{BE2DD189-9AD0-4D1D-AEFB-956749446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0" name="Picture 49" descr="https://mail.google.com/mail/u/0/images/cleardot.gif">
          <a:extLst>
            <a:ext uri="{FF2B5EF4-FFF2-40B4-BE49-F238E27FC236}">
              <a16:creationId xmlns:a16="http://schemas.microsoft.com/office/drawing/2014/main" id="{50D162F7-5B48-491D-B79C-94865ED8B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1" name="Picture 50" descr="https://mail.google.com/mail/u/0/images/cleardot.gif">
          <a:extLst>
            <a:ext uri="{FF2B5EF4-FFF2-40B4-BE49-F238E27FC236}">
              <a16:creationId xmlns:a16="http://schemas.microsoft.com/office/drawing/2014/main" id="{31C07EDC-2AF2-472B-960D-86435FA3D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2" name="Picture 51" descr="https://mail.google.com/mail/u/0/images/cleardot.gif">
          <a:extLst>
            <a:ext uri="{FF2B5EF4-FFF2-40B4-BE49-F238E27FC236}">
              <a16:creationId xmlns:a16="http://schemas.microsoft.com/office/drawing/2014/main" id="{12FA231E-85D2-4C0F-AFE3-2F99D7133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3" name="Picture 52" descr="https://mail.google.com/mail/u/0/images/cleardot.gif">
          <a:extLst>
            <a:ext uri="{FF2B5EF4-FFF2-40B4-BE49-F238E27FC236}">
              <a16:creationId xmlns:a16="http://schemas.microsoft.com/office/drawing/2014/main" id="{9236D83F-ED68-4015-9A17-617D815C5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4" name="Picture 53" descr="https://mail.google.com/mail/u/0/images/cleardot.gif">
          <a:extLst>
            <a:ext uri="{FF2B5EF4-FFF2-40B4-BE49-F238E27FC236}">
              <a16:creationId xmlns:a16="http://schemas.microsoft.com/office/drawing/2014/main" id="{7968D61D-202B-4948-B1C3-E64A27AC8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5" name="Picture 54" descr="https://mail.google.com/mail/u/0/images/cleardot.gif">
          <a:extLst>
            <a:ext uri="{FF2B5EF4-FFF2-40B4-BE49-F238E27FC236}">
              <a16:creationId xmlns:a16="http://schemas.microsoft.com/office/drawing/2014/main" id="{5BD12472-06F5-4351-AF52-96253E23D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6" name="Picture 55" descr="https://mail.google.com/mail/u/0/images/cleardot.gif">
          <a:extLst>
            <a:ext uri="{FF2B5EF4-FFF2-40B4-BE49-F238E27FC236}">
              <a16:creationId xmlns:a16="http://schemas.microsoft.com/office/drawing/2014/main" id="{70610256-C878-47E5-B8B0-9527C1194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7" name="Picture 56" descr="https://mail.google.com/mail/u/0/images/cleardot.gif">
          <a:extLst>
            <a:ext uri="{FF2B5EF4-FFF2-40B4-BE49-F238E27FC236}">
              <a16:creationId xmlns:a16="http://schemas.microsoft.com/office/drawing/2014/main" id="{9234483B-743A-4E97-A3F2-31965EDD4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8" name="Picture 57" descr="https://mail.google.com/mail/u/0/images/cleardot.gif">
          <a:extLst>
            <a:ext uri="{FF2B5EF4-FFF2-40B4-BE49-F238E27FC236}">
              <a16:creationId xmlns:a16="http://schemas.microsoft.com/office/drawing/2014/main" id="{D9531D7C-C715-4F13-BEDB-183E5D5FA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59" name="Picture 58" descr="https://mail.google.com/mail/u/0/images/cleardot.gif">
          <a:extLst>
            <a:ext uri="{FF2B5EF4-FFF2-40B4-BE49-F238E27FC236}">
              <a16:creationId xmlns:a16="http://schemas.microsoft.com/office/drawing/2014/main" id="{6D4D9265-A498-4A96-A67F-161692A8E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0" name="Picture 59" descr="https://mail.google.com/mail/u/0/images/cleardot.gif">
          <a:extLst>
            <a:ext uri="{FF2B5EF4-FFF2-40B4-BE49-F238E27FC236}">
              <a16:creationId xmlns:a16="http://schemas.microsoft.com/office/drawing/2014/main" id="{365B3031-B0BD-4CEF-8AF7-447726AA2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1" name="Picture 60" descr="https://mail.google.com/mail/u/0/images/cleardot.gif">
          <a:extLst>
            <a:ext uri="{FF2B5EF4-FFF2-40B4-BE49-F238E27FC236}">
              <a16:creationId xmlns:a16="http://schemas.microsoft.com/office/drawing/2014/main" id="{BE451030-B1CA-4A6F-AAB8-80284A5EF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2" name="Picture 61" descr="https://mail.google.com/mail/u/0/images/cleardot.gif">
          <a:extLst>
            <a:ext uri="{FF2B5EF4-FFF2-40B4-BE49-F238E27FC236}">
              <a16:creationId xmlns:a16="http://schemas.microsoft.com/office/drawing/2014/main" id="{91B05138-2146-4C27-8359-86BA559E8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3" name="Picture 62" descr="https://mail.google.com/mail/u/0/images/cleardot.gif">
          <a:extLst>
            <a:ext uri="{FF2B5EF4-FFF2-40B4-BE49-F238E27FC236}">
              <a16:creationId xmlns:a16="http://schemas.microsoft.com/office/drawing/2014/main" id="{57FDDA09-AC41-40FA-9506-3C58248B4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4" name="Picture 63" descr="https://mail.google.com/mail/u/0/images/cleardot.gif">
          <a:extLst>
            <a:ext uri="{FF2B5EF4-FFF2-40B4-BE49-F238E27FC236}">
              <a16:creationId xmlns:a16="http://schemas.microsoft.com/office/drawing/2014/main" id="{2AF831A7-0653-40A7-AF50-5625C09CF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5" name="Picture 64" descr="https://mail.google.com/mail/u/0/images/cleardot.gif">
          <a:extLst>
            <a:ext uri="{FF2B5EF4-FFF2-40B4-BE49-F238E27FC236}">
              <a16:creationId xmlns:a16="http://schemas.microsoft.com/office/drawing/2014/main" id="{17915B8B-6D62-40A2-AA42-2CDB865F8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6" name="Picture 65" descr="https://mail.google.com/mail/u/0/images/cleardot.gif">
          <a:extLst>
            <a:ext uri="{FF2B5EF4-FFF2-40B4-BE49-F238E27FC236}">
              <a16:creationId xmlns:a16="http://schemas.microsoft.com/office/drawing/2014/main" id="{EF03EBA3-ECFA-49D7-AC1C-CACA9625C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7" name="Picture 66" descr="https://mail.google.com/mail/u/0/images/cleardot.gif">
          <a:extLst>
            <a:ext uri="{FF2B5EF4-FFF2-40B4-BE49-F238E27FC236}">
              <a16:creationId xmlns:a16="http://schemas.microsoft.com/office/drawing/2014/main" id="{EE23FAC7-03E9-472C-B992-585C8F322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8" name="Picture 67" descr="https://mail.google.com/mail/u/0/images/cleardot.gif">
          <a:extLst>
            <a:ext uri="{FF2B5EF4-FFF2-40B4-BE49-F238E27FC236}">
              <a16:creationId xmlns:a16="http://schemas.microsoft.com/office/drawing/2014/main" id="{932C1295-DE0C-4E41-A8F1-207F8AA3C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69" name="Picture 68" descr="https://mail.google.com/mail/u/0/images/cleardot.gif">
          <a:extLst>
            <a:ext uri="{FF2B5EF4-FFF2-40B4-BE49-F238E27FC236}">
              <a16:creationId xmlns:a16="http://schemas.microsoft.com/office/drawing/2014/main" id="{8829AFA0-1900-4CA7-A21F-687E498B7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0" name="Picture 69" descr="https://mail.google.com/mail/u/0/images/cleardot.gif">
          <a:extLst>
            <a:ext uri="{FF2B5EF4-FFF2-40B4-BE49-F238E27FC236}">
              <a16:creationId xmlns:a16="http://schemas.microsoft.com/office/drawing/2014/main" id="{3C90216B-E6E1-4924-9FEE-1BF5A761B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1" name="Picture 70" descr="https://mail.google.com/mail/u/0/images/cleardot.gif">
          <a:extLst>
            <a:ext uri="{FF2B5EF4-FFF2-40B4-BE49-F238E27FC236}">
              <a16:creationId xmlns:a16="http://schemas.microsoft.com/office/drawing/2014/main" id="{BE437D17-B0C0-4EB5-9C32-2979B8836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2" name="Picture 71" descr="https://mail.google.com/mail/u/0/images/cleardot.gif">
          <a:extLst>
            <a:ext uri="{FF2B5EF4-FFF2-40B4-BE49-F238E27FC236}">
              <a16:creationId xmlns:a16="http://schemas.microsoft.com/office/drawing/2014/main" id="{A91EAACC-A6AB-4A47-867D-BC22B1BB1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3" name="Picture 72" descr="https://mail.google.com/mail/u/0/images/cleardot.gif">
          <a:extLst>
            <a:ext uri="{FF2B5EF4-FFF2-40B4-BE49-F238E27FC236}">
              <a16:creationId xmlns:a16="http://schemas.microsoft.com/office/drawing/2014/main" id="{50E08F43-FE30-49D0-93B2-70BE814A1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4" name="Picture 73" descr="https://mail.google.com/mail/u/0/images/cleardot.gif">
          <a:extLst>
            <a:ext uri="{FF2B5EF4-FFF2-40B4-BE49-F238E27FC236}">
              <a16:creationId xmlns:a16="http://schemas.microsoft.com/office/drawing/2014/main" id="{4372B0E1-21AF-4384-9EF0-03457EA94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5" name="Picture 74" descr="https://mail.google.com/mail/u/0/images/cleardot.gif">
          <a:extLst>
            <a:ext uri="{FF2B5EF4-FFF2-40B4-BE49-F238E27FC236}">
              <a16:creationId xmlns:a16="http://schemas.microsoft.com/office/drawing/2014/main" id="{FA882B9D-D09C-47AA-A646-929478D0C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6" name="Picture 75" descr="https://mail.google.com/mail/u/0/images/cleardot.gif">
          <a:extLst>
            <a:ext uri="{FF2B5EF4-FFF2-40B4-BE49-F238E27FC236}">
              <a16:creationId xmlns:a16="http://schemas.microsoft.com/office/drawing/2014/main" id="{7DF5EACA-7E4D-4B81-B2B7-D73753031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7" name="Picture 76" descr="https://mail.google.com/mail/u/0/images/cleardot.gif">
          <a:extLst>
            <a:ext uri="{FF2B5EF4-FFF2-40B4-BE49-F238E27FC236}">
              <a16:creationId xmlns:a16="http://schemas.microsoft.com/office/drawing/2014/main" id="{024BBF8C-AEEE-44D2-BAF1-6142ECAF7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8" name="Picture 77" descr="https://mail.google.com/mail/u/0/images/cleardot.gif">
          <a:extLst>
            <a:ext uri="{FF2B5EF4-FFF2-40B4-BE49-F238E27FC236}">
              <a16:creationId xmlns:a16="http://schemas.microsoft.com/office/drawing/2014/main" id="{3B63DAC2-62AB-4C5A-BEF3-C9E589376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79" name="Picture 78" descr="https://mail.google.com/mail/u/0/images/cleardot.gif">
          <a:extLst>
            <a:ext uri="{FF2B5EF4-FFF2-40B4-BE49-F238E27FC236}">
              <a16:creationId xmlns:a16="http://schemas.microsoft.com/office/drawing/2014/main" id="{CE76B9CC-88E2-44F2-A9B6-611ECCD2C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0" name="Picture 79" descr="https://mail.google.com/mail/u/0/images/cleardot.gif">
          <a:extLst>
            <a:ext uri="{FF2B5EF4-FFF2-40B4-BE49-F238E27FC236}">
              <a16:creationId xmlns:a16="http://schemas.microsoft.com/office/drawing/2014/main" id="{5E61E9BE-E10C-4D0E-8425-BC6F83A87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1" name="Picture 80" descr="https://mail.google.com/mail/u/0/images/cleardot.gif">
          <a:extLst>
            <a:ext uri="{FF2B5EF4-FFF2-40B4-BE49-F238E27FC236}">
              <a16:creationId xmlns:a16="http://schemas.microsoft.com/office/drawing/2014/main" id="{446EAD5C-C1B4-4111-86CA-82A3CB7F3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2" name="Picture 81" descr="https://mail.google.com/mail/u/0/images/cleardot.gif">
          <a:extLst>
            <a:ext uri="{FF2B5EF4-FFF2-40B4-BE49-F238E27FC236}">
              <a16:creationId xmlns:a16="http://schemas.microsoft.com/office/drawing/2014/main" id="{EEB58998-949D-4769-AD10-EC8DA11BD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3" name="Picture 82" descr="https://mail.google.com/mail/u/0/images/cleardot.gif">
          <a:extLst>
            <a:ext uri="{FF2B5EF4-FFF2-40B4-BE49-F238E27FC236}">
              <a16:creationId xmlns:a16="http://schemas.microsoft.com/office/drawing/2014/main" id="{4F9CF759-49CA-4783-BD30-69C4D86FF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4" name="Picture 83" descr="https://mail.google.com/mail/u/0/images/cleardot.gif">
          <a:extLst>
            <a:ext uri="{FF2B5EF4-FFF2-40B4-BE49-F238E27FC236}">
              <a16:creationId xmlns:a16="http://schemas.microsoft.com/office/drawing/2014/main" id="{B13F9220-FDF8-4DD1-A0E2-7A288C1FA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5" name="Picture 84" descr="https://mail.google.com/mail/u/0/images/cleardot.gif">
          <a:extLst>
            <a:ext uri="{FF2B5EF4-FFF2-40B4-BE49-F238E27FC236}">
              <a16:creationId xmlns:a16="http://schemas.microsoft.com/office/drawing/2014/main" id="{8506836A-1ABD-437F-81B5-1EB663819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6" name="Picture 85" descr="https://mail.google.com/mail/u/0/images/cleardot.gif">
          <a:extLst>
            <a:ext uri="{FF2B5EF4-FFF2-40B4-BE49-F238E27FC236}">
              <a16:creationId xmlns:a16="http://schemas.microsoft.com/office/drawing/2014/main" id="{317237CA-9C01-42FD-8612-531713AED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7" name="Picture 86" descr="https://mail.google.com/mail/u/0/images/cleardot.gif">
          <a:extLst>
            <a:ext uri="{FF2B5EF4-FFF2-40B4-BE49-F238E27FC236}">
              <a16:creationId xmlns:a16="http://schemas.microsoft.com/office/drawing/2014/main" id="{C3569FB8-8445-4041-B9AD-B3A659F99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8" name="Picture 87" descr="https://mail.google.com/mail/u/0/images/cleardot.gif">
          <a:extLst>
            <a:ext uri="{FF2B5EF4-FFF2-40B4-BE49-F238E27FC236}">
              <a16:creationId xmlns:a16="http://schemas.microsoft.com/office/drawing/2014/main" id="{BE338A09-A2F6-482D-B739-EAFD3E19A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89" name="Picture 88" descr="https://mail.google.com/mail/u/0/images/cleardot.gif">
          <a:extLst>
            <a:ext uri="{FF2B5EF4-FFF2-40B4-BE49-F238E27FC236}">
              <a16:creationId xmlns:a16="http://schemas.microsoft.com/office/drawing/2014/main" id="{709F41A0-A2AA-4A04-9C67-DBA8D5120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0" name="Picture 89" descr="https://mail.google.com/mail/u/0/images/cleardot.gif">
          <a:extLst>
            <a:ext uri="{FF2B5EF4-FFF2-40B4-BE49-F238E27FC236}">
              <a16:creationId xmlns:a16="http://schemas.microsoft.com/office/drawing/2014/main" id="{F3F894D2-CABD-4D75-B7BC-FD07E81E2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1" name="Picture 90" descr="https://mail.google.com/mail/u/0/images/cleardot.gif">
          <a:extLst>
            <a:ext uri="{FF2B5EF4-FFF2-40B4-BE49-F238E27FC236}">
              <a16:creationId xmlns:a16="http://schemas.microsoft.com/office/drawing/2014/main" id="{FDB64B54-AC51-4915-99F9-EF2B02BB3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2" name="Picture 91" descr="https://mail.google.com/mail/u/0/images/cleardot.gif">
          <a:extLst>
            <a:ext uri="{FF2B5EF4-FFF2-40B4-BE49-F238E27FC236}">
              <a16:creationId xmlns:a16="http://schemas.microsoft.com/office/drawing/2014/main" id="{3613F496-97E9-418A-B72E-84B1AE0DA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3" name="Picture 92" descr="https://mail.google.com/mail/u/0/images/cleardot.gif">
          <a:extLst>
            <a:ext uri="{FF2B5EF4-FFF2-40B4-BE49-F238E27FC236}">
              <a16:creationId xmlns:a16="http://schemas.microsoft.com/office/drawing/2014/main" id="{B2F76B55-3ED1-4FDD-B748-010945C1D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4" name="Picture 93" descr="https://mail.google.com/mail/u/0/images/cleardot.gif">
          <a:extLst>
            <a:ext uri="{FF2B5EF4-FFF2-40B4-BE49-F238E27FC236}">
              <a16:creationId xmlns:a16="http://schemas.microsoft.com/office/drawing/2014/main" id="{28362007-0533-455F-A1FE-122BE83A4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5" name="Picture 94" descr="https://mail.google.com/mail/u/0/images/cleardot.gif">
          <a:extLst>
            <a:ext uri="{FF2B5EF4-FFF2-40B4-BE49-F238E27FC236}">
              <a16:creationId xmlns:a16="http://schemas.microsoft.com/office/drawing/2014/main" id="{7ED1C58C-59C3-43FD-846D-7CAD64F69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6" name="Picture 95" descr="https://mail.google.com/mail/u/0/images/cleardot.gif">
          <a:extLst>
            <a:ext uri="{FF2B5EF4-FFF2-40B4-BE49-F238E27FC236}">
              <a16:creationId xmlns:a16="http://schemas.microsoft.com/office/drawing/2014/main" id="{B0F91519-C203-4356-9071-F7037F64E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7" name="Picture 96" descr="https://mail.google.com/mail/u/0/images/cleardot.gif">
          <a:extLst>
            <a:ext uri="{FF2B5EF4-FFF2-40B4-BE49-F238E27FC236}">
              <a16:creationId xmlns:a16="http://schemas.microsoft.com/office/drawing/2014/main" id="{5BB9A582-A347-406B-BD5D-773B1F39C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8" name="Picture 97" descr="https://mail.google.com/mail/u/0/images/cleardot.gif">
          <a:extLst>
            <a:ext uri="{FF2B5EF4-FFF2-40B4-BE49-F238E27FC236}">
              <a16:creationId xmlns:a16="http://schemas.microsoft.com/office/drawing/2014/main" id="{F27DF51F-5704-4FE0-A3A3-381B1E13C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99" name="Picture 98" descr="https://mail.google.com/mail/u/0/images/cleardot.gif">
          <a:extLst>
            <a:ext uri="{FF2B5EF4-FFF2-40B4-BE49-F238E27FC236}">
              <a16:creationId xmlns:a16="http://schemas.microsoft.com/office/drawing/2014/main" id="{87410687-38FE-4315-800E-54C4317B8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0" name="Picture 99" descr="https://mail.google.com/mail/u/0/images/cleardot.gif">
          <a:extLst>
            <a:ext uri="{FF2B5EF4-FFF2-40B4-BE49-F238E27FC236}">
              <a16:creationId xmlns:a16="http://schemas.microsoft.com/office/drawing/2014/main" id="{0E19979B-9B2F-4D6D-8856-24B1CF42B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1" name="Picture 100" descr="https://mail.google.com/mail/u/0/images/cleardot.gif">
          <a:extLst>
            <a:ext uri="{FF2B5EF4-FFF2-40B4-BE49-F238E27FC236}">
              <a16:creationId xmlns:a16="http://schemas.microsoft.com/office/drawing/2014/main" id="{51307030-1B29-4C06-B0FE-7A1AF78E5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2" name="Picture 101" descr="https://mail.google.com/mail/u/0/images/cleardot.gif">
          <a:extLst>
            <a:ext uri="{FF2B5EF4-FFF2-40B4-BE49-F238E27FC236}">
              <a16:creationId xmlns:a16="http://schemas.microsoft.com/office/drawing/2014/main" id="{6B7300A4-A13E-44D2-BFB0-CAAABA0E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3" name="Picture 102" descr="https://mail.google.com/mail/u/0/images/cleardot.gif">
          <a:extLst>
            <a:ext uri="{FF2B5EF4-FFF2-40B4-BE49-F238E27FC236}">
              <a16:creationId xmlns:a16="http://schemas.microsoft.com/office/drawing/2014/main" id="{710442EF-1207-4DF3-B84F-95C757E83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4" name="Picture 103" descr="https://mail.google.com/mail/u/0/images/cleardot.gif">
          <a:extLst>
            <a:ext uri="{FF2B5EF4-FFF2-40B4-BE49-F238E27FC236}">
              <a16:creationId xmlns:a16="http://schemas.microsoft.com/office/drawing/2014/main" id="{A3112AC0-313F-4F4F-87F3-33A4D9CDC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5" name="Picture 104" descr="https://mail.google.com/mail/u/0/images/cleardot.gif">
          <a:extLst>
            <a:ext uri="{FF2B5EF4-FFF2-40B4-BE49-F238E27FC236}">
              <a16:creationId xmlns:a16="http://schemas.microsoft.com/office/drawing/2014/main" id="{5C5E64B9-5340-40E2-8FF1-4049E4F3A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6" name="Picture 105" descr="https://mail.google.com/mail/u/0/images/cleardot.gif">
          <a:extLst>
            <a:ext uri="{FF2B5EF4-FFF2-40B4-BE49-F238E27FC236}">
              <a16:creationId xmlns:a16="http://schemas.microsoft.com/office/drawing/2014/main" id="{7F36AE74-EFB4-4659-AEF1-F17456487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7" name="Picture 106" descr="https://mail.google.com/mail/u/0/images/cleardot.gif">
          <a:extLst>
            <a:ext uri="{FF2B5EF4-FFF2-40B4-BE49-F238E27FC236}">
              <a16:creationId xmlns:a16="http://schemas.microsoft.com/office/drawing/2014/main" id="{3B3D5631-EA51-4D5E-A83B-2BA3E9144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8" name="Picture 107" descr="https://mail.google.com/mail/u/0/images/cleardot.gif">
          <a:extLst>
            <a:ext uri="{FF2B5EF4-FFF2-40B4-BE49-F238E27FC236}">
              <a16:creationId xmlns:a16="http://schemas.microsoft.com/office/drawing/2014/main" id="{2A4B4586-B45B-4905-AC89-75690A866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09" name="Picture 108" descr="https://mail.google.com/mail/u/0/images/cleardot.gif">
          <a:extLst>
            <a:ext uri="{FF2B5EF4-FFF2-40B4-BE49-F238E27FC236}">
              <a16:creationId xmlns:a16="http://schemas.microsoft.com/office/drawing/2014/main" id="{7F6CE52D-E199-47A6-A108-036124F29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0" name="Picture 109" descr="https://mail.google.com/mail/u/0/images/cleardot.gif">
          <a:extLst>
            <a:ext uri="{FF2B5EF4-FFF2-40B4-BE49-F238E27FC236}">
              <a16:creationId xmlns:a16="http://schemas.microsoft.com/office/drawing/2014/main" id="{CE95F4A4-45A3-4627-92FC-4E1B06F26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1" name="Picture 110" descr="https://mail.google.com/mail/u/0/images/cleardot.gif">
          <a:extLst>
            <a:ext uri="{FF2B5EF4-FFF2-40B4-BE49-F238E27FC236}">
              <a16:creationId xmlns:a16="http://schemas.microsoft.com/office/drawing/2014/main" id="{52535E72-2879-4A01-A6C2-C1033F50B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2" name="Picture 111" descr="https://mail.google.com/mail/u/0/images/cleardot.gif">
          <a:extLst>
            <a:ext uri="{FF2B5EF4-FFF2-40B4-BE49-F238E27FC236}">
              <a16:creationId xmlns:a16="http://schemas.microsoft.com/office/drawing/2014/main" id="{A7ED7D3E-4DF2-42C4-9D19-4ECD9552C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3" name="Picture 112" descr="https://mail.google.com/mail/u/0/images/cleardot.gif">
          <a:extLst>
            <a:ext uri="{FF2B5EF4-FFF2-40B4-BE49-F238E27FC236}">
              <a16:creationId xmlns:a16="http://schemas.microsoft.com/office/drawing/2014/main" id="{76F63045-AB9E-4D1C-8E99-76D4B6F02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4" name="Picture 113" descr="https://mail.google.com/mail/u/0/images/cleardot.gif">
          <a:extLst>
            <a:ext uri="{FF2B5EF4-FFF2-40B4-BE49-F238E27FC236}">
              <a16:creationId xmlns:a16="http://schemas.microsoft.com/office/drawing/2014/main" id="{579F6C6A-41AA-49B2-91E3-C6D77A01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5" name="Picture 114" descr="https://mail.google.com/mail/u/0/images/cleardot.gif">
          <a:extLst>
            <a:ext uri="{FF2B5EF4-FFF2-40B4-BE49-F238E27FC236}">
              <a16:creationId xmlns:a16="http://schemas.microsoft.com/office/drawing/2014/main" id="{6B1E3D8E-B75F-4C1E-BB9B-1F4F0AB6F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6" name="Picture 115" descr="https://mail.google.com/mail/u/0/images/cleardot.gif">
          <a:extLst>
            <a:ext uri="{FF2B5EF4-FFF2-40B4-BE49-F238E27FC236}">
              <a16:creationId xmlns:a16="http://schemas.microsoft.com/office/drawing/2014/main" id="{B189ABAD-8132-43FF-94B1-875B60330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7" name="Picture 116" descr="https://mail.google.com/mail/u/0/images/cleardot.gif">
          <a:extLst>
            <a:ext uri="{FF2B5EF4-FFF2-40B4-BE49-F238E27FC236}">
              <a16:creationId xmlns:a16="http://schemas.microsoft.com/office/drawing/2014/main" id="{0249CC04-9378-4055-9918-FC84EABB7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8" name="Picture 117" descr="https://mail.google.com/mail/u/0/images/cleardot.gif">
          <a:extLst>
            <a:ext uri="{FF2B5EF4-FFF2-40B4-BE49-F238E27FC236}">
              <a16:creationId xmlns:a16="http://schemas.microsoft.com/office/drawing/2014/main" id="{1B768DE6-59D0-434E-9801-05D12F1F1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19" name="Picture 118" descr="https://mail.google.com/mail/u/0/images/cleardot.gif">
          <a:extLst>
            <a:ext uri="{FF2B5EF4-FFF2-40B4-BE49-F238E27FC236}">
              <a16:creationId xmlns:a16="http://schemas.microsoft.com/office/drawing/2014/main" id="{F4B65160-55C2-40BC-A2A8-E8656A1A0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0" name="Picture 119" descr="https://mail.google.com/mail/u/0/images/cleardot.gif">
          <a:extLst>
            <a:ext uri="{FF2B5EF4-FFF2-40B4-BE49-F238E27FC236}">
              <a16:creationId xmlns:a16="http://schemas.microsoft.com/office/drawing/2014/main" id="{B042EC79-E542-4ADF-BBA5-B60F0B1CC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1" name="Picture 120" descr="https://mail.google.com/mail/u/0/images/cleardot.gif">
          <a:extLst>
            <a:ext uri="{FF2B5EF4-FFF2-40B4-BE49-F238E27FC236}">
              <a16:creationId xmlns:a16="http://schemas.microsoft.com/office/drawing/2014/main" id="{FD19B9BB-CF44-4A2D-994C-A7C61E236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2" name="Picture 121" descr="https://mail.google.com/mail/u/0/images/cleardot.gif">
          <a:extLst>
            <a:ext uri="{FF2B5EF4-FFF2-40B4-BE49-F238E27FC236}">
              <a16:creationId xmlns:a16="http://schemas.microsoft.com/office/drawing/2014/main" id="{34BC18EE-AFAE-4BC4-BDCB-2D8225AB7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3" name="Picture 122" descr="https://mail.google.com/mail/u/0/images/cleardot.gif">
          <a:extLst>
            <a:ext uri="{FF2B5EF4-FFF2-40B4-BE49-F238E27FC236}">
              <a16:creationId xmlns:a16="http://schemas.microsoft.com/office/drawing/2014/main" id="{6A325632-3950-4AC1-9AA5-56237A5D5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4" name="Picture 123" descr="https://mail.google.com/mail/u/0/images/cleardot.gif">
          <a:extLst>
            <a:ext uri="{FF2B5EF4-FFF2-40B4-BE49-F238E27FC236}">
              <a16:creationId xmlns:a16="http://schemas.microsoft.com/office/drawing/2014/main" id="{9DD31BA4-973A-4833-A36C-23FF7D51F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5" name="Picture 124" descr="https://mail.google.com/mail/u/0/images/cleardot.gif">
          <a:extLst>
            <a:ext uri="{FF2B5EF4-FFF2-40B4-BE49-F238E27FC236}">
              <a16:creationId xmlns:a16="http://schemas.microsoft.com/office/drawing/2014/main" id="{0CC66182-FD1F-44C9-B33B-86EA3741F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6" name="Picture 125" descr="https://mail.google.com/mail/u/0/images/cleardot.gif">
          <a:extLst>
            <a:ext uri="{FF2B5EF4-FFF2-40B4-BE49-F238E27FC236}">
              <a16:creationId xmlns:a16="http://schemas.microsoft.com/office/drawing/2014/main" id="{71E977AA-F7FB-4C7A-A0F3-91AA04B7F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7" name="Picture 126" descr="https://mail.google.com/mail/u/0/images/cleardot.gif">
          <a:extLst>
            <a:ext uri="{FF2B5EF4-FFF2-40B4-BE49-F238E27FC236}">
              <a16:creationId xmlns:a16="http://schemas.microsoft.com/office/drawing/2014/main" id="{1175962A-C460-4F83-9464-93F9302A7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8" name="Picture 127" descr="https://mail.google.com/mail/u/0/images/cleardot.gif">
          <a:extLst>
            <a:ext uri="{FF2B5EF4-FFF2-40B4-BE49-F238E27FC236}">
              <a16:creationId xmlns:a16="http://schemas.microsoft.com/office/drawing/2014/main" id="{E699FAD3-EF6B-4101-A647-0D42AF0BB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29" name="Picture 128" descr="https://mail.google.com/mail/u/0/images/cleardot.gif">
          <a:extLst>
            <a:ext uri="{FF2B5EF4-FFF2-40B4-BE49-F238E27FC236}">
              <a16:creationId xmlns:a16="http://schemas.microsoft.com/office/drawing/2014/main" id="{62D2DA8D-A145-45D7-952E-0A96F4A06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0" name="Picture 129" descr="https://mail.google.com/mail/u/0/images/cleardot.gif">
          <a:extLst>
            <a:ext uri="{FF2B5EF4-FFF2-40B4-BE49-F238E27FC236}">
              <a16:creationId xmlns:a16="http://schemas.microsoft.com/office/drawing/2014/main" id="{1C162C52-4674-4190-91F6-2AF21F8EA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1" name="Picture 130" descr="https://mail.google.com/mail/u/0/images/cleardot.gif">
          <a:extLst>
            <a:ext uri="{FF2B5EF4-FFF2-40B4-BE49-F238E27FC236}">
              <a16:creationId xmlns:a16="http://schemas.microsoft.com/office/drawing/2014/main" id="{222B58A7-7254-4CA1-AC02-C3B3A9A75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2" name="Picture 131" descr="https://mail.google.com/mail/u/0/images/cleardot.gif">
          <a:extLst>
            <a:ext uri="{FF2B5EF4-FFF2-40B4-BE49-F238E27FC236}">
              <a16:creationId xmlns:a16="http://schemas.microsoft.com/office/drawing/2014/main" id="{86F9FD41-BAA1-42F2-97BC-CD547AC6E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3" name="Picture 132" descr="https://mail.google.com/mail/u/0/images/cleardot.gif">
          <a:extLst>
            <a:ext uri="{FF2B5EF4-FFF2-40B4-BE49-F238E27FC236}">
              <a16:creationId xmlns:a16="http://schemas.microsoft.com/office/drawing/2014/main" id="{DBAF3326-8F2B-45EC-8A0E-61465BC56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4" name="Picture 133" descr="https://mail.google.com/mail/u/0/images/cleardot.gif">
          <a:extLst>
            <a:ext uri="{FF2B5EF4-FFF2-40B4-BE49-F238E27FC236}">
              <a16:creationId xmlns:a16="http://schemas.microsoft.com/office/drawing/2014/main" id="{7E67190B-FB45-4DF5-B904-7F5FDD6A9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5" name="Picture 134" descr="https://mail.google.com/mail/u/0/images/cleardot.gif">
          <a:extLst>
            <a:ext uri="{FF2B5EF4-FFF2-40B4-BE49-F238E27FC236}">
              <a16:creationId xmlns:a16="http://schemas.microsoft.com/office/drawing/2014/main" id="{49A948F0-DB3C-46D2-B6C4-132F724A4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6" name="Picture 135" descr="https://mail.google.com/mail/u/0/images/cleardot.gif">
          <a:extLst>
            <a:ext uri="{FF2B5EF4-FFF2-40B4-BE49-F238E27FC236}">
              <a16:creationId xmlns:a16="http://schemas.microsoft.com/office/drawing/2014/main" id="{33E1E805-375D-40BF-8995-6A038B32D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7" name="Picture 136" descr="https://mail.google.com/mail/u/0/images/cleardot.gif">
          <a:extLst>
            <a:ext uri="{FF2B5EF4-FFF2-40B4-BE49-F238E27FC236}">
              <a16:creationId xmlns:a16="http://schemas.microsoft.com/office/drawing/2014/main" id="{25C4080F-2234-47E8-9544-64304C586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8" name="Picture 137" descr="https://mail.google.com/mail/u/0/images/cleardot.gif">
          <a:extLst>
            <a:ext uri="{FF2B5EF4-FFF2-40B4-BE49-F238E27FC236}">
              <a16:creationId xmlns:a16="http://schemas.microsoft.com/office/drawing/2014/main" id="{6B6D1AF7-EC07-4AE4-9988-7E2006D91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39" name="Picture 138" descr="https://mail.google.com/mail/u/0/images/cleardot.gif">
          <a:extLst>
            <a:ext uri="{FF2B5EF4-FFF2-40B4-BE49-F238E27FC236}">
              <a16:creationId xmlns:a16="http://schemas.microsoft.com/office/drawing/2014/main" id="{D5477A25-C2F4-47BC-86B5-126AFE24E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0" name="Picture 139" descr="https://mail.google.com/mail/u/0/images/cleardot.gif">
          <a:extLst>
            <a:ext uri="{FF2B5EF4-FFF2-40B4-BE49-F238E27FC236}">
              <a16:creationId xmlns:a16="http://schemas.microsoft.com/office/drawing/2014/main" id="{FB16F341-C31E-456D-B2CF-7D4659A12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1" name="Picture 140" descr="https://mail.google.com/mail/u/0/images/cleardot.gif">
          <a:extLst>
            <a:ext uri="{FF2B5EF4-FFF2-40B4-BE49-F238E27FC236}">
              <a16:creationId xmlns:a16="http://schemas.microsoft.com/office/drawing/2014/main" id="{A37C99F2-97AF-4F8D-AED1-6C53DEC99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2" name="Picture 141" descr="https://mail.google.com/mail/u/0/images/cleardot.gif">
          <a:extLst>
            <a:ext uri="{FF2B5EF4-FFF2-40B4-BE49-F238E27FC236}">
              <a16:creationId xmlns:a16="http://schemas.microsoft.com/office/drawing/2014/main" id="{F9988749-B040-4444-B4BC-6BA49B645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3" name="Picture 142" descr="https://mail.google.com/mail/u/0/images/cleardot.gif">
          <a:extLst>
            <a:ext uri="{FF2B5EF4-FFF2-40B4-BE49-F238E27FC236}">
              <a16:creationId xmlns:a16="http://schemas.microsoft.com/office/drawing/2014/main" id="{43857D16-6CCF-4660-B503-BE6577DB4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4" name="Picture 143" descr="https://mail.google.com/mail/u/0/images/cleardot.gif">
          <a:extLst>
            <a:ext uri="{FF2B5EF4-FFF2-40B4-BE49-F238E27FC236}">
              <a16:creationId xmlns:a16="http://schemas.microsoft.com/office/drawing/2014/main" id="{FA557FB6-A50A-4E20-890A-AAEE757F3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5" name="Picture 144" descr="https://mail.google.com/mail/u/0/images/cleardot.gif">
          <a:extLst>
            <a:ext uri="{FF2B5EF4-FFF2-40B4-BE49-F238E27FC236}">
              <a16:creationId xmlns:a16="http://schemas.microsoft.com/office/drawing/2014/main" id="{7B29053C-2592-4D2D-AE5C-C10298E12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6" name="Picture 145" descr="https://mail.google.com/mail/u/0/images/cleardot.gif">
          <a:extLst>
            <a:ext uri="{FF2B5EF4-FFF2-40B4-BE49-F238E27FC236}">
              <a16:creationId xmlns:a16="http://schemas.microsoft.com/office/drawing/2014/main" id="{1ECED399-42A6-49BC-8D2A-32563774E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7" name="Picture 146" descr="https://mail.google.com/mail/u/0/images/cleardot.gif">
          <a:extLst>
            <a:ext uri="{FF2B5EF4-FFF2-40B4-BE49-F238E27FC236}">
              <a16:creationId xmlns:a16="http://schemas.microsoft.com/office/drawing/2014/main" id="{BF9F8DF6-2C69-45B3-8AF5-A1F1309AD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8" name="Picture 147" descr="https://mail.google.com/mail/u/0/images/cleardot.gif">
          <a:extLst>
            <a:ext uri="{FF2B5EF4-FFF2-40B4-BE49-F238E27FC236}">
              <a16:creationId xmlns:a16="http://schemas.microsoft.com/office/drawing/2014/main" id="{BE62B723-F823-4010-A516-3E2851AC4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49" name="Picture 148" descr="https://mail.google.com/mail/u/0/images/cleardot.gif">
          <a:extLst>
            <a:ext uri="{FF2B5EF4-FFF2-40B4-BE49-F238E27FC236}">
              <a16:creationId xmlns:a16="http://schemas.microsoft.com/office/drawing/2014/main" id="{4DFB5AA4-D06F-4A27-BAAA-15EEF0383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0" name="Picture 149" descr="https://mail.google.com/mail/u/0/images/cleardot.gif">
          <a:extLst>
            <a:ext uri="{FF2B5EF4-FFF2-40B4-BE49-F238E27FC236}">
              <a16:creationId xmlns:a16="http://schemas.microsoft.com/office/drawing/2014/main" id="{327FB78E-6735-485B-9622-C31116769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1" name="Picture 150" descr="https://mail.google.com/mail/u/0/images/cleardot.gif">
          <a:extLst>
            <a:ext uri="{FF2B5EF4-FFF2-40B4-BE49-F238E27FC236}">
              <a16:creationId xmlns:a16="http://schemas.microsoft.com/office/drawing/2014/main" id="{2247E241-4F39-4870-9D43-A731F06E0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2" name="Picture 151" descr="https://mail.google.com/mail/u/0/images/cleardot.gif">
          <a:extLst>
            <a:ext uri="{FF2B5EF4-FFF2-40B4-BE49-F238E27FC236}">
              <a16:creationId xmlns:a16="http://schemas.microsoft.com/office/drawing/2014/main" id="{5C5CC4B6-0D1D-4C23-B661-3F63F7718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3" name="Picture 152" descr="https://mail.google.com/mail/u/0/images/cleardot.gif">
          <a:extLst>
            <a:ext uri="{FF2B5EF4-FFF2-40B4-BE49-F238E27FC236}">
              <a16:creationId xmlns:a16="http://schemas.microsoft.com/office/drawing/2014/main" id="{167F7BAE-2CCB-4CDB-BB56-9B8640102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4" name="Picture 153" descr="https://mail.google.com/mail/u/0/images/cleardot.gif">
          <a:extLst>
            <a:ext uri="{FF2B5EF4-FFF2-40B4-BE49-F238E27FC236}">
              <a16:creationId xmlns:a16="http://schemas.microsoft.com/office/drawing/2014/main" id="{CCF76813-8C01-4B72-A6D0-1FA2AA1E0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5" name="Picture 154" descr="https://mail.google.com/mail/u/0/images/cleardot.gif">
          <a:extLst>
            <a:ext uri="{FF2B5EF4-FFF2-40B4-BE49-F238E27FC236}">
              <a16:creationId xmlns:a16="http://schemas.microsoft.com/office/drawing/2014/main" id="{8F816E64-CE64-4F60-8B9D-3701E1D18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6" name="Picture 155" descr="https://mail.google.com/mail/u/0/images/cleardot.gif">
          <a:extLst>
            <a:ext uri="{FF2B5EF4-FFF2-40B4-BE49-F238E27FC236}">
              <a16:creationId xmlns:a16="http://schemas.microsoft.com/office/drawing/2014/main" id="{826B54B6-A48A-42C9-AE61-1C3DD5A1E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7" name="Picture 156" descr="https://mail.google.com/mail/u/0/images/cleardot.gif">
          <a:extLst>
            <a:ext uri="{FF2B5EF4-FFF2-40B4-BE49-F238E27FC236}">
              <a16:creationId xmlns:a16="http://schemas.microsoft.com/office/drawing/2014/main" id="{4566EC8B-470E-4A70-924D-19D743A3E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8" name="Picture 157" descr="https://mail.google.com/mail/u/0/images/cleardot.gif">
          <a:extLst>
            <a:ext uri="{FF2B5EF4-FFF2-40B4-BE49-F238E27FC236}">
              <a16:creationId xmlns:a16="http://schemas.microsoft.com/office/drawing/2014/main" id="{561F7C40-D28F-45D1-9540-4E73DB06D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59" name="Picture 158" descr="https://mail.google.com/mail/u/0/images/cleardot.gif">
          <a:extLst>
            <a:ext uri="{FF2B5EF4-FFF2-40B4-BE49-F238E27FC236}">
              <a16:creationId xmlns:a16="http://schemas.microsoft.com/office/drawing/2014/main" id="{9005E962-DB23-4300-AB66-11FFA22B5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0" name="Picture 159" descr="https://mail.google.com/mail/u/0/images/cleardot.gif">
          <a:extLst>
            <a:ext uri="{FF2B5EF4-FFF2-40B4-BE49-F238E27FC236}">
              <a16:creationId xmlns:a16="http://schemas.microsoft.com/office/drawing/2014/main" id="{BD72951F-738D-4D41-B16B-C81456072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1" name="Picture 160" descr="https://mail.google.com/mail/u/0/images/cleardot.gif">
          <a:extLst>
            <a:ext uri="{FF2B5EF4-FFF2-40B4-BE49-F238E27FC236}">
              <a16:creationId xmlns:a16="http://schemas.microsoft.com/office/drawing/2014/main" id="{C95FAF6C-8F60-44CD-BD5B-8CEE967AF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2" name="Picture 161" descr="https://mail.google.com/mail/u/0/images/cleardot.gif">
          <a:extLst>
            <a:ext uri="{FF2B5EF4-FFF2-40B4-BE49-F238E27FC236}">
              <a16:creationId xmlns:a16="http://schemas.microsoft.com/office/drawing/2014/main" id="{08E288F4-DCBE-450F-A958-8EB917183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3" name="Picture 162" descr="https://mail.google.com/mail/u/0/images/cleardot.gif">
          <a:extLst>
            <a:ext uri="{FF2B5EF4-FFF2-40B4-BE49-F238E27FC236}">
              <a16:creationId xmlns:a16="http://schemas.microsoft.com/office/drawing/2014/main" id="{21179600-6E73-4E71-AAEA-DA9A64254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4" name="Picture 163" descr="https://mail.google.com/mail/u/0/images/cleardot.gif">
          <a:extLst>
            <a:ext uri="{FF2B5EF4-FFF2-40B4-BE49-F238E27FC236}">
              <a16:creationId xmlns:a16="http://schemas.microsoft.com/office/drawing/2014/main" id="{BC8C162B-4D67-41B9-8E1C-D6A826908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5" name="Picture 164" descr="https://mail.google.com/mail/u/0/images/cleardot.gif">
          <a:extLst>
            <a:ext uri="{FF2B5EF4-FFF2-40B4-BE49-F238E27FC236}">
              <a16:creationId xmlns:a16="http://schemas.microsoft.com/office/drawing/2014/main" id="{DDFAA336-1913-44D0-B5CA-FA259043C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6" name="Picture 165" descr="https://mail.google.com/mail/u/0/images/cleardot.gif">
          <a:extLst>
            <a:ext uri="{FF2B5EF4-FFF2-40B4-BE49-F238E27FC236}">
              <a16:creationId xmlns:a16="http://schemas.microsoft.com/office/drawing/2014/main" id="{67EC5139-B90A-41D6-8B49-8D02BA8E8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7" name="Picture 166" descr="https://mail.google.com/mail/u/0/images/cleardot.gif">
          <a:extLst>
            <a:ext uri="{FF2B5EF4-FFF2-40B4-BE49-F238E27FC236}">
              <a16:creationId xmlns:a16="http://schemas.microsoft.com/office/drawing/2014/main" id="{784E4DB8-E44C-4B43-A015-5BB6D2D6C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8" name="Picture 167" descr="https://mail.google.com/mail/u/0/images/cleardot.gif">
          <a:extLst>
            <a:ext uri="{FF2B5EF4-FFF2-40B4-BE49-F238E27FC236}">
              <a16:creationId xmlns:a16="http://schemas.microsoft.com/office/drawing/2014/main" id="{7BC7C78E-6A0B-471A-899F-DA6DA664E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69" name="Picture 168" descr="https://mail.google.com/mail/u/0/images/cleardot.gif">
          <a:extLst>
            <a:ext uri="{FF2B5EF4-FFF2-40B4-BE49-F238E27FC236}">
              <a16:creationId xmlns:a16="http://schemas.microsoft.com/office/drawing/2014/main" id="{47F3F577-827C-49B7-AE97-EC81974F3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0" name="Picture 169" descr="https://mail.google.com/mail/u/0/images/cleardot.gif">
          <a:extLst>
            <a:ext uri="{FF2B5EF4-FFF2-40B4-BE49-F238E27FC236}">
              <a16:creationId xmlns:a16="http://schemas.microsoft.com/office/drawing/2014/main" id="{8D8CB848-7F6D-4D49-A011-B8852FE95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1" name="Picture 170" descr="https://mail.google.com/mail/u/0/images/cleardot.gif">
          <a:extLst>
            <a:ext uri="{FF2B5EF4-FFF2-40B4-BE49-F238E27FC236}">
              <a16:creationId xmlns:a16="http://schemas.microsoft.com/office/drawing/2014/main" id="{CB5ADA7A-3662-429B-9B3C-F2E2FE66E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2" name="Picture 171" descr="https://mail.google.com/mail/u/0/images/cleardot.gif">
          <a:extLst>
            <a:ext uri="{FF2B5EF4-FFF2-40B4-BE49-F238E27FC236}">
              <a16:creationId xmlns:a16="http://schemas.microsoft.com/office/drawing/2014/main" id="{064F6D0C-367C-44A5-B612-5E18B6621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3" name="Picture 172" descr="https://mail.google.com/mail/u/0/images/cleardot.gif">
          <a:extLst>
            <a:ext uri="{FF2B5EF4-FFF2-40B4-BE49-F238E27FC236}">
              <a16:creationId xmlns:a16="http://schemas.microsoft.com/office/drawing/2014/main" id="{D5983711-EFAE-4FDF-838A-D1763BA58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4" name="Picture 173" descr="https://mail.google.com/mail/u/0/images/cleardot.gif">
          <a:extLst>
            <a:ext uri="{FF2B5EF4-FFF2-40B4-BE49-F238E27FC236}">
              <a16:creationId xmlns:a16="http://schemas.microsoft.com/office/drawing/2014/main" id="{73ECDA9A-4DAF-48EE-9ECE-220AF6DC7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5" name="Picture 174" descr="https://mail.google.com/mail/u/0/images/cleardot.gif">
          <a:extLst>
            <a:ext uri="{FF2B5EF4-FFF2-40B4-BE49-F238E27FC236}">
              <a16:creationId xmlns:a16="http://schemas.microsoft.com/office/drawing/2014/main" id="{709D65E6-3725-4164-A17B-860E6DE2C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6" name="Picture 175" descr="https://mail.google.com/mail/u/0/images/cleardot.gif">
          <a:extLst>
            <a:ext uri="{FF2B5EF4-FFF2-40B4-BE49-F238E27FC236}">
              <a16:creationId xmlns:a16="http://schemas.microsoft.com/office/drawing/2014/main" id="{FA0C1528-ADB3-4EA1-BCEA-EBDF5A89D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7" name="Picture 176" descr="https://mail.google.com/mail/u/0/images/cleardot.gif">
          <a:extLst>
            <a:ext uri="{FF2B5EF4-FFF2-40B4-BE49-F238E27FC236}">
              <a16:creationId xmlns:a16="http://schemas.microsoft.com/office/drawing/2014/main" id="{310473D3-B55B-4C42-85A0-7C34AC4FB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8" name="Picture 177" descr="https://mail.google.com/mail/u/0/images/cleardot.gif">
          <a:extLst>
            <a:ext uri="{FF2B5EF4-FFF2-40B4-BE49-F238E27FC236}">
              <a16:creationId xmlns:a16="http://schemas.microsoft.com/office/drawing/2014/main" id="{EA3F1813-68C6-4FBB-BA01-3F61555A1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79" name="Picture 178" descr="https://mail.google.com/mail/u/0/images/cleardot.gif">
          <a:extLst>
            <a:ext uri="{FF2B5EF4-FFF2-40B4-BE49-F238E27FC236}">
              <a16:creationId xmlns:a16="http://schemas.microsoft.com/office/drawing/2014/main" id="{5647ABCB-2949-4028-8F0F-7AB3B7C02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0" name="Picture 179" descr="https://mail.google.com/mail/u/0/images/cleardot.gif">
          <a:extLst>
            <a:ext uri="{FF2B5EF4-FFF2-40B4-BE49-F238E27FC236}">
              <a16:creationId xmlns:a16="http://schemas.microsoft.com/office/drawing/2014/main" id="{8FEB0151-24FB-4232-8793-ED9A53C5D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1" name="Picture 180" descr="https://mail.google.com/mail/u/0/images/cleardot.gif">
          <a:extLst>
            <a:ext uri="{FF2B5EF4-FFF2-40B4-BE49-F238E27FC236}">
              <a16:creationId xmlns:a16="http://schemas.microsoft.com/office/drawing/2014/main" id="{F4207446-5409-432C-B828-33AE3122B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2" name="Picture 181" descr="https://mail.google.com/mail/u/0/images/cleardot.gif">
          <a:extLst>
            <a:ext uri="{FF2B5EF4-FFF2-40B4-BE49-F238E27FC236}">
              <a16:creationId xmlns:a16="http://schemas.microsoft.com/office/drawing/2014/main" id="{8AF11455-7EC1-48A0-95E8-7A5E8E112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3" name="Picture 182" descr="https://mail.google.com/mail/u/0/images/cleardot.gif">
          <a:extLst>
            <a:ext uri="{FF2B5EF4-FFF2-40B4-BE49-F238E27FC236}">
              <a16:creationId xmlns:a16="http://schemas.microsoft.com/office/drawing/2014/main" id="{FAE59259-3B23-4301-AC6E-DAEB30421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4" name="Picture 183" descr="https://mail.google.com/mail/u/0/images/cleardot.gif">
          <a:extLst>
            <a:ext uri="{FF2B5EF4-FFF2-40B4-BE49-F238E27FC236}">
              <a16:creationId xmlns:a16="http://schemas.microsoft.com/office/drawing/2014/main" id="{8DB9D423-7AD0-4223-8D2A-081F4BE4D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5" name="Picture 184" descr="https://mail.google.com/mail/u/0/images/cleardot.gif">
          <a:extLst>
            <a:ext uri="{FF2B5EF4-FFF2-40B4-BE49-F238E27FC236}">
              <a16:creationId xmlns:a16="http://schemas.microsoft.com/office/drawing/2014/main" id="{06D600D5-5695-492B-AC50-17406E2A0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6" name="Picture 185" descr="https://mail.google.com/mail/u/0/images/cleardot.gif">
          <a:extLst>
            <a:ext uri="{FF2B5EF4-FFF2-40B4-BE49-F238E27FC236}">
              <a16:creationId xmlns:a16="http://schemas.microsoft.com/office/drawing/2014/main" id="{9C26FA00-5EFD-4DE4-B20E-6B3AB4F62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7" name="Picture 186" descr="https://mail.google.com/mail/u/0/images/cleardot.gif">
          <a:extLst>
            <a:ext uri="{FF2B5EF4-FFF2-40B4-BE49-F238E27FC236}">
              <a16:creationId xmlns:a16="http://schemas.microsoft.com/office/drawing/2014/main" id="{A3E52413-F867-423D-A831-7EBA72213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8" name="Picture 187" descr="https://mail.google.com/mail/u/0/images/cleardot.gif">
          <a:extLst>
            <a:ext uri="{FF2B5EF4-FFF2-40B4-BE49-F238E27FC236}">
              <a16:creationId xmlns:a16="http://schemas.microsoft.com/office/drawing/2014/main" id="{4E44C35F-E78E-45A2-83AA-1B24B0343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89" name="Picture 188" descr="https://mail.google.com/mail/u/0/images/cleardot.gif">
          <a:extLst>
            <a:ext uri="{FF2B5EF4-FFF2-40B4-BE49-F238E27FC236}">
              <a16:creationId xmlns:a16="http://schemas.microsoft.com/office/drawing/2014/main" id="{F4411834-B78B-473E-B58D-305C7E893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0" name="Picture 189" descr="https://mail.google.com/mail/u/0/images/cleardot.gif">
          <a:extLst>
            <a:ext uri="{FF2B5EF4-FFF2-40B4-BE49-F238E27FC236}">
              <a16:creationId xmlns:a16="http://schemas.microsoft.com/office/drawing/2014/main" id="{52D6622C-5E66-41E8-8325-715FE3168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1" name="Picture 190" descr="https://mail.google.com/mail/u/0/images/cleardot.gif">
          <a:extLst>
            <a:ext uri="{FF2B5EF4-FFF2-40B4-BE49-F238E27FC236}">
              <a16:creationId xmlns:a16="http://schemas.microsoft.com/office/drawing/2014/main" id="{2BDEE828-6596-4B23-A794-DBC98A19A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2" name="Picture 191" descr="https://mail.google.com/mail/u/0/images/cleardot.gif">
          <a:extLst>
            <a:ext uri="{FF2B5EF4-FFF2-40B4-BE49-F238E27FC236}">
              <a16:creationId xmlns:a16="http://schemas.microsoft.com/office/drawing/2014/main" id="{9913A910-1FBB-4F98-AD57-F2F04E84E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3" name="Picture 192" descr="https://mail.google.com/mail/u/0/images/cleardot.gif">
          <a:extLst>
            <a:ext uri="{FF2B5EF4-FFF2-40B4-BE49-F238E27FC236}">
              <a16:creationId xmlns:a16="http://schemas.microsoft.com/office/drawing/2014/main" id="{220A65C1-DE81-4F77-BE56-2865F3841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4" name="Picture 193" descr="https://mail.google.com/mail/u/0/images/cleardot.gif">
          <a:extLst>
            <a:ext uri="{FF2B5EF4-FFF2-40B4-BE49-F238E27FC236}">
              <a16:creationId xmlns:a16="http://schemas.microsoft.com/office/drawing/2014/main" id="{65C9AABD-8A04-49E9-9883-FCE138EE1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5" name="Picture 194" descr="https://mail.google.com/mail/u/0/images/cleardot.gif">
          <a:extLst>
            <a:ext uri="{FF2B5EF4-FFF2-40B4-BE49-F238E27FC236}">
              <a16:creationId xmlns:a16="http://schemas.microsoft.com/office/drawing/2014/main" id="{C5E0CAA8-E880-4115-9711-E5C1F9B25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6" name="Picture 195" descr="https://mail.google.com/mail/u/0/images/cleardot.gif">
          <a:extLst>
            <a:ext uri="{FF2B5EF4-FFF2-40B4-BE49-F238E27FC236}">
              <a16:creationId xmlns:a16="http://schemas.microsoft.com/office/drawing/2014/main" id="{F7770CBA-0EA5-4550-BD28-61AFBCB1E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7" name="Picture 196" descr="https://mail.google.com/mail/u/0/images/cleardot.gif">
          <a:extLst>
            <a:ext uri="{FF2B5EF4-FFF2-40B4-BE49-F238E27FC236}">
              <a16:creationId xmlns:a16="http://schemas.microsoft.com/office/drawing/2014/main" id="{C17A86FA-C18F-4E1C-BE37-A53E9BB3D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8" name="Picture 197" descr="https://mail.google.com/mail/u/0/images/cleardot.gif">
          <a:extLst>
            <a:ext uri="{FF2B5EF4-FFF2-40B4-BE49-F238E27FC236}">
              <a16:creationId xmlns:a16="http://schemas.microsoft.com/office/drawing/2014/main" id="{CC893871-AF3D-42D4-91B9-4F6D3CD75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199" name="Picture 198" descr="https://mail.google.com/mail/u/0/images/cleardot.gif">
          <a:extLst>
            <a:ext uri="{FF2B5EF4-FFF2-40B4-BE49-F238E27FC236}">
              <a16:creationId xmlns:a16="http://schemas.microsoft.com/office/drawing/2014/main" id="{9154FA3D-4693-4363-82BC-B8B6BC7CF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0" name="Picture 199" descr="https://mail.google.com/mail/u/0/images/cleardot.gif">
          <a:extLst>
            <a:ext uri="{FF2B5EF4-FFF2-40B4-BE49-F238E27FC236}">
              <a16:creationId xmlns:a16="http://schemas.microsoft.com/office/drawing/2014/main" id="{2A31E1F1-9E3A-4FA0-BB0E-D5B17E4EC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1" name="Picture 200" descr="https://mail.google.com/mail/u/0/images/cleardot.gif">
          <a:extLst>
            <a:ext uri="{FF2B5EF4-FFF2-40B4-BE49-F238E27FC236}">
              <a16:creationId xmlns:a16="http://schemas.microsoft.com/office/drawing/2014/main" id="{333BF45A-8572-4F5C-8926-E4F48C460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2" name="Picture 201" descr="https://mail.google.com/mail/u/0/images/cleardot.gif">
          <a:extLst>
            <a:ext uri="{FF2B5EF4-FFF2-40B4-BE49-F238E27FC236}">
              <a16:creationId xmlns:a16="http://schemas.microsoft.com/office/drawing/2014/main" id="{39F96907-71F0-4647-AD38-E8D4BE289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3" name="Picture 202" descr="https://mail.google.com/mail/u/0/images/cleardot.gif">
          <a:extLst>
            <a:ext uri="{FF2B5EF4-FFF2-40B4-BE49-F238E27FC236}">
              <a16:creationId xmlns:a16="http://schemas.microsoft.com/office/drawing/2014/main" id="{CC7AAB8A-1AA8-4F29-8529-ADA835F9C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4" name="Picture 203" descr="https://mail.google.com/mail/u/0/images/cleardot.gif">
          <a:extLst>
            <a:ext uri="{FF2B5EF4-FFF2-40B4-BE49-F238E27FC236}">
              <a16:creationId xmlns:a16="http://schemas.microsoft.com/office/drawing/2014/main" id="{8E2C8F56-1742-4A6F-9BA5-76157B653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5" name="Picture 204" descr="https://mail.google.com/mail/u/0/images/cleardot.gif">
          <a:extLst>
            <a:ext uri="{FF2B5EF4-FFF2-40B4-BE49-F238E27FC236}">
              <a16:creationId xmlns:a16="http://schemas.microsoft.com/office/drawing/2014/main" id="{5F5E127E-7802-4C88-9CF8-54CDCA1D3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6" name="Picture 205" descr="https://mail.google.com/mail/u/0/images/cleardot.gif">
          <a:extLst>
            <a:ext uri="{FF2B5EF4-FFF2-40B4-BE49-F238E27FC236}">
              <a16:creationId xmlns:a16="http://schemas.microsoft.com/office/drawing/2014/main" id="{8720131E-3D5D-4E4B-9EB4-B88B0276D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7" name="Picture 206" descr="https://mail.google.com/mail/u/0/images/cleardot.gif">
          <a:extLst>
            <a:ext uri="{FF2B5EF4-FFF2-40B4-BE49-F238E27FC236}">
              <a16:creationId xmlns:a16="http://schemas.microsoft.com/office/drawing/2014/main" id="{BDA09860-B7B2-4FAD-8D92-50E1BCA95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8" name="Picture 207" descr="https://mail.google.com/mail/u/0/images/cleardot.gif">
          <a:extLst>
            <a:ext uri="{FF2B5EF4-FFF2-40B4-BE49-F238E27FC236}">
              <a16:creationId xmlns:a16="http://schemas.microsoft.com/office/drawing/2014/main" id="{773C5FC5-F35B-47B5-93F5-6029BFB80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09" name="Picture 208" descr="https://mail.google.com/mail/u/0/images/cleardot.gif">
          <a:extLst>
            <a:ext uri="{FF2B5EF4-FFF2-40B4-BE49-F238E27FC236}">
              <a16:creationId xmlns:a16="http://schemas.microsoft.com/office/drawing/2014/main" id="{9F017803-6C18-4B54-A2F5-2814340BF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0" name="Picture 209" descr="https://mail.google.com/mail/u/0/images/cleardot.gif">
          <a:extLst>
            <a:ext uri="{FF2B5EF4-FFF2-40B4-BE49-F238E27FC236}">
              <a16:creationId xmlns:a16="http://schemas.microsoft.com/office/drawing/2014/main" id="{33E51B68-ABE3-44F7-94A0-AA7253DB1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1" name="Picture 210" descr="https://mail.google.com/mail/u/0/images/cleardot.gif">
          <a:extLst>
            <a:ext uri="{FF2B5EF4-FFF2-40B4-BE49-F238E27FC236}">
              <a16:creationId xmlns:a16="http://schemas.microsoft.com/office/drawing/2014/main" id="{A9600E25-62D9-4434-ADC2-2AE52C1C6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2" name="Picture 211" descr="https://mail.google.com/mail/u/0/images/cleardot.gif">
          <a:extLst>
            <a:ext uri="{FF2B5EF4-FFF2-40B4-BE49-F238E27FC236}">
              <a16:creationId xmlns:a16="http://schemas.microsoft.com/office/drawing/2014/main" id="{B8D6C270-974E-4C77-AF1A-66CE58DE2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3" name="Picture 212" descr="https://mail.google.com/mail/u/0/images/cleardot.gif">
          <a:extLst>
            <a:ext uri="{FF2B5EF4-FFF2-40B4-BE49-F238E27FC236}">
              <a16:creationId xmlns:a16="http://schemas.microsoft.com/office/drawing/2014/main" id="{3781C5A7-3190-457E-8961-8FA79826F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4" name="Picture 213" descr="https://mail.google.com/mail/u/0/images/cleardot.gif">
          <a:extLst>
            <a:ext uri="{FF2B5EF4-FFF2-40B4-BE49-F238E27FC236}">
              <a16:creationId xmlns:a16="http://schemas.microsoft.com/office/drawing/2014/main" id="{15E551E3-54CA-410F-847F-0A307ED6C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5" name="Picture 214" descr="https://mail.google.com/mail/u/0/images/cleardot.gif">
          <a:extLst>
            <a:ext uri="{FF2B5EF4-FFF2-40B4-BE49-F238E27FC236}">
              <a16:creationId xmlns:a16="http://schemas.microsoft.com/office/drawing/2014/main" id="{14095F44-42F1-4335-B0C6-C82BE7067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6" name="Picture 215" descr="https://mail.google.com/mail/u/0/images/cleardot.gif">
          <a:extLst>
            <a:ext uri="{FF2B5EF4-FFF2-40B4-BE49-F238E27FC236}">
              <a16:creationId xmlns:a16="http://schemas.microsoft.com/office/drawing/2014/main" id="{A639718C-0C97-4760-AD2B-7069E2C89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7" name="Picture 216" descr="https://mail.google.com/mail/u/0/images/cleardot.gif">
          <a:extLst>
            <a:ext uri="{FF2B5EF4-FFF2-40B4-BE49-F238E27FC236}">
              <a16:creationId xmlns:a16="http://schemas.microsoft.com/office/drawing/2014/main" id="{F0FBE632-4632-46C8-8EA8-5B3C60E1D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8" name="Picture 217" descr="https://mail.google.com/mail/u/0/images/cleardot.gif">
          <a:extLst>
            <a:ext uri="{FF2B5EF4-FFF2-40B4-BE49-F238E27FC236}">
              <a16:creationId xmlns:a16="http://schemas.microsoft.com/office/drawing/2014/main" id="{4C11AAAC-A24C-463A-8B3A-71B05D71A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19" name="Picture 218" descr="https://mail.google.com/mail/u/0/images/cleardot.gif">
          <a:extLst>
            <a:ext uri="{FF2B5EF4-FFF2-40B4-BE49-F238E27FC236}">
              <a16:creationId xmlns:a16="http://schemas.microsoft.com/office/drawing/2014/main" id="{5C097B4A-0E62-436B-B252-F36ACABA4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0" name="Picture 219" descr="https://mail.google.com/mail/u/0/images/cleardot.gif">
          <a:extLst>
            <a:ext uri="{FF2B5EF4-FFF2-40B4-BE49-F238E27FC236}">
              <a16:creationId xmlns:a16="http://schemas.microsoft.com/office/drawing/2014/main" id="{A5ED0327-6857-4DD3-AB39-7DFB5BE04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1" name="Picture 220" descr="https://mail.google.com/mail/u/0/images/cleardot.gif">
          <a:extLst>
            <a:ext uri="{FF2B5EF4-FFF2-40B4-BE49-F238E27FC236}">
              <a16:creationId xmlns:a16="http://schemas.microsoft.com/office/drawing/2014/main" id="{74DEC3D5-F263-4E2B-B5EE-D187ADDDA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2" name="Picture 221" descr="https://mail.google.com/mail/u/0/images/cleardot.gif">
          <a:extLst>
            <a:ext uri="{FF2B5EF4-FFF2-40B4-BE49-F238E27FC236}">
              <a16:creationId xmlns:a16="http://schemas.microsoft.com/office/drawing/2014/main" id="{DD5ED71E-7468-4596-B453-8153F1926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3" name="Picture 222" descr="https://mail.google.com/mail/u/0/images/cleardot.gif">
          <a:extLst>
            <a:ext uri="{FF2B5EF4-FFF2-40B4-BE49-F238E27FC236}">
              <a16:creationId xmlns:a16="http://schemas.microsoft.com/office/drawing/2014/main" id="{C09B17F3-25A3-4BC1-A4C6-E4F6DCDF0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4" name="Picture 223" descr="https://mail.google.com/mail/u/0/images/cleardot.gif">
          <a:extLst>
            <a:ext uri="{FF2B5EF4-FFF2-40B4-BE49-F238E27FC236}">
              <a16:creationId xmlns:a16="http://schemas.microsoft.com/office/drawing/2014/main" id="{99C86EA9-9B01-460C-ACFC-677C946AE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5" name="Picture 224" descr="https://mail.google.com/mail/u/0/images/cleardot.gif">
          <a:extLst>
            <a:ext uri="{FF2B5EF4-FFF2-40B4-BE49-F238E27FC236}">
              <a16:creationId xmlns:a16="http://schemas.microsoft.com/office/drawing/2014/main" id="{91F349CA-37EF-456F-9182-31A345977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6" name="Picture 225" descr="https://mail.google.com/mail/u/0/images/cleardot.gif">
          <a:extLst>
            <a:ext uri="{FF2B5EF4-FFF2-40B4-BE49-F238E27FC236}">
              <a16:creationId xmlns:a16="http://schemas.microsoft.com/office/drawing/2014/main" id="{F7EF8AA4-BCA2-47CD-B23B-391A52EDD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7" name="Picture 226" descr="https://mail.google.com/mail/u/0/images/cleardot.gif">
          <a:extLst>
            <a:ext uri="{FF2B5EF4-FFF2-40B4-BE49-F238E27FC236}">
              <a16:creationId xmlns:a16="http://schemas.microsoft.com/office/drawing/2014/main" id="{7E7875A8-52D6-4262-965A-7CD5CA879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8" name="Picture 227" descr="https://mail.google.com/mail/u/0/images/cleardot.gif">
          <a:extLst>
            <a:ext uri="{FF2B5EF4-FFF2-40B4-BE49-F238E27FC236}">
              <a16:creationId xmlns:a16="http://schemas.microsoft.com/office/drawing/2014/main" id="{CCE44382-C928-4A6B-BB35-C85A17A4B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29" name="Picture 228" descr="https://mail.google.com/mail/u/0/images/cleardot.gif">
          <a:extLst>
            <a:ext uri="{FF2B5EF4-FFF2-40B4-BE49-F238E27FC236}">
              <a16:creationId xmlns:a16="http://schemas.microsoft.com/office/drawing/2014/main" id="{F74A0785-427A-46DC-9B9B-8512F8397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0" name="Picture 229" descr="https://mail.google.com/mail/u/0/images/cleardot.gif">
          <a:extLst>
            <a:ext uri="{FF2B5EF4-FFF2-40B4-BE49-F238E27FC236}">
              <a16:creationId xmlns:a16="http://schemas.microsoft.com/office/drawing/2014/main" id="{237E9147-CB38-4FF8-B5F2-5DC98E925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1" name="Picture 230" descr="https://mail.google.com/mail/u/0/images/cleardot.gif">
          <a:extLst>
            <a:ext uri="{FF2B5EF4-FFF2-40B4-BE49-F238E27FC236}">
              <a16:creationId xmlns:a16="http://schemas.microsoft.com/office/drawing/2014/main" id="{71DD8942-FD73-49DC-8449-98381EB46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2" name="Picture 231" descr="https://mail.google.com/mail/u/0/images/cleardot.gif">
          <a:extLst>
            <a:ext uri="{FF2B5EF4-FFF2-40B4-BE49-F238E27FC236}">
              <a16:creationId xmlns:a16="http://schemas.microsoft.com/office/drawing/2014/main" id="{6C07256C-E746-4992-92C3-AFFE77141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3" name="Picture 232" descr="https://mail.google.com/mail/u/0/images/cleardot.gif">
          <a:extLst>
            <a:ext uri="{FF2B5EF4-FFF2-40B4-BE49-F238E27FC236}">
              <a16:creationId xmlns:a16="http://schemas.microsoft.com/office/drawing/2014/main" id="{61717A22-3897-4F4C-9055-53AD4B6F4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4" name="Picture 233" descr="https://mail.google.com/mail/u/0/images/cleardot.gif">
          <a:extLst>
            <a:ext uri="{FF2B5EF4-FFF2-40B4-BE49-F238E27FC236}">
              <a16:creationId xmlns:a16="http://schemas.microsoft.com/office/drawing/2014/main" id="{C550AEBD-535E-4DDD-9151-721EA3729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5" name="Picture 234" descr="https://mail.google.com/mail/u/0/images/cleardot.gif">
          <a:extLst>
            <a:ext uri="{FF2B5EF4-FFF2-40B4-BE49-F238E27FC236}">
              <a16:creationId xmlns:a16="http://schemas.microsoft.com/office/drawing/2014/main" id="{63990E71-7D22-422D-9380-6479124C6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6" name="Picture 235" descr="https://mail.google.com/mail/u/0/images/cleardot.gif">
          <a:extLst>
            <a:ext uri="{FF2B5EF4-FFF2-40B4-BE49-F238E27FC236}">
              <a16:creationId xmlns:a16="http://schemas.microsoft.com/office/drawing/2014/main" id="{2993EB18-1FB7-4437-B569-5074AAC56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7" name="Picture 236" descr="https://mail.google.com/mail/u/0/images/cleardot.gif">
          <a:extLst>
            <a:ext uri="{FF2B5EF4-FFF2-40B4-BE49-F238E27FC236}">
              <a16:creationId xmlns:a16="http://schemas.microsoft.com/office/drawing/2014/main" id="{534F272B-B8D9-449C-AA0E-76296701E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8" name="Picture 237" descr="https://mail.google.com/mail/u/0/images/cleardot.gif">
          <a:extLst>
            <a:ext uri="{FF2B5EF4-FFF2-40B4-BE49-F238E27FC236}">
              <a16:creationId xmlns:a16="http://schemas.microsoft.com/office/drawing/2014/main" id="{1227FBA2-FCDE-4491-A981-D68FF0B61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39" name="Picture 238" descr="https://mail.google.com/mail/u/0/images/cleardot.gif">
          <a:extLst>
            <a:ext uri="{FF2B5EF4-FFF2-40B4-BE49-F238E27FC236}">
              <a16:creationId xmlns:a16="http://schemas.microsoft.com/office/drawing/2014/main" id="{C14469AE-ADC1-4EE1-AC10-ABE6ACF53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0" name="Picture 239" descr="https://mail.google.com/mail/u/0/images/cleardot.gif">
          <a:extLst>
            <a:ext uri="{FF2B5EF4-FFF2-40B4-BE49-F238E27FC236}">
              <a16:creationId xmlns:a16="http://schemas.microsoft.com/office/drawing/2014/main" id="{530A8443-8EEB-47DA-82FE-33407F71E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1" name="Picture 240" descr="https://mail.google.com/mail/u/0/images/cleardot.gif">
          <a:extLst>
            <a:ext uri="{FF2B5EF4-FFF2-40B4-BE49-F238E27FC236}">
              <a16:creationId xmlns:a16="http://schemas.microsoft.com/office/drawing/2014/main" id="{C2D9BC21-182E-455B-8CB9-E8E57DAAC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2" name="Picture 241" descr="https://mail.google.com/mail/u/0/images/cleardot.gif">
          <a:extLst>
            <a:ext uri="{FF2B5EF4-FFF2-40B4-BE49-F238E27FC236}">
              <a16:creationId xmlns:a16="http://schemas.microsoft.com/office/drawing/2014/main" id="{853BAD10-4A59-4502-8161-FAA7128B1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3" name="Picture 242" descr="https://mail.google.com/mail/u/0/images/cleardot.gif">
          <a:extLst>
            <a:ext uri="{FF2B5EF4-FFF2-40B4-BE49-F238E27FC236}">
              <a16:creationId xmlns:a16="http://schemas.microsoft.com/office/drawing/2014/main" id="{19AFA3B1-24E9-49D5-8E88-345519D3B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4" name="Picture 243" descr="https://mail.google.com/mail/u/0/images/cleardot.gif">
          <a:extLst>
            <a:ext uri="{FF2B5EF4-FFF2-40B4-BE49-F238E27FC236}">
              <a16:creationId xmlns:a16="http://schemas.microsoft.com/office/drawing/2014/main" id="{1FFF0A67-D99F-4F93-B92D-5881E6FEF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5" name="Picture 244" descr="https://mail.google.com/mail/u/0/images/cleardot.gif">
          <a:extLst>
            <a:ext uri="{FF2B5EF4-FFF2-40B4-BE49-F238E27FC236}">
              <a16:creationId xmlns:a16="http://schemas.microsoft.com/office/drawing/2014/main" id="{1120114B-DDD0-4906-A047-53C46997F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6" name="Picture 245" descr="https://mail.google.com/mail/u/0/images/cleardot.gif">
          <a:extLst>
            <a:ext uri="{FF2B5EF4-FFF2-40B4-BE49-F238E27FC236}">
              <a16:creationId xmlns:a16="http://schemas.microsoft.com/office/drawing/2014/main" id="{190B1DEA-6A60-407E-BCF2-F4A536780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7" name="Picture 246" descr="https://mail.google.com/mail/u/0/images/cleardot.gif">
          <a:extLst>
            <a:ext uri="{FF2B5EF4-FFF2-40B4-BE49-F238E27FC236}">
              <a16:creationId xmlns:a16="http://schemas.microsoft.com/office/drawing/2014/main" id="{FE984639-78A5-46FA-B66E-655AE88BE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8" name="Picture 247" descr="https://mail.google.com/mail/u/0/images/cleardot.gif">
          <a:extLst>
            <a:ext uri="{FF2B5EF4-FFF2-40B4-BE49-F238E27FC236}">
              <a16:creationId xmlns:a16="http://schemas.microsoft.com/office/drawing/2014/main" id="{B6E2B8E9-0DE0-4B1E-BE11-4EB9760C4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49" name="Picture 248" descr="https://mail.google.com/mail/u/0/images/cleardot.gif">
          <a:extLst>
            <a:ext uri="{FF2B5EF4-FFF2-40B4-BE49-F238E27FC236}">
              <a16:creationId xmlns:a16="http://schemas.microsoft.com/office/drawing/2014/main" id="{A35838A7-8252-4C27-B0D2-7520BE4DF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0" name="Picture 249" descr="https://mail.google.com/mail/u/0/images/cleardot.gif">
          <a:extLst>
            <a:ext uri="{FF2B5EF4-FFF2-40B4-BE49-F238E27FC236}">
              <a16:creationId xmlns:a16="http://schemas.microsoft.com/office/drawing/2014/main" id="{08C271E3-71DF-4B52-A3C3-510CF257F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1" name="Picture 250" descr="https://mail.google.com/mail/u/0/images/cleardot.gif">
          <a:extLst>
            <a:ext uri="{FF2B5EF4-FFF2-40B4-BE49-F238E27FC236}">
              <a16:creationId xmlns:a16="http://schemas.microsoft.com/office/drawing/2014/main" id="{37FE4882-4059-4CBD-AA31-94DFAF995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2" name="Picture 251" descr="https://mail.google.com/mail/u/0/images/cleardot.gif">
          <a:extLst>
            <a:ext uri="{FF2B5EF4-FFF2-40B4-BE49-F238E27FC236}">
              <a16:creationId xmlns:a16="http://schemas.microsoft.com/office/drawing/2014/main" id="{E1177312-9B7D-4068-A32F-9B3DBE816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3" name="Picture 252" descr="https://mail.google.com/mail/u/0/images/cleardot.gif">
          <a:extLst>
            <a:ext uri="{FF2B5EF4-FFF2-40B4-BE49-F238E27FC236}">
              <a16:creationId xmlns:a16="http://schemas.microsoft.com/office/drawing/2014/main" id="{A924AF29-5CD4-4F6D-83F4-A4DCCF583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4" name="Picture 253" descr="https://mail.google.com/mail/u/0/images/cleardot.gif">
          <a:extLst>
            <a:ext uri="{FF2B5EF4-FFF2-40B4-BE49-F238E27FC236}">
              <a16:creationId xmlns:a16="http://schemas.microsoft.com/office/drawing/2014/main" id="{BD621165-8A02-4F5D-ACB3-B1E6E95F3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5" name="Picture 254" descr="https://mail.google.com/mail/u/0/images/cleardot.gif">
          <a:extLst>
            <a:ext uri="{FF2B5EF4-FFF2-40B4-BE49-F238E27FC236}">
              <a16:creationId xmlns:a16="http://schemas.microsoft.com/office/drawing/2014/main" id="{17F4484B-31B3-45D9-B21C-0623B8A58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6" name="Picture 255" descr="https://mail.google.com/mail/u/0/images/cleardot.gif">
          <a:extLst>
            <a:ext uri="{FF2B5EF4-FFF2-40B4-BE49-F238E27FC236}">
              <a16:creationId xmlns:a16="http://schemas.microsoft.com/office/drawing/2014/main" id="{D85EFAC8-A02A-45DF-96BD-7926DCFB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7" name="Picture 256" descr="https://mail.google.com/mail/u/0/images/cleardot.gif">
          <a:extLst>
            <a:ext uri="{FF2B5EF4-FFF2-40B4-BE49-F238E27FC236}">
              <a16:creationId xmlns:a16="http://schemas.microsoft.com/office/drawing/2014/main" id="{61EB1664-2975-409C-9CF9-83CDFF54A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8" name="Picture 257" descr="https://mail.google.com/mail/u/0/images/cleardot.gif">
          <a:extLst>
            <a:ext uri="{FF2B5EF4-FFF2-40B4-BE49-F238E27FC236}">
              <a16:creationId xmlns:a16="http://schemas.microsoft.com/office/drawing/2014/main" id="{333B249E-A9AB-451A-8838-18A20860D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59" name="Picture 258" descr="https://mail.google.com/mail/u/0/images/cleardot.gif">
          <a:extLst>
            <a:ext uri="{FF2B5EF4-FFF2-40B4-BE49-F238E27FC236}">
              <a16:creationId xmlns:a16="http://schemas.microsoft.com/office/drawing/2014/main" id="{D16357DB-7C36-4819-BD9E-CF348FA00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0" name="Picture 259" descr="https://mail.google.com/mail/u/0/images/cleardot.gif">
          <a:extLst>
            <a:ext uri="{FF2B5EF4-FFF2-40B4-BE49-F238E27FC236}">
              <a16:creationId xmlns:a16="http://schemas.microsoft.com/office/drawing/2014/main" id="{2AEE8155-6F39-4A3E-AAC0-8096383DA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1" name="Picture 260" descr="https://mail.google.com/mail/u/0/images/cleardot.gif">
          <a:extLst>
            <a:ext uri="{FF2B5EF4-FFF2-40B4-BE49-F238E27FC236}">
              <a16:creationId xmlns:a16="http://schemas.microsoft.com/office/drawing/2014/main" id="{01B8ED7D-AB7F-45CC-B252-A190DF4C1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2" name="Picture 261" descr="https://mail.google.com/mail/u/0/images/cleardot.gif">
          <a:extLst>
            <a:ext uri="{FF2B5EF4-FFF2-40B4-BE49-F238E27FC236}">
              <a16:creationId xmlns:a16="http://schemas.microsoft.com/office/drawing/2014/main" id="{28998899-1E8F-4EA9-B2AC-0FE0CE60D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3" name="Picture 262" descr="https://mail.google.com/mail/u/0/images/cleardot.gif">
          <a:extLst>
            <a:ext uri="{FF2B5EF4-FFF2-40B4-BE49-F238E27FC236}">
              <a16:creationId xmlns:a16="http://schemas.microsoft.com/office/drawing/2014/main" id="{CCE5615B-877F-42F4-92C4-774172935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4" name="Picture 263" descr="https://mail.google.com/mail/u/0/images/cleardot.gif">
          <a:extLst>
            <a:ext uri="{FF2B5EF4-FFF2-40B4-BE49-F238E27FC236}">
              <a16:creationId xmlns:a16="http://schemas.microsoft.com/office/drawing/2014/main" id="{E1153E0F-E703-4B93-9E39-DBB4F064F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5" name="Picture 264" descr="https://mail.google.com/mail/u/0/images/cleardot.gif">
          <a:extLst>
            <a:ext uri="{FF2B5EF4-FFF2-40B4-BE49-F238E27FC236}">
              <a16:creationId xmlns:a16="http://schemas.microsoft.com/office/drawing/2014/main" id="{A34BC8B3-6D8D-4B3D-9188-49A024508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6" name="Picture 265" descr="https://mail.google.com/mail/u/0/images/cleardot.gif">
          <a:extLst>
            <a:ext uri="{FF2B5EF4-FFF2-40B4-BE49-F238E27FC236}">
              <a16:creationId xmlns:a16="http://schemas.microsoft.com/office/drawing/2014/main" id="{42EAB053-21AF-423D-BBAD-04804692E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7" name="Picture 266" descr="https://mail.google.com/mail/u/0/images/cleardot.gif">
          <a:extLst>
            <a:ext uri="{FF2B5EF4-FFF2-40B4-BE49-F238E27FC236}">
              <a16:creationId xmlns:a16="http://schemas.microsoft.com/office/drawing/2014/main" id="{E3509A19-CD97-4248-B1C9-1BE91C77A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8" name="Picture 267" descr="https://mail.google.com/mail/u/0/images/cleardot.gif">
          <a:extLst>
            <a:ext uri="{FF2B5EF4-FFF2-40B4-BE49-F238E27FC236}">
              <a16:creationId xmlns:a16="http://schemas.microsoft.com/office/drawing/2014/main" id="{D42042CE-5451-4897-B5DF-8B9C9BF62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69" name="Picture 268" descr="https://mail.google.com/mail/u/0/images/cleardot.gif">
          <a:extLst>
            <a:ext uri="{FF2B5EF4-FFF2-40B4-BE49-F238E27FC236}">
              <a16:creationId xmlns:a16="http://schemas.microsoft.com/office/drawing/2014/main" id="{5990543D-28B8-49E3-A0D1-0DA33F11A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0" name="Picture 269" descr="https://mail.google.com/mail/u/0/images/cleardot.gif">
          <a:extLst>
            <a:ext uri="{FF2B5EF4-FFF2-40B4-BE49-F238E27FC236}">
              <a16:creationId xmlns:a16="http://schemas.microsoft.com/office/drawing/2014/main" id="{D820F42B-801D-4E07-9D55-574D9DB8E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1" name="Picture 270" descr="https://mail.google.com/mail/u/0/images/cleardot.gif">
          <a:extLst>
            <a:ext uri="{FF2B5EF4-FFF2-40B4-BE49-F238E27FC236}">
              <a16:creationId xmlns:a16="http://schemas.microsoft.com/office/drawing/2014/main" id="{0F3D7D8B-3E7E-4558-AB39-D8A578448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2" name="Picture 271" descr="https://mail.google.com/mail/u/0/images/cleardot.gif">
          <a:extLst>
            <a:ext uri="{FF2B5EF4-FFF2-40B4-BE49-F238E27FC236}">
              <a16:creationId xmlns:a16="http://schemas.microsoft.com/office/drawing/2014/main" id="{C05ACA9F-7895-4B00-A39B-0EFCC659E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3" name="Picture 272" descr="https://mail.google.com/mail/u/0/images/cleardot.gif">
          <a:extLst>
            <a:ext uri="{FF2B5EF4-FFF2-40B4-BE49-F238E27FC236}">
              <a16:creationId xmlns:a16="http://schemas.microsoft.com/office/drawing/2014/main" id="{14E07F31-E5C1-4B4C-AD5A-316A78EDF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4" name="Picture 273" descr="https://mail.google.com/mail/u/0/images/cleardot.gif">
          <a:extLst>
            <a:ext uri="{FF2B5EF4-FFF2-40B4-BE49-F238E27FC236}">
              <a16:creationId xmlns:a16="http://schemas.microsoft.com/office/drawing/2014/main" id="{252F1DF1-D126-48D6-8790-CFD540554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5" name="Picture 274" descr="https://mail.google.com/mail/u/0/images/cleardot.gif">
          <a:extLst>
            <a:ext uri="{FF2B5EF4-FFF2-40B4-BE49-F238E27FC236}">
              <a16:creationId xmlns:a16="http://schemas.microsoft.com/office/drawing/2014/main" id="{716541D7-E25D-4FD3-967E-2F309466A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6" name="Picture 275" descr="https://mail.google.com/mail/u/0/images/cleardot.gif">
          <a:extLst>
            <a:ext uri="{FF2B5EF4-FFF2-40B4-BE49-F238E27FC236}">
              <a16:creationId xmlns:a16="http://schemas.microsoft.com/office/drawing/2014/main" id="{00448C63-0054-4694-A86C-19368720A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7" name="Picture 276" descr="https://mail.google.com/mail/u/0/images/cleardot.gif">
          <a:extLst>
            <a:ext uri="{FF2B5EF4-FFF2-40B4-BE49-F238E27FC236}">
              <a16:creationId xmlns:a16="http://schemas.microsoft.com/office/drawing/2014/main" id="{0B78DDA2-67C5-4B3C-B18B-EF71310AC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8" name="Picture 277" descr="https://mail.google.com/mail/u/0/images/cleardot.gif">
          <a:extLst>
            <a:ext uri="{FF2B5EF4-FFF2-40B4-BE49-F238E27FC236}">
              <a16:creationId xmlns:a16="http://schemas.microsoft.com/office/drawing/2014/main" id="{D4879C47-772E-4985-BE20-6DE15C6E9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79" name="Picture 278" descr="https://mail.google.com/mail/u/0/images/cleardot.gif">
          <a:extLst>
            <a:ext uri="{FF2B5EF4-FFF2-40B4-BE49-F238E27FC236}">
              <a16:creationId xmlns:a16="http://schemas.microsoft.com/office/drawing/2014/main" id="{F2D04235-16D9-4527-909B-6B88C5B4A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80" name="Picture 279" descr="https://mail.google.com/mail/u/0/images/cleardot.gif">
          <a:extLst>
            <a:ext uri="{FF2B5EF4-FFF2-40B4-BE49-F238E27FC236}">
              <a16:creationId xmlns:a16="http://schemas.microsoft.com/office/drawing/2014/main" id="{A095F338-292F-45AD-BEFE-CC2F96529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39</xdr:row>
      <xdr:rowOff>0</xdr:rowOff>
    </xdr:from>
    <xdr:ext cx="12700" cy="12700"/>
    <xdr:pic>
      <xdr:nvPicPr>
        <xdr:cNvPr id="281" name="Picture 280" descr="https://mail.google.com/mail/u/0/images/cleardot.gif">
          <a:extLst>
            <a:ext uri="{FF2B5EF4-FFF2-40B4-BE49-F238E27FC236}">
              <a16:creationId xmlns:a16="http://schemas.microsoft.com/office/drawing/2014/main" id="{47D49DB0-CF87-4645-AD90-2C104D3B8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67125" y="6772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ropbox\Pre-Alerts\.Shreehari---2025\2025%20Master--Pre-alert--updated--2025,18%20%20August%20Final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gust 2025"/>
      <sheetName val="June25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D843F-985B-4DA4-A397-24317B4141A7}">
  <sheetPr codeName="Sheet1"/>
  <dimension ref="A1:AF46"/>
  <sheetViews>
    <sheetView topLeftCell="F1" zoomScale="115" zoomScaleNormal="115" workbookViewId="0">
      <selection activeCell="H16" sqref="H15:H16"/>
    </sheetView>
  </sheetViews>
  <sheetFormatPr defaultColWidth="9.85546875" defaultRowHeight="12.75"/>
  <cols>
    <col min="1" max="1" width="4.7109375" style="2" customWidth="1"/>
    <col min="2" max="2" width="6.85546875" style="2" bestFit="1" customWidth="1"/>
    <col min="3" max="3" width="28.85546875" style="2" bestFit="1" customWidth="1"/>
    <col min="4" max="4" width="9.85546875" style="2" customWidth="1"/>
    <col min="5" max="5" width="17.28515625" style="2" customWidth="1"/>
    <col min="6" max="6" width="8.140625" style="2" bestFit="1" customWidth="1"/>
    <col min="7" max="7" width="10.42578125" style="2" customWidth="1"/>
    <col min="8" max="8" width="8" style="2" customWidth="1"/>
    <col min="9" max="9" width="28.140625" style="2" customWidth="1"/>
    <col min="10" max="10" width="24.5703125" style="2" customWidth="1"/>
    <col min="11" max="11" width="9.28515625" style="2" customWidth="1"/>
    <col min="12" max="12" width="9" style="2" customWidth="1"/>
    <col min="13" max="13" width="14.42578125" style="2" customWidth="1"/>
    <col min="14" max="14" width="13.5703125" style="29" bestFit="1" customWidth="1"/>
    <col min="15" max="15" width="18.140625" style="2" bestFit="1" customWidth="1"/>
    <col min="16" max="16" width="8.28515625" style="2" bestFit="1" customWidth="1"/>
    <col min="17" max="17" width="10.42578125" style="2" bestFit="1" customWidth="1"/>
    <col min="18" max="18" width="10.85546875" style="2" bestFit="1" customWidth="1"/>
    <col min="19" max="19" width="13.140625" style="2" bestFit="1" customWidth="1"/>
    <col min="20" max="20" width="9" style="2" bestFit="1" customWidth="1"/>
    <col min="21" max="21" width="10.42578125" style="2" bestFit="1" customWidth="1"/>
    <col min="22" max="22" width="12" style="2" bestFit="1" customWidth="1"/>
    <col min="23" max="23" width="10.42578125" style="2" bestFit="1" customWidth="1"/>
    <col min="24" max="24" width="12" style="2" bestFit="1" customWidth="1"/>
    <col min="25" max="25" width="10.42578125" style="2" bestFit="1" customWidth="1"/>
    <col min="26" max="26" width="12" style="2" bestFit="1" customWidth="1"/>
    <col min="27" max="27" width="10.42578125" style="2" bestFit="1" customWidth="1"/>
    <col min="28" max="28" width="12" style="2" bestFit="1" customWidth="1"/>
    <col min="29" max="29" width="18.28515625" style="2" bestFit="1" customWidth="1"/>
    <col min="30" max="30" width="13" style="2" bestFit="1" customWidth="1"/>
    <col min="31" max="31" width="9" style="2" bestFit="1" customWidth="1"/>
    <col min="32" max="32" width="14.5703125" style="2" bestFit="1" customWidth="1"/>
    <col min="33" max="16384" width="9.85546875" style="2"/>
  </cols>
  <sheetData>
    <row r="1" spans="1:32" s="1" customFormat="1">
      <c r="A1" s="9" t="s">
        <v>0</v>
      </c>
      <c r="B1" s="10"/>
      <c r="C1" s="10"/>
      <c r="D1" s="10"/>
      <c r="E1" s="10"/>
      <c r="F1" s="11"/>
      <c r="G1" s="10"/>
      <c r="H1" s="10"/>
      <c r="I1" s="10"/>
      <c r="J1" s="10"/>
      <c r="K1" s="10"/>
      <c r="L1" s="12">
        <f>SUM(L4:L31)</f>
        <v>970.79300000000012</v>
      </c>
      <c r="M1" s="13">
        <f>SUM(M4:M31)</f>
        <v>967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4"/>
    </row>
    <row r="2" spans="1:32" ht="15.6" customHeight="1">
      <c r="A2" s="229" t="s">
        <v>1</v>
      </c>
      <c r="B2" s="229" t="s">
        <v>2</v>
      </c>
      <c r="C2" s="229" t="s">
        <v>3</v>
      </c>
      <c r="D2" s="229" t="s">
        <v>4</v>
      </c>
      <c r="E2" s="229" t="s">
        <v>5</v>
      </c>
      <c r="F2" s="229" t="s">
        <v>6</v>
      </c>
      <c r="G2" s="229" t="s">
        <v>7</v>
      </c>
      <c r="H2" s="229" t="s">
        <v>8</v>
      </c>
      <c r="I2" s="230" t="s">
        <v>31</v>
      </c>
      <c r="J2" s="230"/>
      <c r="K2" s="229" t="s">
        <v>9</v>
      </c>
      <c r="L2" s="229" t="s">
        <v>10</v>
      </c>
      <c r="M2" s="228" t="s">
        <v>32</v>
      </c>
      <c r="N2" s="229" t="s">
        <v>11</v>
      </c>
      <c r="O2" s="229" t="s">
        <v>12</v>
      </c>
      <c r="P2" s="15" t="s">
        <v>13</v>
      </c>
      <c r="Q2" s="233" t="s">
        <v>14</v>
      </c>
      <c r="R2" s="233"/>
      <c r="S2" s="233"/>
      <c r="T2" s="233"/>
      <c r="U2" s="231" t="s">
        <v>15</v>
      </c>
      <c r="V2" s="231"/>
      <c r="W2" s="231" t="s">
        <v>16</v>
      </c>
      <c r="X2" s="231"/>
      <c r="Y2" s="231" t="s">
        <v>17</v>
      </c>
      <c r="Z2" s="231"/>
      <c r="AA2" s="231" t="s">
        <v>18</v>
      </c>
      <c r="AB2" s="231"/>
      <c r="AC2" s="232" t="s">
        <v>19</v>
      </c>
      <c r="AD2" s="232"/>
      <c r="AE2" s="232"/>
      <c r="AF2" s="16"/>
    </row>
    <row r="3" spans="1:32">
      <c r="A3" s="229"/>
      <c r="B3" s="229"/>
      <c r="C3" s="229"/>
      <c r="D3" s="229"/>
      <c r="E3" s="229"/>
      <c r="F3" s="229"/>
      <c r="G3" s="229"/>
      <c r="H3" s="229"/>
      <c r="I3" s="17" t="s">
        <v>20</v>
      </c>
      <c r="J3" s="17" t="s">
        <v>30</v>
      </c>
      <c r="K3" s="229"/>
      <c r="L3" s="229"/>
      <c r="M3" s="228"/>
      <c r="N3" s="229"/>
      <c r="O3" s="229"/>
      <c r="P3" s="15" t="s">
        <v>21</v>
      </c>
      <c r="Q3" s="18" t="s">
        <v>22</v>
      </c>
      <c r="R3" s="18" t="s">
        <v>23</v>
      </c>
      <c r="S3" s="18" t="s">
        <v>24</v>
      </c>
      <c r="T3" s="19" t="s">
        <v>25</v>
      </c>
      <c r="U3" s="20" t="s">
        <v>22</v>
      </c>
      <c r="V3" s="20" t="s">
        <v>26</v>
      </c>
      <c r="W3" s="20" t="s">
        <v>22</v>
      </c>
      <c r="X3" s="20" t="s">
        <v>26</v>
      </c>
      <c r="Y3" s="20" t="s">
        <v>22</v>
      </c>
      <c r="Z3" s="20" t="s">
        <v>26</v>
      </c>
      <c r="AA3" s="20" t="s">
        <v>22</v>
      </c>
      <c r="AB3" s="20" t="s">
        <v>26</v>
      </c>
      <c r="AC3" s="21" t="s">
        <v>19</v>
      </c>
      <c r="AD3" s="20" t="s">
        <v>27</v>
      </c>
      <c r="AE3" s="22" t="s">
        <v>25</v>
      </c>
      <c r="AF3" s="16" t="s">
        <v>28</v>
      </c>
    </row>
    <row r="4" spans="1:32">
      <c r="A4" s="32">
        <f t="shared" ref="A4:A32" si="0">ROW()-3</f>
        <v>1</v>
      </c>
      <c r="B4" s="23" t="s">
        <v>204</v>
      </c>
      <c r="C4" s="3" t="s">
        <v>43</v>
      </c>
      <c r="D4" s="3" t="s">
        <v>29</v>
      </c>
      <c r="E4" s="3" t="s">
        <v>215</v>
      </c>
      <c r="F4" s="24" t="s">
        <v>49</v>
      </c>
      <c r="G4" s="24" t="s">
        <v>50</v>
      </c>
      <c r="H4" s="23" t="s">
        <v>51</v>
      </c>
      <c r="I4" s="24" t="s">
        <v>121</v>
      </c>
      <c r="J4" s="3" t="s">
        <v>150</v>
      </c>
      <c r="K4" s="27" t="s">
        <v>210</v>
      </c>
      <c r="L4" s="3">
        <v>34.771000000000001</v>
      </c>
      <c r="M4" s="33">
        <v>35</v>
      </c>
      <c r="N4" s="8" t="s">
        <v>244</v>
      </c>
      <c r="O4" s="25" t="s">
        <v>245</v>
      </c>
      <c r="P4" s="4" t="s">
        <v>212</v>
      </c>
      <c r="Q4" s="4">
        <v>45698</v>
      </c>
      <c r="R4" s="4">
        <v>45700</v>
      </c>
      <c r="S4" s="4">
        <v>45716</v>
      </c>
      <c r="T4" s="34">
        <f>S4-Q4</f>
        <v>18</v>
      </c>
      <c r="U4" s="4">
        <v>45721</v>
      </c>
      <c r="V4" s="4">
        <v>45729</v>
      </c>
      <c r="W4" s="4">
        <v>45729</v>
      </c>
      <c r="X4" s="4">
        <v>45741</v>
      </c>
      <c r="Y4" s="4">
        <v>45749</v>
      </c>
      <c r="Z4" s="4">
        <v>45758</v>
      </c>
      <c r="AA4" s="4">
        <v>45758</v>
      </c>
      <c r="AB4" s="4">
        <v>45764</v>
      </c>
      <c r="AC4" s="4">
        <v>45767</v>
      </c>
      <c r="AD4" s="4">
        <v>45769</v>
      </c>
      <c r="AE4" s="35"/>
      <c r="AF4" s="36"/>
    </row>
    <row r="5" spans="1:32">
      <c r="A5" s="32">
        <f t="shared" si="0"/>
        <v>2</v>
      </c>
      <c r="B5" s="23" t="s">
        <v>204</v>
      </c>
      <c r="C5" s="3" t="s">
        <v>43</v>
      </c>
      <c r="D5" s="3" t="s">
        <v>29</v>
      </c>
      <c r="E5" s="3" t="s">
        <v>214</v>
      </c>
      <c r="F5" s="24" t="s">
        <v>87</v>
      </c>
      <c r="G5" s="24" t="s">
        <v>88</v>
      </c>
      <c r="H5" s="23" t="s">
        <v>89</v>
      </c>
      <c r="I5" s="24" t="s">
        <v>137</v>
      </c>
      <c r="J5" s="3" t="s">
        <v>166</v>
      </c>
      <c r="K5" s="24" t="s">
        <v>193</v>
      </c>
      <c r="L5" s="3">
        <v>35.546999999999997</v>
      </c>
      <c r="M5" s="33">
        <v>35</v>
      </c>
      <c r="N5" s="8" t="s">
        <v>244</v>
      </c>
      <c r="O5" s="25" t="s">
        <v>245</v>
      </c>
      <c r="P5" s="4" t="s">
        <v>212</v>
      </c>
      <c r="Q5" s="4">
        <v>45700</v>
      </c>
      <c r="R5" s="4">
        <v>45701</v>
      </c>
      <c r="S5" s="4">
        <v>45723</v>
      </c>
      <c r="T5" s="34">
        <f>S5-Q5</f>
        <v>23</v>
      </c>
      <c r="U5" s="4">
        <v>45724</v>
      </c>
      <c r="V5" s="4">
        <v>45729</v>
      </c>
      <c r="W5" s="4">
        <v>45729</v>
      </c>
      <c r="X5" s="4">
        <v>45741</v>
      </c>
      <c r="Y5" s="4">
        <v>45744</v>
      </c>
      <c r="Z5" s="4">
        <v>45749</v>
      </c>
      <c r="AA5" s="4">
        <v>45749</v>
      </c>
      <c r="AB5" s="4">
        <v>45750</v>
      </c>
      <c r="AC5" s="4">
        <v>45756</v>
      </c>
      <c r="AD5" s="4">
        <v>45757</v>
      </c>
      <c r="AE5" s="35"/>
      <c r="AF5" s="36"/>
    </row>
    <row r="6" spans="1:32">
      <c r="A6" s="32">
        <f t="shared" si="0"/>
        <v>3</v>
      </c>
      <c r="B6" s="23" t="s">
        <v>204</v>
      </c>
      <c r="C6" s="3" t="s">
        <v>43</v>
      </c>
      <c r="D6" s="3" t="s">
        <v>29</v>
      </c>
      <c r="E6" s="3" t="s">
        <v>231</v>
      </c>
      <c r="F6" s="23" t="s">
        <v>93</v>
      </c>
      <c r="G6" s="24" t="s">
        <v>94</v>
      </c>
      <c r="H6" s="23"/>
      <c r="I6" s="24" t="s">
        <v>139</v>
      </c>
      <c r="J6" s="3" t="s">
        <v>168</v>
      </c>
      <c r="K6" s="24" t="s">
        <v>195</v>
      </c>
      <c r="L6" s="3">
        <v>29.849</v>
      </c>
      <c r="M6" s="33">
        <v>30</v>
      </c>
      <c r="N6" s="8" t="s">
        <v>244</v>
      </c>
      <c r="O6" s="25" t="s">
        <v>245</v>
      </c>
      <c r="P6" s="4" t="s">
        <v>212</v>
      </c>
      <c r="Q6" s="4">
        <v>45687</v>
      </c>
      <c r="R6" s="4">
        <v>45687</v>
      </c>
      <c r="S6" s="4">
        <v>45710</v>
      </c>
      <c r="T6" s="34">
        <f t="shared" ref="T6:T11" si="1">S6-Q6</f>
        <v>23</v>
      </c>
      <c r="U6" s="4">
        <v>45715</v>
      </c>
      <c r="V6" s="50">
        <v>45719</v>
      </c>
      <c r="W6" s="4">
        <v>45719</v>
      </c>
      <c r="X6" s="4">
        <v>45725</v>
      </c>
      <c r="Y6" s="4">
        <v>45729</v>
      </c>
      <c r="Z6" s="4">
        <v>45731</v>
      </c>
      <c r="AA6" s="4">
        <v>45731</v>
      </c>
      <c r="AB6" s="4">
        <v>45733</v>
      </c>
      <c r="AC6" s="4">
        <v>45737</v>
      </c>
      <c r="AD6" s="4">
        <v>45737</v>
      </c>
      <c r="AE6" s="26"/>
      <c r="AF6" s="16"/>
    </row>
    <row r="7" spans="1:32">
      <c r="A7" s="32">
        <f t="shared" si="0"/>
        <v>4</v>
      </c>
      <c r="B7" s="23" t="s">
        <v>204</v>
      </c>
      <c r="C7" s="3" t="s">
        <v>43</v>
      </c>
      <c r="D7" s="3" t="s">
        <v>29</v>
      </c>
      <c r="E7" s="3" t="s">
        <v>220</v>
      </c>
      <c r="F7" s="23" t="s">
        <v>95</v>
      </c>
      <c r="G7" s="24" t="s">
        <v>96</v>
      </c>
      <c r="H7" s="23" t="s">
        <v>97</v>
      </c>
      <c r="I7" s="24" t="s">
        <v>140</v>
      </c>
      <c r="J7" s="3" t="s">
        <v>169</v>
      </c>
      <c r="K7" s="24" t="s">
        <v>196</v>
      </c>
      <c r="L7" s="3">
        <v>35.439</v>
      </c>
      <c r="M7" s="33">
        <v>35</v>
      </c>
      <c r="N7" s="8" t="s">
        <v>244</v>
      </c>
      <c r="O7" s="25" t="s">
        <v>245</v>
      </c>
      <c r="P7" s="4" t="s">
        <v>212</v>
      </c>
      <c r="Q7" s="4">
        <v>45693</v>
      </c>
      <c r="R7" s="4">
        <v>45694</v>
      </c>
      <c r="S7" s="4">
        <v>45714</v>
      </c>
      <c r="T7" s="34">
        <f>S7-Q7</f>
        <v>21</v>
      </c>
      <c r="U7" s="4">
        <v>45717</v>
      </c>
      <c r="V7" s="4">
        <v>45721</v>
      </c>
      <c r="W7" s="4">
        <v>45721</v>
      </c>
      <c r="X7" s="4">
        <v>45728</v>
      </c>
      <c r="Y7" s="4">
        <v>45731</v>
      </c>
      <c r="Z7" s="4">
        <v>45732</v>
      </c>
      <c r="AA7" s="4">
        <v>45732</v>
      </c>
      <c r="AB7" s="4">
        <v>45734</v>
      </c>
      <c r="AC7" s="4">
        <v>45737</v>
      </c>
      <c r="AD7" s="4">
        <v>45737</v>
      </c>
      <c r="AE7" s="35"/>
      <c r="AF7" s="36"/>
    </row>
    <row r="8" spans="1:32">
      <c r="A8" s="32">
        <f t="shared" si="0"/>
        <v>5</v>
      </c>
      <c r="B8" s="23" t="s">
        <v>204</v>
      </c>
      <c r="C8" s="3" t="s">
        <v>43</v>
      </c>
      <c r="D8" s="3" t="s">
        <v>29</v>
      </c>
      <c r="E8" s="3" t="s">
        <v>239</v>
      </c>
      <c r="F8" s="23" t="s">
        <v>69</v>
      </c>
      <c r="G8" s="24" t="s">
        <v>70</v>
      </c>
      <c r="H8" s="23" t="s">
        <v>71</v>
      </c>
      <c r="I8" s="24" t="s">
        <v>130</v>
      </c>
      <c r="J8" s="3" t="s">
        <v>159</v>
      </c>
      <c r="K8" s="24" t="s">
        <v>186</v>
      </c>
      <c r="L8" s="3">
        <v>34.94</v>
      </c>
      <c r="M8" s="33">
        <v>35</v>
      </c>
      <c r="N8" s="8" t="s">
        <v>244</v>
      </c>
      <c r="O8" s="25" t="s">
        <v>245</v>
      </c>
      <c r="P8" s="4" t="s">
        <v>212</v>
      </c>
      <c r="Q8" s="4">
        <v>45686</v>
      </c>
      <c r="R8" s="4">
        <v>45687</v>
      </c>
      <c r="S8" s="4">
        <v>45710</v>
      </c>
      <c r="T8" s="34">
        <f>S8-Q8</f>
        <v>24</v>
      </c>
      <c r="U8" s="4">
        <v>45715</v>
      </c>
      <c r="V8" s="4">
        <v>45717</v>
      </c>
      <c r="W8" s="4">
        <v>45717</v>
      </c>
      <c r="X8" s="4">
        <v>45728</v>
      </c>
      <c r="Y8" s="4">
        <v>45731</v>
      </c>
      <c r="Z8" s="4">
        <v>45732</v>
      </c>
      <c r="AA8" s="4">
        <v>45732</v>
      </c>
      <c r="AB8" s="4">
        <v>45734</v>
      </c>
      <c r="AC8" s="4">
        <v>45737</v>
      </c>
      <c r="AD8" s="4">
        <v>45737</v>
      </c>
      <c r="AE8" s="26"/>
      <c r="AF8" s="16"/>
    </row>
    <row r="9" spans="1:32">
      <c r="A9" s="32">
        <f t="shared" si="0"/>
        <v>6</v>
      </c>
      <c r="B9" s="23" t="s">
        <v>204</v>
      </c>
      <c r="C9" s="3" t="s">
        <v>43</v>
      </c>
      <c r="D9" s="3" t="s">
        <v>29</v>
      </c>
      <c r="E9" s="3" t="s">
        <v>221</v>
      </c>
      <c r="F9" s="23" t="s">
        <v>59</v>
      </c>
      <c r="G9" s="24" t="s">
        <v>60</v>
      </c>
      <c r="H9" s="23"/>
      <c r="I9" s="24" t="s">
        <v>125</v>
      </c>
      <c r="J9" s="3" t="s">
        <v>154</v>
      </c>
      <c r="K9" s="24" t="s">
        <v>182</v>
      </c>
      <c r="L9" s="3">
        <v>37.54</v>
      </c>
      <c r="M9" s="33">
        <v>37</v>
      </c>
      <c r="N9" s="8" t="s">
        <v>244</v>
      </c>
      <c r="O9" s="25" t="s">
        <v>245</v>
      </c>
      <c r="P9" s="4" t="s">
        <v>212</v>
      </c>
      <c r="Q9" s="4">
        <v>45693</v>
      </c>
      <c r="R9" s="4">
        <v>45664</v>
      </c>
      <c r="S9" s="4">
        <v>45710</v>
      </c>
      <c r="T9" s="34">
        <f t="shared" si="1"/>
        <v>17</v>
      </c>
      <c r="U9" s="4">
        <v>45715</v>
      </c>
      <c r="V9" s="50">
        <v>45719</v>
      </c>
      <c r="W9" s="4">
        <v>45719</v>
      </c>
      <c r="X9" s="4">
        <v>45725</v>
      </c>
      <c r="Y9" s="4">
        <v>45729</v>
      </c>
      <c r="Z9" s="4">
        <v>45731</v>
      </c>
      <c r="AA9" s="4">
        <v>45731</v>
      </c>
      <c r="AB9" s="4">
        <v>45733</v>
      </c>
      <c r="AC9" s="4">
        <v>45735</v>
      </c>
      <c r="AD9" s="4">
        <v>45737</v>
      </c>
      <c r="AE9" s="35"/>
      <c r="AF9" s="36"/>
    </row>
    <row r="10" spans="1:32">
      <c r="A10" s="32">
        <f t="shared" si="0"/>
        <v>7</v>
      </c>
      <c r="B10" s="23" t="s">
        <v>204</v>
      </c>
      <c r="C10" s="3" t="s">
        <v>43</v>
      </c>
      <c r="D10" s="3" t="s">
        <v>29</v>
      </c>
      <c r="E10" s="3" t="s">
        <v>238</v>
      </c>
      <c r="F10" s="23" t="s">
        <v>63</v>
      </c>
      <c r="G10" s="24" t="s">
        <v>64</v>
      </c>
      <c r="H10" s="23"/>
      <c r="I10" s="24" t="s">
        <v>127</v>
      </c>
      <c r="J10" s="3" t="s">
        <v>156</v>
      </c>
      <c r="K10" s="24" t="s">
        <v>184</v>
      </c>
      <c r="L10" s="3">
        <v>29.616</v>
      </c>
      <c r="M10" s="33">
        <v>30</v>
      </c>
      <c r="N10" s="8" t="s">
        <v>244</v>
      </c>
      <c r="O10" s="25" t="s">
        <v>245</v>
      </c>
      <c r="P10" s="4" t="s">
        <v>212</v>
      </c>
      <c r="Q10" s="4">
        <v>45686</v>
      </c>
      <c r="R10" s="4">
        <v>45687</v>
      </c>
      <c r="S10" s="4">
        <v>45710</v>
      </c>
      <c r="T10" s="34">
        <f t="shared" si="1"/>
        <v>24</v>
      </c>
      <c r="U10" s="4">
        <v>45715</v>
      </c>
      <c r="V10" s="50">
        <v>45719</v>
      </c>
      <c r="W10" s="4">
        <v>45719</v>
      </c>
      <c r="X10" s="4">
        <v>45725</v>
      </c>
      <c r="Y10" s="4">
        <v>45729</v>
      </c>
      <c r="Z10" s="4">
        <v>45731</v>
      </c>
      <c r="AA10" s="4">
        <v>45731</v>
      </c>
      <c r="AB10" s="4">
        <v>45733</v>
      </c>
      <c r="AC10" s="4">
        <v>45736</v>
      </c>
      <c r="AD10" s="4">
        <v>45738</v>
      </c>
      <c r="AE10" s="26"/>
      <c r="AF10" s="16"/>
    </row>
    <row r="11" spans="1:32" s="49" customFormat="1" ht="12.6" customHeight="1">
      <c r="A11" s="32">
        <f t="shared" si="0"/>
        <v>8</v>
      </c>
      <c r="B11" s="23" t="s">
        <v>204</v>
      </c>
      <c r="C11" s="3" t="s">
        <v>43</v>
      </c>
      <c r="D11" s="3" t="s">
        <v>29</v>
      </c>
      <c r="E11" s="3" t="s">
        <v>235</v>
      </c>
      <c r="F11" s="23" t="s">
        <v>90</v>
      </c>
      <c r="G11" s="24" t="s">
        <v>91</v>
      </c>
      <c r="H11" s="23" t="s">
        <v>92</v>
      </c>
      <c r="I11" s="24" t="s">
        <v>138</v>
      </c>
      <c r="J11" s="3" t="s">
        <v>167</v>
      </c>
      <c r="K11" s="24" t="s">
        <v>194</v>
      </c>
      <c r="L11" s="3">
        <v>35.545999999999999</v>
      </c>
      <c r="M11" s="33">
        <v>36</v>
      </c>
      <c r="N11" s="8" t="s">
        <v>244</v>
      </c>
      <c r="O11" s="25" t="s">
        <v>245</v>
      </c>
      <c r="P11" s="4" t="s">
        <v>212</v>
      </c>
      <c r="Q11" s="4">
        <v>45687</v>
      </c>
      <c r="R11" s="4">
        <v>45687</v>
      </c>
      <c r="S11" s="4">
        <v>45710</v>
      </c>
      <c r="T11" s="34">
        <f t="shared" si="1"/>
        <v>23</v>
      </c>
      <c r="U11" s="4">
        <v>45715</v>
      </c>
      <c r="V11" s="50">
        <v>45719</v>
      </c>
      <c r="W11" s="4">
        <v>45719</v>
      </c>
      <c r="X11" s="4">
        <v>45725</v>
      </c>
      <c r="Y11" s="4">
        <v>45729</v>
      </c>
      <c r="Z11" s="4">
        <v>45731</v>
      </c>
      <c r="AA11" s="4">
        <v>45731</v>
      </c>
      <c r="AB11" s="4">
        <v>45732</v>
      </c>
      <c r="AC11" s="4">
        <v>45735</v>
      </c>
      <c r="AD11" s="4">
        <v>45737</v>
      </c>
      <c r="AE11" s="26"/>
      <c r="AF11" s="16"/>
    </row>
    <row r="12" spans="1:32">
      <c r="A12" s="32">
        <f t="shared" si="0"/>
        <v>9</v>
      </c>
      <c r="B12" s="23" t="s">
        <v>204</v>
      </c>
      <c r="C12" s="3" t="s">
        <v>43</v>
      </c>
      <c r="D12" s="3" t="s">
        <v>29</v>
      </c>
      <c r="E12" s="3" t="s">
        <v>219</v>
      </c>
      <c r="F12" s="24" t="s">
        <v>84</v>
      </c>
      <c r="G12" s="24" t="s">
        <v>85</v>
      </c>
      <c r="H12" s="23" t="s">
        <v>86</v>
      </c>
      <c r="I12" s="24" t="s">
        <v>136</v>
      </c>
      <c r="J12" s="3" t="s">
        <v>165</v>
      </c>
      <c r="K12" s="24" t="s">
        <v>192</v>
      </c>
      <c r="L12" s="3">
        <v>34.706000000000003</v>
      </c>
      <c r="M12" s="33">
        <v>35</v>
      </c>
      <c r="N12" s="8" t="s">
        <v>244</v>
      </c>
      <c r="O12" s="25" t="s">
        <v>245</v>
      </c>
      <c r="P12" s="4" t="s">
        <v>212</v>
      </c>
      <c r="Q12" s="4">
        <v>45697</v>
      </c>
      <c r="R12" s="4">
        <v>45698</v>
      </c>
      <c r="S12" s="4">
        <v>45711</v>
      </c>
      <c r="T12" s="34">
        <f t="shared" ref="T12:T25" si="2">S12-Q12</f>
        <v>14</v>
      </c>
      <c r="U12" s="4">
        <v>45715</v>
      </c>
      <c r="V12" s="4">
        <v>45718</v>
      </c>
      <c r="W12" s="4">
        <v>45718</v>
      </c>
      <c r="X12" s="4">
        <v>45725</v>
      </c>
      <c r="Y12" s="4">
        <v>45728</v>
      </c>
      <c r="Z12" s="4">
        <v>45729</v>
      </c>
      <c r="AA12" s="4">
        <v>45729</v>
      </c>
      <c r="AB12" s="4">
        <v>45731</v>
      </c>
      <c r="AC12" s="4">
        <v>45735</v>
      </c>
      <c r="AD12" s="4">
        <v>45736</v>
      </c>
      <c r="AE12" s="35"/>
      <c r="AF12" s="36"/>
    </row>
    <row r="13" spans="1:32">
      <c r="A13" s="32">
        <f t="shared" si="0"/>
        <v>10</v>
      </c>
      <c r="B13" s="23" t="s">
        <v>204</v>
      </c>
      <c r="C13" s="3" t="s">
        <v>43</v>
      </c>
      <c r="D13" s="3" t="s">
        <v>29</v>
      </c>
      <c r="E13" s="3" t="s">
        <v>222</v>
      </c>
      <c r="F13" s="23" t="s">
        <v>61</v>
      </c>
      <c r="G13" s="24" t="s">
        <v>62</v>
      </c>
      <c r="H13" s="23"/>
      <c r="I13" s="24" t="s">
        <v>126</v>
      </c>
      <c r="J13" s="3" t="s">
        <v>155</v>
      </c>
      <c r="K13" s="24" t="s">
        <v>183</v>
      </c>
      <c r="L13" s="3">
        <v>29.954000000000001</v>
      </c>
      <c r="M13" s="33">
        <v>30</v>
      </c>
      <c r="N13" s="8" t="s">
        <v>244</v>
      </c>
      <c r="O13" s="25" t="s">
        <v>245</v>
      </c>
      <c r="P13" s="4" t="s">
        <v>212</v>
      </c>
      <c r="Q13" s="4">
        <v>45693</v>
      </c>
      <c r="R13" s="4">
        <v>45698</v>
      </c>
      <c r="S13" s="4">
        <v>45710</v>
      </c>
      <c r="T13" s="34">
        <f t="shared" si="2"/>
        <v>17</v>
      </c>
      <c r="U13" s="4">
        <v>45715</v>
      </c>
      <c r="V13" s="50">
        <v>45719</v>
      </c>
      <c r="W13" s="4">
        <v>45719</v>
      </c>
      <c r="X13" s="4">
        <v>45724</v>
      </c>
      <c r="Y13" s="4">
        <v>45728</v>
      </c>
      <c r="Z13" s="4">
        <v>45729</v>
      </c>
      <c r="AA13" s="4">
        <v>45729</v>
      </c>
      <c r="AB13" s="4">
        <v>45731</v>
      </c>
      <c r="AC13" s="4">
        <v>45734</v>
      </c>
      <c r="AD13" s="4">
        <v>45706</v>
      </c>
      <c r="AE13" s="35"/>
      <c r="AF13" s="36"/>
    </row>
    <row r="14" spans="1:32">
      <c r="A14" s="32">
        <f t="shared" si="0"/>
        <v>11</v>
      </c>
      <c r="B14" s="23" t="s">
        <v>204</v>
      </c>
      <c r="C14" s="3" t="s">
        <v>43</v>
      </c>
      <c r="D14" s="3" t="s">
        <v>29</v>
      </c>
      <c r="E14" s="3" t="s">
        <v>232</v>
      </c>
      <c r="F14" s="23" t="s">
        <v>101</v>
      </c>
      <c r="G14" s="24" t="s">
        <v>102</v>
      </c>
      <c r="H14" s="23" t="s">
        <v>103</v>
      </c>
      <c r="I14" s="24" t="s">
        <v>142</v>
      </c>
      <c r="J14" s="3" t="s">
        <v>171</v>
      </c>
      <c r="K14" s="24" t="s">
        <v>198</v>
      </c>
      <c r="L14" s="3">
        <v>35.124000000000002</v>
      </c>
      <c r="M14" s="33">
        <v>35</v>
      </c>
      <c r="N14" s="8" t="s">
        <v>244</v>
      </c>
      <c r="O14" s="25" t="s">
        <v>245</v>
      </c>
      <c r="P14" s="4" t="s">
        <v>212</v>
      </c>
      <c r="Q14" s="4">
        <v>45687</v>
      </c>
      <c r="R14" s="4">
        <v>45687</v>
      </c>
      <c r="S14" s="4">
        <v>45710</v>
      </c>
      <c r="T14" s="34">
        <f t="shared" si="2"/>
        <v>23</v>
      </c>
      <c r="U14" s="4">
        <v>45715</v>
      </c>
      <c r="V14" s="4">
        <v>45717</v>
      </c>
      <c r="W14" s="4">
        <v>45717</v>
      </c>
      <c r="X14" s="4">
        <v>45723</v>
      </c>
      <c r="Y14" s="4">
        <v>45724</v>
      </c>
      <c r="Z14" s="4">
        <v>45726</v>
      </c>
      <c r="AA14" s="4">
        <v>45726</v>
      </c>
      <c r="AB14" s="4">
        <v>45728</v>
      </c>
      <c r="AC14" s="4">
        <v>45729</v>
      </c>
      <c r="AD14" s="4">
        <v>45731</v>
      </c>
      <c r="AE14" s="26"/>
      <c r="AF14" s="16"/>
    </row>
    <row r="15" spans="1:32">
      <c r="A15" s="32">
        <f t="shared" si="0"/>
        <v>12</v>
      </c>
      <c r="B15" s="23" t="s">
        <v>204</v>
      </c>
      <c r="C15" s="3" t="s">
        <v>43</v>
      </c>
      <c r="D15" s="3" t="s">
        <v>29</v>
      </c>
      <c r="E15" s="3" t="s">
        <v>236</v>
      </c>
      <c r="F15" s="23" t="s">
        <v>52</v>
      </c>
      <c r="G15" s="24" t="s">
        <v>53</v>
      </c>
      <c r="H15" s="23"/>
      <c r="I15" s="24" t="s">
        <v>122</v>
      </c>
      <c r="J15" s="3" t="s">
        <v>151</v>
      </c>
      <c r="K15" s="24" t="s">
        <v>179</v>
      </c>
      <c r="L15" s="3">
        <v>37.423999999999999</v>
      </c>
      <c r="M15" s="33">
        <v>37</v>
      </c>
      <c r="N15" s="8" t="s">
        <v>244</v>
      </c>
      <c r="O15" s="25" t="s">
        <v>245</v>
      </c>
      <c r="P15" s="4" t="s">
        <v>212</v>
      </c>
      <c r="Q15" s="4">
        <v>45686</v>
      </c>
      <c r="R15" s="4">
        <v>45687</v>
      </c>
      <c r="S15" s="4">
        <v>45710</v>
      </c>
      <c r="T15" s="34">
        <f t="shared" si="2"/>
        <v>24</v>
      </c>
      <c r="U15" s="4">
        <v>45715</v>
      </c>
      <c r="V15" s="4">
        <v>45717</v>
      </c>
      <c r="W15" s="4">
        <v>45717</v>
      </c>
      <c r="X15" s="4">
        <v>45723</v>
      </c>
      <c r="Y15" s="4">
        <v>45725</v>
      </c>
      <c r="Z15" s="4">
        <v>45725</v>
      </c>
      <c r="AA15" s="4">
        <v>45725</v>
      </c>
      <c r="AB15" s="4">
        <v>45726</v>
      </c>
      <c r="AC15" s="4">
        <v>45728</v>
      </c>
      <c r="AD15" s="4">
        <v>45730</v>
      </c>
      <c r="AE15" s="26"/>
      <c r="AF15" s="16"/>
    </row>
    <row r="16" spans="1:32">
      <c r="A16" s="32">
        <f t="shared" si="0"/>
        <v>13</v>
      </c>
      <c r="B16" s="23" t="s">
        <v>204</v>
      </c>
      <c r="C16" s="3" t="s">
        <v>43</v>
      </c>
      <c r="D16" s="3" t="s">
        <v>29</v>
      </c>
      <c r="E16" s="3" t="s">
        <v>223</v>
      </c>
      <c r="F16" s="23" t="s">
        <v>74</v>
      </c>
      <c r="G16" s="24" t="s">
        <v>75</v>
      </c>
      <c r="H16" s="23" t="s">
        <v>76</v>
      </c>
      <c r="I16" s="24" t="s">
        <v>132</v>
      </c>
      <c r="J16" s="3" t="s">
        <v>161</v>
      </c>
      <c r="K16" s="24" t="s">
        <v>188</v>
      </c>
      <c r="L16" s="3">
        <v>36.338000000000001</v>
      </c>
      <c r="M16" s="33">
        <v>36</v>
      </c>
      <c r="N16" s="8" t="s">
        <v>244</v>
      </c>
      <c r="O16" s="25" t="s">
        <v>245</v>
      </c>
      <c r="P16" s="4" t="s">
        <v>212</v>
      </c>
      <c r="Q16" s="4">
        <v>45692</v>
      </c>
      <c r="R16" s="4">
        <v>45692</v>
      </c>
      <c r="S16" s="4">
        <v>45710</v>
      </c>
      <c r="T16" s="34">
        <f t="shared" si="2"/>
        <v>18</v>
      </c>
      <c r="U16" s="4">
        <v>45714</v>
      </c>
      <c r="V16" s="4">
        <v>45715</v>
      </c>
      <c r="W16" s="4">
        <v>45715</v>
      </c>
      <c r="X16" s="4">
        <v>45721</v>
      </c>
      <c r="Y16" s="4">
        <v>45723</v>
      </c>
      <c r="Z16" s="4">
        <v>45724</v>
      </c>
      <c r="AA16" s="4">
        <v>45724</v>
      </c>
      <c r="AB16" s="4">
        <v>45727</v>
      </c>
      <c r="AC16" s="4">
        <v>45728</v>
      </c>
      <c r="AD16" s="4">
        <v>45729</v>
      </c>
      <c r="AE16" s="26"/>
      <c r="AF16" s="16"/>
    </row>
    <row r="17" spans="1:32">
      <c r="A17" s="32">
        <f t="shared" si="0"/>
        <v>14</v>
      </c>
      <c r="B17" s="23" t="s">
        <v>204</v>
      </c>
      <c r="C17" s="3" t="s">
        <v>43</v>
      </c>
      <c r="D17" s="3" t="s">
        <v>29</v>
      </c>
      <c r="E17" s="3" t="s">
        <v>229</v>
      </c>
      <c r="F17" s="24" t="s">
        <v>67</v>
      </c>
      <c r="G17" s="24" t="s">
        <v>68</v>
      </c>
      <c r="H17" s="23"/>
      <c r="I17" s="24" t="s">
        <v>129</v>
      </c>
      <c r="J17" s="3" t="s">
        <v>158</v>
      </c>
      <c r="K17" s="24" t="s">
        <v>185</v>
      </c>
      <c r="L17" s="3">
        <v>36.887</v>
      </c>
      <c r="M17" s="33">
        <v>37</v>
      </c>
      <c r="N17" s="8" t="s">
        <v>244</v>
      </c>
      <c r="O17" s="25" t="s">
        <v>245</v>
      </c>
      <c r="P17" s="4" t="s">
        <v>212</v>
      </c>
      <c r="Q17" s="4">
        <v>45691</v>
      </c>
      <c r="R17" s="4">
        <v>45692</v>
      </c>
      <c r="S17" s="4">
        <v>45706</v>
      </c>
      <c r="T17" s="34">
        <f t="shared" si="2"/>
        <v>15</v>
      </c>
      <c r="U17" s="4">
        <v>45711</v>
      </c>
      <c r="V17" s="4">
        <v>45714</v>
      </c>
      <c r="W17" s="4">
        <v>45714</v>
      </c>
      <c r="X17" s="4">
        <v>45718</v>
      </c>
      <c r="Y17" s="4">
        <v>45721</v>
      </c>
      <c r="Z17" s="4">
        <v>45721</v>
      </c>
      <c r="AA17" s="4">
        <v>45721</v>
      </c>
      <c r="AB17" s="4">
        <v>45723</v>
      </c>
      <c r="AC17" s="4">
        <v>45726</v>
      </c>
      <c r="AD17" s="4">
        <v>45729</v>
      </c>
      <c r="AE17" s="26"/>
      <c r="AF17" s="16"/>
    </row>
    <row r="18" spans="1:32">
      <c r="A18" s="32">
        <f t="shared" si="0"/>
        <v>15</v>
      </c>
      <c r="B18" s="23" t="s">
        <v>204</v>
      </c>
      <c r="C18" s="3" t="s">
        <v>43</v>
      </c>
      <c r="D18" s="3" t="s">
        <v>29</v>
      </c>
      <c r="E18" s="3" t="s">
        <v>226</v>
      </c>
      <c r="F18" s="24" t="s">
        <v>47</v>
      </c>
      <c r="G18" s="24" t="s">
        <v>48</v>
      </c>
      <c r="H18" s="23"/>
      <c r="I18" s="24" t="s">
        <v>120</v>
      </c>
      <c r="J18" s="3" t="s">
        <v>149</v>
      </c>
      <c r="K18" s="24" t="s">
        <v>178</v>
      </c>
      <c r="L18" s="3">
        <v>37.338999999999999</v>
      </c>
      <c r="M18" s="33">
        <v>37</v>
      </c>
      <c r="N18" s="8" t="s">
        <v>244</v>
      </c>
      <c r="O18" s="25" t="s">
        <v>245</v>
      </c>
      <c r="P18" s="4" t="s">
        <v>212</v>
      </c>
      <c r="Q18" s="4">
        <v>45691</v>
      </c>
      <c r="R18" s="4">
        <v>45692</v>
      </c>
      <c r="S18" s="4">
        <v>45705</v>
      </c>
      <c r="T18" s="34">
        <f t="shared" si="2"/>
        <v>14</v>
      </c>
      <c r="U18" s="4">
        <v>45706</v>
      </c>
      <c r="V18" s="4">
        <v>45708</v>
      </c>
      <c r="W18" s="4">
        <v>45708</v>
      </c>
      <c r="X18" s="4">
        <v>45714</v>
      </c>
      <c r="Y18" s="4">
        <v>45717</v>
      </c>
      <c r="Z18" s="4">
        <v>45719</v>
      </c>
      <c r="AA18" s="4">
        <v>45719</v>
      </c>
      <c r="AB18" s="4">
        <v>45722</v>
      </c>
      <c r="AC18" s="4">
        <v>45725</v>
      </c>
      <c r="AD18" s="4">
        <v>45727</v>
      </c>
      <c r="AE18" s="26"/>
      <c r="AF18" s="16"/>
    </row>
    <row r="19" spans="1:32">
      <c r="A19" s="32">
        <f t="shared" si="0"/>
        <v>16</v>
      </c>
      <c r="B19" s="23" t="s">
        <v>204</v>
      </c>
      <c r="C19" s="3" t="s">
        <v>43</v>
      </c>
      <c r="D19" s="3" t="s">
        <v>29</v>
      </c>
      <c r="E19" s="3" t="s">
        <v>224</v>
      </c>
      <c r="F19" s="23" t="s">
        <v>77</v>
      </c>
      <c r="G19" s="24" t="s">
        <v>78</v>
      </c>
      <c r="H19" s="23"/>
      <c r="I19" s="24" t="s">
        <v>133</v>
      </c>
      <c r="J19" s="3" t="s">
        <v>162</v>
      </c>
      <c r="K19" s="24" t="s">
        <v>189</v>
      </c>
      <c r="L19" s="3">
        <v>37.491</v>
      </c>
      <c r="M19" s="33">
        <v>37</v>
      </c>
      <c r="N19" s="8" t="s">
        <v>244</v>
      </c>
      <c r="O19" s="25" t="s">
        <v>245</v>
      </c>
      <c r="P19" s="4" t="s">
        <v>212</v>
      </c>
      <c r="Q19" s="4">
        <v>45692</v>
      </c>
      <c r="R19" s="4">
        <v>45692</v>
      </c>
      <c r="S19" s="4">
        <v>45710</v>
      </c>
      <c r="T19" s="34">
        <f t="shared" si="2"/>
        <v>18</v>
      </c>
      <c r="U19" s="4">
        <v>45713</v>
      </c>
      <c r="V19" s="4">
        <v>45715</v>
      </c>
      <c r="W19" s="4">
        <v>45715</v>
      </c>
      <c r="X19" s="4">
        <v>45718</v>
      </c>
      <c r="Y19" s="4">
        <v>45720</v>
      </c>
      <c r="Z19" s="4">
        <v>45721</v>
      </c>
      <c r="AA19" s="4">
        <v>45721</v>
      </c>
      <c r="AB19" s="4">
        <v>45723</v>
      </c>
      <c r="AC19" s="4">
        <v>45726</v>
      </c>
      <c r="AD19" s="4">
        <v>45726</v>
      </c>
      <c r="AE19" s="26"/>
      <c r="AF19" s="16"/>
    </row>
    <row r="20" spans="1:32">
      <c r="A20" s="32">
        <f t="shared" si="0"/>
        <v>17</v>
      </c>
      <c r="B20" s="23" t="s">
        <v>204</v>
      </c>
      <c r="C20" s="3" t="s">
        <v>43</v>
      </c>
      <c r="D20" s="3" t="s">
        <v>29</v>
      </c>
      <c r="E20" s="3" t="s">
        <v>225</v>
      </c>
      <c r="F20" s="24" t="s">
        <v>44</v>
      </c>
      <c r="G20" s="24" t="s">
        <v>45</v>
      </c>
      <c r="H20" s="23" t="s">
        <v>46</v>
      </c>
      <c r="I20" s="24" t="s">
        <v>119</v>
      </c>
      <c r="J20" s="3" t="s">
        <v>148</v>
      </c>
      <c r="K20" s="24" t="s">
        <v>177</v>
      </c>
      <c r="L20" s="3">
        <v>35.954999999999998</v>
      </c>
      <c r="M20" s="33">
        <v>36</v>
      </c>
      <c r="N20" s="8" t="s">
        <v>244</v>
      </c>
      <c r="O20" s="25" t="s">
        <v>245</v>
      </c>
      <c r="P20" s="4" t="s">
        <v>212</v>
      </c>
      <c r="Q20" s="4">
        <v>45691</v>
      </c>
      <c r="R20" s="4">
        <v>45692</v>
      </c>
      <c r="S20" s="4">
        <v>45705</v>
      </c>
      <c r="T20" s="34">
        <f t="shared" si="2"/>
        <v>14</v>
      </c>
      <c r="U20" s="4">
        <v>45706</v>
      </c>
      <c r="V20" s="4">
        <v>45708</v>
      </c>
      <c r="W20" s="4">
        <v>45708</v>
      </c>
      <c r="X20" s="4">
        <v>45714</v>
      </c>
      <c r="Y20" s="4">
        <v>45716</v>
      </c>
      <c r="Z20" s="4">
        <v>45717</v>
      </c>
      <c r="AA20" s="4">
        <v>45717</v>
      </c>
      <c r="AB20" s="4">
        <v>45721</v>
      </c>
      <c r="AC20" s="4">
        <v>45724</v>
      </c>
      <c r="AD20" s="4">
        <v>45726</v>
      </c>
      <c r="AE20" s="26"/>
      <c r="AF20" s="16"/>
    </row>
    <row r="21" spans="1:32">
      <c r="A21" s="32">
        <f t="shared" si="0"/>
        <v>18</v>
      </c>
      <c r="B21" s="23" t="s">
        <v>204</v>
      </c>
      <c r="C21" s="3" t="s">
        <v>43</v>
      </c>
      <c r="D21" s="3" t="s">
        <v>29</v>
      </c>
      <c r="E21" s="3" t="s">
        <v>240</v>
      </c>
      <c r="F21" s="24" t="s">
        <v>98</v>
      </c>
      <c r="G21" s="24" t="s">
        <v>99</v>
      </c>
      <c r="H21" s="23" t="s">
        <v>100</v>
      </c>
      <c r="I21" s="24" t="s">
        <v>141</v>
      </c>
      <c r="J21" s="3" t="s">
        <v>170</v>
      </c>
      <c r="K21" s="24" t="s">
        <v>197</v>
      </c>
      <c r="L21" s="3">
        <v>35.148000000000003</v>
      </c>
      <c r="M21" s="33">
        <v>35</v>
      </c>
      <c r="N21" s="8" t="s">
        <v>244</v>
      </c>
      <c r="O21" s="25" t="s">
        <v>245</v>
      </c>
      <c r="P21" s="4" t="s">
        <v>212</v>
      </c>
      <c r="Q21" s="4">
        <v>45685</v>
      </c>
      <c r="R21" s="4">
        <v>45686</v>
      </c>
      <c r="S21" s="4">
        <v>45701</v>
      </c>
      <c r="T21" s="34">
        <f t="shared" si="2"/>
        <v>16</v>
      </c>
      <c r="U21" s="4">
        <v>45706</v>
      </c>
      <c r="V21" s="4">
        <v>45709</v>
      </c>
      <c r="W21" s="4">
        <v>45709</v>
      </c>
      <c r="X21" s="4">
        <v>45714</v>
      </c>
      <c r="Y21" s="4">
        <v>45717</v>
      </c>
      <c r="Z21" s="4">
        <v>45717</v>
      </c>
      <c r="AA21" s="4">
        <v>45717</v>
      </c>
      <c r="AB21" s="4">
        <v>45719</v>
      </c>
      <c r="AC21" s="4">
        <v>45723</v>
      </c>
      <c r="AD21" s="4">
        <v>45723</v>
      </c>
      <c r="AE21" s="26"/>
      <c r="AF21" s="16"/>
    </row>
    <row r="22" spans="1:32">
      <c r="A22" s="32">
        <f t="shared" si="0"/>
        <v>19</v>
      </c>
      <c r="B22" s="23" t="s">
        <v>204</v>
      </c>
      <c r="C22" s="3" t="s">
        <v>43</v>
      </c>
      <c r="D22" s="3" t="s">
        <v>29</v>
      </c>
      <c r="E22" s="3" t="s">
        <v>230</v>
      </c>
      <c r="F22" s="24" t="s">
        <v>72</v>
      </c>
      <c r="G22" s="24" t="s">
        <v>73</v>
      </c>
      <c r="H22" s="23"/>
      <c r="I22" s="24" t="s">
        <v>131</v>
      </c>
      <c r="J22" s="3" t="s">
        <v>160</v>
      </c>
      <c r="K22" s="24" t="s">
        <v>187</v>
      </c>
      <c r="L22" s="3">
        <v>29.855</v>
      </c>
      <c r="M22" s="33">
        <v>30</v>
      </c>
      <c r="N22" s="8" t="s">
        <v>244</v>
      </c>
      <c r="O22" s="25" t="s">
        <v>245</v>
      </c>
      <c r="P22" s="4" t="s">
        <v>212</v>
      </c>
      <c r="Q22" s="4">
        <v>45691</v>
      </c>
      <c r="R22" s="4">
        <v>45692</v>
      </c>
      <c r="S22" s="4">
        <v>45705</v>
      </c>
      <c r="T22" s="34">
        <f t="shared" si="2"/>
        <v>14</v>
      </c>
      <c r="U22" s="4">
        <v>45706</v>
      </c>
      <c r="V22" s="4">
        <v>45708</v>
      </c>
      <c r="W22" s="4">
        <v>45708</v>
      </c>
      <c r="X22" s="4">
        <v>45714</v>
      </c>
      <c r="Y22" s="4">
        <v>45716</v>
      </c>
      <c r="Z22" s="4">
        <v>45717</v>
      </c>
      <c r="AA22" s="4">
        <v>45717</v>
      </c>
      <c r="AB22" s="4">
        <v>45719</v>
      </c>
      <c r="AC22" s="4">
        <v>45722</v>
      </c>
      <c r="AD22" s="4">
        <v>45722</v>
      </c>
      <c r="AE22" s="26"/>
      <c r="AF22" s="16"/>
    </row>
    <row r="23" spans="1:32">
      <c r="A23" s="32">
        <f t="shared" si="0"/>
        <v>20</v>
      </c>
      <c r="B23" s="23" t="s">
        <v>204</v>
      </c>
      <c r="C23" s="3" t="s">
        <v>43</v>
      </c>
      <c r="D23" s="3" t="s">
        <v>29</v>
      </c>
      <c r="E23" s="3" t="s">
        <v>241</v>
      </c>
      <c r="F23" s="24" t="s">
        <v>104</v>
      </c>
      <c r="G23" s="24" t="s">
        <v>105</v>
      </c>
      <c r="H23" s="23" t="s">
        <v>106</v>
      </c>
      <c r="I23" s="24" t="s">
        <v>143</v>
      </c>
      <c r="J23" s="3" t="s">
        <v>172</v>
      </c>
      <c r="K23" s="24" t="s">
        <v>199</v>
      </c>
      <c r="L23" s="3">
        <v>35.148000000000003</v>
      </c>
      <c r="M23" s="33">
        <v>35</v>
      </c>
      <c r="N23" s="8" t="s">
        <v>244</v>
      </c>
      <c r="O23" s="25" t="s">
        <v>245</v>
      </c>
      <c r="P23" s="4" t="s">
        <v>212</v>
      </c>
      <c r="Q23" s="4">
        <v>45685</v>
      </c>
      <c r="R23" s="4">
        <v>45686</v>
      </c>
      <c r="S23" s="4">
        <v>45701</v>
      </c>
      <c r="T23" s="34">
        <f t="shared" si="2"/>
        <v>16</v>
      </c>
      <c r="U23" s="4">
        <v>45706</v>
      </c>
      <c r="V23" s="4">
        <v>45709</v>
      </c>
      <c r="W23" s="4">
        <v>45709</v>
      </c>
      <c r="X23" s="4">
        <v>45714</v>
      </c>
      <c r="Y23" s="4">
        <v>45717</v>
      </c>
      <c r="Z23" s="4">
        <v>45717</v>
      </c>
      <c r="AA23" s="4">
        <v>45717</v>
      </c>
      <c r="AB23" s="4">
        <v>45719</v>
      </c>
      <c r="AC23" s="4">
        <v>45721</v>
      </c>
      <c r="AD23" s="4">
        <v>45722</v>
      </c>
      <c r="AE23" s="26"/>
      <c r="AF23" s="16"/>
    </row>
    <row r="24" spans="1:32">
      <c r="A24" s="32">
        <f t="shared" si="0"/>
        <v>21</v>
      </c>
      <c r="B24" s="23" t="s">
        <v>204</v>
      </c>
      <c r="C24" s="3" t="s">
        <v>43</v>
      </c>
      <c r="D24" s="3" t="s">
        <v>29</v>
      </c>
      <c r="E24" s="3" t="s">
        <v>228</v>
      </c>
      <c r="F24" s="24" t="s">
        <v>65</v>
      </c>
      <c r="G24" s="24" t="s">
        <v>66</v>
      </c>
      <c r="H24" s="23"/>
      <c r="I24" s="24" t="s">
        <v>128</v>
      </c>
      <c r="J24" s="3" t="s">
        <v>157</v>
      </c>
      <c r="K24" s="27" t="s">
        <v>209</v>
      </c>
      <c r="L24" s="3">
        <v>30.361999999999998</v>
      </c>
      <c r="M24" s="33">
        <v>30</v>
      </c>
      <c r="N24" s="8" t="s">
        <v>244</v>
      </c>
      <c r="O24" s="25" t="s">
        <v>245</v>
      </c>
      <c r="P24" s="4" t="s">
        <v>212</v>
      </c>
      <c r="Q24" s="4">
        <v>45691</v>
      </c>
      <c r="R24" s="4">
        <v>45692</v>
      </c>
      <c r="S24" s="4">
        <v>45705</v>
      </c>
      <c r="T24" s="34">
        <f t="shared" si="2"/>
        <v>14</v>
      </c>
      <c r="U24" s="4">
        <v>45706</v>
      </c>
      <c r="V24" s="4">
        <v>45708</v>
      </c>
      <c r="W24" s="4">
        <v>45708</v>
      </c>
      <c r="X24" s="4">
        <v>45714</v>
      </c>
      <c r="Y24" s="4">
        <v>45716</v>
      </c>
      <c r="Z24" s="4">
        <v>45717</v>
      </c>
      <c r="AA24" s="4">
        <v>45717</v>
      </c>
      <c r="AB24" s="4">
        <v>45719</v>
      </c>
      <c r="AC24" s="4">
        <v>45783</v>
      </c>
      <c r="AD24" s="4">
        <v>45722</v>
      </c>
      <c r="AE24" s="26"/>
      <c r="AF24" s="16"/>
    </row>
    <row r="25" spans="1:32">
      <c r="A25" s="32">
        <f t="shared" si="0"/>
        <v>22</v>
      </c>
      <c r="B25" s="23" t="s">
        <v>204</v>
      </c>
      <c r="C25" s="3" t="s">
        <v>43</v>
      </c>
      <c r="D25" s="3" t="s">
        <v>29</v>
      </c>
      <c r="E25" s="3" t="s">
        <v>233</v>
      </c>
      <c r="F25" s="23" t="s">
        <v>110</v>
      </c>
      <c r="G25" s="24" t="s">
        <v>111</v>
      </c>
      <c r="H25" s="23" t="s">
        <v>112</v>
      </c>
      <c r="I25" s="24" t="s">
        <v>145</v>
      </c>
      <c r="J25" s="3" t="s">
        <v>174</v>
      </c>
      <c r="K25" s="24" t="s">
        <v>201</v>
      </c>
      <c r="L25" s="3">
        <v>35.701000000000001</v>
      </c>
      <c r="M25" s="33">
        <v>35</v>
      </c>
      <c r="N25" s="8" t="s">
        <v>244</v>
      </c>
      <c r="O25" s="25" t="s">
        <v>245</v>
      </c>
      <c r="P25" s="4" t="s">
        <v>212</v>
      </c>
      <c r="Q25" s="4">
        <v>45687</v>
      </c>
      <c r="R25" s="4">
        <v>45687</v>
      </c>
      <c r="S25" s="4">
        <v>45710</v>
      </c>
      <c r="T25" s="34">
        <f t="shared" si="2"/>
        <v>23</v>
      </c>
      <c r="U25" s="4">
        <v>45715</v>
      </c>
      <c r="V25" s="4">
        <v>45717</v>
      </c>
      <c r="W25" s="4">
        <v>45717</v>
      </c>
      <c r="X25" s="4">
        <v>45723</v>
      </c>
      <c r="Y25" s="4">
        <v>45726</v>
      </c>
      <c r="Z25" s="4">
        <v>45727</v>
      </c>
      <c r="AA25" s="4">
        <v>45727</v>
      </c>
      <c r="AB25" s="4">
        <v>45729</v>
      </c>
      <c r="AC25" s="4">
        <v>45730</v>
      </c>
      <c r="AD25" s="4">
        <v>45731</v>
      </c>
      <c r="AE25" s="26"/>
      <c r="AF25" s="16"/>
    </row>
    <row r="26" spans="1:32">
      <c r="A26" s="32">
        <f t="shared" si="0"/>
        <v>23</v>
      </c>
      <c r="B26" s="23" t="s">
        <v>204</v>
      </c>
      <c r="C26" s="3" t="s">
        <v>43</v>
      </c>
      <c r="D26" s="3" t="s">
        <v>29</v>
      </c>
      <c r="E26" s="3" t="s">
        <v>217</v>
      </c>
      <c r="F26" s="24" t="s">
        <v>81</v>
      </c>
      <c r="G26" s="24" t="s">
        <v>82</v>
      </c>
      <c r="H26" s="23" t="s">
        <v>83</v>
      </c>
      <c r="I26" s="24" t="s">
        <v>135</v>
      </c>
      <c r="J26" s="3" t="s">
        <v>164</v>
      </c>
      <c r="K26" s="24" t="s">
        <v>191</v>
      </c>
      <c r="L26" s="3">
        <v>36.420999999999999</v>
      </c>
      <c r="M26" s="33">
        <v>36</v>
      </c>
      <c r="N26" s="8" t="s">
        <v>244</v>
      </c>
      <c r="O26" s="25" t="s">
        <v>245</v>
      </c>
      <c r="P26" s="4" t="s">
        <v>212</v>
      </c>
      <c r="Q26" s="4">
        <v>45695</v>
      </c>
      <c r="R26" s="4">
        <v>45698</v>
      </c>
      <c r="S26" s="4">
        <v>45711</v>
      </c>
      <c r="T26" s="34">
        <f t="shared" ref="T26:T31" si="3">S26-Q26</f>
        <v>16</v>
      </c>
      <c r="U26" s="4">
        <v>45715</v>
      </c>
      <c r="V26" s="4">
        <v>45717</v>
      </c>
      <c r="W26" s="4">
        <v>45717</v>
      </c>
      <c r="X26" s="4">
        <v>45722</v>
      </c>
      <c r="Y26" s="4">
        <v>45725</v>
      </c>
      <c r="Z26" s="4">
        <v>45727</v>
      </c>
      <c r="AA26" s="4">
        <v>45727</v>
      </c>
      <c r="AB26" s="4">
        <v>45728</v>
      </c>
      <c r="AC26" s="4">
        <v>45730</v>
      </c>
      <c r="AD26" s="4">
        <v>45733</v>
      </c>
      <c r="AE26" s="35"/>
      <c r="AF26" s="36"/>
    </row>
    <row r="27" spans="1:32">
      <c r="A27" s="32">
        <f t="shared" si="0"/>
        <v>24</v>
      </c>
      <c r="B27" s="23" t="s">
        <v>204</v>
      </c>
      <c r="C27" s="3" t="s">
        <v>43</v>
      </c>
      <c r="D27" s="3" t="s">
        <v>29</v>
      </c>
      <c r="E27" s="3" t="s">
        <v>218</v>
      </c>
      <c r="F27" s="24" t="s">
        <v>79</v>
      </c>
      <c r="G27" s="24" t="s">
        <v>80</v>
      </c>
      <c r="H27" s="23"/>
      <c r="I27" s="24" t="s">
        <v>134</v>
      </c>
      <c r="J27" s="3" t="s">
        <v>163</v>
      </c>
      <c r="K27" s="24" t="s">
        <v>190</v>
      </c>
      <c r="L27" s="3">
        <v>30.405000000000001</v>
      </c>
      <c r="M27" s="33">
        <v>30</v>
      </c>
      <c r="N27" s="8" t="s">
        <v>244</v>
      </c>
      <c r="O27" s="25" t="s">
        <v>245</v>
      </c>
      <c r="P27" s="4" t="s">
        <v>212</v>
      </c>
      <c r="Q27" s="4">
        <v>45696</v>
      </c>
      <c r="R27" s="4">
        <v>45698</v>
      </c>
      <c r="S27" s="4">
        <v>45711</v>
      </c>
      <c r="T27" s="34">
        <f t="shared" si="3"/>
        <v>15</v>
      </c>
      <c r="U27" s="4">
        <v>45715</v>
      </c>
      <c r="V27" s="4">
        <v>45716</v>
      </c>
      <c r="W27" s="4">
        <v>45716</v>
      </c>
      <c r="X27" s="4">
        <v>45723</v>
      </c>
      <c r="Y27" s="4">
        <v>45726</v>
      </c>
      <c r="Z27" s="4">
        <v>45727</v>
      </c>
      <c r="AA27" s="4">
        <v>45727</v>
      </c>
      <c r="AB27" s="4">
        <v>45729</v>
      </c>
      <c r="AC27" s="4">
        <v>45732</v>
      </c>
      <c r="AD27" s="4">
        <v>45733</v>
      </c>
      <c r="AE27" s="35"/>
      <c r="AF27" s="36"/>
    </row>
    <row r="28" spans="1:32">
      <c r="A28" s="32">
        <f t="shared" si="0"/>
        <v>25</v>
      </c>
      <c r="B28" s="23" t="s">
        <v>204</v>
      </c>
      <c r="C28" s="3" t="s">
        <v>43</v>
      </c>
      <c r="D28" s="3" t="s">
        <v>29</v>
      </c>
      <c r="E28" s="3" t="s">
        <v>237</v>
      </c>
      <c r="F28" s="23" t="s">
        <v>54</v>
      </c>
      <c r="G28" s="24" t="s">
        <v>55</v>
      </c>
      <c r="H28" s="23"/>
      <c r="I28" s="24" t="s">
        <v>123</v>
      </c>
      <c r="J28" s="3" t="s">
        <v>152</v>
      </c>
      <c r="K28" s="24" t="s">
        <v>180</v>
      </c>
      <c r="L28" s="3">
        <v>36.979999999999997</v>
      </c>
      <c r="M28" s="33">
        <v>37</v>
      </c>
      <c r="N28" s="8" t="s">
        <v>244</v>
      </c>
      <c r="O28" s="25" t="s">
        <v>245</v>
      </c>
      <c r="P28" s="4" t="s">
        <v>212</v>
      </c>
      <c r="Q28" s="4">
        <v>45686</v>
      </c>
      <c r="R28" s="4">
        <v>45687</v>
      </c>
      <c r="S28" s="4">
        <v>45710</v>
      </c>
      <c r="T28" s="34">
        <f t="shared" si="3"/>
        <v>24</v>
      </c>
      <c r="U28" s="4">
        <v>45715</v>
      </c>
      <c r="V28" s="4">
        <v>45717</v>
      </c>
      <c r="W28" s="4">
        <v>45717</v>
      </c>
      <c r="X28" s="4">
        <v>45723</v>
      </c>
      <c r="Y28" s="4">
        <v>45726</v>
      </c>
      <c r="Z28" s="4">
        <v>45727</v>
      </c>
      <c r="AA28" s="4">
        <v>45727</v>
      </c>
      <c r="AB28" s="4">
        <v>45729</v>
      </c>
      <c r="AC28" s="4">
        <v>45733</v>
      </c>
      <c r="AD28" s="4">
        <v>45734</v>
      </c>
      <c r="AE28" s="26"/>
      <c r="AF28" s="16"/>
    </row>
    <row r="29" spans="1:32">
      <c r="A29" s="32">
        <f t="shared" si="0"/>
        <v>26</v>
      </c>
      <c r="B29" s="23" t="s">
        <v>204</v>
      </c>
      <c r="C29" s="3" t="s">
        <v>43</v>
      </c>
      <c r="D29" s="3" t="s">
        <v>29</v>
      </c>
      <c r="E29" s="3" t="s">
        <v>216</v>
      </c>
      <c r="F29" s="24" t="s">
        <v>116</v>
      </c>
      <c r="G29" s="24" t="s">
        <v>117</v>
      </c>
      <c r="H29" s="23" t="s">
        <v>118</v>
      </c>
      <c r="I29" s="24" t="s">
        <v>147</v>
      </c>
      <c r="J29" s="3" t="s">
        <v>176</v>
      </c>
      <c r="K29" s="24" t="s">
        <v>203</v>
      </c>
      <c r="L29" s="3">
        <v>34.567</v>
      </c>
      <c r="M29" s="33">
        <v>35</v>
      </c>
      <c r="N29" s="8" t="s">
        <v>244</v>
      </c>
      <c r="O29" s="25" t="s">
        <v>245</v>
      </c>
      <c r="P29" s="4" t="s">
        <v>212</v>
      </c>
      <c r="Q29" s="4">
        <v>45695</v>
      </c>
      <c r="R29" s="4">
        <v>45698</v>
      </c>
      <c r="S29" s="4">
        <v>45711</v>
      </c>
      <c r="T29" s="34">
        <f t="shared" si="3"/>
        <v>16</v>
      </c>
      <c r="U29" s="4">
        <v>45715</v>
      </c>
      <c r="V29" s="4">
        <v>45717</v>
      </c>
      <c r="W29" s="4">
        <v>45717</v>
      </c>
      <c r="X29" s="4">
        <v>45724</v>
      </c>
      <c r="Y29" s="4">
        <v>45727</v>
      </c>
      <c r="Z29" s="4">
        <v>45728</v>
      </c>
      <c r="AA29" s="4">
        <v>45728</v>
      </c>
      <c r="AB29" s="4">
        <v>45730</v>
      </c>
      <c r="AC29" s="4">
        <v>45732</v>
      </c>
      <c r="AD29" s="4">
        <v>45734</v>
      </c>
      <c r="AE29" s="35"/>
      <c r="AF29" s="36"/>
    </row>
    <row r="30" spans="1:32">
      <c r="A30" s="32">
        <f t="shared" si="0"/>
        <v>27</v>
      </c>
      <c r="B30" s="23" t="s">
        <v>204</v>
      </c>
      <c r="C30" s="3" t="s">
        <v>43</v>
      </c>
      <c r="D30" s="3" t="s">
        <v>29</v>
      </c>
      <c r="E30" s="3" t="s">
        <v>227</v>
      </c>
      <c r="F30" s="24" t="s">
        <v>56</v>
      </c>
      <c r="G30" s="24" t="s">
        <v>57</v>
      </c>
      <c r="H30" s="23" t="s">
        <v>58</v>
      </c>
      <c r="I30" s="24" t="s">
        <v>124</v>
      </c>
      <c r="J30" s="3" t="s">
        <v>153</v>
      </c>
      <c r="K30" s="24" t="s">
        <v>181</v>
      </c>
      <c r="L30" s="3">
        <v>36.22</v>
      </c>
      <c r="M30" s="33">
        <v>36</v>
      </c>
      <c r="N30" s="8" t="s">
        <v>244</v>
      </c>
      <c r="O30" s="25" t="s">
        <v>245</v>
      </c>
      <c r="P30" s="4" t="s">
        <v>212</v>
      </c>
      <c r="Q30" s="4">
        <v>45691</v>
      </c>
      <c r="R30" s="4">
        <v>45692</v>
      </c>
      <c r="S30" s="4">
        <v>45706</v>
      </c>
      <c r="T30" s="34">
        <f t="shared" si="3"/>
        <v>15</v>
      </c>
      <c r="U30" s="4">
        <v>45711</v>
      </c>
      <c r="V30" s="4">
        <v>45715</v>
      </c>
      <c r="W30" s="4">
        <v>45715</v>
      </c>
      <c r="X30" s="4">
        <v>45722</v>
      </c>
      <c r="Y30" s="4">
        <v>45725</v>
      </c>
      <c r="Z30" s="4">
        <v>45727</v>
      </c>
      <c r="AA30" s="4">
        <v>45727</v>
      </c>
      <c r="AB30" s="4">
        <v>45728</v>
      </c>
      <c r="AC30" s="4">
        <v>45733</v>
      </c>
      <c r="AD30" s="4">
        <v>45734</v>
      </c>
      <c r="AE30" s="26"/>
      <c r="AF30" s="16"/>
    </row>
    <row r="31" spans="1:32">
      <c r="A31" s="32">
        <f t="shared" si="0"/>
        <v>28</v>
      </c>
      <c r="B31" s="23" t="s">
        <v>204</v>
      </c>
      <c r="C31" s="3" t="s">
        <v>43</v>
      </c>
      <c r="D31" s="3" t="s">
        <v>29</v>
      </c>
      <c r="E31" s="3" t="s">
        <v>234</v>
      </c>
      <c r="F31" s="23" t="s">
        <v>113</v>
      </c>
      <c r="G31" s="24" t="s">
        <v>114</v>
      </c>
      <c r="H31" s="23" t="s">
        <v>115</v>
      </c>
      <c r="I31" s="24" t="s">
        <v>146</v>
      </c>
      <c r="J31" s="3" t="s">
        <v>175</v>
      </c>
      <c r="K31" s="24" t="s">
        <v>202</v>
      </c>
      <c r="L31" s="3">
        <v>35.520000000000003</v>
      </c>
      <c r="M31" s="33">
        <v>35</v>
      </c>
      <c r="N31" s="8" t="s">
        <v>244</v>
      </c>
      <c r="O31" s="25" t="s">
        <v>245</v>
      </c>
      <c r="P31" s="4" t="s">
        <v>212</v>
      </c>
      <c r="Q31" s="4">
        <v>45687</v>
      </c>
      <c r="R31" s="4">
        <v>45687</v>
      </c>
      <c r="S31" s="4">
        <v>45710</v>
      </c>
      <c r="T31" s="34">
        <f t="shared" si="3"/>
        <v>23</v>
      </c>
      <c r="U31" s="4">
        <v>45715</v>
      </c>
      <c r="V31" s="4">
        <v>45717</v>
      </c>
      <c r="W31" s="4">
        <v>45717</v>
      </c>
      <c r="X31" s="4">
        <v>45725</v>
      </c>
      <c r="Y31" s="4">
        <v>45728</v>
      </c>
      <c r="Z31" s="4">
        <v>45730</v>
      </c>
      <c r="AA31" s="4">
        <v>45730</v>
      </c>
      <c r="AB31" s="4">
        <v>45732</v>
      </c>
      <c r="AC31" s="4">
        <v>45734</v>
      </c>
      <c r="AD31" s="4">
        <v>45734</v>
      </c>
      <c r="AE31" s="26"/>
      <c r="AF31" s="16"/>
    </row>
    <row r="32" spans="1:32">
      <c r="A32" s="37">
        <f t="shared" si="0"/>
        <v>29</v>
      </c>
      <c r="B32" s="38" t="s">
        <v>204</v>
      </c>
      <c r="C32" s="39" t="s">
        <v>43</v>
      </c>
      <c r="D32" s="39" t="s">
        <v>29</v>
      </c>
      <c r="E32" s="39" t="s">
        <v>41</v>
      </c>
      <c r="F32" s="40" t="s">
        <v>107</v>
      </c>
      <c r="G32" s="40" t="s">
        <v>108</v>
      </c>
      <c r="H32" s="38" t="s">
        <v>109</v>
      </c>
      <c r="I32" s="40" t="s">
        <v>144</v>
      </c>
      <c r="J32" s="39" t="s">
        <v>173</v>
      </c>
      <c r="K32" s="40" t="s">
        <v>200</v>
      </c>
      <c r="L32" s="39" t="s">
        <v>41</v>
      </c>
      <c r="M32" s="41">
        <v>35</v>
      </c>
      <c r="N32" s="42" t="s">
        <v>211</v>
      </c>
      <c r="O32" s="43" t="s">
        <v>213</v>
      </c>
      <c r="P32" s="44" t="s">
        <v>41</v>
      </c>
      <c r="Q32" s="44"/>
      <c r="R32" s="44"/>
      <c r="S32" s="44"/>
      <c r="T32" s="45">
        <f>S32-Q32</f>
        <v>0</v>
      </c>
      <c r="U32" s="44"/>
      <c r="V32" s="44"/>
      <c r="W32" s="44"/>
      <c r="X32" s="44"/>
      <c r="Y32" s="44"/>
      <c r="Z32" s="44"/>
      <c r="AA32" s="44"/>
      <c r="AB32" s="44"/>
      <c r="AC32" s="44"/>
      <c r="AD32" s="46"/>
      <c r="AE32" s="47"/>
      <c r="AF32" s="48"/>
    </row>
    <row r="35" spans="1:17">
      <c r="A35" s="28"/>
    </row>
    <row r="36" spans="1:17">
      <c r="A36" s="30" t="s">
        <v>205</v>
      </c>
      <c r="B36" s="31"/>
      <c r="C36" s="31"/>
      <c r="D36" s="31"/>
    </row>
    <row r="37" spans="1:17">
      <c r="A37" s="30" t="s">
        <v>206</v>
      </c>
      <c r="B37" s="31"/>
      <c r="C37" s="31"/>
      <c r="D37" s="31"/>
      <c r="E37" s="31"/>
    </row>
    <row r="38" spans="1:17">
      <c r="A38" s="30" t="s">
        <v>207</v>
      </c>
      <c r="B38" s="31"/>
      <c r="C38" s="31"/>
      <c r="D38" s="31"/>
    </row>
    <row r="39" spans="1:17" ht="15">
      <c r="N39" s="51"/>
    </row>
    <row r="43" spans="1:17">
      <c r="N43" s="53"/>
    </row>
    <row r="44" spans="1:17">
      <c r="N44" s="53"/>
    </row>
    <row r="45" spans="1:17">
      <c r="Q45" s="52"/>
    </row>
    <row r="46" spans="1:17">
      <c r="Q46" s="52"/>
    </row>
  </sheetData>
  <autoFilter ref="A3:AF32" xr:uid="{1DEDF55D-0D5D-411B-AABD-772B1FEEDA6D}">
    <sortState xmlns:xlrd2="http://schemas.microsoft.com/office/spreadsheetml/2017/richdata2" ref="A5:AF21">
      <sortCondition ref="N3:N21"/>
    </sortState>
  </autoFilter>
  <mergeCells count="20">
    <mergeCell ref="AA2:AB2"/>
    <mergeCell ref="AC2:AE2"/>
    <mergeCell ref="N2:N3"/>
    <mergeCell ref="O2:O3"/>
    <mergeCell ref="Q2:T2"/>
    <mergeCell ref="U2:V2"/>
    <mergeCell ref="W2:X2"/>
    <mergeCell ref="Y2:Z2"/>
    <mergeCell ref="M2:M3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K2:K3"/>
    <mergeCell ref="L2:L3"/>
  </mergeCells>
  <conditionalFormatting sqref="B1">
    <cfRule type="duplicateValues" dxfId="3138" priority="225"/>
    <cfRule type="duplicateValues" dxfId="3137" priority="226"/>
    <cfRule type="duplicateValues" dxfId="3136" priority="227"/>
    <cfRule type="duplicateValues" dxfId="3135" priority="228"/>
  </conditionalFormatting>
  <conditionalFormatting sqref="F1:F3">
    <cfRule type="duplicateValues" dxfId="3134" priority="221"/>
    <cfRule type="duplicateValues" dxfId="3133" priority="222"/>
    <cfRule type="duplicateValues" dxfId="3132" priority="223"/>
    <cfRule type="duplicateValues" dxfId="3131" priority="224"/>
  </conditionalFormatting>
  <conditionalFormatting sqref="F25">
    <cfRule type="duplicateValues" dxfId="3130" priority="1"/>
    <cfRule type="duplicateValues" dxfId="3129" priority="2"/>
    <cfRule type="duplicateValues" dxfId="3128" priority="3"/>
    <cfRule type="duplicateValues" dxfId="3127" priority="4"/>
    <cfRule type="duplicateValues" dxfId="3126" priority="5"/>
    <cfRule type="duplicateValues" dxfId="3125" priority="6"/>
  </conditionalFormatting>
  <conditionalFormatting sqref="F26:F1048576 F1:F24">
    <cfRule type="duplicateValues" dxfId="3124" priority="9"/>
    <cfRule type="duplicateValues" dxfId="3123" priority="11"/>
    <cfRule type="duplicateValues" dxfId="3122" priority="264"/>
    <cfRule type="duplicateValues" dxfId="3121" priority="265"/>
    <cfRule type="duplicateValues" dxfId="3120" priority="266"/>
    <cfRule type="duplicateValues" dxfId="3119" priority="267"/>
  </conditionalFormatting>
  <conditionalFormatting sqref="F33:F1048576 F23 F17:F20 F14:F15 F11:F12 F8 F26 F1:F3 F28:F29">
    <cfRule type="duplicateValues" dxfId="3118" priority="442"/>
  </conditionalFormatting>
  <conditionalFormatting sqref="F39:F1048576">
    <cfRule type="duplicateValues" dxfId="3117" priority="276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F4E26-D519-4A48-8D38-9233B26331DE}">
  <sheetPr codeName="Sheet2">
    <tabColor rgb="FFFFFF00"/>
  </sheetPr>
  <dimension ref="A1:AF58"/>
  <sheetViews>
    <sheetView topLeftCell="K1" zoomScale="115" zoomScaleNormal="115" workbookViewId="0">
      <selection activeCell="O17" sqref="O17"/>
    </sheetView>
  </sheetViews>
  <sheetFormatPr defaultColWidth="9.85546875" defaultRowHeight="12.75"/>
  <cols>
    <col min="1" max="1" width="4.7109375" style="2" customWidth="1"/>
    <col min="2" max="2" width="7.5703125" style="2" bestFit="1" customWidth="1"/>
    <col min="3" max="3" width="21" style="2" customWidth="1"/>
    <col min="4" max="4" width="12.140625" style="2" customWidth="1"/>
    <col min="5" max="5" width="19.140625" style="2" customWidth="1"/>
    <col min="6" max="6" width="14.5703125" style="2" bestFit="1" customWidth="1"/>
    <col min="7" max="7" width="9" style="2" customWidth="1"/>
    <col min="8" max="8" width="7.42578125" style="2" customWidth="1"/>
    <col min="9" max="9" width="32.5703125" style="2" customWidth="1"/>
    <col min="10" max="10" width="24.5703125" style="2" customWidth="1"/>
    <col min="11" max="11" width="15.42578125" style="2" customWidth="1"/>
    <col min="12" max="12" width="10.85546875" style="2" customWidth="1"/>
    <col min="13" max="13" width="14.42578125" style="2" customWidth="1"/>
    <col min="14" max="14" width="17.85546875" style="29" bestFit="1" customWidth="1"/>
    <col min="15" max="15" width="18.140625" style="2" bestFit="1" customWidth="1"/>
    <col min="16" max="16" width="7.140625" style="2" customWidth="1"/>
    <col min="17" max="17" width="10.42578125" style="59" bestFit="1" customWidth="1"/>
    <col min="18" max="18" width="10.85546875" style="59" customWidth="1"/>
    <col min="19" max="19" width="13.140625" style="59" customWidth="1"/>
    <col min="20" max="20" width="12.42578125" style="2" customWidth="1"/>
    <col min="21" max="21" width="10.42578125" style="59" customWidth="1"/>
    <col min="22" max="22" width="12" style="59" customWidth="1"/>
    <col min="23" max="23" width="10.42578125" style="59" customWidth="1"/>
    <col min="24" max="24" width="12" style="59" customWidth="1"/>
    <col min="25" max="25" width="10.42578125" style="59" customWidth="1"/>
    <col min="26" max="26" width="12" style="59" customWidth="1"/>
    <col min="27" max="27" width="10.42578125" style="59" customWidth="1"/>
    <col min="28" max="28" width="12" style="59" customWidth="1"/>
    <col min="29" max="29" width="18.28515625" style="59" bestFit="1" customWidth="1"/>
    <col min="30" max="30" width="13" style="59" bestFit="1" customWidth="1"/>
    <col min="31" max="31" width="9" style="2" bestFit="1" customWidth="1"/>
    <col min="32" max="32" width="10" style="2" bestFit="1" customWidth="1"/>
    <col min="33" max="16384" width="9.85546875" style="2"/>
  </cols>
  <sheetData>
    <row r="1" spans="1:32" s="1" customFormat="1">
      <c r="A1" s="9" t="s">
        <v>0</v>
      </c>
      <c r="B1" s="10"/>
      <c r="C1" s="10"/>
      <c r="D1" s="10"/>
      <c r="E1" s="10"/>
      <c r="F1" s="11"/>
      <c r="G1" s="10"/>
      <c r="H1" s="10"/>
      <c r="I1" s="10"/>
      <c r="J1" s="10"/>
      <c r="K1" s="10"/>
      <c r="L1" s="12">
        <f>SUM(L4:L96)</f>
        <v>1667486</v>
      </c>
      <c r="M1" s="13">
        <f>SUM(M4:M54)</f>
        <v>1673</v>
      </c>
      <c r="N1" s="10"/>
      <c r="O1" s="10"/>
      <c r="P1" s="10"/>
      <c r="Q1" s="55"/>
      <c r="R1" s="55"/>
      <c r="S1" s="55"/>
      <c r="T1" s="10"/>
      <c r="U1" s="55"/>
      <c r="V1" s="55"/>
      <c r="W1" s="55"/>
      <c r="X1" s="55"/>
      <c r="Y1" s="55"/>
      <c r="Z1" s="55"/>
      <c r="AA1" s="55"/>
      <c r="AB1" s="55"/>
      <c r="AC1" s="55"/>
      <c r="AD1" s="55"/>
      <c r="AE1" s="10"/>
      <c r="AF1" s="14"/>
    </row>
    <row r="2" spans="1:32" ht="15.6" customHeight="1">
      <c r="A2" s="229" t="s">
        <v>1</v>
      </c>
      <c r="B2" s="229" t="s">
        <v>2</v>
      </c>
      <c r="C2" s="229" t="s">
        <v>3</v>
      </c>
      <c r="D2" s="229" t="s">
        <v>4</v>
      </c>
      <c r="E2" s="229" t="s">
        <v>5</v>
      </c>
      <c r="F2" s="229" t="s">
        <v>6</v>
      </c>
      <c r="G2" s="234" t="s">
        <v>7</v>
      </c>
      <c r="H2" s="234" t="s">
        <v>8</v>
      </c>
      <c r="I2" s="239" t="s">
        <v>31</v>
      </c>
      <c r="J2" s="240"/>
      <c r="K2" s="234" t="s">
        <v>9</v>
      </c>
      <c r="L2" s="234" t="s">
        <v>10</v>
      </c>
      <c r="M2" s="75" t="s">
        <v>32</v>
      </c>
      <c r="N2" s="234" t="s">
        <v>11</v>
      </c>
      <c r="O2" s="229" t="s">
        <v>12</v>
      </c>
      <c r="P2" s="15" t="s">
        <v>13</v>
      </c>
      <c r="Q2" s="238" t="s">
        <v>14</v>
      </c>
      <c r="R2" s="238"/>
      <c r="S2" s="238"/>
      <c r="T2" s="238"/>
      <c r="U2" s="238" t="s">
        <v>15</v>
      </c>
      <c r="V2" s="238"/>
      <c r="W2" s="238" t="s">
        <v>16</v>
      </c>
      <c r="X2" s="238"/>
      <c r="Y2" s="238" t="s">
        <v>17</v>
      </c>
      <c r="Z2" s="238"/>
      <c r="AA2" s="238" t="s">
        <v>18</v>
      </c>
      <c r="AB2" s="238"/>
      <c r="AC2" s="238" t="s">
        <v>19</v>
      </c>
      <c r="AD2" s="238"/>
      <c r="AE2" s="238"/>
      <c r="AF2" s="236" t="s">
        <v>28</v>
      </c>
    </row>
    <row r="3" spans="1:32">
      <c r="A3" s="229"/>
      <c r="B3" s="229"/>
      <c r="C3" s="229"/>
      <c r="D3" s="229"/>
      <c r="E3" s="229"/>
      <c r="F3" s="229"/>
      <c r="G3" s="235"/>
      <c r="H3" s="235"/>
      <c r="I3" s="17" t="s">
        <v>20</v>
      </c>
      <c r="J3" s="17" t="s">
        <v>30</v>
      </c>
      <c r="K3" s="235"/>
      <c r="L3" s="235"/>
      <c r="M3" s="76"/>
      <c r="N3" s="235"/>
      <c r="O3" s="229"/>
      <c r="P3" s="15" t="s">
        <v>21</v>
      </c>
      <c r="Q3" s="56" t="s">
        <v>22</v>
      </c>
      <c r="R3" s="56" t="s">
        <v>23</v>
      </c>
      <c r="S3" s="56" t="s">
        <v>24</v>
      </c>
      <c r="T3" s="60" t="s">
        <v>25</v>
      </c>
      <c r="U3" s="57" t="s">
        <v>22</v>
      </c>
      <c r="V3" s="57" t="s">
        <v>26</v>
      </c>
      <c r="W3" s="57" t="s">
        <v>22</v>
      </c>
      <c r="X3" s="57" t="s">
        <v>26</v>
      </c>
      <c r="Y3" s="57" t="s">
        <v>22</v>
      </c>
      <c r="Z3" s="57" t="s">
        <v>26</v>
      </c>
      <c r="AA3" s="57" t="s">
        <v>22</v>
      </c>
      <c r="AB3" s="57" t="s">
        <v>26</v>
      </c>
      <c r="AC3" s="58" t="s">
        <v>19</v>
      </c>
      <c r="AD3" s="57" t="s">
        <v>27</v>
      </c>
      <c r="AE3" s="61" t="s">
        <v>25</v>
      </c>
      <c r="AF3" s="237"/>
    </row>
    <row r="4" spans="1:32">
      <c r="A4" s="32">
        <f t="shared" ref="A4:A54" si="0">ROW()-3</f>
        <v>1</v>
      </c>
      <c r="B4" s="23" t="s">
        <v>204</v>
      </c>
      <c r="C4" s="3" t="s">
        <v>384</v>
      </c>
      <c r="D4" s="3" t="s">
        <v>29</v>
      </c>
      <c r="E4" s="3" t="s">
        <v>696</v>
      </c>
      <c r="F4" s="23" t="s">
        <v>394</v>
      </c>
      <c r="G4" s="64" t="s">
        <v>395</v>
      </c>
      <c r="H4" s="23"/>
      <c r="I4" s="65" t="s">
        <v>689</v>
      </c>
      <c r="J4" s="65" t="s">
        <v>41</v>
      </c>
      <c r="K4" s="23" t="s">
        <v>690</v>
      </c>
      <c r="L4" s="3">
        <v>29942</v>
      </c>
      <c r="M4" s="27">
        <v>30</v>
      </c>
      <c r="N4" s="3" t="s">
        <v>27</v>
      </c>
      <c r="O4" s="25" t="s">
        <v>687</v>
      </c>
      <c r="P4" s="4" t="s">
        <v>212</v>
      </c>
      <c r="Q4" s="105">
        <v>45785</v>
      </c>
      <c r="R4" s="105">
        <v>45790</v>
      </c>
      <c r="S4" s="105">
        <v>45801</v>
      </c>
      <c r="T4" s="54">
        <f t="shared" ref="T4:T54" si="1">MAX(0,S4-Q4)</f>
        <v>16</v>
      </c>
      <c r="U4" s="105">
        <v>45805</v>
      </c>
      <c r="V4" s="105">
        <v>45806</v>
      </c>
      <c r="W4" s="105">
        <v>45806</v>
      </c>
      <c r="X4" s="105">
        <v>45809</v>
      </c>
      <c r="Y4" s="105">
        <v>45812</v>
      </c>
      <c r="Z4" s="105">
        <v>45813</v>
      </c>
      <c r="AA4" s="105">
        <v>45813</v>
      </c>
      <c r="AB4" s="105">
        <v>45815</v>
      </c>
      <c r="AC4" s="105">
        <v>45817</v>
      </c>
      <c r="AD4" s="105">
        <v>45820</v>
      </c>
      <c r="AE4" s="67"/>
      <c r="AF4" s="16"/>
    </row>
    <row r="5" spans="1:32">
      <c r="A5" s="32">
        <f t="shared" si="0"/>
        <v>2</v>
      </c>
      <c r="B5" s="23" t="s">
        <v>204</v>
      </c>
      <c r="C5" s="3" t="s">
        <v>384</v>
      </c>
      <c r="D5" s="3" t="s">
        <v>29</v>
      </c>
      <c r="E5" s="3" t="s">
        <v>669</v>
      </c>
      <c r="F5" s="3" t="s">
        <v>513</v>
      </c>
      <c r="G5" s="3" t="s">
        <v>517</v>
      </c>
      <c r="H5" s="3"/>
      <c r="I5" s="54" t="s">
        <v>522</v>
      </c>
      <c r="J5" s="65" t="s">
        <v>526</v>
      </c>
      <c r="K5" s="23" t="s">
        <v>530</v>
      </c>
      <c r="L5" s="3">
        <v>30463</v>
      </c>
      <c r="M5" s="23">
        <v>31</v>
      </c>
      <c r="N5" s="3" t="s">
        <v>27</v>
      </c>
      <c r="O5" s="25" t="s">
        <v>687</v>
      </c>
      <c r="P5" s="4" t="s">
        <v>212</v>
      </c>
      <c r="Q5" s="105">
        <v>45777</v>
      </c>
      <c r="R5" s="105">
        <v>45779</v>
      </c>
      <c r="S5" s="105">
        <v>45787</v>
      </c>
      <c r="T5" s="54">
        <f>MAX(0,S5-Q5)</f>
        <v>10</v>
      </c>
      <c r="U5" s="105">
        <v>45789</v>
      </c>
      <c r="V5" s="105">
        <v>45794</v>
      </c>
      <c r="W5" s="105">
        <v>45794</v>
      </c>
      <c r="X5" s="105">
        <v>45796</v>
      </c>
      <c r="Y5" s="105">
        <v>45805</v>
      </c>
      <c r="Z5" s="105">
        <v>45807</v>
      </c>
      <c r="AA5" s="105">
        <v>45807</v>
      </c>
      <c r="AB5" s="105">
        <v>45812</v>
      </c>
      <c r="AC5" s="105">
        <v>45817</v>
      </c>
      <c r="AD5" s="105">
        <v>45819</v>
      </c>
      <c r="AE5" s="67"/>
      <c r="AF5" s="16"/>
    </row>
    <row r="6" spans="1:32">
      <c r="A6" s="32">
        <f t="shared" si="0"/>
        <v>3</v>
      </c>
      <c r="B6" s="23" t="s">
        <v>204</v>
      </c>
      <c r="C6" s="3" t="s">
        <v>384</v>
      </c>
      <c r="D6" s="3" t="s">
        <v>29</v>
      </c>
      <c r="E6" s="3" t="s">
        <v>504</v>
      </c>
      <c r="F6" s="3" t="s">
        <v>257</v>
      </c>
      <c r="G6" s="24" t="s">
        <v>258</v>
      </c>
      <c r="H6" s="23"/>
      <c r="I6" s="23" t="s">
        <v>311</v>
      </c>
      <c r="J6" s="68" t="s">
        <v>337</v>
      </c>
      <c r="K6" s="23" t="s">
        <v>363</v>
      </c>
      <c r="L6" s="3">
        <v>31622</v>
      </c>
      <c r="M6" s="27">
        <v>32</v>
      </c>
      <c r="N6" s="3" t="s">
        <v>27</v>
      </c>
      <c r="O6" s="25" t="s">
        <v>687</v>
      </c>
      <c r="P6" s="4" t="s">
        <v>212</v>
      </c>
      <c r="Q6" s="105">
        <v>45763</v>
      </c>
      <c r="R6" s="105">
        <v>45764</v>
      </c>
      <c r="S6" s="105">
        <v>45771</v>
      </c>
      <c r="T6" s="54">
        <f t="shared" si="1"/>
        <v>8</v>
      </c>
      <c r="U6" s="105">
        <v>45783</v>
      </c>
      <c r="V6" s="105">
        <v>45789</v>
      </c>
      <c r="W6" s="105">
        <v>45789</v>
      </c>
      <c r="X6" s="105">
        <v>45800</v>
      </c>
      <c r="Y6" s="105">
        <v>45802</v>
      </c>
      <c r="Z6" s="105">
        <v>45805</v>
      </c>
      <c r="AA6" s="105">
        <v>45805</v>
      </c>
      <c r="AB6" s="105">
        <v>45812</v>
      </c>
      <c r="AC6" s="105">
        <v>45814</v>
      </c>
      <c r="AD6" s="105">
        <v>45817</v>
      </c>
      <c r="AE6" s="67"/>
      <c r="AF6" s="16"/>
    </row>
    <row r="7" spans="1:32">
      <c r="A7" s="32">
        <f t="shared" si="0"/>
        <v>4</v>
      </c>
      <c r="B7" s="23" t="s">
        <v>204</v>
      </c>
      <c r="C7" s="3" t="s">
        <v>384</v>
      </c>
      <c r="D7" s="3" t="s">
        <v>29</v>
      </c>
      <c r="E7" s="3" t="s">
        <v>674</v>
      </c>
      <c r="F7" s="23" t="s">
        <v>253</v>
      </c>
      <c r="G7" s="24" t="s">
        <v>254</v>
      </c>
      <c r="H7" s="23"/>
      <c r="I7" s="23" t="s">
        <v>309</v>
      </c>
      <c r="J7" s="68" t="s">
        <v>335</v>
      </c>
      <c r="K7" s="23" t="s">
        <v>361</v>
      </c>
      <c r="L7" s="3">
        <v>30981</v>
      </c>
      <c r="M7" s="27">
        <v>32</v>
      </c>
      <c r="N7" s="3" t="s">
        <v>27</v>
      </c>
      <c r="O7" s="25" t="s">
        <v>687</v>
      </c>
      <c r="P7" s="4" t="s">
        <v>212</v>
      </c>
      <c r="Q7" s="105">
        <v>45758</v>
      </c>
      <c r="R7" s="105">
        <v>45761</v>
      </c>
      <c r="S7" s="105">
        <v>45769</v>
      </c>
      <c r="T7" s="54">
        <f>MAX(0,S7-Q7)</f>
        <v>11</v>
      </c>
      <c r="U7" s="105">
        <v>45784</v>
      </c>
      <c r="V7" s="105">
        <v>45784</v>
      </c>
      <c r="W7" s="105">
        <v>45784</v>
      </c>
      <c r="X7" s="105">
        <v>45800</v>
      </c>
      <c r="Y7" s="105">
        <v>45802</v>
      </c>
      <c r="Z7" s="105">
        <v>45805</v>
      </c>
      <c r="AA7" s="105">
        <v>45805</v>
      </c>
      <c r="AB7" s="105">
        <v>45812</v>
      </c>
      <c r="AC7" s="105">
        <v>45814</v>
      </c>
      <c r="AD7" s="105">
        <v>45817</v>
      </c>
      <c r="AE7" s="67"/>
      <c r="AF7" s="16"/>
    </row>
    <row r="8" spans="1:32">
      <c r="A8" s="32">
        <f t="shared" si="0"/>
        <v>5</v>
      </c>
      <c r="B8" s="23" t="s">
        <v>204</v>
      </c>
      <c r="C8" s="3" t="s">
        <v>384</v>
      </c>
      <c r="D8" s="3" t="s">
        <v>29</v>
      </c>
      <c r="E8" s="3" t="s">
        <v>496</v>
      </c>
      <c r="F8" s="23" t="s">
        <v>255</v>
      </c>
      <c r="G8" s="24" t="s">
        <v>256</v>
      </c>
      <c r="H8" s="23"/>
      <c r="I8" s="23" t="s">
        <v>310</v>
      </c>
      <c r="J8" s="68" t="s">
        <v>336</v>
      </c>
      <c r="K8" s="23" t="s">
        <v>362</v>
      </c>
      <c r="L8" s="3">
        <v>32785</v>
      </c>
      <c r="M8" s="27">
        <v>32</v>
      </c>
      <c r="N8" s="3" t="s">
        <v>27</v>
      </c>
      <c r="O8" s="25" t="s">
        <v>687</v>
      </c>
      <c r="P8" s="4" t="s">
        <v>212</v>
      </c>
      <c r="Q8" s="105">
        <v>45758</v>
      </c>
      <c r="R8" s="105">
        <v>45761</v>
      </c>
      <c r="S8" s="105">
        <v>45769</v>
      </c>
      <c r="T8" s="54">
        <f>MAX(0,S8-Q8)</f>
        <v>11</v>
      </c>
      <c r="U8" s="105">
        <v>45784</v>
      </c>
      <c r="V8" s="105">
        <v>45784</v>
      </c>
      <c r="W8" s="105">
        <v>45784</v>
      </c>
      <c r="X8" s="105">
        <v>45800</v>
      </c>
      <c r="Y8" s="105">
        <v>45802</v>
      </c>
      <c r="Z8" s="105">
        <v>45805</v>
      </c>
      <c r="AA8" s="105">
        <v>45805</v>
      </c>
      <c r="AB8" s="105">
        <v>45812</v>
      </c>
      <c r="AC8" s="105">
        <v>45814</v>
      </c>
      <c r="AD8" s="105">
        <v>45817</v>
      </c>
      <c r="AE8" s="69"/>
      <c r="AF8" s="16"/>
    </row>
    <row r="9" spans="1:32">
      <c r="A9" s="32">
        <f t="shared" si="0"/>
        <v>6</v>
      </c>
      <c r="B9" s="23" t="s">
        <v>204</v>
      </c>
      <c r="C9" s="3" t="s">
        <v>384</v>
      </c>
      <c r="D9" s="3" t="s">
        <v>29</v>
      </c>
      <c r="E9" s="3" t="s">
        <v>495</v>
      </c>
      <c r="F9" s="89" t="s">
        <v>944</v>
      </c>
      <c r="G9" s="24" t="s">
        <v>252</v>
      </c>
      <c r="H9" s="23"/>
      <c r="I9" s="23" t="s">
        <v>308</v>
      </c>
      <c r="J9" s="68" t="s">
        <v>334</v>
      </c>
      <c r="K9" s="23" t="s">
        <v>360</v>
      </c>
      <c r="L9" s="3">
        <v>31217</v>
      </c>
      <c r="M9" s="27">
        <v>32</v>
      </c>
      <c r="N9" s="3" t="s">
        <v>27</v>
      </c>
      <c r="O9" s="25" t="s">
        <v>687</v>
      </c>
      <c r="P9" s="4" t="s">
        <v>212</v>
      </c>
      <c r="Q9" s="105">
        <v>45758</v>
      </c>
      <c r="R9" s="105">
        <v>45761</v>
      </c>
      <c r="S9" s="105">
        <v>45769</v>
      </c>
      <c r="T9" s="54">
        <f>MAX(0,S9-Q9)</f>
        <v>11</v>
      </c>
      <c r="U9" s="105">
        <v>45784</v>
      </c>
      <c r="V9" s="105">
        <v>45784</v>
      </c>
      <c r="W9" s="105">
        <v>45784</v>
      </c>
      <c r="X9" s="105">
        <v>45794</v>
      </c>
      <c r="Y9" s="105">
        <v>45796</v>
      </c>
      <c r="Z9" s="105">
        <v>45802</v>
      </c>
      <c r="AA9" s="105">
        <v>45802</v>
      </c>
      <c r="AB9" s="105">
        <v>45808</v>
      </c>
      <c r="AC9" s="105">
        <v>45812</v>
      </c>
      <c r="AD9" s="105">
        <v>45814</v>
      </c>
      <c r="AE9" s="69"/>
      <c r="AF9" s="16"/>
    </row>
    <row r="10" spans="1:32">
      <c r="A10" s="32">
        <f t="shared" si="0"/>
        <v>7</v>
      </c>
      <c r="B10" s="23" t="s">
        <v>204</v>
      </c>
      <c r="C10" s="3" t="s">
        <v>384</v>
      </c>
      <c r="D10" s="3" t="s">
        <v>29</v>
      </c>
      <c r="E10" s="3" t="s">
        <v>503</v>
      </c>
      <c r="F10" s="3" t="s">
        <v>248</v>
      </c>
      <c r="G10" s="24" t="s">
        <v>249</v>
      </c>
      <c r="H10" s="23"/>
      <c r="I10" s="23" t="s">
        <v>306</v>
      </c>
      <c r="J10" s="68" t="s">
        <v>332</v>
      </c>
      <c r="K10" s="23" t="s">
        <v>358</v>
      </c>
      <c r="L10" s="3">
        <v>31539</v>
      </c>
      <c r="M10" s="27">
        <v>32</v>
      </c>
      <c r="N10" s="3" t="s">
        <v>27</v>
      </c>
      <c r="O10" s="25" t="s">
        <v>687</v>
      </c>
      <c r="P10" s="4" t="s">
        <v>212</v>
      </c>
      <c r="Q10" s="105">
        <v>45763</v>
      </c>
      <c r="R10" s="105">
        <v>45764</v>
      </c>
      <c r="S10" s="105">
        <v>45771</v>
      </c>
      <c r="T10" s="54">
        <f>MAX(0,S10-Q10)</f>
        <v>8</v>
      </c>
      <c r="U10" s="105">
        <v>45783</v>
      </c>
      <c r="V10" s="105">
        <v>45789</v>
      </c>
      <c r="W10" s="105">
        <v>45789</v>
      </c>
      <c r="X10" s="105">
        <v>45794</v>
      </c>
      <c r="Y10" s="105">
        <v>45796</v>
      </c>
      <c r="Z10" s="105">
        <v>45802</v>
      </c>
      <c r="AA10" s="105">
        <v>45802</v>
      </c>
      <c r="AB10" s="105">
        <v>45804</v>
      </c>
      <c r="AC10" s="105">
        <v>45809</v>
      </c>
      <c r="AD10" s="35">
        <v>45813</v>
      </c>
      <c r="AE10" s="69"/>
      <c r="AF10" s="16"/>
    </row>
    <row r="11" spans="1:32" ht="14.25" customHeight="1">
      <c r="A11" s="32">
        <f t="shared" si="0"/>
        <v>8</v>
      </c>
      <c r="B11" s="23" t="s">
        <v>204</v>
      </c>
      <c r="C11" s="3" t="s">
        <v>384</v>
      </c>
      <c r="D11" s="3" t="s">
        <v>29</v>
      </c>
      <c r="E11" s="3" t="s">
        <v>678</v>
      </c>
      <c r="F11" s="3" t="s">
        <v>93</v>
      </c>
      <c r="G11" s="3" t="s">
        <v>94</v>
      </c>
      <c r="H11" s="23"/>
      <c r="I11" s="23" t="s">
        <v>471</v>
      </c>
      <c r="J11" s="65">
        <v>255717174936</v>
      </c>
      <c r="K11" s="23" t="s">
        <v>534</v>
      </c>
      <c r="L11" s="3">
        <v>30713</v>
      </c>
      <c r="M11" s="23">
        <v>30</v>
      </c>
      <c r="N11" s="3" t="s">
        <v>27</v>
      </c>
      <c r="O11" s="25" t="s">
        <v>687</v>
      </c>
      <c r="P11" s="4" t="s">
        <v>212</v>
      </c>
      <c r="Q11" s="105">
        <v>45776</v>
      </c>
      <c r="R11" s="105">
        <v>45776</v>
      </c>
      <c r="S11" s="105">
        <v>45787</v>
      </c>
      <c r="T11" s="54">
        <f>MAX(0,S11-Q11)</f>
        <v>11</v>
      </c>
      <c r="U11" s="105">
        <v>45789</v>
      </c>
      <c r="V11" s="105">
        <v>45791</v>
      </c>
      <c r="W11" s="105">
        <v>45791</v>
      </c>
      <c r="X11" s="105">
        <v>45793</v>
      </c>
      <c r="Y11" s="105">
        <v>45800</v>
      </c>
      <c r="Z11" s="105">
        <v>45801</v>
      </c>
      <c r="AA11" s="105">
        <v>45801</v>
      </c>
      <c r="AB11" s="105">
        <v>45898</v>
      </c>
      <c r="AC11" s="105">
        <v>45809</v>
      </c>
      <c r="AD11" s="105">
        <v>45811</v>
      </c>
      <c r="AE11" s="67"/>
      <c r="AF11" s="16"/>
    </row>
    <row r="12" spans="1:32">
      <c r="A12" s="32">
        <f t="shared" si="0"/>
        <v>9</v>
      </c>
      <c r="B12" s="23" t="s">
        <v>204</v>
      </c>
      <c r="C12" s="3" t="s">
        <v>384</v>
      </c>
      <c r="D12" s="3" t="s">
        <v>29</v>
      </c>
      <c r="E12" s="3" t="s">
        <v>679</v>
      </c>
      <c r="F12" s="23" t="s">
        <v>90</v>
      </c>
      <c r="G12" s="64" t="s">
        <v>91</v>
      </c>
      <c r="H12" s="23" t="s">
        <v>92</v>
      </c>
      <c r="I12" s="64" t="s">
        <v>138</v>
      </c>
      <c r="J12" s="65" t="s">
        <v>167</v>
      </c>
      <c r="K12" s="3" t="s">
        <v>194</v>
      </c>
      <c r="L12" s="3">
        <v>36693</v>
      </c>
      <c r="M12" s="27">
        <v>36</v>
      </c>
      <c r="N12" s="3" t="s">
        <v>27</v>
      </c>
      <c r="O12" s="25" t="s">
        <v>687</v>
      </c>
      <c r="P12" s="4" t="s">
        <v>212</v>
      </c>
      <c r="Q12" s="105">
        <v>45775</v>
      </c>
      <c r="R12" s="105">
        <v>45776</v>
      </c>
      <c r="S12" s="105">
        <v>45787</v>
      </c>
      <c r="T12" s="54">
        <f t="shared" ref="T12:T19" si="2">MAX(0,S12-Q12)</f>
        <v>12</v>
      </c>
      <c r="U12" s="105">
        <v>45789</v>
      </c>
      <c r="V12" s="105">
        <v>45791</v>
      </c>
      <c r="W12" s="105">
        <v>45791</v>
      </c>
      <c r="X12" s="105">
        <v>45792</v>
      </c>
      <c r="Y12" s="105">
        <v>45800</v>
      </c>
      <c r="Z12" s="105">
        <v>45801</v>
      </c>
      <c r="AA12" s="105">
        <v>45801</v>
      </c>
      <c r="AB12" s="105">
        <v>45804</v>
      </c>
      <c r="AC12" s="105">
        <v>45806</v>
      </c>
      <c r="AD12" s="105">
        <v>45808</v>
      </c>
      <c r="AE12" s="67"/>
      <c r="AF12" s="16"/>
    </row>
    <row r="13" spans="1:32">
      <c r="A13" s="32">
        <f t="shared" si="0"/>
        <v>10</v>
      </c>
      <c r="B13" s="23" t="s">
        <v>204</v>
      </c>
      <c r="C13" s="3" t="s">
        <v>384</v>
      </c>
      <c r="D13" s="3" t="s">
        <v>29</v>
      </c>
      <c r="E13" s="3" t="s">
        <v>680</v>
      </c>
      <c r="F13" s="3" t="s">
        <v>444</v>
      </c>
      <c r="G13" s="3" t="s">
        <v>445</v>
      </c>
      <c r="H13" s="23"/>
      <c r="I13" s="23" t="s">
        <v>464</v>
      </c>
      <c r="J13" s="65">
        <v>255685835545</v>
      </c>
      <c r="K13" s="23" t="s">
        <v>483</v>
      </c>
      <c r="L13" s="3">
        <v>28905</v>
      </c>
      <c r="M13" s="23">
        <v>30</v>
      </c>
      <c r="N13" s="3" t="s">
        <v>27</v>
      </c>
      <c r="O13" s="25" t="s">
        <v>687</v>
      </c>
      <c r="P13" s="4" t="s">
        <v>212</v>
      </c>
      <c r="Q13" s="105">
        <v>45776</v>
      </c>
      <c r="R13" s="105">
        <v>45776</v>
      </c>
      <c r="S13" s="105">
        <v>45787</v>
      </c>
      <c r="T13" s="54">
        <f t="shared" si="2"/>
        <v>11</v>
      </c>
      <c r="U13" s="105">
        <v>45789</v>
      </c>
      <c r="V13" s="105">
        <v>45791</v>
      </c>
      <c r="W13" s="105">
        <v>45791</v>
      </c>
      <c r="X13" s="105">
        <v>45793</v>
      </c>
      <c r="Y13" s="105">
        <v>45796</v>
      </c>
      <c r="Z13" s="105">
        <v>45801</v>
      </c>
      <c r="AA13" s="105">
        <v>45801</v>
      </c>
      <c r="AB13" s="105">
        <v>45804</v>
      </c>
      <c r="AC13" s="105">
        <v>45806</v>
      </c>
      <c r="AD13" s="105">
        <v>45808</v>
      </c>
      <c r="AE13" s="67"/>
      <c r="AF13" s="16"/>
    </row>
    <row r="14" spans="1:32">
      <c r="A14" s="32">
        <f t="shared" si="0"/>
        <v>11</v>
      </c>
      <c r="B14" s="23" t="s">
        <v>204</v>
      </c>
      <c r="C14" s="3" t="s">
        <v>384</v>
      </c>
      <c r="D14" s="3" t="s">
        <v>29</v>
      </c>
      <c r="E14" s="3" t="s">
        <v>497</v>
      </c>
      <c r="F14" s="23" t="s">
        <v>261</v>
      </c>
      <c r="G14" s="24" t="s">
        <v>262</v>
      </c>
      <c r="H14" s="23"/>
      <c r="I14" s="23" t="s">
        <v>313</v>
      </c>
      <c r="J14" s="68" t="s">
        <v>339</v>
      </c>
      <c r="K14" s="23" t="s">
        <v>365</v>
      </c>
      <c r="L14" s="3">
        <v>31385</v>
      </c>
      <c r="M14" s="27">
        <v>32</v>
      </c>
      <c r="N14" s="3" t="s">
        <v>27</v>
      </c>
      <c r="O14" s="25" t="s">
        <v>687</v>
      </c>
      <c r="P14" s="4" t="s">
        <v>212</v>
      </c>
      <c r="Q14" s="105">
        <v>45758</v>
      </c>
      <c r="R14" s="105">
        <v>45761</v>
      </c>
      <c r="S14" s="105">
        <v>45769</v>
      </c>
      <c r="T14" s="54">
        <f t="shared" si="2"/>
        <v>11</v>
      </c>
      <c r="U14" s="105">
        <v>45784</v>
      </c>
      <c r="V14" s="105">
        <v>45784</v>
      </c>
      <c r="W14" s="105">
        <v>45784</v>
      </c>
      <c r="X14" s="105">
        <v>45794</v>
      </c>
      <c r="Y14" s="105">
        <v>45796</v>
      </c>
      <c r="Z14" s="105">
        <v>45800</v>
      </c>
      <c r="AA14" s="105">
        <v>45800</v>
      </c>
      <c r="AB14" s="105">
        <v>45804</v>
      </c>
      <c r="AC14" s="105">
        <v>45809</v>
      </c>
      <c r="AD14" s="105">
        <v>45810</v>
      </c>
      <c r="AE14" s="69"/>
      <c r="AF14" s="16"/>
    </row>
    <row r="15" spans="1:32" ht="13.5" customHeight="1">
      <c r="A15" s="32">
        <f t="shared" si="0"/>
        <v>12</v>
      </c>
      <c r="B15" s="23" t="s">
        <v>204</v>
      </c>
      <c r="C15" s="3" t="s">
        <v>384</v>
      </c>
      <c r="D15" s="3" t="s">
        <v>29</v>
      </c>
      <c r="E15" s="3" t="s">
        <v>499</v>
      </c>
      <c r="F15" s="23" t="s">
        <v>259</v>
      </c>
      <c r="G15" s="24" t="s">
        <v>260</v>
      </c>
      <c r="H15" s="23"/>
      <c r="I15" s="23" t="s">
        <v>312</v>
      </c>
      <c r="J15" s="68" t="s">
        <v>338</v>
      </c>
      <c r="K15" s="23" t="s">
        <v>364</v>
      </c>
      <c r="L15" s="3">
        <v>31007</v>
      </c>
      <c r="M15" s="27">
        <v>32</v>
      </c>
      <c r="N15" s="3" t="s">
        <v>27</v>
      </c>
      <c r="O15" s="25" t="s">
        <v>687</v>
      </c>
      <c r="P15" s="4" t="s">
        <v>212</v>
      </c>
      <c r="Q15" s="105">
        <v>45758</v>
      </c>
      <c r="R15" s="105">
        <v>45761</v>
      </c>
      <c r="S15" s="105">
        <v>45769</v>
      </c>
      <c r="T15" s="54">
        <f t="shared" si="2"/>
        <v>11</v>
      </c>
      <c r="U15" s="105">
        <v>45784</v>
      </c>
      <c r="V15" s="105">
        <v>45784</v>
      </c>
      <c r="W15" s="105">
        <v>45784</v>
      </c>
      <c r="X15" s="105">
        <v>45794</v>
      </c>
      <c r="Y15" s="105">
        <v>45796</v>
      </c>
      <c r="Z15" s="105">
        <v>45802</v>
      </c>
      <c r="AA15" s="105">
        <v>45802</v>
      </c>
      <c r="AB15" s="105">
        <v>45804</v>
      </c>
      <c r="AC15" s="105">
        <v>45809</v>
      </c>
      <c r="AD15" s="105">
        <v>45810</v>
      </c>
      <c r="AE15" s="67"/>
      <c r="AF15" s="16"/>
    </row>
    <row r="16" spans="1:32">
      <c r="A16" s="32">
        <f t="shared" si="0"/>
        <v>13</v>
      </c>
      <c r="B16" s="23" t="s">
        <v>204</v>
      </c>
      <c r="C16" s="3" t="s">
        <v>384</v>
      </c>
      <c r="D16" s="3" t="s">
        <v>29</v>
      </c>
      <c r="E16" s="3" t="s">
        <v>502</v>
      </c>
      <c r="F16" s="3" t="s">
        <v>246</v>
      </c>
      <c r="G16" s="24" t="s">
        <v>247</v>
      </c>
      <c r="H16" s="23"/>
      <c r="I16" s="23" t="s">
        <v>305</v>
      </c>
      <c r="J16" s="68" t="s">
        <v>331</v>
      </c>
      <c r="K16" s="23" t="s">
        <v>357</v>
      </c>
      <c r="L16" s="3">
        <v>31258</v>
      </c>
      <c r="M16" s="27">
        <v>32</v>
      </c>
      <c r="N16" s="3" t="s">
        <v>27</v>
      </c>
      <c r="O16" s="25" t="s">
        <v>687</v>
      </c>
      <c r="P16" s="4" t="s">
        <v>212</v>
      </c>
      <c r="Q16" s="105">
        <v>45763</v>
      </c>
      <c r="R16" s="105">
        <v>45764</v>
      </c>
      <c r="S16" s="105">
        <v>45771</v>
      </c>
      <c r="T16" s="54">
        <f t="shared" si="2"/>
        <v>8</v>
      </c>
      <c r="U16" s="105">
        <v>45783</v>
      </c>
      <c r="V16" s="105">
        <v>45789</v>
      </c>
      <c r="W16" s="105">
        <v>45789</v>
      </c>
      <c r="X16" s="105">
        <v>45794</v>
      </c>
      <c r="Y16" s="105">
        <v>45796</v>
      </c>
      <c r="Z16" s="105">
        <v>45802</v>
      </c>
      <c r="AA16" s="105">
        <v>45802</v>
      </c>
      <c r="AB16" s="105">
        <v>45804</v>
      </c>
      <c r="AC16" s="105">
        <v>45809</v>
      </c>
      <c r="AD16" s="105">
        <v>45810</v>
      </c>
      <c r="AE16" s="69"/>
      <c r="AF16" s="16"/>
    </row>
    <row r="17" spans="1:32">
      <c r="A17" s="32">
        <f t="shared" si="0"/>
        <v>14</v>
      </c>
      <c r="B17" s="23" t="s">
        <v>204</v>
      </c>
      <c r="C17" s="3" t="s">
        <v>384</v>
      </c>
      <c r="D17" s="3" t="s">
        <v>29</v>
      </c>
      <c r="E17" s="3" t="s">
        <v>670</v>
      </c>
      <c r="F17" s="3" t="s">
        <v>516</v>
      </c>
      <c r="G17" s="3" t="s">
        <v>520</v>
      </c>
      <c r="H17" s="3" t="s">
        <v>521</v>
      </c>
      <c r="I17" s="54" t="s">
        <v>525</v>
      </c>
      <c r="J17" s="65" t="s">
        <v>529</v>
      </c>
      <c r="K17" s="3" t="s">
        <v>532</v>
      </c>
      <c r="L17" s="3">
        <v>36277</v>
      </c>
      <c r="M17" s="23">
        <v>36</v>
      </c>
      <c r="N17" s="3" t="s">
        <v>27</v>
      </c>
      <c r="O17" s="25" t="s">
        <v>687</v>
      </c>
      <c r="P17" s="4" t="s">
        <v>212</v>
      </c>
      <c r="Q17" s="105">
        <v>45777</v>
      </c>
      <c r="R17" s="105">
        <v>45779</v>
      </c>
      <c r="S17" s="105">
        <v>45787</v>
      </c>
      <c r="T17" s="54">
        <f t="shared" si="2"/>
        <v>10</v>
      </c>
      <c r="U17" s="105">
        <v>45789</v>
      </c>
      <c r="V17" s="105">
        <v>45791</v>
      </c>
      <c r="W17" s="105">
        <v>45791</v>
      </c>
      <c r="X17" s="105">
        <v>45793</v>
      </c>
      <c r="Y17" s="105">
        <v>45796</v>
      </c>
      <c r="Z17" s="105">
        <v>45797</v>
      </c>
      <c r="AA17" s="105">
        <v>45797</v>
      </c>
      <c r="AB17" s="105">
        <v>45800</v>
      </c>
      <c r="AC17" s="105">
        <v>45803</v>
      </c>
      <c r="AD17" s="105">
        <v>45806</v>
      </c>
      <c r="AE17" s="67"/>
      <c r="AF17" s="16"/>
    </row>
    <row r="18" spans="1:32">
      <c r="A18" s="32">
        <f t="shared" si="0"/>
        <v>15</v>
      </c>
      <c r="B18" s="23" t="s">
        <v>204</v>
      </c>
      <c r="C18" s="3" t="s">
        <v>384</v>
      </c>
      <c r="D18" s="3" t="s">
        <v>29</v>
      </c>
      <c r="E18" s="3" t="s">
        <v>675</v>
      </c>
      <c r="F18" s="23" t="s">
        <v>250</v>
      </c>
      <c r="G18" s="24" t="s">
        <v>251</v>
      </c>
      <c r="H18" s="23"/>
      <c r="I18" s="24" t="s">
        <v>307</v>
      </c>
      <c r="J18" s="68" t="s">
        <v>333</v>
      </c>
      <c r="K18" s="23" t="s">
        <v>359</v>
      </c>
      <c r="L18" s="3">
        <v>30783</v>
      </c>
      <c r="M18" s="27">
        <v>32</v>
      </c>
      <c r="N18" s="3" t="s">
        <v>27</v>
      </c>
      <c r="O18" s="25" t="s">
        <v>687</v>
      </c>
      <c r="P18" s="4" t="s">
        <v>212</v>
      </c>
      <c r="Q18" s="105">
        <v>45758</v>
      </c>
      <c r="R18" s="105">
        <v>45761</v>
      </c>
      <c r="S18" s="105">
        <v>45769</v>
      </c>
      <c r="T18" s="54">
        <f t="shared" si="2"/>
        <v>11</v>
      </c>
      <c r="U18" s="105">
        <v>45784</v>
      </c>
      <c r="V18" s="105">
        <v>45784</v>
      </c>
      <c r="W18" s="105">
        <v>45784</v>
      </c>
      <c r="X18" s="105">
        <v>45794</v>
      </c>
      <c r="Y18" s="105">
        <v>45796</v>
      </c>
      <c r="Z18" s="105">
        <v>45800</v>
      </c>
      <c r="AA18" s="105">
        <v>45800</v>
      </c>
      <c r="AB18" s="105">
        <v>45804</v>
      </c>
      <c r="AC18" s="105">
        <v>45804</v>
      </c>
      <c r="AD18" s="105">
        <v>45806</v>
      </c>
      <c r="AE18" s="67"/>
      <c r="AF18" s="16"/>
    </row>
    <row r="19" spans="1:32">
      <c r="A19" s="32">
        <f t="shared" si="0"/>
        <v>16</v>
      </c>
      <c r="B19" s="23" t="s">
        <v>204</v>
      </c>
      <c r="C19" s="3" t="s">
        <v>384</v>
      </c>
      <c r="D19" s="3" t="s">
        <v>29</v>
      </c>
      <c r="E19" s="3" t="s">
        <v>715</v>
      </c>
      <c r="F19" s="3" t="s">
        <v>458</v>
      </c>
      <c r="G19" s="3" t="s">
        <v>459</v>
      </c>
      <c r="H19" s="23"/>
      <c r="I19" s="23" t="s">
        <v>472</v>
      </c>
      <c r="J19" s="65" t="s">
        <v>480</v>
      </c>
      <c r="K19" s="23" t="s">
        <v>489</v>
      </c>
      <c r="L19" s="3">
        <v>30195</v>
      </c>
      <c r="M19" s="23">
        <v>30</v>
      </c>
      <c r="N19" s="3" t="s">
        <v>27</v>
      </c>
      <c r="O19" s="25" t="s">
        <v>687</v>
      </c>
      <c r="P19" s="4" t="s">
        <v>212</v>
      </c>
      <c r="Q19" s="105">
        <v>45779</v>
      </c>
      <c r="R19" s="105">
        <v>45782</v>
      </c>
      <c r="S19" s="105">
        <v>45790</v>
      </c>
      <c r="T19" s="54">
        <f t="shared" si="2"/>
        <v>11</v>
      </c>
      <c r="U19" s="105">
        <v>45792</v>
      </c>
      <c r="V19" s="105">
        <v>45795</v>
      </c>
      <c r="W19" s="105">
        <v>45795</v>
      </c>
      <c r="X19" s="105">
        <v>45796</v>
      </c>
      <c r="Y19" s="105">
        <v>45798</v>
      </c>
      <c r="Z19" s="105">
        <v>45800</v>
      </c>
      <c r="AA19" s="105">
        <v>45800</v>
      </c>
      <c r="AB19" s="105">
        <v>45802</v>
      </c>
      <c r="AC19" s="105">
        <v>45804</v>
      </c>
      <c r="AD19" s="105">
        <v>45898</v>
      </c>
      <c r="AE19" s="67"/>
      <c r="AF19" s="16"/>
    </row>
    <row r="20" spans="1:32">
      <c r="A20" s="32">
        <f t="shared" si="0"/>
        <v>17</v>
      </c>
      <c r="B20" s="23" t="s">
        <v>204</v>
      </c>
      <c r="C20" s="3" t="s">
        <v>384</v>
      </c>
      <c r="D20" s="3" t="s">
        <v>29</v>
      </c>
      <c r="E20" s="3" t="s">
        <v>681</v>
      </c>
      <c r="F20" s="23" t="s">
        <v>388</v>
      </c>
      <c r="G20" s="64" t="s">
        <v>389</v>
      </c>
      <c r="H20" s="23" t="s">
        <v>390</v>
      </c>
      <c r="I20" s="64" t="s">
        <v>411</v>
      </c>
      <c r="J20" s="65" t="s">
        <v>426</v>
      </c>
      <c r="K20" s="3" t="s">
        <v>419</v>
      </c>
      <c r="L20" s="3">
        <v>34369</v>
      </c>
      <c r="M20" s="27">
        <v>35</v>
      </c>
      <c r="N20" s="3" t="s">
        <v>27</v>
      </c>
      <c r="O20" s="25" t="s">
        <v>687</v>
      </c>
      <c r="P20" s="4" t="s">
        <v>212</v>
      </c>
      <c r="Q20" s="105">
        <v>45772</v>
      </c>
      <c r="R20" s="105">
        <v>45772</v>
      </c>
      <c r="S20" s="105">
        <v>45785</v>
      </c>
      <c r="T20" s="54">
        <f t="shared" si="1"/>
        <v>13</v>
      </c>
      <c r="U20" s="105">
        <v>45785</v>
      </c>
      <c r="V20" s="105">
        <v>45787</v>
      </c>
      <c r="W20" s="105">
        <v>45787</v>
      </c>
      <c r="X20" s="105">
        <v>45789</v>
      </c>
      <c r="Y20" s="105">
        <v>45792</v>
      </c>
      <c r="Z20" s="105">
        <v>45793</v>
      </c>
      <c r="AA20" s="105">
        <v>45793</v>
      </c>
      <c r="AB20" s="105">
        <v>45795</v>
      </c>
      <c r="AC20" s="105">
        <v>45798</v>
      </c>
      <c r="AD20" s="105">
        <v>45805</v>
      </c>
      <c r="AE20" s="67"/>
      <c r="AF20" s="16"/>
    </row>
    <row r="21" spans="1:32">
      <c r="A21" s="32">
        <f t="shared" si="0"/>
        <v>18</v>
      </c>
      <c r="B21" s="23" t="s">
        <v>204</v>
      </c>
      <c r="C21" s="3" t="s">
        <v>384</v>
      </c>
      <c r="D21" s="3" t="s">
        <v>29</v>
      </c>
      <c r="E21" s="3" t="s">
        <v>671</v>
      </c>
      <c r="F21" s="3" t="s">
        <v>514</v>
      </c>
      <c r="G21" s="3" t="s">
        <v>518</v>
      </c>
      <c r="H21" s="3"/>
      <c r="I21" s="54" t="s">
        <v>523</v>
      </c>
      <c r="J21" s="65" t="s">
        <v>527</v>
      </c>
      <c r="K21" s="3" t="s">
        <v>533</v>
      </c>
      <c r="L21" s="3">
        <v>36600</v>
      </c>
      <c r="M21" s="23">
        <v>36</v>
      </c>
      <c r="N21" s="3" t="s">
        <v>27</v>
      </c>
      <c r="O21" s="25" t="s">
        <v>687</v>
      </c>
      <c r="P21" s="4" t="s">
        <v>212</v>
      </c>
      <c r="Q21" s="105">
        <v>45778</v>
      </c>
      <c r="R21" s="105">
        <v>45779</v>
      </c>
      <c r="S21" s="105">
        <v>45787</v>
      </c>
      <c r="T21" s="54">
        <f>MAX(0,S21-Q21)</f>
        <v>9</v>
      </c>
      <c r="U21" s="105">
        <v>45789</v>
      </c>
      <c r="V21" s="105">
        <v>45791</v>
      </c>
      <c r="W21" s="105">
        <v>45791</v>
      </c>
      <c r="X21" s="105">
        <v>45792</v>
      </c>
      <c r="Y21" s="105">
        <v>45795</v>
      </c>
      <c r="Z21" s="105">
        <v>45798</v>
      </c>
      <c r="AA21" s="105">
        <v>45798</v>
      </c>
      <c r="AB21" s="105">
        <v>45800</v>
      </c>
      <c r="AC21" s="105">
        <v>45803</v>
      </c>
      <c r="AD21" s="105">
        <v>45805</v>
      </c>
      <c r="AE21" s="67"/>
      <c r="AF21" s="16"/>
    </row>
    <row r="22" spans="1:32">
      <c r="A22" s="32">
        <f t="shared" si="0"/>
        <v>19</v>
      </c>
      <c r="B22" s="23" t="s">
        <v>204</v>
      </c>
      <c r="C22" s="3" t="s">
        <v>384</v>
      </c>
      <c r="D22" s="3" t="s">
        <v>29</v>
      </c>
      <c r="E22" s="3" t="s">
        <v>684</v>
      </c>
      <c r="F22" s="3" t="s">
        <v>456</v>
      </c>
      <c r="G22" s="3" t="s">
        <v>457</v>
      </c>
      <c r="H22" s="23"/>
      <c r="I22" s="23" t="s">
        <v>470</v>
      </c>
      <c r="J22" s="65" t="s">
        <v>479</v>
      </c>
      <c r="K22" s="23" t="s">
        <v>490</v>
      </c>
      <c r="L22" s="3">
        <v>30386</v>
      </c>
      <c r="M22" s="23">
        <v>30</v>
      </c>
      <c r="N22" s="3" t="s">
        <v>27</v>
      </c>
      <c r="O22" s="25" t="s">
        <v>687</v>
      </c>
      <c r="P22" s="4" t="s">
        <v>212</v>
      </c>
      <c r="Q22" s="105">
        <v>45772</v>
      </c>
      <c r="R22" s="105">
        <v>45772</v>
      </c>
      <c r="S22" s="105">
        <v>45785</v>
      </c>
      <c r="T22" s="54">
        <f>MAX(0,S22-Q22)</f>
        <v>13</v>
      </c>
      <c r="U22" s="105">
        <v>45785</v>
      </c>
      <c r="V22" s="105">
        <v>45787</v>
      </c>
      <c r="W22" s="105">
        <v>45787</v>
      </c>
      <c r="X22" s="105">
        <v>45792</v>
      </c>
      <c r="Y22" s="105">
        <v>45795</v>
      </c>
      <c r="Z22" s="105">
        <v>45796</v>
      </c>
      <c r="AA22" s="105">
        <v>45796</v>
      </c>
      <c r="AB22" s="105">
        <v>45800</v>
      </c>
      <c r="AC22" s="105">
        <v>45804</v>
      </c>
      <c r="AD22" s="105">
        <v>45805</v>
      </c>
      <c r="AE22" s="67"/>
      <c r="AF22" s="16"/>
    </row>
    <row r="23" spans="1:32">
      <c r="A23" s="32">
        <f t="shared" si="0"/>
        <v>20</v>
      </c>
      <c r="B23" s="23" t="s">
        <v>204</v>
      </c>
      <c r="C23" s="3" t="s">
        <v>384</v>
      </c>
      <c r="D23" s="3" t="s">
        <v>29</v>
      </c>
      <c r="E23" s="3" t="s">
        <v>686</v>
      </c>
      <c r="F23" s="23" t="s">
        <v>407</v>
      </c>
      <c r="G23" s="64" t="s">
        <v>408</v>
      </c>
      <c r="H23" s="23" t="s">
        <v>409</v>
      </c>
      <c r="I23" s="64" t="s">
        <v>417</v>
      </c>
      <c r="J23" s="65" t="s">
        <v>432</v>
      </c>
      <c r="K23" s="3" t="s">
        <v>424</v>
      </c>
      <c r="L23" s="3">
        <v>34096</v>
      </c>
      <c r="M23" s="27">
        <v>35</v>
      </c>
      <c r="N23" s="3" t="s">
        <v>27</v>
      </c>
      <c r="O23" s="25" t="s">
        <v>687</v>
      </c>
      <c r="P23" s="4" t="s">
        <v>212</v>
      </c>
      <c r="Q23" s="105">
        <v>45772</v>
      </c>
      <c r="R23" s="105">
        <v>45772</v>
      </c>
      <c r="S23" s="105">
        <v>45785</v>
      </c>
      <c r="T23" s="54">
        <f t="shared" ref="T23:T29" si="3">MAX(0,S23-Q23)</f>
        <v>13</v>
      </c>
      <c r="U23" s="105">
        <v>45785</v>
      </c>
      <c r="V23" s="105">
        <v>45787</v>
      </c>
      <c r="W23" s="105">
        <v>45787</v>
      </c>
      <c r="X23" s="105">
        <v>45789</v>
      </c>
      <c r="Y23" s="105">
        <v>45792</v>
      </c>
      <c r="Z23" s="105">
        <v>45793</v>
      </c>
      <c r="AA23" s="105">
        <v>45793</v>
      </c>
      <c r="AB23" s="105">
        <v>45795</v>
      </c>
      <c r="AC23" s="105">
        <v>45798</v>
      </c>
      <c r="AD23" s="105">
        <v>45800</v>
      </c>
      <c r="AE23" s="67"/>
      <c r="AF23" s="16"/>
    </row>
    <row r="24" spans="1:32">
      <c r="A24" s="32">
        <f t="shared" si="0"/>
        <v>21</v>
      </c>
      <c r="B24" s="23" t="s">
        <v>204</v>
      </c>
      <c r="C24" s="3" t="s">
        <v>384</v>
      </c>
      <c r="D24" s="3" t="s">
        <v>29</v>
      </c>
      <c r="E24" s="3" t="s">
        <v>673</v>
      </c>
      <c r="F24" s="3" t="s">
        <v>462</v>
      </c>
      <c r="G24" s="3" t="s">
        <v>463</v>
      </c>
      <c r="H24" s="23"/>
      <c r="I24" s="23" t="s">
        <v>474</v>
      </c>
      <c r="J24" s="65" t="s">
        <v>482</v>
      </c>
      <c r="K24" s="23" t="s">
        <v>487</v>
      </c>
      <c r="L24" s="3">
        <v>31120</v>
      </c>
      <c r="M24" s="23">
        <v>31</v>
      </c>
      <c r="N24" s="3" t="s">
        <v>27</v>
      </c>
      <c r="O24" s="25" t="s">
        <v>687</v>
      </c>
      <c r="P24" s="4" t="s">
        <v>212</v>
      </c>
      <c r="Q24" s="105">
        <v>45776</v>
      </c>
      <c r="R24" s="105">
        <v>45779</v>
      </c>
      <c r="S24" s="105">
        <v>45787</v>
      </c>
      <c r="T24" s="54">
        <f t="shared" si="3"/>
        <v>11</v>
      </c>
      <c r="U24" s="105">
        <v>45789</v>
      </c>
      <c r="V24" s="105">
        <v>45791</v>
      </c>
      <c r="W24" s="105">
        <v>45791</v>
      </c>
      <c r="X24" s="105">
        <v>45792</v>
      </c>
      <c r="Y24" s="105">
        <v>45795</v>
      </c>
      <c r="Z24" s="105">
        <v>45796</v>
      </c>
      <c r="AA24" s="105">
        <v>45796</v>
      </c>
      <c r="AB24" s="105">
        <v>45800</v>
      </c>
      <c r="AC24" s="105">
        <v>45802</v>
      </c>
      <c r="AD24" s="105">
        <v>45803</v>
      </c>
      <c r="AE24" s="67"/>
      <c r="AF24" s="16"/>
    </row>
    <row r="25" spans="1:32">
      <c r="A25" s="32">
        <f t="shared" si="0"/>
        <v>22</v>
      </c>
      <c r="B25" s="23" t="s">
        <v>204</v>
      </c>
      <c r="C25" s="3" t="s">
        <v>384</v>
      </c>
      <c r="D25" s="3" t="s">
        <v>29</v>
      </c>
      <c r="E25" s="3" t="s">
        <v>682</v>
      </c>
      <c r="F25" s="3" t="s">
        <v>448</v>
      </c>
      <c r="G25" s="3" t="s">
        <v>449</v>
      </c>
      <c r="H25" s="23"/>
      <c r="I25" s="23" t="s">
        <v>466</v>
      </c>
      <c r="J25" s="65" t="s">
        <v>476</v>
      </c>
      <c r="K25" s="23" t="s">
        <v>485</v>
      </c>
      <c r="L25" s="3">
        <v>30692</v>
      </c>
      <c r="M25" s="23">
        <v>30</v>
      </c>
      <c r="N25" s="3" t="s">
        <v>27</v>
      </c>
      <c r="O25" s="25" t="s">
        <v>687</v>
      </c>
      <c r="P25" s="4" t="s">
        <v>212</v>
      </c>
      <c r="Q25" s="105">
        <v>45772</v>
      </c>
      <c r="R25" s="105">
        <v>45772</v>
      </c>
      <c r="S25" s="105">
        <v>45785</v>
      </c>
      <c r="T25" s="54">
        <f t="shared" si="3"/>
        <v>13</v>
      </c>
      <c r="U25" s="105">
        <v>45785</v>
      </c>
      <c r="V25" s="105">
        <v>45787</v>
      </c>
      <c r="W25" s="105">
        <v>45787</v>
      </c>
      <c r="X25" s="105">
        <v>45788</v>
      </c>
      <c r="Y25" s="105">
        <v>45791</v>
      </c>
      <c r="Z25" s="105">
        <v>45795</v>
      </c>
      <c r="AA25" s="105">
        <v>45795</v>
      </c>
      <c r="AB25" s="105">
        <v>45797</v>
      </c>
      <c r="AC25" s="105">
        <v>45801</v>
      </c>
      <c r="AD25" s="105">
        <v>45803</v>
      </c>
      <c r="AE25" s="67"/>
      <c r="AF25" s="16"/>
    </row>
    <row r="26" spans="1:32">
      <c r="A26" s="32">
        <f t="shared" si="0"/>
        <v>23</v>
      </c>
      <c r="B26" s="23" t="s">
        <v>204</v>
      </c>
      <c r="C26" s="3" t="s">
        <v>384</v>
      </c>
      <c r="D26" s="3" t="s">
        <v>29</v>
      </c>
      <c r="E26" s="3" t="s">
        <v>672</v>
      </c>
      <c r="F26" s="3" t="s">
        <v>515</v>
      </c>
      <c r="G26" s="3" t="s">
        <v>519</v>
      </c>
      <c r="H26" s="3"/>
      <c r="I26" s="23" t="s">
        <v>524</v>
      </c>
      <c r="J26" s="65" t="s">
        <v>528</v>
      </c>
      <c r="K26" s="27" t="s">
        <v>531</v>
      </c>
      <c r="L26" s="3">
        <v>32372</v>
      </c>
      <c r="M26" s="23">
        <v>32</v>
      </c>
      <c r="N26" s="3" t="s">
        <v>27</v>
      </c>
      <c r="O26" s="25" t="s">
        <v>687</v>
      </c>
      <c r="P26" s="4" t="s">
        <v>212</v>
      </c>
      <c r="Q26" s="105">
        <v>45777</v>
      </c>
      <c r="R26" s="105">
        <v>45779</v>
      </c>
      <c r="S26" s="105">
        <v>45787</v>
      </c>
      <c r="T26" s="54">
        <f t="shared" si="3"/>
        <v>10</v>
      </c>
      <c r="U26" s="105">
        <v>45789</v>
      </c>
      <c r="V26" s="105">
        <v>45791</v>
      </c>
      <c r="W26" s="105">
        <v>45791</v>
      </c>
      <c r="X26" s="105">
        <v>45792</v>
      </c>
      <c r="Y26" s="105">
        <v>45795</v>
      </c>
      <c r="Z26" s="105">
        <v>45795</v>
      </c>
      <c r="AA26" s="105">
        <v>45795</v>
      </c>
      <c r="AB26" s="105">
        <v>45799</v>
      </c>
      <c r="AC26" s="105">
        <v>45800</v>
      </c>
      <c r="AD26" s="105">
        <v>45801</v>
      </c>
      <c r="AE26" s="67"/>
      <c r="AF26" s="16"/>
    </row>
    <row r="27" spans="1:32">
      <c r="A27" s="32">
        <f t="shared" si="0"/>
        <v>24</v>
      </c>
      <c r="B27" s="23" t="s">
        <v>204</v>
      </c>
      <c r="C27" s="3" t="s">
        <v>384</v>
      </c>
      <c r="D27" s="3" t="s">
        <v>29</v>
      </c>
      <c r="E27" s="3" t="s">
        <v>509</v>
      </c>
      <c r="F27" s="3" t="s">
        <v>450</v>
      </c>
      <c r="G27" s="3" t="s">
        <v>451</v>
      </c>
      <c r="H27" s="23"/>
      <c r="I27" s="23" t="s">
        <v>467</v>
      </c>
      <c r="J27" s="70" t="s">
        <v>688</v>
      </c>
      <c r="K27" s="23" t="s">
        <v>488</v>
      </c>
      <c r="L27" s="3">
        <v>30673</v>
      </c>
      <c r="M27" s="23">
        <v>30</v>
      </c>
      <c r="N27" s="3" t="s">
        <v>27</v>
      </c>
      <c r="O27" s="25" t="s">
        <v>687</v>
      </c>
      <c r="P27" s="4" t="s">
        <v>212</v>
      </c>
      <c r="Q27" s="105">
        <v>45768</v>
      </c>
      <c r="R27" s="105">
        <v>45771</v>
      </c>
      <c r="S27" s="105">
        <v>45778</v>
      </c>
      <c r="T27" s="54">
        <f t="shared" si="3"/>
        <v>10</v>
      </c>
      <c r="U27" s="105">
        <v>45779</v>
      </c>
      <c r="V27" s="105">
        <v>45783</v>
      </c>
      <c r="W27" s="105">
        <v>45783</v>
      </c>
      <c r="X27" s="105">
        <v>45785</v>
      </c>
      <c r="Y27" s="105">
        <v>45788</v>
      </c>
      <c r="Z27" s="105">
        <v>45792</v>
      </c>
      <c r="AA27" s="105">
        <v>45792</v>
      </c>
      <c r="AB27" s="105">
        <v>45794</v>
      </c>
      <c r="AC27" s="105">
        <v>45796</v>
      </c>
      <c r="AD27" s="105">
        <v>45799</v>
      </c>
      <c r="AE27" s="67"/>
      <c r="AF27" s="16"/>
    </row>
    <row r="28" spans="1:32">
      <c r="A28" s="32">
        <f t="shared" si="0"/>
        <v>25</v>
      </c>
      <c r="B28" s="23" t="s">
        <v>204</v>
      </c>
      <c r="C28" s="3" t="s">
        <v>384</v>
      </c>
      <c r="D28" s="3" t="s">
        <v>29</v>
      </c>
      <c r="E28" s="3" t="s">
        <v>512</v>
      </c>
      <c r="F28" s="3" t="s">
        <v>446</v>
      </c>
      <c r="G28" s="3" t="s">
        <v>447</v>
      </c>
      <c r="H28" s="23"/>
      <c r="I28" s="23" t="s">
        <v>465</v>
      </c>
      <c r="J28" s="65" t="s">
        <v>475</v>
      </c>
      <c r="K28" s="23" t="s">
        <v>484</v>
      </c>
      <c r="L28" s="3">
        <v>29498</v>
      </c>
      <c r="M28" s="23">
        <v>30</v>
      </c>
      <c r="N28" s="3" t="s">
        <v>27</v>
      </c>
      <c r="O28" s="25" t="s">
        <v>687</v>
      </c>
      <c r="P28" s="4" t="s">
        <v>212</v>
      </c>
      <c r="Q28" s="105">
        <v>45772</v>
      </c>
      <c r="R28" s="105">
        <v>45772</v>
      </c>
      <c r="S28" s="105">
        <v>45785</v>
      </c>
      <c r="T28" s="54">
        <f t="shared" si="3"/>
        <v>13</v>
      </c>
      <c r="U28" s="105">
        <v>45785</v>
      </c>
      <c r="V28" s="105">
        <v>45787</v>
      </c>
      <c r="W28" s="105">
        <v>45787</v>
      </c>
      <c r="X28" s="105">
        <v>45789</v>
      </c>
      <c r="Y28" s="105">
        <v>45792</v>
      </c>
      <c r="Z28" s="105">
        <v>45793</v>
      </c>
      <c r="AA28" s="105">
        <v>45793</v>
      </c>
      <c r="AB28" s="105">
        <v>45795</v>
      </c>
      <c r="AC28" s="105">
        <v>45798</v>
      </c>
      <c r="AD28" s="105">
        <v>45800</v>
      </c>
      <c r="AE28" s="67"/>
      <c r="AF28" s="16"/>
    </row>
    <row r="29" spans="1:32">
      <c r="A29" s="32">
        <f t="shared" si="0"/>
        <v>26</v>
      </c>
      <c r="B29" s="23" t="s">
        <v>204</v>
      </c>
      <c r="C29" s="3" t="s">
        <v>384</v>
      </c>
      <c r="D29" s="3" t="s">
        <v>29</v>
      </c>
      <c r="E29" s="3" t="s">
        <v>683</v>
      </c>
      <c r="F29" s="23" t="s">
        <v>399</v>
      </c>
      <c r="G29" s="64" t="s">
        <v>400</v>
      </c>
      <c r="H29" s="23"/>
      <c r="I29" s="64" t="s">
        <v>414</v>
      </c>
      <c r="J29" s="65" t="s">
        <v>429</v>
      </c>
      <c r="K29" s="3" t="s">
        <v>492</v>
      </c>
      <c r="L29" s="3">
        <v>30689</v>
      </c>
      <c r="M29" s="27">
        <v>30</v>
      </c>
      <c r="N29" s="3" t="s">
        <v>27</v>
      </c>
      <c r="O29" s="25" t="s">
        <v>687</v>
      </c>
      <c r="P29" s="4" t="s">
        <v>212</v>
      </c>
      <c r="Q29" s="105">
        <v>45772</v>
      </c>
      <c r="R29" s="105">
        <v>45772</v>
      </c>
      <c r="S29" s="105">
        <v>45785</v>
      </c>
      <c r="T29" s="54">
        <f t="shared" si="3"/>
        <v>13</v>
      </c>
      <c r="U29" s="105">
        <v>45785</v>
      </c>
      <c r="V29" s="105">
        <v>45787</v>
      </c>
      <c r="W29" s="105">
        <v>45787</v>
      </c>
      <c r="X29" s="105">
        <v>45788</v>
      </c>
      <c r="Y29" s="105">
        <v>45791</v>
      </c>
      <c r="Z29" s="105">
        <v>45792</v>
      </c>
      <c r="AA29" s="105">
        <v>45792</v>
      </c>
      <c r="AB29" s="105">
        <v>45795</v>
      </c>
      <c r="AC29" s="105">
        <v>45798</v>
      </c>
      <c r="AD29" s="105">
        <v>45800</v>
      </c>
      <c r="AE29" s="67"/>
      <c r="AF29" s="16"/>
    </row>
    <row r="30" spans="1:32">
      <c r="A30" s="32">
        <f t="shared" si="0"/>
        <v>27</v>
      </c>
      <c r="B30" s="23" t="s">
        <v>204</v>
      </c>
      <c r="C30" s="3" t="s">
        <v>384</v>
      </c>
      <c r="D30" s="3" t="s">
        <v>29</v>
      </c>
      <c r="E30" s="3" t="s">
        <v>506</v>
      </c>
      <c r="F30" s="24" t="s">
        <v>396</v>
      </c>
      <c r="G30" s="64" t="s">
        <v>397</v>
      </c>
      <c r="H30" s="23" t="s">
        <v>398</v>
      </c>
      <c r="I30" s="64" t="s">
        <v>413</v>
      </c>
      <c r="J30" s="65" t="s">
        <v>428</v>
      </c>
      <c r="K30" s="3" t="s">
        <v>421</v>
      </c>
      <c r="L30" s="3">
        <v>35260</v>
      </c>
      <c r="M30" s="27">
        <v>36</v>
      </c>
      <c r="N30" s="3" t="s">
        <v>27</v>
      </c>
      <c r="O30" s="25" t="s">
        <v>687</v>
      </c>
      <c r="P30" s="4" t="s">
        <v>212</v>
      </c>
      <c r="Q30" s="105">
        <v>45766</v>
      </c>
      <c r="R30" s="105">
        <v>45770</v>
      </c>
      <c r="S30" s="105">
        <v>45777</v>
      </c>
      <c r="T30" s="54">
        <f t="shared" si="1"/>
        <v>11</v>
      </c>
      <c r="U30" s="105">
        <v>45779</v>
      </c>
      <c r="V30" s="105">
        <v>45783</v>
      </c>
      <c r="W30" s="105">
        <v>45783</v>
      </c>
      <c r="X30" s="105">
        <v>45784</v>
      </c>
      <c r="Y30" s="105">
        <v>45786</v>
      </c>
      <c r="Z30" s="105">
        <v>45788</v>
      </c>
      <c r="AA30" s="105">
        <v>45788</v>
      </c>
      <c r="AB30" s="105">
        <v>45790</v>
      </c>
      <c r="AC30" s="105">
        <v>45794</v>
      </c>
      <c r="AD30" s="105">
        <v>45797</v>
      </c>
      <c r="AE30" s="67"/>
      <c r="AF30" s="16"/>
    </row>
    <row r="31" spans="1:32">
      <c r="A31" s="32">
        <f t="shared" si="0"/>
        <v>28</v>
      </c>
      <c r="B31" s="23" t="s">
        <v>204</v>
      </c>
      <c r="C31" s="3" t="s">
        <v>384</v>
      </c>
      <c r="D31" s="3" t="s">
        <v>29</v>
      </c>
      <c r="E31" s="3" t="s">
        <v>507</v>
      </c>
      <c r="F31" s="24" t="s">
        <v>385</v>
      </c>
      <c r="G31" s="64" t="s">
        <v>386</v>
      </c>
      <c r="H31" s="23" t="s">
        <v>387</v>
      </c>
      <c r="I31" s="64" t="s">
        <v>410</v>
      </c>
      <c r="J31" s="65" t="s">
        <v>425</v>
      </c>
      <c r="K31" s="3" t="s">
        <v>418</v>
      </c>
      <c r="L31" s="3">
        <v>35103</v>
      </c>
      <c r="M31" s="27">
        <v>35</v>
      </c>
      <c r="N31" s="3" t="s">
        <v>27</v>
      </c>
      <c r="O31" s="25" t="s">
        <v>687</v>
      </c>
      <c r="P31" s="4" t="s">
        <v>212</v>
      </c>
      <c r="Q31" s="105">
        <v>45766</v>
      </c>
      <c r="R31" s="105">
        <v>45770</v>
      </c>
      <c r="S31" s="105">
        <v>45777</v>
      </c>
      <c r="T31" s="54">
        <f t="shared" si="1"/>
        <v>11</v>
      </c>
      <c r="U31" s="105">
        <v>45779</v>
      </c>
      <c r="V31" s="105">
        <v>45783</v>
      </c>
      <c r="W31" s="105">
        <v>45783</v>
      </c>
      <c r="X31" s="105">
        <v>45784</v>
      </c>
      <c r="Y31" s="105">
        <v>45786</v>
      </c>
      <c r="Z31" s="105">
        <v>45788</v>
      </c>
      <c r="AA31" s="105">
        <v>45788</v>
      </c>
      <c r="AB31" s="105">
        <v>45790</v>
      </c>
      <c r="AC31" s="105">
        <v>45794</v>
      </c>
      <c r="AD31" s="105">
        <v>45797</v>
      </c>
      <c r="AE31" s="67"/>
      <c r="AF31" s="16"/>
    </row>
    <row r="32" spans="1:32" ht="14.45" customHeight="1">
      <c r="A32" s="32">
        <f t="shared" si="0"/>
        <v>29</v>
      </c>
      <c r="B32" s="23" t="s">
        <v>204</v>
      </c>
      <c r="C32" s="3" t="s">
        <v>384</v>
      </c>
      <c r="D32" s="3" t="s">
        <v>29</v>
      </c>
      <c r="E32" s="3" t="s">
        <v>685</v>
      </c>
      <c r="F32" s="23" t="s">
        <v>404</v>
      </c>
      <c r="G32" s="64" t="s">
        <v>405</v>
      </c>
      <c r="H32" s="23" t="s">
        <v>406</v>
      </c>
      <c r="I32" s="64" t="s">
        <v>416</v>
      </c>
      <c r="J32" s="65" t="s">
        <v>431</v>
      </c>
      <c r="K32" s="3" t="s">
        <v>423</v>
      </c>
      <c r="L32" s="3">
        <v>35672</v>
      </c>
      <c r="M32" s="27">
        <v>35</v>
      </c>
      <c r="N32" s="3" t="s">
        <v>27</v>
      </c>
      <c r="O32" s="25" t="s">
        <v>687</v>
      </c>
      <c r="P32" s="4" t="s">
        <v>212</v>
      </c>
      <c r="Q32" s="105">
        <v>45772</v>
      </c>
      <c r="R32" s="105">
        <v>45772</v>
      </c>
      <c r="S32" s="105">
        <v>45785</v>
      </c>
      <c r="T32" s="54">
        <f t="shared" si="1"/>
        <v>13</v>
      </c>
      <c r="U32" s="105">
        <v>45785</v>
      </c>
      <c r="V32" s="105">
        <v>45787</v>
      </c>
      <c r="W32" s="105">
        <v>45787</v>
      </c>
      <c r="X32" s="105">
        <v>45788</v>
      </c>
      <c r="Y32" s="105">
        <v>45791</v>
      </c>
      <c r="Z32" s="105">
        <v>45791</v>
      </c>
      <c r="AA32" s="105">
        <v>45791</v>
      </c>
      <c r="AB32" s="105">
        <v>45793</v>
      </c>
      <c r="AC32" s="105">
        <v>45796</v>
      </c>
      <c r="AD32" s="105">
        <v>45797</v>
      </c>
      <c r="AE32" s="67"/>
      <c r="AF32" s="16"/>
    </row>
    <row r="33" spans="1:32">
      <c r="A33" s="32">
        <f t="shared" si="0"/>
        <v>30</v>
      </c>
      <c r="B33" s="23" t="s">
        <v>204</v>
      </c>
      <c r="C33" s="3" t="s">
        <v>384</v>
      </c>
      <c r="D33" s="3" t="s">
        <v>29</v>
      </c>
      <c r="E33" s="3" t="s">
        <v>511</v>
      </c>
      <c r="F33" s="3" t="s">
        <v>454</v>
      </c>
      <c r="G33" s="3" t="s">
        <v>455</v>
      </c>
      <c r="H33" s="23"/>
      <c r="I33" s="23" t="s">
        <v>469</v>
      </c>
      <c r="J33" s="65" t="s">
        <v>478</v>
      </c>
      <c r="K33" s="23" t="s">
        <v>491</v>
      </c>
      <c r="L33" s="3">
        <v>30586</v>
      </c>
      <c r="M33" s="23">
        <v>30</v>
      </c>
      <c r="N33" s="3" t="s">
        <v>27</v>
      </c>
      <c r="O33" s="25" t="s">
        <v>687</v>
      </c>
      <c r="P33" s="4" t="s">
        <v>212</v>
      </c>
      <c r="Q33" s="105">
        <v>45770</v>
      </c>
      <c r="R33" s="105">
        <v>45772</v>
      </c>
      <c r="S33" s="105">
        <v>45780</v>
      </c>
      <c r="T33" s="54">
        <f t="shared" si="1"/>
        <v>10</v>
      </c>
      <c r="U33" s="105">
        <v>45782</v>
      </c>
      <c r="V33" s="105">
        <v>45785</v>
      </c>
      <c r="W33" s="105">
        <v>45785</v>
      </c>
      <c r="X33" s="105">
        <v>45786</v>
      </c>
      <c r="Y33" s="105">
        <v>45787</v>
      </c>
      <c r="Z33" s="105">
        <v>45789</v>
      </c>
      <c r="AA33" s="105">
        <v>45789</v>
      </c>
      <c r="AB33" s="105">
        <v>45790</v>
      </c>
      <c r="AC33" s="105">
        <v>45791</v>
      </c>
      <c r="AD33" s="105">
        <v>45794</v>
      </c>
      <c r="AE33" s="67"/>
      <c r="AF33" s="16"/>
    </row>
    <row r="34" spans="1:32">
      <c r="A34" s="32">
        <f t="shared" si="0"/>
        <v>31</v>
      </c>
      <c r="B34" s="23" t="s">
        <v>204</v>
      </c>
      <c r="C34" s="3" t="s">
        <v>384</v>
      </c>
      <c r="D34" s="3" t="s">
        <v>29</v>
      </c>
      <c r="E34" s="3" t="s">
        <v>505</v>
      </c>
      <c r="F34" s="24" t="s">
        <v>401</v>
      </c>
      <c r="G34" s="64" t="s">
        <v>402</v>
      </c>
      <c r="H34" s="23" t="s">
        <v>403</v>
      </c>
      <c r="I34" s="64" t="s">
        <v>415</v>
      </c>
      <c r="J34" s="65" t="s">
        <v>430</v>
      </c>
      <c r="K34" s="3" t="s">
        <v>422</v>
      </c>
      <c r="L34" s="3">
        <v>35432</v>
      </c>
      <c r="M34" s="27">
        <v>35</v>
      </c>
      <c r="N34" s="3" t="s">
        <v>27</v>
      </c>
      <c r="O34" s="25" t="s">
        <v>687</v>
      </c>
      <c r="P34" s="4" t="s">
        <v>212</v>
      </c>
      <c r="Q34" s="105">
        <v>45766</v>
      </c>
      <c r="R34" s="105">
        <v>45770</v>
      </c>
      <c r="S34" s="105">
        <v>45777</v>
      </c>
      <c r="T34" s="54">
        <f t="shared" si="1"/>
        <v>11</v>
      </c>
      <c r="U34" s="105">
        <v>45779</v>
      </c>
      <c r="V34" s="105">
        <v>45783</v>
      </c>
      <c r="W34" s="105">
        <v>45783</v>
      </c>
      <c r="X34" s="105">
        <v>45784</v>
      </c>
      <c r="Y34" s="105">
        <v>45786</v>
      </c>
      <c r="Z34" s="105">
        <v>45788</v>
      </c>
      <c r="AA34" s="105">
        <v>45788</v>
      </c>
      <c r="AB34" s="105">
        <v>45790</v>
      </c>
      <c r="AC34" s="105">
        <v>45791</v>
      </c>
      <c r="AD34" s="105">
        <v>45794</v>
      </c>
      <c r="AE34" s="67"/>
      <c r="AF34" s="16"/>
    </row>
    <row r="35" spans="1:32">
      <c r="A35" s="32">
        <f t="shared" si="0"/>
        <v>32</v>
      </c>
      <c r="B35" s="23" t="s">
        <v>204</v>
      </c>
      <c r="C35" s="3" t="s">
        <v>384</v>
      </c>
      <c r="D35" s="3" t="s">
        <v>29</v>
      </c>
      <c r="E35" s="3" t="s">
        <v>510</v>
      </c>
      <c r="F35" s="23" t="s">
        <v>113</v>
      </c>
      <c r="G35" s="64" t="s">
        <v>114</v>
      </c>
      <c r="H35" s="23" t="s">
        <v>115</v>
      </c>
      <c r="I35" s="64" t="s">
        <v>146</v>
      </c>
      <c r="J35" s="65" t="s">
        <v>175</v>
      </c>
      <c r="K35" s="3" t="s">
        <v>202</v>
      </c>
      <c r="L35" s="3">
        <v>35169</v>
      </c>
      <c r="M35" s="27">
        <v>35</v>
      </c>
      <c r="N35" s="3" t="s">
        <v>27</v>
      </c>
      <c r="O35" s="25" t="s">
        <v>687</v>
      </c>
      <c r="P35" s="4" t="s">
        <v>212</v>
      </c>
      <c r="Q35" s="105">
        <v>45769</v>
      </c>
      <c r="R35" s="105">
        <v>45771</v>
      </c>
      <c r="S35" s="105">
        <v>45778</v>
      </c>
      <c r="T35" s="54">
        <f t="shared" si="1"/>
        <v>9</v>
      </c>
      <c r="U35" s="105">
        <v>45779</v>
      </c>
      <c r="V35" s="105">
        <v>45783</v>
      </c>
      <c r="W35" s="105">
        <v>45783</v>
      </c>
      <c r="X35" s="105">
        <v>45784</v>
      </c>
      <c r="Y35" s="105">
        <v>45787</v>
      </c>
      <c r="Z35" s="105">
        <v>45788</v>
      </c>
      <c r="AA35" s="105">
        <v>45788</v>
      </c>
      <c r="AB35" s="105">
        <v>45788</v>
      </c>
      <c r="AC35" s="105">
        <v>45791</v>
      </c>
      <c r="AD35" s="105">
        <v>45794</v>
      </c>
      <c r="AE35" s="67"/>
      <c r="AF35" s="16"/>
    </row>
    <row r="36" spans="1:32">
      <c r="A36" s="32">
        <f t="shared" si="0"/>
        <v>33</v>
      </c>
      <c r="B36" s="23" t="s">
        <v>204</v>
      </c>
      <c r="C36" s="3" t="s">
        <v>384</v>
      </c>
      <c r="D36" s="3" t="s">
        <v>29</v>
      </c>
      <c r="E36" s="3" t="s">
        <v>508</v>
      </c>
      <c r="F36" s="23" t="s">
        <v>391</v>
      </c>
      <c r="G36" s="64" t="s">
        <v>392</v>
      </c>
      <c r="H36" s="23" t="s">
        <v>393</v>
      </c>
      <c r="I36" s="64" t="s">
        <v>412</v>
      </c>
      <c r="J36" s="65" t="s">
        <v>427</v>
      </c>
      <c r="K36" s="3" t="s">
        <v>420</v>
      </c>
      <c r="L36" s="3">
        <v>34753</v>
      </c>
      <c r="M36" s="27">
        <v>35</v>
      </c>
      <c r="N36" s="3" t="s">
        <v>27</v>
      </c>
      <c r="O36" s="25" t="s">
        <v>687</v>
      </c>
      <c r="P36" s="4" t="s">
        <v>212</v>
      </c>
      <c r="Q36" s="105">
        <v>45767</v>
      </c>
      <c r="R36" s="105">
        <v>45769</v>
      </c>
      <c r="S36" s="105">
        <v>45775</v>
      </c>
      <c r="T36" s="54">
        <f t="shared" si="1"/>
        <v>8</v>
      </c>
      <c r="U36" s="105">
        <v>45779</v>
      </c>
      <c r="V36" s="105">
        <v>45783</v>
      </c>
      <c r="W36" s="105">
        <v>45783</v>
      </c>
      <c r="X36" s="105">
        <v>45785</v>
      </c>
      <c r="Y36" s="105">
        <v>45787</v>
      </c>
      <c r="Z36" s="105">
        <v>45788</v>
      </c>
      <c r="AA36" s="105">
        <v>45788</v>
      </c>
      <c r="AB36" s="105">
        <v>45789</v>
      </c>
      <c r="AC36" s="105">
        <v>45791</v>
      </c>
      <c r="AD36" s="105">
        <v>45794</v>
      </c>
      <c r="AE36" s="67"/>
      <c r="AF36" s="16"/>
    </row>
    <row r="37" spans="1:32">
      <c r="A37" s="32">
        <f t="shared" si="0"/>
        <v>34</v>
      </c>
      <c r="B37" s="23" t="s">
        <v>204</v>
      </c>
      <c r="C37" s="3" t="s">
        <v>384</v>
      </c>
      <c r="D37" s="3" t="s">
        <v>29</v>
      </c>
      <c r="E37" s="3" t="s">
        <v>493</v>
      </c>
      <c r="F37" s="23" t="s">
        <v>288</v>
      </c>
      <c r="G37" s="64" t="s">
        <v>289</v>
      </c>
      <c r="H37" s="23"/>
      <c r="I37" s="64" t="s">
        <v>325</v>
      </c>
      <c r="J37" s="65" t="s">
        <v>351</v>
      </c>
      <c r="K37" s="3" t="s">
        <v>377</v>
      </c>
      <c r="L37" s="3">
        <v>37275</v>
      </c>
      <c r="M37" s="27">
        <v>37</v>
      </c>
      <c r="N37" s="3" t="s">
        <v>27</v>
      </c>
      <c r="O37" s="25" t="s">
        <v>687</v>
      </c>
      <c r="P37" s="4" t="s">
        <v>212</v>
      </c>
      <c r="Q37" s="105">
        <v>45756</v>
      </c>
      <c r="R37" s="105">
        <v>45756</v>
      </c>
      <c r="S37" s="105">
        <v>45769</v>
      </c>
      <c r="T37" s="54">
        <f t="shared" si="1"/>
        <v>13</v>
      </c>
      <c r="U37" s="105">
        <v>45771</v>
      </c>
      <c r="V37" s="105">
        <v>45775</v>
      </c>
      <c r="W37" s="105">
        <v>45775</v>
      </c>
      <c r="X37" s="105">
        <v>45777</v>
      </c>
      <c r="Y37" s="105">
        <v>45781</v>
      </c>
      <c r="Z37" s="105">
        <v>45782</v>
      </c>
      <c r="AA37" s="105">
        <v>45782</v>
      </c>
      <c r="AB37" s="105">
        <v>45784</v>
      </c>
      <c r="AC37" s="105">
        <v>45787</v>
      </c>
      <c r="AD37" s="105">
        <v>45792</v>
      </c>
      <c r="AE37" s="69"/>
      <c r="AF37" s="16"/>
    </row>
    <row r="38" spans="1:32">
      <c r="A38" s="32">
        <f t="shared" si="0"/>
        <v>35</v>
      </c>
      <c r="B38" s="23" t="s">
        <v>204</v>
      </c>
      <c r="C38" s="3" t="s">
        <v>384</v>
      </c>
      <c r="D38" s="3" t="s">
        <v>29</v>
      </c>
      <c r="E38" s="3" t="s">
        <v>498</v>
      </c>
      <c r="F38" s="23" t="s">
        <v>77</v>
      </c>
      <c r="G38" s="64" t="s">
        <v>78</v>
      </c>
      <c r="H38" s="23"/>
      <c r="I38" s="64" t="s">
        <v>133</v>
      </c>
      <c r="J38" s="65" t="s">
        <v>162</v>
      </c>
      <c r="K38" s="3" t="s">
        <v>382</v>
      </c>
      <c r="L38" s="3">
        <v>37234</v>
      </c>
      <c r="M38" s="27">
        <v>37</v>
      </c>
      <c r="N38" s="3" t="s">
        <v>27</v>
      </c>
      <c r="O38" s="25" t="s">
        <v>687</v>
      </c>
      <c r="P38" s="4" t="s">
        <v>212</v>
      </c>
      <c r="Q38" s="105">
        <v>45758</v>
      </c>
      <c r="R38" s="105">
        <v>45761</v>
      </c>
      <c r="S38" s="105">
        <v>45769</v>
      </c>
      <c r="T38" s="54">
        <f t="shared" si="1"/>
        <v>11</v>
      </c>
      <c r="U38" s="105">
        <v>45770</v>
      </c>
      <c r="V38" s="105">
        <v>45775</v>
      </c>
      <c r="W38" s="105">
        <v>45775</v>
      </c>
      <c r="X38" s="105">
        <v>45777</v>
      </c>
      <c r="Y38" s="105">
        <v>45780</v>
      </c>
      <c r="Z38" s="105">
        <v>45781</v>
      </c>
      <c r="AA38" s="105">
        <v>45781</v>
      </c>
      <c r="AB38" s="105">
        <v>45784</v>
      </c>
      <c r="AC38" s="105">
        <v>45787</v>
      </c>
      <c r="AD38" s="105">
        <v>45790</v>
      </c>
      <c r="AE38" s="67"/>
      <c r="AF38" s="16"/>
    </row>
    <row r="39" spans="1:32">
      <c r="A39" s="32">
        <f t="shared" si="0"/>
        <v>36</v>
      </c>
      <c r="B39" s="23" t="s">
        <v>204</v>
      </c>
      <c r="C39" s="3" t="s">
        <v>384</v>
      </c>
      <c r="D39" s="3" t="s">
        <v>29</v>
      </c>
      <c r="E39" s="3" t="s">
        <v>434</v>
      </c>
      <c r="F39" s="23" t="s">
        <v>275</v>
      </c>
      <c r="G39" s="64" t="s">
        <v>276</v>
      </c>
      <c r="H39" s="23"/>
      <c r="I39" s="64" t="s">
        <v>320</v>
      </c>
      <c r="J39" s="65" t="s">
        <v>346</v>
      </c>
      <c r="K39" s="3" t="s">
        <v>372</v>
      </c>
      <c r="L39" s="3">
        <v>30422</v>
      </c>
      <c r="M39" s="27">
        <v>31</v>
      </c>
      <c r="N39" s="3" t="s">
        <v>27</v>
      </c>
      <c r="O39" s="25" t="s">
        <v>687</v>
      </c>
      <c r="P39" s="4" t="s">
        <v>212</v>
      </c>
      <c r="Q39" s="105">
        <v>45754</v>
      </c>
      <c r="R39" s="105">
        <v>45754</v>
      </c>
      <c r="S39" s="105">
        <v>45764</v>
      </c>
      <c r="T39" s="54">
        <f t="shared" si="1"/>
        <v>10</v>
      </c>
      <c r="U39" s="105">
        <v>45765</v>
      </c>
      <c r="V39" s="105">
        <v>45776</v>
      </c>
      <c r="W39" s="105">
        <v>45776</v>
      </c>
      <c r="X39" s="105">
        <v>45778</v>
      </c>
      <c r="Y39" s="105">
        <v>45782</v>
      </c>
      <c r="Z39" s="105">
        <v>45782</v>
      </c>
      <c r="AA39" s="105">
        <v>45782</v>
      </c>
      <c r="AB39" s="105">
        <v>45784</v>
      </c>
      <c r="AC39" s="105">
        <v>45785</v>
      </c>
      <c r="AD39" s="105">
        <v>45790</v>
      </c>
      <c r="AE39" s="67"/>
      <c r="AF39" s="16"/>
    </row>
    <row r="40" spans="1:32">
      <c r="A40" s="32">
        <f t="shared" si="0"/>
        <v>37</v>
      </c>
      <c r="B40" s="23" t="s">
        <v>204</v>
      </c>
      <c r="C40" s="3" t="s">
        <v>384</v>
      </c>
      <c r="D40" s="3" t="s">
        <v>29</v>
      </c>
      <c r="E40" s="3" t="s">
        <v>439</v>
      </c>
      <c r="F40" s="23" t="s">
        <v>299</v>
      </c>
      <c r="G40" s="64" t="s">
        <v>300</v>
      </c>
      <c r="H40" s="23" t="s">
        <v>301</v>
      </c>
      <c r="I40" s="64" t="s">
        <v>329</v>
      </c>
      <c r="J40" s="65" t="s">
        <v>355</v>
      </c>
      <c r="K40" s="3" t="s">
        <v>381</v>
      </c>
      <c r="L40" s="3">
        <v>34609</v>
      </c>
      <c r="M40" s="27">
        <v>35</v>
      </c>
      <c r="N40" s="3" t="s">
        <v>27</v>
      </c>
      <c r="O40" s="25" t="s">
        <v>687</v>
      </c>
      <c r="P40" s="4" t="s">
        <v>212</v>
      </c>
      <c r="Q40" s="105">
        <v>45753</v>
      </c>
      <c r="R40" s="105">
        <v>45754</v>
      </c>
      <c r="S40" s="105">
        <v>45764</v>
      </c>
      <c r="T40" s="54">
        <f t="shared" si="1"/>
        <v>11</v>
      </c>
      <c r="U40" s="105">
        <v>45765</v>
      </c>
      <c r="V40" s="105">
        <v>45768</v>
      </c>
      <c r="W40" s="105">
        <v>45768</v>
      </c>
      <c r="X40" s="105">
        <v>45768</v>
      </c>
      <c r="Y40" s="105">
        <v>45772</v>
      </c>
      <c r="Z40" s="105">
        <v>45774</v>
      </c>
      <c r="AA40" s="105">
        <v>45774</v>
      </c>
      <c r="AB40" s="105">
        <v>45775</v>
      </c>
      <c r="AC40" s="105">
        <v>45777</v>
      </c>
      <c r="AD40" s="105">
        <v>45783</v>
      </c>
      <c r="AE40" s="67"/>
      <c r="AF40" s="16"/>
    </row>
    <row r="41" spans="1:32">
      <c r="A41" s="32">
        <f t="shared" si="0"/>
        <v>38</v>
      </c>
      <c r="B41" s="23" t="s">
        <v>204</v>
      </c>
      <c r="C41" s="3" t="s">
        <v>384</v>
      </c>
      <c r="D41" s="3" t="s">
        <v>29</v>
      </c>
      <c r="E41" s="3" t="s">
        <v>440</v>
      </c>
      <c r="F41" s="23" t="s">
        <v>302</v>
      </c>
      <c r="G41" s="64" t="s">
        <v>303</v>
      </c>
      <c r="H41" s="23" t="s">
        <v>304</v>
      </c>
      <c r="I41" s="64" t="s">
        <v>330</v>
      </c>
      <c r="J41" s="65" t="s">
        <v>356</v>
      </c>
      <c r="K41" s="3" t="s">
        <v>383</v>
      </c>
      <c r="L41" s="3">
        <v>34604</v>
      </c>
      <c r="M41" s="27">
        <v>35</v>
      </c>
      <c r="N41" s="3" t="s">
        <v>27</v>
      </c>
      <c r="O41" s="25" t="s">
        <v>687</v>
      </c>
      <c r="P41" s="4" t="s">
        <v>212</v>
      </c>
      <c r="Q41" s="105">
        <v>45753</v>
      </c>
      <c r="R41" s="105">
        <v>45754</v>
      </c>
      <c r="S41" s="105">
        <v>45764</v>
      </c>
      <c r="T41" s="54">
        <f t="shared" si="1"/>
        <v>11</v>
      </c>
      <c r="U41" s="105">
        <v>45765</v>
      </c>
      <c r="V41" s="105">
        <v>45768</v>
      </c>
      <c r="W41" s="105">
        <v>45768</v>
      </c>
      <c r="X41" s="105">
        <v>45768</v>
      </c>
      <c r="Y41" s="105">
        <v>45772</v>
      </c>
      <c r="Z41" s="105">
        <v>45774</v>
      </c>
      <c r="AA41" s="105">
        <v>45774</v>
      </c>
      <c r="AB41" s="105">
        <v>45775</v>
      </c>
      <c r="AC41" s="105">
        <v>45778</v>
      </c>
      <c r="AD41" s="105">
        <v>45783</v>
      </c>
      <c r="AE41" s="67"/>
      <c r="AF41" s="16"/>
    </row>
    <row r="42" spans="1:32">
      <c r="A42" s="32">
        <f t="shared" si="0"/>
        <v>39</v>
      </c>
      <c r="B42" s="23" t="s">
        <v>204</v>
      </c>
      <c r="C42" s="3" t="s">
        <v>384</v>
      </c>
      <c r="D42" s="3" t="s">
        <v>29</v>
      </c>
      <c r="E42" s="3" t="s">
        <v>443</v>
      </c>
      <c r="F42" s="23" t="s">
        <v>271</v>
      </c>
      <c r="G42" s="64" t="s">
        <v>272</v>
      </c>
      <c r="H42" s="23"/>
      <c r="I42" s="64" t="s">
        <v>318</v>
      </c>
      <c r="J42" s="65" t="s">
        <v>344</v>
      </c>
      <c r="K42" s="3" t="s">
        <v>370</v>
      </c>
      <c r="L42" s="3">
        <v>29985</v>
      </c>
      <c r="M42" s="27">
        <v>31</v>
      </c>
      <c r="N42" s="3" t="s">
        <v>27</v>
      </c>
      <c r="O42" s="25" t="s">
        <v>687</v>
      </c>
      <c r="P42" s="4" t="s">
        <v>212</v>
      </c>
      <c r="Q42" s="105">
        <v>45754</v>
      </c>
      <c r="R42" s="105">
        <v>45755</v>
      </c>
      <c r="S42" s="105">
        <v>45764</v>
      </c>
      <c r="T42" s="54">
        <f t="shared" si="1"/>
        <v>10</v>
      </c>
      <c r="U42" s="105">
        <v>45765</v>
      </c>
      <c r="V42" s="105">
        <v>45770</v>
      </c>
      <c r="W42" s="105">
        <v>45770</v>
      </c>
      <c r="X42" s="105">
        <v>45773</v>
      </c>
      <c r="Y42" s="105">
        <v>45775</v>
      </c>
      <c r="Z42" s="105">
        <v>45776</v>
      </c>
      <c r="AA42" s="105">
        <v>45776</v>
      </c>
      <c r="AB42" s="105">
        <v>45777</v>
      </c>
      <c r="AC42" s="105">
        <v>45779</v>
      </c>
      <c r="AD42" s="105">
        <v>45783</v>
      </c>
      <c r="AE42" s="67"/>
      <c r="AF42" s="16"/>
    </row>
    <row r="43" spans="1:32">
      <c r="A43" s="32">
        <f t="shared" si="0"/>
        <v>40</v>
      </c>
      <c r="B43" s="23" t="s">
        <v>204</v>
      </c>
      <c r="C43" s="3" t="s">
        <v>384</v>
      </c>
      <c r="D43" s="3" t="s">
        <v>29</v>
      </c>
      <c r="E43" s="3" t="s">
        <v>441</v>
      </c>
      <c r="F43" s="23" t="s">
        <v>263</v>
      </c>
      <c r="G43" s="64" t="s">
        <v>264</v>
      </c>
      <c r="H43" s="23"/>
      <c r="I43" s="64" t="s">
        <v>314</v>
      </c>
      <c r="J43" s="65" t="s">
        <v>340</v>
      </c>
      <c r="K43" s="3" t="s">
        <v>366</v>
      </c>
      <c r="L43" s="3">
        <v>30675</v>
      </c>
      <c r="M43" s="27">
        <v>30</v>
      </c>
      <c r="N43" s="3" t="s">
        <v>27</v>
      </c>
      <c r="O43" s="25" t="s">
        <v>687</v>
      </c>
      <c r="P43" s="4" t="s">
        <v>212</v>
      </c>
      <c r="Q43" s="105">
        <v>45754</v>
      </c>
      <c r="R43" s="105">
        <v>45754</v>
      </c>
      <c r="S43" s="105">
        <v>45764</v>
      </c>
      <c r="T43" s="54">
        <f t="shared" si="1"/>
        <v>10</v>
      </c>
      <c r="U43" s="105">
        <v>45765</v>
      </c>
      <c r="V43" s="105">
        <v>45769</v>
      </c>
      <c r="W43" s="105">
        <v>45769</v>
      </c>
      <c r="X43" s="105">
        <v>45771</v>
      </c>
      <c r="Y43" s="105">
        <v>45774</v>
      </c>
      <c r="Z43" s="105">
        <v>45776</v>
      </c>
      <c r="AA43" s="105">
        <v>45776</v>
      </c>
      <c r="AB43" s="105">
        <v>45778</v>
      </c>
      <c r="AC43" s="105">
        <v>45780</v>
      </c>
      <c r="AD43" s="105">
        <v>45783</v>
      </c>
      <c r="AE43" s="69"/>
      <c r="AF43" s="16"/>
    </row>
    <row r="44" spans="1:32">
      <c r="A44" s="32">
        <f t="shared" si="0"/>
        <v>41</v>
      </c>
      <c r="B44" s="23" t="s">
        <v>204</v>
      </c>
      <c r="C44" s="3" t="s">
        <v>384</v>
      </c>
      <c r="D44" s="3" t="s">
        <v>29</v>
      </c>
      <c r="E44" s="3" t="s">
        <v>436</v>
      </c>
      <c r="F44" s="23" t="s">
        <v>265</v>
      </c>
      <c r="G44" s="64" t="s">
        <v>266</v>
      </c>
      <c r="H44" s="23"/>
      <c r="I44" s="64" t="s">
        <v>315</v>
      </c>
      <c r="J44" s="65" t="s">
        <v>341</v>
      </c>
      <c r="K44" s="3" t="s">
        <v>367</v>
      </c>
      <c r="L44" s="3">
        <v>31135</v>
      </c>
      <c r="M44" s="27">
        <v>31</v>
      </c>
      <c r="N44" s="3" t="s">
        <v>27</v>
      </c>
      <c r="O44" s="25" t="s">
        <v>687</v>
      </c>
      <c r="P44" s="4" t="s">
        <v>212</v>
      </c>
      <c r="Q44" s="105">
        <v>45754</v>
      </c>
      <c r="R44" s="105">
        <v>45754</v>
      </c>
      <c r="S44" s="105">
        <v>45764</v>
      </c>
      <c r="T44" s="54">
        <f t="shared" si="1"/>
        <v>10</v>
      </c>
      <c r="U44" s="105">
        <v>45765</v>
      </c>
      <c r="V44" s="105">
        <v>45769</v>
      </c>
      <c r="W44" s="105">
        <v>45769</v>
      </c>
      <c r="X44" s="105">
        <v>45773</v>
      </c>
      <c r="Y44" s="105">
        <v>45775</v>
      </c>
      <c r="Z44" s="105">
        <v>45776</v>
      </c>
      <c r="AA44" s="105">
        <v>45776</v>
      </c>
      <c r="AB44" s="105">
        <v>45778</v>
      </c>
      <c r="AC44" s="105">
        <v>45780</v>
      </c>
      <c r="AD44" s="105">
        <v>45783</v>
      </c>
      <c r="AE44" s="67"/>
      <c r="AF44" s="16"/>
    </row>
    <row r="45" spans="1:32">
      <c r="A45" s="32">
        <f t="shared" si="0"/>
        <v>42</v>
      </c>
      <c r="B45" s="23" t="s">
        <v>204</v>
      </c>
      <c r="C45" s="3" t="s">
        <v>384</v>
      </c>
      <c r="D45" s="3" t="s">
        <v>29</v>
      </c>
      <c r="E45" s="3" t="s">
        <v>433</v>
      </c>
      <c r="F45" s="23" t="s">
        <v>269</v>
      </c>
      <c r="G45" s="64" t="s">
        <v>270</v>
      </c>
      <c r="H45" s="23"/>
      <c r="I45" s="64" t="s">
        <v>317</v>
      </c>
      <c r="J45" s="65" t="s">
        <v>343</v>
      </c>
      <c r="K45" s="3" t="s">
        <v>369</v>
      </c>
      <c r="L45" s="3">
        <v>30280</v>
      </c>
      <c r="M45" s="27">
        <v>31</v>
      </c>
      <c r="N45" s="3" t="s">
        <v>27</v>
      </c>
      <c r="O45" s="25" t="s">
        <v>687</v>
      </c>
      <c r="P45" s="4" t="s">
        <v>212</v>
      </c>
      <c r="Q45" s="105">
        <v>45754</v>
      </c>
      <c r="R45" s="105">
        <v>45754</v>
      </c>
      <c r="S45" s="105">
        <v>45764</v>
      </c>
      <c r="T45" s="54">
        <f t="shared" si="1"/>
        <v>10</v>
      </c>
      <c r="U45" s="105">
        <v>45765</v>
      </c>
      <c r="V45" s="106">
        <v>45770</v>
      </c>
      <c r="W45" s="105">
        <v>45770</v>
      </c>
      <c r="X45" s="105">
        <v>45773</v>
      </c>
      <c r="Y45" s="105">
        <v>45775</v>
      </c>
      <c r="Z45" s="105">
        <v>45776</v>
      </c>
      <c r="AA45" s="105">
        <v>45776</v>
      </c>
      <c r="AB45" s="105">
        <v>45777</v>
      </c>
      <c r="AC45" s="105">
        <v>45779</v>
      </c>
      <c r="AD45" s="105">
        <v>45783</v>
      </c>
      <c r="AE45" s="67"/>
      <c r="AF45" s="16"/>
    </row>
    <row r="46" spans="1:32">
      <c r="A46" s="32">
        <f t="shared" si="0"/>
        <v>43</v>
      </c>
      <c r="B46" s="23" t="s">
        <v>204</v>
      </c>
      <c r="C46" s="3" t="s">
        <v>384</v>
      </c>
      <c r="D46" s="3" t="s">
        <v>29</v>
      </c>
      <c r="E46" s="3" t="s">
        <v>435</v>
      </c>
      <c r="F46" s="23" t="s">
        <v>273</v>
      </c>
      <c r="G46" s="64" t="s">
        <v>274</v>
      </c>
      <c r="H46" s="23"/>
      <c r="I46" s="64" t="s">
        <v>319</v>
      </c>
      <c r="J46" s="65" t="s">
        <v>345</v>
      </c>
      <c r="K46" s="3" t="s">
        <v>371</v>
      </c>
      <c r="L46" s="3">
        <v>32418</v>
      </c>
      <c r="M46" s="27">
        <v>32</v>
      </c>
      <c r="N46" s="3" t="s">
        <v>27</v>
      </c>
      <c r="O46" s="25" t="s">
        <v>687</v>
      </c>
      <c r="P46" s="4" t="s">
        <v>212</v>
      </c>
      <c r="Q46" s="105">
        <v>45754</v>
      </c>
      <c r="R46" s="105">
        <v>45754</v>
      </c>
      <c r="S46" s="105">
        <v>45764</v>
      </c>
      <c r="T46" s="54">
        <f t="shared" si="1"/>
        <v>10</v>
      </c>
      <c r="U46" s="105">
        <v>45765</v>
      </c>
      <c r="V46" s="105">
        <v>45770</v>
      </c>
      <c r="W46" s="105">
        <v>45770</v>
      </c>
      <c r="X46" s="105">
        <v>45773</v>
      </c>
      <c r="Y46" s="105">
        <v>45775</v>
      </c>
      <c r="Z46" s="105">
        <v>45776</v>
      </c>
      <c r="AA46" s="105">
        <v>45776</v>
      </c>
      <c r="AB46" s="105">
        <v>45777</v>
      </c>
      <c r="AC46" s="105">
        <v>45779</v>
      </c>
      <c r="AD46" s="105">
        <v>45783</v>
      </c>
      <c r="AE46" s="67"/>
      <c r="AF46" s="16"/>
    </row>
    <row r="47" spans="1:32">
      <c r="A47" s="32">
        <f t="shared" si="0"/>
        <v>44</v>
      </c>
      <c r="B47" s="23" t="s">
        <v>204</v>
      </c>
      <c r="C47" s="3" t="s">
        <v>384</v>
      </c>
      <c r="D47" s="3" t="s">
        <v>29</v>
      </c>
      <c r="E47" s="3" t="s">
        <v>437</v>
      </c>
      <c r="F47" s="23" t="s">
        <v>277</v>
      </c>
      <c r="G47" s="64" t="s">
        <v>278</v>
      </c>
      <c r="H47" s="23"/>
      <c r="I47" s="64" t="s">
        <v>321</v>
      </c>
      <c r="J47" s="65" t="s">
        <v>347</v>
      </c>
      <c r="K47" s="3" t="s">
        <v>373</v>
      </c>
      <c r="L47" s="3">
        <v>30636</v>
      </c>
      <c r="M47" s="27">
        <v>31</v>
      </c>
      <c r="N47" s="3" t="s">
        <v>27</v>
      </c>
      <c r="O47" s="25" t="s">
        <v>687</v>
      </c>
      <c r="P47" s="4" t="s">
        <v>212</v>
      </c>
      <c r="Q47" s="105">
        <v>45754</v>
      </c>
      <c r="R47" s="105">
        <v>45754</v>
      </c>
      <c r="S47" s="105">
        <v>45764</v>
      </c>
      <c r="T47" s="54">
        <f t="shared" si="1"/>
        <v>10</v>
      </c>
      <c r="U47" s="105">
        <v>45765</v>
      </c>
      <c r="V47" s="106">
        <v>45770</v>
      </c>
      <c r="W47" s="105">
        <v>45770</v>
      </c>
      <c r="X47" s="105">
        <v>45773</v>
      </c>
      <c r="Y47" s="105">
        <v>45775</v>
      </c>
      <c r="Z47" s="105">
        <v>45776</v>
      </c>
      <c r="AA47" s="105">
        <v>45776</v>
      </c>
      <c r="AB47" s="105">
        <v>45777</v>
      </c>
      <c r="AC47" s="105">
        <v>45779</v>
      </c>
      <c r="AD47" s="105">
        <v>45783</v>
      </c>
      <c r="AE47" s="67"/>
      <c r="AF47" s="16"/>
    </row>
    <row r="48" spans="1:32">
      <c r="A48" s="32">
        <f t="shared" si="0"/>
        <v>45</v>
      </c>
      <c r="B48" s="23" t="s">
        <v>204</v>
      </c>
      <c r="C48" s="3" t="s">
        <v>384</v>
      </c>
      <c r="D48" s="3" t="s">
        <v>29</v>
      </c>
      <c r="E48" s="3" t="s">
        <v>442</v>
      </c>
      <c r="F48" s="23" t="s">
        <v>267</v>
      </c>
      <c r="G48" s="64" t="s">
        <v>268</v>
      </c>
      <c r="H48" s="23"/>
      <c r="I48" s="64" t="s">
        <v>316</v>
      </c>
      <c r="J48" s="65" t="s">
        <v>342</v>
      </c>
      <c r="K48" s="3" t="s">
        <v>368</v>
      </c>
      <c r="L48" s="3">
        <v>30139</v>
      </c>
      <c r="M48" s="27">
        <v>31</v>
      </c>
      <c r="N48" s="3" t="s">
        <v>27</v>
      </c>
      <c r="O48" s="25" t="s">
        <v>687</v>
      </c>
      <c r="P48" s="4" t="s">
        <v>212</v>
      </c>
      <c r="Q48" s="105">
        <v>45754</v>
      </c>
      <c r="R48" s="105">
        <v>45754</v>
      </c>
      <c r="S48" s="105">
        <v>45764</v>
      </c>
      <c r="T48" s="54">
        <f t="shared" si="1"/>
        <v>10</v>
      </c>
      <c r="U48" s="105">
        <v>45765</v>
      </c>
      <c r="V48" s="105">
        <v>45770</v>
      </c>
      <c r="W48" s="105">
        <v>45770</v>
      </c>
      <c r="X48" s="105">
        <v>45773</v>
      </c>
      <c r="Y48" s="105">
        <v>45775</v>
      </c>
      <c r="Z48" s="105">
        <v>45776</v>
      </c>
      <c r="AA48" s="105">
        <v>45776</v>
      </c>
      <c r="AB48" s="105">
        <v>45777</v>
      </c>
      <c r="AC48" s="105">
        <v>45779</v>
      </c>
      <c r="AD48" s="105">
        <v>45783</v>
      </c>
      <c r="AE48" s="67"/>
      <c r="AF48" s="16"/>
    </row>
    <row r="49" spans="1:32" s="49" customFormat="1" ht="14.25" customHeight="1">
      <c r="A49" s="32">
        <f t="shared" si="0"/>
        <v>46</v>
      </c>
      <c r="B49" s="23" t="s">
        <v>204</v>
      </c>
      <c r="C49" s="3" t="s">
        <v>384</v>
      </c>
      <c r="D49" s="3" t="s">
        <v>29</v>
      </c>
      <c r="E49" s="3" t="s">
        <v>500</v>
      </c>
      <c r="F49" s="23" t="s">
        <v>285</v>
      </c>
      <c r="G49" s="64" t="s">
        <v>286</v>
      </c>
      <c r="H49" s="23" t="s">
        <v>287</v>
      </c>
      <c r="I49" s="64" t="s">
        <v>324</v>
      </c>
      <c r="J49" s="65" t="s">
        <v>350</v>
      </c>
      <c r="K49" s="3" t="s">
        <v>376</v>
      </c>
      <c r="L49" s="3">
        <v>35886</v>
      </c>
      <c r="M49" s="27">
        <v>36</v>
      </c>
      <c r="N49" s="3" t="s">
        <v>27</v>
      </c>
      <c r="O49" s="25" t="s">
        <v>687</v>
      </c>
      <c r="P49" s="4" t="s">
        <v>212</v>
      </c>
      <c r="Q49" s="105">
        <v>45759</v>
      </c>
      <c r="R49" s="105">
        <v>45761</v>
      </c>
      <c r="S49" s="105">
        <v>45769</v>
      </c>
      <c r="T49" s="54">
        <f t="shared" si="1"/>
        <v>10</v>
      </c>
      <c r="U49" s="105">
        <v>45770</v>
      </c>
      <c r="V49" s="105">
        <v>45772</v>
      </c>
      <c r="W49" s="105">
        <v>45773</v>
      </c>
      <c r="X49" s="105">
        <v>45774</v>
      </c>
      <c r="Y49" s="105">
        <v>45777</v>
      </c>
      <c r="Z49" s="105">
        <v>45777</v>
      </c>
      <c r="AA49" s="105">
        <v>45777</v>
      </c>
      <c r="AB49" s="105">
        <v>45779</v>
      </c>
      <c r="AC49" s="105">
        <v>45781</v>
      </c>
      <c r="AD49" s="105">
        <v>45783</v>
      </c>
      <c r="AE49" s="67"/>
      <c r="AF49" s="16"/>
    </row>
    <row r="50" spans="1:32">
      <c r="A50" s="32">
        <f t="shared" si="0"/>
        <v>47</v>
      </c>
      <c r="B50" s="23" t="s">
        <v>204</v>
      </c>
      <c r="C50" s="3" t="s">
        <v>384</v>
      </c>
      <c r="D50" s="3" t="s">
        <v>29</v>
      </c>
      <c r="E50" s="3" t="s">
        <v>438</v>
      </c>
      <c r="F50" s="23" t="s">
        <v>290</v>
      </c>
      <c r="G50" s="64" t="s">
        <v>291</v>
      </c>
      <c r="H50" s="23" t="s">
        <v>292</v>
      </c>
      <c r="I50" s="64" t="s">
        <v>326</v>
      </c>
      <c r="J50" s="65" t="s">
        <v>352</v>
      </c>
      <c r="K50" s="3" t="s">
        <v>378</v>
      </c>
      <c r="L50" s="3">
        <v>34629</v>
      </c>
      <c r="M50" s="27">
        <v>35</v>
      </c>
      <c r="N50" s="3" t="s">
        <v>27</v>
      </c>
      <c r="O50" s="25" t="s">
        <v>687</v>
      </c>
      <c r="P50" s="4" t="s">
        <v>212</v>
      </c>
      <c r="Q50" s="105">
        <v>45753</v>
      </c>
      <c r="R50" s="105">
        <v>45754</v>
      </c>
      <c r="S50" s="105">
        <v>45764</v>
      </c>
      <c r="T50" s="54">
        <f t="shared" si="1"/>
        <v>11</v>
      </c>
      <c r="U50" s="105">
        <v>45765</v>
      </c>
      <c r="V50" s="105">
        <v>45768</v>
      </c>
      <c r="W50" s="105">
        <v>45768</v>
      </c>
      <c r="X50" s="105">
        <v>45768</v>
      </c>
      <c r="Y50" s="105">
        <v>45776</v>
      </c>
      <c r="Z50" s="105">
        <v>45778</v>
      </c>
      <c r="AA50" s="105">
        <v>45778</v>
      </c>
      <c r="AB50" s="105">
        <v>45778</v>
      </c>
      <c r="AC50" s="105">
        <v>45779</v>
      </c>
      <c r="AD50" s="105">
        <v>45784</v>
      </c>
      <c r="AE50" s="71"/>
      <c r="AF50" s="16"/>
    </row>
    <row r="51" spans="1:32">
      <c r="A51" s="32">
        <f t="shared" si="0"/>
        <v>48</v>
      </c>
      <c r="B51" s="23" t="s">
        <v>204</v>
      </c>
      <c r="C51" s="3" t="s">
        <v>384</v>
      </c>
      <c r="D51" s="3" t="s">
        <v>29</v>
      </c>
      <c r="E51" s="3" t="s">
        <v>494</v>
      </c>
      <c r="F51" s="23" t="s">
        <v>279</v>
      </c>
      <c r="G51" s="64" t="s">
        <v>280</v>
      </c>
      <c r="H51" s="23" t="s">
        <v>281</v>
      </c>
      <c r="I51" s="64" t="s">
        <v>322</v>
      </c>
      <c r="J51" s="65" t="s">
        <v>348</v>
      </c>
      <c r="K51" s="3" t="s">
        <v>374</v>
      </c>
      <c r="L51" s="3">
        <v>35415</v>
      </c>
      <c r="M51" s="27">
        <v>35</v>
      </c>
      <c r="N51" s="3" t="s">
        <v>27</v>
      </c>
      <c r="O51" s="25" t="s">
        <v>687</v>
      </c>
      <c r="P51" s="4" t="s">
        <v>212</v>
      </c>
      <c r="Q51" s="105">
        <v>45756</v>
      </c>
      <c r="R51" s="105">
        <v>45756</v>
      </c>
      <c r="S51" s="105">
        <v>45769</v>
      </c>
      <c r="T51" s="54">
        <f t="shared" si="1"/>
        <v>13</v>
      </c>
      <c r="U51" s="105">
        <v>45771</v>
      </c>
      <c r="V51" s="105">
        <v>45773</v>
      </c>
      <c r="W51" s="105">
        <v>45773</v>
      </c>
      <c r="X51" s="105">
        <v>45775</v>
      </c>
      <c r="Y51" s="105">
        <v>45778</v>
      </c>
      <c r="Z51" s="105">
        <v>45780</v>
      </c>
      <c r="AA51" s="105">
        <v>45780</v>
      </c>
      <c r="AB51" s="105">
        <v>45780</v>
      </c>
      <c r="AC51" s="105">
        <v>45782</v>
      </c>
      <c r="AD51" s="105">
        <v>45785</v>
      </c>
      <c r="AE51" s="67"/>
      <c r="AF51" s="16"/>
    </row>
    <row r="52" spans="1:32">
      <c r="A52" s="32">
        <f t="shared" si="0"/>
        <v>49</v>
      </c>
      <c r="B52" s="23" t="s">
        <v>204</v>
      </c>
      <c r="C52" s="3" t="s">
        <v>384</v>
      </c>
      <c r="D52" s="3" t="s">
        <v>29</v>
      </c>
      <c r="E52" s="3" t="s">
        <v>676</v>
      </c>
      <c r="F52" s="23" t="s">
        <v>293</v>
      </c>
      <c r="G52" s="64" t="s">
        <v>294</v>
      </c>
      <c r="H52" s="23" t="s">
        <v>295</v>
      </c>
      <c r="I52" s="64" t="s">
        <v>327</v>
      </c>
      <c r="J52" s="65" t="s">
        <v>353</v>
      </c>
      <c r="K52" s="3" t="s">
        <v>379</v>
      </c>
      <c r="L52" s="3">
        <v>33085</v>
      </c>
      <c r="M52" s="27">
        <v>34</v>
      </c>
      <c r="N52" s="3" t="s">
        <v>27</v>
      </c>
      <c r="O52" s="25" t="s">
        <v>687</v>
      </c>
      <c r="P52" s="4" t="s">
        <v>212</v>
      </c>
      <c r="Q52" s="105">
        <v>45759</v>
      </c>
      <c r="R52" s="105">
        <v>45761</v>
      </c>
      <c r="S52" s="105">
        <v>45769</v>
      </c>
      <c r="T52" s="54">
        <f t="shared" si="1"/>
        <v>10</v>
      </c>
      <c r="U52" s="105">
        <v>45770</v>
      </c>
      <c r="V52" s="105">
        <v>45772</v>
      </c>
      <c r="W52" s="105">
        <v>45773</v>
      </c>
      <c r="X52" s="105">
        <v>45775</v>
      </c>
      <c r="Y52" s="105">
        <v>45778</v>
      </c>
      <c r="Z52" s="105">
        <v>45779</v>
      </c>
      <c r="AA52" s="105">
        <v>45779</v>
      </c>
      <c r="AB52" s="105">
        <v>45780</v>
      </c>
      <c r="AC52" s="105">
        <v>45783</v>
      </c>
      <c r="AD52" s="105">
        <v>45785</v>
      </c>
      <c r="AE52" s="69"/>
      <c r="AF52" s="16"/>
    </row>
    <row r="53" spans="1:32">
      <c r="A53" s="32">
        <f t="shared" si="0"/>
        <v>50</v>
      </c>
      <c r="B53" s="23" t="s">
        <v>204</v>
      </c>
      <c r="C53" s="3" t="s">
        <v>384</v>
      </c>
      <c r="D53" s="3" t="s">
        <v>29</v>
      </c>
      <c r="E53" s="3" t="s">
        <v>501</v>
      </c>
      <c r="F53" s="23" t="s">
        <v>296</v>
      </c>
      <c r="G53" s="64" t="s">
        <v>297</v>
      </c>
      <c r="H53" s="23" t="s">
        <v>298</v>
      </c>
      <c r="I53" s="64" t="s">
        <v>328</v>
      </c>
      <c r="J53" s="65" t="s">
        <v>354</v>
      </c>
      <c r="K53" s="3" t="s">
        <v>380</v>
      </c>
      <c r="L53" s="3">
        <v>35242</v>
      </c>
      <c r="M53" s="27">
        <v>35</v>
      </c>
      <c r="N53" s="3" t="s">
        <v>27</v>
      </c>
      <c r="O53" s="25" t="s">
        <v>687</v>
      </c>
      <c r="P53" s="4" t="s">
        <v>212</v>
      </c>
      <c r="Q53" s="105">
        <v>45759</v>
      </c>
      <c r="R53" s="105">
        <v>45761</v>
      </c>
      <c r="S53" s="105">
        <v>45769</v>
      </c>
      <c r="T53" s="54">
        <f t="shared" si="1"/>
        <v>10</v>
      </c>
      <c r="U53" s="105">
        <v>45770</v>
      </c>
      <c r="V53" s="105">
        <v>45773</v>
      </c>
      <c r="W53" s="105">
        <v>45773</v>
      </c>
      <c r="X53" s="105">
        <v>45775</v>
      </c>
      <c r="Y53" s="105">
        <v>45778</v>
      </c>
      <c r="Z53" s="105">
        <v>45780</v>
      </c>
      <c r="AA53" s="105">
        <v>45780</v>
      </c>
      <c r="AB53" s="105">
        <v>45781</v>
      </c>
      <c r="AC53" s="105">
        <v>45783</v>
      </c>
      <c r="AD53" s="105">
        <v>45785</v>
      </c>
      <c r="AE53" s="67"/>
      <c r="AF53" s="16"/>
    </row>
    <row r="54" spans="1:32">
      <c r="A54" s="32">
        <f t="shared" si="0"/>
        <v>51</v>
      </c>
      <c r="B54" s="23" t="s">
        <v>204</v>
      </c>
      <c r="C54" s="3" t="s">
        <v>384</v>
      </c>
      <c r="D54" s="3" t="s">
        <v>29</v>
      </c>
      <c r="E54" s="3" t="s">
        <v>677</v>
      </c>
      <c r="F54" s="23" t="s">
        <v>282</v>
      </c>
      <c r="G54" s="64" t="s">
        <v>283</v>
      </c>
      <c r="H54" s="23" t="s">
        <v>284</v>
      </c>
      <c r="I54" s="64" t="s">
        <v>323</v>
      </c>
      <c r="J54" s="65" t="s">
        <v>349</v>
      </c>
      <c r="K54" s="3" t="s">
        <v>375</v>
      </c>
      <c r="L54" s="3">
        <v>35582</v>
      </c>
      <c r="M54" s="27">
        <v>35</v>
      </c>
      <c r="N54" s="3" t="s">
        <v>27</v>
      </c>
      <c r="O54" s="25" t="s">
        <v>687</v>
      </c>
      <c r="P54" s="4" t="s">
        <v>212</v>
      </c>
      <c r="Q54" s="105">
        <v>45760</v>
      </c>
      <c r="R54" s="105">
        <v>45761</v>
      </c>
      <c r="S54" s="105">
        <v>45769</v>
      </c>
      <c r="T54" s="54">
        <f t="shared" si="1"/>
        <v>9</v>
      </c>
      <c r="U54" s="105">
        <v>45770</v>
      </c>
      <c r="V54" s="105">
        <v>45773</v>
      </c>
      <c r="W54" s="105">
        <v>45773</v>
      </c>
      <c r="X54" s="105">
        <v>45775</v>
      </c>
      <c r="Y54" s="105">
        <v>45778</v>
      </c>
      <c r="Z54" s="105">
        <v>45780</v>
      </c>
      <c r="AA54" s="105">
        <v>45780</v>
      </c>
      <c r="AB54" s="105">
        <v>45781</v>
      </c>
      <c r="AC54" s="105">
        <v>45783</v>
      </c>
      <c r="AD54" s="105">
        <v>45785</v>
      </c>
      <c r="AE54" s="67"/>
      <c r="AF54" s="16"/>
    </row>
    <row r="55" spans="1:32">
      <c r="A55" s="30" t="s">
        <v>205</v>
      </c>
      <c r="B55" s="31"/>
      <c r="C55" s="31"/>
      <c r="D55" s="31"/>
    </row>
    <row r="56" spans="1:32">
      <c r="A56" s="30" t="s">
        <v>691</v>
      </c>
      <c r="B56" s="31"/>
      <c r="C56" s="31"/>
      <c r="D56" s="31"/>
    </row>
    <row r="57" spans="1:32">
      <c r="A57" s="30" t="s">
        <v>692</v>
      </c>
      <c r="B57" s="31"/>
      <c r="C57" s="31"/>
      <c r="D57" s="31"/>
    </row>
    <row r="58" spans="1:32">
      <c r="N58" s="53"/>
    </row>
  </sheetData>
  <autoFilter ref="A3:AF57" xr:uid="{06B91576-9EE8-4E77-A189-0EBB979379E3}">
    <sortState xmlns:xlrd2="http://schemas.microsoft.com/office/spreadsheetml/2017/richdata2" ref="A21:AF57">
      <sortCondition ref="Q3"/>
    </sortState>
  </autoFilter>
  <mergeCells count="20">
    <mergeCell ref="L2:L3"/>
    <mergeCell ref="F2:F3"/>
    <mergeCell ref="G2:G3"/>
    <mergeCell ref="H2:H3"/>
    <mergeCell ref="I2:J2"/>
    <mergeCell ref="K2:K3"/>
    <mergeCell ref="A2:A3"/>
    <mergeCell ref="B2:B3"/>
    <mergeCell ref="C2:C3"/>
    <mergeCell ref="D2:D3"/>
    <mergeCell ref="E2:E3"/>
    <mergeCell ref="N2:N3"/>
    <mergeCell ref="AF2:AF3"/>
    <mergeCell ref="AA2:AB2"/>
    <mergeCell ref="AC2:AE2"/>
    <mergeCell ref="O2:O3"/>
    <mergeCell ref="Q2:T2"/>
    <mergeCell ref="U2:V2"/>
    <mergeCell ref="W2:X2"/>
    <mergeCell ref="Y2:Z2"/>
  </mergeCells>
  <conditionalFormatting sqref="B1">
    <cfRule type="duplicateValues" dxfId="3116" priority="767"/>
    <cfRule type="duplicateValues" dxfId="3115" priority="768"/>
    <cfRule type="duplicateValues" dxfId="3114" priority="769"/>
    <cfRule type="duplicateValues" dxfId="3113" priority="770"/>
  </conditionalFormatting>
  <conditionalFormatting sqref="F1:F3">
    <cfRule type="duplicateValues" dxfId="3112" priority="763"/>
    <cfRule type="duplicateValues" dxfId="3111" priority="764"/>
    <cfRule type="duplicateValues" dxfId="3110" priority="765"/>
    <cfRule type="duplicateValues" dxfId="3109" priority="766"/>
  </conditionalFormatting>
  <conditionalFormatting sqref="F4">
    <cfRule type="duplicateValues" dxfId="3108" priority="1264"/>
    <cfRule type="duplicateValues" dxfId="3107" priority="1265"/>
    <cfRule type="duplicateValues" dxfId="3106" priority="1266"/>
    <cfRule type="duplicateValues" dxfId="3105" priority="1267"/>
    <cfRule type="duplicateValues" dxfId="3104" priority="1268"/>
    <cfRule type="duplicateValues" dxfId="3103" priority="1269"/>
    <cfRule type="duplicateValues" dxfId="3102" priority="1270"/>
    <cfRule type="duplicateValues" dxfId="3101" priority="1271"/>
    <cfRule type="duplicateValues" dxfId="3100" priority="1272"/>
    <cfRule type="duplicateValues" dxfId="3099" priority="1273"/>
    <cfRule type="duplicateValues" dxfId="3098" priority="1274"/>
    <cfRule type="duplicateValues" dxfId="3097" priority="1275"/>
    <cfRule type="duplicateValues" dxfId="3096" priority="1276"/>
    <cfRule type="duplicateValues" dxfId="3095" priority="1277"/>
    <cfRule type="duplicateValues" dxfId="3094" priority="1278"/>
    <cfRule type="duplicateValues" dxfId="3093" priority="1279"/>
    <cfRule type="duplicateValues" dxfId="3092" priority="1280"/>
    <cfRule type="duplicateValues" dxfId="3091" priority="1281"/>
    <cfRule type="duplicateValues" dxfId="3090" priority="1282"/>
    <cfRule type="duplicateValues" dxfId="3089" priority="1283"/>
    <cfRule type="duplicateValues" dxfId="3088" priority="1284"/>
    <cfRule type="duplicateValues" dxfId="3087" priority="1285"/>
    <cfRule type="duplicateValues" dxfId="3086" priority="1286"/>
    <cfRule type="duplicateValues" dxfId="3085" priority="1287"/>
    <cfRule type="duplicateValues" dxfId="3084" priority="1288"/>
    <cfRule type="duplicateValues" dxfId="3083" priority="1289"/>
    <cfRule type="duplicateValues" dxfId="3082" priority="1290"/>
    <cfRule type="duplicateValues" dxfId="3081" priority="1291"/>
    <cfRule type="duplicateValues" dxfId="3080" priority="1292"/>
    <cfRule type="duplicateValues" dxfId="3079" priority="1293"/>
    <cfRule type="duplicateValues" dxfId="3078" priority="1294"/>
    <cfRule type="duplicateValues" dxfId="3077" priority="1295"/>
    <cfRule type="duplicateValues" dxfId="3076" priority="1296"/>
    <cfRule type="duplicateValues" dxfId="3075" priority="1297"/>
    <cfRule type="duplicateValues" dxfId="3074" priority="1298"/>
    <cfRule type="duplicateValues" dxfId="3073" priority="1299"/>
    <cfRule type="duplicateValues" dxfId="3072" priority="1300"/>
    <cfRule type="duplicateValues" dxfId="3071" priority="1301"/>
    <cfRule type="duplicateValues" dxfId="3070" priority="1302"/>
    <cfRule type="duplicateValues" dxfId="3069" priority="1303"/>
    <cfRule type="duplicateValues" dxfId="3068" priority="1304"/>
    <cfRule type="duplicateValues" dxfId="3067" priority="1305"/>
    <cfRule type="duplicateValues" dxfId="3066" priority="1306"/>
  </conditionalFormatting>
  <conditionalFormatting sqref="F10 F6">
    <cfRule type="duplicateValues" dxfId="3065" priority="1"/>
    <cfRule type="duplicateValues" dxfId="3064" priority="2"/>
    <cfRule type="duplicateValues" dxfId="3063" priority="3"/>
    <cfRule type="duplicateValues" dxfId="3062" priority="4"/>
    <cfRule type="duplicateValues" dxfId="3061" priority="5"/>
    <cfRule type="duplicateValues" dxfId="3060" priority="6"/>
    <cfRule type="duplicateValues" dxfId="3059" priority="7"/>
    <cfRule type="duplicateValues" dxfId="3058" priority="8"/>
    <cfRule type="duplicateValues" dxfId="3057" priority="9"/>
    <cfRule type="duplicateValues" dxfId="3056" priority="10"/>
    <cfRule type="duplicateValues" dxfId="3055" priority="11"/>
    <cfRule type="duplicateValues" dxfId="3054" priority="12"/>
    <cfRule type="duplicateValues" dxfId="3053" priority="13"/>
    <cfRule type="duplicateValues" dxfId="3052" priority="14"/>
    <cfRule type="duplicateValues" dxfId="3051" priority="15"/>
    <cfRule type="duplicateValues" dxfId="3050" priority="16"/>
    <cfRule type="duplicateValues" dxfId="3049" priority="17"/>
    <cfRule type="duplicateValues" dxfId="3048" priority="18"/>
    <cfRule type="duplicateValues" dxfId="3047" priority="19"/>
    <cfRule type="duplicateValues" dxfId="3046" priority="20"/>
    <cfRule type="duplicateValues" dxfId="3045" priority="21"/>
    <cfRule type="duplicateValues" dxfId="3044" priority="22"/>
    <cfRule type="duplicateValues" dxfId="3043" priority="23"/>
    <cfRule type="duplicateValues" dxfId="3042" priority="24"/>
    <cfRule type="duplicateValues" dxfId="3041" priority="25"/>
    <cfRule type="duplicateValues" dxfId="3040" priority="26"/>
    <cfRule type="duplicateValues" dxfId="3039" priority="27"/>
    <cfRule type="duplicateValues" dxfId="3038" priority="28"/>
    <cfRule type="duplicateValues" dxfId="3037" priority="29"/>
    <cfRule type="duplicateValues" dxfId="3036" priority="30"/>
    <cfRule type="duplicateValues" dxfId="3035" priority="31"/>
    <cfRule type="duplicateValues" dxfId="3034" priority="32"/>
    <cfRule type="duplicateValues" dxfId="3033" priority="33"/>
    <cfRule type="duplicateValues" dxfId="3032" priority="34"/>
    <cfRule type="duplicateValues" dxfId="3031" priority="35"/>
    <cfRule type="duplicateValues" dxfId="3030" priority="36"/>
    <cfRule type="duplicateValues" dxfId="3029" priority="37"/>
    <cfRule type="duplicateValues" dxfId="3028" priority="38"/>
    <cfRule type="duplicateValues" dxfId="3027" priority="39"/>
    <cfRule type="duplicateValues" dxfId="3026" priority="40"/>
    <cfRule type="duplicateValues" dxfId="3025" priority="41"/>
    <cfRule type="duplicateValues" dxfId="3024" priority="42"/>
    <cfRule type="duplicateValues" dxfId="3023" priority="43"/>
    <cfRule type="duplicateValues" dxfId="3022" priority="44"/>
    <cfRule type="duplicateValues" dxfId="3021" priority="45"/>
    <cfRule type="duplicateValues" dxfId="3020" priority="46"/>
  </conditionalFormatting>
  <conditionalFormatting sqref="F11">
    <cfRule type="duplicateValues" dxfId="3019" priority="4558"/>
    <cfRule type="duplicateValues" dxfId="3018" priority="4559"/>
    <cfRule type="duplicateValues" dxfId="3017" priority="4560"/>
    <cfRule type="duplicateValues" dxfId="3016" priority="8624"/>
    <cfRule type="duplicateValues" dxfId="3015" priority="8625"/>
    <cfRule type="duplicateValues" dxfId="3014" priority="8626"/>
    <cfRule type="duplicateValues" dxfId="3013" priority="8627"/>
    <cfRule type="duplicateValues" dxfId="3012" priority="8628"/>
    <cfRule type="duplicateValues" dxfId="3011" priority="8629"/>
    <cfRule type="duplicateValues" dxfId="3010" priority="8630"/>
    <cfRule type="duplicateValues" dxfId="3009" priority="8631"/>
    <cfRule type="duplicateValues" dxfId="3008" priority="8632"/>
    <cfRule type="duplicateValues" dxfId="3007" priority="8633"/>
    <cfRule type="duplicateValues" dxfId="3006" priority="8634"/>
    <cfRule type="duplicateValues" dxfId="3005" priority="8635"/>
    <cfRule type="duplicateValues" dxfId="3004" priority="8636"/>
    <cfRule type="duplicateValues" dxfId="3003" priority="8637"/>
    <cfRule type="duplicateValues" dxfId="3002" priority="8638"/>
    <cfRule type="duplicateValues" dxfId="3001" priority="8639"/>
    <cfRule type="duplicateValues" dxfId="3000" priority="8640"/>
    <cfRule type="duplicateValues" dxfId="2999" priority="8641"/>
    <cfRule type="duplicateValues" dxfId="2998" priority="8642"/>
    <cfRule type="duplicateValues" dxfId="2997" priority="8643"/>
    <cfRule type="duplicateValues" dxfId="2996" priority="8644"/>
    <cfRule type="duplicateValues" dxfId="2995" priority="8645"/>
    <cfRule type="duplicateValues" dxfId="2994" priority="8646"/>
    <cfRule type="duplicateValues" dxfId="2993" priority="8647"/>
    <cfRule type="duplicateValues" dxfId="2992" priority="8648"/>
    <cfRule type="duplicateValues" dxfId="2991" priority="8649"/>
    <cfRule type="duplicateValues" dxfId="2990" priority="8650"/>
    <cfRule type="duplicateValues" dxfId="2989" priority="8651"/>
    <cfRule type="duplicateValues" dxfId="2988" priority="8652"/>
    <cfRule type="duplicateValues" dxfId="2987" priority="8653"/>
    <cfRule type="duplicateValues" dxfId="2986" priority="8654"/>
    <cfRule type="duplicateValues" dxfId="2985" priority="8655"/>
    <cfRule type="duplicateValues" dxfId="2984" priority="8656"/>
    <cfRule type="duplicateValues" dxfId="2983" priority="8657"/>
    <cfRule type="duplicateValues" dxfId="2982" priority="8658"/>
    <cfRule type="duplicateValues" dxfId="2981" priority="8659"/>
    <cfRule type="duplicateValues" dxfId="2980" priority="8660"/>
    <cfRule type="duplicateValues" dxfId="2979" priority="8661"/>
    <cfRule type="duplicateValues" dxfId="2978" priority="8662"/>
    <cfRule type="duplicateValues" dxfId="2977" priority="8663"/>
    <cfRule type="duplicateValues" dxfId="2976" priority="8664"/>
    <cfRule type="duplicateValues" dxfId="2975" priority="8665"/>
  </conditionalFormatting>
  <conditionalFormatting sqref="F11:F13 F24 F55:F56 F32 F1:F4 F19 F22 F58:F1048576">
    <cfRule type="duplicateValues" dxfId="2974" priority="8833"/>
  </conditionalFormatting>
  <conditionalFormatting sqref="F12">
    <cfRule type="duplicateValues" dxfId="2973" priority="4561"/>
    <cfRule type="duplicateValues" dxfId="2972" priority="4562"/>
    <cfRule type="duplicateValues" dxfId="2971" priority="4563"/>
    <cfRule type="duplicateValues" dxfId="2970" priority="4564"/>
    <cfRule type="duplicateValues" dxfId="2969" priority="4565"/>
    <cfRule type="duplicateValues" dxfId="2968" priority="4566"/>
    <cfRule type="duplicateValues" dxfId="2967" priority="4567"/>
    <cfRule type="duplicateValues" dxfId="2966" priority="4568"/>
    <cfRule type="duplicateValues" dxfId="2965" priority="4569"/>
    <cfRule type="duplicateValues" dxfId="2964" priority="4570"/>
    <cfRule type="duplicateValues" dxfId="2963" priority="4571"/>
    <cfRule type="duplicateValues" dxfId="2962" priority="4572"/>
    <cfRule type="duplicateValues" dxfId="2961" priority="4573"/>
    <cfRule type="duplicateValues" dxfId="2960" priority="4574"/>
    <cfRule type="duplicateValues" dxfId="2959" priority="4575"/>
    <cfRule type="duplicateValues" dxfId="2958" priority="4576"/>
    <cfRule type="duplicateValues" dxfId="2957" priority="4577"/>
    <cfRule type="duplicateValues" dxfId="2956" priority="4578"/>
    <cfRule type="duplicateValues" dxfId="2955" priority="4579"/>
    <cfRule type="duplicateValues" dxfId="2954" priority="4580"/>
    <cfRule type="duplicateValues" dxfId="2953" priority="4581"/>
    <cfRule type="duplicateValues" dxfId="2952" priority="4582"/>
    <cfRule type="duplicateValues" dxfId="2951" priority="4583"/>
    <cfRule type="duplicateValues" dxfId="2950" priority="4584"/>
    <cfRule type="duplicateValues" dxfId="2949" priority="4585"/>
    <cfRule type="duplicateValues" dxfId="2948" priority="4586"/>
    <cfRule type="duplicateValues" dxfId="2947" priority="4587"/>
    <cfRule type="duplicateValues" dxfId="2946" priority="4588"/>
    <cfRule type="duplicateValues" dxfId="2945" priority="4589"/>
    <cfRule type="duplicateValues" dxfId="2944" priority="4590"/>
    <cfRule type="duplicateValues" dxfId="2943" priority="4591"/>
    <cfRule type="duplicateValues" dxfId="2942" priority="4592"/>
    <cfRule type="duplicateValues" dxfId="2941" priority="4593"/>
    <cfRule type="duplicateValues" dxfId="2940" priority="4594"/>
    <cfRule type="duplicateValues" dxfId="2939" priority="4595"/>
    <cfRule type="duplicateValues" dxfId="2938" priority="4596"/>
    <cfRule type="duplicateValues" dxfId="2937" priority="4597"/>
    <cfRule type="duplicateValues" dxfId="2936" priority="4598"/>
    <cfRule type="duplicateValues" dxfId="2935" priority="4599"/>
    <cfRule type="duplicateValues" dxfId="2934" priority="4600"/>
    <cfRule type="duplicateValues" dxfId="2933" priority="4601"/>
    <cfRule type="duplicateValues" dxfId="2932" priority="4602"/>
    <cfRule type="duplicateValues" dxfId="2931" priority="4603"/>
    <cfRule type="duplicateValues" dxfId="2930" priority="4604"/>
    <cfRule type="duplicateValues" dxfId="2929" priority="4605"/>
  </conditionalFormatting>
  <conditionalFormatting sqref="F13">
    <cfRule type="duplicateValues" dxfId="2928" priority="8666"/>
    <cfRule type="duplicateValues" dxfId="2927" priority="8667"/>
    <cfRule type="duplicateValues" dxfId="2926" priority="8668"/>
    <cfRule type="duplicateValues" dxfId="2925" priority="8669"/>
    <cfRule type="duplicateValues" dxfId="2924" priority="8670"/>
    <cfRule type="duplicateValues" dxfId="2923" priority="8671"/>
    <cfRule type="duplicateValues" dxfId="2922" priority="8672"/>
    <cfRule type="duplicateValues" dxfId="2921" priority="8673"/>
    <cfRule type="duplicateValues" dxfId="2920" priority="8674"/>
    <cfRule type="duplicateValues" dxfId="2919" priority="8675"/>
    <cfRule type="duplicateValues" dxfId="2918" priority="8676"/>
    <cfRule type="duplicateValues" dxfId="2917" priority="8677"/>
    <cfRule type="duplicateValues" dxfId="2916" priority="8678"/>
    <cfRule type="duplicateValues" dxfId="2915" priority="8679"/>
    <cfRule type="duplicateValues" dxfId="2914" priority="8680"/>
    <cfRule type="duplicateValues" dxfId="2913" priority="8681"/>
    <cfRule type="duplicateValues" dxfId="2912" priority="8682"/>
    <cfRule type="duplicateValues" dxfId="2911" priority="8683"/>
    <cfRule type="duplicateValues" dxfId="2910" priority="8684"/>
    <cfRule type="duplicateValues" dxfId="2909" priority="8685"/>
    <cfRule type="duplicateValues" dxfId="2908" priority="8686"/>
    <cfRule type="duplicateValues" dxfId="2907" priority="8687"/>
    <cfRule type="duplicateValues" dxfId="2906" priority="8688"/>
    <cfRule type="duplicateValues" dxfId="2905" priority="8689"/>
    <cfRule type="duplicateValues" dxfId="2904" priority="8690"/>
    <cfRule type="duplicateValues" dxfId="2903" priority="8691"/>
    <cfRule type="duplicateValues" dxfId="2902" priority="8692"/>
    <cfRule type="duplicateValues" dxfId="2901" priority="8693"/>
    <cfRule type="duplicateValues" dxfId="2900" priority="8694"/>
    <cfRule type="duplicateValues" dxfId="2899" priority="8695"/>
    <cfRule type="duplicateValues" dxfId="2898" priority="8696"/>
    <cfRule type="duplicateValues" dxfId="2897" priority="8697"/>
    <cfRule type="duplicateValues" dxfId="2896" priority="8698"/>
    <cfRule type="duplicateValues" dxfId="2895" priority="8699"/>
    <cfRule type="duplicateValues" dxfId="2894" priority="8700"/>
    <cfRule type="duplicateValues" dxfId="2893" priority="8701"/>
    <cfRule type="duplicateValues" dxfId="2892" priority="8702"/>
    <cfRule type="duplicateValues" dxfId="2891" priority="8703"/>
    <cfRule type="duplicateValues" dxfId="2890" priority="8704"/>
    <cfRule type="duplicateValues" dxfId="2889" priority="8705"/>
    <cfRule type="duplicateValues" dxfId="2888" priority="8706"/>
    <cfRule type="duplicateValues" dxfId="2887" priority="8707"/>
    <cfRule type="duplicateValues" dxfId="2886" priority="8711"/>
    <cfRule type="duplicateValues" dxfId="2885" priority="8712"/>
    <cfRule type="duplicateValues" dxfId="2884" priority="8713"/>
  </conditionalFormatting>
  <conditionalFormatting sqref="F16">
    <cfRule type="duplicateValues" dxfId="2883" priority="8859"/>
    <cfRule type="duplicateValues" dxfId="2882" priority="9007"/>
    <cfRule type="duplicateValues" dxfId="2881" priority="9008"/>
    <cfRule type="duplicateValues" dxfId="2880" priority="9009"/>
    <cfRule type="duplicateValues" dxfId="2879" priority="9010"/>
    <cfRule type="duplicateValues" dxfId="2878" priority="9011"/>
    <cfRule type="duplicateValues" dxfId="2877" priority="9012"/>
    <cfRule type="duplicateValues" dxfId="2876" priority="9013"/>
    <cfRule type="duplicateValues" dxfId="2875" priority="9014"/>
    <cfRule type="duplicateValues" dxfId="2874" priority="9015"/>
    <cfRule type="duplicateValues" dxfId="2873" priority="9016"/>
    <cfRule type="duplicateValues" dxfId="2872" priority="9017"/>
    <cfRule type="duplicateValues" dxfId="2871" priority="9018"/>
    <cfRule type="duplicateValues" dxfId="2870" priority="9019"/>
    <cfRule type="duplicateValues" dxfId="2869" priority="9020"/>
    <cfRule type="duplicateValues" dxfId="2868" priority="9021"/>
    <cfRule type="duplicateValues" dxfId="2867" priority="9022"/>
    <cfRule type="duplicateValues" dxfId="2866" priority="9023"/>
    <cfRule type="duplicateValues" dxfId="2865" priority="9024"/>
    <cfRule type="duplicateValues" dxfId="2864" priority="9025"/>
    <cfRule type="duplicateValues" dxfId="2863" priority="9026"/>
    <cfRule type="duplicateValues" dxfId="2862" priority="9027"/>
    <cfRule type="duplicateValues" dxfId="2861" priority="9028"/>
    <cfRule type="duplicateValues" dxfId="2860" priority="9029"/>
    <cfRule type="duplicateValues" dxfId="2859" priority="9030"/>
    <cfRule type="duplicateValues" dxfId="2858" priority="9031"/>
    <cfRule type="duplicateValues" dxfId="2857" priority="9032"/>
    <cfRule type="duplicateValues" dxfId="2856" priority="9033"/>
    <cfRule type="duplicateValues" dxfId="2855" priority="9034"/>
    <cfRule type="duplicateValues" dxfId="2854" priority="9035"/>
    <cfRule type="duplicateValues" dxfId="2853" priority="9036"/>
    <cfRule type="duplicateValues" dxfId="2852" priority="9037"/>
    <cfRule type="duplicateValues" dxfId="2851" priority="9038"/>
    <cfRule type="duplicateValues" dxfId="2850" priority="9039"/>
    <cfRule type="duplicateValues" dxfId="2849" priority="9040"/>
    <cfRule type="duplicateValues" dxfId="2848" priority="9041"/>
    <cfRule type="duplicateValues" dxfId="2847" priority="9042"/>
    <cfRule type="duplicateValues" dxfId="2846" priority="9043"/>
    <cfRule type="duplicateValues" dxfId="2845" priority="9044"/>
    <cfRule type="duplicateValues" dxfId="2844" priority="9045"/>
    <cfRule type="duplicateValues" dxfId="2843" priority="9046"/>
    <cfRule type="duplicateValues" dxfId="2842" priority="9047"/>
    <cfRule type="duplicateValues" dxfId="2841" priority="9048"/>
  </conditionalFormatting>
  <conditionalFormatting sqref="F19">
    <cfRule type="duplicateValues" dxfId="2840" priority="3735"/>
    <cfRule type="duplicateValues" dxfId="2839" priority="3736"/>
    <cfRule type="duplicateValues" dxfId="2838" priority="3737"/>
    <cfRule type="duplicateValues" dxfId="2837" priority="3738"/>
    <cfRule type="duplicateValues" dxfId="2836" priority="3739"/>
    <cfRule type="duplicateValues" dxfId="2835" priority="3740"/>
    <cfRule type="duplicateValues" dxfId="2834" priority="3741"/>
    <cfRule type="duplicateValues" dxfId="2833" priority="3742"/>
    <cfRule type="duplicateValues" dxfId="2832" priority="3743"/>
    <cfRule type="duplicateValues" dxfId="2831" priority="3744"/>
    <cfRule type="duplicateValues" dxfId="2830" priority="3745"/>
    <cfRule type="duplicateValues" dxfId="2829" priority="3746"/>
    <cfRule type="duplicateValues" dxfId="2828" priority="3747"/>
    <cfRule type="duplicateValues" dxfId="2827" priority="3748"/>
    <cfRule type="duplicateValues" dxfId="2826" priority="3749"/>
    <cfRule type="duplicateValues" dxfId="2825" priority="3750"/>
    <cfRule type="duplicateValues" dxfId="2824" priority="3751"/>
    <cfRule type="duplicateValues" dxfId="2823" priority="3752"/>
    <cfRule type="duplicateValues" dxfId="2822" priority="3753"/>
    <cfRule type="duplicateValues" dxfId="2821" priority="3754"/>
    <cfRule type="duplicateValues" dxfId="2820" priority="3755"/>
    <cfRule type="duplicateValues" dxfId="2819" priority="3756"/>
    <cfRule type="duplicateValues" dxfId="2818" priority="3757"/>
    <cfRule type="duplicateValues" dxfId="2817" priority="3758"/>
    <cfRule type="duplicateValues" dxfId="2816" priority="3759"/>
    <cfRule type="duplicateValues" dxfId="2815" priority="3760"/>
    <cfRule type="duplicateValues" dxfId="2814" priority="3761"/>
    <cfRule type="duplicateValues" dxfId="2813" priority="3762"/>
    <cfRule type="duplicateValues" dxfId="2812" priority="3763"/>
    <cfRule type="duplicateValues" dxfId="2811" priority="3764"/>
    <cfRule type="duplicateValues" dxfId="2810" priority="3765"/>
    <cfRule type="duplicateValues" dxfId="2809" priority="3766"/>
    <cfRule type="duplicateValues" dxfId="2808" priority="3767"/>
    <cfRule type="duplicateValues" dxfId="2807" priority="3768"/>
    <cfRule type="duplicateValues" dxfId="2806" priority="3769"/>
    <cfRule type="duplicateValues" dxfId="2805" priority="3770"/>
    <cfRule type="duplicateValues" dxfId="2804" priority="3771"/>
    <cfRule type="duplicateValues" dxfId="2803" priority="3772"/>
    <cfRule type="duplicateValues" dxfId="2802" priority="3773"/>
    <cfRule type="duplicateValues" dxfId="2801" priority="3774"/>
    <cfRule type="duplicateValues" dxfId="2800" priority="3775"/>
    <cfRule type="duplicateValues" dxfId="2799" priority="3776"/>
    <cfRule type="duplicateValues" dxfId="2798" priority="3777"/>
    <cfRule type="duplicateValues" dxfId="2797" priority="3778"/>
    <cfRule type="duplicateValues" dxfId="2796" priority="3779"/>
  </conditionalFormatting>
  <conditionalFormatting sqref="F22">
    <cfRule type="duplicateValues" dxfId="2795" priority="1464"/>
    <cfRule type="duplicateValues" dxfId="2794" priority="1465"/>
    <cfRule type="duplicateValues" dxfId="2793" priority="1466"/>
    <cfRule type="duplicateValues" dxfId="2792" priority="5424"/>
    <cfRule type="duplicateValues" dxfId="2791" priority="5425"/>
    <cfRule type="duplicateValues" dxfId="2790" priority="5426"/>
    <cfRule type="duplicateValues" dxfId="2789" priority="5427"/>
    <cfRule type="duplicateValues" dxfId="2788" priority="5428"/>
    <cfRule type="duplicateValues" dxfId="2787" priority="5429"/>
    <cfRule type="duplicateValues" dxfId="2786" priority="5430"/>
    <cfRule type="duplicateValues" dxfId="2785" priority="5431"/>
    <cfRule type="duplicateValues" dxfId="2784" priority="5432"/>
    <cfRule type="duplicateValues" dxfId="2783" priority="5433"/>
    <cfRule type="duplicateValues" dxfId="2782" priority="5434"/>
    <cfRule type="duplicateValues" dxfId="2781" priority="5435"/>
    <cfRule type="duplicateValues" dxfId="2780" priority="5436"/>
    <cfRule type="duplicateValues" dxfId="2779" priority="5437"/>
    <cfRule type="duplicateValues" dxfId="2778" priority="5438"/>
    <cfRule type="duplicateValues" dxfId="2777" priority="5439"/>
    <cfRule type="duplicateValues" dxfId="2776" priority="5440"/>
    <cfRule type="duplicateValues" dxfId="2775" priority="5441"/>
    <cfRule type="duplicateValues" dxfId="2774" priority="5442"/>
    <cfRule type="duplicateValues" dxfId="2773" priority="5443"/>
    <cfRule type="duplicateValues" dxfId="2772" priority="5444"/>
    <cfRule type="duplicateValues" dxfId="2771" priority="5445"/>
    <cfRule type="duplicateValues" dxfId="2770" priority="5446"/>
    <cfRule type="duplicateValues" dxfId="2769" priority="5447"/>
    <cfRule type="duplicateValues" dxfId="2768" priority="5448"/>
    <cfRule type="duplicateValues" dxfId="2767" priority="5449"/>
    <cfRule type="duplicateValues" dxfId="2766" priority="5450"/>
    <cfRule type="duplicateValues" dxfId="2765" priority="5451"/>
    <cfRule type="duplicateValues" dxfId="2764" priority="5452"/>
    <cfRule type="duplicateValues" dxfId="2763" priority="5453"/>
    <cfRule type="duplicateValues" dxfId="2762" priority="5454"/>
    <cfRule type="duplicateValues" dxfId="2761" priority="5455"/>
    <cfRule type="duplicateValues" dxfId="2760" priority="5456"/>
    <cfRule type="duplicateValues" dxfId="2759" priority="5457"/>
    <cfRule type="duplicateValues" dxfId="2758" priority="5458"/>
    <cfRule type="duplicateValues" dxfId="2757" priority="5459"/>
    <cfRule type="duplicateValues" dxfId="2756" priority="5460"/>
    <cfRule type="duplicateValues" dxfId="2755" priority="5461"/>
    <cfRule type="duplicateValues" dxfId="2754" priority="5462"/>
    <cfRule type="duplicateValues" dxfId="2753" priority="5463"/>
    <cfRule type="duplicateValues" dxfId="2752" priority="5464"/>
    <cfRule type="duplicateValues" dxfId="2751" priority="5465"/>
  </conditionalFormatting>
  <conditionalFormatting sqref="F23">
    <cfRule type="duplicateValues" dxfId="2750" priority="61"/>
    <cfRule type="duplicateValues" dxfId="2749" priority="62"/>
    <cfRule type="duplicateValues" dxfId="2748" priority="63"/>
    <cfRule type="duplicateValues" dxfId="2747" priority="64"/>
    <cfRule type="duplicateValues" dxfId="2746" priority="65"/>
    <cfRule type="duplicateValues" dxfId="2745" priority="66"/>
    <cfRule type="duplicateValues" dxfId="2744" priority="67"/>
    <cfRule type="duplicateValues" dxfId="2743" priority="68"/>
    <cfRule type="duplicateValues" dxfId="2742" priority="69"/>
    <cfRule type="duplicateValues" dxfId="2741" priority="70"/>
    <cfRule type="duplicateValues" dxfId="2740" priority="71"/>
    <cfRule type="duplicateValues" dxfId="2739" priority="72"/>
    <cfRule type="duplicateValues" dxfId="2738" priority="73"/>
    <cfRule type="duplicateValues" dxfId="2737" priority="74"/>
    <cfRule type="duplicateValues" dxfId="2736" priority="75"/>
    <cfRule type="duplicateValues" dxfId="2735" priority="76"/>
    <cfRule type="duplicateValues" dxfId="2734" priority="77"/>
    <cfRule type="duplicateValues" dxfId="2733" priority="78"/>
    <cfRule type="duplicateValues" dxfId="2732" priority="79"/>
    <cfRule type="duplicateValues" dxfId="2731" priority="80"/>
    <cfRule type="duplicateValues" dxfId="2730" priority="81"/>
    <cfRule type="duplicateValues" dxfId="2729" priority="82"/>
    <cfRule type="duplicateValues" dxfId="2728" priority="83"/>
    <cfRule type="duplicateValues" dxfId="2727" priority="84"/>
    <cfRule type="duplicateValues" dxfId="2726" priority="85"/>
    <cfRule type="duplicateValues" dxfId="2725" priority="86"/>
    <cfRule type="duplicateValues" dxfId="2724" priority="87"/>
    <cfRule type="duplicateValues" dxfId="2723" priority="88"/>
    <cfRule type="duplicateValues" dxfId="2722" priority="89"/>
    <cfRule type="duplicateValues" dxfId="2721" priority="90"/>
    <cfRule type="duplicateValues" dxfId="2720" priority="91"/>
    <cfRule type="duplicateValues" dxfId="2719" priority="92"/>
    <cfRule type="duplicateValues" dxfId="2718" priority="93"/>
    <cfRule type="duplicateValues" dxfId="2717" priority="94"/>
    <cfRule type="duplicateValues" dxfId="2716" priority="95"/>
    <cfRule type="duplicateValues" dxfId="2715" priority="96"/>
    <cfRule type="duplicateValues" dxfId="2714" priority="97"/>
    <cfRule type="duplicateValues" dxfId="2713" priority="98"/>
    <cfRule type="duplicateValues" dxfId="2712" priority="99"/>
    <cfRule type="duplicateValues" dxfId="2711" priority="100"/>
    <cfRule type="duplicateValues" dxfId="2710" priority="101"/>
    <cfRule type="duplicateValues" dxfId="2709" priority="102"/>
    <cfRule type="duplicateValues" dxfId="2708" priority="103"/>
    <cfRule type="duplicateValues" dxfId="2707" priority="104"/>
    <cfRule type="duplicateValues" dxfId="2706" priority="114"/>
  </conditionalFormatting>
  <conditionalFormatting sqref="F24">
    <cfRule type="duplicateValues" dxfId="2705" priority="1467"/>
    <cfRule type="duplicateValues" dxfId="2704" priority="1470"/>
    <cfRule type="duplicateValues" dxfId="2703" priority="1471"/>
    <cfRule type="duplicateValues" dxfId="2702" priority="1472"/>
    <cfRule type="duplicateValues" dxfId="2701" priority="1473"/>
    <cfRule type="duplicateValues" dxfId="2700" priority="1474"/>
    <cfRule type="duplicateValues" dxfId="2699" priority="1475"/>
    <cfRule type="duplicateValues" dxfId="2698" priority="1476"/>
    <cfRule type="duplicateValues" dxfId="2697" priority="1477"/>
    <cfRule type="duplicateValues" dxfId="2696" priority="1478"/>
    <cfRule type="duplicateValues" dxfId="2695" priority="1479"/>
    <cfRule type="duplicateValues" dxfId="2694" priority="1480"/>
    <cfRule type="duplicateValues" dxfId="2693" priority="1481"/>
    <cfRule type="duplicateValues" dxfId="2692" priority="1482"/>
    <cfRule type="duplicateValues" dxfId="2691" priority="1483"/>
    <cfRule type="duplicateValues" dxfId="2690" priority="1484"/>
    <cfRule type="duplicateValues" dxfId="2689" priority="1485"/>
    <cfRule type="duplicateValues" dxfId="2688" priority="1486"/>
    <cfRule type="duplicateValues" dxfId="2687" priority="1487"/>
    <cfRule type="duplicateValues" dxfId="2686" priority="1488"/>
    <cfRule type="duplicateValues" dxfId="2685" priority="1489"/>
    <cfRule type="duplicateValues" dxfId="2684" priority="1490"/>
    <cfRule type="duplicateValues" dxfId="2683" priority="1491"/>
    <cfRule type="duplicateValues" dxfId="2682" priority="1492"/>
    <cfRule type="duplicateValues" dxfId="2681" priority="1493"/>
    <cfRule type="duplicateValues" dxfId="2680" priority="1494"/>
    <cfRule type="duplicateValues" dxfId="2679" priority="1495"/>
    <cfRule type="duplicateValues" dxfId="2678" priority="1496"/>
    <cfRule type="duplicateValues" dxfId="2677" priority="1497"/>
    <cfRule type="duplicateValues" dxfId="2676" priority="1498"/>
    <cfRule type="duplicateValues" dxfId="2675" priority="1499"/>
    <cfRule type="duplicateValues" dxfId="2674" priority="1500"/>
    <cfRule type="duplicateValues" dxfId="2673" priority="1501"/>
    <cfRule type="duplicateValues" dxfId="2672" priority="1502"/>
    <cfRule type="duplicateValues" dxfId="2671" priority="1503"/>
    <cfRule type="duplicateValues" dxfId="2670" priority="1504"/>
    <cfRule type="duplicateValues" dxfId="2669" priority="1505"/>
    <cfRule type="duplicateValues" dxfId="2668" priority="1506"/>
    <cfRule type="duplicateValues" dxfId="2667" priority="1507"/>
    <cfRule type="duplicateValues" dxfId="2666" priority="1508"/>
    <cfRule type="duplicateValues" dxfId="2665" priority="1509"/>
    <cfRule type="duplicateValues" dxfId="2664" priority="1510"/>
    <cfRule type="duplicateValues" dxfId="2663" priority="1511"/>
  </conditionalFormatting>
  <conditionalFormatting sqref="F32">
    <cfRule type="duplicateValues" dxfId="2662" priority="5466"/>
    <cfRule type="duplicateValues" dxfId="2661" priority="5467"/>
    <cfRule type="duplicateValues" dxfId="2660" priority="5468"/>
    <cfRule type="duplicateValues" dxfId="2659" priority="5469"/>
    <cfRule type="duplicateValues" dxfId="2658" priority="5470"/>
    <cfRule type="duplicateValues" dxfId="2657" priority="5471"/>
    <cfRule type="duplicateValues" dxfId="2656" priority="5472"/>
    <cfRule type="duplicateValues" dxfId="2655" priority="5473"/>
    <cfRule type="duplicateValues" dxfId="2654" priority="5474"/>
    <cfRule type="duplicateValues" dxfId="2653" priority="5475"/>
    <cfRule type="duplicateValues" dxfId="2652" priority="5476"/>
    <cfRule type="duplicateValues" dxfId="2651" priority="5477"/>
    <cfRule type="duplicateValues" dxfId="2650" priority="5478"/>
    <cfRule type="duplicateValues" dxfId="2649" priority="5479"/>
    <cfRule type="duplicateValues" dxfId="2648" priority="5480"/>
    <cfRule type="duplicateValues" dxfId="2647" priority="5481"/>
    <cfRule type="duplicateValues" dxfId="2646" priority="5482"/>
    <cfRule type="duplicateValues" dxfId="2645" priority="5483"/>
    <cfRule type="duplicateValues" dxfId="2644" priority="5484"/>
    <cfRule type="duplicateValues" dxfId="2643" priority="5485"/>
    <cfRule type="duplicateValues" dxfId="2642" priority="5486"/>
    <cfRule type="duplicateValues" dxfId="2641" priority="5487"/>
    <cfRule type="duplicateValues" dxfId="2640" priority="5488"/>
    <cfRule type="duplicateValues" dxfId="2639" priority="5489"/>
    <cfRule type="duplicateValues" dxfId="2638" priority="5490"/>
    <cfRule type="duplicateValues" dxfId="2637" priority="5491"/>
    <cfRule type="duplicateValues" dxfId="2636" priority="5492"/>
    <cfRule type="duplicateValues" dxfId="2635" priority="5493"/>
    <cfRule type="duplicateValues" dxfId="2634" priority="5494"/>
    <cfRule type="duplicateValues" dxfId="2633" priority="5495"/>
    <cfRule type="duplicateValues" dxfId="2632" priority="5496"/>
    <cfRule type="duplicateValues" dxfId="2631" priority="5497"/>
    <cfRule type="duplicateValues" dxfId="2630" priority="5498"/>
    <cfRule type="duplicateValues" dxfId="2629" priority="5499"/>
    <cfRule type="duplicateValues" dxfId="2628" priority="5500"/>
    <cfRule type="duplicateValues" dxfId="2627" priority="5501"/>
    <cfRule type="duplicateValues" dxfId="2626" priority="5502"/>
    <cfRule type="duplicateValues" dxfId="2625" priority="5503"/>
    <cfRule type="duplicateValues" dxfId="2624" priority="5504"/>
    <cfRule type="duplicateValues" dxfId="2623" priority="5505"/>
    <cfRule type="duplicateValues" dxfId="2622" priority="5506"/>
    <cfRule type="duplicateValues" dxfId="2621" priority="5507"/>
    <cfRule type="duplicateValues" dxfId="2620" priority="5511"/>
    <cfRule type="duplicateValues" dxfId="2619" priority="5512"/>
    <cfRule type="duplicateValues" dxfId="2618" priority="5513"/>
  </conditionalFormatting>
  <conditionalFormatting sqref="F55:F56 F1:F3 F58:F1048576">
    <cfRule type="duplicateValues" dxfId="2617" priority="1244"/>
    <cfRule type="duplicateValues" dxfId="2616" priority="1245"/>
    <cfRule type="duplicateValues" dxfId="2615" priority="1246"/>
    <cfRule type="duplicateValues" dxfId="2614" priority="1247"/>
    <cfRule type="duplicateValues" dxfId="2613" priority="1248"/>
    <cfRule type="duplicateValues" dxfId="2612" priority="1249"/>
    <cfRule type="duplicateValues" dxfId="2611" priority="1263"/>
  </conditionalFormatting>
  <conditionalFormatting sqref="F57">
    <cfRule type="duplicateValues" dxfId="2610" priority="47"/>
    <cfRule type="duplicateValues" dxfId="2609" priority="48"/>
    <cfRule type="duplicateValues" dxfId="2608" priority="49"/>
    <cfRule type="duplicateValues" dxfId="2607" priority="50"/>
    <cfRule type="duplicateValues" dxfId="2606" priority="51"/>
    <cfRule type="duplicateValues" dxfId="2605" priority="52"/>
    <cfRule type="duplicateValues" dxfId="2604" priority="53"/>
    <cfRule type="duplicateValues" dxfId="2603" priority="54"/>
    <cfRule type="duplicateValues" dxfId="2602" priority="55"/>
    <cfRule type="duplicateValues" dxfId="2601" priority="56"/>
    <cfRule type="duplicateValues" dxfId="2600" priority="57"/>
  </conditionalFormatting>
  <conditionalFormatting sqref="F58:F1048576 F1:F4 F6:F16 F22 F18:F20 F27:F56 F24:F25">
    <cfRule type="duplicateValues" dxfId="2599" priority="10583"/>
  </conditionalFormatting>
  <conditionalFormatting sqref="F58:F1048576 F1:F56">
    <cfRule type="duplicateValues" dxfId="2598" priority="58"/>
  </conditionalFormatting>
  <conditionalFormatting sqref="F58:F1048576">
    <cfRule type="duplicateValues" dxfId="2597" priority="775"/>
  </conditionalFormatting>
  <conditionalFormatting sqref="G4:G6 K5:K19 G7:H19 G20:G29 G21:H22 K21:K22 G24:H24 K24 G26:H26 G32 G35:G54">
    <cfRule type="containsText" dxfId="2596" priority="163" operator="containsText" text="TBA">
      <formula>NOT(ISERROR(SEARCH("TBA",G4)))</formula>
    </cfRule>
  </conditionalFormatting>
  <conditionalFormatting sqref="G5">
    <cfRule type="duplicateValues" dxfId="2595" priority="10633"/>
  </conditionalFormatting>
  <conditionalFormatting sqref="G11:G13 G24 G32 G4 G19 G22">
    <cfRule type="duplicateValues" dxfId="2594" priority="8843"/>
  </conditionalFormatting>
  <conditionalFormatting sqref="G17">
    <cfRule type="duplicateValues" dxfId="2593" priority="3787"/>
    <cfRule type="duplicateValues" dxfId="2592" priority="3788"/>
    <cfRule type="duplicateValues" dxfId="2591" priority="3789"/>
  </conditionalFormatting>
  <conditionalFormatting sqref="G21">
    <cfRule type="duplicateValues" dxfId="2590" priority="120"/>
    <cfRule type="duplicateValues" dxfId="2589" priority="121"/>
    <cfRule type="duplicateValues" dxfId="2588" priority="122"/>
  </conditionalFormatting>
  <conditionalFormatting sqref="G23">
    <cfRule type="duplicateValues" dxfId="2587" priority="105"/>
  </conditionalFormatting>
  <conditionalFormatting sqref="G26">
    <cfRule type="duplicateValues" dxfId="2586" priority="179"/>
    <cfRule type="duplicateValues" dxfId="2585" priority="180"/>
  </conditionalFormatting>
  <conditionalFormatting sqref="G37">
    <cfRule type="duplicateValues" dxfId="2584" priority="748"/>
  </conditionalFormatting>
  <conditionalFormatting sqref="G47">
    <cfRule type="duplicateValues" dxfId="2583" priority="749"/>
  </conditionalFormatting>
  <conditionalFormatting sqref="H5">
    <cfRule type="containsText" dxfId="2582" priority="10634" operator="containsText" text="TBA">
      <formula>NOT(ISERROR(SEARCH("TBA",H5)))</formula>
    </cfRule>
    <cfRule type="duplicateValues" dxfId="2581" priority="10635"/>
    <cfRule type="duplicateValues" dxfId="2580" priority="10636"/>
    <cfRule type="duplicateValues" dxfId="2579" priority="10637"/>
    <cfRule type="duplicateValues" dxfId="2578" priority="10638"/>
  </conditionalFormatting>
  <conditionalFormatting sqref="H17">
    <cfRule type="duplicateValues" dxfId="2577" priority="3794"/>
    <cfRule type="duplicateValues" dxfId="2576" priority="3795"/>
    <cfRule type="duplicateValues" dxfId="2575" priority="3796"/>
    <cfRule type="duplicateValues" dxfId="2574" priority="3797"/>
  </conditionalFormatting>
  <conditionalFormatting sqref="H21">
    <cfRule type="duplicateValues" dxfId="2573" priority="123"/>
    <cfRule type="duplicateValues" dxfId="2572" priority="124"/>
    <cfRule type="duplicateValues" dxfId="2571" priority="125"/>
    <cfRule type="duplicateValues" dxfId="2570" priority="126"/>
  </conditionalFormatting>
  <conditionalFormatting sqref="H26">
    <cfRule type="duplicateValues" dxfId="2569" priority="182"/>
    <cfRule type="duplicateValues" dxfId="2568" priority="183"/>
    <cfRule type="duplicateValues" dxfId="2567" priority="184"/>
    <cfRule type="duplicateValues" dxfId="2566" priority="185"/>
  </conditionalFormatting>
  <conditionalFormatting sqref="I11:I13 I24 I32 I4 I19 I22">
    <cfRule type="duplicateValues" dxfId="2565" priority="8851"/>
    <cfRule type="duplicateValues" dxfId="2564" priority="8852"/>
    <cfRule type="duplicateValues" dxfId="2563" priority="8853"/>
    <cfRule type="duplicateValues" dxfId="2562" priority="8854"/>
    <cfRule type="duplicateValues" dxfId="2561" priority="8855"/>
    <cfRule type="duplicateValues" dxfId="2560" priority="8856"/>
    <cfRule type="duplicateValues" dxfId="2559" priority="8857"/>
    <cfRule type="duplicateValues" dxfId="2558" priority="8858"/>
  </conditionalFormatting>
  <conditionalFormatting sqref="I17">
    <cfRule type="duplicateValues" dxfId="2557" priority="3798"/>
  </conditionalFormatting>
  <conditionalFormatting sqref="I21">
    <cfRule type="duplicateValues" dxfId="2556" priority="127"/>
  </conditionalFormatting>
  <conditionalFormatting sqref="I23">
    <cfRule type="duplicateValues" dxfId="2555" priority="106"/>
    <cfRule type="duplicateValues" dxfId="2554" priority="107"/>
    <cfRule type="duplicateValues" dxfId="2553" priority="108"/>
    <cfRule type="duplicateValues" dxfId="2552" priority="109"/>
    <cfRule type="duplicateValues" dxfId="2551" priority="110"/>
    <cfRule type="duplicateValues" dxfId="2550" priority="111"/>
    <cfRule type="duplicateValues" dxfId="2549" priority="112"/>
    <cfRule type="duplicateValues" dxfId="2548" priority="113"/>
  </conditionalFormatting>
  <conditionalFormatting sqref="I26">
    <cfRule type="duplicateValues" dxfId="2547" priority="156"/>
    <cfRule type="duplicateValues" dxfId="2546" priority="157"/>
    <cfRule type="duplicateValues" dxfId="2545" priority="158"/>
    <cfRule type="duplicateValues" dxfId="2544" priority="159"/>
    <cfRule type="duplicateValues" dxfId="2543" priority="160"/>
  </conditionalFormatting>
  <conditionalFormatting sqref="K5">
    <cfRule type="duplicateValues" dxfId="2542" priority="10639"/>
    <cfRule type="duplicateValues" dxfId="2541" priority="10640"/>
    <cfRule type="duplicateValues" dxfId="2540" priority="10641"/>
    <cfRule type="duplicateValues" dxfId="2539" priority="10642"/>
    <cfRule type="duplicateValues" dxfId="2538" priority="10643"/>
  </conditionalFormatting>
  <conditionalFormatting sqref="K17">
    <cfRule type="duplicateValues" dxfId="2537" priority="3831"/>
    <cfRule type="duplicateValues" dxfId="2536" priority="3832"/>
    <cfRule type="duplicateValues" dxfId="2535" priority="3833"/>
  </conditionalFormatting>
  <conditionalFormatting sqref="K21">
    <cfRule type="duplicateValues" dxfId="2534" priority="128"/>
    <cfRule type="duplicateValues" dxfId="2533" priority="129"/>
    <cfRule type="duplicateValues" dxfId="2532" priority="130"/>
  </conditionalFormatting>
  <conditionalFormatting sqref="K26">
    <cfRule type="duplicateValues" dxfId="2531" priority="146"/>
    <cfRule type="duplicateValues" dxfId="2530" priority="147"/>
    <cfRule type="duplicateValues" dxfId="2529" priority="148"/>
  </conditionalFormatting>
  <pageMargins left="0.7" right="0.7" top="0.75" bottom="0.75" header="0.3" footer="0.3"/>
  <pageSetup orientation="portrait" r:id="rId1"/>
  <ignoredErrors>
    <ignoredError sqref="J30:J31 J33:J48 J18:J27 J6 J9:J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15AA-5D75-496E-8E35-8C8D52CE1D9D}">
  <sheetPr codeName="Sheet3">
    <tabColor rgb="FF92D050"/>
  </sheetPr>
  <dimension ref="A1:AF67"/>
  <sheetViews>
    <sheetView topLeftCell="X37" zoomScale="130" zoomScaleNormal="130" workbookViewId="0">
      <selection activeCell="Z53" sqref="Z53"/>
    </sheetView>
  </sheetViews>
  <sheetFormatPr defaultColWidth="9.85546875" defaultRowHeight="12.75"/>
  <cols>
    <col min="1" max="1" width="4.7109375" style="2" customWidth="1"/>
    <col min="2" max="2" width="7.5703125" style="2" customWidth="1"/>
    <col min="3" max="3" width="21.85546875" style="2" customWidth="1"/>
    <col min="4" max="4" width="10.5703125" style="2" customWidth="1"/>
    <col min="5" max="5" width="16.28515625" style="2" customWidth="1"/>
    <col min="6" max="6" width="8.42578125" style="2" bestFit="1" customWidth="1"/>
    <col min="7" max="7" width="8.28515625" style="2" customWidth="1"/>
    <col min="8" max="8" width="8.140625" style="2" customWidth="1"/>
    <col min="9" max="9" width="29.5703125" style="2" customWidth="1"/>
    <col min="10" max="10" width="25.42578125" style="2" customWidth="1"/>
    <col min="11" max="11" width="11.42578125" style="2" customWidth="1"/>
    <col min="12" max="12" width="9.7109375" style="2" customWidth="1"/>
    <col min="13" max="13" width="14.42578125" style="2" customWidth="1"/>
    <col min="14" max="14" width="13.5703125" style="29" bestFit="1" customWidth="1"/>
    <col min="15" max="15" width="16.7109375" style="2" customWidth="1"/>
    <col min="16" max="16" width="9.85546875" style="2" customWidth="1"/>
    <col min="17" max="17" width="10.42578125" style="59" customWidth="1"/>
    <col min="18" max="18" width="10.85546875" style="59" customWidth="1"/>
    <col min="19" max="19" width="13.140625" style="59" customWidth="1"/>
    <col min="20" max="20" width="9" style="2" customWidth="1"/>
    <col min="21" max="21" width="10.42578125" style="59" customWidth="1"/>
    <col min="22" max="22" width="12" style="59" customWidth="1"/>
    <col min="23" max="23" width="10.42578125" style="59" customWidth="1"/>
    <col min="24" max="24" width="12" style="59" customWidth="1"/>
    <col min="25" max="25" width="10.42578125" style="59" customWidth="1"/>
    <col min="26" max="26" width="12" style="59" customWidth="1"/>
    <col min="27" max="27" width="10.42578125" style="59" customWidth="1"/>
    <col min="28" max="28" width="12" style="59" customWidth="1"/>
    <col min="29" max="29" width="18.28515625" style="59" bestFit="1" customWidth="1"/>
    <col min="30" max="30" width="13" style="59" customWidth="1"/>
    <col min="31" max="31" width="9" style="2" bestFit="1" customWidth="1"/>
    <col min="32" max="32" width="14.5703125" style="2" bestFit="1" customWidth="1"/>
    <col min="33" max="16384" width="9.85546875" style="2"/>
  </cols>
  <sheetData>
    <row r="1" spans="1:32" s="1" customFormat="1">
      <c r="A1" s="9" t="s">
        <v>0</v>
      </c>
      <c r="B1" s="10"/>
      <c r="C1" s="10"/>
      <c r="D1" s="10"/>
      <c r="E1" s="10"/>
      <c r="F1" s="11"/>
      <c r="G1" s="10"/>
      <c r="H1" s="10"/>
      <c r="I1" s="10"/>
      <c r="J1" s="10"/>
      <c r="K1" s="10"/>
      <c r="L1" s="13">
        <f>SUM(L4:L43)</f>
        <v>1342522</v>
      </c>
      <c r="M1" s="104">
        <f>SUM(M4:M43)</f>
        <v>1348</v>
      </c>
      <c r="N1" s="10"/>
      <c r="O1" s="10"/>
      <c r="P1" s="10"/>
      <c r="Q1" s="55"/>
      <c r="R1" s="55"/>
      <c r="S1" s="55"/>
      <c r="T1" s="10"/>
      <c r="U1" s="55"/>
      <c r="V1" s="55"/>
      <c r="W1" s="55"/>
      <c r="X1" s="55"/>
      <c r="Y1" s="55"/>
      <c r="Z1" s="55"/>
      <c r="AA1" s="55"/>
      <c r="AB1" s="55"/>
      <c r="AC1" s="55"/>
      <c r="AD1" s="55"/>
      <c r="AE1" s="10"/>
      <c r="AF1" s="14"/>
    </row>
    <row r="2" spans="1:32" ht="15.6" customHeight="1">
      <c r="A2" s="229" t="s">
        <v>1</v>
      </c>
      <c r="B2" s="60" t="s">
        <v>2</v>
      </c>
      <c r="C2" s="60" t="s">
        <v>3</v>
      </c>
      <c r="D2" s="60" t="s">
        <v>4</v>
      </c>
      <c r="E2" s="60" t="s">
        <v>5</v>
      </c>
      <c r="F2" s="84" t="s">
        <v>6</v>
      </c>
      <c r="G2" s="84" t="s">
        <v>7</v>
      </c>
      <c r="H2" s="84" t="s">
        <v>8</v>
      </c>
      <c r="I2" s="86" t="s">
        <v>31</v>
      </c>
      <c r="J2" s="87"/>
      <c r="K2" s="84" t="s">
        <v>9</v>
      </c>
      <c r="L2" s="84" t="s">
        <v>10</v>
      </c>
      <c r="M2" s="128" t="s">
        <v>32</v>
      </c>
      <c r="N2" s="60" t="s">
        <v>11</v>
      </c>
      <c r="O2" s="60" t="s">
        <v>12</v>
      </c>
      <c r="P2" s="15" t="s">
        <v>13</v>
      </c>
      <c r="Q2" s="81" t="s">
        <v>14</v>
      </c>
      <c r="R2" s="81"/>
      <c r="S2" s="81"/>
      <c r="T2" s="81"/>
      <c r="U2" s="58" t="s">
        <v>15</v>
      </c>
      <c r="V2" s="58"/>
      <c r="W2" s="58" t="s">
        <v>16</v>
      </c>
      <c r="X2" s="58"/>
      <c r="Y2" s="58" t="s">
        <v>17</v>
      </c>
      <c r="Z2" s="58"/>
      <c r="AA2" s="58" t="s">
        <v>18</v>
      </c>
      <c r="AB2" s="58"/>
      <c r="AC2" s="21" t="s">
        <v>19</v>
      </c>
      <c r="AD2" s="21"/>
      <c r="AE2" s="21"/>
      <c r="AF2" s="236" t="s">
        <v>28</v>
      </c>
    </row>
    <row r="3" spans="1:32">
      <c r="A3" s="229"/>
      <c r="B3" s="60"/>
      <c r="C3" s="60"/>
      <c r="D3" s="60"/>
      <c r="E3" s="60"/>
      <c r="F3" s="85"/>
      <c r="G3" s="85"/>
      <c r="H3" s="85"/>
      <c r="I3" s="17" t="s">
        <v>20</v>
      </c>
      <c r="J3" s="17" t="s">
        <v>30</v>
      </c>
      <c r="K3" s="85"/>
      <c r="L3" s="85"/>
      <c r="M3" s="129"/>
      <c r="N3" s="60"/>
      <c r="O3" s="60"/>
      <c r="P3" s="15" t="s">
        <v>21</v>
      </c>
      <c r="Q3" s="56" t="s">
        <v>22</v>
      </c>
      <c r="R3" s="56" t="s">
        <v>23</v>
      </c>
      <c r="S3" s="56" t="s">
        <v>24</v>
      </c>
      <c r="T3" s="19" t="s">
        <v>25</v>
      </c>
      <c r="U3" s="57" t="s">
        <v>22</v>
      </c>
      <c r="V3" s="57" t="s">
        <v>26</v>
      </c>
      <c r="W3" s="57" t="s">
        <v>22</v>
      </c>
      <c r="X3" s="57" t="s">
        <v>26</v>
      </c>
      <c r="Y3" s="57" t="s">
        <v>22</v>
      </c>
      <c r="Z3" s="57" t="s">
        <v>26</v>
      </c>
      <c r="AA3" s="57" t="s">
        <v>22</v>
      </c>
      <c r="AB3" s="57" t="s">
        <v>26</v>
      </c>
      <c r="AC3" s="58" t="s">
        <v>19</v>
      </c>
      <c r="AD3" s="57" t="s">
        <v>27</v>
      </c>
      <c r="AE3" s="22" t="s">
        <v>25</v>
      </c>
      <c r="AF3" s="237"/>
    </row>
    <row r="4" spans="1:32" ht="12.95" customHeight="1">
      <c r="A4" s="32">
        <f t="shared" ref="A4:A43" si="0">ROW()-3</f>
        <v>1</v>
      </c>
      <c r="B4" s="23" t="s">
        <v>204</v>
      </c>
      <c r="C4" s="3" t="s">
        <v>384</v>
      </c>
      <c r="D4" s="3" t="s">
        <v>29</v>
      </c>
      <c r="E4" s="3" t="s">
        <v>1022</v>
      </c>
      <c r="F4" s="3" t="s">
        <v>761</v>
      </c>
      <c r="G4" s="3" t="s">
        <v>762</v>
      </c>
      <c r="H4" s="3" t="s">
        <v>763</v>
      </c>
      <c r="I4" s="3" t="s">
        <v>773</v>
      </c>
      <c r="J4" s="3" t="s">
        <v>777</v>
      </c>
      <c r="K4" s="54" t="s">
        <v>948</v>
      </c>
      <c r="L4" s="3">
        <v>35512</v>
      </c>
      <c r="M4" s="3">
        <v>35</v>
      </c>
      <c r="N4" s="3" t="s">
        <v>27</v>
      </c>
      <c r="O4" s="4" t="s">
        <v>687</v>
      </c>
      <c r="P4" s="4" t="s">
        <v>212</v>
      </c>
      <c r="Q4" s="66">
        <v>45807</v>
      </c>
      <c r="R4" s="66">
        <v>45817</v>
      </c>
      <c r="S4" s="66">
        <v>45827</v>
      </c>
      <c r="T4" s="54">
        <f>MAX(0,S4-Q4)</f>
        <v>20</v>
      </c>
      <c r="U4" s="66">
        <v>45829</v>
      </c>
      <c r="V4" s="66">
        <v>45834</v>
      </c>
      <c r="W4" s="66">
        <v>45835</v>
      </c>
      <c r="X4" s="66">
        <v>45836</v>
      </c>
      <c r="Y4" s="66">
        <v>45839</v>
      </c>
      <c r="Z4" s="66">
        <v>45842</v>
      </c>
      <c r="AA4" s="66">
        <v>45842</v>
      </c>
      <c r="AB4" s="66">
        <v>45848</v>
      </c>
      <c r="AC4" s="66">
        <v>45856</v>
      </c>
      <c r="AD4" s="66">
        <v>45860</v>
      </c>
      <c r="AE4" s="54">
        <f t="shared" ref="AE4:AE43" si="1">MAX(0,AD4-AB4)</f>
        <v>12</v>
      </c>
      <c r="AF4" s="123">
        <f t="shared" ref="AF4:AF43" si="2">AE4+T4</f>
        <v>32</v>
      </c>
    </row>
    <row r="5" spans="1:32">
      <c r="A5" s="32">
        <f t="shared" si="0"/>
        <v>2</v>
      </c>
      <c r="B5" s="23" t="s">
        <v>204</v>
      </c>
      <c r="C5" s="3" t="s">
        <v>384</v>
      </c>
      <c r="D5" s="3" t="s">
        <v>29</v>
      </c>
      <c r="E5" s="3" t="s">
        <v>964</v>
      </c>
      <c r="F5" s="3" t="s">
        <v>579</v>
      </c>
      <c r="G5" s="3" t="s">
        <v>580</v>
      </c>
      <c r="H5" s="3"/>
      <c r="I5" s="54" t="s">
        <v>607</v>
      </c>
      <c r="J5" s="3" t="s">
        <v>629</v>
      </c>
      <c r="K5" s="54" t="s">
        <v>947</v>
      </c>
      <c r="L5" s="3">
        <v>36612</v>
      </c>
      <c r="M5" s="3">
        <v>37</v>
      </c>
      <c r="N5" s="3" t="s">
        <v>27</v>
      </c>
      <c r="O5" s="4" t="s">
        <v>687</v>
      </c>
      <c r="P5" s="4" t="s">
        <v>212</v>
      </c>
      <c r="Q5" s="66">
        <v>45811</v>
      </c>
      <c r="R5" s="66">
        <v>45817</v>
      </c>
      <c r="S5" s="66">
        <v>45827</v>
      </c>
      <c r="T5" s="54">
        <f>MAX(0,S5-Q5)</f>
        <v>16</v>
      </c>
      <c r="U5" s="66">
        <v>45829</v>
      </c>
      <c r="V5" s="66">
        <v>45834</v>
      </c>
      <c r="W5" s="66">
        <v>45835</v>
      </c>
      <c r="X5" s="66">
        <v>45837</v>
      </c>
      <c r="Y5" s="66">
        <v>45841</v>
      </c>
      <c r="Z5" s="66">
        <v>45842</v>
      </c>
      <c r="AA5" s="66">
        <v>45842</v>
      </c>
      <c r="AB5" s="66">
        <v>45846</v>
      </c>
      <c r="AC5" s="66">
        <v>45849</v>
      </c>
      <c r="AD5" s="66">
        <v>45852</v>
      </c>
      <c r="AE5" s="54">
        <f t="shared" si="1"/>
        <v>6</v>
      </c>
      <c r="AF5" s="123">
        <f t="shared" si="2"/>
        <v>22</v>
      </c>
    </row>
    <row r="6" spans="1:32" s="49" customFormat="1" ht="14.25" customHeight="1">
      <c r="A6" s="32">
        <f t="shared" si="0"/>
        <v>3</v>
      </c>
      <c r="B6" s="23" t="s">
        <v>204</v>
      </c>
      <c r="C6" s="3" t="s">
        <v>384</v>
      </c>
      <c r="D6" s="3" t="s">
        <v>29</v>
      </c>
      <c r="E6" s="3" t="s">
        <v>963</v>
      </c>
      <c r="F6" s="3" t="s">
        <v>719</v>
      </c>
      <c r="G6" s="3" t="s">
        <v>730</v>
      </c>
      <c r="H6" s="3" t="s">
        <v>731</v>
      </c>
      <c r="I6" s="3" t="s">
        <v>741</v>
      </c>
      <c r="J6" s="72" t="s">
        <v>749</v>
      </c>
      <c r="K6" s="3" t="s">
        <v>757</v>
      </c>
      <c r="L6" s="3">
        <v>35411</v>
      </c>
      <c r="M6" s="3">
        <v>35</v>
      </c>
      <c r="N6" s="3" t="s">
        <v>27</v>
      </c>
      <c r="O6" s="4" t="s">
        <v>687</v>
      </c>
      <c r="P6" s="4" t="s">
        <v>212</v>
      </c>
      <c r="Q6" s="66">
        <v>45808</v>
      </c>
      <c r="R6" s="66">
        <v>45817</v>
      </c>
      <c r="S6" s="66">
        <v>45827</v>
      </c>
      <c r="T6" s="54">
        <f>MAX(0,S6-Q6)</f>
        <v>19</v>
      </c>
      <c r="U6" s="66">
        <v>45829</v>
      </c>
      <c r="V6" s="66">
        <v>45834</v>
      </c>
      <c r="W6" s="66">
        <v>45834</v>
      </c>
      <c r="X6" s="66">
        <v>45835</v>
      </c>
      <c r="Y6" s="66">
        <v>45838</v>
      </c>
      <c r="Z6" s="66">
        <v>45840</v>
      </c>
      <c r="AA6" s="66">
        <v>45840</v>
      </c>
      <c r="AB6" s="66">
        <v>45842</v>
      </c>
      <c r="AC6" s="66">
        <v>45844</v>
      </c>
      <c r="AD6" s="66">
        <v>45847</v>
      </c>
      <c r="AE6" s="54">
        <f t="shared" si="1"/>
        <v>5</v>
      </c>
      <c r="AF6" s="123">
        <f t="shared" si="2"/>
        <v>24</v>
      </c>
    </row>
    <row r="7" spans="1:32">
      <c r="A7" s="32">
        <f t="shared" si="0"/>
        <v>4</v>
      </c>
      <c r="B7" s="23" t="s">
        <v>204</v>
      </c>
      <c r="C7" s="3" t="s">
        <v>384</v>
      </c>
      <c r="D7" s="3" t="s">
        <v>29</v>
      </c>
      <c r="E7" s="3" t="s">
        <v>702</v>
      </c>
      <c r="F7" s="3" t="s">
        <v>585</v>
      </c>
      <c r="G7" s="3" t="s">
        <v>586</v>
      </c>
      <c r="H7" s="3"/>
      <c r="I7" s="54" t="s">
        <v>610</v>
      </c>
      <c r="J7" s="3" t="s">
        <v>632</v>
      </c>
      <c r="K7" s="27" t="s">
        <v>694</v>
      </c>
      <c r="L7" s="3">
        <v>31814</v>
      </c>
      <c r="M7" s="3">
        <v>32</v>
      </c>
      <c r="N7" s="3" t="s">
        <v>27</v>
      </c>
      <c r="O7" s="4" t="s">
        <v>687</v>
      </c>
      <c r="P7" s="4" t="s">
        <v>212</v>
      </c>
      <c r="Q7" s="66">
        <v>45785</v>
      </c>
      <c r="R7" s="66">
        <v>45790</v>
      </c>
      <c r="S7" s="66">
        <v>45802</v>
      </c>
      <c r="T7" s="54">
        <f t="shared" ref="T7:T43" si="3">MAX(0,S7-Q7)</f>
        <v>17</v>
      </c>
      <c r="U7" s="66">
        <v>45819</v>
      </c>
      <c r="V7" s="66">
        <v>45821</v>
      </c>
      <c r="W7" s="66">
        <v>45821</v>
      </c>
      <c r="X7" s="66">
        <v>45824</v>
      </c>
      <c r="Y7" s="66">
        <v>45827</v>
      </c>
      <c r="Z7" s="66">
        <v>45830</v>
      </c>
      <c r="AA7" s="66">
        <v>45830</v>
      </c>
      <c r="AB7" s="66">
        <v>45831</v>
      </c>
      <c r="AC7" s="66">
        <v>45834</v>
      </c>
      <c r="AD7" s="66">
        <v>45839</v>
      </c>
      <c r="AE7" s="54">
        <f t="shared" si="1"/>
        <v>8</v>
      </c>
      <c r="AF7" s="123">
        <f t="shared" si="2"/>
        <v>25</v>
      </c>
    </row>
    <row r="8" spans="1:32">
      <c r="A8" s="32">
        <f t="shared" si="0"/>
        <v>5</v>
      </c>
      <c r="B8" s="23" t="s">
        <v>204</v>
      </c>
      <c r="C8" s="3" t="s">
        <v>384</v>
      </c>
      <c r="D8" s="3" t="s">
        <v>29</v>
      </c>
      <c r="E8" s="3" t="s">
        <v>960</v>
      </c>
      <c r="F8" s="3" t="s">
        <v>770</v>
      </c>
      <c r="G8" s="3" t="s">
        <v>771</v>
      </c>
      <c r="H8" s="3" t="s">
        <v>772</v>
      </c>
      <c r="I8" s="3" t="s">
        <v>776</v>
      </c>
      <c r="J8" s="3" t="s">
        <v>780</v>
      </c>
      <c r="K8" s="54" t="s">
        <v>781</v>
      </c>
      <c r="L8" s="3">
        <v>36505</v>
      </c>
      <c r="M8" s="3">
        <v>36</v>
      </c>
      <c r="N8" s="3" t="s">
        <v>27</v>
      </c>
      <c r="O8" s="4" t="s">
        <v>687</v>
      </c>
      <c r="P8" s="4" t="s">
        <v>212</v>
      </c>
      <c r="Q8" s="66">
        <v>45808</v>
      </c>
      <c r="R8" s="66">
        <v>45813</v>
      </c>
      <c r="S8" s="66">
        <v>45822</v>
      </c>
      <c r="T8" s="54">
        <f t="shared" ref="T8:T15" si="4">MAX(0,S8-Q8)</f>
        <v>14</v>
      </c>
      <c r="U8" s="66">
        <v>45824</v>
      </c>
      <c r="V8" s="66">
        <v>45825</v>
      </c>
      <c r="W8" s="66">
        <v>45825</v>
      </c>
      <c r="X8" s="66">
        <v>45827</v>
      </c>
      <c r="Y8" s="66">
        <v>45829</v>
      </c>
      <c r="Z8" s="66">
        <v>45831</v>
      </c>
      <c r="AA8" s="66">
        <v>45831</v>
      </c>
      <c r="AB8" s="66">
        <v>45833</v>
      </c>
      <c r="AC8" s="66">
        <v>45835</v>
      </c>
      <c r="AD8" s="66">
        <v>45838</v>
      </c>
      <c r="AE8" s="54">
        <f>MAX(0,AD8-AB8)</f>
        <v>5</v>
      </c>
      <c r="AF8" s="123">
        <f>AE8+T8</f>
        <v>19</v>
      </c>
    </row>
    <row r="9" spans="1:32">
      <c r="A9" s="32">
        <f t="shared" si="0"/>
        <v>6</v>
      </c>
      <c r="B9" s="23" t="s">
        <v>204</v>
      </c>
      <c r="C9" s="3" t="s">
        <v>384</v>
      </c>
      <c r="D9" s="3" t="s">
        <v>29</v>
      </c>
      <c r="E9" s="3" t="s">
        <v>698</v>
      </c>
      <c r="F9" s="3" t="s">
        <v>581</v>
      </c>
      <c r="G9" s="3" t="s">
        <v>582</v>
      </c>
      <c r="H9" s="3"/>
      <c r="I9" s="54" t="s">
        <v>608</v>
      </c>
      <c r="J9" s="3" t="s">
        <v>630</v>
      </c>
      <c r="K9" s="27" t="s">
        <v>693</v>
      </c>
      <c r="L9" s="3">
        <v>30390</v>
      </c>
      <c r="M9" s="3">
        <v>31</v>
      </c>
      <c r="N9" s="3" t="s">
        <v>27</v>
      </c>
      <c r="O9" s="4" t="s">
        <v>687</v>
      </c>
      <c r="P9" s="4" t="s">
        <v>212</v>
      </c>
      <c r="Q9" s="66">
        <v>45788</v>
      </c>
      <c r="R9" s="66">
        <v>45790</v>
      </c>
      <c r="S9" s="66">
        <v>45802</v>
      </c>
      <c r="T9" s="54">
        <f t="shared" si="4"/>
        <v>14</v>
      </c>
      <c r="U9" s="66">
        <v>45806</v>
      </c>
      <c r="V9" s="66">
        <v>45808</v>
      </c>
      <c r="W9" s="66">
        <v>45808</v>
      </c>
      <c r="X9" s="66">
        <v>45815</v>
      </c>
      <c r="Y9" s="66">
        <v>45823</v>
      </c>
      <c r="Z9" s="66">
        <v>45823</v>
      </c>
      <c r="AA9" s="66">
        <v>45827</v>
      </c>
      <c r="AB9" s="66">
        <v>45827</v>
      </c>
      <c r="AC9" s="66">
        <v>45832</v>
      </c>
      <c r="AD9" s="66">
        <v>45838</v>
      </c>
      <c r="AE9" s="54">
        <f t="shared" ref="AE9:AE15" si="5">MAX(0,AD9-AB9)</f>
        <v>11</v>
      </c>
      <c r="AF9" s="123">
        <f t="shared" si="2"/>
        <v>25</v>
      </c>
    </row>
    <row r="10" spans="1:32">
      <c r="A10" s="32">
        <f t="shared" si="0"/>
        <v>7</v>
      </c>
      <c r="B10" s="23" t="s">
        <v>204</v>
      </c>
      <c r="C10" s="3" t="s">
        <v>384</v>
      </c>
      <c r="D10" s="3" t="s">
        <v>29</v>
      </c>
      <c r="E10" s="3" t="s">
        <v>915</v>
      </c>
      <c r="F10" s="3" t="s">
        <v>764</v>
      </c>
      <c r="G10" s="3" t="s">
        <v>765</v>
      </c>
      <c r="H10" s="3" t="s">
        <v>766</v>
      </c>
      <c r="I10" s="3" t="s">
        <v>774</v>
      </c>
      <c r="J10" s="3" t="s">
        <v>778</v>
      </c>
      <c r="K10" s="54" t="s">
        <v>945</v>
      </c>
      <c r="L10" s="3">
        <v>34307</v>
      </c>
      <c r="M10" s="3">
        <v>35</v>
      </c>
      <c r="N10" s="3" t="s">
        <v>27</v>
      </c>
      <c r="O10" s="4" t="s">
        <v>687</v>
      </c>
      <c r="P10" s="4" t="s">
        <v>212</v>
      </c>
      <c r="Q10" s="66">
        <v>45804</v>
      </c>
      <c r="R10" s="66">
        <v>45804</v>
      </c>
      <c r="S10" s="66">
        <v>45812</v>
      </c>
      <c r="T10" s="54">
        <f t="shared" si="4"/>
        <v>8</v>
      </c>
      <c r="U10" s="66">
        <v>45813</v>
      </c>
      <c r="V10" s="66">
        <v>45815</v>
      </c>
      <c r="W10" s="66">
        <v>45815</v>
      </c>
      <c r="X10" s="66">
        <v>45817</v>
      </c>
      <c r="Y10" s="66">
        <v>45820</v>
      </c>
      <c r="Z10" s="66">
        <v>45822</v>
      </c>
      <c r="AA10" s="66">
        <v>45822</v>
      </c>
      <c r="AB10" s="66">
        <v>45824</v>
      </c>
      <c r="AC10" s="66">
        <v>45833</v>
      </c>
      <c r="AD10" s="66">
        <v>45838</v>
      </c>
      <c r="AE10" s="54">
        <f t="shared" si="5"/>
        <v>14</v>
      </c>
      <c r="AF10" s="123">
        <f t="shared" si="2"/>
        <v>22</v>
      </c>
    </row>
    <row r="11" spans="1:32">
      <c r="A11" s="32">
        <f t="shared" si="0"/>
        <v>8</v>
      </c>
      <c r="B11" s="23" t="s">
        <v>204</v>
      </c>
      <c r="C11" s="3" t="s">
        <v>384</v>
      </c>
      <c r="D11" s="3" t="s">
        <v>29</v>
      </c>
      <c r="E11" s="3" t="s">
        <v>958</v>
      </c>
      <c r="F11" s="3" t="s">
        <v>723</v>
      </c>
      <c r="G11" s="3" t="s">
        <v>737</v>
      </c>
      <c r="H11" s="3"/>
      <c r="I11" s="3" t="s">
        <v>745</v>
      </c>
      <c r="J11" s="3" t="s">
        <v>753</v>
      </c>
      <c r="K11" s="54" t="s">
        <v>949</v>
      </c>
      <c r="L11" s="3">
        <v>32046</v>
      </c>
      <c r="M11" s="3">
        <v>32</v>
      </c>
      <c r="N11" s="3" t="s">
        <v>27</v>
      </c>
      <c r="O11" s="4" t="s">
        <v>687</v>
      </c>
      <c r="P11" s="4" t="s">
        <v>212</v>
      </c>
      <c r="Q11" s="66">
        <v>45807</v>
      </c>
      <c r="R11" s="66">
        <v>45813</v>
      </c>
      <c r="S11" s="66">
        <v>45822</v>
      </c>
      <c r="T11" s="54">
        <f t="shared" si="4"/>
        <v>15</v>
      </c>
      <c r="U11" s="66">
        <v>45824</v>
      </c>
      <c r="V11" s="66">
        <v>45825</v>
      </c>
      <c r="W11" s="66">
        <v>45825</v>
      </c>
      <c r="X11" s="66">
        <v>45827</v>
      </c>
      <c r="Y11" s="66">
        <v>45829</v>
      </c>
      <c r="Z11" s="66">
        <v>45830</v>
      </c>
      <c r="AA11" s="66">
        <v>45830</v>
      </c>
      <c r="AB11" s="66">
        <v>45832</v>
      </c>
      <c r="AC11" s="66">
        <v>45834</v>
      </c>
      <c r="AD11" s="66">
        <v>45838</v>
      </c>
      <c r="AE11" s="54">
        <f>MAX(0,AD11-AB11)</f>
        <v>6</v>
      </c>
      <c r="AF11" s="123">
        <f t="shared" si="2"/>
        <v>21</v>
      </c>
    </row>
    <row r="12" spans="1:32">
      <c r="A12" s="32">
        <f t="shared" si="0"/>
        <v>9</v>
      </c>
      <c r="B12" s="23" t="s">
        <v>204</v>
      </c>
      <c r="C12" s="3" t="s">
        <v>384</v>
      </c>
      <c r="D12" s="3" t="s">
        <v>29</v>
      </c>
      <c r="E12" s="3" t="s">
        <v>961</v>
      </c>
      <c r="F12" s="3" t="s">
        <v>720</v>
      </c>
      <c r="G12" s="3" t="s">
        <v>732</v>
      </c>
      <c r="H12" s="3" t="s">
        <v>733</v>
      </c>
      <c r="I12" s="3" t="s">
        <v>742</v>
      </c>
      <c r="J12" s="3" t="s">
        <v>750</v>
      </c>
      <c r="K12" s="54" t="s">
        <v>759</v>
      </c>
      <c r="L12" s="3">
        <v>36403</v>
      </c>
      <c r="M12" s="3">
        <v>36</v>
      </c>
      <c r="N12" s="3" t="s">
        <v>27</v>
      </c>
      <c r="O12" s="4" t="s">
        <v>687</v>
      </c>
      <c r="P12" s="4" t="s">
        <v>212</v>
      </c>
      <c r="Q12" s="66">
        <v>45807</v>
      </c>
      <c r="R12" s="66">
        <v>45812</v>
      </c>
      <c r="S12" s="66">
        <v>45819</v>
      </c>
      <c r="T12" s="54">
        <f t="shared" si="4"/>
        <v>12</v>
      </c>
      <c r="U12" s="66">
        <v>45820</v>
      </c>
      <c r="V12" s="66">
        <v>45822</v>
      </c>
      <c r="W12" s="66">
        <v>45822</v>
      </c>
      <c r="X12" s="66">
        <v>45823</v>
      </c>
      <c r="Y12" s="66">
        <v>45825</v>
      </c>
      <c r="Z12" s="66">
        <v>45827</v>
      </c>
      <c r="AA12" s="66">
        <v>45827</v>
      </c>
      <c r="AB12" s="66">
        <v>45827</v>
      </c>
      <c r="AC12" s="66">
        <v>45831</v>
      </c>
      <c r="AD12" s="66">
        <v>45835</v>
      </c>
      <c r="AE12" s="54">
        <f t="shared" si="5"/>
        <v>8</v>
      </c>
      <c r="AF12" s="123">
        <f t="shared" si="2"/>
        <v>20</v>
      </c>
    </row>
    <row r="13" spans="1:32">
      <c r="A13" s="32">
        <f t="shared" si="0"/>
        <v>10</v>
      </c>
      <c r="B13" s="23" t="s">
        <v>204</v>
      </c>
      <c r="C13" s="3" t="s">
        <v>384</v>
      </c>
      <c r="D13" s="3" t="s">
        <v>29</v>
      </c>
      <c r="E13" s="3" t="s">
        <v>965</v>
      </c>
      <c r="F13" s="3" t="s">
        <v>564</v>
      </c>
      <c r="G13" s="3" t="s">
        <v>565</v>
      </c>
      <c r="H13" s="3" t="s">
        <v>566</v>
      </c>
      <c r="I13" s="23" t="s">
        <v>601</v>
      </c>
      <c r="J13" s="23" t="s">
        <v>623</v>
      </c>
      <c r="K13" s="27" t="s">
        <v>646</v>
      </c>
      <c r="L13" s="3">
        <v>34828</v>
      </c>
      <c r="M13" s="3">
        <v>35</v>
      </c>
      <c r="N13" s="3" t="s">
        <v>27</v>
      </c>
      <c r="O13" s="4" t="s">
        <v>687</v>
      </c>
      <c r="P13" s="4" t="s">
        <v>212</v>
      </c>
      <c r="Q13" s="66">
        <v>45807</v>
      </c>
      <c r="R13" s="66">
        <v>45810</v>
      </c>
      <c r="S13" s="66">
        <v>45816</v>
      </c>
      <c r="T13" s="54">
        <f t="shared" si="4"/>
        <v>9</v>
      </c>
      <c r="U13" s="66">
        <v>45817</v>
      </c>
      <c r="V13" s="66">
        <v>45820</v>
      </c>
      <c r="W13" s="66">
        <v>45820</v>
      </c>
      <c r="X13" s="66">
        <v>45822</v>
      </c>
      <c r="Y13" s="66">
        <v>45825</v>
      </c>
      <c r="Z13" s="66">
        <v>45826</v>
      </c>
      <c r="AA13" s="66">
        <v>45826</v>
      </c>
      <c r="AB13" s="66">
        <v>45827</v>
      </c>
      <c r="AC13" s="66">
        <v>45831</v>
      </c>
      <c r="AD13" s="66">
        <v>45835</v>
      </c>
      <c r="AE13" s="54">
        <f>MAX(0,AD13-AB13)</f>
        <v>8</v>
      </c>
      <c r="AF13" s="123">
        <f t="shared" si="2"/>
        <v>17</v>
      </c>
    </row>
    <row r="14" spans="1:32">
      <c r="A14" s="32">
        <f t="shared" si="0"/>
        <v>11</v>
      </c>
      <c r="B14" s="23" t="s">
        <v>204</v>
      </c>
      <c r="C14" s="3" t="s">
        <v>384</v>
      </c>
      <c r="D14" s="3" t="s">
        <v>29</v>
      </c>
      <c r="E14" s="3" t="s">
        <v>956</v>
      </c>
      <c r="F14" s="3" t="s">
        <v>718</v>
      </c>
      <c r="G14" s="3" t="s">
        <v>728</v>
      </c>
      <c r="H14" s="3" t="s">
        <v>729</v>
      </c>
      <c r="I14" s="3" t="s">
        <v>740</v>
      </c>
      <c r="J14" s="3" t="s">
        <v>748</v>
      </c>
      <c r="K14" s="3" t="s">
        <v>756</v>
      </c>
      <c r="L14" s="3">
        <v>34963</v>
      </c>
      <c r="M14" s="3">
        <v>35</v>
      </c>
      <c r="N14" s="3" t="s">
        <v>27</v>
      </c>
      <c r="O14" s="4" t="s">
        <v>687</v>
      </c>
      <c r="P14" s="4" t="s">
        <v>212</v>
      </c>
      <c r="Q14" s="66">
        <v>45807</v>
      </c>
      <c r="R14" s="66">
        <v>45810</v>
      </c>
      <c r="S14" s="66">
        <v>45816</v>
      </c>
      <c r="T14" s="54">
        <f t="shared" si="4"/>
        <v>9</v>
      </c>
      <c r="U14" s="66">
        <v>45817</v>
      </c>
      <c r="V14" s="66">
        <v>45820</v>
      </c>
      <c r="W14" s="66">
        <v>45820</v>
      </c>
      <c r="X14" s="66">
        <v>45821</v>
      </c>
      <c r="Y14" s="66">
        <v>45824</v>
      </c>
      <c r="Z14" s="66">
        <v>45825</v>
      </c>
      <c r="AA14" s="66">
        <v>45825</v>
      </c>
      <c r="AB14" s="66">
        <v>45826</v>
      </c>
      <c r="AC14" s="66">
        <v>45828</v>
      </c>
      <c r="AD14" s="66">
        <v>45834</v>
      </c>
      <c r="AE14" s="54">
        <f t="shared" si="5"/>
        <v>8</v>
      </c>
      <c r="AF14" s="123">
        <f t="shared" si="2"/>
        <v>17</v>
      </c>
    </row>
    <row r="15" spans="1:32">
      <c r="A15" s="32">
        <f t="shared" si="0"/>
        <v>12</v>
      </c>
      <c r="B15" s="23" t="s">
        <v>204</v>
      </c>
      <c r="C15" s="3" t="s">
        <v>384</v>
      </c>
      <c r="D15" s="3" t="s">
        <v>29</v>
      </c>
      <c r="E15" s="3" t="s">
        <v>962</v>
      </c>
      <c r="F15" s="3" t="s">
        <v>722</v>
      </c>
      <c r="G15" s="3" t="s">
        <v>736</v>
      </c>
      <c r="H15" s="3"/>
      <c r="I15" s="3" t="s">
        <v>744</v>
      </c>
      <c r="J15" s="3" t="s">
        <v>752</v>
      </c>
      <c r="K15" s="54" t="s">
        <v>760</v>
      </c>
      <c r="L15" s="3">
        <v>32209</v>
      </c>
      <c r="M15" s="3">
        <v>32</v>
      </c>
      <c r="N15" s="3" t="s">
        <v>27</v>
      </c>
      <c r="O15" s="4" t="s">
        <v>687</v>
      </c>
      <c r="P15" s="4" t="s">
        <v>212</v>
      </c>
      <c r="Q15" s="66">
        <v>45807</v>
      </c>
      <c r="R15" s="66">
        <v>45812</v>
      </c>
      <c r="S15" s="66">
        <v>45819</v>
      </c>
      <c r="T15" s="54">
        <f t="shared" si="4"/>
        <v>12</v>
      </c>
      <c r="U15" s="66">
        <v>45820</v>
      </c>
      <c r="V15" s="66">
        <v>45822</v>
      </c>
      <c r="W15" s="66">
        <v>45822</v>
      </c>
      <c r="X15" s="66">
        <v>45823</v>
      </c>
      <c r="Y15" s="66">
        <v>45826</v>
      </c>
      <c r="Z15" s="66">
        <v>45827</v>
      </c>
      <c r="AA15" s="66">
        <v>45827</v>
      </c>
      <c r="AB15" s="66">
        <v>45827</v>
      </c>
      <c r="AC15" s="66">
        <v>45829</v>
      </c>
      <c r="AD15" s="66">
        <v>45834</v>
      </c>
      <c r="AE15" s="54">
        <f t="shared" si="5"/>
        <v>7</v>
      </c>
      <c r="AF15" s="123">
        <f t="shared" si="2"/>
        <v>19</v>
      </c>
    </row>
    <row r="16" spans="1:32">
      <c r="A16" s="32">
        <f t="shared" si="0"/>
        <v>13</v>
      </c>
      <c r="B16" s="23" t="s">
        <v>204</v>
      </c>
      <c r="C16" s="3" t="s">
        <v>384</v>
      </c>
      <c r="D16" s="3" t="s">
        <v>29</v>
      </c>
      <c r="E16" s="3" t="s">
        <v>917</v>
      </c>
      <c r="F16" s="3" t="s">
        <v>567</v>
      </c>
      <c r="G16" s="3" t="s">
        <v>568</v>
      </c>
      <c r="H16" s="3"/>
      <c r="I16" s="54" t="s">
        <v>602</v>
      </c>
      <c r="J16" s="3" t="s">
        <v>624</v>
      </c>
      <c r="K16" s="3" t="s">
        <v>647</v>
      </c>
      <c r="L16" s="3">
        <v>30225</v>
      </c>
      <c r="M16" s="3">
        <v>30</v>
      </c>
      <c r="N16" s="3" t="s">
        <v>27</v>
      </c>
      <c r="O16" s="4" t="s">
        <v>687</v>
      </c>
      <c r="P16" s="4" t="s">
        <v>212</v>
      </c>
      <c r="Q16" s="66">
        <v>45798</v>
      </c>
      <c r="R16" s="66">
        <v>45804</v>
      </c>
      <c r="S16" s="66">
        <v>45812</v>
      </c>
      <c r="T16" s="54">
        <f t="shared" ref="T16:T21" si="6">MAX(0,S16-Q16)</f>
        <v>14</v>
      </c>
      <c r="U16" s="66">
        <v>45813</v>
      </c>
      <c r="V16" s="66">
        <v>45815</v>
      </c>
      <c r="W16" s="66">
        <v>45815</v>
      </c>
      <c r="X16" s="66">
        <v>45817</v>
      </c>
      <c r="Y16" s="66">
        <v>45820</v>
      </c>
      <c r="Z16" s="66">
        <v>45824</v>
      </c>
      <c r="AA16" s="66">
        <v>45824</v>
      </c>
      <c r="AB16" s="66">
        <v>45825</v>
      </c>
      <c r="AC16" s="66">
        <v>45827</v>
      </c>
      <c r="AD16" s="66">
        <v>45833</v>
      </c>
      <c r="AE16" s="54">
        <f>MAX(0,AD16-AB16)</f>
        <v>8</v>
      </c>
      <c r="AF16" s="123">
        <f t="shared" si="2"/>
        <v>22</v>
      </c>
    </row>
    <row r="17" spans="1:32">
      <c r="A17" s="32">
        <f t="shared" si="0"/>
        <v>14</v>
      </c>
      <c r="B17" s="23" t="s">
        <v>204</v>
      </c>
      <c r="C17" s="3" t="s">
        <v>384</v>
      </c>
      <c r="D17" s="3" t="s">
        <v>29</v>
      </c>
      <c r="E17" s="3" t="s">
        <v>957</v>
      </c>
      <c r="F17" s="3" t="s">
        <v>717</v>
      </c>
      <c r="G17" s="3" t="s">
        <v>726</v>
      </c>
      <c r="H17" s="3" t="s">
        <v>727</v>
      </c>
      <c r="I17" s="3" t="s">
        <v>739</v>
      </c>
      <c r="J17" s="3" t="s">
        <v>747</v>
      </c>
      <c r="K17" s="3" t="s">
        <v>755</v>
      </c>
      <c r="L17" s="3">
        <v>36656</v>
      </c>
      <c r="M17" s="3">
        <v>36</v>
      </c>
      <c r="N17" s="3" t="s">
        <v>27</v>
      </c>
      <c r="O17" s="4" t="s">
        <v>687</v>
      </c>
      <c r="P17" s="4" t="s">
        <v>212</v>
      </c>
      <c r="Q17" s="66">
        <v>45807</v>
      </c>
      <c r="R17" s="66">
        <v>45810</v>
      </c>
      <c r="S17" s="66">
        <v>45816</v>
      </c>
      <c r="T17" s="54">
        <f t="shared" si="6"/>
        <v>9</v>
      </c>
      <c r="U17" s="66">
        <v>45817</v>
      </c>
      <c r="V17" s="66">
        <v>45820</v>
      </c>
      <c r="W17" s="66">
        <v>45820</v>
      </c>
      <c r="X17" s="66">
        <v>45821</v>
      </c>
      <c r="Y17" s="66">
        <v>45824</v>
      </c>
      <c r="Z17" s="66">
        <v>45825</v>
      </c>
      <c r="AA17" s="66">
        <v>45825</v>
      </c>
      <c r="AB17" s="66">
        <v>45826</v>
      </c>
      <c r="AC17" s="66">
        <v>45827</v>
      </c>
      <c r="AD17" s="66">
        <v>45832</v>
      </c>
      <c r="AE17" s="54">
        <f>MAX(0,AD17-AB17)</f>
        <v>6</v>
      </c>
      <c r="AF17" s="123">
        <f t="shared" si="2"/>
        <v>15</v>
      </c>
    </row>
    <row r="18" spans="1:32">
      <c r="A18" s="32">
        <f t="shared" si="0"/>
        <v>15</v>
      </c>
      <c r="B18" s="23" t="s">
        <v>204</v>
      </c>
      <c r="C18" s="3" t="s">
        <v>384</v>
      </c>
      <c r="D18" s="3" t="s">
        <v>29</v>
      </c>
      <c r="E18" s="3" t="s">
        <v>920</v>
      </c>
      <c r="F18" s="3" t="s">
        <v>716</v>
      </c>
      <c r="G18" s="3" t="s">
        <v>724</v>
      </c>
      <c r="H18" s="3" t="s">
        <v>725</v>
      </c>
      <c r="I18" s="54" t="s">
        <v>738</v>
      </c>
      <c r="J18" s="23" t="s">
        <v>746</v>
      </c>
      <c r="K18" s="3" t="s">
        <v>754</v>
      </c>
      <c r="L18" s="3">
        <v>34134</v>
      </c>
      <c r="M18" s="23">
        <v>35</v>
      </c>
      <c r="N18" s="3" t="s">
        <v>27</v>
      </c>
      <c r="O18" s="4" t="s">
        <v>687</v>
      </c>
      <c r="P18" s="4" t="s">
        <v>212</v>
      </c>
      <c r="Q18" s="66">
        <v>45798</v>
      </c>
      <c r="R18" s="66">
        <v>45804</v>
      </c>
      <c r="S18" s="66">
        <v>45812</v>
      </c>
      <c r="T18" s="54">
        <f t="shared" si="6"/>
        <v>14</v>
      </c>
      <c r="U18" s="66">
        <v>45813</v>
      </c>
      <c r="V18" s="66">
        <v>45844</v>
      </c>
      <c r="W18" s="66">
        <v>45844</v>
      </c>
      <c r="X18" s="66">
        <v>45817</v>
      </c>
      <c r="Y18" s="66">
        <v>45820</v>
      </c>
      <c r="Z18" s="66">
        <v>45822</v>
      </c>
      <c r="AA18" s="66">
        <v>45822</v>
      </c>
      <c r="AB18" s="66">
        <v>45824</v>
      </c>
      <c r="AC18" s="66">
        <v>45827</v>
      </c>
      <c r="AD18" s="66">
        <v>45832</v>
      </c>
      <c r="AE18" s="54">
        <f>MAX(0,AD18-AB18)</f>
        <v>8</v>
      </c>
      <c r="AF18" s="123">
        <f t="shared" si="2"/>
        <v>22</v>
      </c>
    </row>
    <row r="19" spans="1:32">
      <c r="A19" s="32">
        <f t="shared" si="0"/>
        <v>16</v>
      </c>
      <c r="B19" s="23" t="s">
        <v>204</v>
      </c>
      <c r="C19" s="3" t="s">
        <v>384</v>
      </c>
      <c r="D19" s="3" t="s">
        <v>29</v>
      </c>
      <c r="E19" s="3" t="s">
        <v>959</v>
      </c>
      <c r="F19" s="3" t="s">
        <v>721</v>
      </c>
      <c r="G19" s="3" t="s">
        <v>734</v>
      </c>
      <c r="H19" s="3" t="s">
        <v>735</v>
      </c>
      <c r="I19" s="3" t="s">
        <v>743</v>
      </c>
      <c r="J19" s="3" t="s">
        <v>751</v>
      </c>
      <c r="K19" s="3" t="s">
        <v>758</v>
      </c>
      <c r="L19" s="3">
        <v>35912</v>
      </c>
      <c r="M19" s="3">
        <v>36</v>
      </c>
      <c r="N19" s="3" t="s">
        <v>27</v>
      </c>
      <c r="O19" s="4" t="s">
        <v>687</v>
      </c>
      <c r="P19" s="4" t="s">
        <v>212</v>
      </c>
      <c r="Q19" s="66">
        <v>45807</v>
      </c>
      <c r="R19" s="66">
        <v>45812</v>
      </c>
      <c r="S19" s="66">
        <v>45819</v>
      </c>
      <c r="T19" s="54">
        <f t="shared" si="6"/>
        <v>12</v>
      </c>
      <c r="U19" s="66">
        <v>45820</v>
      </c>
      <c r="V19" s="66">
        <v>45822</v>
      </c>
      <c r="W19" s="66">
        <v>45822</v>
      </c>
      <c r="X19" s="66">
        <v>45823</v>
      </c>
      <c r="Y19" s="66">
        <v>45826</v>
      </c>
      <c r="Z19" s="66">
        <v>45827</v>
      </c>
      <c r="AA19" s="66">
        <v>45827</v>
      </c>
      <c r="AB19" s="66">
        <v>45827</v>
      </c>
      <c r="AC19" s="66">
        <v>45829</v>
      </c>
      <c r="AD19" s="66">
        <v>45833</v>
      </c>
      <c r="AE19" s="54">
        <f>MAX(0,AD19-AB19)</f>
        <v>6</v>
      </c>
      <c r="AF19" s="123">
        <f t="shared" si="2"/>
        <v>18</v>
      </c>
    </row>
    <row r="20" spans="1:32">
      <c r="A20" s="32">
        <f t="shared" si="0"/>
        <v>17</v>
      </c>
      <c r="B20" s="23" t="s">
        <v>204</v>
      </c>
      <c r="C20" s="3" t="s">
        <v>384</v>
      </c>
      <c r="D20" s="3" t="s">
        <v>29</v>
      </c>
      <c r="E20" s="3" t="s">
        <v>918</v>
      </c>
      <c r="F20" s="54" t="s">
        <v>583</v>
      </c>
      <c r="G20" s="3" t="s">
        <v>584</v>
      </c>
      <c r="H20" s="3"/>
      <c r="I20" s="54" t="s">
        <v>609</v>
      </c>
      <c r="J20" s="3" t="s">
        <v>631</v>
      </c>
      <c r="K20" s="54" t="s">
        <v>41</v>
      </c>
      <c r="L20" s="3">
        <v>29760</v>
      </c>
      <c r="M20" s="3">
        <v>30</v>
      </c>
      <c r="N20" s="3" t="s">
        <v>27</v>
      </c>
      <c r="O20" s="4" t="s">
        <v>687</v>
      </c>
      <c r="P20" s="4" t="s">
        <v>212</v>
      </c>
      <c r="Q20" s="66">
        <v>45801</v>
      </c>
      <c r="R20" s="66">
        <v>45804</v>
      </c>
      <c r="S20" s="66">
        <v>45812</v>
      </c>
      <c r="T20" s="54">
        <f t="shared" si="6"/>
        <v>11</v>
      </c>
      <c r="U20" s="66">
        <v>45813</v>
      </c>
      <c r="V20" s="66">
        <v>45815</v>
      </c>
      <c r="W20" s="66">
        <v>45815</v>
      </c>
      <c r="X20" s="66">
        <v>45818</v>
      </c>
      <c r="Y20" s="66">
        <v>45821</v>
      </c>
      <c r="Z20" s="66">
        <v>45823</v>
      </c>
      <c r="AA20" s="66">
        <v>45823</v>
      </c>
      <c r="AB20" s="66">
        <v>45824</v>
      </c>
      <c r="AC20" s="66">
        <v>45825</v>
      </c>
      <c r="AD20" s="66">
        <v>45833</v>
      </c>
      <c r="AE20" s="54">
        <f>MAX(0,AD20-AB20)</f>
        <v>9</v>
      </c>
      <c r="AF20" s="123">
        <f t="shared" si="2"/>
        <v>20</v>
      </c>
    </row>
    <row r="21" spans="1:32">
      <c r="A21" s="32">
        <f t="shared" si="0"/>
        <v>18</v>
      </c>
      <c r="B21" s="23" t="s">
        <v>204</v>
      </c>
      <c r="C21" s="3" t="s">
        <v>384</v>
      </c>
      <c r="D21" s="3" t="s">
        <v>29</v>
      </c>
      <c r="E21" s="3" t="s">
        <v>921</v>
      </c>
      <c r="F21" s="3" t="s">
        <v>556</v>
      </c>
      <c r="G21" s="54" t="s">
        <v>557</v>
      </c>
      <c r="H21" s="3" t="s">
        <v>558</v>
      </c>
      <c r="I21" s="54" t="s">
        <v>598</v>
      </c>
      <c r="J21" s="3" t="s">
        <v>620</v>
      </c>
      <c r="K21" s="3" t="s">
        <v>643</v>
      </c>
      <c r="L21" s="3">
        <v>34850</v>
      </c>
      <c r="M21" s="3">
        <v>35</v>
      </c>
      <c r="N21" s="3" t="s">
        <v>27</v>
      </c>
      <c r="O21" s="4" t="s">
        <v>687</v>
      </c>
      <c r="P21" s="4" t="s">
        <v>212</v>
      </c>
      <c r="Q21" s="66">
        <v>45798</v>
      </c>
      <c r="R21" s="66">
        <v>45804</v>
      </c>
      <c r="S21" s="66">
        <v>45812</v>
      </c>
      <c r="T21" s="54">
        <f t="shared" si="6"/>
        <v>14</v>
      </c>
      <c r="U21" s="66">
        <v>45813</v>
      </c>
      <c r="V21" s="66">
        <v>45844</v>
      </c>
      <c r="W21" s="66">
        <v>45844</v>
      </c>
      <c r="X21" s="66">
        <v>45817</v>
      </c>
      <c r="Y21" s="66">
        <v>45820</v>
      </c>
      <c r="Z21" s="66">
        <v>45822</v>
      </c>
      <c r="AA21" s="66">
        <v>45822</v>
      </c>
      <c r="AB21" s="66">
        <v>45824</v>
      </c>
      <c r="AC21" s="66">
        <v>45826</v>
      </c>
      <c r="AD21" s="66">
        <v>45831</v>
      </c>
      <c r="AE21" s="54">
        <f t="shared" si="1"/>
        <v>7</v>
      </c>
      <c r="AF21" s="123">
        <f t="shared" si="2"/>
        <v>21</v>
      </c>
    </row>
    <row r="22" spans="1:32">
      <c r="A22" s="32">
        <f t="shared" si="0"/>
        <v>19</v>
      </c>
      <c r="B22" s="23" t="s">
        <v>204</v>
      </c>
      <c r="C22" s="3" t="s">
        <v>384</v>
      </c>
      <c r="D22" s="3" t="s">
        <v>29</v>
      </c>
      <c r="E22" s="3" t="s">
        <v>919</v>
      </c>
      <c r="F22" s="3" t="s">
        <v>569</v>
      </c>
      <c r="G22" s="54" t="s">
        <v>570</v>
      </c>
      <c r="H22" s="3" t="s">
        <v>571</v>
      </c>
      <c r="I22" s="23" t="s">
        <v>603</v>
      </c>
      <c r="J22" s="3" t="s">
        <v>625</v>
      </c>
      <c r="K22" s="3" t="s">
        <v>648</v>
      </c>
      <c r="L22" s="3">
        <v>34387</v>
      </c>
      <c r="M22" s="3">
        <v>35</v>
      </c>
      <c r="N22" s="3" t="s">
        <v>27</v>
      </c>
      <c r="O22" s="4" t="s">
        <v>687</v>
      </c>
      <c r="P22" s="4" t="s">
        <v>212</v>
      </c>
      <c r="Q22" s="66">
        <v>45798</v>
      </c>
      <c r="R22" s="66">
        <v>45804</v>
      </c>
      <c r="S22" s="66">
        <v>45812</v>
      </c>
      <c r="T22" s="54">
        <f t="shared" si="3"/>
        <v>14</v>
      </c>
      <c r="U22" s="66">
        <v>45813</v>
      </c>
      <c r="V22" s="66">
        <v>45815</v>
      </c>
      <c r="W22" s="66">
        <v>45815</v>
      </c>
      <c r="X22" s="66">
        <v>45817</v>
      </c>
      <c r="Y22" s="66">
        <v>45820</v>
      </c>
      <c r="Z22" s="66">
        <v>45822</v>
      </c>
      <c r="AA22" s="66">
        <v>45822</v>
      </c>
      <c r="AB22" s="66">
        <v>45824</v>
      </c>
      <c r="AC22" s="66">
        <v>45826</v>
      </c>
      <c r="AD22" s="66">
        <v>45831</v>
      </c>
      <c r="AE22" s="54">
        <f t="shared" si="1"/>
        <v>7</v>
      </c>
      <c r="AF22" s="123">
        <f t="shared" si="2"/>
        <v>21</v>
      </c>
    </row>
    <row r="23" spans="1:32">
      <c r="A23" s="32">
        <f t="shared" si="0"/>
        <v>20</v>
      </c>
      <c r="B23" s="23" t="s">
        <v>204</v>
      </c>
      <c r="C23" s="3" t="s">
        <v>384</v>
      </c>
      <c r="D23" s="3" t="s">
        <v>29</v>
      </c>
      <c r="E23" s="3" t="s">
        <v>916</v>
      </c>
      <c r="F23" s="3" t="s">
        <v>559</v>
      </c>
      <c r="G23" s="3" t="s">
        <v>560</v>
      </c>
      <c r="H23" s="3" t="s">
        <v>561</v>
      </c>
      <c r="I23" s="54" t="s">
        <v>599</v>
      </c>
      <c r="J23" s="3" t="s">
        <v>621</v>
      </c>
      <c r="K23" s="3" t="s">
        <v>644</v>
      </c>
      <c r="L23" s="3">
        <v>34442</v>
      </c>
      <c r="M23" s="3">
        <v>35</v>
      </c>
      <c r="N23" s="3" t="s">
        <v>27</v>
      </c>
      <c r="O23" s="4" t="s">
        <v>687</v>
      </c>
      <c r="P23" s="4" t="s">
        <v>212</v>
      </c>
      <c r="Q23" s="66">
        <v>45798</v>
      </c>
      <c r="R23" s="66">
        <v>45804</v>
      </c>
      <c r="S23" s="66">
        <v>45812</v>
      </c>
      <c r="T23" s="54">
        <f>MAX(0,S23-Q23)</f>
        <v>14</v>
      </c>
      <c r="U23" s="66">
        <v>45813</v>
      </c>
      <c r="V23" s="66">
        <v>45815</v>
      </c>
      <c r="W23" s="66">
        <v>45815</v>
      </c>
      <c r="X23" s="66">
        <v>45817</v>
      </c>
      <c r="Y23" s="66">
        <v>45820</v>
      </c>
      <c r="Z23" s="66">
        <v>45822</v>
      </c>
      <c r="AA23" s="66">
        <v>45822</v>
      </c>
      <c r="AB23" s="66">
        <v>45823</v>
      </c>
      <c r="AC23" s="66">
        <v>45825</v>
      </c>
      <c r="AD23" s="66">
        <v>45829</v>
      </c>
      <c r="AE23" s="54">
        <f t="shared" si="1"/>
        <v>6</v>
      </c>
      <c r="AF23" s="123">
        <f t="shared" si="2"/>
        <v>20</v>
      </c>
    </row>
    <row r="24" spans="1:32">
      <c r="A24" s="32">
        <f t="shared" si="0"/>
        <v>21</v>
      </c>
      <c r="B24" s="23" t="s">
        <v>204</v>
      </c>
      <c r="C24" s="3" t="s">
        <v>384</v>
      </c>
      <c r="D24" s="3" t="s">
        <v>29</v>
      </c>
      <c r="E24" s="3" t="s">
        <v>697</v>
      </c>
      <c r="F24" s="3" t="s">
        <v>460</v>
      </c>
      <c r="G24" s="3" t="s">
        <v>461</v>
      </c>
      <c r="H24" s="3"/>
      <c r="I24" s="54" t="s">
        <v>473</v>
      </c>
      <c r="J24" s="54" t="s">
        <v>481</v>
      </c>
      <c r="K24" s="54" t="s">
        <v>486</v>
      </c>
      <c r="L24" s="3">
        <v>30406</v>
      </c>
      <c r="M24" s="3">
        <v>31</v>
      </c>
      <c r="N24" s="3" t="s">
        <v>27</v>
      </c>
      <c r="O24" s="4" t="s">
        <v>687</v>
      </c>
      <c r="P24" s="4" t="s">
        <v>212</v>
      </c>
      <c r="Q24" s="66">
        <v>45786</v>
      </c>
      <c r="R24" s="66">
        <v>45790</v>
      </c>
      <c r="S24" s="66">
        <v>45802</v>
      </c>
      <c r="T24" s="54">
        <f>MAX(0,S24-Q24)</f>
        <v>16</v>
      </c>
      <c r="U24" s="66">
        <v>45805</v>
      </c>
      <c r="V24" s="66">
        <v>45806</v>
      </c>
      <c r="W24" s="66">
        <v>45806</v>
      </c>
      <c r="X24" s="66">
        <v>45809</v>
      </c>
      <c r="Y24" s="66">
        <v>45813</v>
      </c>
      <c r="Z24" s="66">
        <v>45818</v>
      </c>
      <c r="AA24" s="66">
        <v>45818</v>
      </c>
      <c r="AB24" s="66">
        <v>45820</v>
      </c>
      <c r="AC24" s="66">
        <v>45825</v>
      </c>
      <c r="AD24" s="66">
        <v>45828</v>
      </c>
      <c r="AE24" s="54">
        <f t="shared" si="1"/>
        <v>8</v>
      </c>
      <c r="AF24" s="123">
        <f t="shared" si="2"/>
        <v>24</v>
      </c>
    </row>
    <row r="25" spans="1:32">
      <c r="A25" s="32">
        <f t="shared" si="0"/>
        <v>22</v>
      </c>
      <c r="B25" s="23" t="s">
        <v>204</v>
      </c>
      <c r="C25" s="3" t="s">
        <v>384</v>
      </c>
      <c r="D25" s="3" t="s">
        <v>29</v>
      </c>
      <c r="E25" s="3" t="s">
        <v>784</v>
      </c>
      <c r="F25" s="3" t="s">
        <v>574</v>
      </c>
      <c r="G25" s="3" t="s">
        <v>788</v>
      </c>
      <c r="H25" s="3" t="s">
        <v>575</v>
      </c>
      <c r="I25" s="54" t="s">
        <v>605</v>
      </c>
      <c r="J25" s="3" t="s">
        <v>627</v>
      </c>
      <c r="K25" s="3" t="s">
        <v>650</v>
      </c>
      <c r="L25" s="3">
        <v>35334</v>
      </c>
      <c r="M25" s="3">
        <v>36</v>
      </c>
      <c r="N25" s="3" t="s">
        <v>27</v>
      </c>
      <c r="O25" s="4" t="s">
        <v>687</v>
      </c>
      <c r="P25" s="4" t="s">
        <v>212</v>
      </c>
      <c r="Q25" s="66">
        <v>45798</v>
      </c>
      <c r="R25" s="66">
        <v>45798</v>
      </c>
      <c r="S25" s="66">
        <v>45806</v>
      </c>
      <c r="T25" s="54">
        <f>MAX(0,S25-Q25)</f>
        <v>8</v>
      </c>
      <c r="U25" s="66">
        <v>45807</v>
      </c>
      <c r="V25" s="66">
        <v>45810</v>
      </c>
      <c r="W25" s="66">
        <v>45810</v>
      </c>
      <c r="X25" s="66">
        <v>45812</v>
      </c>
      <c r="Y25" s="66">
        <v>45813</v>
      </c>
      <c r="Z25" s="66">
        <v>45814</v>
      </c>
      <c r="AA25" s="66">
        <v>45814</v>
      </c>
      <c r="AB25" s="66">
        <v>45816</v>
      </c>
      <c r="AC25" s="66">
        <v>45818</v>
      </c>
      <c r="AD25" s="66">
        <v>45821</v>
      </c>
      <c r="AE25" s="54">
        <f t="shared" si="1"/>
        <v>5</v>
      </c>
      <c r="AF25" s="123">
        <f t="shared" si="2"/>
        <v>13</v>
      </c>
    </row>
    <row r="26" spans="1:32">
      <c r="A26" s="32">
        <f t="shared" si="0"/>
        <v>23</v>
      </c>
      <c r="B26" s="23" t="s">
        <v>204</v>
      </c>
      <c r="C26" s="3" t="s">
        <v>384</v>
      </c>
      <c r="D26" s="3" t="s">
        <v>29</v>
      </c>
      <c r="E26" s="3" t="s">
        <v>783</v>
      </c>
      <c r="F26" s="3" t="s">
        <v>587</v>
      </c>
      <c r="G26" s="3" t="s">
        <v>588</v>
      </c>
      <c r="H26" s="3" t="s">
        <v>589</v>
      </c>
      <c r="I26" s="23" t="s">
        <v>611</v>
      </c>
      <c r="J26" s="3" t="s">
        <v>633</v>
      </c>
      <c r="K26" s="54" t="s">
        <v>950</v>
      </c>
      <c r="L26" s="3">
        <v>35724</v>
      </c>
      <c r="M26" s="3">
        <v>36</v>
      </c>
      <c r="N26" s="3" t="s">
        <v>27</v>
      </c>
      <c r="O26" s="4" t="s">
        <v>687</v>
      </c>
      <c r="P26" s="4" t="s">
        <v>212</v>
      </c>
      <c r="Q26" s="66">
        <v>45798</v>
      </c>
      <c r="R26" s="66">
        <v>45798</v>
      </c>
      <c r="S26" s="66">
        <v>45806</v>
      </c>
      <c r="T26" s="54">
        <f t="shared" si="3"/>
        <v>8</v>
      </c>
      <c r="U26" s="66">
        <v>45807</v>
      </c>
      <c r="V26" s="66">
        <v>45810</v>
      </c>
      <c r="W26" s="66">
        <v>45810</v>
      </c>
      <c r="X26" s="66">
        <v>45812</v>
      </c>
      <c r="Y26" s="66">
        <v>45814</v>
      </c>
      <c r="Z26" s="66">
        <v>45816</v>
      </c>
      <c r="AA26" s="66">
        <v>45816</v>
      </c>
      <c r="AB26" s="66">
        <v>45817</v>
      </c>
      <c r="AC26" s="66">
        <v>45821</v>
      </c>
      <c r="AD26" s="66">
        <v>45824</v>
      </c>
      <c r="AE26" s="54">
        <f t="shared" si="1"/>
        <v>7</v>
      </c>
      <c r="AF26" s="123">
        <f t="shared" si="2"/>
        <v>15</v>
      </c>
    </row>
    <row r="27" spans="1:32">
      <c r="A27" s="32">
        <f t="shared" si="0"/>
        <v>24</v>
      </c>
      <c r="B27" s="23" t="s">
        <v>204</v>
      </c>
      <c r="C27" s="3" t="s">
        <v>384</v>
      </c>
      <c r="D27" s="3" t="s">
        <v>29</v>
      </c>
      <c r="E27" s="3" t="s">
        <v>782</v>
      </c>
      <c r="F27" s="3" t="s">
        <v>577</v>
      </c>
      <c r="G27" s="3" t="s">
        <v>578</v>
      </c>
      <c r="H27" s="3"/>
      <c r="I27" s="54" t="s">
        <v>606</v>
      </c>
      <c r="J27" s="3" t="s">
        <v>628</v>
      </c>
      <c r="K27" s="54" t="s">
        <v>41</v>
      </c>
      <c r="L27" s="3">
        <v>30205</v>
      </c>
      <c r="M27" s="3">
        <v>31</v>
      </c>
      <c r="N27" s="3" t="s">
        <v>27</v>
      </c>
      <c r="O27" s="4" t="s">
        <v>687</v>
      </c>
      <c r="P27" s="4" t="s">
        <v>212</v>
      </c>
      <c r="Q27" s="66">
        <v>45797</v>
      </c>
      <c r="R27" s="66">
        <v>45798</v>
      </c>
      <c r="S27" s="66">
        <v>45806</v>
      </c>
      <c r="T27" s="54">
        <f t="shared" si="3"/>
        <v>9</v>
      </c>
      <c r="U27" s="66">
        <v>45807</v>
      </c>
      <c r="V27" s="66">
        <v>45810</v>
      </c>
      <c r="W27" s="66">
        <v>45810</v>
      </c>
      <c r="X27" s="66">
        <v>45812</v>
      </c>
      <c r="Y27" s="66">
        <v>45814</v>
      </c>
      <c r="Z27" s="66">
        <v>45816</v>
      </c>
      <c r="AA27" s="66">
        <v>45816</v>
      </c>
      <c r="AB27" s="66">
        <v>45817</v>
      </c>
      <c r="AC27" s="66">
        <v>45821</v>
      </c>
      <c r="AD27" s="66">
        <v>45824</v>
      </c>
      <c r="AE27" s="54">
        <f t="shared" si="1"/>
        <v>7</v>
      </c>
      <c r="AF27" s="123">
        <f t="shared" si="2"/>
        <v>16</v>
      </c>
    </row>
    <row r="28" spans="1:32">
      <c r="A28" s="32">
        <f t="shared" si="0"/>
        <v>25</v>
      </c>
      <c r="B28" s="23" t="s">
        <v>204</v>
      </c>
      <c r="C28" s="3" t="s">
        <v>384</v>
      </c>
      <c r="D28" s="3" t="s">
        <v>29</v>
      </c>
      <c r="E28" s="3" t="s">
        <v>786</v>
      </c>
      <c r="F28" s="3" t="s">
        <v>553</v>
      </c>
      <c r="G28" s="3" t="s">
        <v>554</v>
      </c>
      <c r="H28" s="3" t="s">
        <v>555</v>
      </c>
      <c r="I28" s="54" t="s">
        <v>597</v>
      </c>
      <c r="J28" s="3" t="s">
        <v>619</v>
      </c>
      <c r="K28" s="3" t="s">
        <v>642</v>
      </c>
      <c r="L28" s="3">
        <v>35532</v>
      </c>
      <c r="M28" s="3">
        <v>35</v>
      </c>
      <c r="N28" s="3" t="s">
        <v>27</v>
      </c>
      <c r="O28" s="4" t="s">
        <v>687</v>
      </c>
      <c r="P28" s="4" t="s">
        <v>212</v>
      </c>
      <c r="Q28" s="66">
        <v>45797</v>
      </c>
      <c r="R28" s="66">
        <v>45798</v>
      </c>
      <c r="S28" s="66">
        <v>45805</v>
      </c>
      <c r="T28" s="54">
        <f t="shared" si="3"/>
        <v>8</v>
      </c>
      <c r="U28" s="66">
        <v>45806</v>
      </c>
      <c r="V28" s="66">
        <v>45808</v>
      </c>
      <c r="W28" s="66">
        <v>45808</v>
      </c>
      <c r="X28" s="66">
        <v>45810</v>
      </c>
      <c r="Y28" s="66">
        <v>45813</v>
      </c>
      <c r="Z28" s="66">
        <v>45814</v>
      </c>
      <c r="AA28" s="66">
        <v>45814</v>
      </c>
      <c r="AB28" s="66">
        <v>45816</v>
      </c>
      <c r="AC28" s="66">
        <v>45821</v>
      </c>
      <c r="AD28" s="66">
        <v>45824</v>
      </c>
      <c r="AE28" s="54">
        <f t="shared" si="1"/>
        <v>8</v>
      </c>
      <c r="AF28" s="123">
        <f t="shared" si="2"/>
        <v>16</v>
      </c>
    </row>
    <row r="29" spans="1:32">
      <c r="A29" s="32">
        <f t="shared" si="0"/>
        <v>26</v>
      </c>
      <c r="B29" s="23" t="s">
        <v>204</v>
      </c>
      <c r="C29" s="3" t="s">
        <v>384</v>
      </c>
      <c r="D29" s="3" t="s">
        <v>29</v>
      </c>
      <c r="E29" s="3" t="s">
        <v>699</v>
      </c>
      <c r="F29" s="3" t="s">
        <v>548</v>
      </c>
      <c r="G29" s="3" t="s">
        <v>695</v>
      </c>
      <c r="H29" s="3" t="s">
        <v>549</v>
      </c>
      <c r="I29" s="54" t="s">
        <v>595</v>
      </c>
      <c r="J29" s="3" t="s">
        <v>617</v>
      </c>
      <c r="K29" s="27" t="s">
        <v>640</v>
      </c>
      <c r="L29" s="3">
        <v>35534</v>
      </c>
      <c r="M29" s="3">
        <v>35</v>
      </c>
      <c r="N29" s="3" t="s">
        <v>27</v>
      </c>
      <c r="O29" s="4" t="s">
        <v>687</v>
      </c>
      <c r="P29" s="4" t="s">
        <v>212</v>
      </c>
      <c r="Q29" s="66">
        <v>45785</v>
      </c>
      <c r="R29" s="66">
        <v>45790</v>
      </c>
      <c r="S29" s="66">
        <v>45802</v>
      </c>
      <c r="T29" s="54">
        <f t="shared" si="3"/>
        <v>17</v>
      </c>
      <c r="U29" s="66">
        <v>45805</v>
      </c>
      <c r="V29" s="66">
        <v>45806</v>
      </c>
      <c r="W29" s="66">
        <v>45806</v>
      </c>
      <c r="X29" s="66">
        <v>45809</v>
      </c>
      <c r="Y29" s="66">
        <v>45811</v>
      </c>
      <c r="Z29" s="66">
        <v>45813</v>
      </c>
      <c r="AA29" s="66">
        <v>45813</v>
      </c>
      <c r="AB29" s="66">
        <v>45814</v>
      </c>
      <c r="AC29" s="66">
        <v>45815</v>
      </c>
      <c r="AD29" s="66">
        <v>45819</v>
      </c>
      <c r="AE29" s="54">
        <f t="shared" si="1"/>
        <v>5</v>
      </c>
      <c r="AF29" s="123">
        <f t="shared" si="2"/>
        <v>22</v>
      </c>
    </row>
    <row r="30" spans="1:32">
      <c r="A30" s="32">
        <f t="shared" si="0"/>
        <v>27</v>
      </c>
      <c r="B30" s="23" t="s">
        <v>204</v>
      </c>
      <c r="C30" s="3" t="s">
        <v>384</v>
      </c>
      <c r="D30" s="3" t="s">
        <v>29</v>
      </c>
      <c r="E30" s="3" t="s">
        <v>701</v>
      </c>
      <c r="F30" s="3" t="s">
        <v>550</v>
      </c>
      <c r="G30" s="3" t="s">
        <v>551</v>
      </c>
      <c r="H30" s="3" t="s">
        <v>552</v>
      </c>
      <c r="I30" s="54" t="s">
        <v>596</v>
      </c>
      <c r="J30" s="3" t="s">
        <v>618</v>
      </c>
      <c r="K30" s="54" t="s">
        <v>641</v>
      </c>
      <c r="L30" s="3">
        <v>34873</v>
      </c>
      <c r="M30" s="3">
        <v>35</v>
      </c>
      <c r="N30" s="3" t="s">
        <v>27</v>
      </c>
      <c r="O30" s="4" t="s">
        <v>687</v>
      </c>
      <c r="P30" s="4" t="s">
        <v>212</v>
      </c>
      <c r="Q30" s="66">
        <v>45785</v>
      </c>
      <c r="R30" s="66">
        <v>45790</v>
      </c>
      <c r="S30" s="66">
        <v>45802</v>
      </c>
      <c r="T30" s="54">
        <f t="shared" si="3"/>
        <v>17</v>
      </c>
      <c r="U30" s="66">
        <v>45805</v>
      </c>
      <c r="V30" s="66">
        <v>45806</v>
      </c>
      <c r="W30" s="66">
        <v>45806</v>
      </c>
      <c r="X30" s="66">
        <v>45809</v>
      </c>
      <c r="Y30" s="66">
        <v>45811</v>
      </c>
      <c r="Z30" s="66">
        <v>45812</v>
      </c>
      <c r="AA30" s="66">
        <v>45812</v>
      </c>
      <c r="AB30" s="66">
        <v>45813</v>
      </c>
      <c r="AC30" s="66">
        <v>45816</v>
      </c>
      <c r="AD30" s="66">
        <v>45819</v>
      </c>
      <c r="AE30" s="54">
        <f t="shared" si="1"/>
        <v>6</v>
      </c>
      <c r="AF30" s="123">
        <f t="shared" si="2"/>
        <v>23</v>
      </c>
    </row>
    <row r="31" spans="1:32">
      <c r="A31" s="32">
        <f t="shared" si="0"/>
        <v>28</v>
      </c>
      <c r="B31" s="23" t="s">
        <v>204</v>
      </c>
      <c r="C31" s="3" t="s">
        <v>384</v>
      </c>
      <c r="D31" s="3" t="s">
        <v>29</v>
      </c>
      <c r="E31" s="3" t="s">
        <v>700</v>
      </c>
      <c r="F31" s="3" t="s">
        <v>562</v>
      </c>
      <c r="G31" s="3" t="s">
        <v>563</v>
      </c>
      <c r="H31" s="3"/>
      <c r="I31" s="54" t="s">
        <v>600</v>
      </c>
      <c r="J31" s="3" t="s">
        <v>622</v>
      </c>
      <c r="K31" s="54" t="s">
        <v>645</v>
      </c>
      <c r="L31" s="3">
        <v>36564</v>
      </c>
      <c r="M31" s="3">
        <v>37</v>
      </c>
      <c r="N31" s="3" t="s">
        <v>27</v>
      </c>
      <c r="O31" s="4" t="s">
        <v>687</v>
      </c>
      <c r="P31" s="4" t="s">
        <v>212</v>
      </c>
      <c r="Q31" s="66">
        <v>45785</v>
      </c>
      <c r="R31" s="66">
        <v>45790</v>
      </c>
      <c r="S31" s="66">
        <v>45802</v>
      </c>
      <c r="T31" s="54">
        <f t="shared" si="3"/>
        <v>17</v>
      </c>
      <c r="U31" s="66">
        <v>45805</v>
      </c>
      <c r="V31" s="66">
        <v>45806</v>
      </c>
      <c r="W31" s="66">
        <v>45806</v>
      </c>
      <c r="X31" s="66">
        <v>45809</v>
      </c>
      <c r="Y31" s="66">
        <v>45811</v>
      </c>
      <c r="Z31" s="66">
        <v>45813</v>
      </c>
      <c r="AA31" s="66">
        <v>45813</v>
      </c>
      <c r="AB31" s="66">
        <v>45814</v>
      </c>
      <c r="AC31" s="66">
        <v>45816</v>
      </c>
      <c r="AD31" s="66">
        <v>45820</v>
      </c>
      <c r="AE31" s="54">
        <f t="shared" si="1"/>
        <v>6</v>
      </c>
      <c r="AF31" s="123">
        <f t="shared" si="2"/>
        <v>23</v>
      </c>
    </row>
    <row r="32" spans="1:32">
      <c r="A32" s="32">
        <f t="shared" si="0"/>
        <v>29</v>
      </c>
      <c r="B32" s="23" t="s">
        <v>204</v>
      </c>
      <c r="C32" s="3" t="s">
        <v>384</v>
      </c>
      <c r="D32" s="3" t="s">
        <v>29</v>
      </c>
      <c r="E32" s="3" t="s">
        <v>714</v>
      </c>
      <c r="F32" s="3" t="s">
        <v>98</v>
      </c>
      <c r="G32" s="3" t="s">
        <v>576</v>
      </c>
      <c r="H32" s="3"/>
      <c r="I32" s="54" t="s">
        <v>139</v>
      </c>
      <c r="J32" s="3" t="s">
        <v>168</v>
      </c>
      <c r="K32" s="3" t="s">
        <v>195</v>
      </c>
      <c r="L32" s="3">
        <v>30132</v>
      </c>
      <c r="M32" s="3">
        <v>30</v>
      </c>
      <c r="N32" s="3" t="s">
        <v>27</v>
      </c>
      <c r="O32" s="4" t="s">
        <v>687</v>
      </c>
      <c r="P32" s="4" t="s">
        <v>212</v>
      </c>
      <c r="Q32" s="66">
        <v>45780</v>
      </c>
      <c r="R32" s="66">
        <v>45782</v>
      </c>
      <c r="S32" s="66">
        <v>45790</v>
      </c>
      <c r="T32" s="54">
        <f t="shared" si="3"/>
        <v>10</v>
      </c>
      <c r="U32" s="66">
        <v>45793</v>
      </c>
      <c r="V32" s="66">
        <v>45795</v>
      </c>
      <c r="W32" s="66">
        <v>45795</v>
      </c>
      <c r="X32" s="66">
        <v>45796</v>
      </c>
      <c r="Y32" s="66">
        <v>45798</v>
      </c>
      <c r="Z32" s="66">
        <v>45800</v>
      </c>
      <c r="AA32" s="66">
        <v>45800</v>
      </c>
      <c r="AB32" s="66">
        <v>45803</v>
      </c>
      <c r="AC32" s="66">
        <v>45806</v>
      </c>
      <c r="AD32" s="66">
        <v>45810</v>
      </c>
      <c r="AE32" s="54">
        <f t="shared" si="1"/>
        <v>7</v>
      </c>
      <c r="AF32" s="123">
        <f t="shared" si="2"/>
        <v>17</v>
      </c>
    </row>
    <row r="33" spans="1:32" s="49" customFormat="1" ht="14.1" customHeight="1">
      <c r="A33" s="32">
        <f t="shared" si="0"/>
        <v>30</v>
      </c>
      <c r="B33" s="23" t="s">
        <v>204</v>
      </c>
      <c r="C33" s="3" t="s">
        <v>384</v>
      </c>
      <c r="D33" s="3" t="s">
        <v>29</v>
      </c>
      <c r="E33" s="3" t="s">
        <v>713</v>
      </c>
      <c r="F33" s="3" t="s">
        <v>651</v>
      </c>
      <c r="G33" s="3" t="s">
        <v>652</v>
      </c>
      <c r="H33" s="3"/>
      <c r="I33" s="23" t="s">
        <v>661</v>
      </c>
      <c r="J33" s="3" t="s">
        <v>787</v>
      </c>
      <c r="K33" s="27" t="s">
        <v>662</v>
      </c>
      <c r="L33" s="3">
        <v>29620</v>
      </c>
      <c r="M33" s="23">
        <v>30</v>
      </c>
      <c r="N33" s="3" t="s">
        <v>27</v>
      </c>
      <c r="O33" s="4" t="s">
        <v>687</v>
      </c>
      <c r="P33" s="4" t="s">
        <v>212</v>
      </c>
      <c r="Q33" s="66">
        <v>45780</v>
      </c>
      <c r="R33" s="66">
        <v>45782</v>
      </c>
      <c r="S33" s="66">
        <v>45790</v>
      </c>
      <c r="T33" s="54">
        <f t="shared" si="3"/>
        <v>10</v>
      </c>
      <c r="U33" s="66">
        <v>45793</v>
      </c>
      <c r="V33" s="66">
        <v>45795</v>
      </c>
      <c r="W33" s="66">
        <v>45795</v>
      </c>
      <c r="X33" s="66">
        <v>45796</v>
      </c>
      <c r="Y33" s="66">
        <v>45798</v>
      </c>
      <c r="Z33" s="66">
        <v>45802</v>
      </c>
      <c r="AA33" s="66">
        <v>45802</v>
      </c>
      <c r="AB33" s="66">
        <v>45804</v>
      </c>
      <c r="AC33" s="66">
        <v>45808</v>
      </c>
      <c r="AD33" s="66">
        <v>45808</v>
      </c>
      <c r="AE33" s="54">
        <f t="shared" si="1"/>
        <v>4</v>
      </c>
      <c r="AF33" s="123">
        <f t="shared" si="2"/>
        <v>14</v>
      </c>
    </row>
    <row r="34" spans="1:32">
      <c r="A34" s="32">
        <f t="shared" si="0"/>
        <v>31</v>
      </c>
      <c r="B34" s="23" t="s">
        <v>204</v>
      </c>
      <c r="C34" s="3" t="s">
        <v>384</v>
      </c>
      <c r="D34" s="3" t="s">
        <v>29</v>
      </c>
      <c r="E34" s="3" t="s">
        <v>709</v>
      </c>
      <c r="F34" s="3" t="s">
        <v>572</v>
      </c>
      <c r="G34" s="3" t="s">
        <v>573</v>
      </c>
      <c r="H34" s="3"/>
      <c r="I34" s="54" t="s">
        <v>604</v>
      </c>
      <c r="J34" s="3" t="s">
        <v>626</v>
      </c>
      <c r="K34" s="3" t="s">
        <v>649</v>
      </c>
      <c r="L34" s="3">
        <v>29845</v>
      </c>
      <c r="M34" s="3">
        <v>31</v>
      </c>
      <c r="N34" s="3" t="s">
        <v>27</v>
      </c>
      <c r="O34" s="4" t="s">
        <v>687</v>
      </c>
      <c r="P34" s="4" t="s">
        <v>212</v>
      </c>
      <c r="Q34" s="66">
        <v>45780</v>
      </c>
      <c r="R34" s="66">
        <v>45782</v>
      </c>
      <c r="S34" s="66">
        <v>45790</v>
      </c>
      <c r="T34" s="54">
        <f t="shared" si="3"/>
        <v>10</v>
      </c>
      <c r="U34" s="66">
        <v>45793</v>
      </c>
      <c r="V34" s="66">
        <v>45795</v>
      </c>
      <c r="W34" s="66">
        <v>45795</v>
      </c>
      <c r="X34" s="66">
        <v>45796</v>
      </c>
      <c r="Y34" s="66">
        <v>45800</v>
      </c>
      <c r="Z34" s="66">
        <v>45801</v>
      </c>
      <c r="AA34" s="66">
        <v>45801</v>
      </c>
      <c r="AB34" s="66">
        <v>45802</v>
      </c>
      <c r="AC34" s="66">
        <v>45805</v>
      </c>
      <c r="AD34" s="66">
        <v>45806</v>
      </c>
      <c r="AE34" s="54">
        <f t="shared" si="1"/>
        <v>4</v>
      </c>
      <c r="AF34" s="123">
        <f t="shared" si="2"/>
        <v>14</v>
      </c>
    </row>
    <row r="35" spans="1:32">
      <c r="A35" s="32">
        <f t="shared" si="0"/>
        <v>32</v>
      </c>
      <c r="B35" s="23" t="s">
        <v>204</v>
      </c>
      <c r="C35" s="3" t="s">
        <v>384</v>
      </c>
      <c r="D35" s="3" t="s">
        <v>29</v>
      </c>
      <c r="E35" s="3" t="s">
        <v>711</v>
      </c>
      <c r="F35" s="3" t="s">
        <v>655</v>
      </c>
      <c r="G35" s="3" t="s">
        <v>656</v>
      </c>
      <c r="H35" s="3" t="s">
        <v>657</v>
      </c>
      <c r="I35" s="23" t="s">
        <v>665</v>
      </c>
      <c r="J35" s="27" t="s">
        <v>666</v>
      </c>
      <c r="K35" s="27" t="s">
        <v>666</v>
      </c>
      <c r="L35" s="3">
        <v>34526</v>
      </c>
      <c r="M35" s="23">
        <v>35</v>
      </c>
      <c r="N35" s="3" t="s">
        <v>27</v>
      </c>
      <c r="O35" s="4" t="s">
        <v>687</v>
      </c>
      <c r="P35" s="4" t="s">
        <v>212</v>
      </c>
      <c r="Q35" s="66">
        <v>45780</v>
      </c>
      <c r="R35" s="66">
        <v>45782</v>
      </c>
      <c r="S35" s="66">
        <v>45790</v>
      </c>
      <c r="T35" s="54">
        <f t="shared" si="3"/>
        <v>10</v>
      </c>
      <c r="U35" s="66">
        <v>45793</v>
      </c>
      <c r="V35" s="66">
        <v>45795</v>
      </c>
      <c r="W35" s="66">
        <v>45795</v>
      </c>
      <c r="X35" s="66">
        <v>45796</v>
      </c>
      <c r="Y35" s="66">
        <v>45798</v>
      </c>
      <c r="Z35" s="66">
        <v>45800</v>
      </c>
      <c r="AA35" s="66">
        <v>45800</v>
      </c>
      <c r="AB35" s="66">
        <v>45802</v>
      </c>
      <c r="AC35" s="66">
        <v>45804</v>
      </c>
      <c r="AD35" s="66">
        <v>45806</v>
      </c>
      <c r="AE35" s="54">
        <f t="shared" si="1"/>
        <v>4</v>
      </c>
      <c r="AF35" s="123">
        <f t="shared" si="2"/>
        <v>14</v>
      </c>
    </row>
    <row r="36" spans="1:32">
      <c r="A36" s="32">
        <f t="shared" si="0"/>
        <v>33</v>
      </c>
      <c r="B36" s="23" t="s">
        <v>204</v>
      </c>
      <c r="C36" s="3" t="s">
        <v>384</v>
      </c>
      <c r="D36" s="3" t="s">
        <v>29</v>
      </c>
      <c r="E36" s="3" t="s">
        <v>705</v>
      </c>
      <c r="F36" s="3" t="s">
        <v>538</v>
      </c>
      <c r="G36" s="3" t="s">
        <v>539</v>
      </c>
      <c r="H36" s="3" t="s">
        <v>540</v>
      </c>
      <c r="I36" s="54" t="s">
        <v>591</v>
      </c>
      <c r="J36" s="3" t="s">
        <v>613</v>
      </c>
      <c r="K36" s="54" t="s">
        <v>635</v>
      </c>
      <c r="L36" s="3">
        <v>35650</v>
      </c>
      <c r="M36" s="3">
        <v>35</v>
      </c>
      <c r="N36" s="3" t="s">
        <v>27</v>
      </c>
      <c r="O36" s="4" t="s">
        <v>687</v>
      </c>
      <c r="P36" s="4" t="s">
        <v>212</v>
      </c>
      <c r="Q36" s="66">
        <v>45779</v>
      </c>
      <c r="R36" s="66">
        <v>45782</v>
      </c>
      <c r="S36" s="66">
        <v>45790</v>
      </c>
      <c r="T36" s="54">
        <f t="shared" si="3"/>
        <v>11</v>
      </c>
      <c r="U36" s="66">
        <v>45793</v>
      </c>
      <c r="V36" s="66">
        <v>45795</v>
      </c>
      <c r="W36" s="66">
        <v>45795</v>
      </c>
      <c r="X36" s="66">
        <v>45796</v>
      </c>
      <c r="Y36" s="66">
        <v>45798</v>
      </c>
      <c r="Z36" s="66">
        <v>45799</v>
      </c>
      <c r="AA36" s="66">
        <v>45799</v>
      </c>
      <c r="AB36" s="66">
        <v>45802</v>
      </c>
      <c r="AC36" s="66">
        <v>45804</v>
      </c>
      <c r="AD36" s="66">
        <v>45806</v>
      </c>
      <c r="AE36" s="54">
        <f t="shared" si="1"/>
        <v>4</v>
      </c>
      <c r="AF36" s="123">
        <f t="shared" si="2"/>
        <v>15</v>
      </c>
    </row>
    <row r="37" spans="1:32" s="49" customFormat="1" ht="14.25" customHeight="1">
      <c r="A37" s="32">
        <f t="shared" si="0"/>
        <v>34</v>
      </c>
      <c r="B37" s="23" t="s">
        <v>204</v>
      </c>
      <c r="C37" s="3" t="s">
        <v>384</v>
      </c>
      <c r="D37" s="3" t="s">
        <v>29</v>
      </c>
      <c r="E37" s="3" t="s">
        <v>707</v>
      </c>
      <c r="F37" s="3" t="s">
        <v>452</v>
      </c>
      <c r="G37" s="3" t="s">
        <v>453</v>
      </c>
      <c r="H37" s="3"/>
      <c r="I37" s="54" t="s">
        <v>468</v>
      </c>
      <c r="J37" s="54" t="s">
        <v>477</v>
      </c>
      <c r="K37" s="54" t="s">
        <v>636</v>
      </c>
      <c r="L37" s="3">
        <v>29911</v>
      </c>
      <c r="M37" s="3">
        <v>30</v>
      </c>
      <c r="N37" s="3" t="s">
        <v>27</v>
      </c>
      <c r="O37" s="4" t="s">
        <v>687</v>
      </c>
      <c r="P37" s="4" t="s">
        <v>212</v>
      </c>
      <c r="Q37" s="66">
        <v>45779</v>
      </c>
      <c r="R37" s="66">
        <v>45782</v>
      </c>
      <c r="S37" s="66">
        <v>45790</v>
      </c>
      <c r="T37" s="54">
        <f t="shared" si="3"/>
        <v>11</v>
      </c>
      <c r="U37" s="66">
        <v>45793</v>
      </c>
      <c r="V37" s="66">
        <v>45795</v>
      </c>
      <c r="W37" s="66">
        <v>45795</v>
      </c>
      <c r="X37" s="66">
        <v>45796</v>
      </c>
      <c r="Y37" s="66">
        <v>45798</v>
      </c>
      <c r="Z37" s="66">
        <v>45800</v>
      </c>
      <c r="AA37" s="66">
        <v>45800</v>
      </c>
      <c r="AB37" s="66">
        <v>45801</v>
      </c>
      <c r="AC37" s="66">
        <v>45804</v>
      </c>
      <c r="AD37" s="66">
        <v>45806</v>
      </c>
      <c r="AE37" s="54">
        <f t="shared" si="1"/>
        <v>5</v>
      </c>
      <c r="AF37" s="123">
        <f t="shared" si="2"/>
        <v>16</v>
      </c>
    </row>
    <row r="38" spans="1:32">
      <c r="A38" s="32">
        <f t="shared" si="0"/>
        <v>35</v>
      </c>
      <c r="B38" s="23" t="s">
        <v>204</v>
      </c>
      <c r="C38" s="3" t="s">
        <v>384</v>
      </c>
      <c r="D38" s="3" t="s">
        <v>29</v>
      </c>
      <c r="E38" s="3" t="s">
        <v>703</v>
      </c>
      <c r="F38" s="3" t="s">
        <v>535</v>
      </c>
      <c r="G38" s="3" t="s">
        <v>536</v>
      </c>
      <c r="H38" s="3" t="s">
        <v>537</v>
      </c>
      <c r="I38" s="54" t="s">
        <v>590</v>
      </c>
      <c r="J38" s="3" t="s">
        <v>612</v>
      </c>
      <c r="K38" s="3" t="s">
        <v>634</v>
      </c>
      <c r="L38" s="3">
        <v>36105</v>
      </c>
      <c r="M38" s="3">
        <v>36</v>
      </c>
      <c r="N38" s="3" t="s">
        <v>27</v>
      </c>
      <c r="O38" s="4" t="s">
        <v>687</v>
      </c>
      <c r="P38" s="4" t="s">
        <v>212</v>
      </c>
      <c r="Q38" s="66">
        <v>45779</v>
      </c>
      <c r="R38" s="66">
        <v>45782</v>
      </c>
      <c r="S38" s="66">
        <v>45790</v>
      </c>
      <c r="T38" s="54">
        <f t="shared" si="3"/>
        <v>11</v>
      </c>
      <c r="U38" s="66">
        <v>45793</v>
      </c>
      <c r="V38" s="66">
        <v>45795</v>
      </c>
      <c r="W38" s="66">
        <v>45795</v>
      </c>
      <c r="X38" s="66">
        <v>45797</v>
      </c>
      <c r="Y38" s="66">
        <v>45800</v>
      </c>
      <c r="Z38" s="66">
        <v>45801</v>
      </c>
      <c r="AA38" s="66">
        <v>45801</v>
      </c>
      <c r="AB38" s="66">
        <v>45802</v>
      </c>
      <c r="AC38" s="66">
        <v>45804</v>
      </c>
      <c r="AD38" s="66">
        <v>45806</v>
      </c>
      <c r="AE38" s="54">
        <f t="shared" si="1"/>
        <v>4</v>
      </c>
      <c r="AF38" s="123">
        <f t="shared" si="2"/>
        <v>15</v>
      </c>
    </row>
    <row r="39" spans="1:32" s="49" customFormat="1" ht="14.25" customHeight="1">
      <c r="A39" s="32">
        <f t="shared" si="0"/>
        <v>36</v>
      </c>
      <c r="B39" s="23" t="s">
        <v>204</v>
      </c>
      <c r="C39" s="3" t="s">
        <v>384</v>
      </c>
      <c r="D39" s="3" t="s">
        <v>29</v>
      </c>
      <c r="E39" s="3" t="s">
        <v>710</v>
      </c>
      <c r="F39" s="3" t="s">
        <v>658</v>
      </c>
      <c r="G39" s="3" t="s">
        <v>659</v>
      </c>
      <c r="H39" s="3" t="s">
        <v>660</v>
      </c>
      <c r="I39" s="23" t="s">
        <v>667</v>
      </c>
      <c r="J39" s="27" t="s">
        <v>668</v>
      </c>
      <c r="K39" s="27" t="s">
        <v>668</v>
      </c>
      <c r="L39" s="3">
        <v>34969</v>
      </c>
      <c r="M39" s="23">
        <v>35</v>
      </c>
      <c r="N39" s="3" t="s">
        <v>27</v>
      </c>
      <c r="O39" s="4" t="s">
        <v>687</v>
      </c>
      <c r="P39" s="4" t="s">
        <v>212</v>
      </c>
      <c r="Q39" s="66">
        <v>45780</v>
      </c>
      <c r="R39" s="66">
        <v>45782</v>
      </c>
      <c r="S39" s="66">
        <v>45790</v>
      </c>
      <c r="T39" s="54">
        <f t="shared" si="3"/>
        <v>10</v>
      </c>
      <c r="U39" s="66">
        <v>45793</v>
      </c>
      <c r="V39" s="66">
        <v>45795</v>
      </c>
      <c r="W39" s="66">
        <v>45795</v>
      </c>
      <c r="X39" s="66">
        <v>45796</v>
      </c>
      <c r="Y39" s="66">
        <v>45798</v>
      </c>
      <c r="Z39" s="66">
        <v>45800</v>
      </c>
      <c r="AA39" s="66">
        <v>45800</v>
      </c>
      <c r="AB39" s="66">
        <v>45801</v>
      </c>
      <c r="AC39" s="66">
        <v>45803</v>
      </c>
      <c r="AD39" s="66">
        <v>45804</v>
      </c>
      <c r="AE39" s="54">
        <f t="shared" si="1"/>
        <v>3</v>
      </c>
      <c r="AF39" s="123">
        <f t="shared" si="2"/>
        <v>13</v>
      </c>
    </row>
    <row r="40" spans="1:32">
      <c r="A40" s="32">
        <f t="shared" si="0"/>
        <v>37</v>
      </c>
      <c r="B40" s="23" t="s">
        <v>204</v>
      </c>
      <c r="C40" s="3" t="s">
        <v>384</v>
      </c>
      <c r="D40" s="3" t="s">
        <v>29</v>
      </c>
      <c r="E40" s="3" t="s">
        <v>708</v>
      </c>
      <c r="F40" s="3" t="s">
        <v>546</v>
      </c>
      <c r="G40" s="3" t="s">
        <v>547</v>
      </c>
      <c r="H40" s="3"/>
      <c r="I40" s="54" t="s">
        <v>594</v>
      </c>
      <c r="J40" s="3" t="s">
        <v>616</v>
      </c>
      <c r="K40" s="54" t="s">
        <v>639</v>
      </c>
      <c r="L40" s="3">
        <v>30206</v>
      </c>
      <c r="M40" s="3">
        <v>31</v>
      </c>
      <c r="N40" s="3" t="s">
        <v>27</v>
      </c>
      <c r="O40" s="4" t="s">
        <v>687</v>
      </c>
      <c r="P40" s="4" t="s">
        <v>212</v>
      </c>
      <c r="Q40" s="66">
        <v>45780</v>
      </c>
      <c r="R40" s="66">
        <v>45782</v>
      </c>
      <c r="S40" s="66">
        <v>45790</v>
      </c>
      <c r="T40" s="54">
        <f t="shared" si="3"/>
        <v>10</v>
      </c>
      <c r="U40" s="66">
        <v>45793</v>
      </c>
      <c r="V40" s="66">
        <v>45795</v>
      </c>
      <c r="W40" s="66">
        <v>45795</v>
      </c>
      <c r="X40" s="66">
        <v>45796</v>
      </c>
      <c r="Y40" s="66">
        <v>45799</v>
      </c>
      <c r="Z40" s="66">
        <v>45800</v>
      </c>
      <c r="AA40" s="66">
        <v>45800</v>
      </c>
      <c r="AB40" s="66">
        <v>45801</v>
      </c>
      <c r="AC40" s="66">
        <v>45803</v>
      </c>
      <c r="AD40" s="66">
        <v>45804</v>
      </c>
      <c r="AE40" s="54">
        <f t="shared" si="1"/>
        <v>3</v>
      </c>
      <c r="AF40" s="123">
        <f t="shared" si="2"/>
        <v>13</v>
      </c>
    </row>
    <row r="41" spans="1:32">
      <c r="A41" s="32">
        <f t="shared" si="0"/>
        <v>38</v>
      </c>
      <c r="B41" s="23" t="s">
        <v>204</v>
      </c>
      <c r="C41" s="3" t="s">
        <v>384</v>
      </c>
      <c r="D41" s="3" t="s">
        <v>29</v>
      </c>
      <c r="E41" s="3" t="s">
        <v>704</v>
      </c>
      <c r="F41" s="3" t="s">
        <v>541</v>
      </c>
      <c r="G41" s="3" t="s">
        <v>542</v>
      </c>
      <c r="H41" s="3"/>
      <c r="I41" s="54" t="s">
        <v>592</v>
      </c>
      <c r="J41" s="3" t="s">
        <v>614</v>
      </c>
      <c r="K41" s="54" t="s">
        <v>637</v>
      </c>
      <c r="L41" s="3">
        <v>30085</v>
      </c>
      <c r="M41" s="3">
        <v>30</v>
      </c>
      <c r="N41" s="3" t="s">
        <v>27</v>
      </c>
      <c r="O41" s="4" t="s">
        <v>687</v>
      </c>
      <c r="P41" s="4" t="s">
        <v>212</v>
      </c>
      <c r="Q41" s="66">
        <v>45779</v>
      </c>
      <c r="R41" s="66">
        <v>45782</v>
      </c>
      <c r="S41" s="66">
        <v>45790</v>
      </c>
      <c r="T41" s="54">
        <f t="shared" si="3"/>
        <v>11</v>
      </c>
      <c r="U41" s="66">
        <v>45793</v>
      </c>
      <c r="V41" s="66">
        <v>45795</v>
      </c>
      <c r="W41" s="66">
        <v>45795</v>
      </c>
      <c r="X41" s="66">
        <v>45797</v>
      </c>
      <c r="Y41" s="66">
        <v>45800</v>
      </c>
      <c r="Z41" s="66">
        <v>45801</v>
      </c>
      <c r="AA41" s="66">
        <v>45801</v>
      </c>
      <c r="AB41" s="66">
        <v>45803</v>
      </c>
      <c r="AC41" s="66">
        <v>45805</v>
      </c>
      <c r="AD41" s="66">
        <v>45807</v>
      </c>
      <c r="AE41" s="54">
        <f t="shared" si="1"/>
        <v>4</v>
      </c>
      <c r="AF41" s="123">
        <f t="shared" si="2"/>
        <v>15</v>
      </c>
    </row>
    <row r="42" spans="1:32">
      <c r="A42" s="32">
        <f t="shared" si="0"/>
        <v>39</v>
      </c>
      <c r="B42" s="23" t="s">
        <v>204</v>
      </c>
      <c r="C42" s="3" t="s">
        <v>384</v>
      </c>
      <c r="D42" s="3" t="s">
        <v>29</v>
      </c>
      <c r="E42" s="3" t="s">
        <v>712</v>
      </c>
      <c r="F42" s="3" t="s">
        <v>653</v>
      </c>
      <c r="G42" s="3" t="s">
        <v>654</v>
      </c>
      <c r="H42" s="3"/>
      <c r="I42" s="23" t="s">
        <v>663</v>
      </c>
      <c r="J42" s="68" t="s">
        <v>785</v>
      </c>
      <c r="K42" s="27" t="s">
        <v>664</v>
      </c>
      <c r="L42" s="3">
        <v>29687</v>
      </c>
      <c r="M42" s="23">
        <v>30</v>
      </c>
      <c r="N42" s="3" t="s">
        <v>27</v>
      </c>
      <c r="O42" s="4" t="s">
        <v>687</v>
      </c>
      <c r="P42" s="4" t="s">
        <v>212</v>
      </c>
      <c r="Q42" s="66">
        <v>45780</v>
      </c>
      <c r="R42" s="66">
        <v>45782</v>
      </c>
      <c r="S42" s="66">
        <v>45790</v>
      </c>
      <c r="T42" s="54">
        <f t="shared" si="3"/>
        <v>10</v>
      </c>
      <c r="U42" s="66">
        <v>45793</v>
      </c>
      <c r="V42" s="66">
        <v>45795</v>
      </c>
      <c r="W42" s="66">
        <v>45795</v>
      </c>
      <c r="X42" s="66">
        <v>45797</v>
      </c>
      <c r="Y42" s="66">
        <v>45800</v>
      </c>
      <c r="Z42" s="66">
        <v>45801</v>
      </c>
      <c r="AA42" s="66">
        <v>45801</v>
      </c>
      <c r="AB42" s="66">
        <v>45802</v>
      </c>
      <c r="AC42" s="66">
        <v>45805</v>
      </c>
      <c r="AD42" s="66">
        <v>45807</v>
      </c>
      <c r="AE42" s="54">
        <f t="shared" si="1"/>
        <v>5</v>
      </c>
      <c r="AF42" s="123">
        <f t="shared" si="2"/>
        <v>15</v>
      </c>
    </row>
    <row r="43" spans="1:32" s="49" customFormat="1" ht="14.25" customHeight="1">
      <c r="A43" s="32">
        <f t="shared" si="0"/>
        <v>40</v>
      </c>
      <c r="B43" s="23" t="s">
        <v>204</v>
      </c>
      <c r="C43" s="3" t="s">
        <v>384</v>
      </c>
      <c r="D43" s="3" t="s">
        <v>29</v>
      </c>
      <c r="E43" s="3" t="s">
        <v>706</v>
      </c>
      <c r="F43" s="3" t="s">
        <v>543</v>
      </c>
      <c r="G43" s="3" t="s">
        <v>544</v>
      </c>
      <c r="H43" s="3" t="s">
        <v>545</v>
      </c>
      <c r="I43" s="54" t="s">
        <v>593</v>
      </c>
      <c r="J43" s="3" t="s">
        <v>615</v>
      </c>
      <c r="K43" s="54" t="s">
        <v>638</v>
      </c>
      <c r="L43" s="3">
        <v>36248</v>
      </c>
      <c r="M43" s="3">
        <v>36</v>
      </c>
      <c r="N43" s="3" t="s">
        <v>27</v>
      </c>
      <c r="O43" s="4" t="s">
        <v>687</v>
      </c>
      <c r="P43" s="4" t="s">
        <v>212</v>
      </c>
      <c r="Q43" s="66">
        <v>45779</v>
      </c>
      <c r="R43" s="66">
        <v>45782</v>
      </c>
      <c r="S43" s="66">
        <v>45790</v>
      </c>
      <c r="T43" s="54">
        <f t="shared" si="3"/>
        <v>11</v>
      </c>
      <c r="U43" s="66">
        <v>45793</v>
      </c>
      <c r="V43" s="66">
        <v>45795</v>
      </c>
      <c r="W43" s="66">
        <v>45795</v>
      </c>
      <c r="X43" s="66">
        <v>45796</v>
      </c>
      <c r="Y43" s="66">
        <v>45798</v>
      </c>
      <c r="Z43" s="66">
        <v>45801</v>
      </c>
      <c r="AA43" s="66">
        <v>45801</v>
      </c>
      <c r="AB43" s="66">
        <v>45804</v>
      </c>
      <c r="AC43" s="66">
        <v>45809</v>
      </c>
      <c r="AD43" s="66">
        <v>45811</v>
      </c>
      <c r="AE43" s="54">
        <f t="shared" si="1"/>
        <v>7</v>
      </c>
      <c r="AF43" s="123">
        <f t="shared" si="2"/>
        <v>18</v>
      </c>
    </row>
    <row r="45" spans="1:32">
      <c r="A45" s="30" t="s">
        <v>205</v>
      </c>
      <c r="B45" s="31"/>
      <c r="C45" s="31"/>
      <c r="D45" s="31"/>
      <c r="E45" s="31"/>
    </row>
    <row r="46" spans="1:32">
      <c r="A46" s="30" t="s">
        <v>691</v>
      </c>
      <c r="B46" s="31"/>
      <c r="C46" s="31"/>
      <c r="D46" s="31"/>
      <c r="E46" s="31"/>
    </row>
    <row r="47" spans="1:32">
      <c r="A47" s="30" t="s">
        <v>692</v>
      </c>
      <c r="B47" s="31"/>
      <c r="C47" s="31"/>
      <c r="D47" s="31"/>
      <c r="E47" s="31"/>
    </row>
    <row r="48" spans="1:32">
      <c r="N48" s="53"/>
    </row>
    <row r="62" spans="10:10">
      <c r="J62" s="121"/>
    </row>
    <row r="66" spans="9:10">
      <c r="I66" s="52"/>
    </row>
    <row r="67" spans="9:10">
      <c r="J67" s="121"/>
    </row>
  </sheetData>
  <autoFilter ref="A3:AF3" xr:uid="{5E170DFC-6509-4127-AA69-DA11D7924B7E}">
    <sortState xmlns:xlrd2="http://schemas.microsoft.com/office/spreadsheetml/2017/richdata2" ref="A5:AF47">
      <sortCondition descending="1" ref="S3"/>
    </sortState>
  </autoFilter>
  <mergeCells count="2">
    <mergeCell ref="AF2:AF3"/>
    <mergeCell ref="A2:A3"/>
  </mergeCells>
  <conditionalFormatting sqref="B1">
    <cfRule type="duplicateValues" dxfId="2528" priority="1079"/>
    <cfRule type="duplicateValues" dxfId="2527" priority="1080"/>
    <cfRule type="duplicateValues" dxfId="2526" priority="1081"/>
    <cfRule type="duplicateValues" dxfId="2525" priority="1082"/>
  </conditionalFormatting>
  <conditionalFormatting sqref="F1:F3">
    <cfRule type="duplicateValues" dxfId="2524" priority="3676"/>
    <cfRule type="duplicateValues" dxfId="2523" priority="3677"/>
    <cfRule type="duplicateValues" dxfId="2522" priority="3678"/>
    <cfRule type="duplicateValues" dxfId="2521" priority="3679"/>
  </conditionalFormatting>
  <conditionalFormatting sqref="F1:F1048576">
    <cfRule type="duplicateValues" dxfId="2520" priority="8"/>
  </conditionalFormatting>
  <conditionalFormatting sqref="F17 F24 F28:F43 F4:F6 F8:F9 F13:F15 F11">
    <cfRule type="duplicateValues" dxfId="2519" priority="13243"/>
    <cfRule type="duplicateValues" dxfId="2518" priority="13244"/>
    <cfRule type="duplicateValues" dxfId="2517" priority="13245"/>
    <cfRule type="duplicateValues" dxfId="2516" priority="13246"/>
    <cfRule type="duplicateValues" dxfId="2515" priority="13247"/>
    <cfRule type="duplicateValues" dxfId="2514" priority="13248"/>
  </conditionalFormatting>
  <conditionalFormatting sqref="F18 F7">
    <cfRule type="duplicateValues" dxfId="2513" priority="8893"/>
    <cfRule type="duplicateValues" dxfId="2512" priority="8894"/>
    <cfRule type="duplicateValues" dxfId="2511" priority="8895"/>
    <cfRule type="duplicateValues" dxfId="2510" priority="8896"/>
    <cfRule type="duplicateValues" dxfId="2509" priority="8897"/>
    <cfRule type="duplicateValues" dxfId="2508" priority="8898"/>
  </conditionalFormatting>
  <conditionalFormatting sqref="F19:F21">
    <cfRule type="duplicateValues" dxfId="2507" priority="11293"/>
    <cfRule type="duplicateValues" dxfId="2506" priority="11294"/>
    <cfRule type="duplicateValues" dxfId="2505" priority="11295"/>
    <cfRule type="duplicateValues" dxfId="2504" priority="11296"/>
    <cfRule type="duplicateValues" dxfId="2503" priority="11297"/>
  </conditionalFormatting>
  <conditionalFormatting sqref="F19:F22">
    <cfRule type="duplicateValues" dxfId="2502" priority="11170"/>
  </conditionalFormatting>
  <conditionalFormatting sqref="F22">
    <cfRule type="duplicateValues" dxfId="2501" priority="152"/>
    <cfRule type="duplicateValues" dxfId="2500" priority="153"/>
    <cfRule type="duplicateValues" dxfId="2499" priority="154"/>
    <cfRule type="duplicateValues" dxfId="2498" priority="155"/>
    <cfRule type="duplicateValues" dxfId="2497" priority="156"/>
  </conditionalFormatting>
  <conditionalFormatting sqref="F49:F1048576 F1:F3">
    <cfRule type="duplicateValues" dxfId="2496" priority="11740"/>
    <cfRule type="duplicateValues" dxfId="2495" priority="11745"/>
    <cfRule type="duplicateValues" dxfId="2494" priority="11746"/>
    <cfRule type="duplicateValues" dxfId="2493" priority="11747"/>
    <cfRule type="duplicateValues" dxfId="2492" priority="11748"/>
    <cfRule type="duplicateValues" dxfId="2491" priority="11749"/>
    <cfRule type="duplicateValues" dxfId="2490" priority="11750"/>
    <cfRule type="duplicateValues" dxfId="2489" priority="11751"/>
    <cfRule type="duplicateValues" dxfId="2488" priority="11752"/>
  </conditionalFormatting>
  <conditionalFormatting sqref="F49:F1048576">
    <cfRule type="duplicateValues" dxfId="2487" priority="11743"/>
  </conditionalFormatting>
  <conditionalFormatting sqref="G4">
    <cfRule type="duplicateValues" dxfId="2486" priority="982"/>
  </conditionalFormatting>
  <conditionalFormatting sqref="G5">
    <cfRule type="duplicateValues" dxfId="2485" priority="10988"/>
  </conditionalFormatting>
  <conditionalFormatting sqref="G6">
    <cfRule type="duplicateValues" dxfId="2484" priority="639"/>
    <cfRule type="duplicateValues" dxfId="2483" priority="640"/>
  </conditionalFormatting>
  <conditionalFormatting sqref="G9">
    <cfRule type="duplicateValues" dxfId="2482" priority="978"/>
  </conditionalFormatting>
  <conditionalFormatting sqref="G10">
    <cfRule type="duplicateValues" dxfId="2481" priority="817"/>
  </conditionalFormatting>
  <conditionalFormatting sqref="G11">
    <cfRule type="duplicateValues" dxfId="2480" priority="124"/>
    <cfRule type="duplicateValues" dxfId="2479" priority="125"/>
  </conditionalFormatting>
  <conditionalFormatting sqref="G13">
    <cfRule type="duplicateValues" dxfId="2478" priority="114"/>
    <cfRule type="duplicateValues" dxfId="2477" priority="115"/>
  </conditionalFormatting>
  <conditionalFormatting sqref="G14 G17 G20">
    <cfRule type="duplicateValues" dxfId="2476" priority="9146"/>
    <cfRule type="duplicateValues" dxfId="2475" priority="9147"/>
  </conditionalFormatting>
  <conditionalFormatting sqref="G15 G18 G7:G8">
    <cfRule type="duplicateValues" dxfId="2474" priority="13322"/>
    <cfRule type="duplicateValues" dxfId="2473" priority="13323"/>
  </conditionalFormatting>
  <conditionalFormatting sqref="G16 G41">
    <cfRule type="duplicateValues" dxfId="2472" priority="814"/>
  </conditionalFormatting>
  <conditionalFormatting sqref="G19">
    <cfRule type="duplicateValues" dxfId="2471" priority="126"/>
    <cfRule type="duplicateValues" dxfId="2470" priority="127"/>
  </conditionalFormatting>
  <conditionalFormatting sqref="G21">
    <cfRule type="duplicateValues" dxfId="2469" priority="128"/>
    <cfRule type="duplicateValues" dxfId="2468" priority="129"/>
  </conditionalFormatting>
  <conditionalFormatting sqref="G22">
    <cfRule type="duplicateValues" dxfId="2467" priority="10987"/>
  </conditionalFormatting>
  <conditionalFormatting sqref="G23">
    <cfRule type="duplicateValues" dxfId="2466" priority="924"/>
  </conditionalFormatting>
  <conditionalFormatting sqref="G24">
    <cfRule type="duplicateValues" dxfId="2465" priority="868"/>
  </conditionalFormatting>
  <conditionalFormatting sqref="G25">
    <cfRule type="duplicateValues" dxfId="2464" priority="815"/>
    <cfRule type="duplicateValues" dxfId="2463" priority="816"/>
  </conditionalFormatting>
  <conditionalFormatting sqref="G27 G12 G38 G42">
    <cfRule type="duplicateValues" dxfId="2462" priority="1019"/>
  </conditionalFormatting>
  <conditionalFormatting sqref="G29:G30 G35">
    <cfRule type="duplicateValues" dxfId="2461" priority="818"/>
  </conditionalFormatting>
  <conditionalFormatting sqref="G31 G40">
    <cfRule type="duplicateValues" dxfId="2460" priority="1017"/>
  </conditionalFormatting>
  <conditionalFormatting sqref="G37">
    <cfRule type="duplicateValues" dxfId="2459" priority="634"/>
    <cfRule type="duplicateValues" dxfId="2458" priority="635"/>
  </conditionalFormatting>
  <conditionalFormatting sqref="G39">
    <cfRule type="duplicateValues" dxfId="2457" priority="637"/>
    <cfRule type="duplicateValues" dxfId="2456" priority="638"/>
  </conditionalFormatting>
  <conditionalFormatting sqref="G43">
    <cfRule type="duplicateValues" dxfId="2455" priority="641"/>
    <cfRule type="duplicateValues" dxfId="2454" priority="642"/>
  </conditionalFormatting>
  <conditionalFormatting sqref="G4:J28 G9:K13 G19:K19">
    <cfRule type="containsText" dxfId="2453" priority="523" operator="containsText" text="TBA">
      <formula>NOT(ISERROR(SEARCH("TBA",G4)))</formula>
    </cfRule>
  </conditionalFormatting>
  <conditionalFormatting sqref="G15:K17 G23:K23 G25:K27 G29:H33 G32:J39 G36:H41 I41:J43 G42:J42 G43:H43">
    <cfRule type="containsText" dxfId="2452" priority="131" operator="containsText" text="TBA">
      <formula>NOT(ISERROR(SEARCH("TBA",G15)))</formula>
    </cfRule>
  </conditionalFormatting>
  <conditionalFormatting sqref="H4">
    <cfRule type="duplicateValues" dxfId="2451" priority="983"/>
    <cfRule type="duplicateValues" dxfId="2450" priority="984"/>
    <cfRule type="duplicateValues" dxfId="2449" priority="985"/>
    <cfRule type="duplicateValues" dxfId="2448" priority="986"/>
  </conditionalFormatting>
  <conditionalFormatting sqref="H5">
    <cfRule type="duplicateValues" dxfId="2447" priority="10990"/>
    <cfRule type="duplicateValues" dxfId="2446" priority="10991"/>
    <cfRule type="duplicateValues" dxfId="2445" priority="10992"/>
    <cfRule type="duplicateValues" dxfId="2444" priority="10993"/>
  </conditionalFormatting>
  <conditionalFormatting sqref="H9">
    <cfRule type="duplicateValues" dxfId="2443" priority="933"/>
    <cfRule type="duplicateValues" dxfId="2442" priority="934"/>
    <cfRule type="duplicateValues" dxfId="2441" priority="935"/>
    <cfRule type="duplicateValues" dxfId="2440" priority="936"/>
  </conditionalFormatting>
  <conditionalFormatting sqref="H13 H11">
    <cfRule type="duplicateValues" dxfId="2439" priority="13014"/>
  </conditionalFormatting>
  <conditionalFormatting sqref="H14 H17 H20">
    <cfRule type="duplicateValues" dxfId="2438" priority="9204"/>
    <cfRule type="duplicateValues" dxfId="2437" priority="9205"/>
  </conditionalFormatting>
  <conditionalFormatting sqref="H15 H18 H7:H8">
    <cfRule type="duplicateValues" dxfId="2436" priority="13332"/>
  </conditionalFormatting>
  <conditionalFormatting sqref="H16 H10 H25 H29:H31 H35 H40:H41">
    <cfRule type="duplicateValues" dxfId="2435" priority="6760"/>
    <cfRule type="duplicateValues" dxfId="2434" priority="6761"/>
    <cfRule type="duplicateValues" dxfId="2433" priority="6762"/>
    <cfRule type="duplicateValues" dxfId="2432" priority="6763"/>
  </conditionalFormatting>
  <conditionalFormatting sqref="H19">
    <cfRule type="duplicateValues" dxfId="2431" priority="120"/>
    <cfRule type="duplicateValues" dxfId="2430" priority="121"/>
  </conditionalFormatting>
  <conditionalFormatting sqref="H21">
    <cfRule type="duplicateValues" dxfId="2429" priority="122"/>
    <cfRule type="duplicateValues" dxfId="2428" priority="123"/>
  </conditionalFormatting>
  <conditionalFormatting sqref="H22">
    <cfRule type="duplicateValues" dxfId="2427" priority="136"/>
    <cfRule type="duplicateValues" dxfId="2426" priority="137"/>
    <cfRule type="duplicateValues" dxfId="2425" priority="138"/>
    <cfRule type="duplicateValues" dxfId="2424" priority="139"/>
  </conditionalFormatting>
  <conditionalFormatting sqref="H23">
    <cfRule type="duplicateValues" dxfId="2423" priority="879"/>
    <cfRule type="duplicateValues" dxfId="2422" priority="880"/>
    <cfRule type="duplicateValues" dxfId="2421" priority="881"/>
    <cfRule type="duplicateValues" dxfId="2420" priority="882"/>
  </conditionalFormatting>
  <conditionalFormatting sqref="H24">
    <cfRule type="duplicateValues" dxfId="2419" priority="869"/>
    <cfRule type="duplicateValues" dxfId="2418" priority="870"/>
    <cfRule type="duplicateValues" dxfId="2417" priority="871"/>
    <cfRule type="duplicateValues" dxfId="2416" priority="872"/>
  </conditionalFormatting>
  <conditionalFormatting sqref="H26 H32 H34 H36">
    <cfRule type="duplicateValues" dxfId="2415" priority="1013"/>
    <cfRule type="duplicateValues" dxfId="2414" priority="1014"/>
    <cfRule type="duplicateValues" dxfId="2413" priority="1015"/>
    <cfRule type="duplicateValues" dxfId="2412" priority="1016"/>
  </conditionalFormatting>
  <conditionalFormatting sqref="H27 H12 H38 H42">
    <cfRule type="duplicateValues" dxfId="2411" priority="1020"/>
    <cfRule type="duplicateValues" dxfId="2410" priority="1021"/>
    <cfRule type="duplicateValues" dxfId="2409" priority="1022"/>
    <cfRule type="duplicateValues" dxfId="2408" priority="1023"/>
  </conditionalFormatting>
  <conditionalFormatting sqref="H28">
    <cfRule type="duplicateValues" dxfId="2407" priority="557"/>
    <cfRule type="duplicateValues" dxfId="2406" priority="558"/>
    <cfRule type="duplicateValues" dxfId="2405" priority="559"/>
    <cfRule type="duplicateValues" dxfId="2404" priority="560"/>
  </conditionalFormatting>
  <conditionalFormatting sqref="H33">
    <cfRule type="duplicateValues" dxfId="2403" priority="10998"/>
    <cfRule type="duplicateValues" dxfId="2402" priority="10999"/>
    <cfRule type="duplicateValues" dxfId="2401" priority="11000"/>
    <cfRule type="duplicateValues" dxfId="2400" priority="11001"/>
  </conditionalFormatting>
  <conditionalFormatting sqref="H37 H6 H39 H43">
    <cfRule type="duplicateValues" dxfId="2399" priority="7940"/>
    <cfRule type="duplicateValues" dxfId="2398" priority="7941"/>
    <cfRule type="duplicateValues" dxfId="2397" priority="7942"/>
    <cfRule type="duplicateValues" dxfId="2396" priority="7943"/>
  </conditionalFormatting>
  <conditionalFormatting sqref="I4">
    <cfRule type="duplicateValues" dxfId="2395" priority="786"/>
    <cfRule type="duplicateValues" dxfId="2394" priority="787"/>
  </conditionalFormatting>
  <conditionalFormatting sqref="I5">
    <cfRule type="duplicateValues" dxfId="2393" priority="11006"/>
    <cfRule type="duplicateValues" dxfId="2392" priority="11007"/>
  </conditionalFormatting>
  <conditionalFormatting sqref="I9">
    <cfRule type="duplicateValues" dxfId="2391" priority="778"/>
    <cfRule type="duplicateValues" dxfId="2390" priority="779"/>
    <cfRule type="duplicateValues" dxfId="2389" priority="780"/>
    <cfRule type="duplicateValues" dxfId="2388" priority="781"/>
    <cfRule type="duplicateValues" dxfId="2387" priority="782"/>
    <cfRule type="duplicateValues" dxfId="2386" priority="783"/>
    <cfRule type="duplicateValues" dxfId="2385" priority="784"/>
    <cfRule type="duplicateValues" dxfId="2384" priority="785"/>
  </conditionalFormatting>
  <conditionalFormatting sqref="I10">
    <cfRule type="duplicateValues" dxfId="2383" priority="732"/>
    <cfRule type="duplicateValues" dxfId="2382" priority="733"/>
    <cfRule type="duplicateValues" dxfId="2381" priority="734"/>
    <cfRule type="duplicateValues" dxfId="2380" priority="735"/>
    <cfRule type="duplicateValues" dxfId="2379" priority="736"/>
    <cfRule type="duplicateValues" dxfId="2378" priority="737"/>
    <cfRule type="duplicateValues" dxfId="2377" priority="738"/>
    <cfRule type="duplicateValues" dxfId="2376" priority="739"/>
    <cfRule type="duplicateValues" dxfId="2375" priority="740"/>
    <cfRule type="duplicateValues" dxfId="2374" priority="741"/>
    <cfRule type="duplicateValues" dxfId="2373" priority="742"/>
    <cfRule type="duplicateValues" dxfId="2372" priority="743"/>
    <cfRule type="duplicateValues" dxfId="2371" priority="744"/>
  </conditionalFormatting>
  <conditionalFormatting sqref="I11">
    <cfRule type="duplicateValues" dxfId="2370" priority="78"/>
    <cfRule type="duplicateValues" dxfId="2369" priority="79"/>
  </conditionalFormatting>
  <conditionalFormatting sqref="I13">
    <cfRule type="duplicateValues" dxfId="2368" priority="74"/>
    <cfRule type="duplicateValues" dxfId="2367" priority="75"/>
  </conditionalFormatting>
  <conditionalFormatting sqref="I14 I17 I20">
    <cfRule type="duplicateValues" dxfId="2366" priority="9236"/>
    <cfRule type="duplicateValues" dxfId="2365" priority="9237"/>
  </conditionalFormatting>
  <conditionalFormatting sqref="I15 I18 I7:I8">
    <cfRule type="duplicateValues" dxfId="2364" priority="13352"/>
    <cfRule type="duplicateValues" dxfId="2363" priority="13353"/>
  </conditionalFormatting>
  <conditionalFormatting sqref="I16">
    <cfRule type="duplicateValues" dxfId="2362" priority="758"/>
    <cfRule type="duplicateValues" dxfId="2361" priority="759"/>
    <cfRule type="duplicateValues" dxfId="2360" priority="760"/>
  </conditionalFormatting>
  <conditionalFormatting sqref="I19">
    <cfRule type="duplicateValues" dxfId="2359" priority="80"/>
    <cfRule type="duplicateValues" dxfId="2358" priority="81"/>
    <cfRule type="duplicateValues" dxfId="2357" priority="82"/>
    <cfRule type="duplicateValues" dxfId="2356" priority="83"/>
    <cfRule type="duplicateValues" dxfId="2355" priority="84"/>
    <cfRule type="duplicateValues" dxfId="2354" priority="85"/>
  </conditionalFormatting>
  <conditionalFormatting sqref="I21">
    <cfRule type="duplicateValues" dxfId="2353" priority="86"/>
    <cfRule type="duplicateValues" dxfId="2352" priority="87"/>
  </conditionalFormatting>
  <conditionalFormatting sqref="I22">
    <cfRule type="duplicateValues" dxfId="2351" priority="103"/>
    <cfRule type="duplicateValues" dxfId="2350" priority="104"/>
    <cfRule type="duplicateValues" dxfId="2349" priority="105"/>
    <cfRule type="duplicateValues" dxfId="2348" priority="106"/>
    <cfRule type="duplicateValues" dxfId="2347" priority="107"/>
    <cfRule type="duplicateValues" dxfId="2346" priority="108"/>
    <cfRule type="duplicateValues" dxfId="2345" priority="109"/>
    <cfRule type="duplicateValues" dxfId="2344" priority="110"/>
  </conditionalFormatting>
  <conditionalFormatting sqref="I23">
    <cfRule type="duplicateValues" dxfId="2343" priority="774"/>
    <cfRule type="duplicateValues" dxfId="2342" priority="775"/>
  </conditionalFormatting>
  <conditionalFormatting sqref="I24">
    <cfRule type="duplicateValues" dxfId="2341" priority="776"/>
    <cfRule type="duplicateValues" dxfId="2340" priority="777"/>
  </conditionalFormatting>
  <conditionalFormatting sqref="I25 I40">
    <cfRule type="duplicateValues" dxfId="2339" priority="729"/>
    <cfRule type="duplicateValues" dxfId="2338" priority="730"/>
    <cfRule type="duplicateValues" dxfId="2337" priority="750"/>
  </conditionalFormatting>
  <conditionalFormatting sqref="I25 I40:I41">
    <cfRule type="duplicateValues" dxfId="2336" priority="808"/>
    <cfRule type="duplicateValues" dxfId="2335" priority="809"/>
    <cfRule type="duplicateValues" dxfId="2334" priority="810"/>
  </conditionalFormatting>
  <conditionalFormatting sqref="I25">
    <cfRule type="duplicateValues" dxfId="2333" priority="731"/>
    <cfRule type="duplicateValues" dxfId="2332" priority="751"/>
    <cfRule type="duplicateValues" dxfId="2331" priority="752"/>
    <cfRule type="duplicateValues" dxfId="2330" priority="753"/>
    <cfRule type="duplicateValues" dxfId="2329" priority="754"/>
    <cfRule type="duplicateValues" dxfId="2328" priority="755"/>
    <cfRule type="duplicateValues" dxfId="2327" priority="756"/>
  </conditionalFormatting>
  <conditionalFormatting sqref="I26 I32 I34 I36">
    <cfRule type="duplicateValues" dxfId="2326" priority="806"/>
    <cfRule type="duplicateValues" dxfId="2325" priority="807"/>
  </conditionalFormatting>
  <conditionalFormatting sqref="I27 I12 I38 I42">
    <cfRule type="duplicateValues" dxfId="2324" priority="811"/>
    <cfRule type="duplicateValues" dxfId="2323" priority="812"/>
  </conditionalFormatting>
  <conditionalFormatting sqref="I28">
    <cfRule type="duplicateValues" dxfId="2322" priority="524"/>
    <cfRule type="duplicateValues" dxfId="2321" priority="525"/>
    <cfRule type="duplicateValues" dxfId="2320" priority="526"/>
    <cfRule type="duplicateValues" dxfId="2319" priority="527"/>
    <cfRule type="duplicateValues" dxfId="2318" priority="528"/>
    <cfRule type="duplicateValues" dxfId="2317" priority="529"/>
    <cfRule type="duplicateValues" dxfId="2316" priority="530"/>
    <cfRule type="duplicateValues" dxfId="2315" priority="531"/>
    <cfRule type="duplicateValues" dxfId="2314" priority="532"/>
    <cfRule type="duplicateValues" dxfId="2313" priority="533"/>
  </conditionalFormatting>
  <conditionalFormatting sqref="I29">
    <cfRule type="duplicateValues" dxfId="2312" priority="765"/>
    <cfRule type="duplicateValues" dxfId="2311" priority="766"/>
    <cfRule type="duplicateValues" dxfId="2310" priority="767"/>
    <cfRule type="duplicateValues" dxfId="2309" priority="768"/>
    <cfRule type="duplicateValues" dxfId="2308" priority="769"/>
    <cfRule type="duplicateValues" dxfId="2307" priority="770"/>
    <cfRule type="duplicateValues" dxfId="2306" priority="771"/>
    <cfRule type="duplicateValues" dxfId="2305" priority="772"/>
  </conditionalFormatting>
  <conditionalFormatting sqref="I30 I35">
    <cfRule type="duplicateValues" dxfId="2304" priority="761"/>
    <cfRule type="duplicateValues" dxfId="2303" priority="762"/>
    <cfRule type="duplicateValues" dxfId="2302" priority="763"/>
  </conditionalFormatting>
  <conditionalFormatting sqref="I30">
    <cfRule type="duplicateValues" dxfId="2301" priority="764"/>
  </conditionalFormatting>
  <conditionalFormatting sqref="I31">
    <cfRule type="duplicateValues" dxfId="2300" priority="745"/>
    <cfRule type="duplicateValues" dxfId="2299" priority="746"/>
    <cfRule type="duplicateValues" dxfId="2298" priority="747"/>
    <cfRule type="duplicateValues" dxfId="2297" priority="748"/>
    <cfRule type="duplicateValues" dxfId="2296" priority="749"/>
  </conditionalFormatting>
  <conditionalFormatting sqref="I33">
    <cfRule type="duplicateValues" dxfId="2295" priority="11010"/>
    <cfRule type="duplicateValues" dxfId="2294" priority="11011"/>
  </conditionalFormatting>
  <conditionalFormatting sqref="I37 I6 I39 I43">
    <cfRule type="duplicateValues" dxfId="2293" priority="7956"/>
    <cfRule type="duplicateValues" dxfId="2292" priority="7957"/>
    <cfRule type="duplicateValues" dxfId="2291" priority="7958"/>
    <cfRule type="duplicateValues" dxfId="2290" priority="7959"/>
    <cfRule type="duplicateValues" dxfId="2289" priority="7960"/>
    <cfRule type="duplicateValues" dxfId="2288" priority="7961"/>
    <cfRule type="duplicateValues" dxfId="2287" priority="7962"/>
  </conditionalFormatting>
  <conditionalFormatting sqref="I38 I9 I4:I5 I32:I34 I36 I42 I26:I27 I23:I24 I12">
    <cfRule type="duplicateValues" dxfId="2286" priority="11732"/>
    <cfRule type="duplicateValues" dxfId="2285" priority="11733"/>
    <cfRule type="duplicateValues" dxfId="2284" priority="11734"/>
    <cfRule type="duplicateValues" dxfId="2283" priority="11735"/>
    <cfRule type="duplicateValues" dxfId="2282" priority="11736"/>
    <cfRule type="duplicateValues" dxfId="2281" priority="11737"/>
    <cfRule type="duplicateValues" dxfId="2280" priority="11738"/>
    <cfRule type="duplicateValues" dxfId="2279" priority="11739"/>
  </conditionalFormatting>
  <conditionalFormatting sqref="J6">
    <cfRule type="duplicateValues" dxfId="2278" priority="22"/>
  </conditionalFormatting>
  <conditionalFormatting sqref="J9">
    <cfRule type="duplicateValues" dxfId="2277" priority="717"/>
    <cfRule type="duplicateValues" dxfId="2276" priority="718"/>
    <cfRule type="duplicateValues" dxfId="2275" priority="719"/>
    <cfRule type="duplicateValues" dxfId="2274" priority="720"/>
    <cfRule type="duplicateValues" dxfId="2273" priority="721"/>
    <cfRule type="duplicateValues" dxfId="2272" priority="722"/>
    <cfRule type="duplicateValues" dxfId="2271" priority="723"/>
    <cfRule type="duplicateValues" dxfId="2270" priority="724"/>
    <cfRule type="duplicateValues" dxfId="2269" priority="725"/>
  </conditionalFormatting>
  <conditionalFormatting sqref="J10">
    <cfRule type="duplicateValues" dxfId="2268" priority="681"/>
    <cfRule type="duplicateValues" dxfId="2267" priority="682"/>
    <cfRule type="duplicateValues" dxfId="2266" priority="692"/>
    <cfRule type="duplicateValues" dxfId="2265" priority="693"/>
    <cfRule type="duplicateValues" dxfId="2264" priority="694"/>
    <cfRule type="duplicateValues" dxfId="2263" priority="695"/>
    <cfRule type="duplicateValues" dxfId="2262" priority="697"/>
    <cfRule type="duplicateValues" dxfId="2261" priority="698"/>
  </conditionalFormatting>
  <conditionalFormatting sqref="J13">
    <cfRule type="duplicateValues" dxfId="2260" priority="58"/>
    <cfRule type="duplicateValues" dxfId="2259" priority="59"/>
  </conditionalFormatting>
  <conditionalFormatting sqref="J14 J17 J20">
    <cfRule type="duplicateValues" dxfId="2258" priority="9246"/>
    <cfRule type="duplicateValues" dxfId="2257" priority="9247"/>
  </conditionalFormatting>
  <conditionalFormatting sqref="J15 J11 J18 J7:J8">
    <cfRule type="duplicateValues" dxfId="2256" priority="13460"/>
    <cfRule type="duplicateValues" dxfId="2255" priority="13461"/>
  </conditionalFormatting>
  <conditionalFormatting sqref="J15 J18 J7:J8">
    <cfRule type="duplicateValues" dxfId="2254" priority="13470"/>
    <cfRule type="duplicateValues" dxfId="2253" priority="13471"/>
  </conditionalFormatting>
  <conditionalFormatting sqref="J16">
    <cfRule type="duplicateValues" dxfId="2252" priority="688"/>
    <cfRule type="duplicateValues" dxfId="2251" priority="689"/>
    <cfRule type="duplicateValues" dxfId="2250" priority="690"/>
  </conditionalFormatting>
  <conditionalFormatting sqref="J19">
    <cfRule type="duplicateValues" dxfId="2249" priority="63"/>
    <cfRule type="duplicateValues" dxfId="2248" priority="64"/>
  </conditionalFormatting>
  <conditionalFormatting sqref="J22">
    <cfRule type="duplicateValues" dxfId="2247" priority="70"/>
    <cfRule type="duplicateValues" dxfId="2246" priority="71"/>
    <cfRule type="duplicateValues" dxfId="2245" priority="72"/>
  </conditionalFormatting>
  <conditionalFormatting sqref="J23">
    <cfRule type="duplicateValues" dxfId="2244" priority="708"/>
    <cfRule type="duplicateValues" dxfId="2243" priority="709"/>
    <cfRule type="duplicateValues" dxfId="2242" priority="710"/>
    <cfRule type="duplicateValues" dxfId="2241" priority="711"/>
    <cfRule type="duplicateValues" dxfId="2240" priority="712"/>
    <cfRule type="duplicateValues" dxfId="2239" priority="713"/>
    <cfRule type="duplicateValues" dxfId="2238" priority="714"/>
    <cfRule type="duplicateValues" dxfId="2237" priority="715"/>
    <cfRule type="duplicateValues" dxfId="2236" priority="716"/>
  </conditionalFormatting>
  <conditionalFormatting sqref="J25 J40">
    <cfRule type="duplicateValues" dxfId="2235" priority="700"/>
  </conditionalFormatting>
  <conditionalFormatting sqref="J25 J40:J41">
    <cfRule type="duplicateValues" dxfId="2234" priority="728"/>
  </conditionalFormatting>
  <conditionalFormatting sqref="J25">
    <cfRule type="duplicateValues" dxfId="2233" priority="677"/>
    <cfRule type="duplicateValues" dxfId="2232" priority="678"/>
    <cfRule type="duplicateValues" dxfId="2231" priority="679"/>
    <cfRule type="duplicateValues" dxfId="2230" priority="701"/>
    <cfRule type="duplicateValues" dxfId="2229" priority="702"/>
    <cfRule type="duplicateValues" dxfId="2228" priority="703"/>
  </conditionalFormatting>
  <conditionalFormatting sqref="J28">
    <cfRule type="duplicateValues" dxfId="2227" priority="506"/>
    <cfRule type="duplicateValues" dxfId="2226" priority="507"/>
    <cfRule type="duplicateValues" dxfId="2225" priority="508"/>
    <cfRule type="duplicateValues" dxfId="2224" priority="509"/>
    <cfRule type="duplicateValues" dxfId="2223" priority="510"/>
    <cfRule type="duplicateValues" dxfId="2222" priority="511"/>
    <cfRule type="duplicateValues" dxfId="2221" priority="512"/>
    <cfRule type="duplicateValues" dxfId="2220" priority="513"/>
    <cfRule type="duplicateValues" dxfId="2219" priority="514"/>
  </conditionalFormatting>
  <conditionalFormatting sqref="J29">
    <cfRule type="duplicateValues" dxfId="2218" priority="691"/>
    <cfRule type="duplicateValues" dxfId="2217" priority="696"/>
    <cfRule type="duplicateValues" dxfId="2216" priority="706"/>
    <cfRule type="duplicateValues" dxfId="2215" priority="707"/>
  </conditionalFormatting>
  <conditionalFormatting sqref="J30 J35">
    <cfRule type="duplicateValues" dxfId="2214" priority="705"/>
  </conditionalFormatting>
  <conditionalFormatting sqref="J30">
    <cfRule type="duplicateValues" dxfId="2213" priority="680"/>
  </conditionalFormatting>
  <conditionalFormatting sqref="J31">
    <cfRule type="duplicateValues" dxfId="2212" priority="683"/>
    <cfRule type="duplicateValues" dxfId="2211" priority="684"/>
    <cfRule type="duplicateValues" dxfId="2210" priority="685"/>
    <cfRule type="duplicateValues" dxfId="2209" priority="686"/>
    <cfRule type="duplicateValues" dxfId="2208" priority="687"/>
    <cfRule type="duplicateValues" dxfId="2207" priority="699"/>
  </conditionalFormatting>
  <conditionalFormatting sqref="J37">
    <cfRule type="containsText" dxfId="2206" priority="15" operator="containsText" text="TBA">
      <formula>NOT(ISERROR(SEARCH("TBA",J37)))</formula>
    </cfRule>
  </conditionalFormatting>
  <conditionalFormatting sqref="K14">
    <cfRule type="duplicateValues" dxfId="2205" priority="40"/>
    <cfRule type="duplicateValues" dxfId="2204" priority="41"/>
    <cfRule type="containsText" dxfId="2203" priority="47" operator="containsText" text="TBA">
      <formula>NOT(ISERROR(SEARCH("TBA",K14)))</formula>
    </cfRule>
  </conditionalFormatting>
  <conditionalFormatting sqref="K19">
    <cfRule type="duplicateValues" dxfId="2202" priority="42"/>
    <cfRule type="duplicateValues" dxfId="2201" priority="43"/>
    <cfRule type="duplicateValues" dxfId="2200" priority="44"/>
    <cfRule type="duplicateValues" dxfId="2199" priority="45"/>
  </conditionalFormatting>
  <conditionalFormatting sqref="K28">
    <cfRule type="duplicateValues" dxfId="2198" priority="515"/>
    <cfRule type="duplicateValues" dxfId="2197" priority="516"/>
    <cfRule type="duplicateValues" dxfId="2196" priority="517"/>
    <cfRule type="duplicateValues" dxfId="2195" priority="518"/>
    <cfRule type="duplicateValues" dxfId="2194" priority="519"/>
    <cfRule type="duplicateValues" dxfId="2193" priority="520"/>
    <cfRule type="duplicateValues" dxfId="2192" priority="521"/>
    <cfRule type="duplicateValues" dxfId="2191" priority="522"/>
  </conditionalFormatting>
  <pageMargins left="0.7" right="0.7" top="0.75" bottom="0.75" header="0.3" footer="0.3"/>
  <pageSetup orientation="portrait" r:id="rId1"/>
  <ignoredErrors>
    <ignoredError sqref="J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AF610-8F00-43E1-8C5A-119E3AB79D28}">
  <dimension ref="A1:AF39"/>
  <sheetViews>
    <sheetView topLeftCell="I1" zoomScaleNormal="100" workbookViewId="0">
      <selection activeCell="L17" sqref="L17"/>
    </sheetView>
  </sheetViews>
  <sheetFormatPr defaultColWidth="7.7109375" defaultRowHeight="12.75"/>
  <cols>
    <col min="1" max="1" width="6.28515625" style="2" customWidth="1"/>
    <col min="2" max="2" width="7" style="2" bestFit="1" customWidth="1"/>
    <col min="3" max="3" width="20.140625" style="2" bestFit="1" customWidth="1"/>
    <col min="4" max="4" width="9.85546875" style="2" bestFit="1" customWidth="1"/>
    <col min="5" max="5" width="15.140625" style="2" customWidth="1"/>
    <col min="6" max="6" width="8.85546875" style="2" bestFit="1" customWidth="1"/>
    <col min="7" max="7" width="9.140625" style="2" customWidth="1"/>
    <col min="8" max="8" width="7.42578125" style="2" customWidth="1"/>
    <col min="9" max="9" width="29" style="2" bestFit="1" customWidth="1"/>
    <col min="10" max="10" width="15.85546875" style="2" bestFit="1" customWidth="1"/>
    <col min="11" max="11" width="11.7109375" style="2" customWidth="1"/>
    <col min="12" max="12" width="9.140625" style="2" customWidth="1"/>
    <col min="13" max="13" width="14.42578125" style="2" customWidth="1"/>
    <col min="14" max="14" width="15.85546875" style="29" customWidth="1"/>
    <col min="15" max="15" width="15.85546875" style="2" bestFit="1" customWidth="1"/>
    <col min="16" max="16" width="9.140625" style="2" bestFit="1" customWidth="1"/>
    <col min="17" max="17" width="11.140625" style="59" bestFit="1" customWidth="1"/>
    <col min="18" max="18" width="11.7109375" style="59" bestFit="1" customWidth="1"/>
    <col min="19" max="19" width="14.140625" style="59" bestFit="1" customWidth="1"/>
    <col min="20" max="20" width="9.85546875" style="2" bestFit="1" customWidth="1"/>
    <col min="21" max="21" width="11.140625" style="59" bestFit="1" customWidth="1"/>
    <col min="22" max="22" width="12.85546875" style="59" bestFit="1" customWidth="1"/>
    <col min="23" max="23" width="11.140625" style="59" bestFit="1" customWidth="1"/>
    <col min="24" max="24" width="12.85546875" style="59" bestFit="1" customWidth="1"/>
    <col min="25" max="25" width="11.140625" style="59" bestFit="1" customWidth="1"/>
    <col min="26" max="26" width="12.85546875" style="59" bestFit="1" customWidth="1"/>
    <col min="27" max="27" width="11.140625" style="59" bestFit="1" customWidth="1"/>
    <col min="28" max="28" width="12.85546875" style="59" bestFit="1" customWidth="1"/>
    <col min="29" max="29" width="18.85546875" style="59" bestFit="1" customWidth="1"/>
    <col min="30" max="30" width="13.85546875" style="59" bestFit="1" customWidth="1"/>
    <col min="31" max="31" width="9.85546875" style="2" bestFit="1" customWidth="1"/>
    <col min="32" max="32" width="10" style="2" bestFit="1" customWidth="1"/>
    <col min="33" max="16384" width="7.7109375" style="2"/>
  </cols>
  <sheetData>
    <row r="1" spans="1:32" s="1" customFormat="1">
      <c r="A1" s="9" t="s">
        <v>0</v>
      </c>
      <c r="B1" s="10"/>
      <c r="C1" s="10"/>
      <c r="D1" s="10"/>
      <c r="E1" s="10"/>
      <c r="F1" s="11"/>
      <c r="G1" s="10"/>
      <c r="H1" s="10"/>
      <c r="I1" s="10"/>
      <c r="J1" s="10"/>
      <c r="K1" s="10"/>
      <c r="L1" s="13">
        <f>SUM(L4:L30)</f>
        <v>901396</v>
      </c>
      <c r="M1" s="13">
        <f>SUM(M4:M30)</f>
        <v>903</v>
      </c>
      <c r="N1" s="10"/>
      <c r="O1" s="10"/>
      <c r="P1" s="10"/>
      <c r="Q1" s="55"/>
      <c r="R1" s="55"/>
      <c r="S1" s="55"/>
      <c r="T1" s="10"/>
      <c r="U1" s="55"/>
      <c r="V1" s="55"/>
      <c r="W1" s="55"/>
      <c r="X1" s="55"/>
      <c r="Y1" s="55"/>
      <c r="Z1" s="55"/>
      <c r="AA1" s="55"/>
      <c r="AB1" s="55"/>
      <c r="AC1" s="55"/>
      <c r="AD1" s="55"/>
      <c r="AE1" s="10"/>
      <c r="AF1" s="14"/>
    </row>
    <row r="2" spans="1:32" ht="16.5" customHeight="1">
      <c r="A2" s="84" t="s">
        <v>1</v>
      </c>
      <c r="B2" s="84" t="s">
        <v>2</v>
      </c>
      <c r="C2" s="84" t="s">
        <v>3</v>
      </c>
      <c r="D2" s="84" t="s">
        <v>4</v>
      </c>
      <c r="E2" s="84" t="s">
        <v>5</v>
      </c>
      <c r="F2" s="84" t="s">
        <v>6</v>
      </c>
      <c r="G2" s="84" t="s">
        <v>7</v>
      </c>
      <c r="H2" s="84" t="s">
        <v>8</v>
      </c>
      <c r="I2" s="86" t="s">
        <v>31</v>
      </c>
      <c r="J2" s="87"/>
      <c r="K2" s="84" t="s">
        <v>9</v>
      </c>
      <c r="L2" s="84" t="s">
        <v>10</v>
      </c>
      <c r="M2" s="84" t="s">
        <v>32</v>
      </c>
      <c r="N2" s="84" t="s">
        <v>11</v>
      </c>
      <c r="O2" s="84" t="s">
        <v>12</v>
      </c>
      <c r="P2" s="18" t="s">
        <v>13</v>
      </c>
      <c r="Q2" s="81" t="s">
        <v>14</v>
      </c>
      <c r="R2" s="81"/>
      <c r="S2" s="81"/>
      <c r="T2" s="81"/>
      <c r="U2" s="238" t="s">
        <v>15</v>
      </c>
      <c r="V2" s="238"/>
      <c r="W2" s="238" t="s">
        <v>16</v>
      </c>
      <c r="X2" s="238"/>
      <c r="Y2" s="238" t="s">
        <v>17</v>
      </c>
      <c r="Z2" s="238"/>
      <c r="AA2" s="238" t="s">
        <v>18</v>
      </c>
      <c r="AB2" s="238"/>
      <c r="AC2" s="232" t="s">
        <v>19</v>
      </c>
      <c r="AD2" s="232"/>
      <c r="AE2" s="232"/>
      <c r="AF2" s="236" t="s">
        <v>28</v>
      </c>
    </row>
    <row r="3" spans="1:32">
      <c r="A3" s="85"/>
      <c r="B3" s="85"/>
      <c r="C3" s="85"/>
      <c r="D3" s="85"/>
      <c r="E3" s="85"/>
      <c r="F3" s="85"/>
      <c r="G3" s="85"/>
      <c r="H3" s="85"/>
      <c r="I3" s="17" t="s">
        <v>20</v>
      </c>
      <c r="J3" s="17" t="s">
        <v>30</v>
      </c>
      <c r="K3" s="85"/>
      <c r="L3" s="85"/>
      <c r="M3" s="85"/>
      <c r="N3" s="85"/>
      <c r="O3" s="83"/>
      <c r="P3" s="18" t="s">
        <v>21</v>
      </c>
      <c r="Q3" s="56" t="s">
        <v>22</v>
      </c>
      <c r="R3" s="56" t="s">
        <v>23</v>
      </c>
      <c r="S3" s="56" t="s">
        <v>24</v>
      </c>
      <c r="T3" s="19" t="s">
        <v>25</v>
      </c>
      <c r="U3" s="57" t="s">
        <v>22</v>
      </c>
      <c r="V3" s="57" t="s">
        <v>26</v>
      </c>
      <c r="W3" s="57" t="s">
        <v>22</v>
      </c>
      <c r="X3" s="57" t="s">
        <v>26</v>
      </c>
      <c r="Y3" s="57" t="s">
        <v>22</v>
      </c>
      <c r="Z3" s="57" t="s">
        <v>26</v>
      </c>
      <c r="AA3" s="57" t="s">
        <v>22</v>
      </c>
      <c r="AB3" s="57" t="s">
        <v>26</v>
      </c>
      <c r="AC3" s="58" t="s">
        <v>19</v>
      </c>
      <c r="AD3" s="57" t="s">
        <v>27</v>
      </c>
      <c r="AE3" s="22" t="s">
        <v>25</v>
      </c>
      <c r="AF3" s="237"/>
    </row>
    <row r="4" spans="1:32" ht="15">
      <c r="A4" s="32">
        <f t="shared" ref="A4:A36" si="0">ROW()-3</f>
        <v>1</v>
      </c>
      <c r="B4" s="23" t="s">
        <v>204</v>
      </c>
      <c r="C4" s="3" t="s">
        <v>384</v>
      </c>
      <c r="D4" s="3" t="s">
        <v>29</v>
      </c>
      <c r="E4" s="3" t="s">
        <v>936</v>
      </c>
      <c r="F4" s="5" t="s">
        <v>840</v>
      </c>
      <c r="G4" s="5" t="s">
        <v>844</v>
      </c>
      <c r="H4" s="3"/>
      <c r="I4" s="77" t="s">
        <v>848</v>
      </c>
      <c r="J4" s="3" t="s">
        <v>41</v>
      </c>
      <c r="K4" s="78" t="s">
        <v>836</v>
      </c>
      <c r="L4" s="3">
        <v>36809</v>
      </c>
      <c r="M4" s="3">
        <v>37</v>
      </c>
      <c r="N4" s="3" t="s">
        <v>27</v>
      </c>
      <c r="O4" s="80" t="s">
        <v>687</v>
      </c>
      <c r="P4" s="79">
        <v>45806</v>
      </c>
      <c r="Q4" s="66">
        <v>45806</v>
      </c>
      <c r="R4" s="66">
        <v>45807</v>
      </c>
      <c r="S4" s="66">
        <v>45816</v>
      </c>
      <c r="T4" s="54">
        <f>MAX(0,S4-Q4)</f>
        <v>10</v>
      </c>
      <c r="U4" s="66">
        <v>45819</v>
      </c>
      <c r="V4" s="66">
        <v>45821</v>
      </c>
      <c r="W4" s="66">
        <v>45821</v>
      </c>
      <c r="X4" s="66">
        <v>45824</v>
      </c>
      <c r="Y4" s="66">
        <v>45833</v>
      </c>
      <c r="Z4" s="66">
        <v>45840</v>
      </c>
      <c r="AA4" s="66">
        <v>45841</v>
      </c>
      <c r="AB4" s="66">
        <v>45842</v>
      </c>
      <c r="AC4" s="66">
        <v>45847</v>
      </c>
      <c r="AD4" s="66">
        <v>45852</v>
      </c>
      <c r="AE4" s="54">
        <f>MAX(0,AD4-AB4)</f>
        <v>10</v>
      </c>
      <c r="AF4" s="16"/>
    </row>
    <row r="5" spans="1:32" ht="15">
      <c r="A5" s="32">
        <f t="shared" si="0"/>
        <v>2</v>
      </c>
      <c r="B5" s="23" t="s">
        <v>204</v>
      </c>
      <c r="C5" s="3" t="s">
        <v>384</v>
      </c>
      <c r="D5" s="3" t="s">
        <v>29</v>
      </c>
      <c r="E5" s="3" t="s">
        <v>924</v>
      </c>
      <c r="F5" s="5" t="s">
        <v>791</v>
      </c>
      <c r="G5" s="5" t="s">
        <v>792</v>
      </c>
      <c r="H5" s="3"/>
      <c r="I5" s="77" t="s">
        <v>814</v>
      </c>
      <c r="J5" s="3" t="s">
        <v>41</v>
      </c>
      <c r="K5" s="78" t="s">
        <v>825</v>
      </c>
      <c r="L5" s="3">
        <v>37144</v>
      </c>
      <c r="M5" s="3">
        <v>37</v>
      </c>
      <c r="N5" s="3" t="s">
        <v>27</v>
      </c>
      <c r="O5" s="80" t="s">
        <v>687</v>
      </c>
      <c r="P5" s="79">
        <v>45806</v>
      </c>
      <c r="Q5" s="66">
        <v>45806</v>
      </c>
      <c r="R5" s="66">
        <v>45807</v>
      </c>
      <c r="S5" s="66">
        <v>45816</v>
      </c>
      <c r="T5" s="54">
        <f>MAX(0,S5-Q5)</f>
        <v>10</v>
      </c>
      <c r="U5" s="66">
        <v>45819</v>
      </c>
      <c r="V5" s="66">
        <v>45821</v>
      </c>
      <c r="W5" s="66">
        <v>45821</v>
      </c>
      <c r="X5" s="66">
        <v>45824</v>
      </c>
      <c r="Y5" s="66">
        <v>45831</v>
      </c>
      <c r="Z5" s="66">
        <v>45838</v>
      </c>
      <c r="AA5" s="66">
        <v>45838</v>
      </c>
      <c r="AB5" s="66">
        <v>45842</v>
      </c>
      <c r="AC5" s="66">
        <v>45847</v>
      </c>
      <c r="AD5" s="66">
        <v>45852</v>
      </c>
      <c r="AE5" s="54">
        <f>MAX(0,AD5-AB5)</f>
        <v>10</v>
      </c>
      <c r="AF5" s="16"/>
    </row>
    <row r="6" spans="1:32" ht="15">
      <c r="A6" s="32">
        <f t="shared" si="0"/>
        <v>3</v>
      </c>
      <c r="B6" s="23" t="s">
        <v>204</v>
      </c>
      <c r="C6" s="3" t="s">
        <v>384</v>
      </c>
      <c r="D6" s="3" t="s">
        <v>29</v>
      </c>
      <c r="E6" s="3" t="s">
        <v>923</v>
      </c>
      <c r="F6" s="5" t="s">
        <v>789</v>
      </c>
      <c r="G6" s="5" t="s">
        <v>790</v>
      </c>
      <c r="H6" s="3"/>
      <c r="I6" s="77" t="s">
        <v>813</v>
      </c>
      <c r="J6" s="3" t="s">
        <v>41</v>
      </c>
      <c r="K6" s="78" t="s">
        <v>824</v>
      </c>
      <c r="L6" s="3">
        <v>36617</v>
      </c>
      <c r="M6" s="3">
        <v>37</v>
      </c>
      <c r="N6" s="3" t="s">
        <v>27</v>
      </c>
      <c r="O6" s="80" t="s">
        <v>687</v>
      </c>
      <c r="P6" s="79">
        <v>45806</v>
      </c>
      <c r="Q6" s="66">
        <v>45806</v>
      </c>
      <c r="R6" s="66">
        <v>45807</v>
      </c>
      <c r="S6" s="66">
        <v>45816</v>
      </c>
      <c r="T6" s="54">
        <f>MAX(0,S6-Q6)</f>
        <v>10</v>
      </c>
      <c r="U6" s="66">
        <v>45819</v>
      </c>
      <c r="V6" s="66">
        <v>45821</v>
      </c>
      <c r="W6" s="66">
        <v>45821</v>
      </c>
      <c r="X6" s="66">
        <v>45824</v>
      </c>
      <c r="Y6" s="66">
        <v>45832</v>
      </c>
      <c r="Z6" s="66">
        <v>45837</v>
      </c>
      <c r="AA6" s="66">
        <v>45837</v>
      </c>
      <c r="AB6" s="66">
        <v>45844</v>
      </c>
      <c r="AC6" s="66">
        <v>45848</v>
      </c>
      <c r="AD6" s="66">
        <v>12</v>
      </c>
      <c r="AE6" s="54">
        <f>MAX(0,AD6-AB6)</f>
        <v>0</v>
      </c>
      <c r="AF6" s="16"/>
    </row>
    <row r="7" spans="1:32" ht="15">
      <c r="A7" s="32">
        <f t="shared" si="0"/>
        <v>4</v>
      </c>
      <c r="B7" s="23" t="s">
        <v>204</v>
      </c>
      <c r="C7" s="3" t="s">
        <v>384</v>
      </c>
      <c r="D7" s="3" t="s">
        <v>29</v>
      </c>
      <c r="E7" s="3" t="s">
        <v>928</v>
      </c>
      <c r="F7" s="5" t="s">
        <v>799</v>
      </c>
      <c r="G7" s="5" t="s">
        <v>800</v>
      </c>
      <c r="H7" s="3"/>
      <c r="I7" s="77" t="s">
        <v>818</v>
      </c>
      <c r="J7" s="3" t="s">
        <v>41</v>
      </c>
      <c r="K7" s="78" t="s">
        <v>829</v>
      </c>
      <c r="L7" s="3">
        <v>37339</v>
      </c>
      <c r="M7" s="3">
        <v>37</v>
      </c>
      <c r="N7" s="3" t="s">
        <v>27</v>
      </c>
      <c r="O7" s="80" t="s">
        <v>687</v>
      </c>
      <c r="P7" s="79">
        <v>45806</v>
      </c>
      <c r="Q7" s="66">
        <v>45806</v>
      </c>
      <c r="R7" s="66">
        <v>45807</v>
      </c>
      <c r="S7" s="66">
        <v>45816</v>
      </c>
      <c r="T7" s="54">
        <f>MAX(0,S7-Q7)</f>
        <v>10</v>
      </c>
      <c r="U7" s="66">
        <v>45824</v>
      </c>
      <c r="V7" s="66">
        <v>45826</v>
      </c>
      <c r="W7" s="66">
        <v>45826</v>
      </c>
      <c r="X7" s="66">
        <v>45827</v>
      </c>
      <c r="Y7" s="66">
        <v>45830</v>
      </c>
      <c r="Z7" s="66">
        <v>45832</v>
      </c>
      <c r="AA7" s="66">
        <v>45832</v>
      </c>
      <c r="AB7" s="66">
        <v>45833</v>
      </c>
      <c r="AC7" s="66">
        <v>45836</v>
      </c>
      <c r="AD7" s="66">
        <v>45840</v>
      </c>
      <c r="AE7" s="54">
        <f>MAX(0,AD7-AB7)</f>
        <v>7</v>
      </c>
      <c r="AF7" s="16"/>
    </row>
    <row r="8" spans="1:32" ht="15">
      <c r="A8" s="32">
        <f t="shared" si="0"/>
        <v>5</v>
      </c>
      <c r="B8" s="23" t="s">
        <v>204</v>
      </c>
      <c r="C8" s="3" t="s">
        <v>384</v>
      </c>
      <c r="D8" s="3" t="s">
        <v>29</v>
      </c>
      <c r="E8" s="3" t="s">
        <v>932</v>
      </c>
      <c r="F8" s="5" t="s">
        <v>808</v>
      </c>
      <c r="G8" s="5" t="s">
        <v>809</v>
      </c>
      <c r="H8" s="3" t="s">
        <v>810</v>
      </c>
      <c r="I8" s="77" t="s">
        <v>822</v>
      </c>
      <c r="J8" s="3" t="s">
        <v>41</v>
      </c>
      <c r="K8" s="78" t="s">
        <v>833</v>
      </c>
      <c r="L8" s="3">
        <v>35702</v>
      </c>
      <c r="M8" s="3">
        <v>36</v>
      </c>
      <c r="N8" s="3" t="s">
        <v>27</v>
      </c>
      <c r="O8" s="80" t="s">
        <v>687</v>
      </c>
      <c r="P8" s="79">
        <v>45806</v>
      </c>
      <c r="Q8" s="66">
        <v>45806</v>
      </c>
      <c r="R8" s="66">
        <v>45807</v>
      </c>
      <c r="S8" s="66">
        <v>45816</v>
      </c>
      <c r="T8" s="54">
        <f t="shared" ref="T8:T13" si="1">MAX(0,S8-Q8)</f>
        <v>10</v>
      </c>
      <c r="U8" s="66">
        <v>45824</v>
      </c>
      <c r="V8" s="66">
        <v>45826</v>
      </c>
      <c r="W8" s="66">
        <v>45826</v>
      </c>
      <c r="X8" s="66">
        <v>45827</v>
      </c>
      <c r="Y8" s="66">
        <v>45830</v>
      </c>
      <c r="Z8" s="66">
        <v>45832</v>
      </c>
      <c r="AA8" s="66">
        <v>45832</v>
      </c>
      <c r="AB8" s="66">
        <v>45833</v>
      </c>
      <c r="AC8" s="66">
        <v>45835</v>
      </c>
      <c r="AD8" s="66">
        <v>45840</v>
      </c>
      <c r="AE8" s="54">
        <f t="shared" ref="AE8:AE13" si="2">MAX(0,AD8-AB8)</f>
        <v>7</v>
      </c>
      <c r="AF8" s="16"/>
    </row>
    <row r="9" spans="1:32" ht="15">
      <c r="A9" s="32">
        <f t="shared" si="0"/>
        <v>6</v>
      </c>
      <c r="B9" s="23" t="s">
        <v>204</v>
      </c>
      <c r="C9" s="3" t="s">
        <v>384</v>
      </c>
      <c r="D9" s="3" t="s">
        <v>29</v>
      </c>
      <c r="E9" s="3" t="s">
        <v>933</v>
      </c>
      <c r="F9" s="5" t="s">
        <v>839</v>
      </c>
      <c r="G9" s="5" t="s">
        <v>843</v>
      </c>
      <c r="H9" s="3"/>
      <c r="I9" s="77" t="s">
        <v>847</v>
      </c>
      <c r="J9" s="3" t="s">
        <v>41</v>
      </c>
      <c r="K9" s="78" t="s">
        <v>835</v>
      </c>
      <c r="L9" s="3">
        <v>36889</v>
      </c>
      <c r="M9" s="3">
        <v>37</v>
      </c>
      <c r="N9" s="3" t="s">
        <v>27</v>
      </c>
      <c r="O9" s="80" t="s">
        <v>687</v>
      </c>
      <c r="P9" s="79">
        <v>45806</v>
      </c>
      <c r="Q9" s="66">
        <v>45806</v>
      </c>
      <c r="R9" s="66">
        <v>45807</v>
      </c>
      <c r="S9" s="66">
        <v>45816</v>
      </c>
      <c r="T9" s="54">
        <f t="shared" si="1"/>
        <v>10</v>
      </c>
      <c r="U9" s="66">
        <v>45819</v>
      </c>
      <c r="V9" s="66">
        <v>45821</v>
      </c>
      <c r="W9" s="66">
        <v>45821</v>
      </c>
      <c r="X9" s="66">
        <v>45823</v>
      </c>
      <c r="Y9" s="66">
        <v>45826</v>
      </c>
      <c r="Z9" s="66">
        <v>45830</v>
      </c>
      <c r="AA9" s="66">
        <v>45830</v>
      </c>
      <c r="AB9" s="66">
        <v>45831</v>
      </c>
      <c r="AC9" s="66">
        <v>45834</v>
      </c>
      <c r="AD9" s="66">
        <v>45840</v>
      </c>
      <c r="AE9" s="54">
        <f t="shared" si="2"/>
        <v>9</v>
      </c>
      <c r="AF9" s="16"/>
    </row>
    <row r="10" spans="1:32" s="49" customFormat="1" ht="15">
      <c r="A10" s="32">
        <f t="shared" ref="A10:A30" si="3">ROW()-3</f>
        <v>7</v>
      </c>
      <c r="B10" s="23" t="s">
        <v>204</v>
      </c>
      <c r="C10" s="3" t="s">
        <v>384</v>
      </c>
      <c r="D10" s="3" t="s">
        <v>29</v>
      </c>
      <c r="E10" s="3" t="s">
        <v>952</v>
      </c>
      <c r="F10" s="5" t="s">
        <v>897</v>
      </c>
      <c r="G10" s="5" t="s">
        <v>898</v>
      </c>
      <c r="H10" s="3"/>
      <c r="I10" s="78" t="s">
        <v>874</v>
      </c>
      <c r="J10" s="3" t="s">
        <v>41</v>
      </c>
      <c r="K10" s="78" t="s">
        <v>858</v>
      </c>
      <c r="L10" s="3">
        <v>30540</v>
      </c>
      <c r="M10" s="77">
        <v>30</v>
      </c>
      <c r="N10" s="3" t="s">
        <v>27</v>
      </c>
      <c r="O10" s="80" t="s">
        <v>687</v>
      </c>
      <c r="P10" s="79">
        <v>30</v>
      </c>
      <c r="Q10" s="66">
        <v>45807</v>
      </c>
      <c r="R10" s="66">
        <v>45810</v>
      </c>
      <c r="S10" s="66">
        <v>45816</v>
      </c>
      <c r="T10" s="54">
        <f>MAX(0,S10-Q10)</f>
        <v>9</v>
      </c>
      <c r="U10" s="66">
        <v>45818</v>
      </c>
      <c r="V10" s="66">
        <v>45820</v>
      </c>
      <c r="W10" s="66">
        <v>45820</v>
      </c>
      <c r="X10" s="66">
        <v>45791</v>
      </c>
      <c r="Y10" s="66">
        <v>45825</v>
      </c>
      <c r="Z10" s="66">
        <v>45827</v>
      </c>
      <c r="AA10" s="66">
        <v>45827</v>
      </c>
      <c r="AB10" s="66">
        <v>45828</v>
      </c>
      <c r="AC10" s="66">
        <v>45832</v>
      </c>
      <c r="AD10" s="66">
        <v>45839</v>
      </c>
      <c r="AE10" s="54">
        <f>MAX(0,AD10-AB10)</f>
        <v>11</v>
      </c>
      <c r="AF10" s="16"/>
    </row>
    <row r="11" spans="1:32" ht="15">
      <c r="A11" s="32">
        <f t="shared" si="0"/>
        <v>8</v>
      </c>
      <c r="B11" s="23" t="s">
        <v>204</v>
      </c>
      <c r="C11" s="3" t="s">
        <v>384</v>
      </c>
      <c r="D11" s="3" t="s">
        <v>29</v>
      </c>
      <c r="E11" s="3" t="s">
        <v>929</v>
      </c>
      <c r="F11" s="5" t="s">
        <v>801</v>
      </c>
      <c r="G11" s="5" t="s">
        <v>802</v>
      </c>
      <c r="H11" s="3"/>
      <c r="I11" s="77" t="s">
        <v>819</v>
      </c>
      <c r="J11" s="3" t="s">
        <v>41</v>
      </c>
      <c r="K11" s="78" t="s">
        <v>830</v>
      </c>
      <c r="L11" s="3">
        <v>36988</v>
      </c>
      <c r="M11" s="3">
        <v>37</v>
      </c>
      <c r="N11" s="3" t="s">
        <v>27</v>
      </c>
      <c r="O11" s="80" t="s">
        <v>687</v>
      </c>
      <c r="P11" s="79">
        <v>45806</v>
      </c>
      <c r="Q11" s="66">
        <v>45806</v>
      </c>
      <c r="R11" s="66">
        <v>45807</v>
      </c>
      <c r="S11" s="66">
        <v>45816</v>
      </c>
      <c r="T11" s="54">
        <f t="shared" si="1"/>
        <v>10</v>
      </c>
      <c r="U11" s="66">
        <v>45819</v>
      </c>
      <c r="V11" s="66">
        <v>45821</v>
      </c>
      <c r="W11" s="66">
        <v>45821</v>
      </c>
      <c r="X11" s="66">
        <v>45823</v>
      </c>
      <c r="Y11" s="66">
        <v>45825</v>
      </c>
      <c r="Z11" s="66">
        <v>45829</v>
      </c>
      <c r="AA11" s="66">
        <v>45829</v>
      </c>
      <c r="AB11" s="66">
        <v>45830</v>
      </c>
      <c r="AC11" s="66">
        <v>45833</v>
      </c>
      <c r="AD11" s="66">
        <v>45836</v>
      </c>
      <c r="AE11" s="54">
        <f t="shared" si="2"/>
        <v>6</v>
      </c>
      <c r="AF11" s="16"/>
    </row>
    <row r="12" spans="1:32" ht="15">
      <c r="A12" s="32">
        <f t="shared" si="0"/>
        <v>9</v>
      </c>
      <c r="B12" s="23" t="s">
        <v>204</v>
      </c>
      <c r="C12" s="3" t="s">
        <v>384</v>
      </c>
      <c r="D12" s="3" t="s">
        <v>29</v>
      </c>
      <c r="E12" s="3" t="s">
        <v>935</v>
      </c>
      <c r="F12" s="5" t="s">
        <v>842</v>
      </c>
      <c r="G12" s="5" t="s">
        <v>846</v>
      </c>
      <c r="H12" s="3"/>
      <c r="I12" s="77" t="s">
        <v>850</v>
      </c>
      <c r="J12" s="3" t="s">
        <v>41</v>
      </c>
      <c r="K12" s="78" t="s">
        <v>838</v>
      </c>
      <c r="L12" s="3">
        <v>32492</v>
      </c>
      <c r="M12" s="3">
        <v>32</v>
      </c>
      <c r="N12" s="3" t="s">
        <v>27</v>
      </c>
      <c r="O12" s="80" t="s">
        <v>687</v>
      </c>
      <c r="P12" s="79">
        <v>45806</v>
      </c>
      <c r="Q12" s="66">
        <v>45806</v>
      </c>
      <c r="R12" s="66">
        <v>45807</v>
      </c>
      <c r="S12" s="66">
        <v>45816</v>
      </c>
      <c r="T12" s="54">
        <f t="shared" si="1"/>
        <v>10</v>
      </c>
      <c r="U12" s="66">
        <v>45819</v>
      </c>
      <c r="V12" s="66">
        <v>45821</v>
      </c>
      <c r="W12" s="66">
        <v>45821</v>
      </c>
      <c r="X12" s="66">
        <v>45823</v>
      </c>
      <c r="Y12" s="66">
        <v>45825</v>
      </c>
      <c r="Z12" s="66">
        <v>45829</v>
      </c>
      <c r="AA12" s="66">
        <v>45829</v>
      </c>
      <c r="AB12" s="66">
        <v>45831</v>
      </c>
      <c r="AC12" s="66">
        <v>45834</v>
      </c>
      <c r="AD12" s="66">
        <v>45836</v>
      </c>
      <c r="AE12" s="54">
        <f t="shared" si="2"/>
        <v>5</v>
      </c>
      <c r="AF12" s="16"/>
    </row>
    <row r="13" spans="1:32" ht="15">
      <c r="A13" s="32">
        <f t="shared" si="0"/>
        <v>10</v>
      </c>
      <c r="B13" s="23" t="s">
        <v>204</v>
      </c>
      <c r="C13" s="3" t="s">
        <v>384</v>
      </c>
      <c r="D13" s="3" t="s">
        <v>29</v>
      </c>
      <c r="E13" s="3" t="s">
        <v>925</v>
      </c>
      <c r="F13" s="5" t="s">
        <v>793</v>
      </c>
      <c r="G13" s="5" t="s">
        <v>794</v>
      </c>
      <c r="H13" s="3"/>
      <c r="I13" s="77" t="s">
        <v>815</v>
      </c>
      <c r="J13" s="3" t="s">
        <v>41</v>
      </c>
      <c r="K13" s="78" t="s">
        <v>826</v>
      </c>
      <c r="L13" s="3">
        <v>36983</v>
      </c>
      <c r="M13" s="3">
        <v>37</v>
      </c>
      <c r="N13" s="3" t="s">
        <v>27</v>
      </c>
      <c r="O13" s="80" t="s">
        <v>687</v>
      </c>
      <c r="P13" s="79">
        <v>45806</v>
      </c>
      <c r="Q13" s="66">
        <v>45806</v>
      </c>
      <c r="R13" s="66">
        <v>45807</v>
      </c>
      <c r="S13" s="66">
        <v>45816</v>
      </c>
      <c r="T13" s="54">
        <f t="shared" si="1"/>
        <v>10</v>
      </c>
      <c r="U13" s="66">
        <v>45819</v>
      </c>
      <c r="V13" s="66">
        <v>45821</v>
      </c>
      <c r="W13" s="66">
        <v>45821</v>
      </c>
      <c r="X13" s="66">
        <v>45823</v>
      </c>
      <c r="Y13" s="66">
        <v>45825</v>
      </c>
      <c r="Z13" s="66">
        <v>45829</v>
      </c>
      <c r="AA13" s="66">
        <v>45829</v>
      </c>
      <c r="AB13" s="66">
        <v>45830</v>
      </c>
      <c r="AC13" s="66">
        <v>45832</v>
      </c>
      <c r="AD13" s="66">
        <v>45838</v>
      </c>
      <c r="AE13" s="54">
        <f t="shared" si="2"/>
        <v>8</v>
      </c>
      <c r="AF13" s="16"/>
    </row>
    <row r="14" spans="1:32" s="49" customFormat="1" ht="15">
      <c r="A14" s="32">
        <f t="shared" si="3"/>
        <v>11</v>
      </c>
      <c r="B14" s="23" t="s">
        <v>204</v>
      </c>
      <c r="C14" s="3" t="s">
        <v>384</v>
      </c>
      <c r="D14" s="3" t="s">
        <v>29</v>
      </c>
      <c r="E14" s="3" t="s">
        <v>943</v>
      </c>
      <c r="F14" s="5" t="s">
        <v>889</v>
      </c>
      <c r="G14" s="78" t="s">
        <v>890</v>
      </c>
      <c r="H14" s="3"/>
      <c r="I14" s="78" t="s">
        <v>870</v>
      </c>
      <c r="J14" s="3" t="s">
        <v>41</v>
      </c>
      <c r="K14" s="78" t="s">
        <v>854</v>
      </c>
      <c r="L14" s="3">
        <v>30192</v>
      </c>
      <c r="M14" s="77">
        <v>30</v>
      </c>
      <c r="N14" s="3" t="s">
        <v>27</v>
      </c>
      <c r="O14" s="80" t="s">
        <v>687</v>
      </c>
      <c r="P14" s="79">
        <v>45806</v>
      </c>
      <c r="Q14" s="66">
        <v>45806</v>
      </c>
      <c r="R14" s="66">
        <v>45807</v>
      </c>
      <c r="S14" s="66">
        <v>45816</v>
      </c>
      <c r="T14" s="54">
        <f t="shared" ref="T14:T24" si="4">MAX(0,S14-Q14)</f>
        <v>10</v>
      </c>
      <c r="U14" s="66">
        <v>45818</v>
      </c>
      <c r="V14" s="66">
        <v>45820</v>
      </c>
      <c r="W14" s="66">
        <v>45820</v>
      </c>
      <c r="X14" s="66">
        <v>45791</v>
      </c>
      <c r="Y14" s="66">
        <v>45825</v>
      </c>
      <c r="Z14" s="66">
        <v>45829</v>
      </c>
      <c r="AA14" s="66">
        <v>45829</v>
      </c>
      <c r="AB14" s="66">
        <v>45831</v>
      </c>
      <c r="AC14" s="66">
        <v>45833</v>
      </c>
      <c r="AD14" s="108">
        <v>45838</v>
      </c>
      <c r="AE14" s="54">
        <f t="shared" ref="AE14:AE24" si="5">MAX(0,AD14-AB14)</f>
        <v>7</v>
      </c>
      <c r="AF14" s="16"/>
    </row>
    <row r="15" spans="1:32" ht="15">
      <c r="A15" s="32">
        <f t="shared" si="3"/>
        <v>12</v>
      </c>
      <c r="B15" s="23" t="s">
        <v>204</v>
      </c>
      <c r="C15" s="3" t="s">
        <v>384</v>
      </c>
      <c r="D15" s="3" t="s">
        <v>29</v>
      </c>
      <c r="E15" s="3" t="s">
        <v>942</v>
      </c>
      <c r="F15" s="5" t="s">
        <v>893</v>
      </c>
      <c r="G15" s="78" t="s">
        <v>894</v>
      </c>
      <c r="H15" s="3"/>
      <c r="I15" s="78" t="s">
        <v>872</v>
      </c>
      <c r="J15" s="3" t="s">
        <v>41</v>
      </c>
      <c r="K15" s="78" t="s">
        <v>856</v>
      </c>
      <c r="L15" s="3">
        <v>30189</v>
      </c>
      <c r="M15" s="77">
        <v>30</v>
      </c>
      <c r="N15" s="3" t="s">
        <v>27</v>
      </c>
      <c r="O15" s="80" t="s">
        <v>687</v>
      </c>
      <c r="P15" s="79">
        <v>45806</v>
      </c>
      <c r="Q15" s="66">
        <v>45806</v>
      </c>
      <c r="R15" s="66">
        <v>45807</v>
      </c>
      <c r="S15" s="66">
        <v>45816</v>
      </c>
      <c r="T15" s="54">
        <f t="shared" si="4"/>
        <v>10</v>
      </c>
      <c r="U15" s="66">
        <v>45818</v>
      </c>
      <c r="V15" s="66">
        <v>45820</v>
      </c>
      <c r="W15" s="66">
        <v>45820</v>
      </c>
      <c r="X15" s="66">
        <v>45791</v>
      </c>
      <c r="Y15" s="66">
        <v>45825</v>
      </c>
      <c r="Z15" s="66">
        <v>45829</v>
      </c>
      <c r="AA15" s="66">
        <v>45829</v>
      </c>
      <c r="AB15" s="66">
        <v>45830</v>
      </c>
      <c r="AC15" s="66">
        <v>45831</v>
      </c>
      <c r="AD15" s="66">
        <v>45836</v>
      </c>
      <c r="AE15" s="54">
        <f t="shared" si="5"/>
        <v>6</v>
      </c>
      <c r="AF15" s="16"/>
    </row>
    <row r="16" spans="1:32" s="49" customFormat="1" ht="15">
      <c r="A16" s="32">
        <f t="shared" si="3"/>
        <v>13</v>
      </c>
      <c r="B16" s="23" t="s">
        <v>204</v>
      </c>
      <c r="C16" s="3" t="s">
        <v>384</v>
      </c>
      <c r="D16" s="3" t="s">
        <v>29</v>
      </c>
      <c r="E16" s="3" t="s">
        <v>955</v>
      </c>
      <c r="F16" s="5" t="s">
        <v>913</v>
      </c>
      <c r="G16" s="78" t="s">
        <v>914</v>
      </c>
      <c r="H16" s="39"/>
      <c r="I16" s="5" t="s">
        <v>882</v>
      </c>
      <c r="J16" s="3" t="s">
        <v>41</v>
      </c>
      <c r="K16" s="78" t="s">
        <v>866</v>
      </c>
      <c r="L16" s="3">
        <v>30696</v>
      </c>
      <c r="M16" s="77">
        <v>30</v>
      </c>
      <c r="N16" s="3" t="s">
        <v>27</v>
      </c>
      <c r="O16" s="80" t="s">
        <v>687</v>
      </c>
      <c r="P16" s="79">
        <v>30</v>
      </c>
      <c r="Q16" s="66">
        <v>45807</v>
      </c>
      <c r="R16" s="66">
        <v>45810</v>
      </c>
      <c r="S16" s="66">
        <v>45816</v>
      </c>
      <c r="T16" s="54">
        <f t="shared" si="4"/>
        <v>9</v>
      </c>
      <c r="U16" s="66">
        <v>45818</v>
      </c>
      <c r="V16" s="66">
        <v>45820</v>
      </c>
      <c r="W16" s="66">
        <v>45820</v>
      </c>
      <c r="X16" s="66">
        <v>45791</v>
      </c>
      <c r="Y16" s="66">
        <v>45825</v>
      </c>
      <c r="Z16" s="66">
        <v>45829</v>
      </c>
      <c r="AA16" s="66">
        <v>45829</v>
      </c>
      <c r="AB16" s="66">
        <v>45830</v>
      </c>
      <c r="AC16" s="66">
        <v>45832</v>
      </c>
      <c r="AD16" s="66">
        <v>45836</v>
      </c>
      <c r="AE16" s="54">
        <f t="shared" si="5"/>
        <v>6</v>
      </c>
      <c r="AF16" s="48"/>
    </row>
    <row r="17" spans="1:32" ht="15">
      <c r="A17" s="32">
        <f t="shared" si="3"/>
        <v>14</v>
      </c>
      <c r="B17" s="23" t="s">
        <v>204</v>
      </c>
      <c r="C17" s="3" t="s">
        <v>384</v>
      </c>
      <c r="D17" s="3" t="s">
        <v>29</v>
      </c>
      <c r="E17" s="3" t="s">
        <v>941</v>
      </c>
      <c r="F17" s="5" t="s">
        <v>885</v>
      </c>
      <c r="G17" s="78" t="s">
        <v>886</v>
      </c>
      <c r="H17" s="3"/>
      <c r="I17" s="78" t="s">
        <v>868</v>
      </c>
      <c r="J17" s="3" t="s">
        <v>41</v>
      </c>
      <c r="K17" s="78" t="s">
        <v>852</v>
      </c>
      <c r="L17" s="3">
        <v>30551</v>
      </c>
      <c r="M17" s="77">
        <v>30</v>
      </c>
      <c r="N17" s="3" t="s">
        <v>27</v>
      </c>
      <c r="O17" s="80" t="s">
        <v>687</v>
      </c>
      <c r="P17" s="79">
        <v>45806</v>
      </c>
      <c r="Q17" s="66">
        <v>45806</v>
      </c>
      <c r="R17" s="66">
        <v>45807</v>
      </c>
      <c r="S17" s="66">
        <v>45816</v>
      </c>
      <c r="T17" s="54">
        <f t="shared" si="4"/>
        <v>10</v>
      </c>
      <c r="U17" s="66">
        <v>45818</v>
      </c>
      <c r="V17" s="66">
        <v>45820</v>
      </c>
      <c r="W17" s="66">
        <v>45820</v>
      </c>
      <c r="X17" s="66">
        <v>45791</v>
      </c>
      <c r="Y17" s="66">
        <v>45825</v>
      </c>
      <c r="Z17" s="66">
        <v>45829</v>
      </c>
      <c r="AA17" s="66">
        <v>45829</v>
      </c>
      <c r="AB17" s="66">
        <v>45829</v>
      </c>
      <c r="AC17" s="66">
        <v>45832</v>
      </c>
      <c r="AD17" s="66">
        <v>45836</v>
      </c>
      <c r="AE17" s="54">
        <f t="shared" si="5"/>
        <v>7</v>
      </c>
      <c r="AF17" s="16"/>
    </row>
    <row r="18" spans="1:32" ht="15">
      <c r="A18" s="32">
        <f t="shared" si="3"/>
        <v>15</v>
      </c>
      <c r="B18" s="23" t="s">
        <v>204</v>
      </c>
      <c r="C18" s="3" t="s">
        <v>384</v>
      </c>
      <c r="D18" s="3" t="s">
        <v>29</v>
      </c>
      <c r="E18" s="3" t="s">
        <v>954</v>
      </c>
      <c r="F18" s="5" t="s">
        <v>911</v>
      </c>
      <c r="G18" s="78" t="s">
        <v>912</v>
      </c>
      <c r="H18" s="3"/>
      <c r="I18" s="5" t="s">
        <v>881</v>
      </c>
      <c r="J18" s="3" t="s">
        <v>41</v>
      </c>
      <c r="K18" s="5" t="s">
        <v>865</v>
      </c>
      <c r="L18" s="3">
        <v>29757</v>
      </c>
      <c r="M18" s="77">
        <v>30</v>
      </c>
      <c r="N18" s="3" t="s">
        <v>27</v>
      </c>
      <c r="O18" s="80" t="s">
        <v>687</v>
      </c>
      <c r="P18" s="79">
        <v>30</v>
      </c>
      <c r="Q18" s="66">
        <v>45807</v>
      </c>
      <c r="R18" s="66">
        <v>45810</v>
      </c>
      <c r="S18" s="66">
        <v>45816</v>
      </c>
      <c r="T18" s="54">
        <f t="shared" si="4"/>
        <v>9</v>
      </c>
      <c r="U18" s="66">
        <v>45818</v>
      </c>
      <c r="V18" s="66">
        <v>45820</v>
      </c>
      <c r="W18" s="66">
        <v>45820</v>
      </c>
      <c r="X18" s="66">
        <v>45791</v>
      </c>
      <c r="Y18" s="66">
        <v>45825</v>
      </c>
      <c r="Z18" s="66">
        <v>45828</v>
      </c>
      <c r="AA18" s="66">
        <v>45828</v>
      </c>
      <c r="AB18" s="66">
        <v>45829</v>
      </c>
      <c r="AC18" s="66">
        <v>45832</v>
      </c>
      <c r="AD18" s="66">
        <v>45836</v>
      </c>
      <c r="AE18" s="54">
        <f t="shared" si="5"/>
        <v>7</v>
      </c>
      <c r="AF18" s="16"/>
    </row>
    <row r="19" spans="1:32" ht="15">
      <c r="A19" s="32">
        <f t="shared" si="0"/>
        <v>16</v>
      </c>
      <c r="B19" s="23" t="s">
        <v>204</v>
      </c>
      <c r="C19" s="3" t="s">
        <v>384</v>
      </c>
      <c r="D19" s="3" t="s">
        <v>29</v>
      </c>
      <c r="E19" s="3" t="s">
        <v>931</v>
      </c>
      <c r="F19" s="5" t="s">
        <v>811</v>
      </c>
      <c r="G19" s="5" t="s">
        <v>812</v>
      </c>
      <c r="H19" s="3"/>
      <c r="I19" s="77" t="s">
        <v>823</v>
      </c>
      <c r="J19" s="3" t="s">
        <v>41</v>
      </c>
      <c r="K19" s="78" t="s">
        <v>834</v>
      </c>
      <c r="L19" s="3">
        <v>37266</v>
      </c>
      <c r="M19" s="3">
        <v>37</v>
      </c>
      <c r="N19" s="3" t="s">
        <v>27</v>
      </c>
      <c r="O19" s="80" t="s">
        <v>687</v>
      </c>
      <c r="P19" s="79">
        <v>45806</v>
      </c>
      <c r="Q19" s="66">
        <v>45806</v>
      </c>
      <c r="R19" s="66">
        <v>45807</v>
      </c>
      <c r="S19" s="66">
        <v>45816</v>
      </c>
      <c r="T19" s="54">
        <f t="shared" si="4"/>
        <v>10</v>
      </c>
      <c r="U19" s="66">
        <v>45819</v>
      </c>
      <c r="V19" s="66">
        <v>45821</v>
      </c>
      <c r="W19" s="66">
        <v>45821</v>
      </c>
      <c r="X19" s="66">
        <v>45823</v>
      </c>
      <c r="Y19" s="66">
        <v>45826</v>
      </c>
      <c r="Z19" s="66">
        <v>45829</v>
      </c>
      <c r="AA19" s="66">
        <v>45829</v>
      </c>
      <c r="AB19" s="66">
        <v>45830</v>
      </c>
      <c r="AC19" s="66">
        <v>45833</v>
      </c>
      <c r="AD19" s="66">
        <v>45837</v>
      </c>
      <c r="AE19" s="54">
        <f t="shared" si="5"/>
        <v>7</v>
      </c>
      <c r="AF19" s="16"/>
    </row>
    <row r="20" spans="1:32" ht="15">
      <c r="A20" s="32">
        <f t="shared" si="0"/>
        <v>17</v>
      </c>
      <c r="B20" s="23" t="s">
        <v>204</v>
      </c>
      <c r="C20" s="3" t="s">
        <v>384</v>
      </c>
      <c r="D20" s="3" t="s">
        <v>29</v>
      </c>
      <c r="E20" s="3" t="s">
        <v>926</v>
      </c>
      <c r="F20" s="5" t="s">
        <v>795</v>
      </c>
      <c r="G20" s="5" t="s">
        <v>796</v>
      </c>
      <c r="H20" s="3"/>
      <c r="I20" s="77" t="s">
        <v>816</v>
      </c>
      <c r="J20" s="3" t="s">
        <v>41</v>
      </c>
      <c r="K20" s="78" t="s">
        <v>827</v>
      </c>
      <c r="L20" s="3">
        <v>37528</v>
      </c>
      <c r="M20" s="3">
        <v>37</v>
      </c>
      <c r="N20" s="3" t="s">
        <v>27</v>
      </c>
      <c r="O20" s="80" t="s">
        <v>687</v>
      </c>
      <c r="P20" s="79">
        <v>45806</v>
      </c>
      <c r="Q20" s="66">
        <v>45806</v>
      </c>
      <c r="R20" s="66">
        <v>45807</v>
      </c>
      <c r="S20" s="66">
        <v>45816</v>
      </c>
      <c r="T20" s="54">
        <f t="shared" si="4"/>
        <v>10</v>
      </c>
      <c r="U20" s="66">
        <v>45819</v>
      </c>
      <c r="V20" s="66">
        <v>45821</v>
      </c>
      <c r="W20" s="66">
        <v>45821</v>
      </c>
      <c r="X20" s="66">
        <v>45823</v>
      </c>
      <c r="Y20" s="66">
        <v>45825</v>
      </c>
      <c r="Z20" s="66">
        <v>45827</v>
      </c>
      <c r="AA20" s="66">
        <v>45827</v>
      </c>
      <c r="AB20" s="66">
        <v>45830</v>
      </c>
      <c r="AC20" s="66">
        <v>45831</v>
      </c>
      <c r="AD20" s="66">
        <v>45836</v>
      </c>
      <c r="AE20" s="54">
        <f t="shared" si="5"/>
        <v>6</v>
      </c>
      <c r="AF20" s="16"/>
    </row>
    <row r="21" spans="1:32" ht="15">
      <c r="A21" s="32">
        <f t="shared" si="0"/>
        <v>18</v>
      </c>
      <c r="B21" s="23" t="s">
        <v>204</v>
      </c>
      <c r="C21" s="3" t="s">
        <v>384</v>
      </c>
      <c r="D21" s="3" t="s">
        <v>29</v>
      </c>
      <c r="E21" s="3" t="s">
        <v>927</v>
      </c>
      <c r="F21" s="5" t="s">
        <v>797</v>
      </c>
      <c r="G21" s="5" t="s">
        <v>798</v>
      </c>
      <c r="H21" s="3"/>
      <c r="I21" s="77" t="s">
        <v>817</v>
      </c>
      <c r="J21" s="3" t="s">
        <v>41</v>
      </c>
      <c r="K21" s="78" t="s">
        <v>828</v>
      </c>
      <c r="L21" s="3">
        <v>36742</v>
      </c>
      <c r="M21" s="3">
        <v>37</v>
      </c>
      <c r="N21" s="3" t="s">
        <v>27</v>
      </c>
      <c r="O21" s="80" t="s">
        <v>687</v>
      </c>
      <c r="P21" s="79">
        <v>45806</v>
      </c>
      <c r="Q21" s="66">
        <v>45806</v>
      </c>
      <c r="R21" s="66">
        <v>45807</v>
      </c>
      <c r="S21" s="66">
        <v>45816</v>
      </c>
      <c r="T21" s="54">
        <f t="shared" si="4"/>
        <v>10</v>
      </c>
      <c r="U21" s="66">
        <v>45819</v>
      </c>
      <c r="V21" s="66">
        <v>45821</v>
      </c>
      <c r="W21" s="66">
        <v>45821</v>
      </c>
      <c r="X21" s="66">
        <v>45824</v>
      </c>
      <c r="Y21" s="66">
        <v>45826</v>
      </c>
      <c r="Z21" s="66">
        <v>45827</v>
      </c>
      <c r="AA21" s="66">
        <v>45827</v>
      </c>
      <c r="AB21" s="66">
        <v>45830</v>
      </c>
      <c r="AC21" s="66">
        <v>45832</v>
      </c>
      <c r="AD21" s="66">
        <v>45835</v>
      </c>
      <c r="AE21" s="54">
        <f t="shared" si="5"/>
        <v>5</v>
      </c>
      <c r="AF21" s="16"/>
    </row>
    <row r="22" spans="1:32" ht="15">
      <c r="A22" s="32">
        <f t="shared" si="0"/>
        <v>19</v>
      </c>
      <c r="B22" s="23" t="s">
        <v>204</v>
      </c>
      <c r="C22" s="3" t="s">
        <v>384</v>
      </c>
      <c r="D22" s="3" t="s">
        <v>29</v>
      </c>
      <c r="E22" s="3" t="s">
        <v>930</v>
      </c>
      <c r="F22" s="5" t="s">
        <v>803</v>
      </c>
      <c r="G22" s="5" t="s">
        <v>804</v>
      </c>
      <c r="H22" s="3"/>
      <c r="I22" s="77" t="s">
        <v>820</v>
      </c>
      <c r="J22" s="3" t="s">
        <v>41</v>
      </c>
      <c r="K22" s="78" t="s">
        <v>831</v>
      </c>
      <c r="L22" s="3">
        <v>36511</v>
      </c>
      <c r="M22" s="3">
        <v>37</v>
      </c>
      <c r="N22" s="3" t="s">
        <v>27</v>
      </c>
      <c r="O22" s="80" t="s">
        <v>687</v>
      </c>
      <c r="P22" s="79">
        <v>45806</v>
      </c>
      <c r="Q22" s="66">
        <v>45806</v>
      </c>
      <c r="R22" s="66">
        <v>45807</v>
      </c>
      <c r="S22" s="66">
        <v>45816</v>
      </c>
      <c r="T22" s="54">
        <f t="shared" si="4"/>
        <v>10</v>
      </c>
      <c r="U22" s="66">
        <v>45819</v>
      </c>
      <c r="V22" s="66">
        <v>45821</v>
      </c>
      <c r="W22" s="66">
        <v>45821</v>
      </c>
      <c r="X22" s="66">
        <v>45823</v>
      </c>
      <c r="Y22" s="66">
        <v>45826</v>
      </c>
      <c r="Z22" s="66">
        <v>45829</v>
      </c>
      <c r="AA22" s="66">
        <v>45829</v>
      </c>
      <c r="AB22" s="66">
        <v>45830</v>
      </c>
      <c r="AC22" s="66">
        <v>45833</v>
      </c>
      <c r="AD22" s="66">
        <v>45837</v>
      </c>
      <c r="AE22" s="54">
        <f t="shared" si="5"/>
        <v>7</v>
      </c>
      <c r="AF22" s="16"/>
    </row>
    <row r="23" spans="1:32" ht="15">
      <c r="A23" s="32">
        <f t="shared" si="0"/>
        <v>20</v>
      </c>
      <c r="B23" s="23" t="s">
        <v>204</v>
      </c>
      <c r="C23" s="3" t="s">
        <v>384</v>
      </c>
      <c r="D23" s="3" t="s">
        <v>29</v>
      </c>
      <c r="E23" s="3" t="s">
        <v>922</v>
      </c>
      <c r="F23" s="5" t="s">
        <v>805</v>
      </c>
      <c r="G23" s="5" t="s">
        <v>806</v>
      </c>
      <c r="H23" s="3" t="s">
        <v>807</v>
      </c>
      <c r="I23" s="77" t="s">
        <v>821</v>
      </c>
      <c r="J23" s="3" t="s">
        <v>41</v>
      </c>
      <c r="K23" s="78" t="s">
        <v>832</v>
      </c>
      <c r="L23" s="3">
        <v>35119</v>
      </c>
      <c r="M23" s="3">
        <v>36</v>
      </c>
      <c r="N23" s="3" t="s">
        <v>27</v>
      </c>
      <c r="O23" s="80" t="s">
        <v>687</v>
      </c>
      <c r="P23" s="79">
        <v>45806</v>
      </c>
      <c r="Q23" s="66">
        <v>45806</v>
      </c>
      <c r="R23" s="66">
        <v>45807</v>
      </c>
      <c r="S23" s="66">
        <v>45816</v>
      </c>
      <c r="T23" s="54">
        <f t="shared" si="4"/>
        <v>10</v>
      </c>
      <c r="U23" s="66">
        <v>45819</v>
      </c>
      <c r="V23" s="66">
        <v>45821</v>
      </c>
      <c r="W23" s="66">
        <v>45821</v>
      </c>
      <c r="X23" s="66">
        <v>45823</v>
      </c>
      <c r="Y23" s="66">
        <v>45825</v>
      </c>
      <c r="Z23" s="66">
        <v>45827</v>
      </c>
      <c r="AA23" s="66">
        <v>45827</v>
      </c>
      <c r="AB23" s="66">
        <v>45830</v>
      </c>
      <c r="AC23" s="66">
        <v>45833</v>
      </c>
      <c r="AD23" s="66">
        <v>45837</v>
      </c>
      <c r="AE23" s="54">
        <f t="shared" si="5"/>
        <v>7</v>
      </c>
      <c r="AF23" s="16"/>
    </row>
    <row r="24" spans="1:32" ht="15">
      <c r="A24" s="32">
        <f t="shared" si="0"/>
        <v>21</v>
      </c>
      <c r="B24" s="23" t="s">
        <v>204</v>
      </c>
      <c r="C24" s="3" t="s">
        <v>384</v>
      </c>
      <c r="D24" s="3" t="s">
        <v>29</v>
      </c>
      <c r="E24" s="3" t="s">
        <v>934</v>
      </c>
      <c r="F24" s="5" t="s">
        <v>841</v>
      </c>
      <c r="G24" s="5" t="s">
        <v>845</v>
      </c>
      <c r="H24" s="3"/>
      <c r="I24" s="77" t="s">
        <v>849</v>
      </c>
      <c r="J24" s="3" t="s">
        <v>41</v>
      </c>
      <c r="K24" s="78" t="s">
        <v>837</v>
      </c>
      <c r="L24" s="3">
        <v>30317</v>
      </c>
      <c r="M24" s="3">
        <v>32</v>
      </c>
      <c r="N24" s="3" t="s">
        <v>27</v>
      </c>
      <c r="O24" s="80" t="s">
        <v>687</v>
      </c>
      <c r="P24" s="79">
        <v>45806</v>
      </c>
      <c r="Q24" s="66">
        <v>45806</v>
      </c>
      <c r="R24" s="66">
        <v>45807</v>
      </c>
      <c r="S24" s="66">
        <v>45816</v>
      </c>
      <c r="T24" s="54">
        <f t="shared" si="4"/>
        <v>10</v>
      </c>
      <c r="U24" s="66">
        <v>45819</v>
      </c>
      <c r="V24" s="66">
        <v>45821</v>
      </c>
      <c r="W24" s="66">
        <v>45821</v>
      </c>
      <c r="X24" s="66">
        <v>45823</v>
      </c>
      <c r="Y24" s="66">
        <v>45825</v>
      </c>
      <c r="Z24" s="66">
        <v>45829</v>
      </c>
      <c r="AA24" s="66">
        <v>45829</v>
      </c>
      <c r="AB24" s="66">
        <v>45830</v>
      </c>
      <c r="AC24" s="66">
        <v>45832</v>
      </c>
      <c r="AD24" s="66">
        <v>45837</v>
      </c>
      <c r="AE24" s="54">
        <f t="shared" si="5"/>
        <v>7</v>
      </c>
      <c r="AF24" s="16"/>
    </row>
    <row r="25" spans="1:32" ht="15">
      <c r="A25" s="32">
        <f t="shared" si="3"/>
        <v>22</v>
      </c>
      <c r="B25" s="23" t="s">
        <v>204</v>
      </c>
      <c r="C25" s="3" t="s">
        <v>384</v>
      </c>
      <c r="D25" s="3" t="s">
        <v>29</v>
      </c>
      <c r="E25" s="3" t="s">
        <v>938</v>
      </c>
      <c r="F25" s="5" t="s">
        <v>907</v>
      </c>
      <c r="G25" s="5" t="s">
        <v>908</v>
      </c>
      <c r="H25" s="3"/>
      <c r="I25" s="78" t="s">
        <v>879</v>
      </c>
      <c r="J25" s="3" t="s">
        <v>41</v>
      </c>
      <c r="K25" s="78" t="s">
        <v>863</v>
      </c>
      <c r="L25" s="3">
        <v>29834</v>
      </c>
      <c r="M25" s="77">
        <v>30</v>
      </c>
      <c r="N25" s="3" t="s">
        <v>27</v>
      </c>
      <c r="O25" s="80" t="s">
        <v>687</v>
      </c>
      <c r="P25" s="79">
        <v>30</v>
      </c>
      <c r="Q25" s="66">
        <v>45807</v>
      </c>
      <c r="R25" s="66">
        <v>45807</v>
      </c>
      <c r="S25" s="66">
        <v>45816</v>
      </c>
      <c r="T25" s="54">
        <f t="shared" ref="T25:T30" si="6">MAX(0,S25-Q25)</f>
        <v>9</v>
      </c>
      <c r="U25" s="66">
        <v>45818</v>
      </c>
      <c r="V25" s="66">
        <v>45820</v>
      </c>
      <c r="W25" s="66">
        <v>45820</v>
      </c>
      <c r="X25" s="66">
        <v>45791</v>
      </c>
      <c r="Y25" s="66">
        <v>45825</v>
      </c>
      <c r="Z25" s="66">
        <v>45827</v>
      </c>
      <c r="AA25" s="66">
        <v>45827</v>
      </c>
      <c r="AB25" s="66">
        <v>45829</v>
      </c>
      <c r="AC25" s="66">
        <v>45831</v>
      </c>
      <c r="AD25" s="66">
        <v>45835</v>
      </c>
      <c r="AE25" s="54">
        <f t="shared" ref="AE25:AE30" si="7">MAX(0,AD25-AB25)</f>
        <v>6</v>
      </c>
      <c r="AF25" s="16"/>
    </row>
    <row r="26" spans="1:32" ht="15">
      <c r="A26" s="32">
        <f t="shared" si="3"/>
        <v>23</v>
      </c>
      <c r="B26" s="23" t="s">
        <v>204</v>
      </c>
      <c r="C26" s="3" t="s">
        <v>384</v>
      </c>
      <c r="D26" s="3" t="s">
        <v>29</v>
      </c>
      <c r="E26" s="3" t="s">
        <v>939</v>
      </c>
      <c r="F26" s="5" t="s">
        <v>891</v>
      </c>
      <c r="G26" s="78" t="s">
        <v>892</v>
      </c>
      <c r="H26" s="3"/>
      <c r="I26" s="78" t="s">
        <v>871</v>
      </c>
      <c r="J26" s="3" t="s">
        <v>41</v>
      </c>
      <c r="K26" s="78" t="s">
        <v>855</v>
      </c>
      <c r="L26" s="3">
        <v>30599</v>
      </c>
      <c r="M26" s="77">
        <v>30</v>
      </c>
      <c r="N26" s="3" t="s">
        <v>27</v>
      </c>
      <c r="O26" s="80" t="s">
        <v>687</v>
      </c>
      <c r="P26" s="79">
        <v>45806</v>
      </c>
      <c r="Q26" s="66">
        <v>45806</v>
      </c>
      <c r="R26" s="66">
        <v>45807</v>
      </c>
      <c r="S26" s="66">
        <v>45816</v>
      </c>
      <c r="T26" s="54">
        <f t="shared" si="6"/>
        <v>10</v>
      </c>
      <c r="U26" s="66">
        <v>45818</v>
      </c>
      <c r="V26" s="66">
        <v>45820</v>
      </c>
      <c r="W26" s="66">
        <v>45820</v>
      </c>
      <c r="X26" s="66">
        <v>45791</v>
      </c>
      <c r="Y26" s="66">
        <v>45825</v>
      </c>
      <c r="Z26" s="66">
        <v>45827</v>
      </c>
      <c r="AA26" s="66">
        <v>45827</v>
      </c>
      <c r="AB26" s="66">
        <v>45829</v>
      </c>
      <c r="AC26" s="66">
        <v>45831</v>
      </c>
      <c r="AD26" s="66">
        <v>45835</v>
      </c>
      <c r="AE26" s="54">
        <f t="shared" si="7"/>
        <v>6</v>
      </c>
      <c r="AF26" s="16"/>
    </row>
    <row r="27" spans="1:32" ht="15">
      <c r="A27" s="32">
        <f t="shared" si="3"/>
        <v>24</v>
      </c>
      <c r="B27" s="23" t="s">
        <v>204</v>
      </c>
      <c r="C27" s="3" t="s">
        <v>384</v>
      </c>
      <c r="D27" s="3" t="s">
        <v>29</v>
      </c>
      <c r="E27" s="3" t="s">
        <v>940</v>
      </c>
      <c r="F27" s="5" t="s">
        <v>895</v>
      </c>
      <c r="G27" s="78" t="s">
        <v>896</v>
      </c>
      <c r="H27" s="3"/>
      <c r="I27" s="5" t="s">
        <v>873</v>
      </c>
      <c r="J27" s="3" t="s">
        <v>41</v>
      </c>
      <c r="K27" s="5" t="s">
        <v>857</v>
      </c>
      <c r="L27" s="3">
        <v>29734</v>
      </c>
      <c r="M27" s="77">
        <v>30</v>
      </c>
      <c r="N27" s="3" t="s">
        <v>27</v>
      </c>
      <c r="O27" s="80" t="s">
        <v>687</v>
      </c>
      <c r="P27" s="79">
        <v>45806</v>
      </c>
      <c r="Q27" s="66">
        <v>45806</v>
      </c>
      <c r="R27" s="66">
        <v>45807</v>
      </c>
      <c r="S27" s="66">
        <v>45816</v>
      </c>
      <c r="T27" s="54">
        <f t="shared" si="6"/>
        <v>10</v>
      </c>
      <c r="U27" s="66">
        <v>45818</v>
      </c>
      <c r="V27" s="66">
        <v>45820</v>
      </c>
      <c r="W27" s="66">
        <v>45820</v>
      </c>
      <c r="X27" s="66">
        <v>45791</v>
      </c>
      <c r="Y27" s="66">
        <v>45825</v>
      </c>
      <c r="Z27" s="66">
        <v>45827</v>
      </c>
      <c r="AA27" s="66">
        <v>45827</v>
      </c>
      <c r="AB27" s="66">
        <v>45829</v>
      </c>
      <c r="AC27" s="66">
        <v>45831</v>
      </c>
      <c r="AD27" s="66">
        <v>45835</v>
      </c>
      <c r="AE27" s="54">
        <f t="shared" si="7"/>
        <v>6</v>
      </c>
      <c r="AF27" s="16"/>
    </row>
    <row r="28" spans="1:32" s="49" customFormat="1" ht="15">
      <c r="A28" s="32">
        <f t="shared" si="3"/>
        <v>25</v>
      </c>
      <c r="B28" s="23" t="s">
        <v>204</v>
      </c>
      <c r="C28" s="3" t="s">
        <v>384</v>
      </c>
      <c r="D28" s="3" t="s">
        <v>29</v>
      </c>
      <c r="E28" s="3" t="s">
        <v>951</v>
      </c>
      <c r="F28" s="5" t="s">
        <v>887</v>
      </c>
      <c r="G28" s="78" t="s">
        <v>888</v>
      </c>
      <c r="H28" s="3"/>
      <c r="I28" s="78" t="s">
        <v>869</v>
      </c>
      <c r="J28" s="3" t="s">
        <v>41</v>
      </c>
      <c r="K28" s="78" t="s">
        <v>853</v>
      </c>
      <c r="L28" s="3">
        <v>29207</v>
      </c>
      <c r="M28" s="77">
        <v>30</v>
      </c>
      <c r="N28" s="3" t="s">
        <v>27</v>
      </c>
      <c r="O28" s="80" t="s">
        <v>687</v>
      </c>
      <c r="P28" s="79">
        <v>45806</v>
      </c>
      <c r="Q28" s="66">
        <v>45806</v>
      </c>
      <c r="R28" s="66">
        <v>45807</v>
      </c>
      <c r="S28" s="66">
        <v>45816</v>
      </c>
      <c r="T28" s="54">
        <f t="shared" si="6"/>
        <v>10</v>
      </c>
      <c r="U28" s="66">
        <v>45818</v>
      </c>
      <c r="V28" s="66">
        <v>45820</v>
      </c>
      <c r="W28" s="66">
        <v>45820</v>
      </c>
      <c r="X28" s="66">
        <v>45791</v>
      </c>
      <c r="Y28" s="66">
        <v>45825</v>
      </c>
      <c r="Z28" s="66">
        <v>45796</v>
      </c>
      <c r="AA28" s="66">
        <v>45796</v>
      </c>
      <c r="AB28" s="66">
        <v>45828</v>
      </c>
      <c r="AC28" s="66">
        <v>45831</v>
      </c>
      <c r="AD28" s="66">
        <v>45835</v>
      </c>
      <c r="AE28" s="54">
        <f t="shared" si="7"/>
        <v>7</v>
      </c>
      <c r="AF28" s="16"/>
    </row>
    <row r="29" spans="1:32" ht="15">
      <c r="A29" s="32">
        <f t="shared" si="3"/>
        <v>26</v>
      </c>
      <c r="B29" s="23" t="s">
        <v>204</v>
      </c>
      <c r="C29" s="3" t="s">
        <v>384</v>
      </c>
      <c r="D29" s="3" t="s">
        <v>29</v>
      </c>
      <c r="E29" s="3" t="s">
        <v>937</v>
      </c>
      <c r="F29" s="5" t="s">
        <v>883</v>
      </c>
      <c r="G29" s="78" t="s">
        <v>884</v>
      </c>
      <c r="H29" s="3"/>
      <c r="I29" s="78" t="s">
        <v>867</v>
      </c>
      <c r="J29" s="3" t="s">
        <v>41</v>
      </c>
      <c r="K29" s="78" t="s">
        <v>851</v>
      </c>
      <c r="L29" s="3">
        <v>30379</v>
      </c>
      <c r="M29" s="77">
        <v>30</v>
      </c>
      <c r="N29" s="3" t="s">
        <v>27</v>
      </c>
      <c r="O29" s="80" t="s">
        <v>687</v>
      </c>
      <c r="P29" s="79">
        <v>45806</v>
      </c>
      <c r="Q29" s="66">
        <v>45806</v>
      </c>
      <c r="R29" s="66">
        <v>45807</v>
      </c>
      <c r="S29" s="66">
        <v>45816</v>
      </c>
      <c r="T29" s="54">
        <f t="shared" si="6"/>
        <v>10</v>
      </c>
      <c r="U29" s="66">
        <v>45818</v>
      </c>
      <c r="V29" s="66">
        <v>45820</v>
      </c>
      <c r="W29" s="66">
        <v>45820</v>
      </c>
      <c r="X29" s="66">
        <v>45791</v>
      </c>
      <c r="Y29" s="66">
        <v>45825</v>
      </c>
      <c r="Z29" s="66">
        <v>45796</v>
      </c>
      <c r="AA29" s="66">
        <v>45796</v>
      </c>
      <c r="AB29" s="66">
        <v>45828</v>
      </c>
      <c r="AC29" s="66">
        <v>45831</v>
      </c>
      <c r="AD29" s="66">
        <v>45835</v>
      </c>
      <c r="AE29" s="54">
        <f t="shared" si="7"/>
        <v>7</v>
      </c>
      <c r="AF29" s="16"/>
    </row>
    <row r="30" spans="1:32" ht="15">
      <c r="A30" s="32">
        <f t="shared" si="3"/>
        <v>27</v>
      </c>
      <c r="B30" s="23" t="s">
        <v>204</v>
      </c>
      <c r="C30" s="3" t="s">
        <v>384</v>
      </c>
      <c r="D30" s="3" t="s">
        <v>29</v>
      </c>
      <c r="E30" s="3" t="s">
        <v>953</v>
      </c>
      <c r="F30" s="5" t="s">
        <v>909</v>
      </c>
      <c r="G30" s="78" t="s">
        <v>910</v>
      </c>
      <c r="H30" s="3"/>
      <c r="I30" s="5" t="s">
        <v>880</v>
      </c>
      <c r="J30" s="3" t="s">
        <v>41</v>
      </c>
      <c r="K30" s="5" t="s">
        <v>864</v>
      </c>
      <c r="L30" s="3">
        <v>29272</v>
      </c>
      <c r="M30" s="77">
        <v>30</v>
      </c>
      <c r="N30" s="3" t="s">
        <v>27</v>
      </c>
      <c r="O30" s="80" t="s">
        <v>687</v>
      </c>
      <c r="P30" s="79">
        <v>30</v>
      </c>
      <c r="Q30" s="66">
        <v>45807</v>
      </c>
      <c r="R30" s="66">
        <v>45810</v>
      </c>
      <c r="S30" s="66">
        <v>45816</v>
      </c>
      <c r="T30" s="54">
        <f t="shared" si="6"/>
        <v>9</v>
      </c>
      <c r="U30" s="66">
        <v>45818</v>
      </c>
      <c r="V30" s="66">
        <v>45820</v>
      </c>
      <c r="W30" s="66">
        <v>45820</v>
      </c>
      <c r="X30" s="66">
        <v>45791</v>
      </c>
      <c r="Y30" s="66">
        <v>45825</v>
      </c>
      <c r="Z30" s="66">
        <v>45828</v>
      </c>
      <c r="AA30" s="66">
        <v>45828</v>
      </c>
      <c r="AB30" s="66">
        <v>45829</v>
      </c>
      <c r="AC30" s="66">
        <v>45831</v>
      </c>
      <c r="AD30" s="66">
        <v>45835</v>
      </c>
      <c r="AE30" s="54">
        <f t="shared" si="7"/>
        <v>6</v>
      </c>
      <c r="AF30" s="16"/>
    </row>
    <row r="31" spans="1:32" s="49" customFormat="1" ht="15">
      <c r="A31" s="109"/>
      <c r="B31" s="110"/>
      <c r="C31" s="3"/>
      <c r="D31" s="3"/>
      <c r="E31" s="3"/>
      <c r="F31" s="5"/>
      <c r="G31" s="78"/>
      <c r="H31" s="39"/>
      <c r="I31" s="5"/>
      <c r="J31" s="3"/>
      <c r="K31" s="78"/>
      <c r="L31" s="3"/>
      <c r="M31" s="77"/>
      <c r="N31" s="3"/>
      <c r="O31" s="80"/>
      <c r="P31" s="79"/>
      <c r="Q31" s="66"/>
      <c r="R31" s="66"/>
      <c r="S31" s="66"/>
      <c r="T31" s="54"/>
      <c r="U31" s="66"/>
      <c r="V31" s="66"/>
      <c r="W31" s="66"/>
      <c r="X31" s="66"/>
      <c r="Y31" s="73"/>
      <c r="Z31" s="73"/>
      <c r="AA31" s="73"/>
      <c r="AB31" s="73"/>
      <c r="AC31" s="73"/>
      <c r="AD31" s="63"/>
      <c r="AE31" s="62"/>
      <c r="AF31" s="48"/>
    </row>
    <row r="32" spans="1:32" s="49" customFormat="1" ht="15">
      <c r="A32" s="241" t="s">
        <v>946</v>
      </c>
      <c r="B32" s="242"/>
      <c r="C32" s="3"/>
      <c r="D32" s="3"/>
      <c r="E32" s="3"/>
      <c r="F32" s="5"/>
      <c r="G32" s="78"/>
      <c r="H32" s="39"/>
      <c r="I32" s="5"/>
      <c r="J32" s="3"/>
      <c r="K32" s="78"/>
      <c r="L32" s="39"/>
      <c r="M32" s="77"/>
      <c r="N32" s="3"/>
      <c r="O32" s="80"/>
      <c r="P32" s="79"/>
      <c r="Q32" s="66"/>
      <c r="R32" s="66"/>
      <c r="S32" s="73"/>
      <c r="T32" s="88"/>
      <c r="U32" s="73"/>
      <c r="V32" s="73"/>
      <c r="W32" s="73"/>
      <c r="X32" s="73"/>
      <c r="Y32" s="73"/>
      <c r="Z32" s="73"/>
      <c r="AA32" s="73"/>
      <c r="AB32" s="73"/>
      <c r="AC32" s="73"/>
      <c r="AD32" s="63"/>
      <c r="AE32" s="62"/>
      <c r="AF32" s="48"/>
    </row>
    <row r="33" spans="1:32" s="103" customFormat="1" ht="15">
      <c r="A33" s="93">
        <f t="shared" si="0"/>
        <v>30</v>
      </c>
      <c r="B33" s="94" t="s">
        <v>204</v>
      </c>
      <c r="C33" s="91" t="s">
        <v>384</v>
      </c>
      <c r="D33" s="91" t="s">
        <v>29</v>
      </c>
      <c r="E33" s="91" t="s">
        <v>41</v>
      </c>
      <c r="F33" s="95" t="s">
        <v>899</v>
      </c>
      <c r="G33" s="96" t="s">
        <v>900</v>
      </c>
      <c r="H33" s="91"/>
      <c r="I33" s="95" t="s">
        <v>875</v>
      </c>
      <c r="J33" s="91" t="s">
        <v>41</v>
      </c>
      <c r="K33" s="97" t="s">
        <v>859</v>
      </c>
      <c r="L33" s="91" t="s">
        <v>41</v>
      </c>
      <c r="M33" s="98">
        <v>30</v>
      </c>
      <c r="N33" s="91" t="s">
        <v>204</v>
      </c>
      <c r="O33" s="92" t="s">
        <v>35</v>
      </c>
      <c r="P33" s="99">
        <v>30</v>
      </c>
      <c r="Q33" s="100">
        <v>45807</v>
      </c>
      <c r="R33" s="100"/>
      <c r="S33" s="100"/>
      <c r="T33" s="101">
        <f ca="1">TODAY()-P33</f>
        <v>45989</v>
      </c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2">
        <f>MAX(0,AD33-AB33)</f>
        <v>0</v>
      </c>
      <c r="AF33" s="74"/>
    </row>
    <row r="34" spans="1:32" s="103" customFormat="1" ht="15">
      <c r="A34" s="93">
        <f t="shared" si="0"/>
        <v>31</v>
      </c>
      <c r="B34" s="94" t="s">
        <v>204</v>
      </c>
      <c r="C34" s="91" t="s">
        <v>384</v>
      </c>
      <c r="D34" s="91" t="s">
        <v>29</v>
      </c>
      <c r="E34" s="91" t="s">
        <v>41</v>
      </c>
      <c r="F34" s="95" t="s">
        <v>901</v>
      </c>
      <c r="G34" s="95" t="s">
        <v>902</v>
      </c>
      <c r="H34" s="91"/>
      <c r="I34" s="97" t="s">
        <v>876</v>
      </c>
      <c r="J34" s="91" t="s">
        <v>41</v>
      </c>
      <c r="K34" s="97" t="s">
        <v>860</v>
      </c>
      <c r="L34" s="91" t="s">
        <v>41</v>
      </c>
      <c r="M34" s="98">
        <v>30</v>
      </c>
      <c r="N34" s="91" t="s">
        <v>204</v>
      </c>
      <c r="O34" s="92" t="s">
        <v>35</v>
      </c>
      <c r="P34" s="99">
        <v>30</v>
      </c>
      <c r="Q34" s="100">
        <v>45807</v>
      </c>
      <c r="R34" s="100"/>
      <c r="S34" s="100"/>
      <c r="T34" s="101">
        <f ca="1">TODAY()-P34</f>
        <v>45989</v>
      </c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2">
        <f>MAX(0,AD34-AB34)</f>
        <v>0</v>
      </c>
      <c r="AF34" s="74"/>
    </row>
    <row r="35" spans="1:32" s="103" customFormat="1" ht="15">
      <c r="A35" s="93">
        <f t="shared" si="0"/>
        <v>32</v>
      </c>
      <c r="B35" s="94" t="s">
        <v>204</v>
      </c>
      <c r="C35" s="91" t="s">
        <v>384</v>
      </c>
      <c r="D35" s="91" t="s">
        <v>29</v>
      </c>
      <c r="E35" s="91" t="s">
        <v>41</v>
      </c>
      <c r="F35" s="95" t="s">
        <v>903</v>
      </c>
      <c r="G35" s="97" t="s">
        <v>904</v>
      </c>
      <c r="H35" s="91"/>
      <c r="I35" s="95" t="s">
        <v>877</v>
      </c>
      <c r="J35" s="91" t="s">
        <v>41</v>
      </c>
      <c r="K35" s="95" t="s">
        <v>861</v>
      </c>
      <c r="L35" s="91" t="s">
        <v>41</v>
      </c>
      <c r="M35" s="98">
        <v>30</v>
      </c>
      <c r="N35" s="91" t="s">
        <v>204</v>
      </c>
      <c r="O35" s="92" t="s">
        <v>35</v>
      </c>
      <c r="P35" s="99">
        <v>30</v>
      </c>
      <c r="Q35" s="100">
        <v>45807</v>
      </c>
      <c r="R35" s="100"/>
      <c r="S35" s="100"/>
      <c r="T35" s="101">
        <f ca="1">TODAY()-P35</f>
        <v>45989</v>
      </c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2">
        <f>MAX(0,AD35-AB35)</f>
        <v>0</v>
      </c>
      <c r="AF35" s="74"/>
    </row>
    <row r="36" spans="1:32" s="103" customFormat="1" ht="15">
      <c r="A36" s="93">
        <f t="shared" si="0"/>
        <v>33</v>
      </c>
      <c r="B36" s="94" t="s">
        <v>204</v>
      </c>
      <c r="C36" s="91" t="s">
        <v>384</v>
      </c>
      <c r="D36" s="91" t="s">
        <v>29</v>
      </c>
      <c r="E36" s="91" t="s">
        <v>41</v>
      </c>
      <c r="F36" s="95" t="s">
        <v>905</v>
      </c>
      <c r="G36" s="95" t="s">
        <v>906</v>
      </c>
      <c r="H36" s="91"/>
      <c r="I36" s="97" t="s">
        <v>878</v>
      </c>
      <c r="J36" s="91" t="s">
        <v>41</v>
      </c>
      <c r="K36" s="97" t="s">
        <v>862</v>
      </c>
      <c r="L36" s="91" t="s">
        <v>41</v>
      </c>
      <c r="M36" s="98">
        <v>30</v>
      </c>
      <c r="N36" s="91" t="s">
        <v>204</v>
      </c>
      <c r="O36" s="92" t="s">
        <v>35</v>
      </c>
      <c r="P36" s="99">
        <v>30</v>
      </c>
      <c r="Q36" s="100">
        <v>45807</v>
      </c>
      <c r="R36" s="100"/>
      <c r="S36" s="100"/>
      <c r="T36" s="101">
        <f ca="1">TODAY()-P36</f>
        <v>45989</v>
      </c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2">
        <f>MAX(0,AD36-AB36)</f>
        <v>0</v>
      </c>
      <c r="AF36" s="74"/>
    </row>
    <row r="37" spans="1:32">
      <c r="A37" s="30" t="s">
        <v>205</v>
      </c>
      <c r="B37" s="31"/>
      <c r="C37" s="31"/>
      <c r="D37" s="31"/>
      <c r="N37" s="90"/>
      <c r="O37" s="1"/>
    </row>
    <row r="38" spans="1:32">
      <c r="A38" s="30" t="s">
        <v>691</v>
      </c>
      <c r="B38" s="31"/>
      <c r="C38" s="31"/>
      <c r="D38" s="31"/>
    </row>
    <row r="39" spans="1:32">
      <c r="A39" s="30" t="s">
        <v>692</v>
      </c>
      <c r="B39" s="31"/>
      <c r="C39" s="31"/>
      <c r="D39" s="31"/>
    </row>
  </sheetData>
  <autoFilter ref="A3:AF14" xr:uid="{C033BEB2-7FE0-4F07-9EEC-AF9204AA50DD}"/>
  <mergeCells count="7">
    <mergeCell ref="A32:B32"/>
    <mergeCell ref="AA2:AB2"/>
    <mergeCell ref="AC2:AE2"/>
    <mergeCell ref="AF2:AF3"/>
    <mergeCell ref="U2:V2"/>
    <mergeCell ref="W2:X2"/>
    <mergeCell ref="Y2:Z2"/>
  </mergeCells>
  <conditionalFormatting sqref="B1">
    <cfRule type="duplicateValues" dxfId="2190" priority="564"/>
    <cfRule type="duplicateValues" dxfId="2189" priority="565"/>
    <cfRule type="duplicateValues" dxfId="2188" priority="566"/>
    <cfRule type="duplicateValues" dxfId="2187" priority="567"/>
  </conditionalFormatting>
  <conditionalFormatting sqref="F1:F3">
    <cfRule type="duplicateValues" dxfId="2186" priority="574"/>
    <cfRule type="duplicateValues" dxfId="2185" priority="575"/>
    <cfRule type="duplicateValues" dxfId="2184" priority="576"/>
    <cfRule type="duplicateValues" dxfId="2183" priority="577"/>
  </conditionalFormatting>
  <conditionalFormatting sqref="F1:F1048576">
    <cfRule type="duplicateValues" dxfId="2182" priority="1"/>
    <cfRule type="duplicateValues" dxfId="2181" priority="2"/>
    <cfRule type="duplicateValues" dxfId="2180" priority="3"/>
    <cfRule type="duplicateValues" dxfId="2179" priority="22"/>
  </conditionalFormatting>
  <conditionalFormatting sqref="F14:F18 F10 F25:F36">
    <cfRule type="duplicateValues" dxfId="2178" priority="13471"/>
  </conditionalFormatting>
  <conditionalFormatting sqref="F19:F23 F11 F5:F8 F13">
    <cfRule type="duplicateValues" dxfId="2177" priority="14846"/>
  </conditionalFormatting>
  <conditionalFormatting sqref="F24 F12 F9 F4">
    <cfRule type="duplicateValues" dxfId="2176" priority="12222"/>
  </conditionalFormatting>
  <conditionalFormatting sqref="F40:F1048576 F1:F3">
    <cfRule type="duplicateValues" dxfId="2175" priority="11150"/>
    <cfRule type="duplicateValues" dxfId="2174" priority="11155"/>
    <cfRule type="duplicateValues" dxfId="2173" priority="11156"/>
    <cfRule type="duplicateValues" dxfId="2172" priority="11157"/>
    <cfRule type="duplicateValues" dxfId="2171" priority="11158"/>
    <cfRule type="duplicateValues" dxfId="2170" priority="11159"/>
    <cfRule type="duplicateValues" dxfId="2169" priority="11160"/>
    <cfRule type="duplicateValues" dxfId="2168" priority="11161"/>
    <cfRule type="duplicateValues" dxfId="2167" priority="11162"/>
  </conditionalFormatting>
  <conditionalFormatting sqref="F40:F1048576 F1:F36">
    <cfRule type="duplicateValues" dxfId="2166" priority="11179"/>
  </conditionalFormatting>
  <conditionalFormatting sqref="F40:F1048576">
    <cfRule type="duplicateValues" dxfId="2165" priority="11153"/>
  </conditionalFormatting>
  <conditionalFormatting sqref="F10:G10">
    <cfRule type="duplicateValues" dxfId="2164" priority="104"/>
    <cfRule type="duplicateValues" dxfId="2163" priority="105"/>
    <cfRule type="duplicateValues" dxfId="2162" priority="106"/>
    <cfRule type="duplicateValues" dxfId="2161" priority="107"/>
    <cfRule type="duplicateValues" dxfId="2160" priority="108"/>
    <cfRule type="duplicateValues" dxfId="2159" priority="109"/>
    <cfRule type="duplicateValues" dxfId="2158" priority="110"/>
    <cfRule type="duplicateValues" dxfId="2157" priority="111"/>
  </conditionalFormatting>
  <conditionalFormatting sqref="F25:G25">
    <cfRule type="duplicateValues" dxfId="2156" priority="124"/>
    <cfRule type="duplicateValues" dxfId="2155" priority="125"/>
    <cfRule type="duplicateValues" dxfId="2154" priority="126"/>
    <cfRule type="duplicateValues" dxfId="2153" priority="127"/>
    <cfRule type="duplicateValues" dxfId="2152" priority="132"/>
    <cfRule type="duplicateValues" dxfId="2151" priority="133"/>
    <cfRule type="duplicateValues" dxfId="2150" priority="134"/>
    <cfRule type="duplicateValues" dxfId="2149" priority="135"/>
  </conditionalFormatting>
  <conditionalFormatting sqref="F26:G26">
    <cfRule type="duplicateValues" dxfId="2148" priority="120"/>
    <cfRule type="duplicateValues" dxfId="2147" priority="121"/>
    <cfRule type="duplicateValues" dxfId="2146" priority="122"/>
    <cfRule type="duplicateValues" dxfId="2145" priority="123"/>
    <cfRule type="duplicateValues" dxfId="2144" priority="128"/>
    <cfRule type="duplicateValues" dxfId="2143" priority="129"/>
    <cfRule type="duplicateValues" dxfId="2142" priority="130"/>
    <cfRule type="duplicateValues" dxfId="2141" priority="131"/>
  </conditionalFormatting>
  <conditionalFormatting sqref="F27:G27">
    <cfRule type="duplicateValues" dxfId="2140" priority="96"/>
    <cfRule type="duplicateValues" dxfId="2139" priority="97"/>
    <cfRule type="duplicateValues" dxfId="2138" priority="98"/>
    <cfRule type="duplicateValues" dxfId="2137" priority="99"/>
    <cfRule type="duplicateValues" dxfId="2136" priority="100"/>
    <cfRule type="duplicateValues" dxfId="2135" priority="101"/>
    <cfRule type="duplicateValues" dxfId="2134" priority="102"/>
    <cfRule type="duplicateValues" dxfId="2133" priority="103"/>
  </conditionalFormatting>
  <conditionalFormatting sqref="F29:G29">
    <cfRule type="duplicateValues" dxfId="2132" priority="112"/>
    <cfRule type="duplicateValues" dxfId="2131" priority="113"/>
    <cfRule type="duplicateValues" dxfId="2130" priority="114"/>
    <cfRule type="duplicateValues" dxfId="2129" priority="115"/>
    <cfRule type="duplicateValues" dxfId="2128" priority="116"/>
    <cfRule type="duplicateValues" dxfId="2127" priority="117"/>
    <cfRule type="duplicateValues" dxfId="2126" priority="118"/>
    <cfRule type="duplicateValues" dxfId="2125" priority="119"/>
  </conditionalFormatting>
  <conditionalFormatting sqref="H14:H36">
    <cfRule type="containsText" dxfId="2124" priority="273" operator="containsText" text="TBA">
      <formula>NOT(ISERROR(SEARCH("TBA",H14)))</formula>
    </cfRule>
  </conditionalFormatting>
  <conditionalFormatting sqref="H31:H32 H14">
    <cfRule type="duplicateValues" dxfId="2123" priority="8499"/>
    <cfRule type="duplicateValues" dxfId="2122" priority="8500"/>
    <cfRule type="duplicateValues" dxfId="2121" priority="8501"/>
    <cfRule type="duplicateValues" dxfId="2120" priority="8502"/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1951-FD01-49AC-88BF-3D85F9CF0E6F}">
  <dimension ref="A1:AF32"/>
  <sheetViews>
    <sheetView topLeftCell="J1" zoomScale="130" zoomScaleNormal="130" workbookViewId="0">
      <selection activeCell="O8" sqref="O8"/>
    </sheetView>
  </sheetViews>
  <sheetFormatPr defaultColWidth="9.5703125" defaultRowHeight="16.5" customHeight="1"/>
  <cols>
    <col min="1" max="1" width="7.140625" style="2" customWidth="1"/>
    <col min="2" max="2" width="7.140625" style="2" bestFit="1" customWidth="1"/>
    <col min="3" max="3" width="25.42578125" style="2" customWidth="1"/>
    <col min="4" max="4" width="9.85546875" style="2" customWidth="1"/>
    <col min="5" max="5" width="22.42578125" style="2" customWidth="1"/>
    <col min="6" max="6" width="9.28515625" style="2" customWidth="1"/>
    <col min="7" max="7" width="9.140625" style="2" customWidth="1"/>
    <col min="8" max="8" width="9" style="2" customWidth="1"/>
    <col min="9" max="9" width="30.5703125" style="2" customWidth="1"/>
    <col min="10" max="10" width="28.5703125" style="2" customWidth="1"/>
    <col min="11" max="11" width="12" style="2" hidden="1" customWidth="1"/>
    <col min="12" max="12" width="9.140625" style="2" hidden="1" customWidth="1"/>
    <col min="13" max="13" width="14.42578125" style="2" hidden="1" customWidth="1"/>
    <col min="14" max="14" width="15.28515625" style="29" customWidth="1"/>
    <col min="15" max="15" width="17.7109375" style="2" customWidth="1"/>
    <col min="16" max="16" width="9.140625" style="2" customWidth="1"/>
    <col min="17" max="17" width="11.28515625" style="59" customWidth="1"/>
    <col min="18" max="18" width="11.85546875" style="59" customWidth="1"/>
    <col min="19" max="19" width="13.140625" style="59" customWidth="1"/>
    <col min="20" max="20" width="9.85546875" style="2" customWidth="1"/>
    <col min="21" max="21" width="10.85546875" style="59" customWidth="1"/>
    <col min="22" max="22" width="12.85546875" style="59" customWidth="1"/>
    <col min="23" max="23" width="10.85546875" style="59" customWidth="1"/>
    <col min="24" max="24" width="12.85546875" style="59" customWidth="1"/>
    <col min="25" max="25" width="10.85546875" style="59" customWidth="1"/>
    <col min="26" max="26" width="12.85546875" style="59" customWidth="1"/>
    <col min="27" max="27" width="10.85546875" style="59" customWidth="1"/>
    <col min="28" max="28" width="12.85546875" style="59" customWidth="1"/>
    <col min="29" max="29" width="18.85546875" style="59" bestFit="1" customWidth="1"/>
    <col min="30" max="30" width="13.5703125" style="59" bestFit="1" customWidth="1"/>
    <col min="31" max="31" width="9.85546875" style="2" bestFit="1" customWidth="1"/>
    <col min="32" max="32" width="10.42578125" style="2" bestFit="1" customWidth="1"/>
    <col min="33" max="16384" width="9.5703125" style="2"/>
  </cols>
  <sheetData>
    <row r="1" spans="1:32" s="1" customFormat="1" ht="16.5" customHeight="1">
      <c r="A1" s="9" t="s">
        <v>0</v>
      </c>
      <c r="B1" s="10"/>
      <c r="C1" s="10"/>
      <c r="D1" s="10"/>
      <c r="E1" s="10"/>
      <c r="F1" s="11"/>
      <c r="G1" s="10"/>
      <c r="H1" s="10"/>
      <c r="I1" s="10"/>
      <c r="J1" s="10"/>
      <c r="K1" s="10"/>
      <c r="L1" s="13">
        <f>SUM(L4:L19)</f>
        <v>560.18200000000002</v>
      </c>
      <c r="M1" s="13">
        <f>SUM(M4:M19)</f>
        <v>562</v>
      </c>
      <c r="N1" s="10"/>
      <c r="O1" s="10"/>
      <c r="P1" s="10"/>
      <c r="Q1" s="55"/>
      <c r="R1" s="55"/>
      <c r="S1" s="55"/>
      <c r="T1" s="10"/>
      <c r="U1" s="55"/>
      <c r="V1" s="55"/>
      <c r="W1" s="55"/>
      <c r="X1" s="55"/>
      <c r="Y1" s="55"/>
      <c r="Z1" s="55"/>
      <c r="AA1" s="55"/>
      <c r="AB1" s="55"/>
      <c r="AC1" s="55"/>
      <c r="AD1" s="55"/>
      <c r="AE1" s="10"/>
      <c r="AF1" s="14"/>
    </row>
    <row r="2" spans="1:32" ht="16.5" customHeight="1">
      <c r="A2" s="84" t="s">
        <v>1</v>
      </c>
      <c r="B2" s="84" t="s">
        <v>2</v>
      </c>
      <c r="C2" s="84" t="s">
        <v>3</v>
      </c>
      <c r="D2" s="84" t="s">
        <v>4</v>
      </c>
      <c r="E2" s="84" t="s">
        <v>5</v>
      </c>
      <c r="F2" s="84" t="s">
        <v>6</v>
      </c>
      <c r="G2" s="84" t="s">
        <v>7</v>
      </c>
      <c r="H2" s="84" t="s">
        <v>8</v>
      </c>
      <c r="I2" s="239" t="s">
        <v>31</v>
      </c>
      <c r="J2" s="240"/>
      <c r="K2" s="84" t="s">
        <v>9</v>
      </c>
      <c r="L2" s="84" t="s">
        <v>10</v>
      </c>
      <c r="M2" s="84" t="s">
        <v>32</v>
      </c>
      <c r="N2" s="84" t="s">
        <v>11</v>
      </c>
      <c r="O2" s="82" t="s">
        <v>12</v>
      </c>
      <c r="P2" s="18" t="s">
        <v>13</v>
      </c>
      <c r="Q2" s="81" t="s">
        <v>14</v>
      </c>
      <c r="R2" s="81"/>
      <c r="S2" s="81"/>
      <c r="T2" s="81"/>
      <c r="U2" s="238" t="s">
        <v>15</v>
      </c>
      <c r="V2" s="238"/>
      <c r="W2" s="238" t="s">
        <v>16</v>
      </c>
      <c r="X2" s="238"/>
      <c r="Y2" s="238" t="s">
        <v>17</v>
      </c>
      <c r="Z2" s="238"/>
      <c r="AA2" s="238" t="s">
        <v>18</v>
      </c>
      <c r="AB2" s="238"/>
      <c r="AC2" s="232" t="s">
        <v>19</v>
      </c>
      <c r="AD2" s="232"/>
      <c r="AE2" s="232"/>
      <c r="AF2" s="236" t="s">
        <v>28</v>
      </c>
    </row>
    <row r="3" spans="1:32" ht="16.5" customHeight="1">
      <c r="A3" s="85"/>
      <c r="B3" s="85"/>
      <c r="C3" s="85"/>
      <c r="D3" s="85"/>
      <c r="E3" s="85"/>
      <c r="F3" s="85"/>
      <c r="G3" s="85"/>
      <c r="H3" s="85"/>
      <c r="I3" s="17" t="s">
        <v>20</v>
      </c>
      <c r="J3" s="17" t="s">
        <v>30</v>
      </c>
      <c r="K3" s="85"/>
      <c r="L3" s="85"/>
      <c r="M3" s="85"/>
      <c r="N3" s="85"/>
      <c r="O3" s="83"/>
      <c r="P3" s="18" t="s">
        <v>21</v>
      </c>
      <c r="Q3" s="56" t="s">
        <v>22</v>
      </c>
      <c r="R3" s="56" t="s">
        <v>23</v>
      </c>
      <c r="S3" s="56" t="s">
        <v>24</v>
      </c>
      <c r="T3" s="19" t="s">
        <v>25</v>
      </c>
      <c r="U3" s="57" t="s">
        <v>22</v>
      </c>
      <c r="V3" s="57" t="s">
        <v>26</v>
      </c>
      <c r="W3" s="57" t="s">
        <v>22</v>
      </c>
      <c r="X3" s="57" t="s">
        <v>26</v>
      </c>
      <c r="Y3" s="57" t="s">
        <v>22</v>
      </c>
      <c r="Z3" s="57" t="s">
        <v>26</v>
      </c>
      <c r="AA3" s="57" t="s">
        <v>22</v>
      </c>
      <c r="AB3" s="57" t="s">
        <v>26</v>
      </c>
      <c r="AC3" s="58" t="s">
        <v>19</v>
      </c>
      <c r="AD3" s="57" t="s">
        <v>27</v>
      </c>
      <c r="AE3" s="22" t="s">
        <v>25</v>
      </c>
      <c r="AF3" s="237"/>
    </row>
    <row r="4" spans="1:32" ht="16.5" customHeight="1">
      <c r="A4" s="32">
        <f t="shared" ref="A4:A19" si="0">ROW()-3</f>
        <v>1</v>
      </c>
      <c r="B4" s="23" t="s">
        <v>204</v>
      </c>
      <c r="C4" s="3" t="s">
        <v>966</v>
      </c>
      <c r="D4" s="3" t="s">
        <v>29</v>
      </c>
      <c r="E4" s="3" t="s">
        <v>1157</v>
      </c>
      <c r="F4" s="80" t="s">
        <v>1044</v>
      </c>
      <c r="G4" s="80" t="s">
        <v>1045</v>
      </c>
      <c r="H4" s="80"/>
      <c r="I4" s="5" t="s">
        <v>1057</v>
      </c>
      <c r="J4" s="5" t="s">
        <v>1067</v>
      </c>
      <c r="K4" s="5" t="s">
        <v>1074</v>
      </c>
      <c r="L4" s="3">
        <v>36.936999999999998</v>
      </c>
      <c r="M4" s="122">
        <v>37</v>
      </c>
      <c r="N4" s="80" t="s">
        <v>244</v>
      </c>
      <c r="O4" s="80" t="s">
        <v>687</v>
      </c>
      <c r="P4" s="79" t="s">
        <v>212</v>
      </c>
      <c r="Q4" s="66">
        <v>45834</v>
      </c>
      <c r="R4" s="66">
        <v>45842</v>
      </c>
      <c r="S4" s="66">
        <v>45849</v>
      </c>
      <c r="T4" s="54">
        <f>MAX(0,S4-Q4)</f>
        <v>15</v>
      </c>
      <c r="U4" s="66">
        <v>45850</v>
      </c>
      <c r="V4" s="66">
        <v>45855</v>
      </c>
      <c r="W4" s="66">
        <v>45855</v>
      </c>
      <c r="X4" s="66">
        <v>45857</v>
      </c>
      <c r="Y4" s="66">
        <v>45859</v>
      </c>
      <c r="Z4" s="66">
        <v>45862</v>
      </c>
      <c r="AA4" s="66">
        <v>45862</v>
      </c>
      <c r="AB4" s="66">
        <v>45872</v>
      </c>
      <c r="AC4" s="66">
        <v>45879</v>
      </c>
      <c r="AD4" s="66">
        <v>45894</v>
      </c>
      <c r="AE4" s="54">
        <f>MAX(0,AD4-AB4)</f>
        <v>22</v>
      </c>
      <c r="AF4" s="16"/>
    </row>
    <row r="5" spans="1:32" ht="16.5" customHeight="1">
      <c r="A5" s="32">
        <f t="shared" si="0"/>
        <v>2</v>
      </c>
      <c r="B5" s="23" t="s">
        <v>204</v>
      </c>
      <c r="C5" s="3" t="s">
        <v>966</v>
      </c>
      <c r="D5" s="3" t="s">
        <v>29</v>
      </c>
      <c r="E5" s="3" t="s">
        <v>1154</v>
      </c>
      <c r="F5" s="80" t="s">
        <v>1032</v>
      </c>
      <c r="G5" s="80" t="s">
        <v>1033</v>
      </c>
      <c r="H5" s="80"/>
      <c r="I5" s="5" t="s">
        <v>1052</v>
      </c>
      <c r="J5" s="5" t="s">
        <v>1062</v>
      </c>
      <c r="K5" s="5" t="s">
        <v>1070</v>
      </c>
      <c r="L5" s="3">
        <v>30.731000000000002</v>
      </c>
      <c r="M5" s="122">
        <v>31</v>
      </c>
      <c r="N5" s="80" t="s">
        <v>244</v>
      </c>
      <c r="O5" s="80" t="s">
        <v>687</v>
      </c>
      <c r="P5" s="79" t="s">
        <v>212</v>
      </c>
      <c r="Q5" s="66">
        <v>45834</v>
      </c>
      <c r="R5" s="66">
        <v>45840</v>
      </c>
      <c r="S5" s="66">
        <v>45846</v>
      </c>
      <c r="T5" s="54">
        <f>MAX(0,S5-Q5)</f>
        <v>12</v>
      </c>
      <c r="U5" s="66">
        <v>45847</v>
      </c>
      <c r="V5" s="66">
        <v>45852</v>
      </c>
      <c r="W5" s="66">
        <v>45852</v>
      </c>
      <c r="X5" s="66">
        <v>45854</v>
      </c>
      <c r="Y5" s="66">
        <v>45861</v>
      </c>
      <c r="Z5" s="66">
        <v>45863</v>
      </c>
      <c r="AA5" s="66">
        <v>45863</v>
      </c>
      <c r="AB5" s="66">
        <v>45872</v>
      </c>
      <c r="AC5" s="66">
        <v>45876</v>
      </c>
      <c r="AD5" s="66">
        <v>45882</v>
      </c>
      <c r="AE5" s="54">
        <f>MAX(0,AD5-AB5)</f>
        <v>10</v>
      </c>
      <c r="AF5" s="16"/>
    </row>
    <row r="6" spans="1:32" ht="16.5" customHeight="1">
      <c r="A6" s="32">
        <f>ROW()-3</f>
        <v>3</v>
      </c>
      <c r="B6" s="23" t="s">
        <v>204</v>
      </c>
      <c r="C6" s="3" t="s">
        <v>966</v>
      </c>
      <c r="D6" s="3" t="s">
        <v>29</v>
      </c>
      <c r="E6" s="3" t="s">
        <v>1161</v>
      </c>
      <c r="F6" s="80" t="s">
        <v>767</v>
      </c>
      <c r="G6" s="80" t="s">
        <v>768</v>
      </c>
      <c r="H6" s="80" t="s">
        <v>769</v>
      </c>
      <c r="I6" s="5" t="s">
        <v>775</v>
      </c>
      <c r="J6" s="5" t="s">
        <v>779</v>
      </c>
      <c r="K6" s="5" t="s">
        <v>1023</v>
      </c>
      <c r="L6" s="3">
        <v>36.344000000000001</v>
      </c>
      <c r="M6" s="122">
        <v>36</v>
      </c>
      <c r="N6" s="80" t="s">
        <v>244</v>
      </c>
      <c r="O6" s="80" t="s">
        <v>687</v>
      </c>
      <c r="P6" s="79" t="s">
        <v>212</v>
      </c>
      <c r="Q6" s="66">
        <v>45831</v>
      </c>
      <c r="R6" s="66">
        <v>45842</v>
      </c>
      <c r="S6" s="66">
        <v>45849</v>
      </c>
      <c r="T6" s="54">
        <f t="shared" ref="T6:T8" si="1">MAX(0,S6-Q6)</f>
        <v>18</v>
      </c>
      <c r="U6" s="66">
        <v>45850</v>
      </c>
      <c r="V6" s="66">
        <v>45855</v>
      </c>
      <c r="W6" s="66">
        <v>45855</v>
      </c>
      <c r="X6" s="66">
        <v>45856</v>
      </c>
      <c r="Y6" s="66">
        <v>45861</v>
      </c>
      <c r="Z6" s="66">
        <v>45863</v>
      </c>
      <c r="AA6" s="66">
        <v>45863</v>
      </c>
      <c r="AB6" s="66">
        <v>45870</v>
      </c>
      <c r="AC6" s="66">
        <v>45878</v>
      </c>
      <c r="AD6" s="66">
        <v>45878</v>
      </c>
      <c r="AE6" s="54">
        <f t="shared" ref="AE6:AE8" si="2">MAX(0,AD6-AB6)</f>
        <v>8</v>
      </c>
      <c r="AF6" s="16"/>
    </row>
    <row r="7" spans="1:32" ht="16.5" customHeight="1">
      <c r="A7" s="32">
        <f t="shared" si="0"/>
        <v>4</v>
      </c>
      <c r="B7" s="23" t="s">
        <v>204</v>
      </c>
      <c r="C7" s="3" t="s">
        <v>966</v>
      </c>
      <c r="D7" s="3" t="s">
        <v>29</v>
      </c>
      <c r="E7" s="3" t="s">
        <v>1155</v>
      </c>
      <c r="F7" s="80" t="s">
        <v>1041</v>
      </c>
      <c r="G7" s="80" t="s">
        <v>1042</v>
      </c>
      <c r="H7" s="80" t="s">
        <v>1043</v>
      </c>
      <c r="I7" s="5" t="s">
        <v>1056</v>
      </c>
      <c r="J7" s="5" t="s">
        <v>1066</v>
      </c>
      <c r="K7" s="5" t="s">
        <v>1076</v>
      </c>
      <c r="L7" s="3">
        <v>35.156999999999996</v>
      </c>
      <c r="M7" s="80">
        <v>35</v>
      </c>
      <c r="N7" s="80" t="s">
        <v>244</v>
      </c>
      <c r="O7" s="80" t="s">
        <v>687</v>
      </c>
      <c r="P7" s="79" t="s">
        <v>212</v>
      </c>
      <c r="Q7" s="66">
        <v>45834</v>
      </c>
      <c r="R7" s="66">
        <v>45842</v>
      </c>
      <c r="S7" s="66">
        <v>45849</v>
      </c>
      <c r="T7" s="54">
        <f t="shared" si="1"/>
        <v>15</v>
      </c>
      <c r="U7" s="66">
        <v>45850</v>
      </c>
      <c r="V7" s="66">
        <v>45855</v>
      </c>
      <c r="W7" s="66">
        <v>45855</v>
      </c>
      <c r="X7" s="66">
        <v>45856</v>
      </c>
      <c r="Y7" s="66">
        <v>45858</v>
      </c>
      <c r="Z7" s="66">
        <v>45862</v>
      </c>
      <c r="AA7" s="66">
        <v>45862</v>
      </c>
      <c r="AB7" s="66">
        <v>45868</v>
      </c>
      <c r="AC7" s="66">
        <v>45874</v>
      </c>
      <c r="AD7" s="66">
        <v>45875</v>
      </c>
      <c r="AE7" s="54">
        <f t="shared" si="2"/>
        <v>7</v>
      </c>
      <c r="AF7" s="16"/>
    </row>
    <row r="8" spans="1:32" ht="16.5" customHeight="1">
      <c r="A8" s="32">
        <f t="shared" si="0"/>
        <v>5</v>
      </c>
      <c r="B8" s="23" t="s">
        <v>204</v>
      </c>
      <c r="C8" s="3" t="s">
        <v>966</v>
      </c>
      <c r="D8" s="3" t="s">
        <v>29</v>
      </c>
      <c r="E8" s="3" t="s">
        <v>1150</v>
      </c>
      <c r="F8" s="80" t="s">
        <v>290</v>
      </c>
      <c r="G8" s="80" t="s">
        <v>291</v>
      </c>
      <c r="H8" s="80" t="s">
        <v>292</v>
      </c>
      <c r="I8" s="5" t="s">
        <v>1003</v>
      </c>
      <c r="J8" s="80" t="s">
        <v>970</v>
      </c>
      <c r="K8" s="5" t="s">
        <v>1013</v>
      </c>
      <c r="L8" s="3">
        <v>34.265000000000001</v>
      </c>
      <c r="M8" s="5">
        <v>35</v>
      </c>
      <c r="N8" s="80" t="s">
        <v>244</v>
      </c>
      <c r="O8" s="80" t="s">
        <v>687</v>
      </c>
      <c r="P8" s="79" t="s">
        <v>212</v>
      </c>
      <c r="Q8" s="66">
        <v>45833</v>
      </c>
      <c r="R8" s="66">
        <v>45839</v>
      </c>
      <c r="S8" s="66">
        <v>45847</v>
      </c>
      <c r="T8" s="54">
        <f t="shared" si="1"/>
        <v>14</v>
      </c>
      <c r="U8" s="66">
        <v>45848</v>
      </c>
      <c r="V8" s="66">
        <v>45852</v>
      </c>
      <c r="W8" s="66">
        <v>45852</v>
      </c>
      <c r="X8" s="66">
        <v>45853</v>
      </c>
      <c r="Y8" s="66">
        <v>45857</v>
      </c>
      <c r="Z8" s="66">
        <v>45859</v>
      </c>
      <c r="AA8" s="66">
        <v>45859</v>
      </c>
      <c r="AB8" s="66">
        <v>45861</v>
      </c>
      <c r="AC8" s="66">
        <v>45866</v>
      </c>
      <c r="AD8" s="66">
        <v>45871</v>
      </c>
      <c r="AE8" s="54">
        <f t="shared" si="2"/>
        <v>10</v>
      </c>
      <c r="AF8" s="16"/>
    </row>
    <row r="9" spans="1:32" ht="16.5" customHeight="1">
      <c r="A9" s="32">
        <f t="shared" si="0"/>
        <v>6</v>
      </c>
      <c r="B9" s="23" t="s">
        <v>204</v>
      </c>
      <c r="C9" s="3" t="s">
        <v>966</v>
      </c>
      <c r="D9" s="3" t="s">
        <v>29</v>
      </c>
      <c r="E9" s="3" t="s">
        <v>1162</v>
      </c>
      <c r="F9" s="80" t="s">
        <v>995</v>
      </c>
      <c r="G9" s="80" t="s">
        <v>996</v>
      </c>
      <c r="H9" s="80" t="s">
        <v>997</v>
      </c>
      <c r="I9" s="5" t="s">
        <v>1007</v>
      </c>
      <c r="J9" s="80" t="s">
        <v>974</v>
      </c>
      <c r="K9" s="5" t="s">
        <v>1015</v>
      </c>
      <c r="L9" s="3">
        <v>35.555</v>
      </c>
      <c r="M9" s="5">
        <v>35</v>
      </c>
      <c r="N9" s="80" t="s">
        <v>244</v>
      </c>
      <c r="O9" s="80" t="s">
        <v>687</v>
      </c>
      <c r="P9" s="79" t="s">
        <v>212</v>
      </c>
      <c r="Q9" s="66">
        <v>45836</v>
      </c>
      <c r="R9" s="66">
        <v>45842</v>
      </c>
      <c r="S9" s="66">
        <v>45849</v>
      </c>
      <c r="T9" s="54">
        <f t="shared" ref="T9:T18" si="3">MAX(0,S9-Q9)</f>
        <v>13</v>
      </c>
      <c r="U9" s="66">
        <v>45850</v>
      </c>
      <c r="V9" s="66">
        <v>45855</v>
      </c>
      <c r="W9" s="66">
        <v>45855</v>
      </c>
      <c r="X9" s="66">
        <v>45856</v>
      </c>
      <c r="Y9" s="66">
        <v>45858</v>
      </c>
      <c r="Z9" s="66">
        <v>45860</v>
      </c>
      <c r="AA9" s="66">
        <v>45860</v>
      </c>
      <c r="AB9" s="66">
        <v>45862</v>
      </c>
      <c r="AC9" s="66">
        <v>45865</v>
      </c>
      <c r="AD9" s="66">
        <v>45870</v>
      </c>
      <c r="AE9" s="54">
        <f t="shared" ref="AE9" si="4">MAX(0,AD9-AB9)</f>
        <v>8</v>
      </c>
      <c r="AF9" s="36"/>
    </row>
    <row r="10" spans="1:32" ht="16.5" customHeight="1">
      <c r="A10" s="32">
        <f t="shared" si="0"/>
        <v>7</v>
      </c>
      <c r="B10" s="23" t="s">
        <v>204</v>
      </c>
      <c r="C10" s="3" t="s">
        <v>966</v>
      </c>
      <c r="D10" s="3" t="s">
        <v>29</v>
      </c>
      <c r="E10" s="3" t="s">
        <v>1170</v>
      </c>
      <c r="F10" s="80" t="s">
        <v>1028</v>
      </c>
      <c r="G10" s="80" t="s">
        <v>1029</v>
      </c>
      <c r="H10" s="80"/>
      <c r="I10" s="5" t="s">
        <v>1050</v>
      </c>
      <c r="J10" s="5" t="s">
        <v>1060</v>
      </c>
      <c r="K10" s="5" t="s">
        <v>1068</v>
      </c>
      <c r="L10" s="3">
        <v>35.893999999999998</v>
      </c>
      <c r="M10" s="122">
        <v>37</v>
      </c>
      <c r="N10" s="80" t="s">
        <v>244</v>
      </c>
      <c r="O10" s="80" t="s">
        <v>687</v>
      </c>
      <c r="P10" s="79" t="s">
        <v>212</v>
      </c>
      <c r="Q10" s="66">
        <v>45834</v>
      </c>
      <c r="R10" s="66">
        <v>45840</v>
      </c>
      <c r="S10" s="66">
        <v>45846</v>
      </c>
      <c r="T10" s="54">
        <f t="shared" ref="T10:T11" si="5">MAX(0,S10-Q10)</f>
        <v>12</v>
      </c>
      <c r="U10" s="66">
        <v>45847</v>
      </c>
      <c r="V10" s="66">
        <v>45852</v>
      </c>
      <c r="W10" s="66">
        <v>45852</v>
      </c>
      <c r="X10" s="66">
        <v>45854</v>
      </c>
      <c r="Y10" s="66">
        <v>45857</v>
      </c>
      <c r="Z10" s="66">
        <v>45858</v>
      </c>
      <c r="AA10" s="66">
        <v>45858</v>
      </c>
      <c r="AB10" s="66">
        <v>45858</v>
      </c>
      <c r="AC10" s="66">
        <v>45864</v>
      </c>
      <c r="AD10" s="66">
        <v>45868</v>
      </c>
      <c r="AE10" s="54">
        <f>MAX(0,AD10-AB10)</f>
        <v>10</v>
      </c>
      <c r="AF10" s="16"/>
    </row>
    <row r="11" spans="1:32" ht="16.5" customHeight="1">
      <c r="A11" s="32">
        <f t="shared" si="0"/>
        <v>8</v>
      </c>
      <c r="B11" s="23" t="s">
        <v>204</v>
      </c>
      <c r="C11" s="3" t="s">
        <v>966</v>
      </c>
      <c r="D11" s="3" t="s">
        <v>29</v>
      </c>
      <c r="E11" s="3" t="s">
        <v>1171</v>
      </c>
      <c r="F11" s="80" t="s">
        <v>1034</v>
      </c>
      <c r="G11" s="80" t="s">
        <v>1035</v>
      </c>
      <c r="H11" s="80" t="s">
        <v>1036</v>
      </c>
      <c r="I11" s="5" t="s">
        <v>1053</v>
      </c>
      <c r="J11" s="5" t="s">
        <v>1063</v>
      </c>
      <c r="K11" s="5" t="s">
        <v>1071</v>
      </c>
      <c r="L11" s="3">
        <v>35.893999999999998</v>
      </c>
      <c r="M11" s="122">
        <v>35</v>
      </c>
      <c r="N11" s="80" t="s">
        <v>244</v>
      </c>
      <c r="O11" s="80" t="s">
        <v>687</v>
      </c>
      <c r="P11" s="79" t="s">
        <v>212</v>
      </c>
      <c r="Q11" s="66">
        <v>45834</v>
      </c>
      <c r="R11" s="66">
        <v>45840</v>
      </c>
      <c r="S11" s="66">
        <v>45846</v>
      </c>
      <c r="T11" s="54">
        <f t="shared" si="5"/>
        <v>12</v>
      </c>
      <c r="U11" s="66">
        <v>45847</v>
      </c>
      <c r="V11" s="66">
        <v>45852</v>
      </c>
      <c r="W11" s="66">
        <v>45852</v>
      </c>
      <c r="X11" s="66">
        <v>45854</v>
      </c>
      <c r="Y11" s="66">
        <v>45856</v>
      </c>
      <c r="Z11" s="66">
        <v>45858</v>
      </c>
      <c r="AA11" s="66">
        <v>45858</v>
      </c>
      <c r="AB11" s="66">
        <v>45860</v>
      </c>
      <c r="AC11" s="66">
        <v>45864</v>
      </c>
      <c r="AD11" s="66">
        <v>45868</v>
      </c>
      <c r="AE11" s="54">
        <f>MAX(0,AD11-AB11)</f>
        <v>8</v>
      </c>
      <c r="AF11" s="16"/>
    </row>
    <row r="12" spans="1:32" ht="16.5" customHeight="1">
      <c r="A12" s="32">
        <f t="shared" si="0"/>
        <v>9</v>
      </c>
      <c r="B12" s="23" t="s">
        <v>204</v>
      </c>
      <c r="C12" s="3" t="s">
        <v>966</v>
      </c>
      <c r="D12" s="3" t="s">
        <v>29</v>
      </c>
      <c r="E12" s="3" t="s">
        <v>1158</v>
      </c>
      <c r="F12" s="80" t="s">
        <v>985</v>
      </c>
      <c r="G12" s="80" t="s">
        <v>986</v>
      </c>
      <c r="H12" s="132"/>
      <c r="I12" s="107" t="s">
        <v>1002</v>
      </c>
      <c r="J12" s="80" t="s">
        <v>969</v>
      </c>
      <c r="K12" s="5" t="s">
        <v>1012</v>
      </c>
      <c r="L12" s="3">
        <v>36.262</v>
      </c>
      <c r="M12" s="80">
        <v>37</v>
      </c>
      <c r="N12" s="80" t="s">
        <v>244</v>
      </c>
      <c r="O12" s="80" t="s">
        <v>687</v>
      </c>
      <c r="P12" s="79" t="s">
        <v>212</v>
      </c>
      <c r="Q12" s="66">
        <v>45836</v>
      </c>
      <c r="R12" s="66">
        <v>45842</v>
      </c>
      <c r="S12" s="66">
        <v>45849</v>
      </c>
      <c r="T12" s="54">
        <f>MAX(0,S12-Q12)</f>
        <v>13</v>
      </c>
      <c r="U12" s="66">
        <v>45850</v>
      </c>
      <c r="V12" s="66">
        <v>45855</v>
      </c>
      <c r="W12" s="66">
        <v>45855</v>
      </c>
      <c r="X12" s="66">
        <v>45856</v>
      </c>
      <c r="Y12" s="66">
        <v>45859</v>
      </c>
      <c r="Z12" s="66">
        <v>45860</v>
      </c>
      <c r="AA12" s="66">
        <v>45860</v>
      </c>
      <c r="AB12" s="66">
        <v>45862</v>
      </c>
      <c r="AC12" s="66">
        <v>45864</v>
      </c>
      <c r="AD12" s="66">
        <v>45868</v>
      </c>
      <c r="AE12" s="54">
        <f>MAX(0,AD12-AB12)</f>
        <v>6</v>
      </c>
      <c r="AF12" s="16"/>
    </row>
    <row r="13" spans="1:32" ht="16.5" customHeight="1">
      <c r="A13" s="32">
        <f t="shared" si="0"/>
        <v>10</v>
      </c>
      <c r="B13" s="23" t="s">
        <v>204</v>
      </c>
      <c r="C13" s="3" t="s">
        <v>966</v>
      </c>
      <c r="D13" s="3" t="s">
        <v>29</v>
      </c>
      <c r="E13" s="3" t="s">
        <v>1160</v>
      </c>
      <c r="F13" s="80" t="s">
        <v>982</v>
      </c>
      <c r="G13" s="80" t="s">
        <v>983</v>
      </c>
      <c r="H13" s="80" t="s">
        <v>984</v>
      </c>
      <c r="I13" s="5" t="s">
        <v>1001</v>
      </c>
      <c r="J13" s="5" t="s">
        <v>968</v>
      </c>
      <c r="K13" s="5" t="s">
        <v>1011</v>
      </c>
      <c r="L13" s="3">
        <v>36.53</v>
      </c>
      <c r="M13" s="80">
        <v>36</v>
      </c>
      <c r="N13" s="80" t="s">
        <v>244</v>
      </c>
      <c r="O13" s="80" t="s">
        <v>687</v>
      </c>
      <c r="P13" s="79" t="s">
        <v>212</v>
      </c>
      <c r="Q13" s="66">
        <v>45836</v>
      </c>
      <c r="R13" s="66">
        <v>45842</v>
      </c>
      <c r="S13" s="66">
        <v>45849</v>
      </c>
      <c r="T13" s="54">
        <f>MAX(0,S13-Q13)</f>
        <v>13</v>
      </c>
      <c r="U13" s="66">
        <v>45850</v>
      </c>
      <c r="V13" s="66">
        <v>45855</v>
      </c>
      <c r="W13" s="66">
        <v>45855</v>
      </c>
      <c r="X13" s="66">
        <v>45856</v>
      </c>
      <c r="Y13" s="66">
        <v>45858</v>
      </c>
      <c r="Z13" s="66">
        <v>45860</v>
      </c>
      <c r="AA13" s="66">
        <v>45860</v>
      </c>
      <c r="AB13" s="66">
        <v>45862</v>
      </c>
      <c r="AC13" s="66">
        <v>45864</v>
      </c>
      <c r="AD13" s="66">
        <v>45867</v>
      </c>
      <c r="AE13" s="54">
        <f t="shared" ref="AE13:AE18" si="6">MAX(0,AD13-AB13)</f>
        <v>5</v>
      </c>
      <c r="AF13" s="16"/>
    </row>
    <row r="14" spans="1:32" ht="16.5" customHeight="1">
      <c r="A14" s="32">
        <f t="shared" si="0"/>
        <v>11</v>
      </c>
      <c r="B14" s="23" t="s">
        <v>204</v>
      </c>
      <c r="C14" s="3" t="s">
        <v>966</v>
      </c>
      <c r="D14" s="3" t="s">
        <v>29</v>
      </c>
      <c r="E14" s="3" t="s">
        <v>1153</v>
      </c>
      <c r="F14" s="80" t="s">
        <v>1026</v>
      </c>
      <c r="G14" s="80" t="s">
        <v>1027</v>
      </c>
      <c r="H14" s="80"/>
      <c r="I14" s="5" t="s">
        <v>1049</v>
      </c>
      <c r="J14" s="5" t="s">
        <v>1059</v>
      </c>
      <c r="K14" s="5" t="s">
        <v>1077</v>
      </c>
      <c r="L14" s="3">
        <v>36.042999999999999</v>
      </c>
      <c r="M14" s="122">
        <v>37</v>
      </c>
      <c r="N14" s="80" t="s">
        <v>244</v>
      </c>
      <c r="O14" s="80" t="s">
        <v>687</v>
      </c>
      <c r="P14" s="79" t="s">
        <v>212</v>
      </c>
      <c r="Q14" s="66">
        <v>45834</v>
      </c>
      <c r="R14" s="66">
        <v>45840</v>
      </c>
      <c r="S14" s="66">
        <v>45846</v>
      </c>
      <c r="T14" s="54">
        <f t="shared" si="3"/>
        <v>12</v>
      </c>
      <c r="U14" s="66">
        <v>45847</v>
      </c>
      <c r="V14" s="66">
        <v>45852</v>
      </c>
      <c r="W14" s="66">
        <v>45852</v>
      </c>
      <c r="X14" s="66">
        <v>45854</v>
      </c>
      <c r="Y14" s="66">
        <v>45856</v>
      </c>
      <c r="Z14" s="66">
        <v>45857</v>
      </c>
      <c r="AA14" s="66">
        <v>45857</v>
      </c>
      <c r="AB14" s="66">
        <v>45859</v>
      </c>
      <c r="AC14" s="66">
        <v>45863</v>
      </c>
      <c r="AD14" s="66">
        <v>45866</v>
      </c>
      <c r="AE14" s="54">
        <f t="shared" si="6"/>
        <v>7</v>
      </c>
      <c r="AF14" s="16"/>
    </row>
    <row r="15" spans="1:32" ht="16.5" customHeight="1">
      <c r="A15" s="32">
        <f t="shared" si="0"/>
        <v>12</v>
      </c>
      <c r="B15" s="23" t="s">
        <v>204</v>
      </c>
      <c r="C15" s="3" t="s">
        <v>966</v>
      </c>
      <c r="D15" s="3" t="s">
        <v>29</v>
      </c>
      <c r="E15" s="3" t="s">
        <v>1152</v>
      </c>
      <c r="F15" s="80" t="s">
        <v>1037</v>
      </c>
      <c r="G15" s="80" t="s">
        <v>1038</v>
      </c>
      <c r="H15" s="80"/>
      <c r="I15" s="5" t="s">
        <v>1054</v>
      </c>
      <c r="J15" s="5" t="s">
        <v>1064</v>
      </c>
      <c r="K15" s="5" t="s">
        <v>1072</v>
      </c>
      <c r="L15" s="3">
        <v>36.390999999999998</v>
      </c>
      <c r="M15" s="122">
        <v>37</v>
      </c>
      <c r="N15" s="80" t="s">
        <v>244</v>
      </c>
      <c r="O15" s="80" t="s">
        <v>687</v>
      </c>
      <c r="P15" s="79" t="s">
        <v>212</v>
      </c>
      <c r="Q15" s="66">
        <v>45834</v>
      </c>
      <c r="R15" s="66">
        <v>45840</v>
      </c>
      <c r="S15" s="66">
        <v>45846</v>
      </c>
      <c r="T15" s="54">
        <f t="shared" si="3"/>
        <v>12</v>
      </c>
      <c r="U15" s="66">
        <v>45847</v>
      </c>
      <c r="V15" s="66">
        <v>45852</v>
      </c>
      <c r="W15" s="66">
        <v>45852</v>
      </c>
      <c r="X15" s="66">
        <v>45854</v>
      </c>
      <c r="Y15" s="66">
        <v>45857</v>
      </c>
      <c r="Z15" s="66">
        <v>45858</v>
      </c>
      <c r="AA15" s="66">
        <v>45858</v>
      </c>
      <c r="AB15" s="66">
        <v>45861</v>
      </c>
      <c r="AC15" s="66">
        <v>45863</v>
      </c>
      <c r="AD15" s="66">
        <v>45866</v>
      </c>
      <c r="AE15" s="54">
        <f t="shared" si="6"/>
        <v>5</v>
      </c>
      <c r="AF15" s="16"/>
    </row>
    <row r="16" spans="1:32" ht="16.5" customHeight="1">
      <c r="A16" s="32">
        <f t="shared" si="0"/>
        <v>13</v>
      </c>
      <c r="B16" s="23" t="s">
        <v>204</v>
      </c>
      <c r="C16" s="3" t="s">
        <v>966</v>
      </c>
      <c r="D16" s="3" t="s">
        <v>29</v>
      </c>
      <c r="E16" s="3" t="s">
        <v>1175</v>
      </c>
      <c r="F16" s="80" t="s">
        <v>516</v>
      </c>
      <c r="G16" s="80" t="s">
        <v>520</v>
      </c>
      <c r="H16" s="80" t="s">
        <v>521</v>
      </c>
      <c r="I16" s="5" t="s">
        <v>525</v>
      </c>
      <c r="J16" s="5" t="s">
        <v>529</v>
      </c>
      <c r="K16" s="5" t="s">
        <v>1024</v>
      </c>
      <c r="L16" s="3">
        <v>36.277000000000001</v>
      </c>
      <c r="M16" s="80">
        <v>36</v>
      </c>
      <c r="N16" s="80" t="s">
        <v>244</v>
      </c>
      <c r="O16" s="80" t="s">
        <v>687</v>
      </c>
      <c r="P16" s="79" t="s">
        <v>212</v>
      </c>
      <c r="Q16" s="66">
        <v>45832</v>
      </c>
      <c r="R16" s="66">
        <v>45833</v>
      </c>
      <c r="S16" s="66">
        <v>45840</v>
      </c>
      <c r="T16" s="54">
        <f t="shared" si="3"/>
        <v>8</v>
      </c>
      <c r="U16" s="66">
        <v>45811</v>
      </c>
      <c r="V16" s="66">
        <v>45845</v>
      </c>
      <c r="W16" s="66">
        <v>45845</v>
      </c>
      <c r="X16" s="66">
        <v>45846</v>
      </c>
      <c r="Y16" s="66">
        <v>45850</v>
      </c>
      <c r="Z16" s="66">
        <v>45852</v>
      </c>
      <c r="AA16" s="66">
        <v>45852</v>
      </c>
      <c r="AB16" s="66">
        <v>45855</v>
      </c>
      <c r="AC16" s="66">
        <v>45857</v>
      </c>
      <c r="AD16" s="66">
        <v>45866</v>
      </c>
      <c r="AE16" s="54">
        <f t="shared" si="6"/>
        <v>11</v>
      </c>
      <c r="AF16" s="16"/>
    </row>
    <row r="17" spans="1:32" ht="16.5" customHeight="1">
      <c r="A17" s="32">
        <f t="shared" si="0"/>
        <v>14</v>
      </c>
      <c r="B17" s="23" t="s">
        <v>204</v>
      </c>
      <c r="C17" s="3" t="s">
        <v>966</v>
      </c>
      <c r="D17" s="3" t="s">
        <v>29</v>
      </c>
      <c r="E17" s="3" t="s">
        <v>1151</v>
      </c>
      <c r="F17" s="80" t="s">
        <v>1030</v>
      </c>
      <c r="G17" s="80" t="s">
        <v>1031</v>
      </c>
      <c r="H17" s="80"/>
      <c r="I17" s="5" t="s">
        <v>1051</v>
      </c>
      <c r="J17" s="5" t="s">
        <v>1061</v>
      </c>
      <c r="K17" s="5" t="s">
        <v>1069</v>
      </c>
      <c r="L17" s="3">
        <v>37.161999999999999</v>
      </c>
      <c r="M17" s="122">
        <v>37</v>
      </c>
      <c r="N17" s="80" t="s">
        <v>244</v>
      </c>
      <c r="O17" s="80" t="s">
        <v>687</v>
      </c>
      <c r="P17" s="79" t="s">
        <v>212</v>
      </c>
      <c r="Q17" s="66">
        <v>45834</v>
      </c>
      <c r="R17" s="66">
        <v>45840</v>
      </c>
      <c r="S17" s="66">
        <v>45846</v>
      </c>
      <c r="T17" s="54">
        <f t="shared" si="3"/>
        <v>12</v>
      </c>
      <c r="U17" s="66">
        <v>45847</v>
      </c>
      <c r="V17" s="66">
        <v>45852</v>
      </c>
      <c r="W17" s="66">
        <v>45852</v>
      </c>
      <c r="X17" s="66">
        <v>45854</v>
      </c>
      <c r="Y17" s="66">
        <v>45856</v>
      </c>
      <c r="Z17" s="66">
        <v>45857</v>
      </c>
      <c r="AA17" s="66">
        <v>45857</v>
      </c>
      <c r="AB17" s="66">
        <v>45859</v>
      </c>
      <c r="AC17" s="66">
        <v>45861</v>
      </c>
      <c r="AD17" s="66">
        <v>45866</v>
      </c>
      <c r="AE17" s="54">
        <f t="shared" si="6"/>
        <v>7</v>
      </c>
      <c r="AF17" s="16"/>
    </row>
    <row r="18" spans="1:32" ht="16.5" customHeight="1">
      <c r="A18" s="32">
        <f t="shared" si="0"/>
        <v>15</v>
      </c>
      <c r="B18" s="23" t="s">
        <v>204</v>
      </c>
      <c r="C18" s="3" t="s">
        <v>966</v>
      </c>
      <c r="D18" s="3" t="s">
        <v>29</v>
      </c>
      <c r="E18" s="3" t="s">
        <v>1156</v>
      </c>
      <c r="F18" s="80" t="s">
        <v>1039</v>
      </c>
      <c r="G18" s="80" t="s">
        <v>1040</v>
      </c>
      <c r="H18" s="80"/>
      <c r="I18" s="5" t="s">
        <v>1055</v>
      </c>
      <c r="J18" s="5" t="s">
        <v>1065</v>
      </c>
      <c r="K18" s="5" t="s">
        <v>1073</v>
      </c>
      <c r="L18" s="3">
        <v>29.385999999999999</v>
      </c>
      <c r="M18" s="122">
        <v>30</v>
      </c>
      <c r="N18" s="80" t="s">
        <v>244</v>
      </c>
      <c r="O18" s="80" t="s">
        <v>687</v>
      </c>
      <c r="P18" s="79" t="s">
        <v>212</v>
      </c>
      <c r="Q18" s="66">
        <v>45834</v>
      </c>
      <c r="R18" s="66">
        <v>45842</v>
      </c>
      <c r="S18" s="66">
        <v>45849</v>
      </c>
      <c r="T18" s="54">
        <f t="shared" si="3"/>
        <v>15</v>
      </c>
      <c r="U18" s="66">
        <v>45850</v>
      </c>
      <c r="V18" s="66">
        <v>45855</v>
      </c>
      <c r="W18" s="66">
        <v>45855</v>
      </c>
      <c r="X18" s="66">
        <v>45856</v>
      </c>
      <c r="Y18" s="66">
        <v>45858</v>
      </c>
      <c r="Z18" s="66">
        <v>45860</v>
      </c>
      <c r="AA18" s="66">
        <v>45860</v>
      </c>
      <c r="AB18" s="66">
        <v>45862</v>
      </c>
      <c r="AC18" s="66">
        <v>45864</v>
      </c>
      <c r="AD18" s="66">
        <v>45866</v>
      </c>
      <c r="AE18" s="54">
        <f t="shared" si="6"/>
        <v>4</v>
      </c>
      <c r="AF18" s="16"/>
    </row>
    <row r="19" spans="1:32" ht="16.5" customHeight="1">
      <c r="A19" s="32">
        <f t="shared" si="0"/>
        <v>16</v>
      </c>
      <c r="B19" s="23" t="s">
        <v>204</v>
      </c>
      <c r="C19" s="3" t="s">
        <v>966</v>
      </c>
      <c r="D19" s="3" t="s">
        <v>29</v>
      </c>
      <c r="E19" s="3" t="s">
        <v>1159</v>
      </c>
      <c r="F19" s="80" t="s">
        <v>993</v>
      </c>
      <c r="G19" s="80" t="s">
        <v>994</v>
      </c>
      <c r="H19" s="80"/>
      <c r="I19" s="5" t="s">
        <v>1006</v>
      </c>
      <c r="J19" s="5" t="s">
        <v>973</v>
      </c>
      <c r="K19" s="5" t="s">
        <v>1014</v>
      </c>
      <c r="L19" s="3">
        <v>31.353999999999999</v>
      </c>
      <c r="M19" s="80">
        <v>31</v>
      </c>
      <c r="N19" s="80" t="s">
        <v>244</v>
      </c>
      <c r="O19" s="80" t="s">
        <v>687</v>
      </c>
      <c r="P19" s="79" t="s">
        <v>212</v>
      </c>
      <c r="Q19" s="66">
        <v>45837</v>
      </c>
      <c r="R19" s="66">
        <v>45842</v>
      </c>
      <c r="S19" s="66">
        <v>45849</v>
      </c>
      <c r="T19" s="54">
        <f>MAX(0,S19-Q19)</f>
        <v>12</v>
      </c>
      <c r="U19" s="66">
        <v>45850</v>
      </c>
      <c r="V19" s="66">
        <v>45855</v>
      </c>
      <c r="W19" s="66">
        <v>45855</v>
      </c>
      <c r="X19" s="66">
        <v>45856</v>
      </c>
      <c r="Y19" s="66">
        <v>45858</v>
      </c>
      <c r="Z19" s="66">
        <v>45860</v>
      </c>
      <c r="AA19" s="66">
        <v>45860</v>
      </c>
      <c r="AB19" s="66">
        <v>45861</v>
      </c>
      <c r="AC19" s="66">
        <v>45866</v>
      </c>
      <c r="AD19" s="66">
        <v>45868</v>
      </c>
      <c r="AE19" s="54">
        <f>MAX(0,AD19-AB19)</f>
        <v>7</v>
      </c>
      <c r="AF19" s="16"/>
    </row>
    <row r="20" spans="1:32" ht="16.5" customHeight="1">
      <c r="A20" s="111"/>
      <c r="B20" s="112"/>
      <c r="C20" s="113"/>
      <c r="D20" s="113"/>
      <c r="E20" s="113"/>
      <c r="F20" s="114"/>
      <c r="G20" s="114"/>
      <c r="H20"/>
      <c r="I20" s="115"/>
      <c r="J20" s="115"/>
      <c r="K20" s="115"/>
      <c r="L20" s="113"/>
      <c r="M20" s="115"/>
      <c r="N20" s="114"/>
      <c r="O20" s="114"/>
      <c r="P20" s="116"/>
      <c r="Q20" s="108"/>
      <c r="R20" s="108"/>
      <c r="S20" s="108"/>
      <c r="T20" s="117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17"/>
      <c r="AF20" s="118"/>
    </row>
    <row r="21" spans="1:32" ht="16.5" customHeight="1">
      <c r="A21" s="30" t="s">
        <v>205</v>
      </c>
      <c r="B21" s="31"/>
      <c r="C21" s="31"/>
      <c r="D21" s="31"/>
      <c r="N21" s="90"/>
      <c r="O21" s="1"/>
    </row>
    <row r="22" spans="1:32" ht="16.5" customHeight="1">
      <c r="A22" s="30" t="s">
        <v>978</v>
      </c>
      <c r="B22" s="31"/>
      <c r="C22" s="31"/>
      <c r="D22" s="31"/>
    </row>
    <row r="23" spans="1:32" ht="16.5" customHeight="1">
      <c r="A23" s="30" t="s">
        <v>979</v>
      </c>
      <c r="B23" s="31"/>
      <c r="C23" s="31"/>
      <c r="D23" s="31"/>
    </row>
    <row r="32" spans="1:32" ht="16.5" customHeight="1">
      <c r="J32" s="121"/>
    </row>
  </sheetData>
  <autoFilter ref="A3:AF19" xr:uid="{50CF766E-CFF0-49D3-9388-9324A77E7B6B}"/>
  <mergeCells count="7">
    <mergeCell ref="I2:J2"/>
    <mergeCell ref="AF2:AF3"/>
    <mergeCell ref="U2:V2"/>
    <mergeCell ref="W2:X2"/>
    <mergeCell ref="Y2:Z2"/>
    <mergeCell ref="AA2:AB2"/>
    <mergeCell ref="AC2:AE2"/>
  </mergeCells>
  <conditionalFormatting sqref="B1">
    <cfRule type="duplicateValues" dxfId="2119" priority="1591"/>
    <cfRule type="duplicateValues" dxfId="2118" priority="1592"/>
    <cfRule type="duplicateValues" dxfId="2117" priority="1593"/>
    <cfRule type="duplicateValues" dxfId="2116" priority="1594"/>
  </conditionalFormatting>
  <conditionalFormatting sqref="F1:F3">
    <cfRule type="duplicateValues" dxfId="2115" priority="1595"/>
    <cfRule type="duplicateValues" dxfId="2114" priority="1596"/>
    <cfRule type="duplicateValues" dxfId="2113" priority="1597"/>
    <cfRule type="duplicateValues" dxfId="2112" priority="1598"/>
  </conditionalFormatting>
  <conditionalFormatting sqref="F1:F1048576">
    <cfRule type="duplicateValues" dxfId="2111" priority="66"/>
  </conditionalFormatting>
  <conditionalFormatting sqref="F5">
    <cfRule type="duplicateValues" dxfId="2110" priority="19550"/>
    <cfRule type="duplicateValues" dxfId="2109" priority="19551"/>
    <cfRule type="duplicateValues" dxfId="2108" priority="19552"/>
    <cfRule type="duplicateValues" dxfId="2107" priority="19553"/>
    <cfRule type="duplicateValues" dxfId="2106" priority="19554"/>
    <cfRule type="duplicateValues" dxfId="2105" priority="19555"/>
    <cfRule type="duplicateValues" dxfId="2104" priority="19556"/>
    <cfRule type="duplicateValues" dxfId="2103" priority="19557"/>
    <cfRule type="duplicateValues" dxfId="2102" priority="19558"/>
    <cfRule type="duplicateValues" dxfId="2101" priority="19559"/>
    <cfRule type="duplicateValues" dxfId="2100" priority="19560"/>
    <cfRule type="duplicateValues" dxfId="2099" priority="19561"/>
    <cfRule type="duplicateValues" dxfId="2098" priority="19562"/>
    <cfRule type="duplicateValues" dxfId="2097" priority="19563"/>
    <cfRule type="duplicateValues" dxfId="2096" priority="19564"/>
    <cfRule type="duplicateValues" dxfId="2095" priority="19565"/>
    <cfRule type="duplicateValues" dxfId="2094" priority="19566"/>
    <cfRule type="duplicateValues" dxfId="2093" priority="19567"/>
    <cfRule type="duplicateValues" dxfId="2092" priority="19568"/>
    <cfRule type="duplicateValues" dxfId="2091" priority="19569"/>
    <cfRule type="duplicateValues" dxfId="2090" priority="19570"/>
    <cfRule type="duplicateValues" dxfId="2089" priority="19571"/>
    <cfRule type="duplicateValues" dxfId="2088" priority="19572"/>
    <cfRule type="duplicateValues" dxfId="2087" priority="19573"/>
    <cfRule type="duplicateValues" dxfId="2086" priority="19574"/>
    <cfRule type="duplicateValues" dxfId="2085" priority="19575"/>
    <cfRule type="duplicateValues" dxfId="2084" priority="19576"/>
    <cfRule type="duplicateValues" dxfId="2083" priority="19577"/>
    <cfRule type="duplicateValues" dxfId="2082" priority="19578"/>
    <cfRule type="duplicateValues" dxfId="2081" priority="19579"/>
    <cfRule type="duplicateValues" dxfId="2080" priority="19580"/>
    <cfRule type="duplicateValues" dxfId="2079" priority="19581"/>
    <cfRule type="duplicateValues" dxfId="2078" priority="19582"/>
    <cfRule type="duplicateValues" dxfId="2077" priority="19583"/>
    <cfRule type="duplicateValues" dxfId="2076" priority="19584"/>
    <cfRule type="duplicateValues" dxfId="2075" priority="19585"/>
    <cfRule type="duplicateValues" dxfId="2074" priority="19586"/>
    <cfRule type="duplicateValues" dxfId="2073" priority="19587"/>
    <cfRule type="duplicateValues" dxfId="2072" priority="19588"/>
    <cfRule type="duplicateValues" dxfId="2071" priority="19589"/>
    <cfRule type="duplicateValues" dxfId="2070" priority="19590"/>
    <cfRule type="duplicateValues" dxfId="2069" priority="19591"/>
    <cfRule type="duplicateValues" dxfId="2068" priority="19630"/>
    <cfRule type="duplicateValues" dxfId="2067" priority="19631"/>
    <cfRule type="duplicateValues" dxfId="2066" priority="19632"/>
    <cfRule type="duplicateValues" dxfId="2065" priority="19633"/>
    <cfRule type="duplicateValues" dxfId="2064" priority="19634"/>
    <cfRule type="duplicateValues" dxfId="2063" priority="19635"/>
    <cfRule type="duplicateValues" dxfId="2062" priority="19636"/>
    <cfRule type="duplicateValues" dxfId="2061" priority="19637"/>
    <cfRule type="duplicateValues" dxfId="2060" priority="19638"/>
    <cfRule type="duplicateValues" dxfId="2059" priority="19639"/>
    <cfRule type="duplicateValues" dxfId="2058" priority="19640"/>
    <cfRule type="duplicateValues" dxfId="2057" priority="19641"/>
    <cfRule type="duplicateValues" dxfId="2056" priority="19642"/>
    <cfRule type="duplicateValues" dxfId="2055" priority="19643"/>
    <cfRule type="duplicateValues" dxfId="2054" priority="19644"/>
    <cfRule type="duplicateValues" dxfId="2053" priority="19645"/>
    <cfRule type="duplicateValues" dxfId="2052" priority="19646"/>
    <cfRule type="duplicateValues" dxfId="2051" priority="19647"/>
    <cfRule type="duplicateValues" dxfId="2050" priority="19648"/>
  </conditionalFormatting>
  <conditionalFormatting sqref="F6">
    <cfRule type="duplicateValues" dxfId="2049" priority="187"/>
    <cfRule type="duplicateValues" dxfId="2048" priority="190"/>
    <cfRule type="duplicateValues" dxfId="2047" priority="191"/>
    <cfRule type="duplicateValues" dxfId="2046" priority="192"/>
    <cfRule type="duplicateValues" dxfId="2045" priority="193"/>
    <cfRule type="duplicateValues" dxfId="2044" priority="194"/>
    <cfRule type="duplicateValues" dxfId="2043" priority="195"/>
    <cfRule type="duplicateValues" dxfId="2042" priority="196"/>
    <cfRule type="duplicateValues" dxfId="2041" priority="197"/>
    <cfRule type="duplicateValues" dxfId="2040" priority="198"/>
    <cfRule type="duplicateValues" dxfId="2039" priority="199"/>
    <cfRule type="duplicateValues" dxfId="2038" priority="200"/>
    <cfRule type="duplicateValues" dxfId="2037" priority="201"/>
    <cfRule type="duplicateValues" dxfId="2036" priority="202"/>
    <cfRule type="duplicateValues" dxfId="2035" priority="203"/>
    <cfRule type="duplicateValues" dxfId="2034" priority="204"/>
    <cfRule type="duplicateValues" dxfId="2033" priority="205"/>
    <cfRule type="duplicateValues" dxfId="2032" priority="206"/>
    <cfRule type="duplicateValues" dxfId="2031" priority="207"/>
    <cfRule type="duplicateValues" dxfId="2030" priority="208"/>
    <cfRule type="duplicateValues" dxfId="2029" priority="209"/>
    <cfRule type="duplicateValues" dxfId="2028" priority="210"/>
    <cfRule type="duplicateValues" dxfId="2027" priority="211"/>
    <cfRule type="duplicateValues" dxfId="2026" priority="212"/>
    <cfRule type="duplicateValues" dxfId="2025" priority="213"/>
    <cfRule type="duplicateValues" dxfId="2024" priority="214"/>
    <cfRule type="duplicateValues" dxfId="2023" priority="215"/>
    <cfRule type="duplicateValues" dxfId="2022" priority="216"/>
    <cfRule type="duplicateValues" dxfId="2021" priority="217"/>
    <cfRule type="duplicateValues" dxfId="2020" priority="218"/>
    <cfRule type="duplicateValues" dxfId="2019" priority="219"/>
    <cfRule type="duplicateValues" dxfId="2018" priority="220"/>
    <cfRule type="duplicateValues" dxfId="2017" priority="221"/>
    <cfRule type="duplicateValues" dxfId="2016" priority="222"/>
    <cfRule type="duplicateValues" dxfId="2015" priority="223"/>
    <cfRule type="duplicateValues" dxfId="2014" priority="224"/>
    <cfRule type="duplicateValues" dxfId="2013" priority="225"/>
    <cfRule type="duplicateValues" dxfId="2012" priority="226"/>
    <cfRule type="duplicateValues" dxfId="2011" priority="227"/>
    <cfRule type="duplicateValues" dxfId="2010" priority="228"/>
    <cfRule type="duplicateValues" dxfId="2009" priority="229"/>
    <cfRule type="duplicateValues" dxfId="2008" priority="230"/>
    <cfRule type="duplicateValues" dxfId="2007" priority="231"/>
    <cfRule type="duplicateValues" dxfId="2006" priority="232"/>
    <cfRule type="duplicateValues" dxfId="2005" priority="233"/>
    <cfRule type="duplicateValues" dxfId="2004" priority="234"/>
    <cfRule type="duplicateValues" dxfId="2003" priority="235"/>
    <cfRule type="duplicateValues" dxfId="2002" priority="236"/>
    <cfRule type="duplicateValues" dxfId="2001" priority="237"/>
    <cfRule type="duplicateValues" dxfId="2000" priority="238"/>
    <cfRule type="duplicateValues" dxfId="1999" priority="239"/>
    <cfRule type="duplicateValues" dxfId="1998" priority="240"/>
    <cfRule type="duplicateValues" dxfId="1997" priority="241"/>
    <cfRule type="duplicateValues" dxfId="1996" priority="242"/>
    <cfRule type="duplicateValues" dxfId="1995" priority="243"/>
    <cfRule type="duplicateValues" dxfId="1994" priority="244"/>
    <cfRule type="duplicateValues" dxfId="1993" priority="245"/>
    <cfRule type="duplicateValues" dxfId="1992" priority="246"/>
    <cfRule type="duplicateValues" dxfId="1991" priority="247"/>
    <cfRule type="duplicateValues" dxfId="1990" priority="248"/>
    <cfRule type="duplicateValues" dxfId="1989" priority="249"/>
  </conditionalFormatting>
  <conditionalFormatting sqref="F7">
    <cfRule type="duplicateValues" dxfId="1988" priority="20862"/>
    <cfRule type="duplicateValues" dxfId="1987" priority="22155"/>
    <cfRule type="duplicateValues" dxfId="1986" priority="22156"/>
    <cfRule type="duplicateValues" dxfId="1985" priority="22157"/>
    <cfRule type="duplicateValues" dxfId="1984" priority="22158"/>
    <cfRule type="duplicateValues" dxfId="1983" priority="22159"/>
    <cfRule type="duplicateValues" dxfId="1982" priority="22160"/>
    <cfRule type="duplicateValues" dxfId="1981" priority="22161"/>
    <cfRule type="duplicateValues" dxfId="1980" priority="22162"/>
    <cfRule type="duplicateValues" dxfId="1979" priority="22163"/>
    <cfRule type="duplicateValues" dxfId="1978" priority="22164"/>
    <cfRule type="duplicateValues" dxfId="1977" priority="22165"/>
    <cfRule type="duplicateValues" dxfId="1976" priority="22166"/>
    <cfRule type="duplicateValues" dxfId="1975" priority="22167"/>
    <cfRule type="duplicateValues" dxfId="1974" priority="22168"/>
    <cfRule type="duplicateValues" dxfId="1973" priority="22169"/>
    <cfRule type="duplicateValues" dxfId="1972" priority="22170"/>
    <cfRule type="duplicateValues" dxfId="1971" priority="22171"/>
    <cfRule type="duplicateValues" dxfId="1970" priority="22172"/>
    <cfRule type="duplicateValues" dxfId="1969" priority="22173"/>
    <cfRule type="duplicateValues" dxfId="1968" priority="22174"/>
    <cfRule type="duplicateValues" dxfId="1967" priority="22175"/>
    <cfRule type="duplicateValues" dxfId="1966" priority="22176"/>
    <cfRule type="duplicateValues" dxfId="1965" priority="22177"/>
    <cfRule type="duplicateValues" dxfId="1964" priority="22178"/>
    <cfRule type="duplicateValues" dxfId="1963" priority="22179"/>
    <cfRule type="duplicateValues" dxfId="1962" priority="22180"/>
    <cfRule type="duplicateValues" dxfId="1961" priority="22181"/>
    <cfRule type="duplicateValues" dxfId="1960" priority="22182"/>
    <cfRule type="duplicateValues" dxfId="1959" priority="22183"/>
    <cfRule type="duplicateValues" dxfId="1958" priority="22184"/>
    <cfRule type="duplicateValues" dxfId="1957" priority="22185"/>
    <cfRule type="duplicateValues" dxfId="1956" priority="22186"/>
    <cfRule type="duplicateValues" dxfId="1955" priority="22187"/>
    <cfRule type="duplicateValues" dxfId="1954" priority="22188"/>
    <cfRule type="duplicateValues" dxfId="1953" priority="22189"/>
    <cfRule type="duplicateValues" dxfId="1952" priority="22190"/>
    <cfRule type="duplicateValues" dxfId="1951" priority="22191"/>
    <cfRule type="duplicateValues" dxfId="1950" priority="22192"/>
    <cfRule type="duplicateValues" dxfId="1949" priority="22193"/>
    <cfRule type="duplicateValues" dxfId="1948" priority="22194"/>
    <cfRule type="duplicateValues" dxfId="1947" priority="22195"/>
    <cfRule type="duplicateValues" dxfId="1946" priority="22196"/>
  </conditionalFormatting>
  <conditionalFormatting sqref="F8">
    <cfRule type="duplicateValues" dxfId="1945" priority="1176"/>
    <cfRule type="duplicateValues" dxfId="1944" priority="1177"/>
    <cfRule type="duplicateValues" dxfId="1943" priority="1178"/>
    <cfRule type="duplicateValues" dxfId="1942" priority="1179"/>
    <cfRule type="duplicateValues" dxfId="1941" priority="1180"/>
    <cfRule type="duplicateValues" dxfId="1940" priority="1181"/>
    <cfRule type="duplicateValues" dxfId="1939" priority="1182"/>
    <cfRule type="duplicateValues" dxfId="1938" priority="1183"/>
    <cfRule type="duplicateValues" dxfId="1937" priority="1184"/>
    <cfRule type="duplicateValues" dxfId="1936" priority="1185"/>
    <cfRule type="duplicateValues" dxfId="1935" priority="1186"/>
    <cfRule type="duplicateValues" dxfId="1934" priority="1187"/>
    <cfRule type="duplicateValues" dxfId="1933" priority="1188"/>
    <cfRule type="duplicateValues" dxfId="1932" priority="1189"/>
    <cfRule type="duplicateValues" dxfId="1931" priority="1190"/>
    <cfRule type="duplicateValues" dxfId="1930" priority="1191"/>
    <cfRule type="duplicateValues" dxfId="1929" priority="1192"/>
    <cfRule type="duplicateValues" dxfId="1928" priority="1193"/>
    <cfRule type="duplicateValues" dxfId="1927" priority="1194"/>
    <cfRule type="duplicateValues" dxfId="1926" priority="1195"/>
    <cfRule type="duplicateValues" dxfId="1925" priority="1196"/>
    <cfRule type="duplicateValues" dxfId="1924" priority="1197"/>
    <cfRule type="duplicateValues" dxfId="1923" priority="1198"/>
    <cfRule type="duplicateValues" dxfId="1922" priority="1199"/>
    <cfRule type="duplicateValues" dxfId="1921" priority="1200"/>
    <cfRule type="duplicateValues" dxfId="1920" priority="1201"/>
    <cfRule type="duplicateValues" dxfId="1919" priority="1202"/>
    <cfRule type="duplicateValues" dxfId="1918" priority="1203"/>
    <cfRule type="duplicateValues" dxfId="1917" priority="1204"/>
    <cfRule type="duplicateValues" dxfId="1916" priority="1205"/>
    <cfRule type="duplicateValues" dxfId="1915" priority="1206"/>
    <cfRule type="duplicateValues" dxfId="1914" priority="1207"/>
    <cfRule type="duplicateValues" dxfId="1913" priority="1208"/>
    <cfRule type="duplicateValues" dxfId="1912" priority="1209"/>
    <cfRule type="duplicateValues" dxfId="1911" priority="1210"/>
    <cfRule type="duplicateValues" dxfId="1910" priority="1211"/>
    <cfRule type="duplicateValues" dxfId="1909" priority="1212"/>
    <cfRule type="duplicateValues" dxfId="1908" priority="1213"/>
    <cfRule type="duplicateValues" dxfId="1907" priority="1214"/>
    <cfRule type="duplicateValues" dxfId="1906" priority="1215"/>
    <cfRule type="duplicateValues" dxfId="1905" priority="1216"/>
    <cfRule type="duplicateValues" dxfId="1904" priority="1217"/>
    <cfRule type="duplicateValues" dxfId="1903" priority="1218"/>
    <cfRule type="duplicateValues" dxfId="1902" priority="1219"/>
    <cfRule type="duplicateValues" dxfId="1901" priority="1220"/>
    <cfRule type="duplicateValues" dxfId="1900" priority="1221"/>
    <cfRule type="duplicateValues" dxfId="1899" priority="1222"/>
    <cfRule type="duplicateValues" dxfId="1898" priority="1223"/>
    <cfRule type="duplicateValues" dxfId="1897" priority="1224"/>
    <cfRule type="duplicateValues" dxfId="1896" priority="1225"/>
    <cfRule type="duplicateValues" dxfId="1895" priority="1226"/>
    <cfRule type="duplicateValues" dxfId="1894" priority="1227"/>
    <cfRule type="duplicateValues" dxfId="1893" priority="1228"/>
    <cfRule type="duplicateValues" dxfId="1892" priority="1229"/>
    <cfRule type="duplicateValues" dxfId="1891" priority="1230"/>
    <cfRule type="duplicateValues" dxfId="1890" priority="1231"/>
    <cfRule type="duplicateValues" dxfId="1889" priority="1232"/>
    <cfRule type="duplicateValues" dxfId="1888" priority="1233"/>
    <cfRule type="duplicateValues" dxfId="1887" priority="1234"/>
    <cfRule type="duplicateValues" dxfId="1886" priority="1235"/>
    <cfRule type="duplicateValues" dxfId="1885" priority="1236"/>
    <cfRule type="duplicateValues" dxfId="1884" priority="1237"/>
    <cfRule type="duplicateValues" dxfId="1883" priority="1238"/>
    <cfRule type="duplicateValues" dxfId="1882" priority="1239"/>
  </conditionalFormatting>
  <conditionalFormatting sqref="F9 F12">
    <cfRule type="duplicateValues" dxfId="1881" priority="20553"/>
    <cfRule type="duplicateValues" dxfId="1880" priority="20554"/>
    <cfRule type="duplicateValues" dxfId="1879" priority="20555"/>
    <cfRule type="duplicateValues" dxfId="1878" priority="20556"/>
    <cfRule type="duplicateValues" dxfId="1877" priority="20557"/>
    <cfRule type="duplicateValues" dxfId="1876" priority="20558"/>
  </conditionalFormatting>
  <conditionalFormatting sqref="F9">
    <cfRule type="duplicateValues" dxfId="1875" priority="1055"/>
    <cfRule type="duplicateValues" dxfId="1874" priority="1056"/>
    <cfRule type="duplicateValues" dxfId="1873" priority="1057"/>
    <cfRule type="duplicateValues" dxfId="1872" priority="1058"/>
    <cfRule type="duplicateValues" dxfId="1871" priority="1059"/>
    <cfRule type="duplicateValues" dxfId="1870" priority="1060"/>
    <cfRule type="duplicateValues" dxfId="1869" priority="1061"/>
    <cfRule type="duplicateValues" dxfId="1868" priority="1062"/>
    <cfRule type="duplicateValues" dxfId="1867" priority="1063"/>
    <cfRule type="duplicateValues" dxfId="1866" priority="1064"/>
    <cfRule type="duplicateValues" dxfId="1865" priority="1065"/>
    <cfRule type="duplicateValues" dxfId="1864" priority="1066"/>
    <cfRule type="duplicateValues" dxfId="1863" priority="1067"/>
    <cfRule type="duplicateValues" dxfId="1862" priority="1068"/>
    <cfRule type="duplicateValues" dxfId="1861" priority="1069"/>
    <cfRule type="duplicateValues" dxfId="1860" priority="1070"/>
    <cfRule type="duplicateValues" dxfId="1859" priority="1071"/>
    <cfRule type="duplicateValues" dxfId="1858" priority="1072"/>
    <cfRule type="duplicateValues" dxfId="1857" priority="1073"/>
    <cfRule type="duplicateValues" dxfId="1856" priority="1074"/>
    <cfRule type="duplicateValues" dxfId="1855" priority="1075"/>
    <cfRule type="duplicateValues" dxfId="1854" priority="1076"/>
    <cfRule type="duplicateValues" dxfId="1853" priority="1077"/>
    <cfRule type="duplicateValues" dxfId="1852" priority="1078"/>
    <cfRule type="duplicateValues" dxfId="1851" priority="1079"/>
    <cfRule type="duplicateValues" dxfId="1850" priority="1080"/>
    <cfRule type="duplicateValues" dxfId="1849" priority="1081"/>
    <cfRule type="duplicateValues" dxfId="1848" priority="1082"/>
    <cfRule type="duplicateValues" dxfId="1847" priority="1083"/>
    <cfRule type="duplicateValues" dxfId="1846" priority="1084"/>
    <cfRule type="duplicateValues" dxfId="1845" priority="1085"/>
    <cfRule type="duplicateValues" dxfId="1844" priority="1086"/>
    <cfRule type="duplicateValues" dxfId="1843" priority="1087"/>
    <cfRule type="duplicateValues" dxfId="1842" priority="1088"/>
    <cfRule type="duplicateValues" dxfId="1841" priority="1089"/>
    <cfRule type="duplicateValues" dxfId="1840" priority="1090"/>
    <cfRule type="duplicateValues" dxfId="1839" priority="1091"/>
    <cfRule type="duplicateValues" dxfId="1838" priority="1092"/>
    <cfRule type="duplicateValues" dxfId="1837" priority="1093"/>
    <cfRule type="duplicateValues" dxfId="1836" priority="1094"/>
    <cfRule type="duplicateValues" dxfId="1835" priority="1095"/>
    <cfRule type="duplicateValues" dxfId="1834" priority="1096"/>
    <cfRule type="duplicateValues" dxfId="1833" priority="1097"/>
    <cfRule type="duplicateValues" dxfId="1832" priority="1098"/>
    <cfRule type="duplicateValues" dxfId="1831" priority="1099"/>
    <cfRule type="duplicateValues" dxfId="1830" priority="1100"/>
    <cfRule type="duplicateValues" dxfId="1829" priority="1101"/>
    <cfRule type="duplicateValues" dxfId="1828" priority="1102"/>
    <cfRule type="duplicateValues" dxfId="1827" priority="1103"/>
    <cfRule type="duplicateValues" dxfId="1826" priority="1104"/>
    <cfRule type="duplicateValues" dxfId="1825" priority="1105"/>
    <cfRule type="duplicateValues" dxfId="1824" priority="1106"/>
    <cfRule type="duplicateValues" dxfId="1823" priority="1107"/>
    <cfRule type="duplicateValues" dxfId="1822" priority="1108"/>
    <cfRule type="duplicateValues" dxfId="1821" priority="1109"/>
    <cfRule type="duplicateValues" dxfId="1820" priority="1110"/>
    <cfRule type="duplicateValues" dxfId="1819" priority="1111"/>
    <cfRule type="duplicateValues" dxfId="1818" priority="1112"/>
    <cfRule type="duplicateValues" dxfId="1817" priority="1113"/>
    <cfRule type="duplicateValues" dxfId="1816" priority="1114"/>
    <cfRule type="duplicateValues" dxfId="1815" priority="1115"/>
    <cfRule type="duplicateValues" dxfId="1814" priority="1116"/>
    <cfRule type="duplicateValues" dxfId="1813" priority="1117"/>
    <cfRule type="duplicateValues" dxfId="1812" priority="1118"/>
    <cfRule type="duplicateValues" dxfId="1811" priority="1119"/>
    <cfRule type="duplicateValues" dxfId="1810" priority="1120"/>
    <cfRule type="duplicateValues" dxfId="1809" priority="1121"/>
    <cfRule type="duplicateValues" dxfId="1808" priority="1122"/>
    <cfRule type="duplicateValues" dxfId="1807" priority="1123"/>
    <cfRule type="duplicateValues" dxfId="1806" priority="1124"/>
    <cfRule type="duplicateValues" dxfId="1805" priority="1125"/>
    <cfRule type="duplicateValues" dxfId="1804" priority="1126"/>
    <cfRule type="duplicateValues" dxfId="1803" priority="1127"/>
    <cfRule type="duplicateValues" dxfId="1802" priority="1128"/>
    <cfRule type="duplicateValues" dxfId="1801" priority="1129"/>
    <cfRule type="duplicateValues" dxfId="1800" priority="1130"/>
    <cfRule type="duplicateValues" dxfId="1799" priority="1131"/>
    <cfRule type="duplicateValues" dxfId="1798" priority="1132"/>
    <cfRule type="duplicateValues" dxfId="1797" priority="1133"/>
    <cfRule type="duplicateValues" dxfId="1796" priority="1134"/>
    <cfRule type="duplicateValues" dxfId="1795" priority="1135"/>
    <cfRule type="duplicateValues" dxfId="1794" priority="1136"/>
    <cfRule type="duplicateValues" dxfId="1793" priority="1137"/>
    <cfRule type="duplicateValues" dxfId="1792" priority="1138"/>
    <cfRule type="duplicateValues" dxfId="1791" priority="1139"/>
    <cfRule type="duplicateValues" dxfId="1790" priority="1140"/>
    <cfRule type="duplicateValues" dxfId="1789" priority="1141"/>
    <cfRule type="duplicateValues" dxfId="1788" priority="1142"/>
    <cfRule type="duplicateValues" dxfId="1787" priority="1143"/>
    <cfRule type="duplicateValues" dxfId="1786" priority="1144"/>
    <cfRule type="duplicateValues" dxfId="1785" priority="1145"/>
    <cfRule type="duplicateValues" dxfId="1784" priority="1146"/>
    <cfRule type="duplicateValues" dxfId="1783" priority="1147"/>
    <cfRule type="duplicateValues" dxfId="1782" priority="1148"/>
    <cfRule type="duplicateValues" dxfId="1781" priority="1149"/>
    <cfRule type="duplicateValues" dxfId="1780" priority="1150"/>
    <cfRule type="duplicateValues" dxfId="1779" priority="1151"/>
    <cfRule type="duplicateValues" dxfId="1778" priority="1152"/>
    <cfRule type="duplicateValues" dxfId="1777" priority="1153"/>
    <cfRule type="duplicateValues" dxfId="1776" priority="1154"/>
    <cfRule type="duplicateValues" dxfId="1775" priority="1155"/>
    <cfRule type="duplicateValues" dxfId="1774" priority="1156"/>
    <cfRule type="duplicateValues" dxfId="1773" priority="1157"/>
    <cfRule type="duplicateValues" dxfId="1772" priority="1158"/>
    <cfRule type="duplicateValues" dxfId="1771" priority="1159"/>
    <cfRule type="duplicateValues" dxfId="1770" priority="1160"/>
    <cfRule type="duplicateValues" dxfId="1769" priority="1161"/>
    <cfRule type="duplicateValues" dxfId="1768" priority="1162"/>
    <cfRule type="duplicateValues" dxfId="1767" priority="1163"/>
    <cfRule type="duplicateValues" dxfId="1766" priority="1164"/>
    <cfRule type="duplicateValues" dxfId="1765" priority="1165"/>
    <cfRule type="duplicateValues" dxfId="1764" priority="1166"/>
    <cfRule type="duplicateValues" dxfId="1763" priority="1167"/>
    <cfRule type="duplicateValues" dxfId="1762" priority="1168"/>
    <cfRule type="duplicateValues" dxfId="1761" priority="1169"/>
  </conditionalFormatting>
  <conditionalFormatting sqref="F10 F4">
    <cfRule type="duplicateValues" dxfId="1760" priority="16222"/>
    <cfRule type="duplicateValues" dxfId="1759" priority="16223"/>
    <cfRule type="duplicateValues" dxfId="1758" priority="16224"/>
    <cfRule type="duplicateValues" dxfId="1757" priority="16225"/>
    <cfRule type="duplicateValues" dxfId="1756" priority="16226"/>
    <cfRule type="duplicateValues" dxfId="1755" priority="16227"/>
    <cfRule type="duplicateValues" dxfId="1754" priority="16228"/>
    <cfRule type="duplicateValues" dxfId="1753" priority="16229"/>
    <cfRule type="duplicateValues" dxfId="1752" priority="16230"/>
    <cfRule type="duplicateValues" dxfId="1751" priority="16231"/>
    <cfRule type="duplicateValues" dxfId="1750" priority="16232"/>
    <cfRule type="duplicateValues" dxfId="1749" priority="16233"/>
    <cfRule type="duplicateValues" dxfId="1748" priority="16234"/>
    <cfRule type="duplicateValues" dxfId="1747" priority="16235"/>
    <cfRule type="duplicateValues" dxfId="1746" priority="16236"/>
    <cfRule type="duplicateValues" dxfId="1745" priority="16237"/>
    <cfRule type="duplicateValues" dxfId="1744" priority="16238"/>
    <cfRule type="duplicateValues" dxfId="1743" priority="16239"/>
    <cfRule type="duplicateValues" dxfId="1742" priority="16240"/>
    <cfRule type="duplicateValues" dxfId="1741" priority="17039"/>
    <cfRule type="duplicateValues" dxfId="1740" priority="17040"/>
    <cfRule type="duplicateValues" dxfId="1739" priority="17041"/>
    <cfRule type="duplicateValues" dxfId="1738" priority="17042"/>
    <cfRule type="duplicateValues" dxfId="1737" priority="17043"/>
    <cfRule type="duplicateValues" dxfId="1736" priority="17044"/>
    <cfRule type="duplicateValues" dxfId="1735" priority="17045"/>
    <cfRule type="duplicateValues" dxfId="1734" priority="17046"/>
    <cfRule type="duplicateValues" dxfId="1733" priority="17047"/>
    <cfRule type="duplicateValues" dxfId="1732" priority="17048"/>
    <cfRule type="duplicateValues" dxfId="1731" priority="17049"/>
    <cfRule type="duplicateValues" dxfId="1730" priority="17050"/>
    <cfRule type="duplicateValues" dxfId="1729" priority="17051"/>
    <cfRule type="duplicateValues" dxfId="1728" priority="17052"/>
    <cfRule type="duplicateValues" dxfId="1727" priority="17053"/>
    <cfRule type="duplicateValues" dxfId="1726" priority="17054"/>
    <cfRule type="duplicateValues" dxfId="1725" priority="17055"/>
    <cfRule type="duplicateValues" dxfId="1724" priority="17056"/>
    <cfRule type="duplicateValues" dxfId="1723" priority="17057"/>
    <cfRule type="duplicateValues" dxfId="1722" priority="17058"/>
    <cfRule type="duplicateValues" dxfId="1721" priority="17059"/>
    <cfRule type="duplicateValues" dxfId="1720" priority="17060"/>
    <cfRule type="duplicateValues" dxfId="1719" priority="17061"/>
    <cfRule type="duplicateValues" dxfId="1718" priority="17062"/>
    <cfRule type="duplicateValues" dxfId="1717" priority="17063"/>
    <cfRule type="duplicateValues" dxfId="1716" priority="17064"/>
    <cfRule type="duplicateValues" dxfId="1715" priority="17065"/>
    <cfRule type="duplicateValues" dxfId="1714" priority="17066"/>
    <cfRule type="duplicateValues" dxfId="1713" priority="17067"/>
    <cfRule type="duplicateValues" dxfId="1712" priority="17068"/>
    <cfRule type="duplicateValues" dxfId="1711" priority="17069"/>
    <cfRule type="duplicateValues" dxfId="1710" priority="17070"/>
    <cfRule type="duplicateValues" dxfId="1709" priority="17071"/>
    <cfRule type="duplicateValues" dxfId="1708" priority="17072"/>
    <cfRule type="duplicateValues" dxfId="1707" priority="17073"/>
    <cfRule type="duplicateValues" dxfId="1706" priority="17074"/>
    <cfRule type="duplicateValues" dxfId="1705" priority="17075"/>
    <cfRule type="duplicateValues" dxfId="1704" priority="17076"/>
    <cfRule type="duplicateValues" dxfId="1703" priority="17077"/>
    <cfRule type="duplicateValues" dxfId="1702" priority="17078"/>
    <cfRule type="duplicateValues" dxfId="1701" priority="17079"/>
    <cfRule type="duplicateValues" dxfId="1700" priority="17080"/>
  </conditionalFormatting>
  <conditionalFormatting sqref="F11 F15">
    <cfRule type="duplicateValues" dxfId="1699" priority="420"/>
    <cfRule type="duplicateValues" dxfId="1698" priority="421"/>
    <cfRule type="duplicateValues" dxfId="1697" priority="422"/>
    <cfRule type="duplicateValues" dxfId="1696" priority="423"/>
    <cfRule type="duplicateValues" dxfId="1695" priority="424"/>
    <cfRule type="duplicateValues" dxfId="1694" priority="425"/>
    <cfRule type="duplicateValues" dxfId="1693" priority="426"/>
    <cfRule type="duplicateValues" dxfId="1692" priority="427"/>
    <cfRule type="duplicateValues" dxfId="1691" priority="428"/>
    <cfRule type="duplicateValues" dxfId="1690" priority="429"/>
    <cfRule type="duplicateValues" dxfId="1689" priority="430"/>
    <cfRule type="duplicateValues" dxfId="1688" priority="431"/>
    <cfRule type="duplicateValues" dxfId="1687" priority="432"/>
    <cfRule type="duplicateValues" dxfId="1686" priority="433"/>
    <cfRule type="duplicateValues" dxfId="1685" priority="434"/>
    <cfRule type="duplicateValues" dxfId="1684" priority="435"/>
    <cfRule type="duplicateValues" dxfId="1683" priority="436"/>
    <cfRule type="duplicateValues" dxfId="1682" priority="437"/>
    <cfRule type="duplicateValues" dxfId="1681" priority="438"/>
    <cfRule type="duplicateValues" dxfId="1680" priority="19466"/>
    <cfRule type="duplicateValues" dxfId="1679" priority="19467"/>
    <cfRule type="duplicateValues" dxfId="1678" priority="19468"/>
    <cfRule type="duplicateValues" dxfId="1677" priority="19469"/>
    <cfRule type="duplicateValues" dxfId="1676" priority="19470"/>
    <cfRule type="duplicateValues" dxfId="1675" priority="19471"/>
    <cfRule type="duplicateValues" dxfId="1674" priority="19472"/>
    <cfRule type="duplicateValues" dxfId="1673" priority="19473"/>
    <cfRule type="duplicateValues" dxfId="1672" priority="19474"/>
    <cfRule type="duplicateValues" dxfId="1671" priority="19475"/>
    <cfRule type="duplicateValues" dxfId="1670" priority="19476"/>
    <cfRule type="duplicateValues" dxfId="1669" priority="19477"/>
    <cfRule type="duplicateValues" dxfId="1668" priority="19478"/>
    <cfRule type="duplicateValues" dxfId="1667" priority="19479"/>
    <cfRule type="duplicateValues" dxfId="1666" priority="19480"/>
    <cfRule type="duplicateValues" dxfId="1665" priority="19481"/>
    <cfRule type="duplicateValues" dxfId="1664" priority="19482"/>
    <cfRule type="duplicateValues" dxfId="1663" priority="19483"/>
    <cfRule type="duplicateValues" dxfId="1662" priority="19484"/>
    <cfRule type="duplicateValues" dxfId="1661" priority="19485"/>
    <cfRule type="duplicateValues" dxfId="1660" priority="19486"/>
    <cfRule type="duplicateValues" dxfId="1659" priority="19487"/>
    <cfRule type="duplicateValues" dxfId="1658" priority="19488"/>
    <cfRule type="duplicateValues" dxfId="1657" priority="19489"/>
    <cfRule type="duplicateValues" dxfId="1656" priority="19490"/>
    <cfRule type="duplicateValues" dxfId="1655" priority="19491"/>
    <cfRule type="duplicateValues" dxfId="1654" priority="19492"/>
    <cfRule type="duplicateValues" dxfId="1653" priority="19493"/>
    <cfRule type="duplicateValues" dxfId="1652" priority="19494"/>
    <cfRule type="duplicateValues" dxfId="1651" priority="19495"/>
    <cfRule type="duplicateValues" dxfId="1650" priority="19496"/>
    <cfRule type="duplicateValues" dxfId="1649" priority="19497"/>
    <cfRule type="duplicateValues" dxfId="1648" priority="19498"/>
    <cfRule type="duplicateValues" dxfId="1647" priority="19499"/>
    <cfRule type="duplicateValues" dxfId="1646" priority="19500"/>
    <cfRule type="duplicateValues" dxfId="1645" priority="19501"/>
    <cfRule type="duplicateValues" dxfId="1644" priority="19502"/>
    <cfRule type="duplicateValues" dxfId="1643" priority="19503"/>
    <cfRule type="duplicateValues" dxfId="1642" priority="19504"/>
    <cfRule type="duplicateValues" dxfId="1641" priority="19505"/>
    <cfRule type="duplicateValues" dxfId="1640" priority="19506"/>
    <cfRule type="duplicateValues" dxfId="1639" priority="19507"/>
  </conditionalFormatting>
  <conditionalFormatting sqref="F12">
    <cfRule type="duplicateValues" dxfId="1638" priority="1315"/>
    <cfRule type="duplicateValues" dxfId="1637" priority="1316"/>
    <cfRule type="duplicateValues" dxfId="1636" priority="1317"/>
    <cfRule type="duplicateValues" dxfId="1635" priority="1318"/>
    <cfRule type="duplicateValues" dxfId="1634" priority="1319"/>
    <cfRule type="duplicateValues" dxfId="1633" priority="1320"/>
    <cfRule type="duplicateValues" dxfId="1632" priority="1321"/>
    <cfRule type="duplicateValues" dxfId="1631" priority="1322"/>
    <cfRule type="duplicateValues" dxfId="1630" priority="1323"/>
    <cfRule type="duplicateValues" dxfId="1629" priority="1324"/>
    <cfRule type="duplicateValues" dxfId="1628" priority="1325"/>
    <cfRule type="duplicateValues" dxfId="1627" priority="1326"/>
    <cfRule type="duplicateValues" dxfId="1626" priority="1327"/>
    <cfRule type="duplicateValues" dxfId="1625" priority="1328"/>
    <cfRule type="duplicateValues" dxfId="1624" priority="1329"/>
    <cfRule type="duplicateValues" dxfId="1623" priority="1330"/>
    <cfRule type="duplicateValues" dxfId="1622" priority="1331"/>
    <cfRule type="duplicateValues" dxfId="1621" priority="1332"/>
    <cfRule type="duplicateValues" dxfId="1620" priority="1333"/>
    <cfRule type="duplicateValues" dxfId="1619" priority="1334"/>
    <cfRule type="duplicateValues" dxfId="1618" priority="1335"/>
    <cfRule type="duplicateValues" dxfId="1617" priority="1336"/>
    <cfRule type="duplicateValues" dxfId="1616" priority="1337"/>
    <cfRule type="duplicateValues" dxfId="1615" priority="1338"/>
    <cfRule type="duplicateValues" dxfId="1614" priority="1339"/>
    <cfRule type="duplicateValues" dxfId="1613" priority="1340"/>
    <cfRule type="duplicateValues" dxfId="1612" priority="1341"/>
    <cfRule type="duplicateValues" dxfId="1611" priority="1342"/>
    <cfRule type="duplicateValues" dxfId="1610" priority="1343"/>
    <cfRule type="duplicateValues" dxfId="1609" priority="1344"/>
    <cfRule type="duplicateValues" dxfId="1608" priority="1345"/>
    <cfRule type="duplicateValues" dxfId="1607" priority="1346"/>
    <cfRule type="duplicateValues" dxfId="1606" priority="1347"/>
    <cfRule type="duplicateValues" dxfId="1605" priority="1348"/>
    <cfRule type="duplicateValues" dxfId="1604" priority="1349"/>
    <cfRule type="duplicateValues" dxfId="1603" priority="1350"/>
    <cfRule type="duplicateValues" dxfId="1602" priority="1351"/>
    <cfRule type="duplicateValues" dxfId="1601" priority="1352"/>
    <cfRule type="duplicateValues" dxfId="1600" priority="1353"/>
    <cfRule type="duplicateValues" dxfId="1599" priority="1354"/>
    <cfRule type="duplicateValues" dxfId="1598" priority="1355"/>
    <cfRule type="duplicateValues" dxfId="1597" priority="1356"/>
    <cfRule type="duplicateValues" dxfId="1596" priority="1357"/>
    <cfRule type="duplicateValues" dxfId="1595" priority="1358"/>
    <cfRule type="duplicateValues" dxfId="1594" priority="1359"/>
    <cfRule type="duplicateValues" dxfId="1593" priority="1360"/>
    <cfRule type="duplicateValues" dxfId="1592" priority="1361"/>
    <cfRule type="duplicateValues" dxfId="1591" priority="1362"/>
    <cfRule type="duplicateValues" dxfId="1590" priority="1363"/>
    <cfRule type="duplicateValues" dxfId="1589" priority="1364"/>
    <cfRule type="duplicateValues" dxfId="1588" priority="1365"/>
    <cfRule type="duplicateValues" dxfId="1587" priority="1366"/>
    <cfRule type="duplicateValues" dxfId="1586" priority="1367"/>
    <cfRule type="duplicateValues" dxfId="1585" priority="1368"/>
    <cfRule type="duplicateValues" dxfId="1584" priority="1369"/>
    <cfRule type="duplicateValues" dxfId="1583" priority="1370"/>
    <cfRule type="duplicateValues" dxfId="1582" priority="1371"/>
    <cfRule type="duplicateValues" dxfId="1581" priority="1372"/>
    <cfRule type="duplicateValues" dxfId="1580" priority="1373"/>
    <cfRule type="duplicateValues" dxfId="1579" priority="1374"/>
    <cfRule type="duplicateValues" dxfId="1578" priority="1375"/>
    <cfRule type="duplicateValues" dxfId="1577" priority="1376"/>
    <cfRule type="duplicateValues" dxfId="1576" priority="1377"/>
    <cfRule type="duplicateValues" dxfId="1575" priority="1378"/>
    <cfRule type="duplicateValues" dxfId="1574" priority="1379"/>
    <cfRule type="duplicateValues" dxfId="1573" priority="1380"/>
    <cfRule type="duplicateValues" dxfId="1572" priority="1381"/>
    <cfRule type="duplicateValues" dxfId="1571" priority="1382"/>
    <cfRule type="duplicateValues" dxfId="1570" priority="1383"/>
    <cfRule type="duplicateValues" dxfId="1569" priority="1384"/>
    <cfRule type="duplicateValues" dxfId="1568" priority="1385"/>
    <cfRule type="duplicateValues" dxfId="1567" priority="1386"/>
    <cfRule type="duplicateValues" dxfId="1566" priority="1387"/>
    <cfRule type="duplicateValues" dxfId="1565" priority="1388"/>
    <cfRule type="duplicateValues" dxfId="1564" priority="1389"/>
    <cfRule type="duplicateValues" dxfId="1563" priority="1390"/>
    <cfRule type="duplicateValues" dxfId="1562" priority="1391"/>
    <cfRule type="duplicateValues" dxfId="1561" priority="1392"/>
    <cfRule type="duplicateValues" dxfId="1560" priority="1393"/>
    <cfRule type="duplicateValues" dxfId="1559" priority="1394"/>
    <cfRule type="duplicateValues" dxfId="1558" priority="1395"/>
    <cfRule type="duplicateValues" dxfId="1557" priority="1396"/>
    <cfRule type="duplicateValues" dxfId="1556" priority="1397"/>
    <cfRule type="duplicateValues" dxfId="1555" priority="1398"/>
    <cfRule type="duplicateValues" dxfId="1554" priority="1399"/>
    <cfRule type="duplicateValues" dxfId="1553" priority="1400"/>
    <cfRule type="duplicateValues" dxfId="1552" priority="1401"/>
    <cfRule type="duplicateValues" dxfId="1551" priority="1402"/>
    <cfRule type="duplicateValues" dxfId="1550" priority="1403"/>
    <cfRule type="duplicateValues" dxfId="1549" priority="1404"/>
    <cfRule type="duplicateValues" dxfId="1548" priority="1405"/>
    <cfRule type="duplicateValues" dxfId="1547" priority="1406"/>
    <cfRule type="duplicateValues" dxfId="1546" priority="1407"/>
    <cfRule type="duplicateValues" dxfId="1545" priority="1408"/>
    <cfRule type="duplicateValues" dxfId="1544" priority="1409"/>
    <cfRule type="duplicateValues" dxfId="1543" priority="1410"/>
    <cfRule type="duplicateValues" dxfId="1542" priority="1411"/>
    <cfRule type="duplicateValues" dxfId="1541" priority="1412"/>
    <cfRule type="duplicateValues" dxfId="1540" priority="1413"/>
    <cfRule type="duplicateValues" dxfId="1539" priority="1414"/>
    <cfRule type="duplicateValues" dxfId="1538" priority="1415"/>
    <cfRule type="duplicateValues" dxfId="1537" priority="1416"/>
    <cfRule type="duplicateValues" dxfId="1536" priority="1417"/>
    <cfRule type="duplicateValues" dxfId="1535" priority="1418"/>
    <cfRule type="duplicateValues" dxfId="1534" priority="1419"/>
    <cfRule type="duplicateValues" dxfId="1533" priority="1420"/>
    <cfRule type="duplicateValues" dxfId="1532" priority="1421"/>
    <cfRule type="duplicateValues" dxfId="1531" priority="1422"/>
    <cfRule type="duplicateValues" dxfId="1530" priority="1423"/>
    <cfRule type="duplicateValues" dxfId="1529" priority="1424"/>
    <cfRule type="duplicateValues" dxfId="1528" priority="1425"/>
    <cfRule type="duplicateValues" dxfId="1527" priority="1426"/>
    <cfRule type="duplicateValues" dxfId="1526" priority="1427"/>
    <cfRule type="duplicateValues" dxfId="1525" priority="1428"/>
    <cfRule type="duplicateValues" dxfId="1524" priority="1429"/>
  </conditionalFormatting>
  <conditionalFormatting sqref="F13">
    <cfRule type="duplicateValues" dxfId="1523" priority="1430"/>
    <cfRule type="duplicateValues" dxfId="1522" priority="1431"/>
    <cfRule type="duplicateValues" dxfId="1521" priority="1432"/>
    <cfRule type="duplicateValues" dxfId="1520" priority="1433"/>
    <cfRule type="duplicateValues" dxfId="1519" priority="1434"/>
    <cfRule type="duplicateValues" dxfId="1518" priority="1435"/>
    <cfRule type="duplicateValues" dxfId="1517" priority="1436"/>
  </conditionalFormatting>
  <conditionalFormatting sqref="F14">
    <cfRule type="duplicateValues" dxfId="1516" priority="18101"/>
    <cfRule type="duplicateValues" dxfId="1515" priority="19422"/>
    <cfRule type="duplicateValues" dxfId="1514" priority="19423"/>
    <cfRule type="duplicateValues" dxfId="1513" priority="19424"/>
    <cfRule type="duplicateValues" dxfId="1512" priority="19425"/>
    <cfRule type="duplicateValues" dxfId="1511" priority="19426"/>
    <cfRule type="duplicateValues" dxfId="1510" priority="19427"/>
    <cfRule type="duplicateValues" dxfId="1509" priority="19428"/>
    <cfRule type="duplicateValues" dxfId="1508" priority="19429"/>
    <cfRule type="duplicateValues" dxfId="1507" priority="19430"/>
    <cfRule type="duplicateValues" dxfId="1506" priority="19431"/>
    <cfRule type="duplicateValues" dxfId="1505" priority="19432"/>
    <cfRule type="duplicateValues" dxfId="1504" priority="19433"/>
    <cfRule type="duplicateValues" dxfId="1503" priority="19434"/>
    <cfRule type="duplicateValues" dxfId="1502" priority="19435"/>
    <cfRule type="duplicateValues" dxfId="1501" priority="19436"/>
    <cfRule type="duplicateValues" dxfId="1500" priority="19437"/>
    <cfRule type="duplicateValues" dxfId="1499" priority="19438"/>
    <cfRule type="duplicateValues" dxfId="1498" priority="19439"/>
    <cfRule type="duplicateValues" dxfId="1497" priority="19440"/>
    <cfRule type="duplicateValues" dxfId="1496" priority="19441"/>
    <cfRule type="duplicateValues" dxfId="1495" priority="19442"/>
    <cfRule type="duplicateValues" dxfId="1494" priority="19443"/>
    <cfRule type="duplicateValues" dxfId="1493" priority="19444"/>
    <cfRule type="duplicateValues" dxfId="1492" priority="19445"/>
    <cfRule type="duplicateValues" dxfId="1491" priority="19446"/>
    <cfRule type="duplicateValues" dxfId="1490" priority="19447"/>
    <cfRule type="duplicateValues" dxfId="1489" priority="19448"/>
    <cfRule type="duplicateValues" dxfId="1488" priority="19449"/>
    <cfRule type="duplicateValues" dxfId="1487" priority="19450"/>
    <cfRule type="duplicateValues" dxfId="1486" priority="19451"/>
    <cfRule type="duplicateValues" dxfId="1485" priority="19452"/>
    <cfRule type="duplicateValues" dxfId="1484" priority="19453"/>
    <cfRule type="duplicateValues" dxfId="1483" priority="19454"/>
    <cfRule type="duplicateValues" dxfId="1482" priority="19455"/>
    <cfRule type="duplicateValues" dxfId="1481" priority="19456"/>
    <cfRule type="duplicateValues" dxfId="1480" priority="19457"/>
    <cfRule type="duplicateValues" dxfId="1479" priority="19458"/>
    <cfRule type="duplicateValues" dxfId="1478" priority="19459"/>
    <cfRule type="duplicateValues" dxfId="1477" priority="19460"/>
    <cfRule type="duplicateValues" dxfId="1476" priority="19461"/>
    <cfRule type="duplicateValues" dxfId="1475" priority="19462"/>
    <cfRule type="duplicateValues" dxfId="1474" priority="19463"/>
  </conditionalFormatting>
  <conditionalFormatting sqref="F16 F1:F3 F8:F9 F12:F13 F19:F1048576">
    <cfRule type="duplicateValues" dxfId="1473" priority="25986"/>
  </conditionalFormatting>
  <conditionalFormatting sqref="F16 F8:F9 F12:F13 F19:F20">
    <cfRule type="duplicateValues" dxfId="1472" priority="26044"/>
  </conditionalFormatting>
  <conditionalFormatting sqref="F16">
    <cfRule type="duplicateValues" dxfId="1471" priority="1496"/>
    <cfRule type="duplicateValues" dxfId="1470" priority="1497"/>
    <cfRule type="duplicateValues" dxfId="1469" priority="1498"/>
    <cfRule type="duplicateValues" dxfId="1468" priority="1499"/>
    <cfRule type="duplicateValues" dxfId="1467" priority="1500"/>
    <cfRule type="duplicateValues" dxfId="1466" priority="1501"/>
    <cfRule type="duplicateValues" dxfId="1465" priority="1502"/>
  </conditionalFormatting>
  <conditionalFormatting sqref="F17">
    <cfRule type="duplicateValues" dxfId="1464" priority="17123"/>
    <cfRule type="duplicateValues" dxfId="1463" priority="17124"/>
    <cfRule type="duplicateValues" dxfId="1462" priority="17125"/>
    <cfRule type="duplicateValues" dxfId="1461" priority="17126"/>
    <cfRule type="duplicateValues" dxfId="1460" priority="17127"/>
    <cfRule type="duplicateValues" dxfId="1459" priority="17128"/>
    <cfRule type="duplicateValues" dxfId="1458" priority="17129"/>
    <cfRule type="duplicateValues" dxfId="1457" priority="17130"/>
    <cfRule type="duplicateValues" dxfId="1456" priority="17131"/>
    <cfRule type="duplicateValues" dxfId="1455" priority="17132"/>
    <cfRule type="duplicateValues" dxfId="1454" priority="17133"/>
    <cfRule type="duplicateValues" dxfId="1453" priority="17134"/>
    <cfRule type="duplicateValues" dxfId="1452" priority="17135"/>
    <cfRule type="duplicateValues" dxfId="1451" priority="17136"/>
    <cfRule type="duplicateValues" dxfId="1450" priority="17137"/>
    <cfRule type="duplicateValues" dxfId="1449" priority="17138"/>
    <cfRule type="duplicateValues" dxfId="1448" priority="17139"/>
    <cfRule type="duplicateValues" dxfId="1447" priority="17140"/>
    <cfRule type="duplicateValues" dxfId="1446" priority="17141"/>
    <cfRule type="duplicateValues" dxfId="1445" priority="17142"/>
    <cfRule type="duplicateValues" dxfId="1444" priority="17143"/>
    <cfRule type="duplicateValues" dxfId="1443" priority="17144"/>
    <cfRule type="duplicateValues" dxfId="1442" priority="17145"/>
    <cfRule type="duplicateValues" dxfId="1441" priority="17146"/>
    <cfRule type="duplicateValues" dxfId="1440" priority="17147"/>
    <cfRule type="duplicateValues" dxfId="1439" priority="17148"/>
    <cfRule type="duplicateValues" dxfId="1438" priority="17149"/>
    <cfRule type="duplicateValues" dxfId="1437" priority="17150"/>
    <cfRule type="duplicateValues" dxfId="1436" priority="17151"/>
    <cfRule type="duplicateValues" dxfId="1435" priority="17152"/>
    <cfRule type="duplicateValues" dxfId="1434" priority="17153"/>
    <cfRule type="duplicateValues" dxfId="1433" priority="17154"/>
    <cfRule type="duplicateValues" dxfId="1432" priority="17155"/>
    <cfRule type="duplicateValues" dxfId="1431" priority="17156"/>
    <cfRule type="duplicateValues" dxfId="1430" priority="17157"/>
    <cfRule type="duplicateValues" dxfId="1429" priority="17158"/>
    <cfRule type="duplicateValues" dxfId="1428" priority="17159"/>
    <cfRule type="duplicateValues" dxfId="1427" priority="17160"/>
    <cfRule type="duplicateValues" dxfId="1426" priority="17161"/>
    <cfRule type="duplicateValues" dxfId="1425" priority="17162"/>
    <cfRule type="duplicateValues" dxfId="1424" priority="17163"/>
    <cfRule type="duplicateValues" dxfId="1423" priority="17164"/>
    <cfRule type="duplicateValues" dxfId="1422" priority="17203"/>
    <cfRule type="duplicateValues" dxfId="1421" priority="17204"/>
    <cfRule type="duplicateValues" dxfId="1420" priority="17205"/>
    <cfRule type="duplicateValues" dxfId="1419" priority="17206"/>
    <cfRule type="duplicateValues" dxfId="1418" priority="17207"/>
    <cfRule type="duplicateValues" dxfId="1417" priority="17208"/>
    <cfRule type="duplicateValues" dxfId="1416" priority="17209"/>
    <cfRule type="duplicateValues" dxfId="1415" priority="17210"/>
    <cfRule type="duplicateValues" dxfId="1414" priority="17211"/>
    <cfRule type="duplicateValues" dxfId="1413" priority="17212"/>
    <cfRule type="duplicateValues" dxfId="1412" priority="17213"/>
    <cfRule type="duplicateValues" dxfId="1411" priority="17214"/>
    <cfRule type="duplicateValues" dxfId="1410" priority="17215"/>
    <cfRule type="duplicateValues" dxfId="1409" priority="17216"/>
    <cfRule type="duplicateValues" dxfId="1408" priority="17217"/>
    <cfRule type="duplicateValues" dxfId="1407" priority="17218"/>
    <cfRule type="duplicateValues" dxfId="1406" priority="17219"/>
    <cfRule type="duplicateValues" dxfId="1405" priority="17220"/>
    <cfRule type="duplicateValues" dxfId="1404" priority="17221"/>
  </conditionalFormatting>
  <conditionalFormatting sqref="F18">
    <cfRule type="duplicateValues" dxfId="1403" priority="17222"/>
    <cfRule type="duplicateValues" dxfId="1402" priority="17656"/>
    <cfRule type="duplicateValues" dxfId="1401" priority="17657"/>
    <cfRule type="duplicateValues" dxfId="1400" priority="17658"/>
    <cfRule type="duplicateValues" dxfId="1399" priority="17659"/>
    <cfRule type="duplicateValues" dxfId="1398" priority="17660"/>
    <cfRule type="duplicateValues" dxfId="1397" priority="17661"/>
    <cfRule type="duplicateValues" dxfId="1396" priority="17662"/>
    <cfRule type="duplicateValues" dxfId="1395" priority="17663"/>
    <cfRule type="duplicateValues" dxfId="1394" priority="17664"/>
    <cfRule type="duplicateValues" dxfId="1393" priority="17665"/>
    <cfRule type="duplicateValues" dxfId="1392" priority="17666"/>
    <cfRule type="duplicateValues" dxfId="1391" priority="17667"/>
    <cfRule type="duplicateValues" dxfId="1390" priority="17668"/>
    <cfRule type="duplicateValues" dxfId="1389" priority="17669"/>
    <cfRule type="duplicateValues" dxfId="1388" priority="17670"/>
    <cfRule type="duplicateValues" dxfId="1387" priority="17671"/>
    <cfRule type="duplicateValues" dxfId="1386" priority="17672"/>
    <cfRule type="duplicateValues" dxfId="1385" priority="17673"/>
    <cfRule type="duplicateValues" dxfId="1384" priority="17674"/>
    <cfRule type="duplicateValues" dxfId="1383" priority="17675"/>
    <cfRule type="duplicateValues" dxfId="1382" priority="17676"/>
    <cfRule type="duplicateValues" dxfId="1381" priority="17677"/>
    <cfRule type="duplicateValues" dxfId="1380" priority="17678"/>
    <cfRule type="duplicateValues" dxfId="1379" priority="17679"/>
    <cfRule type="duplicateValues" dxfId="1378" priority="17680"/>
    <cfRule type="duplicateValues" dxfId="1377" priority="17681"/>
    <cfRule type="duplicateValues" dxfId="1376" priority="17682"/>
    <cfRule type="duplicateValues" dxfId="1375" priority="17683"/>
    <cfRule type="duplicateValues" dxfId="1374" priority="17684"/>
    <cfRule type="duplicateValues" dxfId="1373" priority="17685"/>
    <cfRule type="duplicateValues" dxfId="1372" priority="17686"/>
    <cfRule type="duplicateValues" dxfId="1371" priority="17687"/>
    <cfRule type="duplicateValues" dxfId="1370" priority="17688"/>
    <cfRule type="duplicateValues" dxfId="1369" priority="17689"/>
    <cfRule type="duplicateValues" dxfId="1368" priority="17690"/>
    <cfRule type="duplicateValues" dxfId="1367" priority="17691"/>
    <cfRule type="duplicateValues" dxfId="1366" priority="17692"/>
    <cfRule type="duplicateValues" dxfId="1365" priority="17693"/>
    <cfRule type="duplicateValues" dxfId="1364" priority="17694"/>
    <cfRule type="duplicateValues" dxfId="1363" priority="17695"/>
    <cfRule type="duplicateValues" dxfId="1362" priority="17696"/>
    <cfRule type="duplicateValues" dxfId="1361" priority="17697"/>
  </conditionalFormatting>
  <conditionalFormatting sqref="F19">
    <cfRule type="duplicateValues" dxfId="1360" priority="13126"/>
    <cfRule type="duplicateValues" dxfId="1359" priority="13127"/>
    <cfRule type="duplicateValues" dxfId="1358" priority="13128"/>
    <cfRule type="duplicateValues" dxfId="1357" priority="13129"/>
    <cfRule type="duplicateValues" dxfId="1356" priority="13130"/>
    <cfRule type="duplicateValues" dxfId="1355" priority="13131"/>
    <cfRule type="duplicateValues" dxfId="1354" priority="13132"/>
    <cfRule type="duplicateValues" dxfId="1353" priority="13133"/>
    <cfRule type="duplicateValues" dxfId="1352" priority="13134"/>
    <cfRule type="duplicateValues" dxfId="1351" priority="13135"/>
    <cfRule type="duplicateValues" dxfId="1350" priority="13136"/>
    <cfRule type="duplicateValues" dxfId="1349" priority="13137"/>
    <cfRule type="duplicateValues" dxfId="1348" priority="13138"/>
    <cfRule type="duplicateValues" dxfId="1347" priority="13139"/>
    <cfRule type="duplicateValues" dxfId="1346" priority="13140"/>
    <cfRule type="duplicateValues" dxfId="1345" priority="13141"/>
    <cfRule type="duplicateValues" dxfId="1344" priority="13142"/>
    <cfRule type="duplicateValues" dxfId="1343" priority="13143"/>
    <cfRule type="duplicateValues" dxfId="1342" priority="13144"/>
    <cfRule type="duplicateValues" dxfId="1341" priority="13145"/>
    <cfRule type="duplicateValues" dxfId="1340" priority="13146"/>
    <cfRule type="duplicateValues" dxfId="1339" priority="13147"/>
    <cfRule type="duplicateValues" dxfId="1338" priority="13148"/>
    <cfRule type="duplicateValues" dxfId="1337" priority="13149"/>
    <cfRule type="duplicateValues" dxfId="1336" priority="13150"/>
    <cfRule type="duplicateValues" dxfId="1335" priority="13151"/>
    <cfRule type="duplicateValues" dxfId="1334" priority="13152"/>
    <cfRule type="duplicateValues" dxfId="1333" priority="13153"/>
    <cfRule type="duplicateValues" dxfId="1332" priority="13154"/>
    <cfRule type="duplicateValues" dxfId="1331" priority="13155"/>
    <cfRule type="duplicateValues" dxfId="1330" priority="13156"/>
    <cfRule type="duplicateValues" dxfId="1329" priority="13157"/>
    <cfRule type="duplicateValues" dxfId="1328" priority="13158"/>
    <cfRule type="duplicateValues" dxfId="1327" priority="13159"/>
    <cfRule type="duplicateValues" dxfId="1326" priority="13160"/>
    <cfRule type="duplicateValues" dxfId="1325" priority="13161"/>
    <cfRule type="duplicateValues" dxfId="1324" priority="13162"/>
    <cfRule type="duplicateValues" dxfId="1323" priority="13163"/>
    <cfRule type="duplicateValues" dxfId="1322" priority="13164"/>
    <cfRule type="duplicateValues" dxfId="1321" priority="13165"/>
    <cfRule type="duplicateValues" dxfId="1320" priority="13166"/>
    <cfRule type="duplicateValues" dxfId="1319" priority="13167"/>
    <cfRule type="duplicateValues" dxfId="1318" priority="13168"/>
    <cfRule type="duplicateValues" dxfId="1317" priority="13169"/>
    <cfRule type="duplicateValues" dxfId="1316" priority="13170"/>
    <cfRule type="duplicateValues" dxfId="1315" priority="13171"/>
    <cfRule type="duplicateValues" dxfId="1314" priority="13172"/>
    <cfRule type="duplicateValues" dxfId="1313" priority="13173"/>
    <cfRule type="duplicateValues" dxfId="1312" priority="13174"/>
    <cfRule type="duplicateValues" dxfId="1311" priority="13175"/>
    <cfRule type="duplicateValues" dxfId="1310" priority="13176"/>
    <cfRule type="duplicateValues" dxfId="1309" priority="13177"/>
    <cfRule type="duplicateValues" dxfId="1308" priority="13178"/>
    <cfRule type="duplicateValues" dxfId="1307" priority="13179"/>
    <cfRule type="duplicateValues" dxfId="1306" priority="13180"/>
    <cfRule type="duplicateValues" dxfId="1305" priority="13181"/>
    <cfRule type="duplicateValues" dxfId="1304" priority="13182"/>
    <cfRule type="duplicateValues" dxfId="1303" priority="13183"/>
    <cfRule type="duplicateValues" dxfId="1302" priority="13184"/>
  </conditionalFormatting>
  <conditionalFormatting sqref="F20">
    <cfRule type="duplicateValues" dxfId="1301" priority="912"/>
    <cfRule type="duplicateValues" dxfId="1300" priority="913"/>
    <cfRule type="duplicateValues" dxfId="1299" priority="914"/>
    <cfRule type="duplicateValues" dxfId="1298" priority="915"/>
    <cfRule type="duplicateValues" dxfId="1297" priority="916"/>
    <cfRule type="duplicateValues" dxfId="1296" priority="917"/>
    <cfRule type="duplicateValues" dxfId="1295" priority="918"/>
    <cfRule type="duplicateValues" dxfId="1294" priority="919"/>
    <cfRule type="duplicateValues" dxfId="1293" priority="920"/>
    <cfRule type="duplicateValues" dxfId="1292" priority="921"/>
    <cfRule type="duplicateValues" dxfId="1291" priority="922"/>
    <cfRule type="duplicateValues" dxfId="1290" priority="923"/>
    <cfRule type="duplicateValues" dxfId="1289" priority="924"/>
    <cfRule type="duplicateValues" dxfId="1288" priority="925"/>
    <cfRule type="duplicateValues" dxfId="1287" priority="926"/>
    <cfRule type="duplicateValues" dxfId="1286" priority="927"/>
    <cfRule type="duplicateValues" dxfId="1285" priority="928"/>
    <cfRule type="duplicateValues" dxfId="1284" priority="929"/>
    <cfRule type="duplicateValues" dxfId="1283" priority="930"/>
    <cfRule type="duplicateValues" dxfId="1282" priority="931"/>
    <cfRule type="duplicateValues" dxfId="1281" priority="932"/>
    <cfRule type="duplicateValues" dxfId="1280" priority="933"/>
    <cfRule type="duplicateValues" dxfId="1279" priority="934"/>
    <cfRule type="duplicateValues" dxfId="1278" priority="935"/>
    <cfRule type="duplicateValues" dxfId="1277" priority="936"/>
    <cfRule type="duplicateValues" dxfId="1276" priority="11819"/>
    <cfRule type="duplicateValues" dxfId="1275" priority="11820"/>
    <cfRule type="duplicateValues" dxfId="1274" priority="11821"/>
    <cfRule type="duplicateValues" dxfId="1273" priority="11822"/>
    <cfRule type="duplicateValues" dxfId="1272" priority="11823"/>
    <cfRule type="duplicateValues" dxfId="1271" priority="11824"/>
    <cfRule type="duplicateValues" dxfId="1270" priority="11825"/>
    <cfRule type="duplicateValues" dxfId="1269" priority="11826"/>
    <cfRule type="duplicateValues" dxfId="1268" priority="11827"/>
    <cfRule type="duplicateValues" dxfId="1267" priority="11828"/>
    <cfRule type="duplicateValues" dxfId="1266" priority="11829"/>
    <cfRule type="duplicateValues" dxfId="1265" priority="11830"/>
    <cfRule type="duplicateValues" dxfId="1264" priority="11831"/>
    <cfRule type="duplicateValues" dxfId="1263" priority="11832"/>
    <cfRule type="duplicateValues" dxfId="1262" priority="11833"/>
    <cfRule type="duplicateValues" dxfId="1261" priority="11834"/>
    <cfRule type="duplicateValues" dxfId="1260" priority="11835"/>
    <cfRule type="duplicateValues" dxfId="1259" priority="11836"/>
    <cfRule type="duplicateValues" dxfId="1258" priority="11837"/>
    <cfRule type="duplicateValues" dxfId="1257" priority="11838"/>
    <cfRule type="duplicateValues" dxfId="1256" priority="11839"/>
    <cfRule type="duplicateValues" dxfId="1255" priority="11840"/>
    <cfRule type="duplicateValues" dxfId="1254" priority="11841"/>
    <cfRule type="duplicateValues" dxfId="1253" priority="11842"/>
    <cfRule type="duplicateValues" dxfId="1252" priority="11843"/>
    <cfRule type="duplicateValues" dxfId="1251" priority="11844"/>
    <cfRule type="duplicateValues" dxfId="1250" priority="11845"/>
    <cfRule type="duplicateValues" dxfId="1249" priority="11846"/>
    <cfRule type="duplicateValues" dxfId="1248" priority="11847"/>
    <cfRule type="duplicateValues" dxfId="1247" priority="11848"/>
    <cfRule type="duplicateValues" dxfId="1246" priority="11849"/>
    <cfRule type="duplicateValues" dxfId="1245" priority="11850"/>
    <cfRule type="duplicateValues" dxfId="1244" priority="11851"/>
    <cfRule type="duplicateValues" dxfId="1243" priority="11852"/>
    <cfRule type="duplicateValues" dxfId="1242" priority="11853"/>
    <cfRule type="duplicateValues" dxfId="1241" priority="11854"/>
    <cfRule type="duplicateValues" dxfId="1240" priority="11855"/>
    <cfRule type="duplicateValues" dxfId="1239" priority="11856"/>
    <cfRule type="duplicateValues" dxfId="1238" priority="11857"/>
    <cfRule type="duplicateValues" dxfId="1237" priority="11858"/>
    <cfRule type="duplicateValues" dxfId="1236" priority="11859"/>
    <cfRule type="duplicateValues" dxfId="1235" priority="11860"/>
  </conditionalFormatting>
  <conditionalFormatting sqref="F21:F1048576 F1:F3">
    <cfRule type="duplicateValues" dxfId="1234" priority="1546"/>
  </conditionalFormatting>
  <conditionalFormatting sqref="F24:F1048576 F1:F3">
    <cfRule type="duplicateValues" dxfId="1233" priority="16544"/>
    <cfRule type="duplicateValues" dxfId="1232" priority="16545"/>
    <cfRule type="duplicateValues" dxfId="1231" priority="16546"/>
    <cfRule type="duplicateValues" dxfId="1230" priority="16547"/>
    <cfRule type="duplicateValues" dxfId="1229" priority="16548"/>
    <cfRule type="duplicateValues" dxfId="1228" priority="16549"/>
    <cfRule type="duplicateValues" dxfId="1227" priority="16550"/>
    <cfRule type="duplicateValues" dxfId="1226" priority="16551"/>
    <cfRule type="duplicateValues" dxfId="1225" priority="16552"/>
  </conditionalFormatting>
  <conditionalFormatting sqref="F24:F1048576">
    <cfRule type="duplicateValues" dxfId="1224" priority="16571"/>
  </conditionalFormatting>
  <conditionalFormatting sqref="G6">
    <cfRule type="duplicateValues" dxfId="1223" priority="188"/>
    <cfRule type="duplicateValues" dxfId="1222" priority="189"/>
  </conditionalFormatting>
  <conditionalFormatting sqref="G9">
    <cfRule type="duplicateValues" dxfId="1221" priority="765"/>
    <cfRule type="duplicateValues" dxfId="1220" priority="766"/>
    <cfRule type="duplicateValues" dxfId="1219" priority="767"/>
  </conditionalFormatting>
  <conditionalFormatting sqref="G10:G11 G17:G18 G14:G15 G7 G4:G5">
    <cfRule type="duplicateValues" dxfId="1218" priority="376"/>
    <cfRule type="duplicateValues" dxfId="1217" priority="377"/>
  </conditionalFormatting>
  <conditionalFormatting sqref="G12">
    <cfRule type="duplicateValues" dxfId="1216" priority="769"/>
    <cfRule type="duplicateValues" dxfId="1215" priority="770"/>
    <cfRule type="duplicateValues" dxfId="1214" priority="771"/>
  </conditionalFormatting>
  <conditionalFormatting sqref="G16">
    <cfRule type="duplicateValues" dxfId="1213" priority="781"/>
    <cfRule type="duplicateValues" dxfId="1212" priority="782"/>
    <cfRule type="duplicateValues" dxfId="1211" priority="783"/>
  </conditionalFormatting>
  <conditionalFormatting sqref="G19">
    <cfRule type="duplicateValues" dxfId="1210" priority="26026"/>
    <cfRule type="duplicateValues" dxfId="1209" priority="26027"/>
  </conditionalFormatting>
  <conditionalFormatting sqref="G20">
    <cfRule type="duplicateValues" dxfId="1208" priority="11955"/>
    <cfRule type="duplicateValues" dxfId="1207" priority="11956"/>
    <cfRule type="duplicateValues" dxfId="1206" priority="11957"/>
  </conditionalFormatting>
  <conditionalFormatting sqref="G4:H4 G5:K5 G6:H7 G8:K19 G20 I20:K20">
    <cfRule type="containsText" dxfId="1205" priority="103" operator="containsText" text="TBA">
      <formula>NOT(ISERROR(SEARCH("TBA",G4)))</formula>
    </cfRule>
  </conditionalFormatting>
  <conditionalFormatting sqref="G8:H8">
    <cfRule type="duplicateValues" dxfId="1204" priority="750"/>
    <cfRule type="duplicateValues" dxfId="1203" priority="751"/>
    <cfRule type="duplicateValues" dxfId="1202" priority="752"/>
  </conditionalFormatting>
  <conditionalFormatting sqref="G13:H13">
    <cfRule type="duplicateValues" dxfId="1201" priority="762"/>
    <cfRule type="duplicateValues" dxfId="1200" priority="763"/>
    <cfRule type="duplicateValues" dxfId="1199" priority="764"/>
  </conditionalFormatting>
  <conditionalFormatting sqref="H6">
    <cfRule type="duplicateValues" dxfId="1198" priority="250"/>
  </conditionalFormatting>
  <conditionalFormatting sqref="H9">
    <cfRule type="duplicateValues" dxfId="1197" priority="747"/>
    <cfRule type="duplicateValues" dxfId="1196" priority="748"/>
    <cfRule type="duplicateValues" dxfId="1195" priority="749"/>
  </conditionalFormatting>
  <conditionalFormatting sqref="H10:H11 H17:H18 H14:H15 H7 H4:H5">
    <cfRule type="duplicateValues" dxfId="1194" priority="439"/>
  </conditionalFormatting>
  <conditionalFormatting sqref="H13 G9:H9 H8 H19">
    <cfRule type="duplicateValues" dxfId="1193" priority="26059"/>
  </conditionalFormatting>
  <conditionalFormatting sqref="H16">
    <cfRule type="duplicateValues" dxfId="1192" priority="775"/>
    <cfRule type="duplicateValues" dxfId="1191" priority="776"/>
    <cfRule type="duplicateValues" dxfId="1190" priority="777"/>
  </conditionalFormatting>
  <conditionalFormatting sqref="I6">
    <cfRule type="duplicateValues" dxfId="1189" priority="178"/>
    <cfRule type="duplicateValues" dxfId="1188" priority="179"/>
    <cfRule type="duplicateValues" dxfId="1187" priority="180"/>
    <cfRule type="duplicateValues" dxfId="1186" priority="181"/>
    <cfRule type="duplicateValues" dxfId="1185" priority="182"/>
    <cfRule type="duplicateValues" dxfId="1184" priority="183"/>
    <cfRule type="duplicateValues" dxfId="1183" priority="184"/>
    <cfRule type="duplicateValues" dxfId="1182" priority="185"/>
    <cfRule type="duplicateValues" dxfId="1181" priority="186"/>
  </conditionalFormatting>
  <conditionalFormatting sqref="I8">
    <cfRule type="duplicateValues" dxfId="1180" priority="674"/>
    <cfRule type="duplicateValues" dxfId="1179" priority="675"/>
    <cfRule type="duplicateValues" dxfId="1178" priority="676"/>
  </conditionalFormatting>
  <conditionalFormatting sqref="I9">
    <cfRule type="duplicateValues" dxfId="1177" priority="670"/>
    <cfRule type="duplicateValues" dxfId="1176" priority="671"/>
    <cfRule type="duplicateValues" dxfId="1175" priority="672"/>
    <cfRule type="duplicateValues" dxfId="1174" priority="673"/>
  </conditionalFormatting>
  <conditionalFormatting sqref="I10:I11 I17:I18 I14:I15 I7 I4:I5">
    <cfRule type="duplicateValues" dxfId="1173" priority="292"/>
    <cfRule type="duplicateValues" dxfId="1172" priority="293"/>
    <cfRule type="duplicateValues" dxfId="1171" priority="294"/>
    <cfRule type="duplicateValues" dxfId="1170" priority="295"/>
    <cfRule type="duplicateValues" dxfId="1169" priority="296"/>
    <cfRule type="duplicateValues" dxfId="1168" priority="297"/>
    <cfRule type="duplicateValues" dxfId="1167" priority="298"/>
    <cfRule type="duplicateValues" dxfId="1166" priority="299"/>
    <cfRule type="duplicateValues" dxfId="1165" priority="300"/>
  </conditionalFormatting>
  <conditionalFormatting sqref="I12">
    <cfRule type="duplicateValues" dxfId="1164" priority="696"/>
    <cfRule type="duplicateValues" dxfId="1163" priority="697"/>
    <cfRule type="duplicateValues" dxfId="1162" priority="698"/>
    <cfRule type="duplicateValues" dxfId="1161" priority="699"/>
    <cfRule type="duplicateValues" dxfId="1160" priority="700"/>
    <cfRule type="duplicateValues" dxfId="1159" priority="701"/>
    <cfRule type="duplicateValues" dxfId="1158" priority="702"/>
    <cfRule type="duplicateValues" dxfId="1157" priority="703"/>
  </conditionalFormatting>
  <conditionalFormatting sqref="I13">
    <cfRule type="duplicateValues" dxfId="1156" priority="704"/>
    <cfRule type="duplicateValues" dxfId="1155" priority="705"/>
    <cfRule type="duplicateValues" dxfId="1154" priority="706"/>
    <cfRule type="duplicateValues" dxfId="1153" priority="707"/>
    <cfRule type="duplicateValues" dxfId="1152" priority="708"/>
  </conditionalFormatting>
  <conditionalFormatting sqref="I16">
    <cfRule type="duplicateValues" dxfId="1151" priority="718"/>
    <cfRule type="duplicateValues" dxfId="1150" priority="719"/>
    <cfRule type="duplicateValues" dxfId="1149" priority="720"/>
  </conditionalFormatting>
  <conditionalFormatting sqref="I19">
    <cfRule type="duplicateValues" dxfId="1148" priority="26028"/>
    <cfRule type="duplicateValues" dxfId="1147" priority="26029"/>
    <cfRule type="duplicateValues" dxfId="1146" priority="26030"/>
    <cfRule type="duplicateValues" dxfId="1145" priority="26031"/>
    <cfRule type="duplicateValues" dxfId="1144" priority="26032"/>
    <cfRule type="duplicateValues" dxfId="1143" priority="26033"/>
    <cfRule type="duplicateValues" dxfId="1142" priority="26034"/>
    <cfRule type="duplicateValues" dxfId="1141" priority="26035"/>
    <cfRule type="duplicateValues" dxfId="1140" priority="26036"/>
  </conditionalFormatting>
  <conditionalFormatting sqref="I20">
    <cfRule type="duplicateValues" dxfId="1139" priority="11978"/>
    <cfRule type="duplicateValues" dxfId="1138" priority="11979"/>
    <cfRule type="duplicateValues" dxfId="1137" priority="11980"/>
    <cfRule type="duplicateValues" dxfId="1136" priority="11981"/>
    <cfRule type="duplicateValues" dxfId="1135" priority="11982"/>
    <cfRule type="duplicateValues" dxfId="1134" priority="11983"/>
  </conditionalFormatting>
  <conditionalFormatting sqref="J6">
    <cfRule type="duplicateValues" dxfId="1133" priority="176"/>
    <cfRule type="duplicateValues" dxfId="1132" priority="177"/>
  </conditionalFormatting>
  <conditionalFormatting sqref="J8">
    <cfRule type="duplicateValues" dxfId="1131" priority="1538"/>
  </conditionalFormatting>
  <conditionalFormatting sqref="J10:J11 J17:J18 J14:J15 J7 J4:J5">
    <cfRule type="duplicateValues" dxfId="1130" priority="282"/>
    <cfRule type="duplicateValues" dxfId="1129" priority="283"/>
  </conditionalFormatting>
  <conditionalFormatting sqref="J12">
    <cfRule type="duplicateValues" dxfId="1128" priority="1540"/>
  </conditionalFormatting>
  <conditionalFormatting sqref="J19">
    <cfRule type="duplicateValues" dxfId="1127" priority="26037"/>
    <cfRule type="duplicateValues" dxfId="1126" priority="26038"/>
  </conditionalFormatting>
  <conditionalFormatting sqref="K8">
    <cfRule type="duplicateValues" dxfId="1125" priority="596"/>
    <cfRule type="duplicateValues" dxfId="1124" priority="604"/>
    <cfRule type="duplicateValues" dxfId="1123" priority="605"/>
  </conditionalFormatting>
  <conditionalFormatting sqref="K9">
    <cfRule type="duplicateValues" dxfId="1122" priority="600"/>
    <cfRule type="duplicateValues" dxfId="1121" priority="601"/>
    <cfRule type="duplicateValues" dxfId="1120" priority="602"/>
    <cfRule type="duplicateValues" dxfId="1119" priority="603"/>
  </conditionalFormatting>
  <conditionalFormatting sqref="K12">
    <cfRule type="duplicateValues" dxfId="1118" priority="598"/>
    <cfRule type="duplicateValues" dxfId="1117" priority="611"/>
    <cfRule type="duplicateValues" dxfId="1116" priority="612"/>
    <cfRule type="duplicateValues" dxfId="1115" priority="613"/>
  </conditionalFormatting>
  <conditionalFormatting sqref="K16 K8:K9 K12:K13 K19:K20">
    <cfRule type="duplicateValues" dxfId="1114" priority="26063"/>
    <cfRule type="duplicateValues" dxfId="1113" priority="26064"/>
    <cfRule type="duplicateValues" dxfId="1112" priority="26065"/>
    <cfRule type="duplicateValues" dxfId="1111" priority="26066"/>
  </conditionalFormatting>
  <conditionalFormatting sqref="K16">
    <cfRule type="duplicateValues" dxfId="1110" priority="628"/>
  </conditionalFormatting>
  <conditionalFormatting sqref="K19">
    <cfRule type="duplicateValues" dxfId="1109" priority="26039"/>
    <cfRule type="duplicateValues" dxfId="1108" priority="26040"/>
    <cfRule type="duplicateValues" dxfId="1107" priority="26041"/>
    <cfRule type="duplicateValues" dxfId="1106" priority="26042"/>
    <cfRule type="duplicateValues" dxfId="1105" priority="26043"/>
  </conditionalFormatting>
  <conditionalFormatting sqref="K20">
    <cfRule type="duplicateValues" dxfId="1104" priority="12012"/>
    <cfRule type="duplicateValues" dxfId="1103" priority="12013"/>
  </conditionalFormatting>
  <pageMargins left="0.7" right="0.7" top="0.75" bottom="0.75" header="0.3" footer="0.3"/>
  <pageSetup orientation="portrait" r:id="rId1"/>
  <ignoredErrors>
    <ignoredError sqref="J14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A8F4-F57E-473A-B413-49C9A0E33239}">
  <dimension ref="A1:AB27"/>
  <sheetViews>
    <sheetView zoomScale="115" zoomScaleNormal="115" workbookViewId="0">
      <selection activeCell="I16" sqref="I16"/>
    </sheetView>
  </sheetViews>
  <sheetFormatPr defaultColWidth="9.5703125" defaultRowHeight="12.75"/>
  <cols>
    <col min="1" max="1" width="4.7109375" style="2" customWidth="1"/>
    <col min="2" max="2" width="6.85546875" style="2" customWidth="1"/>
    <col min="3" max="3" width="13.42578125" style="2" customWidth="1"/>
    <col min="4" max="4" width="9.85546875" style="2" customWidth="1"/>
    <col min="5" max="5" width="17.85546875" style="2" customWidth="1"/>
    <col min="6" max="6" width="11.5703125" style="2" bestFit="1" customWidth="1"/>
    <col min="7" max="7" width="10.85546875" style="2" customWidth="1"/>
    <col min="8" max="8" width="11.140625" style="2" customWidth="1"/>
    <col min="9" max="9" width="31.140625" style="2" customWidth="1"/>
    <col min="10" max="10" width="27.85546875" style="2" customWidth="1"/>
    <col min="11" max="11" width="11.28515625" style="2" customWidth="1"/>
    <col min="12" max="12" width="9" style="2" customWidth="1"/>
    <col min="13" max="13" width="14.42578125" style="2" customWidth="1"/>
    <col min="14" max="14" width="15.28515625" style="29" bestFit="1" customWidth="1"/>
    <col min="15" max="15" width="21.85546875" style="2" bestFit="1" customWidth="1"/>
    <col min="16" max="16" width="10.85546875" style="2" customWidth="1"/>
    <col min="17" max="17" width="10.42578125" style="59" bestFit="1" customWidth="1"/>
    <col min="18" max="18" width="10.85546875" style="59" bestFit="1" customWidth="1"/>
    <col min="19" max="19" width="12.28515625" style="59" bestFit="1" customWidth="1"/>
    <col min="20" max="20" width="4.42578125" style="2" customWidth="1"/>
    <col min="21" max="21" width="10.42578125" style="59" bestFit="1" customWidth="1"/>
    <col min="22" max="22" width="12" style="59" bestFit="1" customWidth="1"/>
    <col min="23" max="23" width="11.85546875" style="59" customWidth="1"/>
    <col min="24" max="24" width="12" style="59" bestFit="1" customWidth="1"/>
    <col min="25" max="25" width="13.7109375" style="59" bestFit="1" customWidth="1"/>
    <col min="26" max="26" width="13" style="59" bestFit="1" customWidth="1"/>
    <col min="27" max="27" width="9" style="2" bestFit="1" customWidth="1"/>
    <col min="28" max="28" width="10" style="2" bestFit="1" customWidth="1"/>
    <col min="29" max="16384" width="9.5703125" style="2"/>
  </cols>
  <sheetData>
    <row r="1" spans="1:28" s="1" customFormat="1">
      <c r="A1" s="9" t="s">
        <v>0</v>
      </c>
      <c r="B1" s="10"/>
      <c r="C1" s="10"/>
      <c r="D1" s="10"/>
      <c r="E1" s="10"/>
      <c r="F1" s="11"/>
      <c r="G1" s="10"/>
      <c r="H1" s="10"/>
      <c r="I1" s="10"/>
      <c r="J1" s="10"/>
      <c r="K1" s="10"/>
      <c r="L1" s="13">
        <f>SUM(L4:L23)</f>
        <v>718.20800000000008</v>
      </c>
      <c r="M1" s="13">
        <f>SUM(M4:M23)</f>
        <v>720</v>
      </c>
      <c r="N1" s="10"/>
      <c r="O1" s="10"/>
      <c r="P1" s="10"/>
      <c r="Q1" s="55"/>
      <c r="R1" s="55"/>
      <c r="S1" s="55"/>
      <c r="T1" s="10"/>
      <c r="U1" s="55"/>
      <c r="V1" s="55"/>
      <c r="W1" s="55"/>
      <c r="X1" s="55"/>
      <c r="Y1" s="55"/>
      <c r="Z1" s="55"/>
      <c r="AA1" s="10"/>
      <c r="AB1" s="14"/>
    </row>
    <row r="2" spans="1:28" s="112" customFormat="1" ht="25.5">
      <c r="A2" s="84" t="s">
        <v>1</v>
      </c>
      <c r="B2" s="84" t="s">
        <v>2</v>
      </c>
      <c r="C2" s="84" t="s">
        <v>3</v>
      </c>
      <c r="D2" s="84" t="s">
        <v>4</v>
      </c>
      <c r="E2" s="84" t="s">
        <v>5</v>
      </c>
      <c r="F2" s="84" t="s">
        <v>6</v>
      </c>
      <c r="G2" s="84" t="s">
        <v>7</v>
      </c>
      <c r="H2" s="84" t="s">
        <v>8</v>
      </c>
      <c r="I2" s="239" t="s">
        <v>31</v>
      </c>
      <c r="J2" s="240"/>
      <c r="K2" s="84" t="s">
        <v>9</v>
      </c>
      <c r="L2" s="84" t="s">
        <v>10</v>
      </c>
      <c r="M2" s="84" t="s">
        <v>32</v>
      </c>
      <c r="N2" s="84" t="s">
        <v>11</v>
      </c>
      <c r="O2" s="84" t="s">
        <v>12</v>
      </c>
      <c r="P2" s="18" t="s">
        <v>13</v>
      </c>
      <c r="Q2" s="81" t="s">
        <v>14</v>
      </c>
      <c r="R2" s="81"/>
      <c r="S2" s="81"/>
      <c r="T2" s="81"/>
      <c r="U2" s="238" t="s">
        <v>15</v>
      </c>
      <c r="V2" s="238"/>
      <c r="W2" s="238" t="s">
        <v>16</v>
      </c>
      <c r="X2" s="238"/>
      <c r="Y2" s="232" t="s">
        <v>19</v>
      </c>
      <c r="Z2" s="232"/>
      <c r="AA2" s="232"/>
      <c r="AB2" s="236" t="s">
        <v>28</v>
      </c>
    </row>
    <row r="3" spans="1:28" s="112" customFormat="1" ht="25.5">
      <c r="A3" s="85"/>
      <c r="B3" s="85"/>
      <c r="C3" s="85"/>
      <c r="D3" s="85"/>
      <c r="E3" s="85"/>
      <c r="F3" s="85"/>
      <c r="G3" s="85"/>
      <c r="H3" s="85"/>
      <c r="I3" s="17" t="s">
        <v>20</v>
      </c>
      <c r="J3" s="17" t="s">
        <v>30</v>
      </c>
      <c r="K3" s="85"/>
      <c r="L3" s="85"/>
      <c r="M3" s="85"/>
      <c r="N3" s="85"/>
      <c r="O3" s="83"/>
      <c r="P3" s="18" t="s">
        <v>21</v>
      </c>
      <c r="Q3" s="56" t="s">
        <v>22</v>
      </c>
      <c r="R3" s="56" t="s">
        <v>23</v>
      </c>
      <c r="S3" s="56" t="s">
        <v>24</v>
      </c>
      <c r="T3" s="19" t="s">
        <v>25</v>
      </c>
      <c r="U3" s="57" t="s">
        <v>22</v>
      </c>
      <c r="V3" s="57" t="s">
        <v>26</v>
      </c>
      <c r="W3" s="57" t="s">
        <v>22</v>
      </c>
      <c r="X3" s="57" t="s">
        <v>26</v>
      </c>
      <c r="Y3" s="58" t="s">
        <v>19</v>
      </c>
      <c r="Z3" s="57" t="s">
        <v>27</v>
      </c>
      <c r="AA3" s="22" t="s">
        <v>25</v>
      </c>
      <c r="AB3" s="237"/>
    </row>
    <row r="4" spans="1:28">
      <c r="A4" s="3">
        <v>19</v>
      </c>
      <c r="B4" s="3" t="s">
        <v>204</v>
      </c>
      <c r="C4" s="136" t="s">
        <v>1210</v>
      </c>
      <c r="D4" s="3" t="s">
        <v>29</v>
      </c>
      <c r="E4" s="3" t="s">
        <v>1470</v>
      </c>
      <c r="F4" s="3" t="s">
        <v>1314</v>
      </c>
      <c r="G4" s="3" t="s">
        <v>1315</v>
      </c>
      <c r="H4" s="3" t="s">
        <v>1316</v>
      </c>
      <c r="I4" s="3" t="s">
        <v>1317</v>
      </c>
      <c r="J4" s="3">
        <v>971103063</v>
      </c>
      <c r="K4" s="3" t="s">
        <v>1318</v>
      </c>
      <c r="L4" s="3">
        <v>35.402000000000001</v>
      </c>
      <c r="M4" s="3">
        <v>36</v>
      </c>
      <c r="N4" s="3" t="s">
        <v>1018</v>
      </c>
      <c r="O4" s="3" t="s">
        <v>27</v>
      </c>
      <c r="P4" s="105">
        <v>45864</v>
      </c>
      <c r="Q4" s="105">
        <v>45864</v>
      </c>
      <c r="R4" s="105">
        <v>45884</v>
      </c>
      <c r="S4" s="105">
        <v>45894</v>
      </c>
      <c r="T4" s="3">
        <v>0</v>
      </c>
      <c r="U4" s="105">
        <v>45896</v>
      </c>
      <c r="V4" s="105">
        <v>45897</v>
      </c>
      <c r="W4" s="105">
        <v>45897</v>
      </c>
      <c r="X4" s="105">
        <v>45899</v>
      </c>
      <c r="Y4" s="105">
        <v>45900</v>
      </c>
      <c r="Z4" s="105">
        <v>45902</v>
      </c>
      <c r="AA4" s="3">
        <f>MAX(0,Z4-X4)</f>
        <v>3</v>
      </c>
      <c r="AB4" s="36"/>
    </row>
    <row r="5" spans="1:28">
      <c r="A5" s="3">
        <v>20</v>
      </c>
      <c r="B5" s="3" t="s">
        <v>204</v>
      </c>
      <c r="C5" s="136" t="s">
        <v>1210</v>
      </c>
      <c r="D5" s="3" t="s">
        <v>29</v>
      </c>
      <c r="E5" s="3" t="s">
        <v>1469</v>
      </c>
      <c r="F5" s="3" t="s">
        <v>1319</v>
      </c>
      <c r="G5" s="3" t="s">
        <v>1320</v>
      </c>
      <c r="H5" s="3" t="s">
        <v>1321</v>
      </c>
      <c r="I5" s="3" t="s">
        <v>1322</v>
      </c>
      <c r="J5" s="3">
        <v>772728706</v>
      </c>
      <c r="K5" s="3" t="s">
        <v>1323</v>
      </c>
      <c r="L5" s="3">
        <v>36.295999999999999</v>
      </c>
      <c r="M5" s="3">
        <v>36</v>
      </c>
      <c r="N5" s="3" t="s">
        <v>1018</v>
      </c>
      <c r="O5" s="3" t="s">
        <v>27</v>
      </c>
      <c r="P5" s="105">
        <v>45864</v>
      </c>
      <c r="Q5" s="105">
        <v>45865</v>
      </c>
      <c r="R5" s="105">
        <v>45884</v>
      </c>
      <c r="S5" s="105">
        <v>45894</v>
      </c>
      <c r="T5" s="3">
        <v>0</v>
      </c>
      <c r="U5" s="105">
        <v>45896</v>
      </c>
      <c r="V5" s="105">
        <v>45897</v>
      </c>
      <c r="W5" s="105">
        <v>45897</v>
      </c>
      <c r="X5" s="105">
        <v>45899</v>
      </c>
      <c r="Y5" s="105">
        <v>45900</v>
      </c>
      <c r="Z5" s="105">
        <v>45902</v>
      </c>
      <c r="AA5" s="3">
        <f>MAX(0,Z5-X5)</f>
        <v>3</v>
      </c>
      <c r="AB5" s="36"/>
    </row>
    <row r="6" spans="1:28">
      <c r="A6" s="3">
        <f t="shared" ref="A6:A23" si="0">ROW()-3</f>
        <v>3</v>
      </c>
      <c r="B6" s="3" t="s">
        <v>204</v>
      </c>
      <c r="C6" s="136" t="s">
        <v>1210</v>
      </c>
      <c r="D6" s="3" t="s">
        <v>29</v>
      </c>
      <c r="E6" s="3" t="s">
        <v>1307</v>
      </c>
      <c r="F6" s="3" t="s">
        <v>1222</v>
      </c>
      <c r="G6" s="3" t="s">
        <v>1223</v>
      </c>
      <c r="H6" s="3" t="s">
        <v>1224</v>
      </c>
      <c r="I6" s="3" t="s">
        <v>1252</v>
      </c>
      <c r="J6" s="3">
        <v>966428186</v>
      </c>
      <c r="K6" s="3" t="s">
        <v>1264</v>
      </c>
      <c r="L6" s="3">
        <v>36.146999999999998</v>
      </c>
      <c r="M6" s="3">
        <v>36</v>
      </c>
      <c r="N6" s="3" t="s">
        <v>1018</v>
      </c>
      <c r="O6" s="3" t="s">
        <v>27</v>
      </c>
      <c r="P6" s="105">
        <v>45864</v>
      </c>
      <c r="Q6" s="105">
        <v>45864</v>
      </c>
      <c r="R6" s="105">
        <v>45867</v>
      </c>
      <c r="S6" s="105">
        <v>45874</v>
      </c>
      <c r="T6" s="3">
        <f>MAX(0,S6-Q6)</f>
        <v>10</v>
      </c>
      <c r="U6" s="105">
        <v>45877</v>
      </c>
      <c r="V6" s="105">
        <v>45879</v>
      </c>
      <c r="W6" s="105">
        <v>45879</v>
      </c>
      <c r="X6" s="105">
        <v>45880</v>
      </c>
      <c r="Y6" s="105">
        <v>45881</v>
      </c>
      <c r="Z6" s="105">
        <v>45882</v>
      </c>
      <c r="AA6" s="3">
        <f t="shared" ref="AA6:AA21" si="1">MAX(0,Z6-X6)</f>
        <v>2</v>
      </c>
      <c r="AB6" s="36"/>
    </row>
    <row r="7" spans="1:28">
      <c r="A7" s="3">
        <f t="shared" si="0"/>
        <v>4</v>
      </c>
      <c r="B7" s="3" t="s">
        <v>204</v>
      </c>
      <c r="C7" s="136" t="s">
        <v>1210</v>
      </c>
      <c r="D7" s="3" t="s">
        <v>29</v>
      </c>
      <c r="E7" s="3" t="s">
        <v>1310</v>
      </c>
      <c r="F7" s="3" t="s">
        <v>1237</v>
      </c>
      <c r="G7" s="3" t="s">
        <v>1238</v>
      </c>
      <c r="H7" s="3" t="s">
        <v>212</v>
      </c>
      <c r="I7" s="3" t="s">
        <v>1256</v>
      </c>
      <c r="J7" s="3">
        <v>974771290</v>
      </c>
      <c r="K7" s="3" t="s">
        <v>1269</v>
      </c>
      <c r="L7" s="3">
        <v>35.579000000000001</v>
      </c>
      <c r="M7" s="3">
        <v>36</v>
      </c>
      <c r="N7" s="3" t="s">
        <v>1018</v>
      </c>
      <c r="O7" s="3" t="s">
        <v>27</v>
      </c>
      <c r="P7" s="105">
        <v>45864</v>
      </c>
      <c r="Q7" s="105">
        <v>45864</v>
      </c>
      <c r="R7" s="105">
        <v>45867</v>
      </c>
      <c r="S7" s="105">
        <v>45874</v>
      </c>
      <c r="T7" s="3">
        <f>MAX(0,S7-Q7)</f>
        <v>10</v>
      </c>
      <c r="U7" s="105">
        <v>45877</v>
      </c>
      <c r="V7" s="105">
        <v>45879</v>
      </c>
      <c r="W7" s="105">
        <v>45879</v>
      </c>
      <c r="X7" s="105">
        <v>45880</v>
      </c>
      <c r="Y7" s="105">
        <v>45881</v>
      </c>
      <c r="Z7" s="105">
        <v>45882</v>
      </c>
      <c r="AA7" s="3">
        <f t="shared" si="1"/>
        <v>2</v>
      </c>
      <c r="AB7" s="36"/>
    </row>
    <row r="8" spans="1:28">
      <c r="A8" s="3">
        <f t="shared" si="0"/>
        <v>5</v>
      </c>
      <c r="B8" s="3" t="s">
        <v>204</v>
      </c>
      <c r="C8" s="136" t="s">
        <v>1210</v>
      </c>
      <c r="D8" s="3" t="s">
        <v>29</v>
      </c>
      <c r="E8" s="3" t="s">
        <v>1311</v>
      </c>
      <c r="F8" s="3" t="s">
        <v>1239</v>
      </c>
      <c r="G8" s="3" t="s">
        <v>1240</v>
      </c>
      <c r="H8" s="3" t="s">
        <v>212</v>
      </c>
      <c r="I8" s="3" t="s">
        <v>1257</v>
      </c>
      <c r="J8" s="3">
        <v>974473499</v>
      </c>
      <c r="K8" s="3" t="s">
        <v>1270</v>
      </c>
      <c r="L8" s="3">
        <v>35.579000000000001</v>
      </c>
      <c r="M8" s="3">
        <v>36</v>
      </c>
      <c r="N8" s="3" t="s">
        <v>1018</v>
      </c>
      <c r="O8" s="3" t="s">
        <v>27</v>
      </c>
      <c r="P8" s="105">
        <v>45864</v>
      </c>
      <c r="Q8" s="105">
        <v>45864</v>
      </c>
      <c r="R8" s="105">
        <v>45867</v>
      </c>
      <c r="S8" s="105">
        <v>45874</v>
      </c>
      <c r="T8" s="3">
        <f t="shared" ref="T8" si="2">MAX(0,S8-Q8)</f>
        <v>10</v>
      </c>
      <c r="U8" s="105">
        <v>45877</v>
      </c>
      <c r="V8" s="105">
        <v>45879</v>
      </c>
      <c r="W8" s="105">
        <v>45879</v>
      </c>
      <c r="X8" s="105">
        <v>45880</v>
      </c>
      <c r="Y8" s="105">
        <v>45881</v>
      </c>
      <c r="Z8" s="105">
        <v>45885</v>
      </c>
      <c r="AA8" s="3">
        <f t="shared" si="1"/>
        <v>5</v>
      </c>
      <c r="AB8" s="36"/>
    </row>
    <row r="9" spans="1:28">
      <c r="A9" s="3">
        <f t="shared" si="0"/>
        <v>6</v>
      </c>
      <c r="B9" s="3" t="s">
        <v>204</v>
      </c>
      <c r="C9" s="136" t="s">
        <v>1210</v>
      </c>
      <c r="D9" s="3" t="s">
        <v>29</v>
      </c>
      <c r="E9" s="3" t="s">
        <v>1308</v>
      </c>
      <c r="F9" s="3" t="s">
        <v>1241</v>
      </c>
      <c r="G9" s="3" t="s">
        <v>1242</v>
      </c>
      <c r="H9" s="3" t="s">
        <v>1243</v>
      </c>
      <c r="I9" s="3" t="s">
        <v>1258</v>
      </c>
      <c r="J9" s="3">
        <v>772640755</v>
      </c>
      <c r="K9" s="3" t="s">
        <v>1271</v>
      </c>
      <c r="L9" s="3">
        <v>35.118000000000002</v>
      </c>
      <c r="M9" s="3">
        <v>36</v>
      </c>
      <c r="N9" s="3" t="s">
        <v>1018</v>
      </c>
      <c r="O9" s="3" t="s">
        <v>27</v>
      </c>
      <c r="P9" s="105">
        <v>45864</v>
      </c>
      <c r="Q9" s="105">
        <v>45864</v>
      </c>
      <c r="R9" s="105">
        <v>45867</v>
      </c>
      <c r="S9" s="105">
        <v>45874</v>
      </c>
      <c r="T9" s="3">
        <f>MAX(0,S9-Q9)</f>
        <v>10</v>
      </c>
      <c r="U9" s="105">
        <v>45877</v>
      </c>
      <c r="V9" s="105">
        <v>45879</v>
      </c>
      <c r="W9" s="105">
        <v>45879</v>
      </c>
      <c r="X9" s="105">
        <v>45880</v>
      </c>
      <c r="Y9" s="105">
        <v>45881</v>
      </c>
      <c r="Z9" s="105">
        <v>45882</v>
      </c>
      <c r="AA9" s="3">
        <f t="shared" si="1"/>
        <v>2</v>
      </c>
      <c r="AB9" s="36"/>
    </row>
    <row r="10" spans="1:28">
      <c r="A10" s="3">
        <f t="shared" si="0"/>
        <v>7</v>
      </c>
      <c r="B10" s="3" t="s">
        <v>204</v>
      </c>
      <c r="C10" s="136" t="s">
        <v>1210</v>
      </c>
      <c r="D10" s="3" t="s">
        <v>29</v>
      </c>
      <c r="E10" s="3" t="s">
        <v>1309</v>
      </c>
      <c r="F10" s="3" t="s">
        <v>1244</v>
      </c>
      <c r="G10" s="3" t="s">
        <v>1245</v>
      </c>
      <c r="H10" s="3" t="s">
        <v>1246</v>
      </c>
      <c r="I10" s="3" t="s">
        <v>1259</v>
      </c>
      <c r="J10" s="3">
        <v>972504146</v>
      </c>
      <c r="K10" s="3" t="s">
        <v>1272</v>
      </c>
      <c r="L10" s="3">
        <v>36.377000000000002</v>
      </c>
      <c r="M10" s="3">
        <v>36</v>
      </c>
      <c r="N10" s="3" t="s">
        <v>1018</v>
      </c>
      <c r="O10" s="3" t="s">
        <v>27</v>
      </c>
      <c r="P10" s="105">
        <v>45864</v>
      </c>
      <c r="Q10" s="105">
        <v>45864</v>
      </c>
      <c r="R10" s="105">
        <v>45867</v>
      </c>
      <c r="S10" s="105">
        <v>45874</v>
      </c>
      <c r="T10" s="3">
        <f>MAX(0,S10-Q10)</f>
        <v>10</v>
      </c>
      <c r="U10" s="105">
        <v>45877</v>
      </c>
      <c r="V10" s="105">
        <v>45879</v>
      </c>
      <c r="W10" s="105">
        <v>45879</v>
      </c>
      <c r="X10" s="105">
        <v>45880</v>
      </c>
      <c r="Y10" s="105">
        <v>45881</v>
      </c>
      <c r="Z10" s="105">
        <v>45882</v>
      </c>
      <c r="AA10" s="3">
        <f t="shared" si="1"/>
        <v>2</v>
      </c>
      <c r="AB10" s="36"/>
    </row>
    <row r="11" spans="1:28">
      <c r="A11" s="3">
        <f t="shared" si="0"/>
        <v>8</v>
      </c>
      <c r="B11" s="3" t="s">
        <v>204</v>
      </c>
      <c r="C11" s="136" t="s">
        <v>1210</v>
      </c>
      <c r="D11" s="3" t="s">
        <v>29</v>
      </c>
      <c r="E11" s="3" t="s">
        <v>1302</v>
      </c>
      <c r="F11" s="3" t="s">
        <v>1211</v>
      </c>
      <c r="G11" s="3" t="s">
        <v>1212</v>
      </c>
      <c r="H11" s="3" t="s">
        <v>1213</v>
      </c>
      <c r="I11" s="3" t="s">
        <v>1250</v>
      </c>
      <c r="J11" s="3">
        <v>771374738</v>
      </c>
      <c r="K11" s="3" t="s">
        <v>1260</v>
      </c>
      <c r="L11" s="3">
        <v>36.265000000000001</v>
      </c>
      <c r="M11" s="3">
        <v>36</v>
      </c>
      <c r="N11" s="3" t="s">
        <v>1018</v>
      </c>
      <c r="O11" s="3" t="s">
        <v>27</v>
      </c>
      <c r="P11" s="105">
        <v>45864</v>
      </c>
      <c r="Q11" s="105">
        <v>45865</v>
      </c>
      <c r="R11" s="105">
        <v>45868</v>
      </c>
      <c r="S11" s="105">
        <v>45888</v>
      </c>
      <c r="T11" s="3">
        <f>MAX(0,S11-Q11)</f>
        <v>23</v>
      </c>
      <c r="U11" s="105">
        <v>45892</v>
      </c>
      <c r="V11" s="105">
        <v>45892</v>
      </c>
      <c r="W11" s="105">
        <v>45892</v>
      </c>
      <c r="X11" s="105">
        <v>45896</v>
      </c>
      <c r="Y11" s="105">
        <v>45896</v>
      </c>
      <c r="Z11" s="105">
        <v>45898</v>
      </c>
      <c r="AA11" s="3">
        <f t="shared" si="1"/>
        <v>2</v>
      </c>
      <c r="AB11" s="36"/>
    </row>
    <row r="12" spans="1:28">
      <c r="A12" s="3">
        <f t="shared" si="0"/>
        <v>9</v>
      </c>
      <c r="B12" s="3" t="s">
        <v>204</v>
      </c>
      <c r="C12" s="136" t="s">
        <v>1210</v>
      </c>
      <c r="D12" s="3" t="s">
        <v>29</v>
      </c>
      <c r="E12" s="3" t="s">
        <v>1303</v>
      </c>
      <c r="F12" s="3" t="s">
        <v>1214</v>
      </c>
      <c r="G12" s="3" t="s">
        <v>1215</v>
      </c>
      <c r="H12" s="3" t="s">
        <v>1216</v>
      </c>
      <c r="I12" s="3" t="s">
        <v>1274</v>
      </c>
      <c r="J12" s="3">
        <v>954102037</v>
      </c>
      <c r="K12" s="3" t="s">
        <v>1261</v>
      </c>
      <c r="L12" s="3">
        <v>36.091000000000001</v>
      </c>
      <c r="M12" s="3">
        <v>36</v>
      </c>
      <c r="N12" s="3" t="s">
        <v>1018</v>
      </c>
      <c r="O12" s="3" t="s">
        <v>27</v>
      </c>
      <c r="P12" s="105">
        <v>45864</v>
      </c>
      <c r="Q12" s="105">
        <v>45865</v>
      </c>
      <c r="R12" s="105">
        <v>45868</v>
      </c>
      <c r="S12" s="105">
        <v>45888</v>
      </c>
      <c r="T12" s="3">
        <f t="shared" ref="T12:T15" si="3">MAX(0,S12-Q12)</f>
        <v>23</v>
      </c>
      <c r="U12" s="105">
        <v>45892</v>
      </c>
      <c r="V12" s="105">
        <v>45892</v>
      </c>
      <c r="W12" s="105">
        <v>45892</v>
      </c>
      <c r="X12" s="105">
        <v>45896</v>
      </c>
      <c r="Y12" s="105">
        <v>45896</v>
      </c>
      <c r="Z12" s="105">
        <v>45898</v>
      </c>
      <c r="AA12" s="3">
        <f t="shared" si="1"/>
        <v>2</v>
      </c>
      <c r="AB12" s="36"/>
    </row>
    <row r="13" spans="1:28">
      <c r="A13" s="3">
        <f t="shared" si="0"/>
        <v>10</v>
      </c>
      <c r="B13" s="3" t="s">
        <v>204</v>
      </c>
      <c r="C13" s="136" t="s">
        <v>1210</v>
      </c>
      <c r="D13" s="3" t="s">
        <v>29</v>
      </c>
      <c r="E13" s="3" t="s">
        <v>1304</v>
      </c>
      <c r="F13" s="3" t="s">
        <v>1454</v>
      </c>
      <c r="G13" s="3" t="s">
        <v>1217</v>
      </c>
      <c r="H13" s="3" t="s">
        <v>1218</v>
      </c>
      <c r="I13" s="3" t="s">
        <v>1275</v>
      </c>
      <c r="J13" s="3">
        <v>761405814</v>
      </c>
      <c r="K13" s="3" t="s">
        <v>1262</v>
      </c>
      <c r="L13" s="3">
        <v>35.451000000000001</v>
      </c>
      <c r="M13" s="3">
        <v>36</v>
      </c>
      <c r="N13" s="3" t="s">
        <v>1018</v>
      </c>
      <c r="O13" s="3" t="s">
        <v>27</v>
      </c>
      <c r="P13" s="105">
        <v>45864</v>
      </c>
      <c r="Q13" s="105">
        <v>45865</v>
      </c>
      <c r="R13" s="105">
        <v>45868</v>
      </c>
      <c r="S13" s="105">
        <v>45888</v>
      </c>
      <c r="T13" s="3">
        <f t="shared" si="3"/>
        <v>23</v>
      </c>
      <c r="U13" s="105">
        <v>45892</v>
      </c>
      <c r="V13" s="105">
        <v>45892</v>
      </c>
      <c r="W13" s="105">
        <v>45892</v>
      </c>
      <c r="X13" s="105">
        <v>45896</v>
      </c>
      <c r="Y13" s="105">
        <v>45896</v>
      </c>
      <c r="Z13" s="105">
        <v>45898</v>
      </c>
      <c r="AA13" s="3">
        <f t="shared" si="1"/>
        <v>2</v>
      </c>
      <c r="AB13" s="36"/>
    </row>
    <row r="14" spans="1:28">
      <c r="A14" s="3">
        <f t="shared" si="0"/>
        <v>11</v>
      </c>
      <c r="B14" s="3" t="s">
        <v>204</v>
      </c>
      <c r="C14" s="136" t="s">
        <v>1210</v>
      </c>
      <c r="D14" s="3" t="s">
        <v>29</v>
      </c>
      <c r="E14" s="3" t="s">
        <v>1305</v>
      </c>
      <c r="F14" s="3" t="s">
        <v>1219</v>
      </c>
      <c r="G14" s="3" t="s">
        <v>1220</v>
      </c>
      <c r="H14" s="3" t="s">
        <v>1221</v>
      </c>
      <c r="I14" s="3" t="s">
        <v>1251</v>
      </c>
      <c r="J14" s="3">
        <v>968508804</v>
      </c>
      <c r="K14" s="3" t="s">
        <v>1263</v>
      </c>
      <c r="L14" s="3">
        <v>36.292999999999999</v>
      </c>
      <c r="M14" s="3">
        <v>36</v>
      </c>
      <c r="N14" s="3" t="s">
        <v>1018</v>
      </c>
      <c r="O14" s="3" t="s">
        <v>27</v>
      </c>
      <c r="P14" s="105">
        <v>45864</v>
      </c>
      <c r="Q14" s="105">
        <v>45865</v>
      </c>
      <c r="R14" s="105">
        <v>45868</v>
      </c>
      <c r="S14" s="105">
        <v>45888</v>
      </c>
      <c r="T14" s="3">
        <f>MAX(0,S14-Q14)</f>
        <v>23</v>
      </c>
      <c r="U14" s="105">
        <v>45892</v>
      </c>
      <c r="V14" s="105">
        <v>45892</v>
      </c>
      <c r="W14" s="105">
        <v>45892</v>
      </c>
      <c r="X14" s="105">
        <v>45896</v>
      </c>
      <c r="Y14" s="105">
        <v>45896</v>
      </c>
      <c r="Z14" s="105">
        <v>45898</v>
      </c>
      <c r="AA14" s="3">
        <f t="shared" si="1"/>
        <v>2</v>
      </c>
      <c r="AB14" s="36"/>
    </row>
    <row r="15" spans="1:28">
      <c r="A15" s="3">
        <f t="shared" si="0"/>
        <v>12</v>
      </c>
      <c r="B15" s="3" t="s">
        <v>204</v>
      </c>
      <c r="C15" s="136" t="s">
        <v>1210</v>
      </c>
      <c r="D15" s="3" t="s">
        <v>29</v>
      </c>
      <c r="E15" s="3" t="s">
        <v>1312</v>
      </c>
      <c r="F15" s="3" t="s">
        <v>1225</v>
      </c>
      <c r="G15" s="3" t="s">
        <v>1226</v>
      </c>
      <c r="H15" s="3" t="s">
        <v>1227</v>
      </c>
      <c r="I15" s="3" t="s">
        <v>1277</v>
      </c>
      <c r="J15" s="3">
        <v>769146421</v>
      </c>
      <c r="K15" s="3" t="s">
        <v>1265</v>
      </c>
      <c r="L15" s="3">
        <v>35.802999999999997</v>
      </c>
      <c r="M15" s="3">
        <v>36</v>
      </c>
      <c r="N15" s="3" t="s">
        <v>1018</v>
      </c>
      <c r="O15" s="3" t="s">
        <v>27</v>
      </c>
      <c r="P15" s="105">
        <v>45864</v>
      </c>
      <c r="Q15" s="105">
        <v>45864</v>
      </c>
      <c r="R15" s="105">
        <v>45868</v>
      </c>
      <c r="S15" s="105">
        <v>45888</v>
      </c>
      <c r="T15" s="3">
        <f t="shared" si="3"/>
        <v>24</v>
      </c>
      <c r="U15" s="105">
        <v>45892</v>
      </c>
      <c r="V15" s="105">
        <v>45892</v>
      </c>
      <c r="W15" s="105">
        <v>45892</v>
      </c>
      <c r="X15" s="105">
        <v>45896</v>
      </c>
      <c r="Y15" s="105">
        <v>45896</v>
      </c>
      <c r="Z15" s="105">
        <v>45898</v>
      </c>
      <c r="AA15" s="3">
        <f t="shared" si="1"/>
        <v>2</v>
      </c>
      <c r="AB15" s="36"/>
    </row>
    <row r="16" spans="1:28">
      <c r="A16" s="3">
        <f t="shared" si="0"/>
        <v>13</v>
      </c>
      <c r="B16" s="3" t="s">
        <v>204</v>
      </c>
      <c r="C16" s="136" t="s">
        <v>1210</v>
      </c>
      <c r="D16" s="3" t="s">
        <v>29</v>
      </c>
      <c r="E16" s="3" t="s">
        <v>1296</v>
      </c>
      <c r="F16" s="3" t="s">
        <v>1234</v>
      </c>
      <c r="G16" s="3" t="s">
        <v>1235</v>
      </c>
      <c r="H16" s="3" t="s">
        <v>1236</v>
      </c>
      <c r="I16" s="3" t="s">
        <v>1255</v>
      </c>
      <c r="J16" s="3">
        <v>977503258</v>
      </c>
      <c r="K16" s="3" t="s">
        <v>1268</v>
      </c>
      <c r="L16" s="3">
        <v>36.081000000000003</v>
      </c>
      <c r="M16" s="3">
        <v>36</v>
      </c>
      <c r="N16" s="3" t="s">
        <v>1018</v>
      </c>
      <c r="O16" s="3" t="s">
        <v>27</v>
      </c>
      <c r="P16" s="105">
        <v>45864</v>
      </c>
      <c r="Q16" s="105">
        <v>45864</v>
      </c>
      <c r="R16" s="105">
        <v>45868</v>
      </c>
      <c r="S16" s="105">
        <v>45888</v>
      </c>
      <c r="T16" s="3">
        <f>MAX(0,S16-Q16)</f>
        <v>24</v>
      </c>
      <c r="U16" s="105">
        <v>45892</v>
      </c>
      <c r="V16" s="105">
        <v>45892</v>
      </c>
      <c r="W16" s="105">
        <v>45892</v>
      </c>
      <c r="X16" s="105">
        <v>45896</v>
      </c>
      <c r="Y16" s="105">
        <v>45896</v>
      </c>
      <c r="Z16" s="105">
        <v>45898</v>
      </c>
      <c r="AA16" s="3">
        <f t="shared" si="1"/>
        <v>2</v>
      </c>
      <c r="AB16" s="36"/>
    </row>
    <row r="17" spans="1:28">
      <c r="A17" s="3">
        <f t="shared" si="0"/>
        <v>14</v>
      </c>
      <c r="B17" s="3" t="s">
        <v>204</v>
      </c>
      <c r="C17" s="136" t="s">
        <v>1210</v>
      </c>
      <c r="D17" s="3" t="s">
        <v>29</v>
      </c>
      <c r="E17" s="3" t="s">
        <v>1297</v>
      </c>
      <c r="F17" s="3" t="s">
        <v>1247</v>
      </c>
      <c r="G17" s="3" t="s">
        <v>1248</v>
      </c>
      <c r="H17" s="3" t="s">
        <v>1249</v>
      </c>
      <c r="I17" s="3" t="s">
        <v>1276</v>
      </c>
      <c r="J17" s="3">
        <v>977503258</v>
      </c>
      <c r="K17" s="3" t="s">
        <v>1273</v>
      </c>
      <c r="L17" s="3">
        <v>36.159999999999997</v>
      </c>
      <c r="M17" s="3">
        <v>36</v>
      </c>
      <c r="N17" s="3" t="s">
        <v>1018</v>
      </c>
      <c r="O17" s="3" t="s">
        <v>27</v>
      </c>
      <c r="P17" s="105">
        <v>45864</v>
      </c>
      <c r="Q17" s="105">
        <v>45865</v>
      </c>
      <c r="R17" s="105">
        <v>45868</v>
      </c>
      <c r="S17" s="105">
        <v>45888</v>
      </c>
      <c r="T17" s="3">
        <f t="shared" ref="T17:T21" si="4">MAX(0,S17-Q17)</f>
        <v>23</v>
      </c>
      <c r="U17" s="105">
        <v>45892</v>
      </c>
      <c r="V17" s="105">
        <v>45892</v>
      </c>
      <c r="W17" s="105">
        <v>45892</v>
      </c>
      <c r="X17" s="105">
        <v>45896</v>
      </c>
      <c r="Y17" s="105">
        <v>45896</v>
      </c>
      <c r="Z17" s="105">
        <v>45898</v>
      </c>
      <c r="AA17" s="3">
        <f t="shared" si="1"/>
        <v>2</v>
      </c>
      <c r="AB17" s="36"/>
    </row>
    <row r="18" spans="1:28">
      <c r="A18" s="3">
        <f t="shared" si="0"/>
        <v>15</v>
      </c>
      <c r="B18" s="3" t="s">
        <v>204</v>
      </c>
      <c r="C18" s="136" t="s">
        <v>1210</v>
      </c>
      <c r="D18" s="3" t="s">
        <v>29</v>
      </c>
      <c r="E18" s="3" t="s">
        <v>1298</v>
      </c>
      <c r="F18" s="3" t="s">
        <v>1278</v>
      </c>
      <c r="G18" s="3" t="s">
        <v>1279</v>
      </c>
      <c r="H18" s="3" t="s">
        <v>212</v>
      </c>
      <c r="I18" s="3" t="s">
        <v>1286</v>
      </c>
      <c r="J18" s="3">
        <v>974473499</v>
      </c>
      <c r="K18" s="3" t="s">
        <v>1290</v>
      </c>
      <c r="L18" s="3">
        <v>36.14</v>
      </c>
      <c r="M18" s="3">
        <v>36</v>
      </c>
      <c r="N18" s="3" t="s">
        <v>1018</v>
      </c>
      <c r="O18" s="3" t="s">
        <v>27</v>
      </c>
      <c r="P18" s="105">
        <v>45866</v>
      </c>
      <c r="Q18" s="105">
        <v>45866</v>
      </c>
      <c r="R18" s="105">
        <v>45869</v>
      </c>
      <c r="S18" s="105">
        <v>45889</v>
      </c>
      <c r="T18" s="3">
        <f t="shared" si="4"/>
        <v>23</v>
      </c>
      <c r="U18" s="105">
        <v>45890</v>
      </c>
      <c r="V18" s="105">
        <v>45896</v>
      </c>
      <c r="W18" s="105">
        <v>45896</v>
      </c>
      <c r="X18" s="105">
        <v>45897</v>
      </c>
      <c r="Y18" s="105">
        <v>45897</v>
      </c>
      <c r="Z18" s="105">
        <v>45899</v>
      </c>
      <c r="AA18" s="3">
        <f t="shared" si="1"/>
        <v>2</v>
      </c>
      <c r="AB18" s="36"/>
    </row>
    <row r="19" spans="1:28">
      <c r="A19" s="3">
        <f t="shared" si="0"/>
        <v>16</v>
      </c>
      <c r="B19" s="3" t="s">
        <v>204</v>
      </c>
      <c r="C19" s="136" t="s">
        <v>1210</v>
      </c>
      <c r="D19" s="3" t="s">
        <v>29</v>
      </c>
      <c r="E19" s="3" t="s">
        <v>1299</v>
      </c>
      <c r="F19" s="3" t="s">
        <v>1280</v>
      </c>
      <c r="G19" s="3" t="s">
        <v>1281</v>
      </c>
      <c r="H19" s="3" t="s">
        <v>212</v>
      </c>
      <c r="I19" s="3" t="s">
        <v>1287</v>
      </c>
      <c r="J19" s="3">
        <v>772640755</v>
      </c>
      <c r="K19" s="3" t="s">
        <v>1291</v>
      </c>
      <c r="L19" s="3">
        <v>35.869</v>
      </c>
      <c r="M19" s="3">
        <v>36</v>
      </c>
      <c r="N19" s="3" t="s">
        <v>1018</v>
      </c>
      <c r="O19" s="3" t="s">
        <v>27</v>
      </c>
      <c r="P19" s="105">
        <v>45866</v>
      </c>
      <c r="Q19" s="105">
        <v>45866</v>
      </c>
      <c r="R19" s="105">
        <v>45869</v>
      </c>
      <c r="S19" s="105">
        <v>45889</v>
      </c>
      <c r="T19" s="3">
        <f t="shared" si="4"/>
        <v>23</v>
      </c>
      <c r="U19" s="105">
        <v>45890</v>
      </c>
      <c r="V19" s="105">
        <v>45896</v>
      </c>
      <c r="W19" s="105">
        <v>45896</v>
      </c>
      <c r="X19" s="105">
        <v>45897</v>
      </c>
      <c r="Y19" s="105">
        <v>45897</v>
      </c>
      <c r="Z19" s="105">
        <v>45899</v>
      </c>
      <c r="AA19" s="3">
        <f t="shared" si="1"/>
        <v>2</v>
      </c>
      <c r="AB19" s="36"/>
    </row>
    <row r="20" spans="1:28">
      <c r="A20" s="3">
        <f t="shared" si="0"/>
        <v>17</v>
      </c>
      <c r="B20" s="3" t="s">
        <v>204</v>
      </c>
      <c r="C20" s="136" t="s">
        <v>1210</v>
      </c>
      <c r="D20" s="3" t="s">
        <v>29</v>
      </c>
      <c r="E20" s="3" t="s">
        <v>1300</v>
      </c>
      <c r="F20" s="3" t="s">
        <v>1282</v>
      </c>
      <c r="G20" s="3" t="s">
        <v>1283</v>
      </c>
      <c r="H20" s="3" t="s">
        <v>212</v>
      </c>
      <c r="I20" s="3" t="s">
        <v>1288</v>
      </c>
      <c r="J20" s="3">
        <v>972504146</v>
      </c>
      <c r="K20" s="3" t="s">
        <v>1292</v>
      </c>
      <c r="L20" s="3">
        <v>35.774000000000001</v>
      </c>
      <c r="M20" s="3">
        <v>36</v>
      </c>
      <c r="N20" s="3" t="s">
        <v>1018</v>
      </c>
      <c r="O20" s="3" t="s">
        <v>27</v>
      </c>
      <c r="P20" s="105">
        <v>45866</v>
      </c>
      <c r="Q20" s="105">
        <v>45866</v>
      </c>
      <c r="R20" s="105">
        <v>45869</v>
      </c>
      <c r="S20" s="105">
        <v>45889</v>
      </c>
      <c r="T20" s="3">
        <f t="shared" si="4"/>
        <v>23</v>
      </c>
      <c r="U20" s="105">
        <v>45890</v>
      </c>
      <c r="V20" s="105">
        <v>45896</v>
      </c>
      <c r="W20" s="105">
        <v>45896</v>
      </c>
      <c r="X20" s="105">
        <v>45897</v>
      </c>
      <c r="Y20" s="105">
        <v>45897</v>
      </c>
      <c r="Z20" s="105">
        <v>45899</v>
      </c>
      <c r="AA20" s="3">
        <f t="shared" si="1"/>
        <v>2</v>
      </c>
      <c r="AB20" s="36"/>
    </row>
    <row r="21" spans="1:28">
      <c r="A21" s="3">
        <f t="shared" si="0"/>
        <v>18</v>
      </c>
      <c r="B21" s="3" t="s">
        <v>204</v>
      </c>
      <c r="C21" s="136" t="s">
        <v>1210</v>
      </c>
      <c r="D21" s="3" t="s">
        <v>29</v>
      </c>
      <c r="E21" s="3" t="s">
        <v>1301</v>
      </c>
      <c r="F21" s="3" t="s">
        <v>1284</v>
      </c>
      <c r="G21" s="3" t="s">
        <v>1285</v>
      </c>
      <c r="H21" s="3" t="s">
        <v>212</v>
      </c>
      <c r="I21" s="3" t="s">
        <v>1289</v>
      </c>
      <c r="J21" s="3">
        <v>977503258</v>
      </c>
      <c r="K21" s="3" t="s">
        <v>1293</v>
      </c>
      <c r="L21" s="3">
        <v>36.340000000000003</v>
      </c>
      <c r="M21" s="3">
        <v>36</v>
      </c>
      <c r="N21" s="3" t="s">
        <v>1018</v>
      </c>
      <c r="O21" s="3" t="s">
        <v>27</v>
      </c>
      <c r="P21" s="105">
        <v>45866</v>
      </c>
      <c r="Q21" s="105">
        <v>45866</v>
      </c>
      <c r="R21" s="105">
        <v>45869</v>
      </c>
      <c r="S21" s="105">
        <v>45889</v>
      </c>
      <c r="T21" s="3">
        <f t="shared" si="4"/>
        <v>23</v>
      </c>
      <c r="U21" s="105">
        <v>45890</v>
      </c>
      <c r="V21" s="105">
        <v>45896</v>
      </c>
      <c r="W21" s="105">
        <v>45896</v>
      </c>
      <c r="X21" s="105">
        <v>45897</v>
      </c>
      <c r="Y21" s="105">
        <v>45897</v>
      </c>
      <c r="Z21" s="105">
        <v>45899</v>
      </c>
      <c r="AA21" s="3">
        <f t="shared" si="1"/>
        <v>2</v>
      </c>
      <c r="AB21" s="36"/>
    </row>
    <row r="22" spans="1:28">
      <c r="A22" s="3">
        <f t="shared" si="0"/>
        <v>19</v>
      </c>
      <c r="B22" s="3" t="s">
        <v>204</v>
      </c>
      <c r="C22" s="136" t="s">
        <v>1210</v>
      </c>
      <c r="D22" s="3" t="s">
        <v>29</v>
      </c>
      <c r="E22" s="3" t="s">
        <v>1295</v>
      </c>
      <c r="F22" s="3" t="s">
        <v>1228</v>
      </c>
      <c r="G22" s="3" t="s">
        <v>1229</v>
      </c>
      <c r="H22" s="3" t="s">
        <v>1230</v>
      </c>
      <c r="I22" s="3" t="s">
        <v>1253</v>
      </c>
      <c r="J22" s="3">
        <v>976677699</v>
      </c>
      <c r="K22" s="3" t="s">
        <v>1266</v>
      </c>
      <c r="L22" s="3">
        <v>36.470999999999997</v>
      </c>
      <c r="M22" s="3">
        <v>36</v>
      </c>
      <c r="N22" s="3" t="s">
        <v>1018</v>
      </c>
      <c r="O22" s="3" t="s">
        <v>27</v>
      </c>
      <c r="P22" s="105">
        <v>45864</v>
      </c>
      <c r="Q22" s="105">
        <v>45865</v>
      </c>
      <c r="R22" s="105">
        <v>45868</v>
      </c>
      <c r="S22" s="105">
        <v>45888</v>
      </c>
      <c r="T22" s="3">
        <f>MAX(0,S22-Q22)</f>
        <v>23</v>
      </c>
      <c r="U22" s="105">
        <v>45892</v>
      </c>
      <c r="V22" s="105">
        <v>45892</v>
      </c>
      <c r="W22" s="105">
        <v>45892</v>
      </c>
      <c r="X22" s="105">
        <v>45896</v>
      </c>
      <c r="Y22" s="105">
        <v>45898</v>
      </c>
      <c r="Z22" s="105">
        <v>45901</v>
      </c>
      <c r="AA22" s="3">
        <f>MAX(0,Z22-X22)</f>
        <v>5</v>
      </c>
      <c r="AB22" s="36"/>
    </row>
    <row r="23" spans="1:28">
      <c r="A23" s="3">
        <f t="shared" si="0"/>
        <v>20</v>
      </c>
      <c r="B23" s="3" t="s">
        <v>204</v>
      </c>
      <c r="C23" s="136" t="s">
        <v>1210</v>
      </c>
      <c r="D23" s="3" t="s">
        <v>29</v>
      </c>
      <c r="E23" s="3" t="s">
        <v>1306</v>
      </c>
      <c r="F23" s="3" t="s">
        <v>1231</v>
      </c>
      <c r="G23" s="3" t="s">
        <v>1232</v>
      </c>
      <c r="H23" s="3" t="s">
        <v>1233</v>
      </c>
      <c r="I23" s="3" t="s">
        <v>1254</v>
      </c>
      <c r="J23" s="3">
        <v>976677699</v>
      </c>
      <c r="K23" s="3" t="s">
        <v>1267</v>
      </c>
      <c r="L23" s="3">
        <v>34.972000000000001</v>
      </c>
      <c r="M23" s="3">
        <v>36</v>
      </c>
      <c r="N23" s="3" t="s">
        <v>1018</v>
      </c>
      <c r="O23" s="3" t="s">
        <v>27</v>
      </c>
      <c r="P23" s="105">
        <v>45864</v>
      </c>
      <c r="Q23" s="105">
        <v>45865</v>
      </c>
      <c r="R23" s="105">
        <v>45868</v>
      </c>
      <c r="S23" s="105">
        <v>45888</v>
      </c>
      <c r="T23" s="3">
        <f>MAX(0,S23-Q23)</f>
        <v>23</v>
      </c>
      <c r="U23" s="105">
        <v>45892</v>
      </c>
      <c r="V23" s="105">
        <v>45892</v>
      </c>
      <c r="W23" s="105">
        <v>45892</v>
      </c>
      <c r="X23" s="105">
        <v>45896</v>
      </c>
      <c r="Y23" s="105">
        <v>45898</v>
      </c>
      <c r="Z23" s="105">
        <v>45901</v>
      </c>
      <c r="AA23" s="3">
        <f>MAX(0,Z23-X23)</f>
        <v>5</v>
      </c>
      <c r="AB23" s="36"/>
    </row>
    <row r="24" spans="1:2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105"/>
      <c r="V24" s="105"/>
      <c r="W24" s="105"/>
      <c r="X24" s="105"/>
      <c r="Y24" s="105"/>
      <c r="Z24" s="105"/>
      <c r="AA24" s="3"/>
      <c r="AB24" s="3"/>
    </row>
    <row r="25" spans="1:28">
      <c r="A25" s="30" t="s">
        <v>205</v>
      </c>
      <c r="B25" s="31"/>
      <c r="C25" s="31"/>
      <c r="D25" s="31"/>
      <c r="E25" s="31"/>
      <c r="F25" s="31"/>
      <c r="G25" s="31"/>
      <c r="H25" s="31"/>
      <c r="I25" s="31"/>
    </row>
    <row r="26" spans="1:28">
      <c r="A26" s="30" t="s">
        <v>978</v>
      </c>
      <c r="B26" s="31"/>
      <c r="C26" s="31"/>
      <c r="D26" s="31"/>
      <c r="E26" s="31"/>
      <c r="F26" s="31"/>
      <c r="G26" s="31"/>
      <c r="H26" s="31"/>
      <c r="I26" s="31"/>
    </row>
    <row r="27" spans="1:28">
      <c r="A27" s="30" t="s">
        <v>979</v>
      </c>
      <c r="B27" s="31"/>
      <c r="C27" s="31"/>
      <c r="D27" s="31"/>
      <c r="E27" s="31"/>
      <c r="F27" s="31"/>
      <c r="G27" s="31"/>
      <c r="H27" s="31"/>
      <c r="I27" s="31"/>
    </row>
  </sheetData>
  <autoFilter ref="A3:AB3" xr:uid="{7CDF32A5-5C9B-432D-9E66-BB354ED288B9}"/>
  <mergeCells count="5">
    <mergeCell ref="AB2:AB3"/>
    <mergeCell ref="I2:J2"/>
    <mergeCell ref="U2:V2"/>
    <mergeCell ref="W2:X2"/>
    <mergeCell ref="Y2:AA2"/>
  </mergeCells>
  <conditionalFormatting sqref="B1">
    <cfRule type="duplicateValues" dxfId="1102" priority="340"/>
    <cfRule type="duplicateValues" dxfId="1101" priority="341"/>
    <cfRule type="duplicateValues" dxfId="1100" priority="342"/>
    <cfRule type="duplicateValues" dxfId="1099" priority="343"/>
  </conditionalFormatting>
  <conditionalFormatting sqref="F1:F3">
    <cfRule type="duplicateValues" dxfId="1098" priority="364"/>
    <cfRule type="duplicateValues" dxfId="1097" priority="365"/>
    <cfRule type="duplicateValues" dxfId="1096" priority="366"/>
    <cfRule type="duplicateValues" dxfId="1095" priority="367"/>
  </conditionalFormatting>
  <conditionalFormatting sqref="F1:F1048576">
    <cfRule type="duplicateValues" dxfId="1094" priority="1"/>
  </conditionalFormatting>
  <conditionalFormatting sqref="F35:F1048576 F1:F3 F6:F14">
    <cfRule type="duplicateValues" dxfId="1093" priority="6"/>
  </conditionalFormatting>
  <conditionalFormatting sqref="F35:F1048576 F1:F3">
    <cfRule type="duplicateValues" dxfId="1092" priority="7"/>
    <cfRule type="duplicateValues" dxfId="1091" priority="749"/>
    <cfRule type="duplicateValues" dxfId="1090" priority="751"/>
    <cfRule type="duplicateValues" dxfId="1089" priority="752"/>
    <cfRule type="duplicateValues" dxfId="1088" priority="753"/>
    <cfRule type="duplicateValues" dxfId="1087" priority="754"/>
    <cfRule type="duplicateValues" dxfId="1086" priority="755"/>
    <cfRule type="duplicateValues" dxfId="1085" priority="756"/>
    <cfRule type="duplicateValues" dxfId="1084" priority="757"/>
    <cfRule type="duplicateValues" dxfId="1083" priority="758"/>
    <cfRule type="duplicateValues" dxfId="1082" priority="759"/>
    <cfRule type="duplicateValues" dxfId="1081" priority="794"/>
    <cfRule type="duplicateValues" dxfId="1080" priority="25643"/>
    <cfRule type="duplicateValues" dxfId="1079" priority="25644"/>
    <cfRule type="duplicateValues" dxfId="1078" priority="25645"/>
  </conditionalFormatting>
  <conditionalFormatting sqref="F35:F1048576">
    <cfRule type="duplicateValues" dxfId="1077" priority="750"/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EBD19-1EE0-4FC0-AE86-106177B0DD48}">
  <dimension ref="A1:AF60"/>
  <sheetViews>
    <sheetView topLeftCell="K1" zoomScale="106" zoomScaleNormal="106" workbookViewId="0">
      <selection activeCell="AA9" sqref="AA9"/>
    </sheetView>
  </sheetViews>
  <sheetFormatPr defaultColWidth="9.5703125" defaultRowHeight="12.75"/>
  <cols>
    <col min="1" max="1" width="4.7109375" style="2" customWidth="1"/>
    <col min="2" max="2" width="8" style="2" customWidth="1"/>
    <col min="3" max="3" width="25.28515625" style="2" bestFit="1" customWidth="1"/>
    <col min="4" max="4" width="9.85546875" style="2" customWidth="1"/>
    <col min="5" max="5" width="17.85546875" style="2" customWidth="1"/>
    <col min="6" max="6" width="11.42578125" style="112" customWidth="1"/>
    <col min="7" max="7" width="9" style="112" customWidth="1"/>
    <col min="8" max="8" width="9" style="2" customWidth="1"/>
    <col min="9" max="9" width="31.140625" style="2" customWidth="1"/>
    <col min="10" max="10" width="26.85546875" style="2" customWidth="1"/>
    <col min="11" max="12" width="12.42578125" style="2" customWidth="1"/>
    <col min="13" max="13" width="14.42578125" style="2" customWidth="1"/>
    <col min="14" max="14" width="16.7109375" style="29" customWidth="1"/>
    <col min="15" max="15" width="19.42578125" style="2" customWidth="1"/>
    <col min="16" max="16" width="10.85546875" style="2" customWidth="1"/>
    <col min="17" max="17" width="6.85546875" style="59" customWidth="1"/>
    <col min="18" max="18" width="6.42578125" style="59" customWidth="1"/>
    <col min="19" max="19" width="8.5703125" style="59" customWidth="1"/>
    <col min="20" max="20" width="4.42578125" style="2" customWidth="1"/>
    <col min="21" max="21" width="5.85546875" style="59" customWidth="1"/>
    <col min="22" max="22" width="7.42578125" style="59" customWidth="1"/>
    <col min="23" max="23" width="11.85546875" style="59" customWidth="1"/>
    <col min="24" max="24" width="8.42578125" style="59" customWidth="1"/>
    <col min="25" max="25" width="10.42578125" style="59" customWidth="1"/>
    <col min="26" max="26" width="7.42578125" style="59" customWidth="1"/>
    <col min="27" max="27" width="6.28515625" style="59" customWidth="1"/>
    <col min="28" max="28" width="7.42578125" style="59" customWidth="1"/>
    <col min="29" max="29" width="13.7109375" style="59" bestFit="1" customWidth="1"/>
    <col min="30" max="30" width="8.42578125" style="59" bestFit="1" customWidth="1"/>
    <col min="31" max="31" width="4.42578125" style="2" bestFit="1" customWidth="1"/>
    <col min="32" max="32" width="10" style="2" bestFit="1" customWidth="1"/>
    <col min="33" max="16384" width="9.5703125" style="2"/>
  </cols>
  <sheetData>
    <row r="1" spans="1:32" s="1" customFormat="1">
      <c r="A1" s="9" t="s">
        <v>0</v>
      </c>
      <c r="B1" s="10"/>
      <c r="C1" s="10"/>
      <c r="D1" s="10"/>
      <c r="E1" s="10"/>
      <c r="F1" s="11"/>
      <c r="G1" s="11"/>
      <c r="H1" s="10"/>
      <c r="I1" s="10"/>
      <c r="J1" s="10"/>
      <c r="K1" s="10"/>
      <c r="L1" s="13">
        <f>SUM(L4:L37)</f>
        <v>1090.0309999999999</v>
      </c>
      <c r="M1" s="13">
        <f>SUM(M4:M37)</f>
        <v>1095</v>
      </c>
      <c r="N1" s="10"/>
      <c r="O1" s="10"/>
      <c r="P1" s="10"/>
      <c r="Q1" s="55"/>
      <c r="R1" s="55"/>
      <c r="S1" s="55"/>
      <c r="T1" s="10"/>
      <c r="U1" s="55"/>
      <c r="V1" s="55"/>
      <c r="W1" s="55"/>
      <c r="X1" s="55"/>
      <c r="Y1" s="55"/>
      <c r="Z1" s="55"/>
      <c r="AA1" s="55"/>
      <c r="AB1" s="55"/>
      <c r="AC1" s="55"/>
      <c r="AD1" s="55"/>
      <c r="AE1" s="10"/>
      <c r="AF1" s="14"/>
    </row>
    <row r="2" spans="1:32" s="112" customFormat="1" ht="25.5">
      <c r="A2" s="84" t="s">
        <v>1</v>
      </c>
      <c r="B2" s="84" t="s">
        <v>2</v>
      </c>
      <c r="C2" s="84" t="s">
        <v>3</v>
      </c>
      <c r="D2" s="84" t="s">
        <v>4</v>
      </c>
      <c r="E2" s="84" t="s">
        <v>5</v>
      </c>
      <c r="F2" s="84" t="s">
        <v>6</v>
      </c>
      <c r="G2" s="84" t="s">
        <v>7</v>
      </c>
      <c r="H2" s="84" t="s">
        <v>8</v>
      </c>
      <c r="I2" s="239" t="s">
        <v>31</v>
      </c>
      <c r="J2" s="240"/>
      <c r="K2" s="84" t="s">
        <v>9</v>
      </c>
      <c r="L2" s="84" t="s">
        <v>10</v>
      </c>
      <c r="M2" s="84" t="s">
        <v>32</v>
      </c>
      <c r="N2" s="84" t="s">
        <v>11</v>
      </c>
      <c r="O2" s="84" t="s">
        <v>12</v>
      </c>
      <c r="P2" s="18" t="s">
        <v>13</v>
      </c>
      <c r="Q2" s="81" t="s">
        <v>14</v>
      </c>
      <c r="R2" s="81"/>
      <c r="S2" s="81"/>
      <c r="T2" s="81"/>
      <c r="U2" s="238" t="s">
        <v>15</v>
      </c>
      <c r="V2" s="238"/>
      <c r="W2" s="238" t="s">
        <v>16</v>
      </c>
      <c r="X2" s="238"/>
      <c r="Y2" s="238" t="s">
        <v>17</v>
      </c>
      <c r="Z2" s="238"/>
      <c r="AA2" s="238" t="s">
        <v>18</v>
      </c>
      <c r="AB2" s="238"/>
      <c r="AC2" s="232" t="s">
        <v>19</v>
      </c>
      <c r="AD2" s="232"/>
      <c r="AE2" s="232"/>
      <c r="AF2" s="236" t="s">
        <v>28</v>
      </c>
    </row>
    <row r="3" spans="1:32" s="112" customFormat="1" ht="25.5">
      <c r="A3" s="85"/>
      <c r="B3" s="85"/>
      <c r="C3" s="85"/>
      <c r="D3" s="85"/>
      <c r="E3" s="85"/>
      <c r="F3" s="85"/>
      <c r="G3" s="85"/>
      <c r="H3" s="85"/>
      <c r="I3" s="17" t="s">
        <v>20</v>
      </c>
      <c r="J3" s="17" t="s">
        <v>30</v>
      </c>
      <c r="K3" s="85"/>
      <c r="L3" s="85"/>
      <c r="M3" s="85"/>
      <c r="N3" s="85"/>
      <c r="O3" s="83"/>
      <c r="P3" s="18" t="s">
        <v>21</v>
      </c>
      <c r="Q3" s="56" t="s">
        <v>22</v>
      </c>
      <c r="R3" s="56" t="s">
        <v>23</v>
      </c>
      <c r="S3" s="56" t="s">
        <v>24</v>
      </c>
      <c r="T3" s="19" t="s">
        <v>25</v>
      </c>
      <c r="U3" s="57" t="s">
        <v>22</v>
      </c>
      <c r="V3" s="57" t="s">
        <v>26</v>
      </c>
      <c r="W3" s="57" t="s">
        <v>22</v>
      </c>
      <c r="X3" s="57" t="s">
        <v>26</v>
      </c>
      <c r="Y3" s="57" t="s">
        <v>22</v>
      </c>
      <c r="Z3" s="57" t="s">
        <v>26</v>
      </c>
      <c r="AA3" s="57" t="s">
        <v>22</v>
      </c>
      <c r="AB3" s="57" t="s">
        <v>26</v>
      </c>
      <c r="AC3" s="58" t="s">
        <v>19</v>
      </c>
      <c r="AD3" s="57" t="s">
        <v>27</v>
      </c>
      <c r="AE3" s="22" t="s">
        <v>25</v>
      </c>
      <c r="AF3" s="237"/>
    </row>
    <row r="4" spans="1:32" ht="15">
      <c r="A4" s="32">
        <f t="shared" ref="A4:A37" si="0">ROW()-3</f>
        <v>1</v>
      </c>
      <c r="B4" s="23" t="s">
        <v>204</v>
      </c>
      <c r="C4" s="136" t="s">
        <v>966</v>
      </c>
      <c r="D4" s="3" t="s">
        <v>29</v>
      </c>
      <c r="E4" s="3" t="s">
        <v>1209</v>
      </c>
      <c r="F4" s="80" t="s">
        <v>998</v>
      </c>
      <c r="G4" s="80" t="s">
        <v>999</v>
      </c>
      <c r="H4" s="80"/>
      <c r="I4" s="107" t="s">
        <v>1008</v>
      </c>
      <c r="J4" s="80" t="s">
        <v>976</v>
      </c>
      <c r="K4" s="80" t="s">
        <v>1081</v>
      </c>
      <c r="L4" s="3">
        <v>30.367999999999999</v>
      </c>
      <c r="M4" s="80">
        <v>30</v>
      </c>
      <c r="N4" s="124" t="s">
        <v>244</v>
      </c>
      <c r="O4" s="80" t="s">
        <v>687</v>
      </c>
      <c r="P4" s="79" t="s">
        <v>212</v>
      </c>
      <c r="Q4" s="66">
        <v>45858</v>
      </c>
      <c r="R4" s="66">
        <v>45861</v>
      </c>
      <c r="S4" s="66">
        <v>45867</v>
      </c>
      <c r="T4" s="54">
        <f>MAX(0,S4-Q4)</f>
        <v>9</v>
      </c>
      <c r="U4" s="66">
        <v>45869</v>
      </c>
      <c r="V4" s="66">
        <v>45874</v>
      </c>
      <c r="W4" s="66">
        <v>45874</v>
      </c>
      <c r="X4" s="66">
        <v>45878</v>
      </c>
      <c r="Y4" s="66">
        <v>45884</v>
      </c>
      <c r="Z4" s="66">
        <v>45888</v>
      </c>
      <c r="AA4" s="66">
        <v>45888</v>
      </c>
      <c r="AB4" s="66">
        <v>45901</v>
      </c>
      <c r="AC4" s="66">
        <v>45905</v>
      </c>
      <c r="AD4" s="66">
        <v>45908</v>
      </c>
      <c r="AE4" s="54">
        <f>MAX(0,AD4-AB4)</f>
        <v>7</v>
      </c>
      <c r="AF4" s="16"/>
    </row>
    <row r="5" spans="1:32" ht="15">
      <c r="A5" s="32">
        <f t="shared" si="0"/>
        <v>2</v>
      </c>
      <c r="B5" s="23" t="s">
        <v>204</v>
      </c>
      <c r="C5" s="136" t="s">
        <v>966</v>
      </c>
      <c r="D5" s="3" t="s">
        <v>29</v>
      </c>
      <c r="E5" s="3" t="s">
        <v>1207</v>
      </c>
      <c r="F5" s="80" t="s">
        <v>450</v>
      </c>
      <c r="G5" s="80" t="s">
        <v>451</v>
      </c>
      <c r="H5" s="27"/>
      <c r="I5" s="77" t="s">
        <v>1107</v>
      </c>
      <c r="J5" s="77" t="s">
        <v>1122</v>
      </c>
      <c r="K5" s="77" t="s">
        <v>1135</v>
      </c>
      <c r="L5" s="3">
        <v>29.277000000000001</v>
      </c>
      <c r="M5" s="80">
        <v>30</v>
      </c>
      <c r="N5" s="124" t="s">
        <v>244</v>
      </c>
      <c r="O5" s="80" t="s">
        <v>687</v>
      </c>
      <c r="P5" s="79" t="s">
        <v>212</v>
      </c>
      <c r="Q5" s="66">
        <v>45855</v>
      </c>
      <c r="R5" s="66">
        <v>45861</v>
      </c>
      <c r="S5" s="66">
        <v>45867</v>
      </c>
      <c r="T5" s="54">
        <f t="shared" ref="T5" si="1">MAX(0,S5-Q5)</f>
        <v>12</v>
      </c>
      <c r="U5" s="66">
        <v>45869</v>
      </c>
      <c r="V5" s="66">
        <v>45874</v>
      </c>
      <c r="W5" s="66">
        <v>45874</v>
      </c>
      <c r="X5" s="66">
        <v>45878</v>
      </c>
      <c r="Y5" s="66">
        <v>45884</v>
      </c>
      <c r="Z5" s="66">
        <v>45886</v>
      </c>
      <c r="AA5" s="66">
        <v>45886</v>
      </c>
      <c r="AB5" s="66">
        <v>45888</v>
      </c>
      <c r="AC5" s="66">
        <v>45892</v>
      </c>
      <c r="AD5" s="59">
        <v>45897</v>
      </c>
      <c r="AE5" s="54">
        <f>MAX(0,AD5-AB5)</f>
        <v>9</v>
      </c>
      <c r="AF5" s="36"/>
    </row>
    <row r="6" spans="1:32" ht="15">
      <c r="A6" s="32">
        <f t="shared" si="0"/>
        <v>3</v>
      </c>
      <c r="B6" s="23" t="s">
        <v>204</v>
      </c>
      <c r="C6" s="136" t="s">
        <v>966</v>
      </c>
      <c r="D6" s="3" t="s">
        <v>29</v>
      </c>
      <c r="E6" s="3" t="s">
        <v>1208</v>
      </c>
      <c r="F6" s="80" t="s">
        <v>1184</v>
      </c>
      <c r="G6" s="5" t="s">
        <v>1185</v>
      </c>
      <c r="H6" s="5" t="s">
        <v>1186</v>
      </c>
      <c r="I6" s="77" t="s">
        <v>1181</v>
      </c>
      <c r="J6" s="131" t="s">
        <v>1179</v>
      </c>
      <c r="K6" s="5" t="s">
        <v>1177</v>
      </c>
      <c r="L6" s="3">
        <v>34.939</v>
      </c>
      <c r="M6" s="80">
        <v>35</v>
      </c>
      <c r="N6" s="124" t="s">
        <v>244</v>
      </c>
      <c r="O6" s="80" t="s">
        <v>687</v>
      </c>
      <c r="P6" s="79" t="s">
        <v>212</v>
      </c>
      <c r="Q6" s="66">
        <v>45855</v>
      </c>
      <c r="R6" s="66">
        <v>45861</v>
      </c>
      <c r="S6" s="66">
        <v>45867</v>
      </c>
      <c r="T6" s="54">
        <f>MAX(0,S6-Q6)</f>
        <v>12</v>
      </c>
      <c r="U6" s="66">
        <v>45869</v>
      </c>
      <c r="V6" s="66">
        <v>45874</v>
      </c>
      <c r="W6" s="66">
        <v>45874</v>
      </c>
      <c r="X6" s="66">
        <v>45877</v>
      </c>
      <c r="Y6" s="66">
        <v>45881</v>
      </c>
      <c r="Z6" s="66">
        <v>45883</v>
      </c>
      <c r="AA6" s="66">
        <v>45883</v>
      </c>
      <c r="AB6" s="66">
        <v>45884</v>
      </c>
      <c r="AC6" s="66">
        <v>45890</v>
      </c>
      <c r="AD6" s="66">
        <v>45891</v>
      </c>
      <c r="AE6" s="54">
        <f>MAX(0,AD6-AB6)</f>
        <v>7</v>
      </c>
      <c r="AF6" s="16"/>
    </row>
    <row r="7" spans="1:32" ht="15">
      <c r="A7" s="32">
        <f>ROW()-3</f>
        <v>4</v>
      </c>
      <c r="B7" s="23" t="s">
        <v>204</v>
      </c>
      <c r="C7" s="136" t="s">
        <v>966</v>
      </c>
      <c r="D7" s="3" t="s">
        <v>29</v>
      </c>
      <c r="E7" s="3" t="s">
        <v>1166</v>
      </c>
      <c r="F7" s="80" t="s">
        <v>1046</v>
      </c>
      <c r="G7" s="80" t="s">
        <v>1047</v>
      </c>
      <c r="H7" s="80" t="s">
        <v>1048</v>
      </c>
      <c r="I7" s="107" t="s">
        <v>1058</v>
      </c>
      <c r="J7" s="80" t="s">
        <v>1079</v>
      </c>
      <c r="K7" s="80" t="s">
        <v>1075</v>
      </c>
      <c r="L7" s="3">
        <v>35.097999999999999</v>
      </c>
      <c r="M7" s="80">
        <v>35</v>
      </c>
      <c r="N7" s="124" t="s">
        <v>244</v>
      </c>
      <c r="O7" s="80" t="s">
        <v>687</v>
      </c>
      <c r="P7" s="79" t="s">
        <v>212</v>
      </c>
      <c r="Q7" s="66">
        <v>45845</v>
      </c>
      <c r="R7" s="66">
        <v>45846</v>
      </c>
      <c r="S7" s="66">
        <v>45850</v>
      </c>
      <c r="T7" s="54">
        <f t="shared" ref="T7" si="2">MAX(0,S7-Q7)</f>
        <v>5</v>
      </c>
      <c r="U7" s="66">
        <v>45853</v>
      </c>
      <c r="V7" s="66">
        <v>45860</v>
      </c>
      <c r="W7" s="66">
        <v>45860</v>
      </c>
      <c r="X7" s="66">
        <v>45861</v>
      </c>
      <c r="Y7" s="66">
        <v>45874</v>
      </c>
      <c r="Z7" s="66">
        <v>45878</v>
      </c>
      <c r="AA7" s="66">
        <v>45878</v>
      </c>
      <c r="AB7" s="66">
        <v>45882</v>
      </c>
      <c r="AC7" s="66">
        <v>45886</v>
      </c>
      <c r="AD7" s="66">
        <v>45890</v>
      </c>
      <c r="AE7" s="54">
        <f>MAX(0,AD7-AB7)</f>
        <v>8</v>
      </c>
      <c r="AF7" s="36"/>
    </row>
    <row r="8" spans="1:32" ht="15">
      <c r="A8" s="32">
        <f t="shared" si="0"/>
        <v>5</v>
      </c>
      <c r="B8" s="23" t="s">
        <v>204</v>
      </c>
      <c r="C8" s="136" t="s">
        <v>966</v>
      </c>
      <c r="D8" s="3" t="s">
        <v>29</v>
      </c>
      <c r="E8" s="3" t="s">
        <v>1206</v>
      </c>
      <c r="F8" s="80" t="s">
        <v>1182</v>
      </c>
      <c r="G8" s="5" t="s">
        <v>1183</v>
      </c>
      <c r="H8" s="5"/>
      <c r="I8" s="77" t="s">
        <v>1180</v>
      </c>
      <c r="J8" s="131" t="s">
        <v>1178</v>
      </c>
      <c r="K8" s="5" t="s">
        <v>1176</v>
      </c>
      <c r="L8" s="3">
        <v>36.396000000000001</v>
      </c>
      <c r="M8" s="80">
        <v>37</v>
      </c>
      <c r="N8" s="124" t="s">
        <v>244</v>
      </c>
      <c r="O8" s="80" t="s">
        <v>687</v>
      </c>
      <c r="P8" s="79" t="s">
        <v>212</v>
      </c>
      <c r="Q8" s="66">
        <v>45853</v>
      </c>
      <c r="R8" s="66">
        <v>45856</v>
      </c>
      <c r="S8" s="66">
        <v>45861</v>
      </c>
      <c r="T8" s="54">
        <f>MAX(0,S8-Q8)</f>
        <v>8</v>
      </c>
      <c r="U8" s="66">
        <v>45863</v>
      </c>
      <c r="V8" s="66">
        <v>45870</v>
      </c>
      <c r="W8" s="66">
        <v>45870</v>
      </c>
      <c r="X8" s="66">
        <v>45871</v>
      </c>
      <c r="Y8" s="66">
        <v>45876</v>
      </c>
      <c r="Z8" s="66">
        <v>45881</v>
      </c>
      <c r="AA8" s="66">
        <v>45881</v>
      </c>
      <c r="AB8" s="66">
        <v>45882</v>
      </c>
      <c r="AC8" s="66">
        <v>45885</v>
      </c>
      <c r="AD8" s="66">
        <v>45890</v>
      </c>
      <c r="AE8" s="54">
        <f>MAX(0,AD8-AB8)</f>
        <v>8</v>
      </c>
      <c r="AF8" s="16"/>
    </row>
    <row r="9" spans="1:32" ht="15">
      <c r="A9" s="32">
        <f t="shared" si="0"/>
        <v>6</v>
      </c>
      <c r="B9" s="23" t="s">
        <v>204</v>
      </c>
      <c r="C9" s="136" t="s">
        <v>966</v>
      </c>
      <c r="D9" s="3" t="s">
        <v>29</v>
      </c>
      <c r="E9" s="3" t="s">
        <v>1194</v>
      </c>
      <c r="F9" s="80" t="s">
        <v>1093</v>
      </c>
      <c r="G9" s="80" t="s">
        <v>1094</v>
      </c>
      <c r="H9" s="80"/>
      <c r="I9" s="77" t="s">
        <v>1115</v>
      </c>
      <c r="J9" s="127" t="s">
        <v>1129</v>
      </c>
      <c r="K9" s="77" t="s">
        <v>1141</v>
      </c>
      <c r="L9" s="3">
        <v>30.492999999999999</v>
      </c>
      <c r="M9" s="107">
        <v>30</v>
      </c>
      <c r="N9" s="124" t="s">
        <v>244</v>
      </c>
      <c r="O9" s="80" t="s">
        <v>687</v>
      </c>
      <c r="P9" s="79" t="s">
        <v>212</v>
      </c>
      <c r="Q9" s="66">
        <v>45847</v>
      </c>
      <c r="R9" s="66">
        <v>45848</v>
      </c>
      <c r="S9" s="66">
        <v>45854</v>
      </c>
      <c r="T9" s="54">
        <f t="shared" ref="T9" si="3">MAX(0,S9-Q9)</f>
        <v>7</v>
      </c>
      <c r="U9" s="66">
        <v>45856</v>
      </c>
      <c r="V9" s="66">
        <v>45860</v>
      </c>
      <c r="W9" s="66">
        <v>45860</v>
      </c>
      <c r="X9" s="66">
        <v>45861</v>
      </c>
      <c r="Y9" s="66">
        <v>45864</v>
      </c>
      <c r="Z9" s="66">
        <v>45865</v>
      </c>
      <c r="AA9" s="66">
        <v>45865</v>
      </c>
      <c r="AB9" s="66">
        <v>45866</v>
      </c>
      <c r="AC9" s="66">
        <v>45881</v>
      </c>
      <c r="AD9" s="66">
        <v>45890</v>
      </c>
      <c r="AE9" s="54">
        <f t="shared" ref="AE9" si="4">MAX(0,AD9-AB9)</f>
        <v>24</v>
      </c>
      <c r="AF9" s="36"/>
    </row>
    <row r="10" spans="1:32" ht="15">
      <c r="A10" s="32">
        <f t="shared" si="0"/>
        <v>7</v>
      </c>
      <c r="B10" s="23" t="s">
        <v>204</v>
      </c>
      <c r="C10" s="136" t="s">
        <v>966</v>
      </c>
      <c r="D10" s="3" t="s">
        <v>29</v>
      </c>
      <c r="E10" s="3" t="s">
        <v>1195</v>
      </c>
      <c r="F10" s="80" t="s">
        <v>1099</v>
      </c>
      <c r="G10" s="80" t="s">
        <v>1100</v>
      </c>
      <c r="H10" s="5"/>
      <c r="I10" s="77" t="s">
        <v>1119</v>
      </c>
      <c r="J10" s="80" t="s">
        <v>1132</v>
      </c>
      <c r="K10" s="77" t="s">
        <v>1146</v>
      </c>
      <c r="L10" s="3">
        <v>29.905000000000001</v>
      </c>
      <c r="M10" s="107">
        <v>30</v>
      </c>
      <c r="N10" s="124" t="s">
        <v>244</v>
      </c>
      <c r="O10" s="80" t="s">
        <v>687</v>
      </c>
      <c r="P10" s="79" t="s">
        <v>212</v>
      </c>
      <c r="Q10" s="66">
        <v>45847</v>
      </c>
      <c r="R10" s="66">
        <v>45848</v>
      </c>
      <c r="S10" s="66">
        <v>45854</v>
      </c>
      <c r="T10" s="54">
        <f t="shared" ref="T10:T15" si="5">MAX(0,S10-Q10)</f>
        <v>7</v>
      </c>
      <c r="U10" s="66">
        <v>45856</v>
      </c>
      <c r="V10" s="66">
        <v>45867</v>
      </c>
      <c r="W10" s="66">
        <v>45867</v>
      </c>
      <c r="X10" s="66">
        <v>45868</v>
      </c>
      <c r="Y10" s="66">
        <v>45873</v>
      </c>
      <c r="Z10" s="66">
        <v>45875</v>
      </c>
      <c r="AA10" s="66">
        <v>45875</v>
      </c>
      <c r="AB10" s="66">
        <v>45876</v>
      </c>
      <c r="AC10" s="66">
        <v>45879</v>
      </c>
      <c r="AD10" s="66">
        <v>45888</v>
      </c>
      <c r="AE10" s="54">
        <f t="shared" ref="AE10" si="6">MAX(0,AD10-AB10)</f>
        <v>12</v>
      </c>
      <c r="AF10" s="36"/>
    </row>
    <row r="11" spans="1:32" ht="15">
      <c r="A11" s="32">
        <f t="shared" si="0"/>
        <v>8</v>
      </c>
      <c r="B11" s="23" t="s">
        <v>204</v>
      </c>
      <c r="C11" s="136" t="s">
        <v>966</v>
      </c>
      <c r="D11" s="3" t="s">
        <v>29</v>
      </c>
      <c r="E11" s="3" t="s">
        <v>1204</v>
      </c>
      <c r="F11" s="80" t="s">
        <v>1101</v>
      </c>
      <c r="G11" s="5" t="s">
        <v>1102</v>
      </c>
      <c r="H11" s="5"/>
      <c r="I11" s="77" t="s">
        <v>1120</v>
      </c>
      <c r="J11" s="131" t="s">
        <v>1133</v>
      </c>
      <c r="K11" s="5" t="s">
        <v>1147</v>
      </c>
      <c r="L11" s="3">
        <v>30.233000000000001</v>
      </c>
      <c r="M11" s="107">
        <v>31</v>
      </c>
      <c r="N11" s="124" t="s">
        <v>244</v>
      </c>
      <c r="O11" s="80" t="s">
        <v>687</v>
      </c>
      <c r="P11" s="79" t="s">
        <v>212</v>
      </c>
      <c r="Q11" s="66">
        <v>45848</v>
      </c>
      <c r="R11" s="66">
        <v>45852</v>
      </c>
      <c r="S11" s="66">
        <v>45857</v>
      </c>
      <c r="T11" s="54">
        <f t="shared" si="5"/>
        <v>9</v>
      </c>
      <c r="U11" s="66">
        <v>45860</v>
      </c>
      <c r="V11" s="66">
        <v>45866</v>
      </c>
      <c r="W11" s="66">
        <v>45866</v>
      </c>
      <c r="X11" s="66">
        <v>45868</v>
      </c>
      <c r="Y11" s="66">
        <v>45870</v>
      </c>
      <c r="Z11" s="66">
        <v>45876</v>
      </c>
      <c r="AA11" s="66">
        <v>45876</v>
      </c>
      <c r="AB11" s="66">
        <v>45878</v>
      </c>
      <c r="AC11" s="66">
        <v>45880</v>
      </c>
      <c r="AD11" s="66">
        <v>45885</v>
      </c>
      <c r="AE11" s="54">
        <f>MAX(0,AD11-AB11)</f>
        <v>7</v>
      </c>
      <c r="AF11" s="36"/>
    </row>
    <row r="12" spans="1:32" ht="15">
      <c r="A12" s="32">
        <f t="shared" si="0"/>
        <v>9</v>
      </c>
      <c r="B12" s="23" t="s">
        <v>204</v>
      </c>
      <c r="C12" s="136" t="s">
        <v>966</v>
      </c>
      <c r="D12" s="3" t="s">
        <v>29</v>
      </c>
      <c r="E12" s="3" t="s">
        <v>1205</v>
      </c>
      <c r="F12" s="80" t="s">
        <v>1103</v>
      </c>
      <c r="G12" s="5" t="s">
        <v>1104</v>
      </c>
      <c r="H12" s="5"/>
      <c r="I12" s="77" t="s">
        <v>1121</v>
      </c>
      <c r="J12" s="131" t="s">
        <v>1134</v>
      </c>
      <c r="K12" s="5" t="s">
        <v>1148</v>
      </c>
      <c r="L12" s="3">
        <v>30.353999999999999</v>
      </c>
      <c r="M12" s="107">
        <v>31</v>
      </c>
      <c r="N12" s="124" t="s">
        <v>244</v>
      </c>
      <c r="O12" s="80" t="s">
        <v>687</v>
      </c>
      <c r="P12" s="79" t="s">
        <v>212</v>
      </c>
      <c r="Q12" s="66">
        <v>45848</v>
      </c>
      <c r="R12" s="66">
        <v>45852</v>
      </c>
      <c r="S12" s="66">
        <v>45857</v>
      </c>
      <c r="T12" s="54">
        <f t="shared" si="5"/>
        <v>9</v>
      </c>
      <c r="U12" s="66">
        <v>45860</v>
      </c>
      <c r="V12" s="66">
        <v>45866</v>
      </c>
      <c r="W12" s="66">
        <v>45866</v>
      </c>
      <c r="X12" s="66">
        <v>45868</v>
      </c>
      <c r="Y12" s="66">
        <v>45870</v>
      </c>
      <c r="Z12" s="66">
        <v>45876</v>
      </c>
      <c r="AA12" s="66">
        <v>45876</v>
      </c>
      <c r="AB12" s="66">
        <v>45878</v>
      </c>
      <c r="AC12" s="66">
        <v>45880</v>
      </c>
      <c r="AD12" s="66">
        <v>45884</v>
      </c>
      <c r="AE12" s="54">
        <f>MAX(0,AD12-AB12)</f>
        <v>6</v>
      </c>
      <c r="AF12" s="36"/>
    </row>
    <row r="13" spans="1:32" ht="15">
      <c r="A13" s="32">
        <f t="shared" si="0"/>
        <v>10</v>
      </c>
      <c r="B13" s="23" t="s">
        <v>204</v>
      </c>
      <c r="C13" s="136" t="s">
        <v>966</v>
      </c>
      <c r="D13" s="3" t="s">
        <v>29</v>
      </c>
      <c r="E13" s="3" t="s">
        <v>1190</v>
      </c>
      <c r="F13" s="80" t="s">
        <v>1082</v>
      </c>
      <c r="G13" s="80" t="s">
        <v>1083</v>
      </c>
      <c r="H13" s="80"/>
      <c r="I13" s="77" t="s">
        <v>1109</v>
      </c>
      <c r="J13" s="126" t="s">
        <v>1123</v>
      </c>
      <c r="K13" s="77" t="s">
        <v>1136</v>
      </c>
      <c r="L13" s="3">
        <v>30.405999999999999</v>
      </c>
      <c r="M13" s="80">
        <v>31</v>
      </c>
      <c r="N13" s="124" t="s">
        <v>244</v>
      </c>
      <c r="O13" s="80" t="s">
        <v>687</v>
      </c>
      <c r="P13" s="79" t="s">
        <v>212</v>
      </c>
      <c r="Q13" s="66">
        <v>45847</v>
      </c>
      <c r="R13" s="66">
        <v>45848</v>
      </c>
      <c r="S13" s="66">
        <v>45854</v>
      </c>
      <c r="T13" s="54">
        <f t="shared" si="5"/>
        <v>7</v>
      </c>
      <c r="U13" s="66">
        <v>45856</v>
      </c>
      <c r="V13" s="66">
        <v>45863</v>
      </c>
      <c r="W13" s="66">
        <v>45863</v>
      </c>
      <c r="X13" s="66">
        <v>45864</v>
      </c>
      <c r="Y13" s="66">
        <v>45873</v>
      </c>
      <c r="Z13" s="66">
        <v>45875</v>
      </c>
      <c r="AA13" s="66">
        <v>45875</v>
      </c>
      <c r="AB13" s="66">
        <v>45877</v>
      </c>
      <c r="AC13" s="66">
        <v>45879</v>
      </c>
      <c r="AD13" s="66">
        <v>45884</v>
      </c>
      <c r="AE13" s="54">
        <f>MAX(0,AD13-AB13)</f>
        <v>7</v>
      </c>
      <c r="AF13" s="36"/>
    </row>
    <row r="14" spans="1:32" ht="15">
      <c r="A14" s="32">
        <f t="shared" si="0"/>
        <v>11</v>
      </c>
      <c r="B14" s="23" t="s">
        <v>204</v>
      </c>
      <c r="C14" s="136" t="s">
        <v>966</v>
      </c>
      <c r="D14" s="3" t="s">
        <v>29</v>
      </c>
      <c r="E14" s="3" t="s">
        <v>1192</v>
      </c>
      <c r="F14" s="80" t="s">
        <v>1087</v>
      </c>
      <c r="G14" s="80" t="s">
        <v>1088</v>
      </c>
      <c r="H14" s="125"/>
      <c r="I14" s="77" t="s">
        <v>1112</v>
      </c>
      <c r="J14" s="80" t="s">
        <v>1126</v>
      </c>
      <c r="K14" s="77" t="s">
        <v>1138</v>
      </c>
      <c r="L14" s="3">
        <v>36.546999999999997</v>
      </c>
      <c r="M14" s="80">
        <v>36</v>
      </c>
      <c r="N14" s="124" t="s">
        <v>244</v>
      </c>
      <c r="O14" s="80" t="s">
        <v>687</v>
      </c>
      <c r="P14" s="79" t="s">
        <v>212</v>
      </c>
      <c r="Q14" s="66">
        <v>45847</v>
      </c>
      <c r="R14" s="66">
        <v>45848</v>
      </c>
      <c r="S14" s="66">
        <v>45854</v>
      </c>
      <c r="T14" s="54">
        <f t="shared" si="5"/>
        <v>7</v>
      </c>
      <c r="U14" s="66">
        <v>45856</v>
      </c>
      <c r="V14" s="66">
        <v>45860</v>
      </c>
      <c r="W14" s="66">
        <v>45860</v>
      </c>
      <c r="X14" s="66">
        <v>45861</v>
      </c>
      <c r="Y14" s="66">
        <v>45864</v>
      </c>
      <c r="Z14" s="66">
        <v>45875</v>
      </c>
      <c r="AA14" s="66">
        <v>45875</v>
      </c>
      <c r="AB14" s="66">
        <v>45878</v>
      </c>
      <c r="AC14" s="66">
        <v>45881</v>
      </c>
      <c r="AD14" s="66">
        <v>45884</v>
      </c>
      <c r="AE14" s="54">
        <f>MAX(0,AD14-AB14)</f>
        <v>6</v>
      </c>
      <c r="AF14" s="36"/>
    </row>
    <row r="15" spans="1:32" ht="15">
      <c r="A15" s="32">
        <f t="shared" si="0"/>
        <v>12</v>
      </c>
      <c r="B15" s="23" t="s">
        <v>204</v>
      </c>
      <c r="C15" s="136" t="s">
        <v>966</v>
      </c>
      <c r="D15" s="3" t="s">
        <v>29</v>
      </c>
      <c r="E15" s="3" t="s">
        <v>1193</v>
      </c>
      <c r="F15" s="80" t="s">
        <v>1089</v>
      </c>
      <c r="G15" s="80" t="s">
        <v>1090</v>
      </c>
      <c r="H15" s="80"/>
      <c r="I15" s="77" t="s">
        <v>1113</v>
      </c>
      <c r="J15" s="80" t="s">
        <v>1127</v>
      </c>
      <c r="K15" s="77" t="s">
        <v>1139</v>
      </c>
      <c r="L15" s="3">
        <v>30.873000000000001</v>
      </c>
      <c r="M15" s="80">
        <v>31</v>
      </c>
      <c r="N15" s="124" t="s">
        <v>244</v>
      </c>
      <c r="O15" s="80" t="s">
        <v>687</v>
      </c>
      <c r="P15" s="79" t="s">
        <v>212</v>
      </c>
      <c r="Q15" s="66">
        <v>45847</v>
      </c>
      <c r="R15" s="66">
        <v>45848</v>
      </c>
      <c r="S15" s="66">
        <v>45854</v>
      </c>
      <c r="T15" s="54">
        <f t="shared" si="5"/>
        <v>7</v>
      </c>
      <c r="U15" s="66">
        <v>45856</v>
      </c>
      <c r="V15" s="66">
        <v>45860</v>
      </c>
      <c r="W15" s="66">
        <v>45860</v>
      </c>
      <c r="X15" s="66">
        <v>45861</v>
      </c>
      <c r="Y15" s="66">
        <v>45867</v>
      </c>
      <c r="Z15" s="66">
        <v>45869</v>
      </c>
      <c r="AA15" s="66">
        <v>45869</v>
      </c>
      <c r="AB15" s="66">
        <v>45875</v>
      </c>
      <c r="AC15" s="66">
        <v>45879</v>
      </c>
      <c r="AD15" s="66">
        <v>45881</v>
      </c>
      <c r="AE15" s="54">
        <f>MAX(0,AD15-AB15)</f>
        <v>6</v>
      </c>
      <c r="AF15" s="36"/>
    </row>
    <row r="16" spans="1:32" ht="15">
      <c r="A16" s="32">
        <f t="shared" si="0"/>
        <v>13</v>
      </c>
      <c r="B16" s="23" t="s">
        <v>204</v>
      </c>
      <c r="C16" s="136" t="s">
        <v>966</v>
      </c>
      <c r="D16" s="3" t="s">
        <v>29</v>
      </c>
      <c r="E16" s="3" t="s">
        <v>1201</v>
      </c>
      <c r="F16" s="80" t="s">
        <v>658</v>
      </c>
      <c r="G16" s="80" t="s">
        <v>659</v>
      </c>
      <c r="H16" s="80" t="s">
        <v>660</v>
      </c>
      <c r="I16" s="77" t="s">
        <v>667</v>
      </c>
      <c r="J16" s="5" t="s">
        <v>1125</v>
      </c>
      <c r="K16" s="77" t="s">
        <v>668</v>
      </c>
      <c r="L16" s="3">
        <v>34.771999999999998</v>
      </c>
      <c r="M16" s="107">
        <v>35</v>
      </c>
      <c r="N16" s="124" t="s">
        <v>244</v>
      </c>
      <c r="O16" s="80" t="s">
        <v>687</v>
      </c>
      <c r="P16" s="79" t="s">
        <v>212</v>
      </c>
      <c r="Q16" s="66">
        <v>45847</v>
      </c>
      <c r="R16" s="66">
        <v>45848</v>
      </c>
      <c r="S16" s="66">
        <v>45854</v>
      </c>
      <c r="T16" s="54">
        <f t="shared" ref="T16" si="7">MAX(0,S16-Q16)</f>
        <v>7</v>
      </c>
      <c r="U16" s="66">
        <v>45859</v>
      </c>
      <c r="V16" s="66">
        <v>45861</v>
      </c>
      <c r="W16" s="66">
        <v>45861</v>
      </c>
      <c r="X16" s="66">
        <v>45863</v>
      </c>
      <c r="Y16" s="66">
        <v>45865</v>
      </c>
      <c r="Z16" s="66">
        <v>45870</v>
      </c>
      <c r="AA16" s="66">
        <v>45870</v>
      </c>
      <c r="AB16" s="66">
        <v>45871</v>
      </c>
      <c r="AC16" s="66">
        <v>45875</v>
      </c>
      <c r="AD16" s="66">
        <v>45876</v>
      </c>
      <c r="AE16" s="54">
        <f t="shared" ref="AE16" si="8">MAX(0,AD16-AB16)</f>
        <v>5</v>
      </c>
      <c r="AF16" s="36"/>
    </row>
    <row r="17" spans="1:32" ht="15">
      <c r="A17" s="32">
        <f t="shared" si="0"/>
        <v>14</v>
      </c>
      <c r="B17" s="23" t="s">
        <v>204</v>
      </c>
      <c r="C17" s="136" t="s">
        <v>966</v>
      </c>
      <c r="D17" s="3" t="s">
        <v>29</v>
      </c>
      <c r="E17" s="3" t="s">
        <v>1294</v>
      </c>
      <c r="F17" s="80" t="s">
        <v>651</v>
      </c>
      <c r="G17" s="80" t="s">
        <v>652</v>
      </c>
      <c r="H17" s="80"/>
      <c r="I17" s="107" t="s">
        <v>1078</v>
      </c>
      <c r="J17" s="80" t="s">
        <v>787</v>
      </c>
      <c r="K17" s="80" t="s">
        <v>1025</v>
      </c>
      <c r="L17" s="3">
        <v>29.866</v>
      </c>
      <c r="M17" s="80">
        <v>30</v>
      </c>
      <c r="N17" s="124" t="s">
        <v>244</v>
      </c>
      <c r="O17" s="80" t="s">
        <v>687</v>
      </c>
      <c r="P17" s="79" t="s">
        <v>212</v>
      </c>
      <c r="Q17" s="66">
        <v>45837</v>
      </c>
      <c r="R17" s="66">
        <v>45845</v>
      </c>
      <c r="S17" s="66">
        <v>45852</v>
      </c>
      <c r="T17" s="54">
        <f t="shared" ref="T17" si="9">MAX(0,S17-Q17)</f>
        <v>15</v>
      </c>
      <c r="U17" s="66">
        <v>45854</v>
      </c>
      <c r="V17" s="66">
        <v>45856</v>
      </c>
      <c r="W17" s="66">
        <v>45856</v>
      </c>
      <c r="X17" s="66">
        <v>45857</v>
      </c>
      <c r="Y17" s="66">
        <v>45861</v>
      </c>
      <c r="Z17" s="66">
        <v>45863</v>
      </c>
      <c r="AA17" s="66">
        <v>45863</v>
      </c>
      <c r="AB17" s="66">
        <v>45866</v>
      </c>
      <c r="AC17" s="66">
        <v>45874</v>
      </c>
      <c r="AD17" s="66">
        <v>45876</v>
      </c>
      <c r="AE17" s="54">
        <f t="shared" ref="AE17:AE23" si="10">MAX(0,AD17-AB17)</f>
        <v>10</v>
      </c>
      <c r="AF17" s="36"/>
    </row>
    <row r="18" spans="1:32" ht="15">
      <c r="A18" s="32">
        <f t="shared" si="0"/>
        <v>15</v>
      </c>
      <c r="B18" s="23" t="s">
        <v>204</v>
      </c>
      <c r="C18" s="136" t="s">
        <v>966</v>
      </c>
      <c r="D18" s="3" t="s">
        <v>29</v>
      </c>
      <c r="E18" s="3" t="s">
        <v>1163</v>
      </c>
      <c r="F18" s="80" t="s">
        <v>452</v>
      </c>
      <c r="G18" s="80" t="s">
        <v>453</v>
      </c>
      <c r="H18" s="80"/>
      <c r="I18" s="107" t="s">
        <v>468</v>
      </c>
      <c r="J18" s="80" t="s">
        <v>477</v>
      </c>
      <c r="K18" s="80" t="s">
        <v>1016</v>
      </c>
      <c r="L18" s="3">
        <v>30.145</v>
      </c>
      <c r="M18" s="80">
        <v>30</v>
      </c>
      <c r="N18" s="124" t="s">
        <v>244</v>
      </c>
      <c r="O18" s="80" t="s">
        <v>687</v>
      </c>
      <c r="P18" s="79" t="s">
        <v>212</v>
      </c>
      <c r="Q18" s="66">
        <v>45845</v>
      </c>
      <c r="R18" s="66">
        <v>45846</v>
      </c>
      <c r="S18" s="66">
        <v>45850</v>
      </c>
      <c r="T18" s="54">
        <f t="shared" ref="T18:T27" si="11">MAX(0,S18-Q18)</f>
        <v>5</v>
      </c>
      <c r="U18" s="66">
        <v>45853</v>
      </c>
      <c r="V18" s="66">
        <v>45860</v>
      </c>
      <c r="W18" s="66">
        <v>45860</v>
      </c>
      <c r="X18" s="66">
        <v>45862</v>
      </c>
      <c r="Y18" s="66">
        <v>45867</v>
      </c>
      <c r="Z18" s="66">
        <v>45867</v>
      </c>
      <c r="AA18" s="66">
        <v>45867</v>
      </c>
      <c r="AB18" s="66">
        <v>45868</v>
      </c>
      <c r="AC18" s="66">
        <v>45872</v>
      </c>
      <c r="AD18" s="66">
        <v>45876</v>
      </c>
      <c r="AE18" s="54">
        <f t="shared" si="10"/>
        <v>8</v>
      </c>
      <c r="AF18" s="36"/>
    </row>
    <row r="19" spans="1:32" ht="15">
      <c r="A19" s="32">
        <f t="shared" si="0"/>
        <v>16</v>
      </c>
      <c r="B19" s="23" t="s">
        <v>204</v>
      </c>
      <c r="C19" s="136" t="s">
        <v>966</v>
      </c>
      <c r="D19" s="3" t="s">
        <v>29</v>
      </c>
      <c r="E19" s="3" t="s">
        <v>1203</v>
      </c>
      <c r="F19" s="80" t="s">
        <v>399</v>
      </c>
      <c r="G19" s="5" t="s">
        <v>400</v>
      </c>
      <c r="H19" s="5"/>
      <c r="I19" s="77" t="s">
        <v>1313</v>
      </c>
      <c r="J19" s="131" t="s">
        <v>429</v>
      </c>
      <c r="K19" s="5" t="s">
        <v>1149</v>
      </c>
      <c r="L19" s="3">
        <v>30.573</v>
      </c>
      <c r="M19" s="107">
        <v>30</v>
      </c>
      <c r="N19" s="124" t="s">
        <v>244</v>
      </c>
      <c r="O19" s="80" t="s">
        <v>687</v>
      </c>
      <c r="P19" s="79" t="s">
        <v>212</v>
      </c>
      <c r="Q19" s="66">
        <v>45847</v>
      </c>
      <c r="R19" s="66">
        <v>45849</v>
      </c>
      <c r="S19" s="66">
        <v>45856</v>
      </c>
      <c r="T19" s="54">
        <f t="shared" si="11"/>
        <v>9</v>
      </c>
      <c r="U19" s="66">
        <v>45857</v>
      </c>
      <c r="V19" s="66">
        <v>45860</v>
      </c>
      <c r="W19" s="66">
        <v>45860</v>
      </c>
      <c r="X19" s="66">
        <v>45861</v>
      </c>
      <c r="Y19" s="66">
        <v>45864</v>
      </c>
      <c r="Z19" s="66">
        <v>45865</v>
      </c>
      <c r="AA19" s="66">
        <v>45865</v>
      </c>
      <c r="AB19" s="66">
        <v>45867</v>
      </c>
      <c r="AC19" s="66">
        <v>45871</v>
      </c>
      <c r="AD19" s="66">
        <v>45873</v>
      </c>
      <c r="AE19" s="54">
        <f t="shared" si="10"/>
        <v>6</v>
      </c>
      <c r="AF19" s="36"/>
    </row>
    <row r="20" spans="1:32" ht="14.1" customHeight="1">
      <c r="A20" s="32">
        <f t="shared" si="0"/>
        <v>17</v>
      </c>
      <c r="B20" s="23" t="s">
        <v>204</v>
      </c>
      <c r="C20" s="136" t="s">
        <v>966</v>
      </c>
      <c r="D20" s="3" t="s">
        <v>29</v>
      </c>
      <c r="E20" s="3" t="s">
        <v>1202</v>
      </c>
      <c r="F20" s="80" t="s">
        <v>1095</v>
      </c>
      <c r="G20" s="80" t="s">
        <v>1096</v>
      </c>
      <c r="H20" s="130"/>
      <c r="I20" s="77" t="s">
        <v>1117</v>
      </c>
      <c r="J20" s="80" t="s">
        <v>1130</v>
      </c>
      <c r="K20" s="77" t="s">
        <v>1144</v>
      </c>
      <c r="L20" s="3">
        <v>29.879000000000001</v>
      </c>
      <c r="M20" s="80">
        <v>30</v>
      </c>
      <c r="N20" s="124" t="s">
        <v>244</v>
      </c>
      <c r="O20" s="80" t="s">
        <v>687</v>
      </c>
      <c r="P20" s="79" t="s">
        <v>212</v>
      </c>
      <c r="Q20" s="66">
        <v>45847</v>
      </c>
      <c r="R20" s="66">
        <v>45849</v>
      </c>
      <c r="S20" s="66">
        <v>45856</v>
      </c>
      <c r="T20" s="54">
        <f t="shared" si="11"/>
        <v>9</v>
      </c>
      <c r="U20" s="66">
        <v>45857</v>
      </c>
      <c r="V20" s="66">
        <v>45861</v>
      </c>
      <c r="W20" s="66">
        <v>45861</v>
      </c>
      <c r="X20" s="66">
        <v>45862</v>
      </c>
      <c r="Y20" s="66">
        <v>45865</v>
      </c>
      <c r="Z20" s="66">
        <v>45869</v>
      </c>
      <c r="AA20" s="66">
        <v>45869</v>
      </c>
      <c r="AB20" s="66">
        <v>45870</v>
      </c>
      <c r="AC20" s="66">
        <v>45873</v>
      </c>
      <c r="AD20" s="66">
        <v>45874</v>
      </c>
      <c r="AE20" s="54">
        <f t="shared" si="10"/>
        <v>4</v>
      </c>
      <c r="AF20" s="36"/>
    </row>
    <row r="21" spans="1:32" ht="15">
      <c r="A21" s="32">
        <f t="shared" si="0"/>
        <v>18</v>
      </c>
      <c r="B21" s="23" t="s">
        <v>204</v>
      </c>
      <c r="C21" s="136" t="s">
        <v>966</v>
      </c>
      <c r="D21" s="3" t="s">
        <v>29</v>
      </c>
      <c r="E21" s="3" t="s">
        <v>1196</v>
      </c>
      <c r="F21" s="80" t="s">
        <v>514</v>
      </c>
      <c r="G21" s="80" t="s">
        <v>518</v>
      </c>
      <c r="H21" s="125"/>
      <c r="I21" s="77" t="s">
        <v>1116</v>
      </c>
      <c r="J21" s="5" t="s">
        <v>527</v>
      </c>
      <c r="K21" s="77" t="s">
        <v>1143</v>
      </c>
      <c r="L21" s="3">
        <v>36.478000000000002</v>
      </c>
      <c r="M21" s="80">
        <v>36</v>
      </c>
      <c r="N21" s="124" t="s">
        <v>244</v>
      </c>
      <c r="O21" s="80" t="s">
        <v>687</v>
      </c>
      <c r="P21" s="79" t="s">
        <v>212</v>
      </c>
      <c r="Q21" s="66">
        <v>45847</v>
      </c>
      <c r="R21" s="66">
        <v>45848</v>
      </c>
      <c r="S21" s="66">
        <v>45854</v>
      </c>
      <c r="T21" s="54">
        <f t="shared" si="11"/>
        <v>7</v>
      </c>
      <c r="U21" s="66">
        <v>45856</v>
      </c>
      <c r="V21" s="66">
        <v>45860</v>
      </c>
      <c r="W21" s="66">
        <v>45860</v>
      </c>
      <c r="X21" s="66">
        <v>45861</v>
      </c>
      <c r="Y21" s="66">
        <v>45864</v>
      </c>
      <c r="Z21" s="66">
        <v>45865</v>
      </c>
      <c r="AA21" s="66">
        <v>45865</v>
      </c>
      <c r="AB21" s="66">
        <v>45868</v>
      </c>
      <c r="AC21" s="66">
        <v>45873</v>
      </c>
      <c r="AD21" s="66">
        <v>45874</v>
      </c>
      <c r="AE21" s="54">
        <f t="shared" si="10"/>
        <v>6</v>
      </c>
      <c r="AF21" s="36"/>
    </row>
    <row r="22" spans="1:32" ht="15">
      <c r="A22" s="32">
        <f t="shared" si="0"/>
        <v>19</v>
      </c>
      <c r="B22" s="23" t="s">
        <v>204</v>
      </c>
      <c r="C22" s="136" t="s">
        <v>966</v>
      </c>
      <c r="D22" s="3" t="s">
        <v>29</v>
      </c>
      <c r="E22" s="3" t="s">
        <v>1189</v>
      </c>
      <c r="F22" s="80" t="s">
        <v>59</v>
      </c>
      <c r="G22" s="80" t="s">
        <v>60</v>
      </c>
      <c r="H22" s="125"/>
      <c r="I22" s="77" t="s">
        <v>1110</v>
      </c>
      <c r="J22" s="80" t="s">
        <v>154</v>
      </c>
      <c r="K22" s="77" t="s">
        <v>182</v>
      </c>
      <c r="L22" s="3">
        <v>36.078000000000003</v>
      </c>
      <c r="M22" s="80">
        <v>37</v>
      </c>
      <c r="N22" s="124" t="s">
        <v>244</v>
      </c>
      <c r="O22" s="80" t="s">
        <v>687</v>
      </c>
      <c r="P22" s="79" t="s">
        <v>212</v>
      </c>
      <c r="Q22" s="66">
        <v>45847</v>
      </c>
      <c r="R22" s="66">
        <v>45848</v>
      </c>
      <c r="S22" s="66">
        <v>45854</v>
      </c>
      <c r="T22" s="54">
        <f>MAX(0,S22-Q22)</f>
        <v>7</v>
      </c>
      <c r="U22" s="66">
        <v>45856</v>
      </c>
      <c r="V22" s="66">
        <v>45860</v>
      </c>
      <c r="W22" s="66">
        <v>45860</v>
      </c>
      <c r="X22" s="66">
        <v>45861</v>
      </c>
      <c r="Y22" s="66">
        <v>45864</v>
      </c>
      <c r="Z22" s="66">
        <v>45865</v>
      </c>
      <c r="AA22" s="66">
        <v>45865</v>
      </c>
      <c r="AB22" s="66">
        <v>45867</v>
      </c>
      <c r="AC22" s="66">
        <v>45871</v>
      </c>
      <c r="AD22" s="66">
        <v>45874</v>
      </c>
      <c r="AE22" s="54">
        <f t="shared" si="10"/>
        <v>7</v>
      </c>
      <c r="AF22" s="36"/>
    </row>
    <row r="23" spans="1:32" ht="15">
      <c r="A23" s="32">
        <f t="shared" si="0"/>
        <v>20</v>
      </c>
      <c r="B23" s="23" t="s">
        <v>204</v>
      </c>
      <c r="C23" s="136" t="s">
        <v>966</v>
      </c>
      <c r="D23" s="3" t="s">
        <v>29</v>
      </c>
      <c r="E23" s="3" t="s">
        <v>1197</v>
      </c>
      <c r="F23" s="80" t="s">
        <v>446</v>
      </c>
      <c r="G23" s="80" t="s">
        <v>1086</v>
      </c>
      <c r="H23" s="27"/>
      <c r="I23" s="77" t="s">
        <v>465</v>
      </c>
      <c r="J23" s="80" t="s">
        <v>475</v>
      </c>
      <c r="K23" s="80" t="s">
        <v>484</v>
      </c>
      <c r="L23" s="3">
        <v>28.917999999999999</v>
      </c>
      <c r="M23" s="80">
        <v>30</v>
      </c>
      <c r="N23" s="124" t="s">
        <v>244</v>
      </c>
      <c r="O23" s="80" t="s">
        <v>687</v>
      </c>
      <c r="P23" s="79" t="s">
        <v>212</v>
      </c>
      <c r="Q23" s="66">
        <v>45847</v>
      </c>
      <c r="R23" s="66">
        <v>45848</v>
      </c>
      <c r="S23" s="66">
        <v>45854</v>
      </c>
      <c r="T23" s="54">
        <f>MAX(0,S23-Q23)</f>
        <v>7</v>
      </c>
      <c r="U23" s="66">
        <v>45856</v>
      </c>
      <c r="V23" s="66">
        <v>45861</v>
      </c>
      <c r="W23" s="66">
        <v>45861</v>
      </c>
      <c r="X23" s="66">
        <v>45863</v>
      </c>
      <c r="Y23" s="66">
        <v>45866</v>
      </c>
      <c r="Z23" s="66">
        <v>45840</v>
      </c>
      <c r="AA23" s="66">
        <v>45867</v>
      </c>
      <c r="AB23" s="66">
        <v>45869</v>
      </c>
      <c r="AC23" s="66">
        <v>45871</v>
      </c>
      <c r="AD23" s="66">
        <v>45874</v>
      </c>
      <c r="AE23" s="54">
        <f t="shared" si="10"/>
        <v>5</v>
      </c>
      <c r="AF23" s="36"/>
    </row>
    <row r="24" spans="1:32" ht="15">
      <c r="A24" s="32">
        <f t="shared" si="0"/>
        <v>21</v>
      </c>
      <c r="B24" s="23" t="s">
        <v>204</v>
      </c>
      <c r="C24" s="136" t="s">
        <v>966</v>
      </c>
      <c r="D24" s="3" t="s">
        <v>29</v>
      </c>
      <c r="E24" s="3" t="s">
        <v>1174</v>
      </c>
      <c r="F24" s="80" t="s">
        <v>990</v>
      </c>
      <c r="G24" s="80" t="s">
        <v>991</v>
      </c>
      <c r="H24" s="80" t="s">
        <v>992</v>
      </c>
      <c r="I24" s="107" t="s">
        <v>1005</v>
      </c>
      <c r="J24" s="80" t="s">
        <v>972</v>
      </c>
      <c r="K24" s="80" t="s">
        <v>1080</v>
      </c>
      <c r="L24" s="3">
        <v>34.624000000000002</v>
      </c>
      <c r="M24" s="80">
        <v>35</v>
      </c>
      <c r="N24" s="124" t="s">
        <v>244</v>
      </c>
      <c r="O24" s="80" t="s">
        <v>687</v>
      </c>
      <c r="P24" s="79" t="s">
        <v>212</v>
      </c>
      <c r="Q24" s="66">
        <v>45842</v>
      </c>
      <c r="R24" s="66">
        <v>45845</v>
      </c>
      <c r="S24" s="66">
        <v>45852</v>
      </c>
      <c r="T24" s="54">
        <f>MAX(0,S24-Q24)</f>
        <v>10</v>
      </c>
      <c r="U24" s="66">
        <v>45854</v>
      </c>
      <c r="V24" s="66">
        <v>45856</v>
      </c>
      <c r="W24" s="66">
        <v>45856</v>
      </c>
      <c r="X24" s="66">
        <v>45858</v>
      </c>
      <c r="Y24" s="66">
        <v>45861</v>
      </c>
      <c r="Z24" s="66">
        <v>45862</v>
      </c>
      <c r="AA24" s="66">
        <v>45862</v>
      </c>
      <c r="AB24" s="66">
        <v>45866</v>
      </c>
      <c r="AC24" s="66">
        <v>45869</v>
      </c>
      <c r="AD24" s="66">
        <v>45874</v>
      </c>
      <c r="AE24" s="54">
        <f t="shared" ref="AE24" si="12">MAX(0,AD24-AB24)</f>
        <v>8</v>
      </c>
      <c r="AF24" s="36"/>
    </row>
    <row r="25" spans="1:32" ht="15">
      <c r="A25" s="32">
        <f t="shared" si="0"/>
        <v>22</v>
      </c>
      <c r="B25" s="23" t="s">
        <v>204</v>
      </c>
      <c r="C25" s="136" t="s">
        <v>966</v>
      </c>
      <c r="D25" s="3" t="s">
        <v>29</v>
      </c>
      <c r="E25" s="3" t="s">
        <v>1187</v>
      </c>
      <c r="F25" s="80" t="s">
        <v>1097</v>
      </c>
      <c r="G25" s="80" t="s">
        <v>1098</v>
      </c>
      <c r="H25" s="80" t="s">
        <v>1106</v>
      </c>
      <c r="I25" s="77" t="s">
        <v>1118</v>
      </c>
      <c r="J25" s="80" t="s">
        <v>1131</v>
      </c>
      <c r="K25" s="77" t="s">
        <v>1145</v>
      </c>
      <c r="L25" s="3">
        <v>36.276000000000003</v>
      </c>
      <c r="M25" s="107">
        <v>36</v>
      </c>
      <c r="N25" s="124" t="s">
        <v>244</v>
      </c>
      <c r="O25" s="80" t="s">
        <v>687</v>
      </c>
      <c r="P25" s="79" t="s">
        <v>212</v>
      </c>
      <c r="Q25" s="66">
        <v>45847</v>
      </c>
      <c r="R25" s="66">
        <v>45848</v>
      </c>
      <c r="S25" s="66">
        <v>45854</v>
      </c>
      <c r="T25" s="54">
        <f>MAX(0,S25-Q25)</f>
        <v>7</v>
      </c>
      <c r="U25" s="66">
        <v>45856</v>
      </c>
      <c r="V25" s="66">
        <v>45860</v>
      </c>
      <c r="W25" s="66">
        <v>45860</v>
      </c>
      <c r="X25" s="66">
        <v>45863</v>
      </c>
      <c r="Y25" s="66">
        <v>45866</v>
      </c>
      <c r="Z25" s="66">
        <v>45869</v>
      </c>
      <c r="AA25" s="66">
        <v>45869</v>
      </c>
      <c r="AB25" s="66">
        <v>45871</v>
      </c>
      <c r="AC25" s="66">
        <v>45873</v>
      </c>
      <c r="AD25" s="66">
        <v>45874</v>
      </c>
      <c r="AE25" s="54">
        <f>MAX(0,AD25-AB25)</f>
        <v>3</v>
      </c>
      <c r="AF25" s="36"/>
    </row>
    <row r="26" spans="1:32" ht="15">
      <c r="A26" s="32">
        <f t="shared" si="0"/>
        <v>23</v>
      </c>
      <c r="B26" s="23" t="s">
        <v>204</v>
      </c>
      <c r="C26" s="136" t="s">
        <v>966</v>
      </c>
      <c r="D26" s="3" t="s">
        <v>29</v>
      </c>
      <c r="E26" s="3" t="s">
        <v>1200</v>
      </c>
      <c r="F26" s="80" t="s">
        <v>1091</v>
      </c>
      <c r="G26" s="80" t="s">
        <v>1092</v>
      </c>
      <c r="H26" s="80"/>
      <c r="I26" s="77" t="s">
        <v>1114</v>
      </c>
      <c r="J26" s="80" t="s">
        <v>1128</v>
      </c>
      <c r="K26" s="77" t="s">
        <v>1140</v>
      </c>
      <c r="L26" s="3">
        <v>31.478000000000002</v>
      </c>
      <c r="M26" s="80">
        <v>31</v>
      </c>
      <c r="N26" s="124" t="s">
        <v>244</v>
      </c>
      <c r="O26" s="80" t="s">
        <v>687</v>
      </c>
      <c r="P26" s="79" t="s">
        <v>212</v>
      </c>
      <c r="Q26" s="66">
        <v>45847</v>
      </c>
      <c r="R26" s="66">
        <v>45848</v>
      </c>
      <c r="S26" s="66">
        <v>45854</v>
      </c>
      <c r="T26" s="54">
        <f t="shared" si="11"/>
        <v>7</v>
      </c>
      <c r="U26" s="66">
        <v>45856</v>
      </c>
      <c r="V26" s="66">
        <v>45860</v>
      </c>
      <c r="W26" s="66">
        <v>45860</v>
      </c>
      <c r="X26" s="66">
        <v>45861</v>
      </c>
      <c r="Y26" s="66">
        <v>45864</v>
      </c>
      <c r="Z26" s="66">
        <v>45864</v>
      </c>
      <c r="AA26" s="66">
        <v>45864</v>
      </c>
      <c r="AB26" s="66">
        <v>45866</v>
      </c>
      <c r="AC26" s="66">
        <v>45868</v>
      </c>
      <c r="AD26" s="66">
        <v>45873</v>
      </c>
      <c r="AE26" s="54">
        <f>MAX(0,AD26-AB26)</f>
        <v>7</v>
      </c>
      <c r="AF26" s="36"/>
    </row>
    <row r="27" spans="1:32" ht="15">
      <c r="A27" s="32">
        <f t="shared" si="0"/>
        <v>24</v>
      </c>
      <c r="B27" s="23" t="s">
        <v>204</v>
      </c>
      <c r="C27" s="136" t="s">
        <v>966</v>
      </c>
      <c r="D27" s="3" t="s">
        <v>29</v>
      </c>
      <c r="E27" s="3" t="s">
        <v>1167</v>
      </c>
      <c r="F27" s="80" t="s">
        <v>541</v>
      </c>
      <c r="G27" s="80" t="s">
        <v>542</v>
      </c>
      <c r="H27" s="80"/>
      <c r="I27" s="107" t="s">
        <v>592</v>
      </c>
      <c r="J27" s="80" t="s">
        <v>614</v>
      </c>
      <c r="K27" s="80" t="s">
        <v>1020</v>
      </c>
      <c r="L27" s="3">
        <v>30.541</v>
      </c>
      <c r="M27" s="80">
        <v>30</v>
      </c>
      <c r="N27" s="124" t="s">
        <v>244</v>
      </c>
      <c r="O27" s="80" t="s">
        <v>687</v>
      </c>
      <c r="P27" s="79" t="s">
        <v>212</v>
      </c>
      <c r="Q27" s="66">
        <v>45845</v>
      </c>
      <c r="R27" s="66">
        <v>45846</v>
      </c>
      <c r="S27" s="66">
        <v>45850</v>
      </c>
      <c r="T27" s="54">
        <f t="shared" si="11"/>
        <v>5</v>
      </c>
      <c r="U27" s="66">
        <v>45853</v>
      </c>
      <c r="V27" s="66">
        <v>45860</v>
      </c>
      <c r="W27" s="66">
        <v>45860</v>
      </c>
      <c r="X27" s="66">
        <v>45861</v>
      </c>
      <c r="Y27" s="66">
        <v>45864</v>
      </c>
      <c r="Z27" s="66">
        <v>45865</v>
      </c>
      <c r="AA27" s="66">
        <v>45865</v>
      </c>
      <c r="AB27" s="66">
        <v>45868</v>
      </c>
      <c r="AC27" s="66">
        <v>45867</v>
      </c>
      <c r="AD27" s="66">
        <v>45871</v>
      </c>
      <c r="AE27" s="54">
        <f>MAX(0,AD27-AB27)</f>
        <v>3</v>
      </c>
      <c r="AF27" s="36"/>
    </row>
    <row r="28" spans="1:32" ht="15">
      <c r="A28" s="32">
        <f t="shared" si="0"/>
        <v>25</v>
      </c>
      <c r="B28" s="23" t="s">
        <v>204</v>
      </c>
      <c r="C28" s="136" t="s">
        <v>966</v>
      </c>
      <c r="D28" s="3" t="s">
        <v>29</v>
      </c>
      <c r="E28" s="3" t="s">
        <v>1199</v>
      </c>
      <c r="F28" s="80" t="s">
        <v>1084</v>
      </c>
      <c r="G28" s="80" t="s">
        <v>1085</v>
      </c>
      <c r="H28" s="80" t="s">
        <v>1105</v>
      </c>
      <c r="I28" s="77" t="s">
        <v>1111</v>
      </c>
      <c r="J28" s="80" t="s">
        <v>1124</v>
      </c>
      <c r="K28" s="80" t="s">
        <v>1137</v>
      </c>
      <c r="L28" s="3">
        <v>35.69</v>
      </c>
      <c r="M28" s="107">
        <v>35</v>
      </c>
      <c r="N28" s="124" t="s">
        <v>244</v>
      </c>
      <c r="O28" s="80" t="s">
        <v>687</v>
      </c>
      <c r="P28" s="79" t="s">
        <v>212</v>
      </c>
      <c r="Q28" s="66">
        <v>45847</v>
      </c>
      <c r="R28" s="66">
        <v>45848</v>
      </c>
      <c r="S28" s="66">
        <v>45854</v>
      </c>
      <c r="T28" s="54">
        <f t="shared" ref="T28" si="13">MAX(0,S28-Q28)</f>
        <v>7</v>
      </c>
      <c r="U28" s="66">
        <v>45856</v>
      </c>
      <c r="V28" s="66">
        <v>45860</v>
      </c>
      <c r="W28" s="66">
        <v>45860</v>
      </c>
      <c r="X28" s="66">
        <v>45861</v>
      </c>
      <c r="Y28" s="66">
        <v>45864</v>
      </c>
      <c r="Z28" s="66">
        <v>45864</v>
      </c>
      <c r="AA28" s="66">
        <v>45864</v>
      </c>
      <c r="AB28" s="66">
        <v>45866</v>
      </c>
      <c r="AC28" s="66">
        <v>45868</v>
      </c>
      <c r="AD28" s="66">
        <v>45869</v>
      </c>
      <c r="AE28" s="54">
        <f t="shared" ref="AE28" si="14">MAX(0,AD28-AB28)</f>
        <v>3</v>
      </c>
      <c r="AF28" s="36"/>
    </row>
    <row r="29" spans="1:32" ht="15">
      <c r="A29" s="32">
        <f t="shared" si="0"/>
        <v>26</v>
      </c>
      <c r="B29" s="23" t="s">
        <v>204</v>
      </c>
      <c r="C29" s="136" t="s">
        <v>966</v>
      </c>
      <c r="D29" s="3" t="s">
        <v>29</v>
      </c>
      <c r="E29" s="3" t="s">
        <v>1165</v>
      </c>
      <c r="F29" s="80" t="s">
        <v>93</v>
      </c>
      <c r="G29" s="80" t="s">
        <v>94</v>
      </c>
      <c r="H29" s="80"/>
      <c r="I29" s="107" t="s">
        <v>1009</v>
      </c>
      <c r="J29" s="80" t="s">
        <v>977</v>
      </c>
      <c r="K29" s="80" t="s">
        <v>1017</v>
      </c>
      <c r="L29" s="3">
        <v>29.155000000000001</v>
      </c>
      <c r="M29" s="80">
        <v>30</v>
      </c>
      <c r="N29" s="124" t="s">
        <v>244</v>
      </c>
      <c r="O29" s="80" t="s">
        <v>687</v>
      </c>
      <c r="P29" s="79" t="s">
        <v>212</v>
      </c>
      <c r="Q29" s="66">
        <v>45845</v>
      </c>
      <c r="R29" s="66">
        <v>45846</v>
      </c>
      <c r="S29" s="66">
        <v>45850</v>
      </c>
      <c r="T29" s="54">
        <f t="shared" ref="T29:T35" si="15">MAX(0,S29-Q29)</f>
        <v>5</v>
      </c>
      <c r="U29" s="66">
        <v>45853</v>
      </c>
      <c r="V29" s="66">
        <v>45860</v>
      </c>
      <c r="W29" s="66">
        <v>45860</v>
      </c>
      <c r="X29" s="66">
        <v>45861</v>
      </c>
      <c r="Y29" s="66">
        <v>45863</v>
      </c>
      <c r="Z29" s="66">
        <v>45864</v>
      </c>
      <c r="AA29" s="66">
        <v>45864</v>
      </c>
      <c r="AB29" s="66">
        <v>45866</v>
      </c>
      <c r="AC29" s="66">
        <v>45869</v>
      </c>
      <c r="AD29" s="66">
        <v>45869</v>
      </c>
      <c r="AE29" s="54">
        <f t="shared" ref="AE29:AE37" si="16">MAX(0,AD29-AB29)</f>
        <v>3</v>
      </c>
      <c r="AF29" s="36"/>
    </row>
    <row r="30" spans="1:32" ht="15">
      <c r="A30" s="32">
        <f t="shared" si="0"/>
        <v>27</v>
      </c>
      <c r="B30" s="23" t="s">
        <v>204</v>
      </c>
      <c r="C30" s="136" t="s">
        <v>966</v>
      </c>
      <c r="D30" s="3" t="s">
        <v>29</v>
      </c>
      <c r="E30" s="3" t="s">
        <v>1198</v>
      </c>
      <c r="F30" s="80" t="s">
        <v>456</v>
      </c>
      <c r="G30" s="80" t="s">
        <v>457</v>
      </c>
      <c r="H30" s="80"/>
      <c r="I30" s="77" t="s">
        <v>470</v>
      </c>
      <c r="J30" s="5" t="s">
        <v>479</v>
      </c>
      <c r="K30" s="77" t="s">
        <v>1142</v>
      </c>
      <c r="L30" s="3">
        <v>28.347000000000001</v>
      </c>
      <c r="M30" s="107">
        <v>30</v>
      </c>
      <c r="N30" s="124" t="s">
        <v>244</v>
      </c>
      <c r="O30" s="80" t="s">
        <v>687</v>
      </c>
      <c r="P30" s="79" t="s">
        <v>212</v>
      </c>
      <c r="Q30" s="66">
        <v>45847</v>
      </c>
      <c r="R30" s="66">
        <v>45848</v>
      </c>
      <c r="S30" s="66">
        <v>45854</v>
      </c>
      <c r="T30" s="54">
        <f t="shared" si="15"/>
        <v>7</v>
      </c>
      <c r="U30" s="66">
        <v>45856</v>
      </c>
      <c r="V30" s="66">
        <v>45860</v>
      </c>
      <c r="W30" s="66">
        <v>45860</v>
      </c>
      <c r="X30" s="66">
        <v>45861</v>
      </c>
      <c r="Y30" s="66">
        <v>45864</v>
      </c>
      <c r="Z30" s="66">
        <v>45864</v>
      </c>
      <c r="AA30" s="66">
        <v>45864</v>
      </c>
      <c r="AB30" s="66">
        <v>45866</v>
      </c>
      <c r="AC30" s="66">
        <v>45869</v>
      </c>
      <c r="AD30" s="66">
        <v>45869</v>
      </c>
      <c r="AE30" s="54">
        <f t="shared" si="16"/>
        <v>3</v>
      </c>
      <c r="AF30" s="36"/>
    </row>
    <row r="31" spans="1:32" ht="15">
      <c r="A31" s="32">
        <f t="shared" si="0"/>
        <v>28</v>
      </c>
      <c r="B31" s="23" t="s">
        <v>204</v>
      </c>
      <c r="C31" s="136" t="s">
        <v>966</v>
      </c>
      <c r="D31" s="3" t="s">
        <v>29</v>
      </c>
      <c r="E31" s="3" t="s">
        <v>1173</v>
      </c>
      <c r="F31" s="80" t="s">
        <v>980</v>
      </c>
      <c r="G31" s="80" t="s">
        <v>981</v>
      </c>
      <c r="H31" s="80"/>
      <c r="I31" s="107" t="s">
        <v>1000</v>
      </c>
      <c r="J31" s="80" t="s">
        <v>967</v>
      </c>
      <c r="K31" s="80" t="s">
        <v>1010</v>
      </c>
      <c r="L31" s="3">
        <v>31.96</v>
      </c>
      <c r="M31" s="80">
        <v>32</v>
      </c>
      <c r="N31" s="124" t="s">
        <v>244</v>
      </c>
      <c r="O31" s="80" t="s">
        <v>687</v>
      </c>
      <c r="P31" s="79" t="s">
        <v>212</v>
      </c>
      <c r="Q31" s="66">
        <v>45842</v>
      </c>
      <c r="R31" s="66">
        <v>45845</v>
      </c>
      <c r="S31" s="66">
        <v>45852</v>
      </c>
      <c r="T31" s="54">
        <f t="shared" si="15"/>
        <v>10</v>
      </c>
      <c r="U31" s="66">
        <v>45854</v>
      </c>
      <c r="V31" s="66">
        <v>45859</v>
      </c>
      <c r="W31" s="66">
        <v>45859</v>
      </c>
      <c r="X31" s="66">
        <v>45859</v>
      </c>
      <c r="Y31" s="66">
        <v>45861</v>
      </c>
      <c r="Z31" s="66">
        <v>45862</v>
      </c>
      <c r="AA31" s="66">
        <v>45862</v>
      </c>
      <c r="AB31" s="66">
        <v>45866</v>
      </c>
      <c r="AC31" s="66">
        <v>45868</v>
      </c>
      <c r="AD31" s="66">
        <v>45869</v>
      </c>
      <c r="AE31" s="54">
        <f t="shared" si="16"/>
        <v>3</v>
      </c>
      <c r="AF31" s="36"/>
    </row>
    <row r="32" spans="1:32" ht="15">
      <c r="A32" s="32">
        <f t="shared" si="0"/>
        <v>29</v>
      </c>
      <c r="B32" s="23" t="s">
        <v>204</v>
      </c>
      <c r="C32" s="136" t="s">
        <v>966</v>
      </c>
      <c r="D32" s="3" t="s">
        <v>29</v>
      </c>
      <c r="E32" s="3" t="s">
        <v>1188</v>
      </c>
      <c r="F32" s="80" t="s">
        <v>388</v>
      </c>
      <c r="G32" s="5" t="s">
        <v>389</v>
      </c>
      <c r="H32" s="5" t="s">
        <v>390</v>
      </c>
      <c r="I32" s="77" t="s">
        <v>411</v>
      </c>
      <c r="J32" s="5" t="s">
        <v>426</v>
      </c>
      <c r="K32" s="5" t="s">
        <v>419</v>
      </c>
      <c r="L32" s="3">
        <v>34.667999999999999</v>
      </c>
      <c r="M32" s="107">
        <v>35</v>
      </c>
      <c r="N32" s="124" t="s">
        <v>244</v>
      </c>
      <c r="O32" s="80" t="s">
        <v>687</v>
      </c>
      <c r="P32" s="79" t="s">
        <v>212</v>
      </c>
      <c r="Q32" s="66">
        <v>45847</v>
      </c>
      <c r="R32" s="66">
        <v>45848</v>
      </c>
      <c r="S32" s="66">
        <v>45854</v>
      </c>
      <c r="T32" s="54">
        <f t="shared" si="15"/>
        <v>7</v>
      </c>
      <c r="U32" s="66">
        <v>45856</v>
      </c>
      <c r="V32" s="66">
        <v>45860</v>
      </c>
      <c r="W32" s="66">
        <v>45860</v>
      </c>
      <c r="X32" s="66">
        <v>45861</v>
      </c>
      <c r="Y32" s="66">
        <v>45864</v>
      </c>
      <c r="Z32" s="66">
        <v>45865</v>
      </c>
      <c r="AA32" s="66">
        <v>45865</v>
      </c>
      <c r="AB32" s="66">
        <v>45866</v>
      </c>
      <c r="AC32" s="66">
        <v>45869</v>
      </c>
      <c r="AD32" s="66">
        <v>45870</v>
      </c>
      <c r="AE32" s="54">
        <f t="shared" si="16"/>
        <v>4</v>
      </c>
      <c r="AF32" s="36"/>
    </row>
    <row r="33" spans="1:32" ht="15">
      <c r="A33" s="32">
        <f t="shared" si="0"/>
        <v>30</v>
      </c>
      <c r="B33" s="23" t="s">
        <v>204</v>
      </c>
      <c r="C33" s="136" t="s">
        <v>966</v>
      </c>
      <c r="D33" s="3" t="s">
        <v>29</v>
      </c>
      <c r="E33" s="3" t="s">
        <v>1172</v>
      </c>
      <c r="F33" s="80" t="s">
        <v>65</v>
      </c>
      <c r="G33" s="80" t="s">
        <v>66</v>
      </c>
      <c r="H33" s="80"/>
      <c r="I33" s="107" t="s">
        <v>128</v>
      </c>
      <c r="J33" s="80" t="s">
        <v>157</v>
      </c>
      <c r="K33" s="80" t="s">
        <v>209</v>
      </c>
      <c r="L33" s="3">
        <v>30.484999999999999</v>
      </c>
      <c r="M33" s="80">
        <v>30</v>
      </c>
      <c r="N33" s="124" t="s">
        <v>244</v>
      </c>
      <c r="O33" s="80" t="s">
        <v>687</v>
      </c>
      <c r="P33" s="79" t="s">
        <v>212</v>
      </c>
      <c r="Q33" s="66">
        <v>45842</v>
      </c>
      <c r="R33" s="66">
        <v>45845</v>
      </c>
      <c r="S33" s="66">
        <v>45852</v>
      </c>
      <c r="T33" s="54">
        <f t="shared" si="15"/>
        <v>10</v>
      </c>
      <c r="U33" s="66">
        <v>45854</v>
      </c>
      <c r="V33" s="66">
        <v>45856</v>
      </c>
      <c r="W33" s="66">
        <v>45856</v>
      </c>
      <c r="X33" s="66">
        <v>45857</v>
      </c>
      <c r="Y33" s="66">
        <v>45861</v>
      </c>
      <c r="Z33" s="66">
        <v>45862</v>
      </c>
      <c r="AA33" s="66">
        <v>45862</v>
      </c>
      <c r="AB33" s="66">
        <v>45865</v>
      </c>
      <c r="AC33" s="66">
        <v>45867</v>
      </c>
      <c r="AD33" s="66">
        <v>45870</v>
      </c>
      <c r="AE33" s="54">
        <f t="shared" si="16"/>
        <v>5</v>
      </c>
      <c r="AF33" s="36"/>
    </row>
    <row r="34" spans="1:32" ht="15">
      <c r="A34" s="32">
        <f t="shared" si="0"/>
        <v>31</v>
      </c>
      <c r="B34" s="23" t="s">
        <v>204</v>
      </c>
      <c r="C34" s="136" t="s">
        <v>966</v>
      </c>
      <c r="D34" s="3" t="s">
        <v>29</v>
      </c>
      <c r="E34" s="3" t="s">
        <v>1168</v>
      </c>
      <c r="F34" s="80" t="s">
        <v>448</v>
      </c>
      <c r="G34" s="80" t="s">
        <v>449</v>
      </c>
      <c r="H34" s="80"/>
      <c r="I34" s="107" t="s">
        <v>466</v>
      </c>
      <c r="J34" s="80" t="s">
        <v>476</v>
      </c>
      <c r="K34" s="80" t="s">
        <v>485</v>
      </c>
      <c r="L34" s="3">
        <v>29.928999999999998</v>
      </c>
      <c r="M34" s="80">
        <v>30</v>
      </c>
      <c r="N34" s="124" t="s">
        <v>244</v>
      </c>
      <c r="O34" s="80" t="s">
        <v>687</v>
      </c>
      <c r="P34" s="79" t="s">
        <v>212</v>
      </c>
      <c r="Q34" s="66">
        <v>45845</v>
      </c>
      <c r="R34" s="66">
        <v>45846</v>
      </c>
      <c r="S34" s="66">
        <v>45850</v>
      </c>
      <c r="T34" s="54">
        <f t="shared" si="15"/>
        <v>5</v>
      </c>
      <c r="U34" s="66">
        <v>45853</v>
      </c>
      <c r="V34" s="66">
        <v>45860</v>
      </c>
      <c r="W34" s="66">
        <v>45860</v>
      </c>
      <c r="X34" s="66">
        <v>45861</v>
      </c>
      <c r="Y34" s="66">
        <v>45864</v>
      </c>
      <c r="Z34" s="66">
        <v>45864</v>
      </c>
      <c r="AA34" s="66">
        <v>45864</v>
      </c>
      <c r="AB34" s="66">
        <v>45867</v>
      </c>
      <c r="AC34" s="66">
        <v>45871</v>
      </c>
      <c r="AD34" s="66">
        <v>45871</v>
      </c>
      <c r="AE34" s="54">
        <f t="shared" si="16"/>
        <v>4</v>
      </c>
      <c r="AF34" s="36"/>
    </row>
    <row r="35" spans="1:32" ht="15">
      <c r="A35" s="32">
        <f t="shared" si="0"/>
        <v>32</v>
      </c>
      <c r="B35" s="23" t="s">
        <v>204</v>
      </c>
      <c r="C35" s="136" t="s">
        <v>966</v>
      </c>
      <c r="D35" s="3" t="s">
        <v>29</v>
      </c>
      <c r="E35" s="3" t="s">
        <v>1169</v>
      </c>
      <c r="F35" s="80" t="s">
        <v>987</v>
      </c>
      <c r="G35" s="80" t="s">
        <v>988</v>
      </c>
      <c r="H35" s="80" t="s">
        <v>989</v>
      </c>
      <c r="I35" s="107" t="s">
        <v>1004</v>
      </c>
      <c r="J35" s="80" t="s">
        <v>971</v>
      </c>
      <c r="K35" s="80" t="s">
        <v>1019</v>
      </c>
      <c r="L35" s="3">
        <v>35.348999999999997</v>
      </c>
      <c r="M35" s="80">
        <v>36</v>
      </c>
      <c r="N35" s="124" t="s">
        <v>244</v>
      </c>
      <c r="O35" s="80" t="s">
        <v>687</v>
      </c>
      <c r="P35" s="79" t="s">
        <v>212</v>
      </c>
      <c r="Q35" s="66">
        <v>45845</v>
      </c>
      <c r="R35" s="66">
        <v>45846</v>
      </c>
      <c r="S35" s="66">
        <v>45850</v>
      </c>
      <c r="T35" s="54">
        <f t="shared" si="15"/>
        <v>5</v>
      </c>
      <c r="U35" s="66">
        <v>45853</v>
      </c>
      <c r="V35" s="66">
        <v>45860</v>
      </c>
      <c r="W35" s="66">
        <v>45860</v>
      </c>
      <c r="X35" s="66">
        <v>45861</v>
      </c>
      <c r="Y35" s="66">
        <v>45864</v>
      </c>
      <c r="Z35" s="66">
        <v>45865</v>
      </c>
      <c r="AA35" s="66">
        <v>45865</v>
      </c>
      <c r="AB35" s="66">
        <v>45867</v>
      </c>
      <c r="AC35" s="66">
        <v>45871</v>
      </c>
      <c r="AD35" s="66">
        <v>45871</v>
      </c>
      <c r="AE35" s="54">
        <f t="shared" si="16"/>
        <v>4</v>
      </c>
      <c r="AF35" s="36"/>
    </row>
    <row r="36" spans="1:32" ht="15">
      <c r="A36" s="32">
        <f t="shared" si="0"/>
        <v>33</v>
      </c>
      <c r="B36" s="23" t="s">
        <v>204</v>
      </c>
      <c r="C36" s="136" t="s">
        <v>966</v>
      </c>
      <c r="D36" s="3" t="s">
        <v>29</v>
      </c>
      <c r="E36" s="3" t="s">
        <v>1164</v>
      </c>
      <c r="F36" s="80" t="s">
        <v>653</v>
      </c>
      <c r="G36" s="80" t="s">
        <v>654</v>
      </c>
      <c r="H36" s="80"/>
      <c r="I36" s="107" t="s">
        <v>663</v>
      </c>
      <c r="J36" s="80" t="s">
        <v>975</v>
      </c>
      <c r="K36" s="80" t="s">
        <v>1021</v>
      </c>
      <c r="L36" s="3">
        <v>29.914000000000001</v>
      </c>
      <c r="M36" s="80">
        <v>30</v>
      </c>
      <c r="N36" s="124" t="s">
        <v>244</v>
      </c>
      <c r="O36" s="80" t="s">
        <v>687</v>
      </c>
      <c r="P36" s="79" t="s">
        <v>212</v>
      </c>
      <c r="Q36" s="66">
        <v>45845</v>
      </c>
      <c r="R36" s="66">
        <v>45846</v>
      </c>
      <c r="S36" s="66">
        <v>45850</v>
      </c>
      <c r="T36" s="54">
        <f t="shared" ref="T36" si="17">MAX(0,S36-Q36)</f>
        <v>5</v>
      </c>
      <c r="U36" s="66">
        <v>45853</v>
      </c>
      <c r="V36" s="66">
        <v>45860</v>
      </c>
      <c r="W36" s="66">
        <v>45860</v>
      </c>
      <c r="X36" s="66">
        <v>45861</v>
      </c>
      <c r="Y36" s="66">
        <v>45864</v>
      </c>
      <c r="Z36" s="66">
        <v>45865</v>
      </c>
      <c r="AA36" s="66">
        <v>45865</v>
      </c>
      <c r="AB36" s="66">
        <v>45866</v>
      </c>
      <c r="AC36" s="66">
        <v>45868</v>
      </c>
      <c r="AD36" s="66">
        <v>45871</v>
      </c>
      <c r="AE36" s="54">
        <f t="shared" si="16"/>
        <v>5</v>
      </c>
      <c r="AF36" s="36"/>
    </row>
    <row r="37" spans="1:32" ht="15" customHeight="1">
      <c r="A37" s="32">
        <f t="shared" si="0"/>
        <v>34</v>
      </c>
      <c r="B37" s="23" t="s">
        <v>204</v>
      </c>
      <c r="C37" s="136" t="s">
        <v>966</v>
      </c>
      <c r="D37" s="3" t="s">
        <v>29</v>
      </c>
      <c r="E37" s="3" t="s">
        <v>1191</v>
      </c>
      <c r="F37" s="80" t="s">
        <v>458</v>
      </c>
      <c r="G37" s="80" t="s">
        <v>459</v>
      </c>
      <c r="H37" s="80"/>
      <c r="I37" s="77" t="s">
        <v>1108</v>
      </c>
      <c r="J37" s="5" t="s">
        <v>480</v>
      </c>
      <c r="K37" s="77" t="s">
        <v>489</v>
      </c>
      <c r="L37" s="3">
        <v>30.016999999999999</v>
      </c>
      <c r="M37" s="80">
        <v>30</v>
      </c>
      <c r="N37" s="124" t="s">
        <v>244</v>
      </c>
      <c r="O37" s="80" t="s">
        <v>687</v>
      </c>
      <c r="P37" s="79" t="s">
        <v>212</v>
      </c>
      <c r="Q37" s="66">
        <v>45847</v>
      </c>
      <c r="R37" s="66">
        <v>45848</v>
      </c>
      <c r="S37" s="66">
        <v>45854</v>
      </c>
      <c r="T37" s="54">
        <f>MAX(0,S37-Q37)</f>
        <v>7</v>
      </c>
      <c r="U37" s="66">
        <v>45856</v>
      </c>
      <c r="V37" s="66">
        <v>45860</v>
      </c>
      <c r="W37" s="66">
        <v>45860</v>
      </c>
      <c r="X37" s="66">
        <v>45861</v>
      </c>
      <c r="Y37" s="66">
        <v>45866</v>
      </c>
      <c r="Z37" s="66">
        <v>45866</v>
      </c>
      <c r="AA37" s="66">
        <v>45866</v>
      </c>
      <c r="AB37" s="66">
        <v>45868</v>
      </c>
      <c r="AC37" s="66">
        <v>45870</v>
      </c>
      <c r="AD37" s="66">
        <v>45871</v>
      </c>
      <c r="AE37" s="54">
        <f t="shared" si="16"/>
        <v>3</v>
      </c>
      <c r="AF37" s="36"/>
    </row>
    <row r="40" spans="1:32">
      <c r="A40" s="30" t="s">
        <v>205</v>
      </c>
      <c r="B40" s="31"/>
      <c r="C40" s="31"/>
      <c r="D40" s="31"/>
      <c r="E40" s="31"/>
    </row>
    <row r="41" spans="1:32">
      <c r="A41" s="30" t="s">
        <v>978</v>
      </c>
      <c r="B41" s="31"/>
      <c r="C41" s="31"/>
      <c r="D41" s="31"/>
      <c r="E41" s="31"/>
    </row>
    <row r="42" spans="1:32">
      <c r="A42" s="30" t="s">
        <v>979</v>
      </c>
      <c r="B42" s="31"/>
      <c r="C42" s="31"/>
      <c r="D42" s="31"/>
      <c r="E42" s="31"/>
    </row>
    <row r="43" spans="1:32">
      <c r="A43" s="31"/>
      <c r="B43" s="31"/>
      <c r="C43" s="31"/>
      <c r="D43" s="31"/>
      <c r="E43" s="31"/>
    </row>
    <row r="58" spans="10:13" ht="13.5" thickBot="1">
      <c r="J58" s="135"/>
      <c r="K58" s="134"/>
      <c r="L58" s="134"/>
      <c r="M58" s="134"/>
    </row>
    <row r="59" spans="10:13" ht="13.5" thickBot="1">
      <c r="J59" s="135"/>
      <c r="K59" s="134"/>
      <c r="L59" s="134"/>
      <c r="M59" s="134"/>
    </row>
    <row r="60" spans="10:13" ht="15">
      <c r="J60" s="133"/>
      <c r="K60" s="133"/>
      <c r="L60" s="133"/>
      <c r="M60" s="133"/>
    </row>
  </sheetData>
  <mergeCells count="7">
    <mergeCell ref="AF2:AF3"/>
    <mergeCell ref="I2:J2"/>
    <mergeCell ref="U2:V2"/>
    <mergeCell ref="W2:X2"/>
    <mergeCell ref="Y2:Z2"/>
    <mergeCell ref="AA2:AB2"/>
    <mergeCell ref="AC2:AE2"/>
  </mergeCells>
  <conditionalFormatting sqref="B1">
    <cfRule type="duplicateValues" dxfId="1076" priority="2113"/>
    <cfRule type="duplicateValues" dxfId="1075" priority="2114"/>
    <cfRule type="duplicateValues" dxfId="1074" priority="2115"/>
    <cfRule type="duplicateValues" dxfId="1073" priority="2116"/>
  </conditionalFormatting>
  <conditionalFormatting sqref="F1:F3">
    <cfRule type="duplicateValues" dxfId="1072" priority="15244"/>
    <cfRule type="duplicateValues" dxfId="1071" priority="15245"/>
    <cfRule type="duplicateValues" dxfId="1070" priority="15246"/>
    <cfRule type="duplicateValues" dxfId="1069" priority="15247"/>
  </conditionalFormatting>
  <conditionalFormatting sqref="F1:F1048576">
    <cfRule type="duplicateValues" dxfId="1068" priority="15846"/>
  </conditionalFormatting>
  <conditionalFormatting sqref="F6">
    <cfRule type="duplicateValues" dxfId="1067" priority="15829"/>
    <cfRule type="duplicateValues" dxfId="1066" priority="15830"/>
    <cfRule type="duplicateValues" dxfId="1065" priority="15831"/>
    <cfRule type="duplicateValues" dxfId="1064" priority="15832"/>
    <cfRule type="duplicateValues" dxfId="1063" priority="15833"/>
    <cfRule type="duplicateValues" dxfId="1062" priority="15834"/>
    <cfRule type="duplicateValues" dxfId="1061" priority="15835"/>
    <cfRule type="duplicateValues" dxfId="1060" priority="15836"/>
    <cfRule type="duplicateValues" dxfId="1059" priority="15837"/>
    <cfRule type="duplicateValues" dxfId="1058" priority="15838"/>
    <cfRule type="duplicateValues" dxfId="1057" priority="15839"/>
    <cfRule type="duplicateValues" dxfId="1056" priority="15840"/>
    <cfRule type="duplicateValues" dxfId="1055" priority="15841"/>
    <cfRule type="duplicateValues" dxfId="1054" priority="15842"/>
    <cfRule type="duplicateValues" dxfId="1053" priority="15843"/>
    <cfRule type="duplicateValues" dxfId="1052" priority="15844"/>
    <cfRule type="duplicateValues" dxfId="1051" priority="15845"/>
  </conditionalFormatting>
  <conditionalFormatting sqref="F7 F24 F29 F4 F17:F18 F31 F27 F33:F36">
    <cfRule type="duplicateValues" dxfId="1050" priority="23360"/>
  </conditionalFormatting>
  <conditionalFormatting sqref="F7">
    <cfRule type="duplicateValues" dxfId="1049" priority="15255"/>
    <cfRule type="duplicateValues" dxfId="1048" priority="15256"/>
    <cfRule type="duplicateValues" dxfId="1047" priority="15257"/>
    <cfRule type="duplicateValues" dxfId="1046" priority="15258"/>
    <cfRule type="duplicateValues" dxfId="1045" priority="15259"/>
    <cfRule type="duplicateValues" dxfId="1044" priority="15260"/>
    <cfRule type="duplicateValues" dxfId="1043" priority="15261"/>
    <cfRule type="duplicateValues" dxfId="1042" priority="15262"/>
    <cfRule type="duplicateValues" dxfId="1041" priority="15263"/>
    <cfRule type="duplicateValues" dxfId="1040" priority="15264"/>
    <cfRule type="duplicateValues" dxfId="1039" priority="15265"/>
    <cfRule type="duplicateValues" dxfId="1038" priority="15266"/>
    <cfRule type="duplicateValues" dxfId="1037" priority="15267"/>
    <cfRule type="duplicateValues" dxfId="1036" priority="15268"/>
    <cfRule type="duplicateValues" dxfId="1035" priority="15269"/>
    <cfRule type="duplicateValues" dxfId="1034" priority="15270"/>
  </conditionalFormatting>
  <conditionalFormatting sqref="F8">
    <cfRule type="duplicateValues" dxfId="1033" priority="15812"/>
    <cfRule type="duplicateValues" dxfId="1032" priority="15813"/>
    <cfRule type="duplicateValues" dxfId="1031" priority="15814"/>
    <cfRule type="duplicateValues" dxfId="1030" priority="15815"/>
    <cfRule type="duplicateValues" dxfId="1029" priority="15816"/>
    <cfRule type="duplicateValues" dxfId="1028" priority="15817"/>
    <cfRule type="duplicateValues" dxfId="1027" priority="15818"/>
    <cfRule type="duplicateValues" dxfId="1026" priority="15819"/>
    <cfRule type="duplicateValues" dxfId="1025" priority="15820"/>
    <cfRule type="duplicateValues" dxfId="1024" priority="15821"/>
    <cfRule type="duplicateValues" dxfId="1023" priority="15822"/>
    <cfRule type="duplicateValues" dxfId="1022" priority="15823"/>
    <cfRule type="duplicateValues" dxfId="1021" priority="15824"/>
    <cfRule type="duplicateValues" dxfId="1020" priority="15825"/>
    <cfRule type="duplicateValues" dxfId="1019" priority="15826"/>
    <cfRule type="duplicateValues" dxfId="1018" priority="15827"/>
    <cfRule type="duplicateValues" dxfId="1017" priority="15828"/>
  </conditionalFormatting>
  <conditionalFormatting sqref="F9">
    <cfRule type="duplicateValues" dxfId="1016" priority="15478"/>
    <cfRule type="duplicateValues" dxfId="1015" priority="15479"/>
    <cfRule type="duplicateValues" dxfId="1014" priority="15480"/>
  </conditionalFormatting>
  <conditionalFormatting sqref="F11:F12">
    <cfRule type="duplicateValues" dxfId="1013" priority="15248"/>
    <cfRule type="duplicateValues" dxfId="1012" priority="15249"/>
    <cfRule type="duplicateValues" dxfId="1011" priority="15250"/>
    <cfRule type="duplicateValues" dxfId="1010" priority="15251"/>
    <cfRule type="duplicateValues" dxfId="1009" priority="15252"/>
    <cfRule type="duplicateValues" dxfId="1008" priority="15253"/>
    <cfRule type="duplicateValues" dxfId="1007" priority="15254"/>
  </conditionalFormatting>
  <conditionalFormatting sqref="F13 F37 F5">
    <cfRule type="duplicateValues" dxfId="1006" priority="15271"/>
  </conditionalFormatting>
  <conditionalFormatting sqref="F13">
    <cfRule type="duplicateValues" dxfId="1005" priority="15386"/>
    <cfRule type="duplicateValues" dxfId="1004" priority="15387"/>
    <cfRule type="duplicateValues" dxfId="1003" priority="15388"/>
    <cfRule type="duplicateValues" dxfId="1002" priority="15389"/>
    <cfRule type="duplicateValues" dxfId="1001" priority="15390"/>
    <cfRule type="duplicateValues" dxfId="1000" priority="15391"/>
  </conditionalFormatting>
  <conditionalFormatting sqref="F14">
    <cfRule type="duplicateValues" dxfId="999" priority="15410"/>
    <cfRule type="duplicateValues" dxfId="998" priority="15411"/>
    <cfRule type="duplicateValues" dxfId="997" priority="15412"/>
    <cfRule type="duplicateValues" dxfId="996" priority="15413"/>
    <cfRule type="duplicateValues" dxfId="995" priority="15414"/>
    <cfRule type="duplicateValues" dxfId="994" priority="15415"/>
    <cfRule type="duplicateValues" dxfId="993" priority="15416"/>
    <cfRule type="duplicateValues" dxfId="992" priority="15417"/>
    <cfRule type="duplicateValues" dxfId="991" priority="15418"/>
    <cfRule type="duplicateValues" dxfId="990" priority="15419"/>
    <cfRule type="duplicateValues" dxfId="989" priority="15420"/>
    <cfRule type="duplicateValues" dxfId="988" priority="15421"/>
    <cfRule type="duplicateValues" dxfId="987" priority="15422"/>
    <cfRule type="duplicateValues" dxfId="986" priority="15423"/>
    <cfRule type="duplicateValues" dxfId="985" priority="15424"/>
    <cfRule type="duplicateValues" dxfId="984" priority="15425"/>
    <cfRule type="duplicateValues" dxfId="983" priority="15426"/>
    <cfRule type="duplicateValues" dxfId="982" priority="15427"/>
    <cfRule type="duplicateValues" dxfId="981" priority="15428"/>
    <cfRule type="duplicateValues" dxfId="980" priority="15429"/>
    <cfRule type="duplicateValues" dxfId="979" priority="15430"/>
    <cfRule type="duplicateValues" dxfId="978" priority="15431"/>
    <cfRule type="duplicateValues" dxfId="977" priority="15432"/>
    <cfRule type="duplicateValues" dxfId="976" priority="15433"/>
    <cfRule type="duplicateValues" dxfId="975" priority="15434"/>
    <cfRule type="duplicateValues" dxfId="974" priority="15435"/>
    <cfRule type="duplicateValues" dxfId="973" priority="15436"/>
    <cfRule type="duplicateValues" dxfId="972" priority="15437"/>
    <cfRule type="duplicateValues" dxfId="971" priority="15438"/>
    <cfRule type="duplicateValues" dxfId="970" priority="15439"/>
    <cfRule type="duplicateValues" dxfId="969" priority="15440"/>
    <cfRule type="duplicateValues" dxfId="968" priority="15441"/>
    <cfRule type="duplicateValues" dxfId="967" priority="15442"/>
    <cfRule type="duplicateValues" dxfId="966" priority="15443"/>
    <cfRule type="duplicateValues" dxfId="965" priority="15444"/>
    <cfRule type="duplicateValues" dxfId="964" priority="15445"/>
    <cfRule type="duplicateValues" dxfId="963" priority="15446"/>
    <cfRule type="duplicateValues" dxfId="962" priority="15447"/>
    <cfRule type="duplicateValues" dxfId="961" priority="15448"/>
    <cfRule type="duplicateValues" dxfId="960" priority="15449"/>
    <cfRule type="duplicateValues" dxfId="959" priority="15450"/>
    <cfRule type="duplicateValues" dxfId="958" priority="15451"/>
    <cfRule type="duplicateValues" dxfId="957" priority="15452"/>
    <cfRule type="duplicateValues" dxfId="956" priority="15453"/>
    <cfRule type="duplicateValues" dxfId="955" priority="15454"/>
    <cfRule type="duplicateValues" dxfId="954" priority="15455"/>
    <cfRule type="duplicateValues" dxfId="953" priority="15456"/>
    <cfRule type="duplicateValues" dxfId="952" priority="15457"/>
    <cfRule type="duplicateValues" dxfId="951" priority="15458"/>
    <cfRule type="duplicateValues" dxfId="950" priority="15459"/>
    <cfRule type="duplicateValues" dxfId="949" priority="15460"/>
    <cfRule type="duplicateValues" dxfId="948" priority="15461"/>
    <cfRule type="duplicateValues" dxfId="947" priority="15462"/>
    <cfRule type="duplicateValues" dxfId="946" priority="15463"/>
  </conditionalFormatting>
  <conditionalFormatting sqref="F15">
    <cfRule type="duplicateValues" dxfId="945" priority="15464"/>
    <cfRule type="duplicateValues" dxfId="944" priority="15465"/>
    <cfRule type="duplicateValues" dxfId="943" priority="15466"/>
    <cfRule type="duplicateValues" dxfId="942" priority="15467"/>
    <cfRule type="duplicateValues" dxfId="941" priority="15468"/>
    <cfRule type="duplicateValues" dxfId="940" priority="15469"/>
    <cfRule type="duplicateValues" dxfId="939" priority="15470"/>
    <cfRule type="duplicateValues" dxfId="938" priority="15471"/>
  </conditionalFormatting>
  <conditionalFormatting sqref="F19">
    <cfRule type="duplicateValues" dxfId="937" priority="15578"/>
    <cfRule type="duplicateValues" dxfId="936" priority="15579"/>
    <cfRule type="duplicateValues" dxfId="935" priority="15580"/>
    <cfRule type="duplicateValues" dxfId="934" priority="15581"/>
    <cfRule type="duplicateValues" dxfId="933" priority="15582"/>
    <cfRule type="duplicateValues" dxfId="932" priority="15583"/>
    <cfRule type="duplicateValues" dxfId="931" priority="15584"/>
  </conditionalFormatting>
  <conditionalFormatting sqref="F20 F10:F12">
    <cfRule type="duplicateValues" dxfId="930" priority="15566"/>
    <cfRule type="duplicateValues" dxfId="929" priority="15567"/>
    <cfRule type="duplicateValues" dxfId="928" priority="15568"/>
    <cfRule type="duplicateValues" dxfId="927" priority="15569"/>
    <cfRule type="duplicateValues" dxfId="926" priority="15570"/>
    <cfRule type="duplicateValues" dxfId="925" priority="15571"/>
  </conditionalFormatting>
  <conditionalFormatting sqref="F21 G20 G10">
    <cfRule type="duplicateValues" dxfId="924" priority="15040"/>
    <cfRule type="duplicateValues" dxfId="923" priority="15041"/>
    <cfRule type="duplicateValues" dxfId="922" priority="15042"/>
  </conditionalFormatting>
  <conditionalFormatting sqref="F21">
    <cfRule type="duplicateValues" dxfId="921" priority="15540"/>
    <cfRule type="duplicateValues" dxfId="920" priority="15541"/>
    <cfRule type="duplicateValues" dxfId="919" priority="15542"/>
    <cfRule type="duplicateValues" dxfId="918" priority="15543"/>
    <cfRule type="duplicateValues" dxfId="917" priority="15544"/>
    <cfRule type="duplicateValues" dxfId="916" priority="15545"/>
  </conditionalFormatting>
  <conditionalFormatting sqref="F22">
    <cfRule type="duplicateValues" dxfId="915" priority="15392"/>
    <cfRule type="duplicateValues" dxfId="914" priority="15393"/>
    <cfRule type="duplicateValues" dxfId="913" priority="15394"/>
    <cfRule type="duplicateValues" dxfId="912" priority="15395"/>
    <cfRule type="duplicateValues" dxfId="911" priority="15396"/>
    <cfRule type="containsText" dxfId="910" priority="15397" operator="containsText" text="TBA">
      <formula>NOT(ISERROR(SEARCH("TBA",F22)))</formula>
    </cfRule>
  </conditionalFormatting>
  <conditionalFormatting sqref="F23 F9 F32 F28 F37 F5 F13 F15:F16 F25:F26">
    <cfRule type="duplicateValues" dxfId="909" priority="26458"/>
  </conditionalFormatting>
  <conditionalFormatting sqref="F23 F32 F30 F28 F37 F5 F9:F13 F15:F16 F20 F25:F26">
    <cfRule type="duplicateValues" dxfId="908" priority="26795"/>
  </conditionalFormatting>
  <conditionalFormatting sqref="F23 F37 F32 F28 F16">
    <cfRule type="duplicateValues" dxfId="907" priority="15403"/>
  </conditionalFormatting>
  <conditionalFormatting sqref="F24 F29 F17:F18 F31 F4 F27 F33:F36">
    <cfRule type="duplicateValues" dxfId="906" priority="23370"/>
    <cfRule type="duplicateValues" dxfId="905" priority="23371"/>
    <cfRule type="duplicateValues" dxfId="904" priority="23372"/>
    <cfRule type="duplicateValues" dxfId="903" priority="23373"/>
    <cfRule type="duplicateValues" dxfId="902" priority="23374"/>
    <cfRule type="duplicateValues" dxfId="901" priority="23375"/>
    <cfRule type="duplicateValues" dxfId="900" priority="23376"/>
    <cfRule type="duplicateValues" dxfId="899" priority="23377"/>
    <cfRule type="duplicateValues" dxfId="898" priority="23378"/>
    <cfRule type="duplicateValues" dxfId="897" priority="23379"/>
    <cfRule type="duplicateValues" dxfId="896" priority="23380"/>
    <cfRule type="duplicateValues" dxfId="895" priority="23381"/>
    <cfRule type="duplicateValues" dxfId="894" priority="23382"/>
    <cfRule type="duplicateValues" dxfId="893" priority="23383"/>
    <cfRule type="duplicateValues" dxfId="892" priority="23384"/>
    <cfRule type="duplicateValues" dxfId="891" priority="23385"/>
  </conditionalFormatting>
  <conditionalFormatting sqref="F25">
    <cfRule type="duplicateValues" dxfId="890" priority="15555"/>
    <cfRule type="duplicateValues" dxfId="889" priority="15556"/>
    <cfRule type="duplicateValues" dxfId="888" priority="15557"/>
    <cfRule type="duplicateValues" dxfId="887" priority="15558"/>
    <cfRule type="duplicateValues" dxfId="886" priority="15559"/>
    <cfRule type="duplicateValues" dxfId="885" priority="15560"/>
  </conditionalFormatting>
  <conditionalFormatting sqref="F25:F26 F9 F15">
    <cfRule type="duplicateValues" dxfId="884" priority="23789"/>
  </conditionalFormatting>
  <conditionalFormatting sqref="F25:F26 F9">
    <cfRule type="duplicateValues" dxfId="883" priority="15553"/>
  </conditionalFormatting>
  <conditionalFormatting sqref="F26">
    <cfRule type="duplicateValues" dxfId="882" priority="15472"/>
    <cfRule type="duplicateValues" dxfId="881" priority="15473"/>
    <cfRule type="duplicateValues" dxfId="880" priority="15474"/>
    <cfRule type="duplicateValues" dxfId="879" priority="15475"/>
    <cfRule type="duplicateValues" dxfId="878" priority="15476"/>
    <cfRule type="duplicateValues" dxfId="877" priority="15477"/>
  </conditionalFormatting>
  <conditionalFormatting sqref="F28">
    <cfRule type="duplicateValues" dxfId="876" priority="15400"/>
    <cfRule type="duplicateValues" dxfId="875" priority="15401"/>
    <cfRule type="duplicateValues" dxfId="874" priority="15402"/>
  </conditionalFormatting>
  <conditionalFormatting sqref="F30">
    <cfRule type="duplicateValues" dxfId="873" priority="15481"/>
    <cfRule type="duplicateValues" dxfId="872" priority="15482"/>
    <cfRule type="duplicateValues" dxfId="871" priority="15483"/>
    <cfRule type="duplicateValues" dxfId="870" priority="15484"/>
    <cfRule type="duplicateValues" dxfId="869" priority="15485"/>
    <cfRule type="duplicateValues" dxfId="868" priority="15486"/>
    <cfRule type="duplicateValues" dxfId="867" priority="15487"/>
    <cfRule type="duplicateValues" dxfId="866" priority="15488"/>
    <cfRule type="duplicateValues" dxfId="865" priority="15489"/>
    <cfRule type="duplicateValues" dxfId="864" priority="15490"/>
    <cfRule type="duplicateValues" dxfId="863" priority="15491"/>
    <cfRule type="duplicateValues" dxfId="862" priority="15492"/>
    <cfRule type="duplicateValues" dxfId="861" priority="15493"/>
    <cfRule type="duplicateValues" dxfId="860" priority="15494"/>
    <cfRule type="duplicateValues" dxfId="859" priority="15495"/>
    <cfRule type="duplicateValues" dxfId="858" priority="15496"/>
    <cfRule type="duplicateValues" dxfId="857" priority="15497"/>
    <cfRule type="duplicateValues" dxfId="856" priority="15498"/>
    <cfRule type="duplicateValues" dxfId="855" priority="15499"/>
    <cfRule type="duplicateValues" dxfId="854" priority="15500"/>
    <cfRule type="duplicateValues" dxfId="853" priority="15501"/>
    <cfRule type="duplicateValues" dxfId="852" priority="15502"/>
    <cfRule type="duplicateValues" dxfId="851" priority="15503"/>
    <cfRule type="duplicateValues" dxfId="850" priority="15504"/>
    <cfRule type="duplicateValues" dxfId="849" priority="15505"/>
    <cfRule type="duplicateValues" dxfId="848" priority="15506"/>
    <cfRule type="duplicateValues" dxfId="847" priority="15507"/>
    <cfRule type="duplicateValues" dxfId="846" priority="15508"/>
    <cfRule type="duplicateValues" dxfId="845" priority="15509"/>
    <cfRule type="duplicateValues" dxfId="844" priority="15510"/>
    <cfRule type="duplicateValues" dxfId="843" priority="15511"/>
    <cfRule type="duplicateValues" dxfId="842" priority="15512"/>
    <cfRule type="duplicateValues" dxfId="841" priority="15513"/>
    <cfRule type="duplicateValues" dxfId="840" priority="15514"/>
    <cfRule type="duplicateValues" dxfId="839" priority="15515"/>
    <cfRule type="duplicateValues" dxfId="838" priority="15516"/>
    <cfRule type="duplicateValues" dxfId="837" priority="15517"/>
    <cfRule type="duplicateValues" dxfId="836" priority="15518"/>
    <cfRule type="duplicateValues" dxfId="835" priority="15519"/>
    <cfRule type="duplicateValues" dxfId="834" priority="15520"/>
    <cfRule type="duplicateValues" dxfId="833" priority="15521"/>
    <cfRule type="duplicateValues" dxfId="832" priority="15522"/>
    <cfRule type="duplicateValues" dxfId="831" priority="15523"/>
    <cfRule type="duplicateValues" dxfId="830" priority="15524"/>
    <cfRule type="duplicateValues" dxfId="829" priority="15525"/>
    <cfRule type="duplicateValues" dxfId="828" priority="15526"/>
    <cfRule type="duplicateValues" dxfId="827" priority="15527"/>
    <cfRule type="duplicateValues" dxfId="826" priority="15528"/>
    <cfRule type="duplicateValues" dxfId="825" priority="15529"/>
    <cfRule type="duplicateValues" dxfId="824" priority="15530"/>
    <cfRule type="duplicateValues" dxfId="823" priority="15531"/>
    <cfRule type="duplicateValues" dxfId="822" priority="15532"/>
    <cfRule type="duplicateValues" dxfId="821" priority="15533"/>
    <cfRule type="duplicateValues" dxfId="820" priority="15534"/>
    <cfRule type="duplicateValues" dxfId="819" priority="15535"/>
    <cfRule type="duplicateValues" dxfId="818" priority="15536"/>
    <cfRule type="duplicateValues" dxfId="817" priority="15537"/>
    <cfRule type="duplicateValues" dxfId="816" priority="15538"/>
    <cfRule type="duplicateValues" dxfId="815" priority="15539"/>
  </conditionalFormatting>
  <conditionalFormatting sqref="F32 F30 F37 F28 F9:F16 F20:F23 F25:F26 F5">
    <cfRule type="duplicateValues" dxfId="814" priority="26806"/>
  </conditionalFormatting>
  <conditionalFormatting sqref="F32">
    <cfRule type="duplicateValues" dxfId="813" priority="15405"/>
    <cfRule type="duplicateValues" dxfId="812" priority="15406"/>
    <cfRule type="duplicateValues" dxfId="811" priority="15407"/>
    <cfRule type="duplicateValues" dxfId="810" priority="15408"/>
    <cfRule type="duplicateValues" dxfId="809" priority="15409"/>
  </conditionalFormatting>
  <conditionalFormatting sqref="F37 F28">
    <cfRule type="duplicateValues" dxfId="808" priority="15398"/>
  </conditionalFormatting>
  <conditionalFormatting sqref="F37">
    <cfRule type="duplicateValues" dxfId="807" priority="15275"/>
    <cfRule type="duplicateValues" dxfId="806" priority="15276"/>
    <cfRule type="duplicateValues" dxfId="805" priority="15277"/>
    <cfRule type="duplicateValues" dxfId="804" priority="15278"/>
    <cfRule type="duplicateValues" dxfId="803" priority="15279"/>
    <cfRule type="duplicateValues" dxfId="802" priority="15280"/>
    <cfRule type="duplicateValues" dxfId="801" priority="15281"/>
    <cfRule type="duplicateValues" dxfId="800" priority="15282"/>
    <cfRule type="duplicateValues" dxfId="799" priority="15283"/>
    <cfRule type="duplicateValues" dxfId="798" priority="15284"/>
    <cfRule type="duplicateValues" dxfId="797" priority="15285"/>
    <cfRule type="duplicateValues" dxfId="796" priority="15286"/>
    <cfRule type="duplicateValues" dxfId="795" priority="15287"/>
    <cfRule type="duplicateValues" dxfId="794" priority="15288"/>
    <cfRule type="duplicateValues" dxfId="793" priority="15289"/>
    <cfRule type="duplicateValues" dxfId="792" priority="15290"/>
    <cfRule type="duplicateValues" dxfId="791" priority="15291"/>
    <cfRule type="duplicateValues" dxfId="790" priority="15292"/>
    <cfRule type="duplicateValues" dxfId="789" priority="15293"/>
    <cfRule type="duplicateValues" dxfId="788" priority="15294"/>
    <cfRule type="duplicateValues" dxfId="787" priority="15295"/>
    <cfRule type="duplicateValues" dxfId="786" priority="15296"/>
    <cfRule type="duplicateValues" dxfId="785" priority="15297"/>
    <cfRule type="duplicateValues" dxfId="784" priority="15298"/>
    <cfRule type="duplicateValues" dxfId="783" priority="15299"/>
    <cfRule type="duplicateValues" dxfId="782" priority="15300"/>
    <cfRule type="duplicateValues" dxfId="781" priority="15301"/>
    <cfRule type="duplicateValues" dxfId="780" priority="15302"/>
    <cfRule type="duplicateValues" dxfId="779" priority="15303"/>
    <cfRule type="duplicateValues" dxfId="778" priority="15304"/>
    <cfRule type="duplicateValues" dxfId="777" priority="15305"/>
    <cfRule type="duplicateValues" dxfId="776" priority="15306"/>
    <cfRule type="duplicateValues" dxfId="775" priority="15307"/>
    <cfRule type="duplicateValues" dxfId="774" priority="15308"/>
    <cfRule type="duplicateValues" dxfId="773" priority="15309"/>
    <cfRule type="duplicateValues" dxfId="772" priority="15310"/>
    <cfRule type="duplicateValues" dxfId="771" priority="15311"/>
    <cfRule type="duplicateValues" dxfId="770" priority="15312"/>
    <cfRule type="duplicateValues" dxfId="769" priority="15313"/>
    <cfRule type="duplicateValues" dxfId="768" priority="15314"/>
    <cfRule type="duplicateValues" dxfId="767" priority="15315"/>
    <cfRule type="duplicateValues" dxfId="766" priority="15316"/>
    <cfRule type="duplicateValues" dxfId="765" priority="15317"/>
    <cfRule type="duplicateValues" dxfId="764" priority="15318"/>
    <cfRule type="duplicateValues" dxfId="763" priority="15319"/>
    <cfRule type="duplicateValues" dxfId="762" priority="15320"/>
    <cfRule type="duplicateValues" dxfId="761" priority="15321"/>
    <cfRule type="duplicateValues" dxfId="760" priority="15322"/>
    <cfRule type="duplicateValues" dxfId="759" priority="15323"/>
    <cfRule type="duplicateValues" dxfId="758" priority="15324"/>
    <cfRule type="duplicateValues" dxfId="757" priority="15325"/>
    <cfRule type="duplicateValues" dxfId="756" priority="15326"/>
    <cfRule type="duplicateValues" dxfId="755" priority="15327"/>
    <cfRule type="duplicateValues" dxfId="754" priority="15328"/>
    <cfRule type="duplicateValues" dxfId="753" priority="15329"/>
    <cfRule type="duplicateValues" dxfId="752" priority="15330"/>
    <cfRule type="duplicateValues" dxfId="751" priority="15331"/>
    <cfRule type="duplicateValues" dxfId="750" priority="15332"/>
    <cfRule type="duplicateValues" dxfId="749" priority="15333"/>
    <cfRule type="duplicateValues" dxfId="748" priority="15334"/>
    <cfRule type="duplicateValues" dxfId="747" priority="15335"/>
    <cfRule type="duplicateValues" dxfId="746" priority="15336"/>
    <cfRule type="duplicateValues" dxfId="745" priority="15337"/>
    <cfRule type="duplicateValues" dxfId="744" priority="15338"/>
    <cfRule type="duplicateValues" dxfId="743" priority="15339"/>
    <cfRule type="duplicateValues" dxfId="742" priority="15340"/>
    <cfRule type="duplicateValues" dxfId="741" priority="15341"/>
    <cfRule type="duplicateValues" dxfId="740" priority="15342"/>
    <cfRule type="duplicateValues" dxfId="739" priority="15343"/>
    <cfRule type="duplicateValues" dxfId="738" priority="15344"/>
    <cfRule type="duplicateValues" dxfId="737" priority="15345"/>
    <cfRule type="duplicateValues" dxfId="736" priority="15346"/>
    <cfRule type="duplicateValues" dxfId="735" priority="15347"/>
    <cfRule type="duplicateValues" dxfId="734" priority="15348"/>
    <cfRule type="duplicateValues" dxfId="733" priority="15349"/>
    <cfRule type="duplicateValues" dxfId="732" priority="15350"/>
    <cfRule type="duplicateValues" dxfId="731" priority="15351"/>
    <cfRule type="duplicateValues" dxfId="730" priority="15352"/>
    <cfRule type="duplicateValues" dxfId="729" priority="15353"/>
    <cfRule type="duplicateValues" dxfId="728" priority="15354"/>
    <cfRule type="duplicateValues" dxfId="727" priority="15355"/>
    <cfRule type="duplicateValues" dxfId="726" priority="15356"/>
    <cfRule type="duplicateValues" dxfId="725" priority="15357"/>
    <cfRule type="duplicateValues" dxfId="724" priority="15358"/>
    <cfRule type="duplicateValues" dxfId="723" priority="15359"/>
    <cfRule type="duplicateValues" dxfId="722" priority="15360"/>
    <cfRule type="duplicateValues" dxfId="721" priority="15361"/>
    <cfRule type="duplicateValues" dxfId="720" priority="15362"/>
    <cfRule type="duplicateValues" dxfId="719" priority="15363"/>
    <cfRule type="duplicateValues" dxfId="718" priority="15364"/>
    <cfRule type="duplicateValues" dxfId="717" priority="15365"/>
    <cfRule type="duplicateValues" dxfId="716" priority="15366"/>
    <cfRule type="duplicateValues" dxfId="715" priority="15367"/>
    <cfRule type="duplicateValues" dxfId="714" priority="15368"/>
    <cfRule type="duplicateValues" dxfId="713" priority="15369"/>
    <cfRule type="duplicateValues" dxfId="712" priority="15370"/>
    <cfRule type="duplicateValues" dxfId="711" priority="15371"/>
    <cfRule type="duplicateValues" dxfId="710" priority="15372"/>
    <cfRule type="duplicateValues" dxfId="709" priority="15373"/>
    <cfRule type="duplicateValues" dxfId="708" priority="15374"/>
    <cfRule type="duplicateValues" dxfId="707" priority="15375"/>
    <cfRule type="duplicateValues" dxfId="706" priority="15376"/>
    <cfRule type="duplicateValues" dxfId="705" priority="15377"/>
    <cfRule type="duplicateValues" dxfId="704" priority="15378"/>
    <cfRule type="duplicateValues" dxfId="703" priority="15379"/>
    <cfRule type="duplicateValues" dxfId="702" priority="15380"/>
    <cfRule type="duplicateValues" dxfId="701" priority="15381"/>
    <cfRule type="duplicateValues" dxfId="700" priority="15382"/>
    <cfRule type="duplicateValues" dxfId="699" priority="15383"/>
    <cfRule type="duplicateValues" dxfId="698" priority="15384"/>
    <cfRule type="duplicateValues" dxfId="697" priority="15385"/>
  </conditionalFormatting>
  <conditionalFormatting sqref="F38:F1048576 F1:F3">
    <cfRule type="duplicateValues" dxfId="696" priority="15720"/>
    <cfRule type="duplicateValues" dxfId="695" priority="15724"/>
    <cfRule type="duplicateValues" dxfId="694" priority="15725"/>
    <cfRule type="duplicateValues" dxfId="693" priority="15726"/>
    <cfRule type="duplicateValues" dxfId="692" priority="15727"/>
    <cfRule type="duplicateValues" dxfId="691" priority="15728"/>
    <cfRule type="duplicateValues" dxfId="690" priority="15729"/>
    <cfRule type="duplicateValues" dxfId="689" priority="15730"/>
    <cfRule type="duplicateValues" dxfId="688" priority="15731"/>
    <cfRule type="duplicateValues" dxfId="687" priority="15732"/>
  </conditionalFormatting>
  <conditionalFormatting sqref="F38:F1048576">
    <cfRule type="duplicateValues" dxfId="686" priority="15722"/>
  </conditionalFormatting>
  <conditionalFormatting sqref="G6">
    <cfRule type="duplicateValues" dxfId="685" priority="165"/>
    <cfRule type="duplicateValues" dxfId="684" priority="166"/>
    <cfRule type="duplicateValues" dxfId="683" priority="167"/>
  </conditionalFormatting>
  <conditionalFormatting sqref="G7">
    <cfRule type="duplicateValues" dxfId="682" priority="1003"/>
    <cfRule type="duplicateValues" dxfId="681" priority="1004"/>
    <cfRule type="duplicateValues" dxfId="680" priority="1005"/>
  </conditionalFormatting>
  <conditionalFormatting sqref="G8">
    <cfRule type="duplicateValues" dxfId="679" priority="203"/>
    <cfRule type="duplicateValues" dxfId="678" priority="204"/>
    <cfRule type="duplicateValues" dxfId="677" priority="205"/>
  </conditionalFormatting>
  <conditionalFormatting sqref="G9">
    <cfRule type="duplicateValues" dxfId="676" priority="549"/>
    <cfRule type="duplicateValues" dxfId="675" priority="550"/>
    <cfRule type="duplicateValues" dxfId="674" priority="551"/>
  </conditionalFormatting>
  <conditionalFormatting sqref="G11">
    <cfRule type="duplicateValues" dxfId="673" priority="478"/>
    <cfRule type="duplicateValues" dxfId="672" priority="479"/>
    <cfRule type="duplicateValues" dxfId="671" priority="480"/>
    <cfRule type="duplicateValues" dxfId="670" priority="481"/>
  </conditionalFormatting>
  <conditionalFormatting sqref="G12">
    <cfRule type="duplicateValues" dxfId="669" priority="470"/>
    <cfRule type="duplicateValues" dxfId="668" priority="471"/>
    <cfRule type="duplicateValues" dxfId="667" priority="472"/>
    <cfRule type="duplicateValues" dxfId="666" priority="473"/>
    <cfRule type="duplicateValues" dxfId="665" priority="474"/>
    <cfRule type="duplicateValues" dxfId="664" priority="475"/>
    <cfRule type="duplicateValues" dxfId="663" priority="476"/>
    <cfRule type="duplicateValues" dxfId="662" priority="477"/>
  </conditionalFormatting>
  <conditionalFormatting sqref="G13">
    <cfRule type="duplicateValues" dxfId="661" priority="697"/>
    <cfRule type="duplicateValues" dxfId="660" priority="698"/>
    <cfRule type="duplicateValues" dxfId="659" priority="699"/>
    <cfRule type="duplicateValues" dxfId="658" priority="700"/>
    <cfRule type="duplicateValues" dxfId="657" priority="701"/>
    <cfRule type="duplicateValues" dxfId="656" priority="702"/>
    <cfRule type="duplicateValues" dxfId="655" priority="703"/>
  </conditionalFormatting>
  <conditionalFormatting sqref="G14">
    <cfRule type="duplicateValues" dxfId="654" priority="496"/>
    <cfRule type="duplicateValues" dxfId="653" priority="497"/>
    <cfRule type="duplicateValues" dxfId="652" priority="555"/>
  </conditionalFormatting>
  <conditionalFormatting sqref="G15">
    <cfRule type="duplicateValues" dxfId="651" priority="556"/>
    <cfRule type="duplicateValues" dxfId="650" priority="557"/>
  </conditionalFormatting>
  <conditionalFormatting sqref="G19">
    <cfRule type="duplicateValues" dxfId="649" priority="230"/>
    <cfRule type="duplicateValues" dxfId="648" priority="231"/>
    <cfRule type="duplicateValues" dxfId="647" priority="232"/>
    <cfRule type="duplicateValues" dxfId="646" priority="233"/>
    <cfRule type="duplicateValues" dxfId="645" priority="234"/>
    <cfRule type="duplicateValues" dxfId="644" priority="235"/>
    <cfRule type="duplicateValues" dxfId="643" priority="236"/>
    <cfRule type="duplicateValues" dxfId="642" priority="237"/>
    <cfRule type="duplicateValues" dxfId="641" priority="238"/>
  </conditionalFormatting>
  <conditionalFormatting sqref="G21">
    <cfRule type="duplicateValues" dxfId="640" priority="482"/>
    <cfRule type="duplicateValues" dxfId="639" priority="483"/>
    <cfRule type="duplicateValues" dxfId="638" priority="484"/>
    <cfRule type="duplicateValues" dxfId="637" priority="693"/>
  </conditionalFormatting>
  <conditionalFormatting sqref="G22">
    <cfRule type="duplicateValues" dxfId="636" priority="673"/>
    <cfRule type="duplicateValues" dxfId="635" priority="674"/>
    <cfRule type="duplicateValues" dxfId="634" priority="675"/>
    <cfRule type="duplicateValues" dxfId="633" priority="676"/>
    <cfRule type="duplicateValues" dxfId="632" priority="677"/>
    <cfRule type="duplicateValues" dxfId="631" priority="678"/>
  </conditionalFormatting>
  <conditionalFormatting sqref="G24 G29 G17:G18 G31 G4 G27 G33:G36">
    <cfRule type="duplicateValues" dxfId="630" priority="23550"/>
    <cfRule type="duplicateValues" dxfId="629" priority="23551"/>
    <cfRule type="duplicateValues" dxfId="628" priority="23552"/>
  </conditionalFormatting>
  <conditionalFormatting sqref="G25">
    <cfRule type="duplicateValues" dxfId="627" priority="553"/>
    <cfRule type="duplicateValues" dxfId="626" priority="554"/>
  </conditionalFormatting>
  <conditionalFormatting sqref="G26">
    <cfRule type="duplicateValues" dxfId="625" priority="552"/>
  </conditionalFormatting>
  <conditionalFormatting sqref="G28">
    <cfRule type="duplicateValues" dxfId="624" priority="688"/>
    <cfRule type="duplicateValues" dxfId="623" priority="689"/>
  </conditionalFormatting>
  <conditionalFormatting sqref="G30">
    <cfRule type="duplicateValues" dxfId="622" priority="491"/>
    <cfRule type="duplicateValues" dxfId="621" priority="492"/>
  </conditionalFormatting>
  <conditionalFormatting sqref="G32 G30 G37 G28 G9:G16 G20:G23 G25:G26 G5">
    <cfRule type="duplicateValues" dxfId="620" priority="26815"/>
  </conditionalFormatting>
  <conditionalFormatting sqref="G32">
    <cfRule type="duplicateValues" dxfId="619" priority="680"/>
    <cfRule type="duplicateValues" dxfId="618" priority="681"/>
  </conditionalFormatting>
  <conditionalFormatting sqref="G37">
    <cfRule type="duplicateValues" dxfId="617" priority="560"/>
    <cfRule type="duplicateValues" dxfId="616" priority="561"/>
    <cfRule type="duplicateValues" dxfId="615" priority="562"/>
    <cfRule type="duplicateValues" dxfId="614" priority="563"/>
    <cfRule type="duplicateValues" dxfId="613" priority="564"/>
    <cfRule type="duplicateValues" dxfId="612" priority="565"/>
    <cfRule type="duplicateValues" dxfId="611" priority="566"/>
    <cfRule type="duplicateValues" dxfId="610" priority="567"/>
    <cfRule type="duplicateValues" dxfId="609" priority="568"/>
    <cfRule type="duplicateValues" dxfId="608" priority="569"/>
    <cfRule type="duplicateValues" dxfId="607" priority="570"/>
    <cfRule type="duplicateValues" dxfId="606" priority="571"/>
    <cfRule type="duplicateValues" dxfId="605" priority="572"/>
    <cfRule type="duplicateValues" dxfId="604" priority="573"/>
    <cfRule type="duplicateValues" dxfId="603" priority="574"/>
    <cfRule type="duplicateValues" dxfId="602" priority="575"/>
    <cfRule type="duplicateValues" dxfId="601" priority="576"/>
    <cfRule type="duplicateValues" dxfId="600" priority="577"/>
    <cfRule type="duplicateValues" dxfId="599" priority="578"/>
    <cfRule type="duplicateValues" dxfId="598" priority="579"/>
    <cfRule type="duplicateValues" dxfId="597" priority="580"/>
    <cfRule type="duplicateValues" dxfId="596" priority="581"/>
    <cfRule type="duplicateValues" dxfId="595" priority="582"/>
    <cfRule type="duplicateValues" dxfId="594" priority="583"/>
    <cfRule type="duplicateValues" dxfId="593" priority="584"/>
    <cfRule type="duplicateValues" dxfId="592" priority="585"/>
    <cfRule type="duplicateValues" dxfId="591" priority="586"/>
    <cfRule type="duplicateValues" dxfId="590" priority="587"/>
    <cfRule type="duplicateValues" dxfId="589" priority="588"/>
    <cfRule type="duplicateValues" dxfId="588" priority="589"/>
    <cfRule type="duplicateValues" dxfId="587" priority="590"/>
    <cfRule type="duplicateValues" dxfId="586" priority="591"/>
    <cfRule type="duplicateValues" dxfId="585" priority="592"/>
    <cfRule type="duplicateValues" dxfId="584" priority="593"/>
    <cfRule type="duplicateValues" dxfId="583" priority="594"/>
    <cfRule type="duplicateValues" dxfId="582" priority="595"/>
    <cfRule type="duplicateValues" dxfId="581" priority="596"/>
    <cfRule type="duplicateValues" dxfId="580" priority="597"/>
    <cfRule type="duplicateValues" dxfId="579" priority="598"/>
    <cfRule type="duplicateValues" dxfId="578" priority="599"/>
    <cfRule type="duplicateValues" dxfId="577" priority="600"/>
    <cfRule type="duplicateValues" dxfId="576" priority="601"/>
    <cfRule type="duplicateValues" dxfId="575" priority="602"/>
    <cfRule type="duplicateValues" dxfId="574" priority="603"/>
    <cfRule type="duplicateValues" dxfId="573" priority="604"/>
    <cfRule type="duplicateValues" dxfId="572" priority="605"/>
    <cfRule type="duplicateValues" dxfId="571" priority="606"/>
    <cfRule type="duplicateValues" dxfId="570" priority="607"/>
    <cfRule type="duplicateValues" dxfId="569" priority="608"/>
    <cfRule type="duplicateValues" dxfId="568" priority="609"/>
    <cfRule type="duplicateValues" dxfId="567" priority="610"/>
    <cfRule type="duplicateValues" dxfId="566" priority="611"/>
    <cfRule type="duplicateValues" dxfId="565" priority="612"/>
    <cfRule type="duplicateValues" dxfId="564" priority="613"/>
    <cfRule type="duplicateValues" dxfId="563" priority="614"/>
    <cfRule type="duplicateValues" dxfId="562" priority="615"/>
    <cfRule type="duplicateValues" dxfId="561" priority="616"/>
    <cfRule type="duplicateValues" dxfId="560" priority="617"/>
    <cfRule type="duplicateValues" dxfId="559" priority="618"/>
    <cfRule type="duplicateValues" dxfId="558" priority="619"/>
    <cfRule type="duplicateValues" dxfId="557" priority="620"/>
    <cfRule type="duplicateValues" dxfId="556" priority="621"/>
    <cfRule type="duplicateValues" dxfId="555" priority="622"/>
    <cfRule type="duplicateValues" dxfId="554" priority="623"/>
    <cfRule type="duplicateValues" dxfId="553" priority="624"/>
    <cfRule type="duplicateValues" dxfId="552" priority="625"/>
    <cfRule type="duplicateValues" dxfId="551" priority="626"/>
    <cfRule type="duplicateValues" dxfId="550" priority="627"/>
    <cfRule type="duplicateValues" dxfId="549" priority="628"/>
    <cfRule type="duplicateValues" dxfId="548" priority="629"/>
    <cfRule type="duplicateValues" dxfId="547" priority="630"/>
    <cfRule type="duplicateValues" dxfId="546" priority="631"/>
    <cfRule type="duplicateValues" dxfId="545" priority="632"/>
    <cfRule type="duplicateValues" dxfId="544" priority="633"/>
    <cfRule type="duplicateValues" dxfId="543" priority="634"/>
    <cfRule type="duplicateValues" dxfId="542" priority="635"/>
    <cfRule type="duplicateValues" dxfId="541" priority="636"/>
    <cfRule type="duplicateValues" dxfId="540" priority="637"/>
    <cfRule type="duplicateValues" dxfId="539" priority="638"/>
    <cfRule type="duplicateValues" dxfId="538" priority="639"/>
    <cfRule type="duplicateValues" dxfId="537" priority="640"/>
    <cfRule type="duplicateValues" dxfId="536" priority="641"/>
    <cfRule type="duplicateValues" dxfId="535" priority="642"/>
    <cfRule type="duplicateValues" dxfId="534" priority="643"/>
    <cfRule type="duplicateValues" dxfId="533" priority="644"/>
    <cfRule type="duplicateValues" dxfId="532" priority="645"/>
    <cfRule type="duplicateValues" dxfId="531" priority="646"/>
    <cfRule type="duplicateValues" dxfId="530" priority="647"/>
    <cfRule type="duplicateValues" dxfId="529" priority="648"/>
    <cfRule type="duplicateValues" dxfId="528" priority="649"/>
    <cfRule type="duplicateValues" dxfId="527" priority="650"/>
    <cfRule type="duplicateValues" dxfId="526" priority="651"/>
    <cfRule type="duplicateValues" dxfId="525" priority="652"/>
    <cfRule type="duplicateValues" dxfId="524" priority="653"/>
    <cfRule type="duplicateValues" dxfId="523" priority="654"/>
    <cfRule type="duplicateValues" dxfId="522" priority="655"/>
    <cfRule type="duplicateValues" dxfId="521" priority="656"/>
    <cfRule type="duplicateValues" dxfId="520" priority="657"/>
    <cfRule type="duplicateValues" dxfId="519" priority="658"/>
    <cfRule type="duplicateValues" dxfId="518" priority="659"/>
    <cfRule type="duplicateValues" dxfId="517" priority="660"/>
    <cfRule type="duplicateValues" dxfId="516" priority="661"/>
    <cfRule type="duplicateValues" dxfId="515" priority="662"/>
    <cfRule type="duplicateValues" dxfId="514" priority="663"/>
    <cfRule type="duplicateValues" dxfId="513" priority="664"/>
    <cfRule type="duplicateValues" dxfId="512" priority="665"/>
    <cfRule type="duplicateValues" dxfId="511" priority="666"/>
    <cfRule type="duplicateValues" dxfId="510" priority="667"/>
    <cfRule type="duplicateValues" dxfId="509" priority="668"/>
    <cfRule type="duplicateValues" dxfId="508" priority="669"/>
    <cfRule type="duplicateValues" dxfId="507" priority="670"/>
    <cfRule type="duplicateValues" dxfId="506" priority="690"/>
    <cfRule type="duplicateValues" dxfId="505" priority="691"/>
    <cfRule type="duplicateValues" dxfId="504" priority="692"/>
  </conditionalFormatting>
  <conditionalFormatting sqref="G4:H4 H5:H8 G6:H19 F14:H14 F19:H29 F31:H31 G32:H37 F34:H37">
    <cfRule type="containsText" dxfId="503" priority="927" operator="containsText" text="TBA">
      <formula>NOT(ISERROR(SEARCH("TBA",F4)))</formula>
    </cfRule>
  </conditionalFormatting>
  <conditionalFormatting sqref="H5">
    <cfRule type="duplicateValues" dxfId="502" priority="459"/>
  </conditionalFormatting>
  <conditionalFormatting sqref="H6">
    <cfRule type="duplicateValues" dxfId="501" priority="168"/>
    <cfRule type="duplicateValues" dxfId="500" priority="169"/>
    <cfRule type="duplicateValues" dxfId="499" priority="170"/>
  </conditionalFormatting>
  <conditionalFormatting sqref="H7">
    <cfRule type="duplicateValues" dxfId="498" priority="1000"/>
    <cfRule type="duplicateValues" dxfId="497" priority="1001"/>
    <cfRule type="duplicateValues" dxfId="496" priority="1002"/>
  </conditionalFormatting>
  <conditionalFormatting sqref="H8">
    <cfRule type="duplicateValues" dxfId="495" priority="206"/>
    <cfRule type="duplicateValues" dxfId="494" priority="207"/>
    <cfRule type="duplicateValues" dxfId="493" priority="208"/>
  </conditionalFormatting>
  <conditionalFormatting sqref="H9">
    <cfRule type="duplicateValues" dxfId="492" priority="441"/>
    <cfRule type="duplicateValues" dxfId="491" priority="442"/>
    <cfRule type="duplicateValues" dxfId="490" priority="443"/>
  </conditionalFormatting>
  <conditionalFormatting sqref="H10">
    <cfRule type="duplicateValues" dxfId="489" priority="461"/>
    <cfRule type="duplicateValues" dxfId="488" priority="462"/>
  </conditionalFormatting>
  <conditionalFormatting sqref="H11:H12">
    <cfRule type="duplicateValues" dxfId="487" priority="432"/>
    <cfRule type="duplicateValues" dxfId="486" priority="433"/>
    <cfRule type="duplicateValues" dxfId="485" priority="434"/>
  </conditionalFormatting>
  <conditionalFormatting sqref="H13">
    <cfRule type="duplicateValues" dxfId="484" priority="464"/>
    <cfRule type="duplicateValues" dxfId="483" priority="465"/>
    <cfRule type="duplicateValues" dxfId="482" priority="466"/>
  </conditionalFormatting>
  <conditionalFormatting sqref="H15">
    <cfRule type="duplicateValues" dxfId="481" priority="448"/>
  </conditionalFormatting>
  <conditionalFormatting sqref="H19">
    <cfRule type="duplicateValues" dxfId="480" priority="225"/>
    <cfRule type="duplicateValues" dxfId="479" priority="226"/>
    <cfRule type="duplicateValues" dxfId="478" priority="227"/>
  </conditionalFormatting>
  <conditionalFormatting sqref="H23 H16">
    <cfRule type="duplicateValues" dxfId="477" priority="463"/>
  </conditionalFormatting>
  <conditionalFormatting sqref="H24 H29 H17:H18 H31 H4 H27 H33:H36">
    <cfRule type="duplicateValues" dxfId="476" priority="23577"/>
    <cfRule type="duplicateValues" dxfId="475" priority="23578"/>
    <cfRule type="duplicateValues" dxfId="474" priority="23579"/>
  </conditionalFormatting>
  <conditionalFormatting sqref="H25">
    <cfRule type="duplicateValues" dxfId="473" priority="446"/>
    <cfRule type="duplicateValues" dxfId="472" priority="447"/>
  </conditionalFormatting>
  <conditionalFormatting sqref="H26">
    <cfRule type="duplicateValues" dxfId="471" priority="445"/>
  </conditionalFormatting>
  <conditionalFormatting sqref="H28">
    <cfRule type="duplicateValues" dxfId="470" priority="455"/>
  </conditionalFormatting>
  <conditionalFormatting sqref="H30">
    <cfRule type="duplicateValues" dxfId="469" priority="439"/>
    <cfRule type="duplicateValues" dxfId="468" priority="440"/>
  </conditionalFormatting>
  <conditionalFormatting sqref="H32">
    <cfRule type="duplicateValues" dxfId="467" priority="452"/>
    <cfRule type="duplicateValues" dxfId="466" priority="453"/>
  </conditionalFormatting>
  <conditionalFormatting sqref="H37">
    <cfRule type="duplicateValues" dxfId="465" priority="449"/>
    <cfRule type="duplicateValues" dxfId="464" priority="450"/>
    <cfRule type="duplicateValues" dxfId="463" priority="456"/>
    <cfRule type="duplicateValues" dxfId="462" priority="457"/>
  </conditionalFormatting>
  <conditionalFormatting sqref="I6">
    <cfRule type="duplicateValues" dxfId="461" priority="171"/>
    <cfRule type="duplicateValues" dxfId="460" priority="172"/>
    <cfRule type="duplicateValues" dxfId="459" priority="173"/>
    <cfRule type="duplicateValues" dxfId="458" priority="174"/>
    <cfRule type="duplicateValues" dxfId="457" priority="175"/>
    <cfRule type="duplicateValues" dxfId="456" priority="176"/>
    <cfRule type="duplicateValues" dxfId="455" priority="177"/>
    <cfRule type="duplicateValues" dxfId="454" priority="178"/>
  </conditionalFormatting>
  <conditionalFormatting sqref="I7">
    <cfRule type="duplicateValues" dxfId="453" priority="980"/>
    <cfRule type="duplicateValues" dxfId="452" priority="981"/>
    <cfRule type="duplicateValues" dxfId="451" priority="982"/>
    <cfRule type="duplicateValues" dxfId="450" priority="983"/>
    <cfRule type="duplicateValues" dxfId="449" priority="984"/>
    <cfRule type="duplicateValues" dxfId="448" priority="985"/>
    <cfRule type="duplicateValues" dxfId="447" priority="986"/>
    <cfRule type="duplicateValues" dxfId="446" priority="987"/>
  </conditionalFormatting>
  <conditionalFormatting sqref="I8">
    <cfRule type="duplicateValues" dxfId="445" priority="209"/>
    <cfRule type="duplicateValues" dxfId="444" priority="210"/>
    <cfRule type="duplicateValues" dxfId="443" priority="211"/>
    <cfRule type="duplicateValues" dxfId="442" priority="212"/>
    <cfRule type="duplicateValues" dxfId="441" priority="213"/>
    <cfRule type="duplicateValues" dxfId="440" priority="214"/>
    <cfRule type="duplicateValues" dxfId="439" priority="215"/>
    <cfRule type="duplicateValues" dxfId="438" priority="216"/>
  </conditionalFormatting>
  <conditionalFormatting sqref="I19">
    <cfRule type="duplicateValues" dxfId="437" priority="222"/>
    <cfRule type="duplicateValues" dxfId="436" priority="223"/>
    <cfRule type="duplicateValues" dxfId="435" priority="224"/>
  </conditionalFormatting>
  <conditionalFormatting sqref="I24 I29 I17:I18 I31 I4 I27 I33:I36">
    <cfRule type="duplicateValues" dxfId="434" priority="23604"/>
    <cfRule type="duplicateValues" dxfId="433" priority="23605"/>
    <cfRule type="duplicateValues" dxfId="432" priority="23606"/>
    <cfRule type="duplicateValues" dxfId="431" priority="23607"/>
    <cfRule type="duplicateValues" dxfId="430" priority="23608"/>
    <cfRule type="duplicateValues" dxfId="429" priority="23609"/>
    <cfRule type="duplicateValues" dxfId="428" priority="23610"/>
    <cfRule type="duplicateValues" dxfId="427" priority="23611"/>
  </conditionalFormatting>
  <conditionalFormatting sqref="I32 I30 I37 I28 I9:I16 I20:I23 I25:I26 I5">
    <cfRule type="duplicateValues" dxfId="426" priority="26824"/>
    <cfRule type="duplicateValues" dxfId="425" priority="26825"/>
    <cfRule type="duplicateValues" dxfId="424" priority="26826"/>
  </conditionalFormatting>
  <conditionalFormatting sqref="J6">
    <cfRule type="duplicateValues" dxfId="423" priority="179"/>
  </conditionalFormatting>
  <conditionalFormatting sqref="J7 J24 J29 J4 J17:J18 J31 J27 J33:J36">
    <cfRule type="duplicateValues" dxfId="422" priority="23676"/>
  </conditionalFormatting>
  <conditionalFormatting sqref="J8">
    <cfRule type="duplicateValues" dxfId="421" priority="217"/>
  </conditionalFormatting>
  <conditionalFormatting sqref="J9">
    <cfRule type="duplicateValues" dxfId="420" priority="384"/>
    <cfRule type="duplicateValues" dxfId="419" priority="385"/>
    <cfRule type="duplicateValues" dxfId="418" priority="386"/>
    <cfRule type="duplicateValues" dxfId="417" priority="387"/>
    <cfRule type="duplicateValues" dxfId="416" priority="388"/>
    <cfRule type="duplicateValues" dxfId="415" priority="389"/>
    <cfRule type="duplicateValues" dxfId="414" priority="390"/>
    <cfRule type="duplicateValues" dxfId="413" priority="391"/>
    <cfRule type="duplicateValues" dxfId="412" priority="392"/>
    <cfRule type="duplicateValues" dxfId="411" priority="393"/>
    <cfRule type="duplicateValues" dxfId="410" priority="394"/>
    <cfRule type="duplicateValues" dxfId="409" priority="395"/>
    <cfRule type="duplicateValues" dxfId="408" priority="396"/>
  </conditionalFormatting>
  <conditionalFormatting sqref="J10">
    <cfRule type="duplicateValues" dxfId="407" priority="425"/>
    <cfRule type="duplicateValues" dxfId="406" priority="426"/>
    <cfRule type="duplicateValues" dxfId="405" priority="427"/>
    <cfRule type="duplicateValues" dxfId="404" priority="428"/>
  </conditionalFormatting>
  <conditionalFormatting sqref="J11">
    <cfRule type="duplicateValues" dxfId="403" priority="381"/>
  </conditionalFormatting>
  <conditionalFormatting sqref="J14">
    <cfRule type="duplicateValues" dxfId="402" priority="411"/>
    <cfRule type="duplicateValues" dxfId="401" priority="412"/>
    <cfRule type="duplicateValues" dxfId="400" priority="413"/>
    <cfRule type="duplicateValues" dxfId="399" priority="414"/>
    <cfRule type="duplicateValues" dxfId="398" priority="415"/>
  </conditionalFormatting>
  <conditionalFormatting sqref="J15">
    <cfRule type="duplicateValues" dxfId="397" priority="416"/>
  </conditionalFormatting>
  <conditionalFormatting sqref="J20:J21">
    <cfRule type="duplicateValues" dxfId="396" priority="15101"/>
    <cfRule type="duplicateValues" dxfId="395" priority="15102"/>
  </conditionalFormatting>
  <conditionalFormatting sqref="J22">
    <cfRule type="duplicateValues" dxfId="394" priority="418"/>
  </conditionalFormatting>
  <conditionalFormatting sqref="J25">
    <cfRule type="duplicateValues" dxfId="393" priority="398"/>
    <cfRule type="duplicateValues" dxfId="392" priority="399"/>
    <cfRule type="duplicateValues" dxfId="391" priority="400"/>
    <cfRule type="duplicateValues" dxfId="390" priority="401"/>
    <cfRule type="duplicateValues" dxfId="389" priority="402"/>
    <cfRule type="duplicateValues" dxfId="388" priority="403"/>
    <cfRule type="duplicateValues" dxfId="387" priority="404"/>
    <cfRule type="duplicateValues" dxfId="386" priority="405"/>
    <cfRule type="duplicateValues" dxfId="385" priority="406"/>
    <cfRule type="duplicateValues" dxfId="384" priority="407"/>
    <cfRule type="duplicateValues" dxfId="383" priority="408"/>
    <cfRule type="duplicateValues" dxfId="382" priority="409"/>
    <cfRule type="duplicateValues" dxfId="381" priority="410"/>
  </conditionalFormatting>
  <conditionalFormatting sqref="J26">
    <cfRule type="duplicateValues" dxfId="380" priority="397"/>
  </conditionalFormatting>
  <conditionalFormatting sqref="J28 J32:J37">
    <cfRule type="containsText" dxfId="379" priority="420" operator="containsText" text="OVERLAND">
      <formula>NOT(ISERROR(SEARCH("OVERLAND",J28)))</formula>
    </cfRule>
    <cfRule type="containsText" dxfId="378" priority="421" operator="containsText" text="TBA">
      <formula>NOT(ISERROR(SEARCH("TBA",J28)))</formula>
    </cfRule>
  </conditionalFormatting>
  <conditionalFormatting sqref="J28">
    <cfRule type="duplicateValues" dxfId="377" priority="419"/>
  </conditionalFormatting>
  <conditionalFormatting sqref="J30">
    <cfRule type="duplicateValues" dxfId="376" priority="382"/>
  </conditionalFormatting>
  <conditionalFormatting sqref="J32">
    <cfRule type="duplicateValues" dxfId="375" priority="417"/>
  </conditionalFormatting>
  <conditionalFormatting sqref="K6">
    <cfRule type="duplicateValues" dxfId="374" priority="180"/>
    <cfRule type="duplicateValues" dxfId="373" priority="181"/>
    <cfRule type="duplicateValues" dxfId="372" priority="182"/>
    <cfRule type="duplicateValues" dxfId="371" priority="183"/>
  </conditionalFormatting>
  <conditionalFormatting sqref="K7">
    <cfRule type="duplicateValues" dxfId="370" priority="971"/>
    <cfRule type="duplicateValues" dxfId="369" priority="972"/>
    <cfRule type="duplicateValues" dxfId="368" priority="973"/>
    <cfRule type="duplicateValues" dxfId="367" priority="974"/>
  </conditionalFormatting>
  <conditionalFormatting sqref="K8">
    <cfRule type="duplicateValues" dxfId="366" priority="218"/>
    <cfRule type="duplicateValues" dxfId="365" priority="219"/>
    <cfRule type="duplicateValues" dxfId="364" priority="220"/>
    <cfRule type="duplicateValues" dxfId="363" priority="221"/>
  </conditionalFormatting>
  <conditionalFormatting sqref="K22">
    <cfRule type="duplicateValues" dxfId="362" priority="377"/>
    <cfRule type="duplicateValues" dxfId="361" priority="378"/>
    <cfRule type="duplicateValues" dxfId="360" priority="379"/>
    <cfRule type="duplicateValues" dxfId="359" priority="380"/>
  </conditionalFormatting>
  <conditionalFormatting sqref="K24 K29 K17:K18 K31 K4 K27 K33:K36">
    <cfRule type="duplicateValues" dxfId="358" priority="23686"/>
    <cfRule type="duplicateValues" dxfId="357" priority="23687"/>
    <cfRule type="duplicateValues" dxfId="356" priority="23688"/>
    <cfRule type="duplicateValues" dxfId="355" priority="23689"/>
  </conditionalFormatting>
  <conditionalFormatting sqref="K32">
    <cfRule type="duplicateValues" dxfId="354" priority="373"/>
    <cfRule type="duplicateValues" dxfId="353" priority="374"/>
    <cfRule type="duplicateValues" dxfId="352" priority="375"/>
    <cfRule type="duplicateValues" dxfId="351" priority="376"/>
  </conditionalFormatting>
  <pageMargins left="0.7" right="0.7" top="0.75" bottom="0.75" header="0.3" footer="0.3"/>
  <pageSetup orientation="portrait" r:id="rId1"/>
  <ignoredErrors>
    <ignoredError sqref="J8 J9:J13" numberStoredAsText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EECC-C64F-48BE-8E1A-954ADCAE4186}">
  <dimension ref="A1:AF47"/>
  <sheetViews>
    <sheetView topLeftCell="F1" zoomScaleNormal="100" workbookViewId="0">
      <selection activeCell="N10" sqref="N10"/>
    </sheetView>
  </sheetViews>
  <sheetFormatPr defaultColWidth="9.5703125" defaultRowHeight="15" customHeight="1"/>
  <cols>
    <col min="1" max="1" width="5" style="2" customWidth="1"/>
    <col min="2" max="2" width="7.5703125" style="2" bestFit="1" customWidth="1"/>
    <col min="3" max="3" width="13.42578125" style="2" customWidth="1"/>
    <col min="4" max="4" width="10.140625" style="2" customWidth="1"/>
    <col min="5" max="5" width="20.5703125" style="2" customWidth="1"/>
    <col min="6" max="6" width="15.85546875" style="2" customWidth="1"/>
    <col min="7" max="7" width="8.85546875" style="2" customWidth="1"/>
    <col min="8" max="8" width="9.28515625" style="2" customWidth="1"/>
    <col min="9" max="9" width="28.28515625" style="2" customWidth="1"/>
    <col min="10" max="10" width="24.7109375" style="2" customWidth="1"/>
    <col min="11" max="11" width="12.28515625" style="2" customWidth="1"/>
    <col min="12" max="12" width="9" style="2" customWidth="1"/>
    <col min="13" max="13" width="9.42578125" style="2" customWidth="1"/>
    <col min="14" max="14" width="15.42578125" style="29" customWidth="1"/>
    <col min="15" max="15" width="19.85546875" style="2" customWidth="1"/>
    <col min="16" max="16" width="8.28515625" style="2" customWidth="1"/>
    <col min="17" max="17" width="10.42578125" style="59" customWidth="1"/>
    <col min="18" max="18" width="10.85546875" style="59" customWidth="1"/>
    <col min="19" max="19" width="13.140625" style="59" customWidth="1"/>
    <col min="20" max="20" width="9" style="2" customWidth="1"/>
    <col min="21" max="21" width="10.42578125" style="59" customWidth="1"/>
    <col min="22" max="22" width="12" style="59" customWidth="1"/>
    <col min="23" max="23" width="10.42578125" style="59" customWidth="1"/>
    <col min="24" max="24" width="12" style="59" customWidth="1"/>
    <col min="25" max="25" width="10.42578125" style="59" customWidth="1"/>
    <col min="26" max="26" width="12" style="59" customWidth="1"/>
    <col min="27" max="27" width="10.42578125" style="59" customWidth="1"/>
    <col min="28" max="28" width="12" style="59" customWidth="1"/>
    <col min="29" max="29" width="10.42578125" style="59" customWidth="1"/>
    <col min="30" max="30" width="13" style="59" bestFit="1" customWidth="1"/>
    <col min="31" max="31" width="9" style="2" bestFit="1" customWidth="1"/>
    <col min="32" max="32" width="10" style="2" bestFit="1" customWidth="1"/>
    <col min="33" max="16384" width="9.5703125" style="2"/>
  </cols>
  <sheetData>
    <row r="1" spans="1:32" s="1" customFormat="1" ht="15" customHeight="1">
      <c r="A1" s="9" t="s">
        <v>0</v>
      </c>
      <c r="B1" s="10"/>
      <c r="C1" s="10"/>
      <c r="D1" s="10"/>
      <c r="E1" s="10"/>
      <c r="F1" s="11"/>
      <c r="G1" s="10"/>
      <c r="H1" s="10"/>
      <c r="I1" s="10"/>
      <c r="J1" s="10"/>
      <c r="K1" s="10"/>
      <c r="L1" s="13">
        <f>SUM(L4:L40)</f>
        <v>1303.8850000000002</v>
      </c>
      <c r="M1" s="13">
        <f>SUM(M4:M40)</f>
        <v>1306</v>
      </c>
      <c r="N1" s="10"/>
      <c r="O1" s="10"/>
      <c r="P1" s="10"/>
      <c r="Q1" s="55"/>
      <c r="R1" s="55"/>
      <c r="S1" s="55"/>
      <c r="T1" s="10"/>
      <c r="U1" s="55"/>
      <c r="V1" s="55"/>
      <c r="W1" s="55"/>
      <c r="X1" s="55"/>
      <c r="Y1" s="55"/>
      <c r="Z1" s="55"/>
      <c r="AA1" s="55"/>
      <c r="AB1" s="55"/>
      <c r="AC1" s="55"/>
      <c r="AD1" s="55"/>
      <c r="AE1" s="10"/>
      <c r="AF1" s="14"/>
    </row>
    <row r="2" spans="1:32" ht="24.75" customHeight="1">
      <c r="A2" s="84" t="s">
        <v>1</v>
      </c>
      <c r="B2" s="84" t="s">
        <v>2</v>
      </c>
      <c r="C2" s="84" t="s">
        <v>3</v>
      </c>
      <c r="D2" s="84" t="s">
        <v>4</v>
      </c>
      <c r="E2" s="84" t="s">
        <v>5</v>
      </c>
      <c r="F2" s="84" t="s">
        <v>6</v>
      </c>
      <c r="G2" s="84" t="s">
        <v>7</v>
      </c>
      <c r="H2" s="84" t="s">
        <v>8</v>
      </c>
      <c r="I2" s="239" t="s">
        <v>31</v>
      </c>
      <c r="J2" s="240"/>
      <c r="K2" s="84" t="s">
        <v>9</v>
      </c>
      <c r="L2" s="84" t="s">
        <v>10</v>
      </c>
      <c r="M2" s="84" t="s">
        <v>32</v>
      </c>
      <c r="N2" s="84" t="s">
        <v>11</v>
      </c>
      <c r="O2" s="82" t="s">
        <v>12</v>
      </c>
      <c r="P2" s="18" t="s">
        <v>13</v>
      </c>
      <c r="Q2" s="81" t="s">
        <v>14</v>
      </c>
      <c r="R2" s="81"/>
      <c r="S2" s="81"/>
      <c r="T2" s="81"/>
      <c r="U2" s="238" t="s">
        <v>15</v>
      </c>
      <c r="V2" s="238"/>
      <c r="W2" s="238" t="s">
        <v>16</v>
      </c>
      <c r="X2" s="238"/>
      <c r="Y2" s="238" t="s">
        <v>17</v>
      </c>
      <c r="Z2" s="238"/>
      <c r="AA2" s="238" t="s">
        <v>18</v>
      </c>
      <c r="AB2" s="238"/>
      <c r="AC2" s="232" t="s">
        <v>19</v>
      </c>
      <c r="AD2" s="232"/>
      <c r="AE2" s="232"/>
      <c r="AF2" s="236" t="s">
        <v>28</v>
      </c>
    </row>
    <row r="3" spans="1:32" ht="15" customHeight="1">
      <c r="A3" s="85"/>
      <c r="B3" s="85"/>
      <c r="C3" s="85"/>
      <c r="D3" s="85"/>
      <c r="E3" s="85"/>
      <c r="F3" s="85"/>
      <c r="G3" s="85"/>
      <c r="H3" s="85"/>
      <c r="I3" s="17" t="s">
        <v>20</v>
      </c>
      <c r="J3" s="17" t="s">
        <v>30</v>
      </c>
      <c r="K3" s="85"/>
      <c r="L3" s="85"/>
      <c r="M3" s="85"/>
      <c r="N3" s="85"/>
      <c r="O3" s="83"/>
      <c r="P3" s="18" t="s">
        <v>21</v>
      </c>
      <c r="Q3" s="56" t="s">
        <v>22</v>
      </c>
      <c r="R3" s="56" t="s">
        <v>23</v>
      </c>
      <c r="S3" s="56" t="s">
        <v>24</v>
      </c>
      <c r="T3" s="19" t="s">
        <v>25</v>
      </c>
      <c r="U3" s="57" t="s">
        <v>22</v>
      </c>
      <c r="V3" s="57" t="s">
        <v>26</v>
      </c>
      <c r="W3" s="57" t="s">
        <v>22</v>
      </c>
      <c r="X3" s="57" t="s">
        <v>26</v>
      </c>
      <c r="Y3" s="57" t="s">
        <v>22</v>
      </c>
      <c r="Z3" s="57" t="s">
        <v>26</v>
      </c>
      <c r="AA3" s="57" t="s">
        <v>22</v>
      </c>
      <c r="AB3" s="57" t="s">
        <v>26</v>
      </c>
      <c r="AC3" s="58" t="s">
        <v>19</v>
      </c>
      <c r="AD3" s="57" t="s">
        <v>27</v>
      </c>
      <c r="AE3" s="22" t="s">
        <v>25</v>
      </c>
      <c r="AF3" s="237"/>
    </row>
    <row r="4" spans="1:32" ht="15" customHeight="1">
      <c r="A4" s="32">
        <f t="shared" ref="A4:A42" si="0">ROW()-3</f>
        <v>1</v>
      </c>
      <c r="B4" s="23" t="s">
        <v>204</v>
      </c>
      <c r="C4" s="136" t="s">
        <v>1324</v>
      </c>
      <c r="D4" s="3" t="s">
        <v>29</v>
      </c>
      <c r="E4" s="3" t="s">
        <v>1473</v>
      </c>
      <c r="F4" s="3" t="s">
        <v>1879</v>
      </c>
      <c r="G4" s="3" t="s">
        <v>1455</v>
      </c>
      <c r="H4" s="3"/>
      <c r="I4" s="3" t="s">
        <v>1456</v>
      </c>
      <c r="J4" s="68" t="s">
        <v>1457</v>
      </c>
      <c r="K4" s="23" t="s">
        <v>1476</v>
      </c>
      <c r="L4" s="23">
        <v>37.082000000000001</v>
      </c>
      <c r="M4" s="23">
        <v>37</v>
      </c>
      <c r="N4" s="3" t="s">
        <v>244</v>
      </c>
      <c r="O4" s="4" t="s">
        <v>687</v>
      </c>
      <c r="P4" s="4">
        <v>45889</v>
      </c>
      <c r="Q4" s="4">
        <v>45889</v>
      </c>
      <c r="R4" s="4">
        <v>45889</v>
      </c>
      <c r="S4" s="66">
        <v>45897</v>
      </c>
      <c r="T4" s="54">
        <f t="shared" ref="T4" si="1">MAX(0,S4-Q4)</f>
        <v>8</v>
      </c>
      <c r="U4" s="66">
        <v>45906</v>
      </c>
      <c r="V4" s="66">
        <v>45906</v>
      </c>
      <c r="W4" s="66">
        <v>45906</v>
      </c>
      <c r="X4" s="66">
        <v>45923</v>
      </c>
      <c r="Y4" s="66">
        <v>45932</v>
      </c>
      <c r="Z4" s="66">
        <v>45934</v>
      </c>
      <c r="AA4" s="66">
        <v>45934</v>
      </c>
      <c r="AB4" s="66">
        <v>45938</v>
      </c>
      <c r="AC4" s="66">
        <v>45965</v>
      </c>
      <c r="AD4" s="66">
        <v>45971</v>
      </c>
      <c r="AE4" s="54">
        <f t="shared" ref="AE4" si="2">MAX(0,AD4-AB4)</f>
        <v>33</v>
      </c>
      <c r="AF4" s="16"/>
    </row>
    <row r="5" spans="1:32" ht="14.25" customHeight="1">
      <c r="A5" s="32">
        <f t="shared" si="0"/>
        <v>2</v>
      </c>
      <c r="B5" s="23" t="s">
        <v>204</v>
      </c>
      <c r="C5" s="136" t="s">
        <v>1324</v>
      </c>
      <c r="D5" s="3" t="s">
        <v>29</v>
      </c>
      <c r="E5" s="3" t="s">
        <v>1628</v>
      </c>
      <c r="F5" s="54" t="s">
        <v>1354</v>
      </c>
      <c r="G5" s="3" t="s">
        <v>1355</v>
      </c>
      <c r="H5" s="3" t="s">
        <v>1356</v>
      </c>
      <c r="I5" s="54" t="s">
        <v>1399</v>
      </c>
      <c r="J5" s="3" t="s">
        <v>1421</v>
      </c>
      <c r="K5" s="3" t="s">
        <v>1610</v>
      </c>
      <c r="L5" s="23">
        <v>35.036999999999999</v>
      </c>
      <c r="M5" s="23">
        <v>35</v>
      </c>
      <c r="N5" s="3" t="s">
        <v>244</v>
      </c>
      <c r="O5" s="4" t="s">
        <v>687</v>
      </c>
      <c r="P5" s="4">
        <v>45899</v>
      </c>
      <c r="Q5" s="66">
        <v>45898</v>
      </c>
      <c r="R5" s="66">
        <v>45901</v>
      </c>
      <c r="S5" s="66">
        <v>45912</v>
      </c>
      <c r="T5" s="54">
        <f t="shared" ref="T5" si="3">MAX(0,S5-Q5)</f>
        <v>14</v>
      </c>
      <c r="U5" s="66">
        <v>45931</v>
      </c>
      <c r="V5" s="66">
        <v>45938</v>
      </c>
      <c r="W5" s="66">
        <v>45938</v>
      </c>
      <c r="X5" s="66">
        <v>45939</v>
      </c>
      <c r="Y5" s="66">
        <v>45942</v>
      </c>
      <c r="Z5" s="66">
        <v>45943</v>
      </c>
      <c r="AA5" s="66">
        <v>45943</v>
      </c>
      <c r="AB5" s="66">
        <v>45944</v>
      </c>
      <c r="AC5" s="66">
        <v>45945</v>
      </c>
      <c r="AD5" s="66">
        <v>45948</v>
      </c>
      <c r="AE5" s="54">
        <f t="shared" ref="AE5" si="4">MAX(0,AD5-AB5)</f>
        <v>4</v>
      </c>
      <c r="AF5" s="187">
        <f t="shared" ref="AF5:AF39" si="5">T5+AE5</f>
        <v>18</v>
      </c>
    </row>
    <row r="6" spans="1:32" ht="15.75" customHeight="1">
      <c r="A6" s="32">
        <f t="shared" si="0"/>
        <v>3</v>
      </c>
      <c r="B6" s="23" t="s">
        <v>204</v>
      </c>
      <c r="C6" s="136" t="s">
        <v>1324</v>
      </c>
      <c r="D6" s="3" t="s">
        <v>29</v>
      </c>
      <c r="E6" s="3" t="s">
        <v>1620</v>
      </c>
      <c r="F6" s="3" t="s">
        <v>1485</v>
      </c>
      <c r="G6" s="3" t="s">
        <v>1486</v>
      </c>
      <c r="H6" s="3" t="s">
        <v>1487</v>
      </c>
      <c r="I6" s="23" t="s">
        <v>1499</v>
      </c>
      <c r="J6" s="3" t="s">
        <v>1506</v>
      </c>
      <c r="K6" s="27" t="s">
        <v>1512</v>
      </c>
      <c r="L6" s="23">
        <v>35.923999999999999</v>
      </c>
      <c r="M6" s="27">
        <v>36</v>
      </c>
      <c r="N6" s="3" t="s">
        <v>244</v>
      </c>
      <c r="O6" s="4" t="s">
        <v>687</v>
      </c>
      <c r="P6" s="4">
        <v>45903</v>
      </c>
      <c r="Q6" s="4">
        <v>45903</v>
      </c>
      <c r="R6" s="66">
        <v>45911</v>
      </c>
      <c r="S6" s="158">
        <v>45919</v>
      </c>
      <c r="T6" s="54">
        <f>MAX(0,S6-Q6)</f>
        <v>16</v>
      </c>
      <c r="U6" s="158">
        <v>45922</v>
      </c>
      <c r="V6" s="158">
        <v>45924</v>
      </c>
      <c r="W6" s="158">
        <v>45924</v>
      </c>
      <c r="X6" s="66">
        <v>45926</v>
      </c>
      <c r="Y6" s="66">
        <v>45928</v>
      </c>
      <c r="Z6" s="66">
        <v>45931</v>
      </c>
      <c r="AA6" s="66">
        <v>45931</v>
      </c>
      <c r="AB6" s="66">
        <v>45938</v>
      </c>
      <c r="AC6" s="66">
        <v>45942</v>
      </c>
      <c r="AD6" s="66">
        <v>45947</v>
      </c>
      <c r="AE6" s="54">
        <f>MAX(0,AD6-AB6)</f>
        <v>9</v>
      </c>
      <c r="AF6" s="187">
        <f t="shared" si="5"/>
        <v>25</v>
      </c>
    </row>
    <row r="7" spans="1:32" ht="15" customHeight="1">
      <c r="A7" s="32">
        <f t="shared" si="0"/>
        <v>4</v>
      </c>
      <c r="B7" s="23" t="s">
        <v>204</v>
      </c>
      <c r="C7" s="136" t="s">
        <v>1324</v>
      </c>
      <c r="D7" s="3" t="s">
        <v>29</v>
      </c>
      <c r="E7" s="3" t="s">
        <v>1631</v>
      </c>
      <c r="F7" s="3" t="s">
        <v>1340</v>
      </c>
      <c r="G7" s="3" t="s">
        <v>1341</v>
      </c>
      <c r="H7" s="3" t="s">
        <v>1342</v>
      </c>
      <c r="I7" s="54" t="s">
        <v>1394</v>
      </c>
      <c r="J7" s="3" t="s">
        <v>1416</v>
      </c>
      <c r="K7" s="27" t="s">
        <v>41</v>
      </c>
      <c r="L7" s="23">
        <v>34.265000000000001</v>
      </c>
      <c r="M7" s="23">
        <v>35</v>
      </c>
      <c r="N7" s="3" t="s">
        <v>244</v>
      </c>
      <c r="O7" s="4" t="s">
        <v>687</v>
      </c>
      <c r="P7" s="4">
        <v>45899</v>
      </c>
      <c r="Q7" s="66">
        <v>45899</v>
      </c>
      <c r="R7" s="66">
        <v>45901</v>
      </c>
      <c r="S7" s="66">
        <v>45912</v>
      </c>
      <c r="T7" s="54">
        <f>MAX(0,S7-Q7)</f>
        <v>13</v>
      </c>
      <c r="U7" s="66">
        <v>45914</v>
      </c>
      <c r="V7" s="66">
        <v>45917</v>
      </c>
      <c r="W7" s="66">
        <v>45917</v>
      </c>
      <c r="X7" s="66">
        <v>45919</v>
      </c>
      <c r="Y7" s="66">
        <v>45928</v>
      </c>
      <c r="Z7" s="66">
        <v>45931</v>
      </c>
      <c r="AA7" s="66">
        <v>45931</v>
      </c>
      <c r="AB7" s="66">
        <v>45936</v>
      </c>
      <c r="AC7" s="66">
        <v>45939</v>
      </c>
      <c r="AD7" s="66">
        <v>45940</v>
      </c>
      <c r="AE7" s="54">
        <f>MAX(0,AD7-AB7)</f>
        <v>4</v>
      </c>
      <c r="AF7" s="187">
        <f t="shared" si="5"/>
        <v>17</v>
      </c>
    </row>
    <row r="8" spans="1:32" ht="15" customHeight="1">
      <c r="A8" s="32">
        <f t="shared" si="0"/>
        <v>5</v>
      </c>
      <c r="B8" s="23" t="s">
        <v>204</v>
      </c>
      <c r="C8" s="136" t="s">
        <v>1324</v>
      </c>
      <c r="D8" s="3" t="s">
        <v>29</v>
      </c>
      <c r="E8" s="3" t="s">
        <v>1624</v>
      </c>
      <c r="F8" s="3" t="s">
        <v>1349</v>
      </c>
      <c r="G8" s="3" t="s">
        <v>1350</v>
      </c>
      <c r="H8" s="3"/>
      <c r="I8" s="54" t="s">
        <v>1397</v>
      </c>
      <c r="J8" s="3" t="s">
        <v>1419</v>
      </c>
      <c r="K8" s="27" t="s">
        <v>41</v>
      </c>
      <c r="L8" s="23">
        <v>37.340000000000003</v>
      </c>
      <c r="M8" s="23">
        <v>37</v>
      </c>
      <c r="N8" s="3" t="s">
        <v>244</v>
      </c>
      <c r="O8" s="4" t="s">
        <v>687</v>
      </c>
      <c r="P8" s="4">
        <v>45903</v>
      </c>
      <c r="Q8" s="4">
        <v>45903</v>
      </c>
      <c r="R8" s="66">
        <v>45911</v>
      </c>
      <c r="S8" s="158">
        <v>45919</v>
      </c>
      <c r="T8" s="54">
        <f>MAX(0,S8-Q8)</f>
        <v>16</v>
      </c>
      <c r="U8" s="158">
        <v>45922</v>
      </c>
      <c r="V8" s="158">
        <v>45924</v>
      </c>
      <c r="W8" s="158">
        <v>45924</v>
      </c>
      <c r="X8" s="66">
        <v>45925</v>
      </c>
      <c r="Y8" s="66">
        <v>45928</v>
      </c>
      <c r="Z8" s="66">
        <v>45929</v>
      </c>
      <c r="AA8" s="66">
        <v>45929</v>
      </c>
      <c r="AB8" s="66">
        <v>45929</v>
      </c>
      <c r="AC8" s="66">
        <v>45937</v>
      </c>
      <c r="AD8" s="66">
        <v>45939</v>
      </c>
      <c r="AE8" s="54">
        <f>MAX(0,AD8-AB8)</f>
        <v>10</v>
      </c>
      <c r="AF8" s="187">
        <f t="shared" si="5"/>
        <v>26</v>
      </c>
    </row>
    <row r="9" spans="1:32" ht="15" customHeight="1">
      <c r="A9" s="32">
        <f t="shared" si="0"/>
        <v>6</v>
      </c>
      <c r="B9" s="23" t="s">
        <v>204</v>
      </c>
      <c r="C9" s="136" t="s">
        <v>1324</v>
      </c>
      <c r="D9" s="3" t="s">
        <v>29</v>
      </c>
      <c r="E9" s="3" t="s">
        <v>1617</v>
      </c>
      <c r="F9" s="3" t="s">
        <v>93</v>
      </c>
      <c r="G9" s="3" t="s">
        <v>94</v>
      </c>
      <c r="H9" s="3"/>
      <c r="I9" s="54" t="s">
        <v>1009</v>
      </c>
      <c r="J9" s="3" t="s">
        <v>977</v>
      </c>
      <c r="K9" s="3" t="s">
        <v>1017</v>
      </c>
      <c r="L9" s="23">
        <v>30.420999999999999</v>
      </c>
      <c r="M9" s="23">
        <v>30</v>
      </c>
      <c r="N9" s="3" t="s">
        <v>244</v>
      </c>
      <c r="O9" s="4" t="s">
        <v>687</v>
      </c>
      <c r="P9" s="157">
        <v>45902</v>
      </c>
      <c r="Q9" s="4">
        <v>45902</v>
      </c>
      <c r="R9" s="66">
        <v>45911</v>
      </c>
      <c r="S9" s="158">
        <v>45919</v>
      </c>
      <c r="T9" s="54">
        <f t="shared" ref="T9:T16" si="6">MAX(0,S9-Q9)</f>
        <v>17</v>
      </c>
      <c r="U9" s="158">
        <v>45922</v>
      </c>
      <c r="V9" s="158">
        <v>45924</v>
      </c>
      <c r="W9" s="158">
        <v>45924</v>
      </c>
      <c r="X9" s="66">
        <v>45928</v>
      </c>
      <c r="Y9" s="66">
        <v>45931</v>
      </c>
      <c r="Z9" s="66">
        <v>45932</v>
      </c>
      <c r="AA9" s="66">
        <v>45932</v>
      </c>
      <c r="AB9" s="66">
        <v>45934</v>
      </c>
      <c r="AC9" s="66">
        <v>45936</v>
      </c>
      <c r="AD9" s="66">
        <v>45937</v>
      </c>
      <c r="AE9" s="54">
        <f t="shared" ref="AE9:AE16" si="7">MAX(0,AD9-AB9)</f>
        <v>3</v>
      </c>
      <c r="AF9" s="187">
        <f t="shared" si="5"/>
        <v>20</v>
      </c>
    </row>
    <row r="10" spans="1:32" ht="15" customHeight="1">
      <c r="A10" s="32">
        <f t="shared" si="0"/>
        <v>7</v>
      </c>
      <c r="B10" s="23" t="s">
        <v>204</v>
      </c>
      <c r="C10" s="136" t="s">
        <v>1324</v>
      </c>
      <c r="D10" s="3" t="s">
        <v>29</v>
      </c>
      <c r="E10" s="3" t="s">
        <v>1626</v>
      </c>
      <c r="F10" s="3" t="s">
        <v>1360</v>
      </c>
      <c r="G10" s="3" t="s">
        <v>1361</v>
      </c>
      <c r="H10" s="3" t="s">
        <v>1362</v>
      </c>
      <c r="I10" s="54" t="s">
        <v>1401</v>
      </c>
      <c r="J10" s="3" t="s">
        <v>1423</v>
      </c>
      <c r="K10" s="3" t="s">
        <v>1442</v>
      </c>
      <c r="L10" s="23">
        <v>34.844000000000001</v>
      </c>
      <c r="M10" s="23">
        <v>35</v>
      </c>
      <c r="N10" s="3" t="s">
        <v>244</v>
      </c>
      <c r="O10" s="4" t="s">
        <v>687</v>
      </c>
      <c r="P10" s="4">
        <v>45911</v>
      </c>
      <c r="Q10" s="66">
        <v>45911</v>
      </c>
      <c r="R10" s="66">
        <v>45915</v>
      </c>
      <c r="S10" s="66">
        <v>45924</v>
      </c>
      <c r="T10" s="54">
        <f t="shared" si="6"/>
        <v>13</v>
      </c>
      <c r="U10" s="66">
        <v>45925</v>
      </c>
      <c r="V10" s="66">
        <v>45929</v>
      </c>
      <c r="W10" s="66">
        <v>45929</v>
      </c>
      <c r="X10" s="66">
        <v>45929</v>
      </c>
      <c r="Y10" s="66">
        <v>45931</v>
      </c>
      <c r="Z10" s="66">
        <v>45933</v>
      </c>
      <c r="AA10" s="66">
        <v>45933</v>
      </c>
      <c r="AB10" s="66">
        <v>45933</v>
      </c>
      <c r="AC10" s="66">
        <v>45935</v>
      </c>
      <c r="AD10" s="66">
        <v>45937</v>
      </c>
      <c r="AE10" s="54">
        <f t="shared" si="7"/>
        <v>4</v>
      </c>
      <c r="AF10" s="187">
        <f t="shared" si="5"/>
        <v>17</v>
      </c>
    </row>
    <row r="11" spans="1:32" ht="15" customHeight="1">
      <c r="A11" s="32">
        <f t="shared" si="0"/>
        <v>8</v>
      </c>
      <c r="B11" s="23" t="s">
        <v>204</v>
      </c>
      <c r="C11" s="136" t="s">
        <v>1324</v>
      </c>
      <c r="D11" s="3" t="s">
        <v>29</v>
      </c>
      <c r="E11" s="3" t="s">
        <v>1619</v>
      </c>
      <c r="F11" s="3" t="s">
        <v>1491</v>
      </c>
      <c r="G11" s="3" t="s">
        <v>1492</v>
      </c>
      <c r="H11" s="3"/>
      <c r="I11" s="54" t="s">
        <v>1501</v>
      </c>
      <c r="J11" s="3" t="s">
        <v>1508</v>
      </c>
      <c r="K11" s="3" t="s">
        <v>1513</v>
      </c>
      <c r="L11" s="23">
        <v>37.43</v>
      </c>
      <c r="M11" s="27">
        <v>37</v>
      </c>
      <c r="N11" s="3" t="s">
        <v>244</v>
      </c>
      <c r="O11" s="4" t="s">
        <v>687</v>
      </c>
      <c r="P11" s="4">
        <v>45902</v>
      </c>
      <c r="Q11" s="4">
        <v>45902</v>
      </c>
      <c r="R11" s="66">
        <v>45911</v>
      </c>
      <c r="S11" s="158">
        <v>45919</v>
      </c>
      <c r="T11" s="54">
        <f t="shared" si="6"/>
        <v>17</v>
      </c>
      <c r="U11" s="158">
        <v>45922</v>
      </c>
      <c r="V11" s="158">
        <v>45924</v>
      </c>
      <c r="W11" s="158">
        <v>45924</v>
      </c>
      <c r="X11" s="66">
        <v>45925</v>
      </c>
      <c r="Y11" s="66">
        <v>45928</v>
      </c>
      <c r="Z11" s="66">
        <v>45929</v>
      </c>
      <c r="AA11" s="66">
        <v>45929</v>
      </c>
      <c r="AB11" s="66">
        <v>45932</v>
      </c>
      <c r="AC11" s="66">
        <v>45935</v>
      </c>
      <c r="AD11" s="66">
        <v>45937</v>
      </c>
      <c r="AE11" s="54">
        <f t="shared" si="7"/>
        <v>5</v>
      </c>
      <c r="AF11" s="187">
        <f t="shared" si="5"/>
        <v>22</v>
      </c>
    </row>
    <row r="12" spans="1:32" ht="15" customHeight="1">
      <c r="A12" s="32">
        <f t="shared" si="0"/>
        <v>9</v>
      </c>
      <c r="B12" s="23" t="s">
        <v>204</v>
      </c>
      <c r="C12" s="136" t="s">
        <v>1324</v>
      </c>
      <c r="D12" s="3" t="s">
        <v>29</v>
      </c>
      <c r="E12" s="3" t="s">
        <v>1621</v>
      </c>
      <c r="F12" s="3" t="s">
        <v>1337</v>
      </c>
      <c r="G12" s="3" t="s">
        <v>1338</v>
      </c>
      <c r="H12" s="3" t="s">
        <v>1339</v>
      </c>
      <c r="I12" s="54" t="s">
        <v>1393</v>
      </c>
      <c r="J12" s="3" t="s">
        <v>1415</v>
      </c>
      <c r="K12" s="3" t="s">
        <v>1439</v>
      </c>
      <c r="L12" s="23">
        <v>34.948</v>
      </c>
      <c r="M12" s="23">
        <v>35</v>
      </c>
      <c r="N12" s="3" t="s">
        <v>244</v>
      </c>
      <c r="O12" s="4" t="s">
        <v>687</v>
      </c>
      <c r="P12" s="4">
        <v>45903</v>
      </c>
      <c r="Q12" s="4">
        <v>45903</v>
      </c>
      <c r="R12" s="66">
        <v>45911</v>
      </c>
      <c r="S12" s="158">
        <v>45919</v>
      </c>
      <c r="T12" s="54">
        <f t="shared" si="6"/>
        <v>16</v>
      </c>
      <c r="U12" s="158">
        <v>45922</v>
      </c>
      <c r="V12" s="66">
        <v>45927</v>
      </c>
      <c r="W12" s="66">
        <v>45927</v>
      </c>
      <c r="X12" s="66">
        <v>45925</v>
      </c>
      <c r="Y12" s="66">
        <v>45931</v>
      </c>
      <c r="Z12" s="66">
        <v>45931</v>
      </c>
      <c r="AA12" s="66">
        <v>45931</v>
      </c>
      <c r="AB12" s="66">
        <v>45932</v>
      </c>
      <c r="AC12" s="66">
        <v>45935</v>
      </c>
      <c r="AD12" s="66">
        <v>45937</v>
      </c>
      <c r="AE12" s="54">
        <f t="shared" si="7"/>
        <v>5</v>
      </c>
      <c r="AF12" s="187">
        <f t="shared" si="5"/>
        <v>21</v>
      </c>
    </row>
    <row r="13" spans="1:32" ht="15" customHeight="1">
      <c r="A13" s="32">
        <f t="shared" si="0"/>
        <v>10</v>
      </c>
      <c r="B13" s="23" t="s">
        <v>204</v>
      </c>
      <c r="C13" s="136" t="s">
        <v>1324</v>
      </c>
      <c r="D13" s="3" t="s">
        <v>29</v>
      </c>
      <c r="E13" s="3" t="s">
        <v>1614</v>
      </c>
      <c r="F13" s="3" t="s">
        <v>1477</v>
      </c>
      <c r="G13" s="3" t="s">
        <v>1478</v>
      </c>
      <c r="H13" s="3" t="s">
        <v>1479</v>
      </c>
      <c r="I13" s="23" t="s">
        <v>1496</v>
      </c>
      <c r="J13" s="23" t="s">
        <v>1503</v>
      </c>
      <c r="K13" s="23" t="s">
        <v>1510</v>
      </c>
      <c r="L13" s="23">
        <v>34.387999999999998</v>
      </c>
      <c r="M13" s="3">
        <v>35</v>
      </c>
      <c r="N13" s="3" t="s">
        <v>244</v>
      </c>
      <c r="O13" s="4" t="s">
        <v>687</v>
      </c>
      <c r="P13" s="4">
        <v>45895</v>
      </c>
      <c r="Q13" s="4">
        <v>45895</v>
      </c>
      <c r="R13" s="4">
        <v>45895</v>
      </c>
      <c r="S13" s="66">
        <v>45906</v>
      </c>
      <c r="T13" s="54">
        <f t="shared" si="6"/>
        <v>11</v>
      </c>
      <c r="U13" s="66">
        <v>45908</v>
      </c>
      <c r="V13" s="66">
        <v>45911</v>
      </c>
      <c r="W13" s="66">
        <v>45911</v>
      </c>
      <c r="X13" s="66">
        <v>45913</v>
      </c>
      <c r="Y13" s="66">
        <v>45916</v>
      </c>
      <c r="Z13" s="66">
        <v>45919</v>
      </c>
      <c r="AA13" s="66">
        <v>45919</v>
      </c>
      <c r="AB13" s="66">
        <v>45921</v>
      </c>
      <c r="AC13" s="66">
        <v>45935</v>
      </c>
      <c r="AD13" s="66">
        <v>45937</v>
      </c>
      <c r="AE13" s="54">
        <f t="shared" si="7"/>
        <v>16</v>
      </c>
      <c r="AF13" s="187">
        <f t="shared" si="5"/>
        <v>27</v>
      </c>
    </row>
    <row r="14" spans="1:32" ht="15" customHeight="1">
      <c r="A14" s="32">
        <f t="shared" si="0"/>
        <v>11</v>
      </c>
      <c r="B14" s="153" t="s">
        <v>204</v>
      </c>
      <c r="C14" s="154" t="s">
        <v>1324</v>
      </c>
      <c r="D14" s="155" t="s">
        <v>29</v>
      </c>
      <c r="E14" s="155" t="s">
        <v>1625</v>
      </c>
      <c r="F14" s="155" t="s">
        <v>69</v>
      </c>
      <c r="G14" s="155" t="s">
        <v>70</v>
      </c>
      <c r="H14" s="155" t="s">
        <v>71</v>
      </c>
      <c r="I14" s="156" t="s">
        <v>130</v>
      </c>
      <c r="J14" s="155" t="s">
        <v>159</v>
      </c>
      <c r="K14" s="155" t="s">
        <v>186</v>
      </c>
      <c r="L14" s="153">
        <v>34.844000000000001</v>
      </c>
      <c r="M14" s="153">
        <v>35</v>
      </c>
      <c r="N14" s="3" t="s">
        <v>244</v>
      </c>
      <c r="O14" s="4" t="s">
        <v>687</v>
      </c>
      <c r="P14" s="157">
        <v>45902</v>
      </c>
      <c r="Q14" s="157">
        <v>45902</v>
      </c>
      <c r="R14" s="158">
        <v>45911</v>
      </c>
      <c r="S14" s="158">
        <v>45919</v>
      </c>
      <c r="T14" s="156">
        <f t="shared" si="6"/>
        <v>17</v>
      </c>
      <c r="U14" s="158">
        <v>45922</v>
      </c>
      <c r="V14" s="158">
        <v>45924</v>
      </c>
      <c r="W14" s="158">
        <v>45924</v>
      </c>
      <c r="X14" s="158">
        <v>45927</v>
      </c>
      <c r="Y14" s="66">
        <v>45929</v>
      </c>
      <c r="Z14" s="66">
        <v>45930</v>
      </c>
      <c r="AA14" s="66">
        <v>45930</v>
      </c>
      <c r="AB14" s="66">
        <v>45932</v>
      </c>
      <c r="AC14" s="66">
        <v>45935</v>
      </c>
      <c r="AD14" s="66">
        <v>45936</v>
      </c>
      <c r="AE14" s="156">
        <f t="shared" si="7"/>
        <v>4</v>
      </c>
      <c r="AF14" s="187">
        <f t="shared" si="5"/>
        <v>21</v>
      </c>
    </row>
    <row r="15" spans="1:32" ht="15" customHeight="1">
      <c r="A15" s="32">
        <f t="shared" si="0"/>
        <v>12</v>
      </c>
      <c r="B15" s="23" t="s">
        <v>204</v>
      </c>
      <c r="C15" s="136" t="s">
        <v>1324</v>
      </c>
      <c r="D15" s="3" t="s">
        <v>29</v>
      </c>
      <c r="E15" s="3" t="s">
        <v>1629</v>
      </c>
      <c r="F15" s="3" t="s">
        <v>1480</v>
      </c>
      <c r="G15" s="3" t="s">
        <v>1481</v>
      </c>
      <c r="H15" s="3"/>
      <c r="I15" s="23" t="s">
        <v>1497</v>
      </c>
      <c r="J15" s="23" t="s">
        <v>1504</v>
      </c>
      <c r="K15" s="27" t="s">
        <v>1511</v>
      </c>
      <c r="L15" s="23">
        <v>35.71</v>
      </c>
      <c r="M15" s="27">
        <v>36</v>
      </c>
      <c r="N15" s="3" t="s">
        <v>244</v>
      </c>
      <c r="O15" s="4" t="s">
        <v>687</v>
      </c>
      <c r="P15" s="4">
        <v>45899</v>
      </c>
      <c r="Q15" s="66">
        <v>45898</v>
      </c>
      <c r="R15" s="66">
        <v>45901</v>
      </c>
      <c r="S15" s="66">
        <v>45912</v>
      </c>
      <c r="T15" s="54">
        <f t="shared" si="6"/>
        <v>14</v>
      </c>
      <c r="U15" s="66">
        <v>45914</v>
      </c>
      <c r="V15" s="66">
        <v>45918</v>
      </c>
      <c r="W15" s="66">
        <v>45918</v>
      </c>
      <c r="X15" s="66">
        <v>45921</v>
      </c>
      <c r="Y15" s="66">
        <v>45923</v>
      </c>
      <c r="Z15" s="66">
        <v>45924</v>
      </c>
      <c r="AA15" s="66">
        <v>45924</v>
      </c>
      <c r="AB15" s="66">
        <v>45930</v>
      </c>
      <c r="AC15" s="66">
        <v>45932</v>
      </c>
      <c r="AD15" s="66">
        <v>45934</v>
      </c>
      <c r="AE15" s="54">
        <f t="shared" si="7"/>
        <v>4</v>
      </c>
      <c r="AF15" s="187">
        <f t="shared" si="5"/>
        <v>18</v>
      </c>
    </row>
    <row r="16" spans="1:32" ht="15" customHeight="1">
      <c r="A16" s="32">
        <f t="shared" si="0"/>
        <v>13</v>
      </c>
      <c r="B16" s="23" t="s">
        <v>204</v>
      </c>
      <c r="C16" s="136" t="s">
        <v>1324</v>
      </c>
      <c r="D16" s="3" t="s">
        <v>29</v>
      </c>
      <c r="E16" s="3" t="s">
        <v>1618</v>
      </c>
      <c r="F16" s="3" t="s">
        <v>1343</v>
      </c>
      <c r="G16" s="3" t="s">
        <v>1344</v>
      </c>
      <c r="H16" s="3" t="s">
        <v>1345</v>
      </c>
      <c r="I16" s="54" t="s">
        <v>1395</v>
      </c>
      <c r="J16" s="3" t="s">
        <v>1417</v>
      </c>
      <c r="K16" s="3" t="s">
        <v>1440</v>
      </c>
      <c r="L16" s="23">
        <v>35.262</v>
      </c>
      <c r="M16" s="23">
        <v>35</v>
      </c>
      <c r="N16" s="3" t="s">
        <v>244</v>
      </c>
      <c r="O16" s="4" t="s">
        <v>687</v>
      </c>
      <c r="P16" s="4">
        <v>45903</v>
      </c>
      <c r="Q16" s="4">
        <v>45903</v>
      </c>
      <c r="R16" s="66">
        <v>45911</v>
      </c>
      <c r="S16" s="158">
        <v>45919</v>
      </c>
      <c r="T16" s="54">
        <f t="shared" si="6"/>
        <v>16</v>
      </c>
      <c r="U16" s="158">
        <v>45922</v>
      </c>
      <c r="V16" s="158">
        <v>45924</v>
      </c>
      <c r="W16" s="158">
        <v>45924</v>
      </c>
      <c r="X16" s="66">
        <v>45925</v>
      </c>
      <c r="Y16" s="66">
        <v>45928</v>
      </c>
      <c r="Z16" s="66">
        <v>45929</v>
      </c>
      <c r="AA16" s="66">
        <v>45929</v>
      </c>
      <c r="AB16" s="66">
        <v>45930</v>
      </c>
      <c r="AC16" s="66">
        <v>45933</v>
      </c>
      <c r="AD16" s="66">
        <v>45934</v>
      </c>
      <c r="AE16" s="54">
        <f t="shared" si="7"/>
        <v>4</v>
      </c>
      <c r="AF16" s="187">
        <f t="shared" si="5"/>
        <v>20</v>
      </c>
    </row>
    <row r="17" spans="1:32" ht="15" customHeight="1">
      <c r="A17" s="32">
        <f t="shared" si="0"/>
        <v>14</v>
      </c>
      <c r="B17" s="23" t="s">
        <v>204</v>
      </c>
      <c r="C17" s="136" t="s">
        <v>1324</v>
      </c>
      <c r="D17" s="3" t="s">
        <v>29</v>
      </c>
      <c r="E17" s="3" t="s">
        <v>1623</v>
      </c>
      <c r="F17" s="3" t="s">
        <v>1482</v>
      </c>
      <c r="G17" s="3" t="s">
        <v>1483</v>
      </c>
      <c r="H17" s="3" t="s">
        <v>1484</v>
      </c>
      <c r="I17" s="23" t="s">
        <v>1498</v>
      </c>
      <c r="J17" s="23" t="s">
        <v>1505</v>
      </c>
      <c r="K17" s="27" t="s">
        <v>41</v>
      </c>
      <c r="L17" s="27">
        <v>34.048000000000002</v>
      </c>
      <c r="M17" s="27">
        <v>35</v>
      </c>
      <c r="N17" s="3" t="s">
        <v>244</v>
      </c>
      <c r="O17" s="4" t="s">
        <v>687</v>
      </c>
      <c r="P17" s="4">
        <v>45903</v>
      </c>
      <c r="Q17" s="4">
        <v>45903</v>
      </c>
      <c r="R17" s="66">
        <v>45911</v>
      </c>
      <c r="S17" s="158">
        <v>45919</v>
      </c>
      <c r="T17" s="54">
        <f t="shared" ref="T17:T22" si="8">MAX(0,S17-Q17)</f>
        <v>16</v>
      </c>
      <c r="U17" s="158">
        <v>45922</v>
      </c>
      <c r="V17" s="158">
        <v>45924</v>
      </c>
      <c r="W17" s="158">
        <v>45924</v>
      </c>
      <c r="X17" s="66">
        <v>45925</v>
      </c>
      <c r="Y17" s="66">
        <v>45928</v>
      </c>
      <c r="Z17" s="66">
        <v>45929</v>
      </c>
      <c r="AA17" s="66">
        <v>45929</v>
      </c>
      <c r="AB17" s="66">
        <v>45929</v>
      </c>
      <c r="AC17" s="66">
        <v>45931</v>
      </c>
      <c r="AD17" s="66">
        <v>45933</v>
      </c>
      <c r="AE17" s="54">
        <f t="shared" ref="AE17:AE22" si="9">MAX(0,AD17-AB17)</f>
        <v>4</v>
      </c>
      <c r="AF17" s="187">
        <f t="shared" si="5"/>
        <v>20</v>
      </c>
    </row>
    <row r="18" spans="1:32" ht="15" customHeight="1">
      <c r="A18" s="32">
        <f t="shared" si="0"/>
        <v>15</v>
      </c>
      <c r="B18" s="23" t="s">
        <v>204</v>
      </c>
      <c r="C18" s="136" t="s">
        <v>1324</v>
      </c>
      <c r="D18" s="3" t="s">
        <v>29</v>
      </c>
      <c r="E18" s="3" t="s">
        <v>1622</v>
      </c>
      <c r="F18" s="3" t="s">
        <v>101</v>
      </c>
      <c r="G18" s="3" t="s">
        <v>102</v>
      </c>
      <c r="H18" s="3" t="s">
        <v>103</v>
      </c>
      <c r="I18" s="54" t="s">
        <v>142</v>
      </c>
      <c r="J18" s="3" t="s">
        <v>171</v>
      </c>
      <c r="K18" s="3" t="s">
        <v>198</v>
      </c>
      <c r="L18" s="23">
        <v>35.219000000000001</v>
      </c>
      <c r="M18" s="27">
        <v>35</v>
      </c>
      <c r="N18" s="3" t="s">
        <v>244</v>
      </c>
      <c r="O18" s="4" t="s">
        <v>687</v>
      </c>
      <c r="P18" s="4">
        <v>45903</v>
      </c>
      <c r="Q18" s="4">
        <v>45903</v>
      </c>
      <c r="R18" s="66">
        <v>45911</v>
      </c>
      <c r="S18" s="158">
        <v>45919</v>
      </c>
      <c r="T18" s="54">
        <f t="shared" si="8"/>
        <v>16</v>
      </c>
      <c r="U18" s="158">
        <v>45922</v>
      </c>
      <c r="V18" s="158">
        <v>45924</v>
      </c>
      <c r="W18" s="158">
        <v>45924</v>
      </c>
      <c r="X18" s="66">
        <v>45925</v>
      </c>
      <c r="Y18" s="66">
        <v>45928</v>
      </c>
      <c r="Z18" s="66">
        <v>45929</v>
      </c>
      <c r="AA18" s="66">
        <v>45929</v>
      </c>
      <c r="AB18" s="66">
        <v>45929</v>
      </c>
      <c r="AC18" s="66">
        <v>45931</v>
      </c>
      <c r="AD18" s="66">
        <v>45933</v>
      </c>
      <c r="AE18" s="54">
        <f t="shared" si="9"/>
        <v>4</v>
      </c>
      <c r="AF18" s="187">
        <f t="shared" si="5"/>
        <v>20</v>
      </c>
    </row>
    <row r="19" spans="1:32" ht="15" customHeight="1">
      <c r="A19" s="32">
        <f t="shared" si="0"/>
        <v>16</v>
      </c>
      <c r="B19" s="23" t="s">
        <v>204</v>
      </c>
      <c r="C19" s="136" t="s">
        <v>1324</v>
      </c>
      <c r="D19" s="3" t="s">
        <v>29</v>
      </c>
      <c r="E19" s="3" t="s">
        <v>1630</v>
      </c>
      <c r="F19" s="3" t="s">
        <v>1028</v>
      </c>
      <c r="G19" s="3" t="s">
        <v>1029</v>
      </c>
      <c r="H19" s="3"/>
      <c r="I19" s="23" t="s">
        <v>1050</v>
      </c>
      <c r="J19" s="3" t="s">
        <v>1060</v>
      </c>
      <c r="K19" s="3" t="s">
        <v>1068</v>
      </c>
      <c r="L19" s="23">
        <v>36.889000000000003</v>
      </c>
      <c r="M19" s="27">
        <v>37</v>
      </c>
      <c r="N19" s="3" t="s">
        <v>244</v>
      </c>
      <c r="O19" s="4" t="s">
        <v>687</v>
      </c>
      <c r="P19" s="4">
        <v>45899</v>
      </c>
      <c r="Q19" s="66">
        <v>45898</v>
      </c>
      <c r="R19" s="66">
        <v>45901</v>
      </c>
      <c r="S19" s="66">
        <v>45912</v>
      </c>
      <c r="T19" s="54">
        <f t="shared" si="8"/>
        <v>14</v>
      </c>
      <c r="U19" s="66">
        <v>45914</v>
      </c>
      <c r="V19" s="66">
        <v>45917</v>
      </c>
      <c r="W19" s="66">
        <v>45917</v>
      </c>
      <c r="X19" s="66">
        <v>45919</v>
      </c>
      <c r="Y19" s="152">
        <v>45922</v>
      </c>
      <c r="Z19" s="66">
        <v>45926</v>
      </c>
      <c r="AA19" s="66">
        <v>45926</v>
      </c>
      <c r="AB19" s="66">
        <v>45926</v>
      </c>
      <c r="AC19" s="66">
        <v>45929</v>
      </c>
      <c r="AD19" s="66">
        <v>45931</v>
      </c>
      <c r="AE19" s="54">
        <f t="shared" si="9"/>
        <v>5</v>
      </c>
      <c r="AF19" s="187">
        <f t="shared" si="5"/>
        <v>19</v>
      </c>
    </row>
    <row r="20" spans="1:32" ht="15" customHeight="1">
      <c r="A20" s="32">
        <f t="shared" si="0"/>
        <v>17</v>
      </c>
      <c r="B20" s="23" t="s">
        <v>204</v>
      </c>
      <c r="C20" s="136" t="s">
        <v>1324</v>
      </c>
      <c r="D20" s="3" t="s">
        <v>29</v>
      </c>
      <c r="E20" s="3" t="s">
        <v>1461</v>
      </c>
      <c r="F20" s="3" t="s">
        <v>1375</v>
      </c>
      <c r="G20" s="3" t="s">
        <v>1376</v>
      </c>
      <c r="H20" s="3" t="s">
        <v>1377</v>
      </c>
      <c r="I20" s="23" t="s">
        <v>1406</v>
      </c>
      <c r="J20" s="68" t="s">
        <v>1428</v>
      </c>
      <c r="K20" s="27" t="s">
        <v>1447</v>
      </c>
      <c r="L20" s="23">
        <v>34.816000000000003</v>
      </c>
      <c r="M20" s="23">
        <v>35</v>
      </c>
      <c r="N20" s="3" t="s">
        <v>244</v>
      </c>
      <c r="O20" s="4" t="s">
        <v>687</v>
      </c>
      <c r="P20" s="66">
        <v>45888</v>
      </c>
      <c r="Q20" s="66">
        <v>45888</v>
      </c>
      <c r="R20" s="66">
        <v>45888</v>
      </c>
      <c r="S20" s="66">
        <v>45895</v>
      </c>
      <c r="T20" s="54">
        <f t="shared" si="8"/>
        <v>7</v>
      </c>
      <c r="U20" s="66">
        <v>45914</v>
      </c>
      <c r="V20" s="66">
        <v>45917</v>
      </c>
      <c r="W20" s="66">
        <v>45917</v>
      </c>
      <c r="X20" s="66">
        <v>45920</v>
      </c>
      <c r="Y20" s="66">
        <v>45923</v>
      </c>
      <c r="Z20" s="66">
        <v>45925</v>
      </c>
      <c r="AA20" s="66">
        <v>45925</v>
      </c>
      <c r="AB20" s="66">
        <v>45926</v>
      </c>
      <c r="AC20" s="66">
        <v>45929</v>
      </c>
      <c r="AD20" s="66">
        <v>45930</v>
      </c>
      <c r="AE20" s="54">
        <f t="shared" si="9"/>
        <v>4</v>
      </c>
      <c r="AF20" s="187">
        <f t="shared" si="5"/>
        <v>11</v>
      </c>
    </row>
    <row r="21" spans="1:32" ht="15" customHeight="1">
      <c r="A21" s="32">
        <f t="shared" si="0"/>
        <v>18</v>
      </c>
      <c r="B21" s="23" t="s">
        <v>204</v>
      </c>
      <c r="C21" s="136" t="s">
        <v>1324</v>
      </c>
      <c r="D21" s="3" t="s">
        <v>29</v>
      </c>
      <c r="E21" s="3" t="s">
        <v>1633</v>
      </c>
      <c r="F21" s="3" t="s">
        <v>1351</v>
      </c>
      <c r="G21" s="3" t="s">
        <v>1352</v>
      </c>
      <c r="H21" s="3" t="s">
        <v>1353</v>
      </c>
      <c r="I21" s="54" t="s">
        <v>1398</v>
      </c>
      <c r="J21" s="3" t="s">
        <v>1420</v>
      </c>
      <c r="K21" s="3" t="s">
        <v>1607</v>
      </c>
      <c r="L21" s="23">
        <v>34.286999999999999</v>
      </c>
      <c r="M21" s="23">
        <v>35</v>
      </c>
      <c r="N21" s="3" t="s">
        <v>244</v>
      </c>
      <c r="O21" s="4" t="s">
        <v>687</v>
      </c>
      <c r="P21" s="4">
        <v>45899</v>
      </c>
      <c r="Q21" s="66">
        <v>45899</v>
      </c>
      <c r="R21" s="66">
        <v>45901</v>
      </c>
      <c r="S21" s="66">
        <v>45912</v>
      </c>
      <c r="T21" s="54">
        <f t="shared" si="8"/>
        <v>13</v>
      </c>
      <c r="U21" s="66">
        <v>45914</v>
      </c>
      <c r="V21" s="66">
        <v>45918</v>
      </c>
      <c r="W21" s="66">
        <v>45918</v>
      </c>
      <c r="X21" s="66">
        <v>45920</v>
      </c>
      <c r="Y21" s="66">
        <v>45923</v>
      </c>
      <c r="Z21" s="66">
        <v>45924</v>
      </c>
      <c r="AA21" s="66">
        <v>45924</v>
      </c>
      <c r="AB21" s="66">
        <v>45926</v>
      </c>
      <c r="AC21" s="66">
        <v>45927</v>
      </c>
      <c r="AD21" s="66">
        <v>45930</v>
      </c>
      <c r="AE21" s="54">
        <f t="shared" si="9"/>
        <v>4</v>
      </c>
      <c r="AF21" s="187">
        <f t="shared" si="5"/>
        <v>17</v>
      </c>
    </row>
    <row r="22" spans="1:32" ht="15" customHeight="1">
      <c r="A22" s="32">
        <f t="shared" si="0"/>
        <v>19</v>
      </c>
      <c r="B22" s="23" t="s">
        <v>204</v>
      </c>
      <c r="C22" s="136" t="s">
        <v>1324</v>
      </c>
      <c r="D22" s="3" t="s">
        <v>29</v>
      </c>
      <c r="E22" s="3" t="s">
        <v>1627</v>
      </c>
      <c r="F22" s="3" t="s">
        <v>1346</v>
      </c>
      <c r="G22" s="3" t="s">
        <v>1347</v>
      </c>
      <c r="H22" s="3" t="s">
        <v>1348</v>
      </c>
      <c r="I22" s="54" t="s">
        <v>1396</v>
      </c>
      <c r="J22" s="3" t="s">
        <v>1418</v>
      </c>
      <c r="K22" s="3" t="s">
        <v>1609</v>
      </c>
      <c r="L22" s="23">
        <v>34.572000000000003</v>
      </c>
      <c r="M22" s="3">
        <v>35</v>
      </c>
      <c r="N22" s="3" t="s">
        <v>244</v>
      </c>
      <c r="O22" s="4" t="s">
        <v>687</v>
      </c>
      <c r="P22" s="4">
        <v>45899</v>
      </c>
      <c r="Q22" s="66">
        <v>45898</v>
      </c>
      <c r="R22" s="66">
        <v>45901</v>
      </c>
      <c r="S22" s="66">
        <v>45912</v>
      </c>
      <c r="T22" s="54">
        <f t="shared" si="8"/>
        <v>14</v>
      </c>
      <c r="U22" s="66">
        <v>45914</v>
      </c>
      <c r="V22" s="66">
        <v>45918</v>
      </c>
      <c r="W22" s="66">
        <v>45918</v>
      </c>
      <c r="X22" s="66">
        <v>45920</v>
      </c>
      <c r="Y22" s="66">
        <v>45923</v>
      </c>
      <c r="Z22" s="66">
        <v>45924</v>
      </c>
      <c r="AA22" s="66">
        <v>45924</v>
      </c>
      <c r="AB22" s="66">
        <v>45926</v>
      </c>
      <c r="AC22" s="66">
        <v>45927</v>
      </c>
      <c r="AD22" s="66">
        <v>45929</v>
      </c>
      <c r="AE22" s="54">
        <f t="shared" si="9"/>
        <v>3</v>
      </c>
      <c r="AF22" s="187">
        <f t="shared" si="5"/>
        <v>17</v>
      </c>
    </row>
    <row r="23" spans="1:32" ht="15" customHeight="1">
      <c r="A23" s="32">
        <f t="shared" si="0"/>
        <v>20</v>
      </c>
      <c r="B23" s="159" t="s">
        <v>204</v>
      </c>
      <c r="C23" s="160" t="s">
        <v>1324</v>
      </c>
      <c r="D23" s="151" t="s">
        <v>29</v>
      </c>
      <c r="E23" s="151" t="s">
        <v>1634</v>
      </c>
      <c r="F23" s="151" t="s">
        <v>1488</v>
      </c>
      <c r="G23" s="151" t="s">
        <v>1489</v>
      </c>
      <c r="H23" s="151" t="s">
        <v>1490</v>
      </c>
      <c r="I23" s="159" t="s">
        <v>1500</v>
      </c>
      <c r="J23" s="159" t="s">
        <v>1507</v>
      </c>
      <c r="K23" s="161" t="s">
        <v>1608</v>
      </c>
      <c r="L23" s="159">
        <v>34.082999999999998</v>
      </c>
      <c r="M23" s="161">
        <v>35</v>
      </c>
      <c r="N23" s="3" t="s">
        <v>244</v>
      </c>
      <c r="O23" s="4" t="s">
        <v>687</v>
      </c>
      <c r="P23" s="162">
        <v>45899</v>
      </c>
      <c r="Q23" s="152">
        <v>45899</v>
      </c>
      <c r="R23" s="152">
        <v>45901</v>
      </c>
      <c r="S23" s="152">
        <v>45912</v>
      </c>
      <c r="T23" s="163">
        <f t="shared" ref="T23:T26" si="10">MAX(0,S23-Q23)</f>
        <v>13</v>
      </c>
      <c r="U23" s="152">
        <v>45914</v>
      </c>
      <c r="V23" s="152">
        <v>45917</v>
      </c>
      <c r="W23" s="152">
        <v>45917</v>
      </c>
      <c r="X23" s="152">
        <v>45919</v>
      </c>
      <c r="Y23" s="152">
        <v>45922</v>
      </c>
      <c r="Z23" s="66">
        <v>45922</v>
      </c>
      <c r="AA23" s="66">
        <v>45922</v>
      </c>
      <c r="AB23" s="152">
        <v>45924</v>
      </c>
      <c r="AC23" s="66">
        <v>45926</v>
      </c>
      <c r="AD23" s="66">
        <v>45929</v>
      </c>
      <c r="AE23" s="163">
        <f t="shared" ref="AE23:AE26" si="11">MAX(0,AD23-AB23)</f>
        <v>5</v>
      </c>
      <c r="AF23" s="187">
        <f t="shared" si="5"/>
        <v>18</v>
      </c>
    </row>
    <row r="24" spans="1:32" ht="15" customHeight="1">
      <c r="A24" s="32">
        <f t="shared" si="0"/>
        <v>21</v>
      </c>
      <c r="B24" s="23" t="s">
        <v>204</v>
      </c>
      <c r="C24" s="136" t="s">
        <v>1324</v>
      </c>
      <c r="D24" s="3" t="s">
        <v>29</v>
      </c>
      <c r="E24" s="3" t="s">
        <v>1632</v>
      </c>
      <c r="F24" s="3" t="s">
        <v>1357</v>
      </c>
      <c r="G24" s="3" t="s">
        <v>1358</v>
      </c>
      <c r="H24" s="3" t="s">
        <v>1359</v>
      </c>
      <c r="I24" s="54" t="s">
        <v>1400</v>
      </c>
      <c r="J24" s="3" t="s">
        <v>1422</v>
      </c>
      <c r="K24" s="3" t="s">
        <v>1441</v>
      </c>
      <c r="L24" s="23">
        <v>35.572000000000003</v>
      </c>
      <c r="M24" s="23">
        <v>35</v>
      </c>
      <c r="N24" s="3" t="s">
        <v>244</v>
      </c>
      <c r="O24" s="4" t="s">
        <v>687</v>
      </c>
      <c r="P24" s="4">
        <v>45899</v>
      </c>
      <c r="Q24" s="66">
        <v>45899</v>
      </c>
      <c r="R24" s="66">
        <v>45901</v>
      </c>
      <c r="S24" s="66">
        <v>45912</v>
      </c>
      <c r="T24" s="54">
        <f t="shared" si="10"/>
        <v>13</v>
      </c>
      <c r="U24" s="66">
        <v>45914</v>
      </c>
      <c r="V24" s="66">
        <v>45917</v>
      </c>
      <c r="W24" s="66">
        <v>45917</v>
      </c>
      <c r="X24" s="66">
        <v>45918</v>
      </c>
      <c r="Y24" s="66">
        <v>45920</v>
      </c>
      <c r="Z24" s="66">
        <v>45922</v>
      </c>
      <c r="AA24" s="66">
        <v>45922</v>
      </c>
      <c r="AB24" s="66">
        <v>45923</v>
      </c>
      <c r="AC24" s="66">
        <v>45926</v>
      </c>
      <c r="AD24" s="66">
        <v>45927</v>
      </c>
      <c r="AE24" s="54">
        <f t="shared" si="11"/>
        <v>4</v>
      </c>
      <c r="AF24" s="187">
        <f t="shared" si="5"/>
        <v>17</v>
      </c>
    </row>
    <row r="25" spans="1:32" ht="15" customHeight="1">
      <c r="A25" s="32">
        <f t="shared" si="0"/>
        <v>22</v>
      </c>
      <c r="B25" s="23" t="s">
        <v>204</v>
      </c>
      <c r="C25" s="136" t="s">
        <v>1324</v>
      </c>
      <c r="D25" s="3" t="s">
        <v>29</v>
      </c>
      <c r="E25" s="3" t="s">
        <v>1611</v>
      </c>
      <c r="F25" s="3" t="s">
        <v>1327</v>
      </c>
      <c r="G25" s="3" t="s">
        <v>1328</v>
      </c>
      <c r="H25" s="3" t="s">
        <v>1329</v>
      </c>
      <c r="I25" s="54" t="s">
        <v>1389</v>
      </c>
      <c r="J25" s="3" t="s">
        <v>1411</v>
      </c>
      <c r="K25" s="3" t="s">
        <v>1435</v>
      </c>
      <c r="L25" s="23">
        <v>34.887</v>
      </c>
      <c r="M25" s="23">
        <v>35</v>
      </c>
      <c r="N25" s="3" t="s">
        <v>244</v>
      </c>
      <c r="O25" s="4" t="s">
        <v>687</v>
      </c>
      <c r="P25" s="4">
        <v>45891</v>
      </c>
      <c r="Q25" s="4">
        <v>45891</v>
      </c>
      <c r="R25" s="4">
        <v>45891</v>
      </c>
      <c r="S25" s="66">
        <v>45903</v>
      </c>
      <c r="T25" s="54">
        <f t="shared" si="10"/>
        <v>12</v>
      </c>
      <c r="U25" s="66">
        <v>45904</v>
      </c>
      <c r="V25" s="66">
        <v>45909</v>
      </c>
      <c r="W25" s="66">
        <v>45909</v>
      </c>
      <c r="X25" s="66">
        <v>45910</v>
      </c>
      <c r="Y25" s="66">
        <v>45913</v>
      </c>
      <c r="Z25" s="66">
        <v>45914</v>
      </c>
      <c r="AA25" s="66">
        <v>45914</v>
      </c>
      <c r="AB25" s="66">
        <v>45916</v>
      </c>
      <c r="AC25" s="66">
        <v>45918</v>
      </c>
      <c r="AD25" s="66">
        <v>45924</v>
      </c>
      <c r="AE25" s="54">
        <f t="shared" si="11"/>
        <v>8</v>
      </c>
      <c r="AF25" s="187">
        <f t="shared" si="5"/>
        <v>20</v>
      </c>
    </row>
    <row r="26" spans="1:32" ht="15" customHeight="1">
      <c r="A26" s="32">
        <f t="shared" si="0"/>
        <v>23</v>
      </c>
      <c r="B26" s="23" t="s">
        <v>204</v>
      </c>
      <c r="C26" s="136" t="s">
        <v>1324</v>
      </c>
      <c r="D26" s="3" t="s">
        <v>29</v>
      </c>
      <c r="E26" s="3" t="s">
        <v>1471</v>
      </c>
      <c r="F26" s="3" t="s">
        <v>1385</v>
      </c>
      <c r="G26" s="3" t="s">
        <v>1386</v>
      </c>
      <c r="H26" s="3" t="s">
        <v>1387</v>
      </c>
      <c r="I26" s="23" t="s">
        <v>1409</v>
      </c>
      <c r="J26" s="23" t="s">
        <v>1431</v>
      </c>
      <c r="K26" s="23" t="s">
        <v>1451</v>
      </c>
      <c r="L26" s="23">
        <v>34.917000000000002</v>
      </c>
      <c r="M26" s="54">
        <v>35</v>
      </c>
      <c r="N26" s="3" t="s">
        <v>244</v>
      </c>
      <c r="O26" s="4" t="s">
        <v>687</v>
      </c>
      <c r="P26" s="66">
        <v>45888</v>
      </c>
      <c r="Q26" s="66">
        <v>45888</v>
      </c>
      <c r="R26" s="66">
        <v>45889</v>
      </c>
      <c r="S26" s="66">
        <v>45897</v>
      </c>
      <c r="T26" s="54">
        <f t="shared" si="10"/>
        <v>9</v>
      </c>
      <c r="U26" s="66">
        <v>45906</v>
      </c>
      <c r="V26" s="66">
        <v>45910</v>
      </c>
      <c r="W26" s="66">
        <v>45910</v>
      </c>
      <c r="X26" s="66">
        <v>45913</v>
      </c>
      <c r="Y26" s="66">
        <v>45915</v>
      </c>
      <c r="Z26" s="66">
        <v>45917</v>
      </c>
      <c r="AA26" s="66">
        <v>45917</v>
      </c>
      <c r="AB26" s="66">
        <v>45918</v>
      </c>
      <c r="AC26" s="66">
        <v>45920</v>
      </c>
      <c r="AD26" s="66">
        <v>45922</v>
      </c>
      <c r="AE26" s="54">
        <f t="shared" si="11"/>
        <v>4</v>
      </c>
      <c r="AF26" s="187">
        <f t="shared" si="5"/>
        <v>13</v>
      </c>
    </row>
    <row r="27" spans="1:32" ht="15" customHeight="1">
      <c r="A27" s="32">
        <f t="shared" si="0"/>
        <v>24</v>
      </c>
      <c r="B27" s="23" t="s">
        <v>204</v>
      </c>
      <c r="C27" s="136" t="s">
        <v>1324</v>
      </c>
      <c r="D27" s="3" t="s">
        <v>29</v>
      </c>
      <c r="E27" s="3" t="s">
        <v>1459</v>
      </c>
      <c r="F27" s="3" t="s">
        <v>1369</v>
      </c>
      <c r="G27" s="3" t="s">
        <v>1370</v>
      </c>
      <c r="H27" s="3" t="s">
        <v>1371</v>
      </c>
      <c r="I27" s="54" t="s">
        <v>1404</v>
      </c>
      <c r="J27" s="3" t="s">
        <v>1426</v>
      </c>
      <c r="K27" s="3" t="s">
        <v>1445</v>
      </c>
      <c r="L27" s="23">
        <v>33.606000000000002</v>
      </c>
      <c r="M27" s="23">
        <v>34</v>
      </c>
      <c r="N27" s="3" t="s">
        <v>244</v>
      </c>
      <c r="O27" s="4" t="s">
        <v>687</v>
      </c>
      <c r="P27" s="66">
        <v>45888</v>
      </c>
      <c r="Q27" s="66">
        <v>45888</v>
      </c>
      <c r="R27" s="66">
        <v>45888</v>
      </c>
      <c r="S27" s="66">
        <v>45895</v>
      </c>
      <c r="T27" s="54">
        <f t="shared" ref="T27:T33" si="12">MAX(0,S27-Q27)</f>
        <v>7</v>
      </c>
      <c r="U27" s="66">
        <v>45896</v>
      </c>
      <c r="V27" s="66">
        <v>45901</v>
      </c>
      <c r="W27" s="66">
        <v>45901</v>
      </c>
      <c r="X27" s="66">
        <v>45903</v>
      </c>
      <c r="Y27" s="66">
        <v>45906</v>
      </c>
      <c r="Z27" s="66">
        <v>45907</v>
      </c>
      <c r="AA27" s="66">
        <v>45907</v>
      </c>
      <c r="AB27" s="66">
        <v>45909</v>
      </c>
      <c r="AC27" s="66">
        <v>45911</v>
      </c>
      <c r="AD27" s="66">
        <v>45915</v>
      </c>
      <c r="AE27" s="54">
        <f t="shared" ref="AE27:AE33" si="13">MAX(0,AD27-AB27)</f>
        <v>6</v>
      </c>
      <c r="AF27" s="187">
        <f t="shared" si="5"/>
        <v>13</v>
      </c>
    </row>
    <row r="28" spans="1:32" ht="15" customHeight="1">
      <c r="A28" s="32">
        <f t="shared" si="0"/>
        <v>25</v>
      </c>
      <c r="B28" s="23" t="s">
        <v>204</v>
      </c>
      <c r="C28" s="136" t="s">
        <v>1324</v>
      </c>
      <c r="D28" s="3" t="s">
        <v>29</v>
      </c>
      <c r="E28" s="3" t="s">
        <v>1468</v>
      </c>
      <c r="F28" s="3" t="s">
        <v>1325</v>
      </c>
      <c r="G28" s="3" t="s">
        <v>1326</v>
      </c>
      <c r="H28" s="3"/>
      <c r="I28" s="54" t="s">
        <v>1388</v>
      </c>
      <c r="J28" s="3" t="s">
        <v>1410</v>
      </c>
      <c r="K28" s="3" t="s">
        <v>1433</v>
      </c>
      <c r="L28" s="23">
        <v>36.231000000000002</v>
      </c>
      <c r="M28" s="23">
        <v>37</v>
      </c>
      <c r="N28" s="3" t="s">
        <v>244</v>
      </c>
      <c r="O28" s="4" t="s">
        <v>687</v>
      </c>
      <c r="P28" s="66">
        <v>45888</v>
      </c>
      <c r="Q28" s="66">
        <v>45888</v>
      </c>
      <c r="R28" s="66">
        <v>45888</v>
      </c>
      <c r="S28" s="66">
        <v>45895</v>
      </c>
      <c r="T28" s="54">
        <f t="shared" si="12"/>
        <v>7</v>
      </c>
      <c r="U28" s="66">
        <v>45896</v>
      </c>
      <c r="V28" s="66">
        <v>45898</v>
      </c>
      <c r="W28" s="66">
        <v>45898</v>
      </c>
      <c r="X28" s="66">
        <v>45899</v>
      </c>
      <c r="Y28" s="66">
        <v>45902</v>
      </c>
      <c r="Z28" s="66">
        <v>45906</v>
      </c>
      <c r="AA28" s="66">
        <v>45906</v>
      </c>
      <c r="AB28" s="66">
        <v>45909</v>
      </c>
      <c r="AC28" s="66">
        <v>45912</v>
      </c>
      <c r="AD28" s="66">
        <v>45915</v>
      </c>
      <c r="AE28" s="54">
        <f t="shared" si="13"/>
        <v>6</v>
      </c>
      <c r="AF28" s="187">
        <f t="shared" si="5"/>
        <v>13</v>
      </c>
    </row>
    <row r="29" spans="1:32" ht="15" customHeight="1">
      <c r="A29" s="32">
        <f t="shared" si="0"/>
        <v>26</v>
      </c>
      <c r="B29" s="23" t="s">
        <v>204</v>
      </c>
      <c r="C29" s="136" t="s">
        <v>1324</v>
      </c>
      <c r="D29" s="3" t="s">
        <v>29</v>
      </c>
      <c r="E29" s="3" t="s">
        <v>1463</v>
      </c>
      <c r="F29" s="3" t="s">
        <v>1382</v>
      </c>
      <c r="G29" s="3" t="s">
        <v>1383</v>
      </c>
      <c r="H29" s="3" t="s">
        <v>1384</v>
      </c>
      <c r="I29" s="54" t="s">
        <v>1408</v>
      </c>
      <c r="J29" s="3" t="s">
        <v>1430</v>
      </c>
      <c r="K29" s="3" t="s">
        <v>1450</v>
      </c>
      <c r="L29" s="23">
        <v>33.334000000000003</v>
      </c>
      <c r="M29" s="23">
        <v>34</v>
      </c>
      <c r="N29" s="3" t="s">
        <v>244</v>
      </c>
      <c r="O29" s="4" t="s">
        <v>687</v>
      </c>
      <c r="P29" s="66">
        <v>45888</v>
      </c>
      <c r="Q29" s="66">
        <v>45888</v>
      </c>
      <c r="R29" s="66">
        <v>45888</v>
      </c>
      <c r="S29" s="66">
        <v>45895</v>
      </c>
      <c r="T29" s="54">
        <f t="shared" si="12"/>
        <v>7</v>
      </c>
      <c r="U29" s="66">
        <v>45896</v>
      </c>
      <c r="V29" s="66">
        <v>45898</v>
      </c>
      <c r="W29" s="66">
        <v>45898</v>
      </c>
      <c r="X29" s="66">
        <v>45899</v>
      </c>
      <c r="Y29" s="66">
        <v>45902</v>
      </c>
      <c r="Z29" s="66">
        <v>45906</v>
      </c>
      <c r="AA29" s="66">
        <v>45906</v>
      </c>
      <c r="AB29" s="66">
        <v>45906</v>
      </c>
      <c r="AC29" s="66">
        <v>45908</v>
      </c>
      <c r="AD29" s="66">
        <v>45909</v>
      </c>
      <c r="AE29" s="54">
        <f t="shared" si="13"/>
        <v>3</v>
      </c>
      <c r="AF29" s="187">
        <f t="shared" si="5"/>
        <v>10</v>
      </c>
    </row>
    <row r="30" spans="1:32" ht="15" customHeight="1">
      <c r="A30" s="32">
        <f t="shared" si="0"/>
        <v>27</v>
      </c>
      <c r="B30" s="23" t="s">
        <v>204</v>
      </c>
      <c r="C30" s="136" t="s">
        <v>1324</v>
      </c>
      <c r="D30" s="3" t="s">
        <v>29</v>
      </c>
      <c r="E30" s="3" t="s">
        <v>1465</v>
      </c>
      <c r="F30" s="3" t="s">
        <v>401</v>
      </c>
      <c r="G30" s="3" t="s">
        <v>402</v>
      </c>
      <c r="H30" s="3" t="s">
        <v>403</v>
      </c>
      <c r="I30" s="54" t="s">
        <v>415</v>
      </c>
      <c r="J30" s="3" t="s">
        <v>430</v>
      </c>
      <c r="K30" s="3" t="s">
        <v>422</v>
      </c>
      <c r="L30" s="23">
        <v>34.485999999999997</v>
      </c>
      <c r="M30" s="23">
        <v>35</v>
      </c>
      <c r="N30" s="3" t="s">
        <v>244</v>
      </c>
      <c r="O30" s="4" t="s">
        <v>687</v>
      </c>
      <c r="P30" s="66">
        <v>45888</v>
      </c>
      <c r="Q30" s="66">
        <v>45888</v>
      </c>
      <c r="R30" s="66">
        <v>45888</v>
      </c>
      <c r="S30" s="66">
        <v>45895</v>
      </c>
      <c r="T30" s="54">
        <f t="shared" si="12"/>
        <v>7</v>
      </c>
      <c r="U30" s="66">
        <v>45896</v>
      </c>
      <c r="V30" s="66">
        <v>45898</v>
      </c>
      <c r="W30" s="66">
        <v>45898</v>
      </c>
      <c r="X30" s="66">
        <v>45899</v>
      </c>
      <c r="Y30" s="66">
        <v>45902</v>
      </c>
      <c r="Z30" s="66">
        <v>45906</v>
      </c>
      <c r="AA30" s="66">
        <v>45906</v>
      </c>
      <c r="AB30" s="66">
        <v>45906</v>
      </c>
      <c r="AC30" s="66">
        <v>45908</v>
      </c>
      <c r="AD30" s="66">
        <v>45909</v>
      </c>
      <c r="AE30" s="54">
        <f t="shared" si="13"/>
        <v>3</v>
      </c>
      <c r="AF30" s="187">
        <f t="shared" si="5"/>
        <v>10</v>
      </c>
    </row>
    <row r="31" spans="1:32" ht="15" customHeight="1">
      <c r="A31" s="32">
        <f t="shared" si="0"/>
        <v>28</v>
      </c>
      <c r="B31" s="23" t="s">
        <v>204</v>
      </c>
      <c r="C31" s="136" t="s">
        <v>1324</v>
      </c>
      <c r="D31" s="3" t="s">
        <v>29</v>
      </c>
      <c r="E31" s="3" t="s">
        <v>1467</v>
      </c>
      <c r="F31" s="3" t="s">
        <v>1379</v>
      </c>
      <c r="G31" s="3" t="s">
        <v>1380</v>
      </c>
      <c r="H31" s="3" t="s">
        <v>1381</v>
      </c>
      <c r="I31" s="54" t="s">
        <v>1407</v>
      </c>
      <c r="J31" s="54" t="s">
        <v>1429</v>
      </c>
      <c r="K31" s="54" t="s">
        <v>1449</v>
      </c>
      <c r="L31" s="23">
        <v>35.682000000000002</v>
      </c>
      <c r="M31" s="54">
        <v>35</v>
      </c>
      <c r="N31" s="3" t="s">
        <v>244</v>
      </c>
      <c r="O31" s="4" t="s">
        <v>687</v>
      </c>
      <c r="P31" s="66">
        <v>45888</v>
      </c>
      <c r="Q31" s="66">
        <v>45888</v>
      </c>
      <c r="R31" s="66">
        <v>45888</v>
      </c>
      <c r="S31" s="66">
        <v>45895</v>
      </c>
      <c r="T31" s="54">
        <f t="shared" si="12"/>
        <v>7</v>
      </c>
      <c r="U31" s="66">
        <v>45896</v>
      </c>
      <c r="V31" s="66">
        <v>45898</v>
      </c>
      <c r="W31" s="66">
        <v>45898</v>
      </c>
      <c r="X31" s="66">
        <v>45899</v>
      </c>
      <c r="Y31" s="66">
        <v>45903</v>
      </c>
      <c r="Z31" s="66">
        <v>45906</v>
      </c>
      <c r="AA31" s="66">
        <v>45906</v>
      </c>
      <c r="AB31" s="66">
        <v>45906</v>
      </c>
      <c r="AC31" s="66">
        <v>45909</v>
      </c>
      <c r="AD31" s="66">
        <v>45910</v>
      </c>
      <c r="AE31" s="54">
        <f t="shared" si="13"/>
        <v>4</v>
      </c>
      <c r="AF31" s="187">
        <f t="shared" si="5"/>
        <v>11</v>
      </c>
    </row>
    <row r="32" spans="1:32" ht="15" customHeight="1">
      <c r="A32" s="32">
        <f t="shared" si="0"/>
        <v>29</v>
      </c>
      <c r="B32" s="23" t="s">
        <v>204</v>
      </c>
      <c r="C32" s="136" t="s">
        <v>1324</v>
      </c>
      <c r="D32" s="3" t="s">
        <v>29</v>
      </c>
      <c r="E32" s="3" t="s">
        <v>1460</v>
      </c>
      <c r="F32" s="3" t="s">
        <v>1372</v>
      </c>
      <c r="G32" s="3" t="s">
        <v>1373</v>
      </c>
      <c r="H32" s="3" t="s">
        <v>1374</v>
      </c>
      <c r="I32" s="23" t="s">
        <v>1405</v>
      </c>
      <c r="J32" s="54" t="s">
        <v>1427</v>
      </c>
      <c r="K32" s="23" t="s">
        <v>1446</v>
      </c>
      <c r="L32" s="23">
        <v>35.536000000000001</v>
      </c>
      <c r="M32" s="23">
        <v>35</v>
      </c>
      <c r="N32" s="3" t="s">
        <v>244</v>
      </c>
      <c r="O32" s="4" t="s">
        <v>687</v>
      </c>
      <c r="P32" s="66">
        <v>45888</v>
      </c>
      <c r="Q32" s="66">
        <v>45888</v>
      </c>
      <c r="R32" s="66">
        <v>45888</v>
      </c>
      <c r="S32" s="66">
        <v>45895</v>
      </c>
      <c r="T32" s="54">
        <f t="shared" si="12"/>
        <v>7</v>
      </c>
      <c r="U32" s="66">
        <v>45896</v>
      </c>
      <c r="V32" s="66">
        <v>45898</v>
      </c>
      <c r="W32" s="66">
        <v>45898</v>
      </c>
      <c r="X32" s="66">
        <v>45899</v>
      </c>
      <c r="Y32" s="66">
        <v>45902</v>
      </c>
      <c r="Z32" s="66">
        <v>45906</v>
      </c>
      <c r="AA32" s="66">
        <v>45906</v>
      </c>
      <c r="AB32" s="66">
        <v>45906</v>
      </c>
      <c r="AC32" s="66">
        <v>45909</v>
      </c>
      <c r="AD32" s="66">
        <v>45910</v>
      </c>
      <c r="AE32" s="54">
        <f t="shared" si="13"/>
        <v>4</v>
      </c>
      <c r="AF32" s="187">
        <f t="shared" si="5"/>
        <v>11</v>
      </c>
    </row>
    <row r="33" spans="1:32" ht="15" customHeight="1">
      <c r="A33" s="32">
        <f t="shared" si="0"/>
        <v>30</v>
      </c>
      <c r="B33" s="23" t="s">
        <v>204</v>
      </c>
      <c r="C33" s="136" t="s">
        <v>1324</v>
      </c>
      <c r="D33" s="3" t="s">
        <v>29</v>
      </c>
      <c r="E33" s="3" t="s">
        <v>1458</v>
      </c>
      <c r="F33" s="3" t="s">
        <v>1366</v>
      </c>
      <c r="G33" s="3" t="s">
        <v>1367</v>
      </c>
      <c r="H33" s="3" t="s">
        <v>1368</v>
      </c>
      <c r="I33" s="54" t="s">
        <v>1403</v>
      </c>
      <c r="J33" s="3" t="s">
        <v>1425</v>
      </c>
      <c r="K33" s="3" t="s">
        <v>1444</v>
      </c>
      <c r="L33" s="23">
        <v>34.42</v>
      </c>
      <c r="M33" s="23">
        <v>34</v>
      </c>
      <c r="N33" s="3" t="s">
        <v>244</v>
      </c>
      <c r="O33" s="4" t="s">
        <v>687</v>
      </c>
      <c r="P33" s="66">
        <v>45888</v>
      </c>
      <c r="Q33" s="66">
        <v>45888</v>
      </c>
      <c r="R33" s="66">
        <v>45888</v>
      </c>
      <c r="S33" s="66">
        <v>45895</v>
      </c>
      <c r="T33" s="54">
        <f t="shared" si="12"/>
        <v>7</v>
      </c>
      <c r="U33" s="66">
        <v>45896</v>
      </c>
      <c r="V33" s="66">
        <v>45898</v>
      </c>
      <c r="W33" s="66">
        <v>45898</v>
      </c>
      <c r="X33" s="66">
        <v>45899</v>
      </c>
      <c r="Y33" s="66">
        <v>45902</v>
      </c>
      <c r="Z33" s="66">
        <v>45906</v>
      </c>
      <c r="AA33" s="66">
        <v>45906</v>
      </c>
      <c r="AB33" s="66">
        <v>45906</v>
      </c>
      <c r="AC33" s="66">
        <v>45909</v>
      </c>
      <c r="AD33" s="66">
        <v>45910</v>
      </c>
      <c r="AE33" s="54">
        <f t="shared" si="13"/>
        <v>4</v>
      </c>
      <c r="AF33" s="187">
        <f t="shared" si="5"/>
        <v>11</v>
      </c>
    </row>
    <row r="34" spans="1:32" ht="15" customHeight="1">
      <c r="A34" s="32">
        <f t="shared" si="0"/>
        <v>31</v>
      </c>
      <c r="B34" s="23" t="s">
        <v>204</v>
      </c>
      <c r="C34" s="136" t="s">
        <v>1324</v>
      </c>
      <c r="D34" s="3" t="s">
        <v>29</v>
      </c>
      <c r="E34" s="3" t="s">
        <v>1462</v>
      </c>
      <c r="F34" s="3" t="s">
        <v>550</v>
      </c>
      <c r="G34" s="3" t="s">
        <v>551</v>
      </c>
      <c r="H34" s="3" t="s">
        <v>1378</v>
      </c>
      <c r="I34" s="23" t="s">
        <v>596</v>
      </c>
      <c r="J34" s="23" t="s">
        <v>618</v>
      </c>
      <c r="K34" s="23" t="s">
        <v>1448</v>
      </c>
      <c r="L34" s="23">
        <v>35.429000000000002</v>
      </c>
      <c r="M34" s="23">
        <v>35</v>
      </c>
      <c r="N34" s="3" t="s">
        <v>244</v>
      </c>
      <c r="O34" s="4" t="s">
        <v>687</v>
      </c>
      <c r="P34" s="66">
        <v>45888</v>
      </c>
      <c r="Q34" s="66">
        <v>45888</v>
      </c>
      <c r="R34" s="66">
        <v>45888</v>
      </c>
      <c r="S34" s="66">
        <v>45895</v>
      </c>
      <c r="T34" s="54">
        <f t="shared" ref="T34" si="14">MAX(0,S34-Q34)</f>
        <v>7</v>
      </c>
      <c r="U34" s="66">
        <v>45896</v>
      </c>
      <c r="V34" s="66">
        <v>45898</v>
      </c>
      <c r="W34" s="66">
        <v>45898</v>
      </c>
      <c r="X34" s="66">
        <v>45899</v>
      </c>
      <c r="Y34" s="66">
        <v>45902</v>
      </c>
      <c r="Z34" s="66">
        <v>45906</v>
      </c>
      <c r="AA34" s="66">
        <v>45906</v>
      </c>
      <c r="AB34" s="66">
        <v>45906</v>
      </c>
      <c r="AC34" s="66">
        <v>45909</v>
      </c>
      <c r="AD34" s="66">
        <v>45910</v>
      </c>
      <c r="AE34" s="54">
        <f t="shared" ref="AE34" si="15">MAX(0,AD34-AB34)</f>
        <v>4</v>
      </c>
      <c r="AF34" s="187">
        <f t="shared" si="5"/>
        <v>11</v>
      </c>
    </row>
    <row r="35" spans="1:32" ht="15" customHeight="1">
      <c r="A35" s="32">
        <f t="shared" si="0"/>
        <v>32</v>
      </c>
      <c r="B35" s="23" t="s">
        <v>204</v>
      </c>
      <c r="C35" s="136" t="s">
        <v>1324</v>
      </c>
      <c r="D35" s="3" t="s">
        <v>29</v>
      </c>
      <c r="E35" s="3" t="s">
        <v>1464</v>
      </c>
      <c r="F35" s="3" t="s">
        <v>113</v>
      </c>
      <c r="G35" s="3" t="s">
        <v>114</v>
      </c>
      <c r="H35" s="3" t="s">
        <v>115</v>
      </c>
      <c r="I35" s="23" t="s">
        <v>146</v>
      </c>
      <c r="J35" s="54" t="s">
        <v>175</v>
      </c>
      <c r="K35" s="3" t="s">
        <v>202</v>
      </c>
      <c r="L35" s="23">
        <v>35.313000000000002</v>
      </c>
      <c r="M35" s="23">
        <v>35</v>
      </c>
      <c r="N35" s="3" t="s">
        <v>244</v>
      </c>
      <c r="O35" s="4" t="s">
        <v>687</v>
      </c>
      <c r="P35" s="66">
        <v>45888</v>
      </c>
      <c r="Q35" s="66">
        <v>45888</v>
      </c>
      <c r="R35" s="66">
        <v>45888</v>
      </c>
      <c r="S35" s="66">
        <v>45895</v>
      </c>
      <c r="T35" s="54">
        <f t="shared" ref="T35:T42" si="16">MAX(0,S35-Q35)</f>
        <v>7</v>
      </c>
      <c r="U35" s="66">
        <v>45896</v>
      </c>
      <c r="V35" s="66">
        <v>45898</v>
      </c>
      <c r="W35" s="66">
        <v>45898</v>
      </c>
      <c r="X35" s="66">
        <v>45899</v>
      </c>
      <c r="Y35" s="66">
        <v>45902</v>
      </c>
      <c r="Z35" s="66">
        <v>45906</v>
      </c>
      <c r="AA35" s="66">
        <v>45906</v>
      </c>
      <c r="AB35" s="66">
        <v>45906</v>
      </c>
      <c r="AC35" s="66">
        <v>45908</v>
      </c>
      <c r="AD35" s="66">
        <v>45910</v>
      </c>
      <c r="AE35" s="54">
        <f t="shared" ref="AE35:AE42" si="17">MAX(0,AD35-AB35)</f>
        <v>4</v>
      </c>
      <c r="AF35" s="187">
        <f t="shared" si="5"/>
        <v>11</v>
      </c>
    </row>
    <row r="36" spans="1:32" ht="15" customHeight="1">
      <c r="A36" s="32">
        <f t="shared" si="0"/>
        <v>33</v>
      </c>
      <c r="B36" s="23" t="s">
        <v>204</v>
      </c>
      <c r="C36" s="136" t="s">
        <v>1324</v>
      </c>
      <c r="D36" s="3" t="s">
        <v>29</v>
      </c>
      <c r="E36" s="3" t="s">
        <v>1466</v>
      </c>
      <c r="F36" s="3" t="s">
        <v>543</v>
      </c>
      <c r="G36" s="3" t="s">
        <v>544</v>
      </c>
      <c r="H36" s="3" t="s">
        <v>545</v>
      </c>
      <c r="I36" s="54" t="s">
        <v>593</v>
      </c>
      <c r="J36" s="3" t="s">
        <v>615</v>
      </c>
      <c r="K36" s="3" t="s">
        <v>1432</v>
      </c>
      <c r="L36" s="23">
        <v>36.305999999999997</v>
      </c>
      <c r="M36" s="23">
        <v>36</v>
      </c>
      <c r="N36" s="3" t="s">
        <v>244</v>
      </c>
      <c r="O36" s="4" t="s">
        <v>687</v>
      </c>
      <c r="P36" s="66">
        <v>45888</v>
      </c>
      <c r="Q36" s="66">
        <v>45888</v>
      </c>
      <c r="R36" s="66">
        <v>45888</v>
      </c>
      <c r="S36" s="66">
        <v>45895</v>
      </c>
      <c r="T36" s="54">
        <f t="shared" si="16"/>
        <v>7</v>
      </c>
      <c r="U36" s="66">
        <v>45896</v>
      </c>
      <c r="V36" s="66">
        <v>45898</v>
      </c>
      <c r="W36" s="66">
        <v>45898</v>
      </c>
      <c r="X36" s="66">
        <v>45899</v>
      </c>
      <c r="Y36" s="66">
        <v>45902</v>
      </c>
      <c r="Z36" s="66">
        <v>45906</v>
      </c>
      <c r="AA36" s="66">
        <v>45906</v>
      </c>
      <c r="AB36" s="66">
        <v>45906</v>
      </c>
      <c r="AC36" s="66">
        <v>45910</v>
      </c>
      <c r="AD36" s="66">
        <v>45910</v>
      </c>
      <c r="AE36" s="54">
        <f t="shared" si="17"/>
        <v>4</v>
      </c>
      <c r="AF36" s="187">
        <f t="shared" si="5"/>
        <v>11</v>
      </c>
    </row>
    <row r="37" spans="1:32" ht="15" customHeight="1">
      <c r="A37" s="32">
        <f t="shared" si="0"/>
        <v>34</v>
      </c>
      <c r="B37" s="23" t="s">
        <v>204</v>
      </c>
      <c r="C37" s="136" t="s">
        <v>1324</v>
      </c>
      <c r="D37" s="3" t="s">
        <v>29</v>
      </c>
      <c r="E37" s="3" t="s">
        <v>1516</v>
      </c>
      <c r="F37" s="3" t="s">
        <v>1330</v>
      </c>
      <c r="G37" s="3" t="s">
        <v>1331</v>
      </c>
      <c r="H37" s="3" t="s">
        <v>1332</v>
      </c>
      <c r="I37" s="54" t="s">
        <v>1390</v>
      </c>
      <c r="J37" s="3" t="s">
        <v>1412</v>
      </c>
      <c r="K37" s="3" t="s">
        <v>1436</v>
      </c>
      <c r="L37" s="23">
        <v>35.277999999999999</v>
      </c>
      <c r="M37" s="23">
        <v>35</v>
      </c>
      <c r="N37" s="3" t="s">
        <v>244</v>
      </c>
      <c r="O37" s="4" t="s">
        <v>687</v>
      </c>
      <c r="P37" s="66">
        <v>45889</v>
      </c>
      <c r="Q37" s="66">
        <v>45889</v>
      </c>
      <c r="R37" s="66">
        <v>45890</v>
      </c>
      <c r="S37" s="66">
        <v>45897</v>
      </c>
      <c r="T37" s="54">
        <f t="shared" si="16"/>
        <v>8</v>
      </c>
      <c r="U37" s="66">
        <v>45902</v>
      </c>
      <c r="V37" s="66">
        <v>45904</v>
      </c>
      <c r="W37" s="66">
        <v>45904</v>
      </c>
      <c r="X37" s="66">
        <v>45905</v>
      </c>
      <c r="Y37" s="66">
        <v>45908</v>
      </c>
      <c r="Z37" s="66">
        <v>45908</v>
      </c>
      <c r="AA37" s="66">
        <v>45908</v>
      </c>
      <c r="AB37" s="66">
        <v>45910</v>
      </c>
      <c r="AC37" s="66">
        <v>45916</v>
      </c>
      <c r="AD37" s="66">
        <v>45918</v>
      </c>
      <c r="AE37" s="54">
        <f t="shared" si="17"/>
        <v>8</v>
      </c>
      <c r="AF37" s="187">
        <f t="shared" si="5"/>
        <v>16</v>
      </c>
    </row>
    <row r="38" spans="1:32" ht="15" customHeight="1">
      <c r="A38" s="32">
        <f t="shared" si="0"/>
        <v>35</v>
      </c>
      <c r="B38" s="23" t="s">
        <v>204</v>
      </c>
      <c r="C38" s="136" t="s">
        <v>1324</v>
      </c>
      <c r="D38" s="3" t="s">
        <v>29</v>
      </c>
      <c r="E38" s="3" t="s">
        <v>1472</v>
      </c>
      <c r="F38" s="3" t="s">
        <v>1333</v>
      </c>
      <c r="G38" s="3" t="s">
        <v>1334</v>
      </c>
      <c r="H38" s="3"/>
      <c r="I38" s="54" t="s">
        <v>1391</v>
      </c>
      <c r="J38" s="3" t="s">
        <v>1413</v>
      </c>
      <c r="K38" s="3" t="s">
        <v>1437</v>
      </c>
      <c r="L38" s="23">
        <v>36.415999999999997</v>
      </c>
      <c r="M38" s="23">
        <v>37</v>
      </c>
      <c r="N38" s="3" t="s">
        <v>244</v>
      </c>
      <c r="O38" s="4" t="s">
        <v>687</v>
      </c>
      <c r="P38" s="66">
        <v>45888</v>
      </c>
      <c r="Q38" s="66">
        <v>45888</v>
      </c>
      <c r="R38" s="4">
        <v>45889</v>
      </c>
      <c r="S38" s="66">
        <v>45897</v>
      </c>
      <c r="T38" s="54">
        <f t="shared" si="16"/>
        <v>9</v>
      </c>
      <c r="U38" s="66">
        <v>45899</v>
      </c>
      <c r="V38" s="66">
        <v>45904</v>
      </c>
      <c r="W38" s="66">
        <v>45904</v>
      </c>
      <c r="X38" s="66">
        <v>45906</v>
      </c>
      <c r="Y38" s="66">
        <v>45910</v>
      </c>
      <c r="Z38" s="66">
        <v>45913</v>
      </c>
      <c r="AA38" s="66">
        <v>45913</v>
      </c>
      <c r="AB38" s="66">
        <v>45915</v>
      </c>
      <c r="AC38" s="66">
        <v>45920</v>
      </c>
      <c r="AD38" s="66">
        <v>45923</v>
      </c>
      <c r="AE38" s="54">
        <f t="shared" si="17"/>
        <v>8</v>
      </c>
      <c r="AF38" s="187">
        <f t="shared" si="5"/>
        <v>17</v>
      </c>
    </row>
    <row r="39" spans="1:32" ht="15" customHeight="1">
      <c r="A39" s="32">
        <f t="shared" si="0"/>
        <v>36</v>
      </c>
      <c r="B39" s="23" t="s">
        <v>204</v>
      </c>
      <c r="C39" s="136" t="s">
        <v>1324</v>
      </c>
      <c r="D39" s="3" t="s">
        <v>29</v>
      </c>
      <c r="E39" s="3" t="s">
        <v>1612</v>
      </c>
      <c r="F39" s="3" t="s">
        <v>1335</v>
      </c>
      <c r="G39" s="3" t="s">
        <v>1336</v>
      </c>
      <c r="H39" s="3"/>
      <c r="I39" s="54" t="s">
        <v>1392</v>
      </c>
      <c r="J39" s="3" t="s">
        <v>1414</v>
      </c>
      <c r="K39" s="3" t="s">
        <v>1438</v>
      </c>
      <c r="L39" s="23">
        <v>37.543999999999997</v>
      </c>
      <c r="M39" s="23">
        <v>37</v>
      </c>
      <c r="N39" s="3" t="s">
        <v>244</v>
      </c>
      <c r="O39" s="4" t="s">
        <v>687</v>
      </c>
      <c r="P39" s="4">
        <v>45895</v>
      </c>
      <c r="Q39" s="4">
        <v>45895</v>
      </c>
      <c r="R39" s="4">
        <v>45895</v>
      </c>
      <c r="S39" s="66">
        <v>45906</v>
      </c>
      <c r="T39" s="54">
        <f t="shared" si="16"/>
        <v>11</v>
      </c>
      <c r="U39" s="66">
        <v>45908</v>
      </c>
      <c r="V39" s="66">
        <v>45908</v>
      </c>
      <c r="W39" s="66">
        <v>45908</v>
      </c>
      <c r="X39" s="66">
        <v>45912</v>
      </c>
      <c r="Y39" s="66">
        <v>45915</v>
      </c>
      <c r="Z39" s="66">
        <v>45917</v>
      </c>
      <c r="AA39" s="66">
        <v>45917</v>
      </c>
      <c r="AB39" s="66">
        <v>45918</v>
      </c>
      <c r="AC39" s="66">
        <v>45920</v>
      </c>
      <c r="AD39" s="66">
        <v>45923</v>
      </c>
      <c r="AE39" s="54">
        <f t="shared" si="17"/>
        <v>5</v>
      </c>
      <c r="AF39" s="187">
        <f t="shared" si="5"/>
        <v>16</v>
      </c>
    </row>
    <row r="40" spans="1:32" ht="15" customHeight="1">
      <c r="A40" s="32">
        <f t="shared" si="0"/>
        <v>37</v>
      </c>
      <c r="B40" s="23" t="s">
        <v>204</v>
      </c>
      <c r="C40" s="136" t="s">
        <v>1324</v>
      </c>
      <c r="D40" s="3" t="s">
        <v>29</v>
      </c>
      <c r="E40" s="3" t="s">
        <v>1613</v>
      </c>
      <c r="F40" s="3" t="s">
        <v>579</v>
      </c>
      <c r="G40" s="3" t="s">
        <v>580</v>
      </c>
      <c r="H40" s="3"/>
      <c r="I40" s="54" t="s">
        <v>607</v>
      </c>
      <c r="J40" s="3" t="s">
        <v>629</v>
      </c>
      <c r="K40" s="3" t="s">
        <v>1434</v>
      </c>
      <c r="L40" s="23">
        <v>37.518999999999998</v>
      </c>
      <c r="M40" s="23">
        <v>37</v>
      </c>
      <c r="N40" s="3" t="s">
        <v>244</v>
      </c>
      <c r="O40" s="4" t="s">
        <v>687</v>
      </c>
      <c r="P40" s="4">
        <v>45895</v>
      </c>
      <c r="Q40" s="4">
        <v>45895</v>
      </c>
      <c r="R40" s="66">
        <v>45896</v>
      </c>
      <c r="S40" s="66">
        <v>45906</v>
      </c>
      <c r="T40" s="54">
        <f>MAX(0,S40-Q40)</f>
        <v>11</v>
      </c>
      <c r="U40" s="66">
        <v>45908</v>
      </c>
      <c r="V40" s="66">
        <v>45911</v>
      </c>
      <c r="W40" s="66">
        <v>45911</v>
      </c>
      <c r="X40" s="66">
        <v>45912</v>
      </c>
      <c r="Y40" s="66">
        <v>45915</v>
      </c>
      <c r="Z40" s="66">
        <v>45918</v>
      </c>
      <c r="AA40" s="66">
        <v>45918</v>
      </c>
      <c r="AB40" s="66">
        <v>45919</v>
      </c>
      <c r="AC40" s="66">
        <v>45923</v>
      </c>
      <c r="AD40" s="66">
        <v>45925</v>
      </c>
      <c r="AE40" s="54">
        <f>MAX(0,AD40-AB40)</f>
        <v>6</v>
      </c>
      <c r="AF40" s="187">
        <f>T40+AE40</f>
        <v>17</v>
      </c>
    </row>
    <row r="41" spans="1:32" s="103" customFormat="1" ht="15" hidden="1" customHeight="1">
      <c r="A41" s="93">
        <f t="shared" si="0"/>
        <v>38</v>
      </c>
      <c r="B41" s="94" t="s">
        <v>204</v>
      </c>
      <c r="C41" s="164" t="s">
        <v>1324</v>
      </c>
      <c r="D41" s="91" t="s">
        <v>29</v>
      </c>
      <c r="E41" s="91" t="s">
        <v>41</v>
      </c>
      <c r="F41" s="91" t="s">
        <v>1363</v>
      </c>
      <c r="G41" s="91" t="s">
        <v>1364</v>
      </c>
      <c r="H41" s="91" t="s">
        <v>1365</v>
      </c>
      <c r="I41" s="102" t="s">
        <v>1402</v>
      </c>
      <c r="J41" s="91" t="s">
        <v>1424</v>
      </c>
      <c r="K41" s="91" t="s">
        <v>1443</v>
      </c>
      <c r="L41" s="94" t="s">
        <v>41</v>
      </c>
      <c r="M41" s="94">
        <v>35</v>
      </c>
      <c r="N41" s="91" t="s">
        <v>1616</v>
      </c>
      <c r="O41" s="165" t="s">
        <v>1452</v>
      </c>
      <c r="P41" s="165">
        <v>45916</v>
      </c>
      <c r="Q41" s="100"/>
      <c r="R41" s="100"/>
      <c r="S41" s="100"/>
      <c r="T41" s="102">
        <f t="shared" si="16"/>
        <v>0</v>
      </c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2">
        <f t="shared" si="17"/>
        <v>0</v>
      </c>
      <c r="AF41" s="74"/>
    </row>
    <row r="42" spans="1:32" s="103" customFormat="1" ht="15" hidden="1" customHeight="1">
      <c r="A42" s="93">
        <f t="shared" si="0"/>
        <v>39</v>
      </c>
      <c r="B42" s="94" t="s">
        <v>204</v>
      </c>
      <c r="C42" s="164" t="s">
        <v>1324</v>
      </c>
      <c r="D42" s="91" t="s">
        <v>29</v>
      </c>
      <c r="E42" s="91" t="s">
        <v>41</v>
      </c>
      <c r="F42" s="91" t="s">
        <v>985</v>
      </c>
      <c r="G42" s="91" t="s">
        <v>986</v>
      </c>
      <c r="H42" s="91"/>
      <c r="I42" s="94" t="s">
        <v>1002</v>
      </c>
      <c r="J42" s="91" t="s">
        <v>969</v>
      </c>
      <c r="K42" s="91" t="s">
        <v>1012</v>
      </c>
      <c r="L42" s="94" t="s">
        <v>41</v>
      </c>
      <c r="M42" s="166">
        <v>37</v>
      </c>
      <c r="N42" s="91" t="s">
        <v>1616</v>
      </c>
      <c r="O42" s="165" t="s">
        <v>1452</v>
      </c>
      <c r="P42" s="165">
        <v>45915</v>
      </c>
      <c r="Q42" s="100"/>
      <c r="R42" s="100"/>
      <c r="S42" s="100"/>
      <c r="T42" s="102">
        <f t="shared" si="16"/>
        <v>0</v>
      </c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2">
        <f t="shared" si="17"/>
        <v>0</v>
      </c>
      <c r="AF42" s="74"/>
    </row>
    <row r="43" spans="1:32" ht="15" customHeight="1">
      <c r="I43" s="2" t="s">
        <v>1515</v>
      </c>
    </row>
    <row r="45" spans="1:32" ht="15" customHeight="1">
      <c r="A45" s="30" t="s">
        <v>205</v>
      </c>
      <c r="B45" s="31"/>
      <c r="C45" s="31"/>
      <c r="D45" s="31"/>
      <c r="E45" s="31"/>
      <c r="F45" s="31"/>
      <c r="G45" s="31"/>
      <c r="H45" s="31"/>
      <c r="I45" s="31"/>
    </row>
    <row r="46" spans="1:32" ht="15" customHeight="1">
      <c r="A46" s="30" t="s">
        <v>1475</v>
      </c>
      <c r="B46" s="31"/>
      <c r="C46" s="31"/>
      <c r="D46" s="31"/>
      <c r="E46" s="31"/>
      <c r="F46" s="31"/>
      <c r="G46" s="31"/>
      <c r="H46" s="31"/>
      <c r="I46" s="31"/>
    </row>
    <row r="47" spans="1:32" ht="15" customHeight="1">
      <c r="A47" s="30" t="s">
        <v>1474</v>
      </c>
      <c r="B47" s="31"/>
      <c r="C47" s="31"/>
      <c r="D47" s="31"/>
      <c r="E47" s="31"/>
      <c r="F47" s="31"/>
      <c r="G47" s="31"/>
      <c r="H47" s="31"/>
      <c r="I47" s="31"/>
    </row>
  </sheetData>
  <protectedRanges>
    <protectedRange sqref="E25" name="Range1"/>
    <protectedRange sqref="L25" name="Range1_1"/>
    <protectedRange sqref="E39" name="Range1_2"/>
    <protectedRange sqref="L39" name="Range1_3"/>
    <protectedRange sqref="E40" name="Range1_4"/>
    <protectedRange sqref="L40" name="Range1_5"/>
    <protectedRange sqref="E9 E16 E13 E11" name="Range1_6"/>
    <protectedRange sqref="L13" name="Range1_7"/>
  </protectedRanges>
  <autoFilter ref="A3:AF3" xr:uid="{2E64534F-E653-4B3C-A7E1-85E2FC2073BB}"/>
  <mergeCells count="7">
    <mergeCell ref="AF2:AF3"/>
    <mergeCell ref="I2:J2"/>
    <mergeCell ref="U2:V2"/>
    <mergeCell ref="W2:X2"/>
    <mergeCell ref="Y2:Z2"/>
    <mergeCell ref="AA2:AB2"/>
    <mergeCell ref="AC2:AE2"/>
  </mergeCells>
  <conditionalFormatting sqref="B1">
    <cfRule type="duplicateValues" dxfId="350" priority="701"/>
    <cfRule type="duplicateValues" dxfId="349" priority="702"/>
    <cfRule type="duplicateValues" dxfId="348" priority="703"/>
    <cfRule type="duplicateValues" dxfId="347" priority="704"/>
  </conditionalFormatting>
  <conditionalFormatting sqref="F1:F3">
    <cfRule type="duplicateValues" dxfId="346" priority="705"/>
    <cfRule type="duplicateValues" dxfId="345" priority="706"/>
    <cfRule type="duplicateValues" dxfId="344" priority="707"/>
    <cfRule type="duplicateValues" dxfId="343" priority="708"/>
  </conditionalFormatting>
  <conditionalFormatting sqref="F1:F1048576">
    <cfRule type="duplicateValues" dxfId="342" priority="15"/>
  </conditionalFormatting>
  <conditionalFormatting sqref="F4">
    <cfRule type="duplicateValues" dxfId="341" priority="132"/>
    <cfRule type="duplicateValues" dxfId="340" priority="133"/>
    <cfRule type="duplicateValues" dxfId="339" priority="137"/>
    <cfRule type="duplicateValues" dxfId="338" priority="138"/>
    <cfRule type="duplicateValues" dxfId="337" priority="139"/>
    <cfRule type="duplicateValues" dxfId="336" priority="140"/>
    <cfRule type="duplicateValues" dxfId="335" priority="141"/>
    <cfRule type="duplicateValues" dxfId="334" priority="142"/>
    <cfRule type="duplicateValues" dxfId="333" priority="143"/>
    <cfRule type="duplicateValues" dxfId="332" priority="144"/>
    <cfRule type="duplicateValues" dxfId="331" priority="145"/>
    <cfRule type="duplicateValues" dxfId="330" priority="146"/>
    <cfRule type="duplicateValues" dxfId="329" priority="147"/>
    <cfRule type="duplicateValues" dxfId="328" priority="148"/>
    <cfRule type="duplicateValues" dxfId="327" priority="149"/>
    <cfRule type="duplicateValues" dxfId="326" priority="150"/>
    <cfRule type="duplicateValues" dxfId="325" priority="151"/>
    <cfRule type="duplicateValues" dxfId="324" priority="152"/>
    <cfRule type="duplicateValues" dxfId="323" priority="153"/>
    <cfRule type="duplicateValues" dxfId="322" priority="154"/>
    <cfRule type="duplicateValues" dxfId="321" priority="155"/>
    <cfRule type="duplicateValues" dxfId="320" priority="156"/>
    <cfRule type="duplicateValues" dxfId="319" priority="157"/>
    <cfRule type="duplicateValues" dxfId="318" priority="158"/>
    <cfRule type="duplicateValues" dxfId="317" priority="160"/>
    <cfRule type="duplicateValues" dxfId="316" priority="161"/>
    <cfRule type="duplicateValues" dxfId="315" priority="162"/>
    <cfRule type="duplicateValues" dxfId="314" priority="163"/>
  </conditionalFormatting>
  <conditionalFormatting sqref="F5 F12 F36:F40 F14 F7:F9 F16:F17 F21:F25 F28">
    <cfRule type="duplicateValues" dxfId="313" priority="32871"/>
    <cfRule type="duplicateValues" dxfId="312" priority="32872"/>
    <cfRule type="duplicateValues" dxfId="311" priority="32873"/>
  </conditionalFormatting>
  <conditionalFormatting sqref="F5 F20:F40 F16:F17 F12:F14 F7:F9">
    <cfRule type="duplicateValues" dxfId="310" priority="32898"/>
  </conditionalFormatting>
  <conditionalFormatting sqref="F13 F29:F35 F20 F39:F40 F26:F27">
    <cfRule type="duplicateValues" dxfId="309" priority="27684"/>
    <cfRule type="duplicateValues" dxfId="308" priority="27685"/>
    <cfRule type="duplicateValues" dxfId="307" priority="27686"/>
  </conditionalFormatting>
  <conditionalFormatting sqref="F13 F35 F29:F30 F39:F40 F26:F27 F33">
    <cfRule type="duplicateValues" dxfId="306" priority="196"/>
  </conditionalFormatting>
  <conditionalFormatting sqref="F13 F35 F39:F40 F26:F27 F29:F31 F33">
    <cfRule type="duplicateValues" dxfId="305" priority="27683"/>
  </conditionalFormatting>
  <conditionalFormatting sqref="F31">
    <cfRule type="duplicateValues" dxfId="304" priority="190"/>
  </conditionalFormatting>
  <conditionalFormatting sqref="F41:F42 F6 F13 F15 F10:F11 F18:F19">
    <cfRule type="duplicateValues" dxfId="303" priority="28287"/>
    <cfRule type="duplicateValues" dxfId="302" priority="28288"/>
    <cfRule type="duplicateValues" dxfId="301" priority="28289"/>
    <cfRule type="duplicateValues" dxfId="300" priority="28290"/>
    <cfRule type="duplicateValues" dxfId="299" priority="28291"/>
    <cfRule type="duplicateValues" dxfId="298" priority="28292"/>
    <cfRule type="duplicateValues" dxfId="297" priority="28293"/>
    <cfRule type="duplicateValues" dxfId="296" priority="28294"/>
    <cfRule type="duplicateValues" dxfId="295" priority="28295"/>
    <cfRule type="duplicateValues" dxfId="294" priority="28296"/>
    <cfRule type="duplicateValues" dxfId="293" priority="28297"/>
    <cfRule type="duplicateValues" dxfId="292" priority="28298"/>
    <cfRule type="duplicateValues" dxfId="291" priority="28299"/>
    <cfRule type="duplicateValues" dxfId="290" priority="28300"/>
    <cfRule type="duplicateValues" dxfId="289" priority="28301"/>
    <cfRule type="duplicateValues" dxfId="288" priority="28302"/>
    <cfRule type="duplicateValues" dxfId="287" priority="28303"/>
    <cfRule type="duplicateValues" dxfId="286" priority="28304"/>
    <cfRule type="duplicateValues" dxfId="285" priority="28305"/>
    <cfRule type="duplicateValues" dxfId="284" priority="28306"/>
    <cfRule type="duplicateValues" dxfId="283" priority="28307"/>
    <cfRule type="duplicateValues" dxfId="282" priority="28308"/>
  </conditionalFormatting>
  <conditionalFormatting sqref="F43:F45 F1:F3 F47:F1048576">
    <cfRule type="duplicateValues" dxfId="281" priority="199"/>
    <cfRule type="duplicateValues" dxfId="280" priority="840"/>
    <cfRule type="duplicateValues" dxfId="279" priority="841"/>
    <cfRule type="duplicateValues" dxfId="278" priority="842"/>
    <cfRule type="duplicateValues" dxfId="277" priority="843"/>
    <cfRule type="duplicateValues" dxfId="276" priority="844"/>
    <cfRule type="duplicateValues" dxfId="275" priority="845"/>
    <cfRule type="duplicateValues" dxfId="274" priority="846"/>
    <cfRule type="duplicateValues" dxfId="273" priority="847"/>
    <cfRule type="duplicateValues" dxfId="272" priority="848"/>
  </conditionalFormatting>
  <conditionalFormatting sqref="F43:F45 F47:F1048576">
    <cfRule type="duplicateValues" dxfId="271" priority="849"/>
  </conditionalFormatting>
  <conditionalFormatting sqref="F46">
    <cfRule type="duplicateValues" dxfId="270" priority="25"/>
    <cfRule type="duplicateValues" dxfId="269" priority="26"/>
    <cfRule type="duplicateValues" dxfId="268" priority="27"/>
    <cfRule type="duplicateValues" dxfId="267" priority="28"/>
    <cfRule type="duplicateValues" dxfId="266" priority="29"/>
    <cfRule type="duplicateValues" dxfId="265" priority="30"/>
    <cfRule type="duplicateValues" dxfId="264" priority="31"/>
    <cfRule type="duplicateValues" dxfId="263" priority="32"/>
    <cfRule type="duplicateValues" dxfId="262" priority="33"/>
    <cfRule type="duplicateValues" dxfId="261" priority="34"/>
    <cfRule type="duplicateValues" dxfId="260" priority="35"/>
    <cfRule type="duplicateValues" dxfId="259" priority="36"/>
    <cfRule type="duplicateValues" dxfId="258" priority="37"/>
  </conditionalFormatting>
  <conditionalFormatting sqref="F47:F1048576 F1:F45">
    <cfRule type="duplicateValues" dxfId="257" priority="80"/>
  </conditionalFormatting>
  <conditionalFormatting sqref="F47:F1048576 F16:F17 F12:F14 F1:F5 F7:F9 F20:F40 F43:F45">
    <cfRule type="duplicateValues" dxfId="256" priority="33071"/>
  </conditionalFormatting>
  <conditionalFormatting sqref="F50:F1048576">
    <cfRule type="duplicateValues" dxfId="255" priority="27644"/>
  </conditionalFormatting>
  <conditionalFormatting sqref="F53">
    <cfRule type="duplicateValues" dxfId="254" priority="28264"/>
  </conditionalFormatting>
  <conditionalFormatting sqref="F4:G4">
    <cfRule type="duplicateValues" dxfId="253" priority="159"/>
  </conditionalFormatting>
  <conditionalFormatting sqref="F41:G42 F6:G6 F13:G13 F15:G15 F10:G11 F18:G19">
    <cfRule type="duplicateValues" dxfId="252" priority="28438"/>
  </conditionalFormatting>
  <conditionalFormatting sqref="G4">
    <cfRule type="duplicateValues" dxfId="251" priority="135"/>
    <cfRule type="duplicateValues" dxfId="250" priority="136"/>
  </conditionalFormatting>
  <conditionalFormatting sqref="G41:G42 G6 G13 G15 G10:G11 G18:G19">
    <cfRule type="duplicateValues" dxfId="249" priority="28443"/>
    <cfRule type="duplicateValues" dxfId="248" priority="28444"/>
  </conditionalFormatting>
  <conditionalFormatting sqref="I4">
    <cfRule type="duplicateValues" dxfId="247" priority="130"/>
    <cfRule type="duplicateValues" dxfId="246" priority="131"/>
  </conditionalFormatting>
  <conditionalFormatting sqref="I5 I12 I36:I40 I14 I7:I9 I16:I17 I21:I25 I28">
    <cfRule type="duplicateValues" dxfId="245" priority="33100"/>
    <cfRule type="duplicateValues" dxfId="244" priority="33101"/>
    <cfRule type="duplicateValues" dxfId="243" priority="33102"/>
    <cfRule type="duplicateValues" dxfId="242" priority="33103"/>
  </conditionalFormatting>
  <conditionalFormatting sqref="I30">
    <cfRule type="duplicateValues" dxfId="241" priority="179"/>
    <cfRule type="duplicateValues" dxfId="240" priority="180"/>
    <cfRule type="duplicateValues" dxfId="239" priority="181"/>
    <cfRule type="duplicateValues" dxfId="238" priority="182"/>
  </conditionalFormatting>
  <conditionalFormatting sqref="I41:I42 I6 I13 I15 I10:I11 I18:I19">
    <cfRule type="duplicateValues" dxfId="237" priority="28453"/>
    <cfRule type="duplicateValues" dxfId="236" priority="28454"/>
  </conditionalFormatting>
  <conditionalFormatting sqref="J4">
    <cfRule type="duplicateValues" dxfId="235" priority="127"/>
    <cfRule type="duplicateValues" dxfId="234" priority="128"/>
  </conditionalFormatting>
  <conditionalFormatting sqref="J5 J12 J36:J40 J14 J7:J9 J16:J17 J21:J25 J28">
    <cfRule type="duplicateValues" dxfId="233" priority="33150"/>
  </conditionalFormatting>
  <conditionalFormatting sqref="J30">
    <cfRule type="duplicateValues" dxfId="232" priority="172"/>
  </conditionalFormatting>
  <conditionalFormatting sqref="J35">
    <cfRule type="duplicateValues" dxfId="231" priority="168"/>
    <cfRule type="duplicateValues" dxfId="230" priority="169"/>
  </conditionalFormatting>
  <conditionalFormatting sqref="J41:J42 J6 J13 J15 J10:J11 J18:J19">
    <cfRule type="duplicateValues" dxfId="229" priority="28463"/>
    <cfRule type="duplicateValues" dxfId="228" priority="28464"/>
  </conditionalFormatting>
  <conditionalFormatting sqref="K35">
    <cfRule type="duplicateValues" dxfId="227" priority="164"/>
    <cfRule type="duplicateValues" dxfId="226" priority="165"/>
    <cfRule type="duplicateValues" dxfId="225" priority="166"/>
  </conditionalFormatting>
  <pageMargins left="0.7" right="0.7" top="0.75" bottom="0.75" header="0.3" footer="0.3"/>
  <pageSetup orientation="portrait" r:id="rId1"/>
  <ignoredErrors>
    <ignoredError sqref="J4 J20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88" operator="containsText" text="TBA" id="{4F51C0A7-B3D5-4ED1-8201-9A0DD325769A}">
            <xm:f>NOT(ISERROR(SEARCH("TBA",'d:\Users\User\Dropbox\Pre-Alerts\.Shreehari---2025\[2025 Master--Pre-alert--updated--2025,18  August Final updated.xlsx]August 2025'!#REF!)))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F4:H17 F19:H42</xm:sqref>
        </x14:conditionalFormatting>
        <x14:conditionalFormatting xmlns:xm="http://schemas.microsoft.com/office/excel/2006/main">
          <x14:cfRule type="containsText" priority="87" operator="containsText" text="TBA" id="{FADCCF44-1F2C-43B3-99F7-8071AB839026}">
            <xm:f>NOT(ISERROR(SEARCH("TBA",'d:\Users\User\Dropbox\Pre-Alerts\.Shreehari---2025\[2025 Master--Pre-alert--updated--2025,18  August Final updated.xlsx]June25'!#REF!)))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G4:G42 I4:J42</xm:sqref>
        </x14:conditionalFormatting>
        <x14:conditionalFormatting xmlns:xm="http://schemas.microsoft.com/office/excel/2006/main">
          <x14:cfRule type="containsText" priority="189" operator="containsText" text="TBA" id="{53140B44-DE14-4324-B688-21631D92BC17}">
            <xm:f>NOT(ISERROR(SEARCH("TBA",'d:\Users\User\Dropbox\Pre-Alerts\.Shreehari---2025\[2025 Master--Pre-alert--updated--2025,18  August Final updated.xlsx]August 2025'!#REF!)))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H38</xm:sqref>
        </x14:conditionalFormatting>
        <x14:conditionalFormatting xmlns:xm="http://schemas.microsoft.com/office/excel/2006/main">
          <x14:cfRule type="containsText" priority="177" operator="containsText" text="TBA" id="{A7F55E06-D039-42F3-8B5C-BA76C6BD23F6}">
            <xm:f>NOT(ISERROR(SEARCH("TBA",'d:\Users\User\Dropbox\Pre-Alerts\.Shreehari---2025\[2025 Master--Pre-alert--updated--2025,18  August Final updated.xlsx]August 2025'!#REF!)))</xm:f>
            <x14:dxf>
              <font>
                <color rgb="FF9C0006"/>
              </font>
              <fill>
                <patternFill patternType="solid">
                  <bgColor rgb="FFFFC7CE"/>
                </patternFill>
              </fill>
            </x14:dxf>
          </x14:cfRule>
          <xm:sqref>I4:J17 I19:J28 I30:J42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80E0E-5BD7-454A-8092-18F765204A27}">
  <dimension ref="A1:AH71"/>
  <sheetViews>
    <sheetView topLeftCell="J1" zoomScale="115" zoomScaleNormal="115" workbookViewId="0">
      <selection activeCell="L19" sqref="L19"/>
    </sheetView>
  </sheetViews>
  <sheetFormatPr defaultColWidth="9.5703125" defaultRowHeight="12.75" customHeight="1"/>
  <cols>
    <col min="1" max="1" width="5" style="2" customWidth="1"/>
    <col min="2" max="2" width="8.85546875" style="2" customWidth="1"/>
    <col min="3" max="3" width="13.42578125" style="2" customWidth="1"/>
    <col min="4" max="4" width="11.140625" style="2" customWidth="1"/>
    <col min="5" max="5" width="19.85546875" style="2" customWidth="1"/>
    <col min="6" max="6" width="9.7109375" style="2" customWidth="1"/>
    <col min="7" max="7" width="8.5703125" style="2" customWidth="1"/>
    <col min="8" max="8" width="9.5703125" style="2" customWidth="1"/>
    <col min="9" max="9" width="28.28515625" style="2" customWidth="1"/>
    <col min="10" max="10" width="25.85546875" style="2" customWidth="1"/>
    <col min="11" max="11" width="12.28515625" style="2" customWidth="1"/>
    <col min="12" max="12" width="9" style="2" customWidth="1"/>
    <col min="13" max="13" width="14.140625" style="2" customWidth="1"/>
    <col min="14" max="14" width="14.5703125" style="29" customWidth="1"/>
    <col min="15" max="15" width="17.5703125" style="2" customWidth="1"/>
    <col min="16" max="16" width="10" style="2" customWidth="1"/>
    <col min="17" max="17" width="10.42578125" style="59" customWidth="1"/>
    <col min="18" max="18" width="10.85546875" style="59" customWidth="1"/>
    <col min="19" max="19" width="13.140625" style="59" customWidth="1"/>
    <col min="20" max="20" width="9" style="2" customWidth="1"/>
    <col min="21" max="21" width="10.42578125" style="59" customWidth="1"/>
    <col min="22" max="22" width="12" style="59" customWidth="1"/>
    <col min="23" max="23" width="10.42578125" style="59" customWidth="1"/>
    <col min="24" max="24" width="12" style="59" customWidth="1"/>
    <col min="25" max="25" width="10.42578125" style="59" customWidth="1"/>
    <col min="26" max="26" width="12" style="59" customWidth="1"/>
    <col min="27" max="27" width="10.42578125" style="59" customWidth="1"/>
    <col min="28" max="28" width="12" style="59" customWidth="1"/>
    <col min="29" max="29" width="18.28515625" style="59" bestFit="1" customWidth="1"/>
    <col min="30" max="30" width="13" style="59" bestFit="1" customWidth="1"/>
    <col min="31" max="31" width="9" style="2" bestFit="1" customWidth="1"/>
    <col min="32" max="32" width="10" style="2" bestFit="1" customWidth="1"/>
    <col min="33" max="16384" width="9.5703125" style="2"/>
  </cols>
  <sheetData>
    <row r="1" spans="1:34" s="1" customFormat="1" ht="12.75" customHeight="1">
      <c r="A1" s="9" t="s">
        <v>0</v>
      </c>
      <c r="B1" s="10"/>
      <c r="C1" s="10"/>
      <c r="D1" s="10"/>
      <c r="E1" s="10"/>
      <c r="F1" s="11"/>
      <c r="G1" s="10"/>
      <c r="H1" s="10"/>
      <c r="I1" s="10"/>
      <c r="J1" s="10"/>
      <c r="K1" s="10"/>
      <c r="L1" s="13">
        <f>SUM(L4:L23)</f>
        <v>701.46299999999985</v>
      </c>
      <c r="M1" s="13">
        <f>SUM(M4:M23)</f>
        <v>702</v>
      </c>
      <c r="N1" s="10"/>
      <c r="O1" s="10"/>
      <c r="P1" s="10"/>
      <c r="Q1" s="55"/>
      <c r="R1" s="55"/>
      <c r="S1" s="55"/>
      <c r="T1" s="10"/>
      <c r="U1" s="55"/>
      <c r="V1" s="55"/>
      <c r="W1" s="55"/>
      <c r="X1" s="55"/>
      <c r="Y1" s="55"/>
      <c r="Z1" s="55"/>
      <c r="AA1" s="55"/>
      <c r="AB1" s="55"/>
      <c r="AC1" s="55"/>
      <c r="AD1" s="55"/>
      <c r="AE1" s="10"/>
      <c r="AF1" s="14"/>
    </row>
    <row r="2" spans="1:34" ht="12.75" customHeight="1">
      <c r="A2" s="84" t="s">
        <v>1</v>
      </c>
      <c r="B2" s="84" t="s">
        <v>2</v>
      </c>
      <c r="C2" s="84" t="s">
        <v>3</v>
      </c>
      <c r="D2" s="84" t="s">
        <v>4</v>
      </c>
      <c r="E2" s="84" t="s">
        <v>5</v>
      </c>
      <c r="F2" s="84" t="s">
        <v>6</v>
      </c>
      <c r="G2" s="84" t="s">
        <v>7</v>
      </c>
      <c r="H2" s="84" t="s">
        <v>8</v>
      </c>
      <c r="I2" s="239" t="s">
        <v>31</v>
      </c>
      <c r="J2" s="240"/>
      <c r="K2" s="84" t="s">
        <v>9</v>
      </c>
      <c r="L2" s="84" t="s">
        <v>10</v>
      </c>
      <c r="M2" s="84" t="s">
        <v>32</v>
      </c>
      <c r="N2" s="84" t="s">
        <v>11</v>
      </c>
      <c r="O2" s="82" t="s">
        <v>12</v>
      </c>
      <c r="P2" s="18" t="s">
        <v>13</v>
      </c>
      <c r="Q2" s="81" t="s">
        <v>14</v>
      </c>
      <c r="R2" s="81"/>
      <c r="S2" s="81"/>
      <c r="T2" s="81"/>
      <c r="U2" s="238" t="s">
        <v>15</v>
      </c>
      <c r="V2" s="238"/>
      <c r="W2" s="238" t="s">
        <v>16</v>
      </c>
      <c r="X2" s="238"/>
      <c r="Y2" s="238" t="s">
        <v>17</v>
      </c>
      <c r="Z2" s="238"/>
      <c r="AA2" s="238" t="s">
        <v>18</v>
      </c>
      <c r="AB2" s="238"/>
      <c r="AC2" s="232" t="s">
        <v>19</v>
      </c>
      <c r="AD2" s="232"/>
      <c r="AE2" s="232"/>
      <c r="AF2" s="236" t="s">
        <v>28</v>
      </c>
    </row>
    <row r="3" spans="1:34" ht="12.75" customHeight="1">
      <c r="A3" s="85"/>
      <c r="B3" s="85"/>
      <c r="C3" s="85"/>
      <c r="D3" s="85"/>
      <c r="E3" s="85"/>
      <c r="F3" s="85"/>
      <c r="G3" s="85"/>
      <c r="H3" s="85"/>
      <c r="I3" s="17" t="s">
        <v>20</v>
      </c>
      <c r="J3" s="17" t="s">
        <v>30</v>
      </c>
      <c r="K3" s="85"/>
      <c r="L3" s="85"/>
      <c r="M3" s="85"/>
      <c r="N3" s="85"/>
      <c r="O3" s="83"/>
      <c r="P3" s="18" t="s">
        <v>21</v>
      </c>
      <c r="Q3" s="56" t="s">
        <v>22</v>
      </c>
      <c r="R3" s="56" t="s">
        <v>23</v>
      </c>
      <c r="S3" s="56" t="s">
        <v>24</v>
      </c>
      <c r="T3" s="19" t="s">
        <v>25</v>
      </c>
      <c r="U3" s="57" t="s">
        <v>22</v>
      </c>
      <c r="V3" s="57" t="s">
        <v>26</v>
      </c>
      <c r="W3" s="57" t="s">
        <v>22</v>
      </c>
      <c r="X3" s="57" t="s">
        <v>26</v>
      </c>
      <c r="Y3" s="57" t="s">
        <v>22</v>
      </c>
      <c r="Z3" s="57" t="s">
        <v>26</v>
      </c>
      <c r="AA3" s="57" t="s">
        <v>22</v>
      </c>
      <c r="AB3" s="57" t="s">
        <v>26</v>
      </c>
      <c r="AC3" s="58" t="s">
        <v>19</v>
      </c>
      <c r="AD3" s="57" t="s">
        <v>27</v>
      </c>
      <c r="AE3" s="22" t="s">
        <v>25</v>
      </c>
      <c r="AF3" s="237"/>
    </row>
    <row r="4" spans="1:34" customFormat="1" ht="13.5" customHeight="1">
      <c r="A4" s="167">
        <v>1</v>
      </c>
      <c r="B4" s="23" t="s">
        <v>204</v>
      </c>
      <c r="C4" s="154" t="s">
        <v>1324</v>
      </c>
      <c r="D4" s="3" t="s">
        <v>29</v>
      </c>
      <c r="E4" s="170" t="s">
        <v>1653</v>
      </c>
      <c r="F4" s="168" t="s">
        <v>764</v>
      </c>
      <c r="G4" s="169" t="s">
        <v>765</v>
      </c>
      <c r="H4" s="169" t="s">
        <v>766</v>
      </c>
      <c r="I4" s="170" t="s">
        <v>774</v>
      </c>
      <c r="J4" s="170" t="s">
        <v>1583</v>
      </c>
      <c r="K4" s="169" t="s">
        <v>1600</v>
      </c>
      <c r="L4" s="170">
        <v>34.325000000000003</v>
      </c>
      <c r="M4" s="170">
        <v>35</v>
      </c>
      <c r="N4" s="3" t="s">
        <v>244</v>
      </c>
      <c r="O4" s="4" t="s">
        <v>687</v>
      </c>
      <c r="P4" s="171">
        <v>45924</v>
      </c>
      <c r="Q4" s="171">
        <v>45924</v>
      </c>
      <c r="R4" s="66">
        <v>45929</v>
      </c>
      <c r="S4" s="66">
        <v>45938</v>
      </c>
      <c r="T4" s="172">
        <f>S4-Q4</f>
        <v>14</v>
      </c>
      <c r="U4" s="66">
        <v>45941</v>
      </c>
      <c r="V4" s="66">
        <v>45946</v>
      </c>
      <c r="W4" s="66">
        <v>45946</v>
      </c>
      <c r="X4" s="66">
        <v>45947</v>
      </c>
      <c r="Y4" s="66">
        <v>45962</v>
      </c>
      <c r="Z4" s="66">
        <v>45963</v>
      </c>
      <c r="AA4" s="66">
        <v>45963</v>
      </c>
      <c r="AB4" s="66">
        <v>45969</v>
      </c>
      <c r="AC4" s="66">
        <v>45974</v>
      </c>
      <c r="AD4" s="66">
        <v>45978</v>
      </c>
      <c r="AE4" s="54">
        <v>9</v>
      </c>
      <c r="AF4" s="16"/>
      <c r="AG4" s="2"/>
      <c r="AH4" s="2"/>
    </row>
    <row r="5" spans="1:34" customFormat="1" ht="12.75" customHeight="1">
      <c r="A5" s="167">
        <v>2</v>
      </c>
      <c r="B5" s="23" t="s">
        <v>204</v>
      </c>
      <c r="C5" s="154" t="s">
        <v>1324</v>
      </c>
      <c r="D5" s="3" t="s">
        <v>29</v>
      </c>
      <c r="E5" s="170" t="s">
        <v>1652</v>
      </c>
      <c r="F5" s="168" t="s">
        <v>1544</v>
      </c>
      <c r="G5" s="169" t="s">
        <v>1545</v>
      </c>
      <c r="H5" s="169" t="s">
        <v>1546</v>
      </c>
      <c r="I5" s="170" t="s">
        <v>1568</v>
      </c>
      <c r="J5" s="170" t="s">
        <v>1586</v>
      </c>
      <c r="K5" s="169" t="s">
        <v>1602</v>
      </c>
      <c r="L5" s="170">
        <v>35.262999999999998</v>
      </c>
      <c r="M5" s="170">
        <v>35</v>
      </c>
      <c r="N5" s="3" t="s">
        <v>244</v>
      </c>
      <c r="O5" s="4" t="s">
        <v>687</v>
      </c>
      <c r="P5" s="171">
        <v>45923</v>
      </c>
      <c r="Q5" s="171">
        <v>45923</v>
      </c>
      <c r="R5" s="66">
        <v>45926</v>
      </c>
      <c r="S5" s="66">
        <v>45934</v>
      </c>
      <c r="T5" s="172">
        <f t="shared" ref="T5:T23" si="0">S5-Q5</f>
        <v>11</v>
      </c>
      <c r="U5" s="66">
        <v>45936</v>
      </c>
      <c r="V5" s="66">
        <v>45940</v>
      </c>
      <c r="W5" s="66">
        <v>45940</v>
      </c>
      <c r="X5" s="66">
        <v>45942</v>
      </c>
      <c r="Y5" s="66">
        <v>45946</v>
      </c>
      <c r="Z5" s="66">
        <v>45949</v>
      </c>
      <c r="AA5" s="66">
        <v>45949</v>
      </c>
      <c r="AB5" s="66">
        <v>45957</v>
      </c>
      <c r="AC5" s="66">
        <v>45970</v>
      </c>
      <c r="AD5" s="66">
        <v>45974</v>
      </c>
      <c r="AE5" s="54">
        <f t="shared" ref="AE5:AE7" si="1">MAX(0,AD5-AB5)</f>
        <v>17</v>
      </c>
      <c r="AF5" s="16"/>
      <c r="AG5" s="2"/>
      <c r="AH5" s="2"/>
    </row>
    <row r="6" spans="1:34" customFormat="1" ht="12.75" customHeight="1">
      <c r="A6" s="167">
        <v>3</v>
      </c>
      <c r="B6" s="23" t="s">
        <v>204</v>
      </c>
      <c r="C6" s="154" t="s">
        <v>1324</v>
      </c>
      <c r="D6" s="3" t="s">
        <v>29</v>
      </c>
      <c r="E6" s="170" t="s">
        <v>1654</v>
      </c>
      <c r="F6" s="168" t="s">
        <v>1522</v>
      </c>
      <c r="G6" s="169" t="s">
        <v>80</v>
      </c>
      <c r="H6" s="169" t="s">
        <v>1523</v>
      </c>
      <c r="I6" s="170" t="s">
        <v>1560</v>
      </c>
      <c r="J6" s="173" t="s">
        <v>1575</v>
      </c>
      <c r="K6" s="169" t="s">
        <v>1593</v>
      </c>
      <c r="L6" s="170">
        <v>34.954000000000001</v>
      </c>
      <c r="M6" s="170">
        <v>35</v>
      </c>
      <c r="N6" s="3" t="s">
        <v>244</v>
      </c>
      <c r="O6" s="4" t="s">
        <v>687</v>
      </c>
      <c r="P6" s="171">
        <v>45927</v>
      </c>
      <c r="Q6" s="171">
        <v>45927</v>
      </c>
      <c r="R6" s="66">
        <v>45929</v>
      </c>
      <c r="S6" s="66">
        <v>45938</v>
      </c>
      <c r="T6" s="172">
        <f>S6-Q6</f>
        <v>11</v>
      </c>
      <c r="U6" s="66">
        <v>45941</v>
      </c>
      <c r="V6" s="66">
        <v>45946</v>
      </c>
      <c r="W6" s="66">
        <v>45946</v>
      </c>
      <c r="X6" s="66">
        <v>45947</v>
      </c>
      <c r="Y6" s="66">
        <v>45950</v>
      </c>
      <c r="Z6" s="66">
        <v>45951</v>
      </c>
      <c r="AA6" s="66">
        <v>45951</v>
      </c>
      <c r="AB6" s="66">
        <v>45953</v>
      </c>
      <c r="AC6" s="66">
        <v>45957</v>
      </c>
      <c r="AD6" s="66">
        <v>45967</v>
      </c>
      <c r="AE6" s="54">
        <f t="shared" ref="AE6" si="2">MAX(0,AD6-AB6)</f>
        <v>14</v>
      </c>
      <c r="AF6" s="16"/>
      <c r="AG6" s="2"/>
      <c r="AH6" s="2"/>
    </row>
    <row r="7" spans="1:34" customFormat="1" ht="14.25" customHeight="1">
      <c r="A7" s="167">
        <v>4</v>
      </c>
      <c r="B7" s="23" t="s">
        <v>204</v>
      </c>
      <c r="C7" s="154" t="s">
        <v>1324</v>
      </c>
      <c r="D7" s="3" t="s">
        <v>29</v>
      </c>
      <c r="E7" s="170" t="s">
        <v>1638</v>
      </c>
      <c r="F7" s="168" t="s">
        <v>290</v>
      </c>
      <c r="G7" s="169" t="s">
        <v>291</v>
      </c>
      <c r="H7" s="169" t="s">
        <v>292</v>
      </c>
      <c r="I7" s="170" t="s">
        <v>1003</v>
      </c>
      <c r="J7" s="170" t="s">
        <v>1578</v>
      </c>
      <c r="K7" s="169" t="s">
        <v>1013</v>
      </c>
      <c r="L7" s="170">
        <v>34.506</v>
      </c>
      <c r="M7" s="170">
        <v>35</v>
      </c>
      <c r="N7" s="3" t="s">
        <v>244</v>
      </c>
      <c r="O7" s="4" t="s">
        <v>687</v>
      </c>
      <c r="P7" s="171">
        <v>45920</v>
      </c>
      <c r="Q7" s="171">
        <v>45920</v>
      </c>
      <c r="R7" s="4">
        <v>45922</v>
      </c>
      <c r="S7" s="66">
        <v>45930</v>
      </c>
      <c r="T7" s="172">
        <f t="shared" si="0"/>
        <v>10</v>
      </c>
      <c r="U7" s="66">
        <v>45931</v>
      </c>
      <c r="V7" s="66">
        <v>45938</v>
      </c>
      <c r="W7" s="66">
        <v>45938</v>
      </c>
      <c r="X7" s="66">
        <v>45939</v>
      </c>
      <c r="Y7" s="66">
        <v>45948</v>
      </c>
      <c r="Z7" s="66">
        <v>45949</v>
      </c>
      <c r="AA7" s="66">
        <v>45949</v>
      </c>
      <c r="AB7" s="66">
        <v>45951</v>
      </c>
      <c r="AC7" s="66">
        <v>45956</v>
      </c>
      <c r="AD7" s="66">
        <v>45958</v>
      </c>
      <c r="AE7" s="54">
        <f t="shared" si="1"/>
        <v>7</v>
      </c>
      <c r="AF7" s="16"/>
      <c r="AG7" s="2"/>
      <c r="AH7" s="2"/>
    </row>
    <row r="8" spans="1:34" customFormat="1" ht="12.75" customHeight="1">
      <c r="A8" s="167">
        <v>5</v>
      </c>
      <c r="B8" s="23" t="s">
        <v>204</v>
      </c>
      <c r="C8" s="154" t="s">
        <v>1324</v>
      </c>
      <c r="D8" s="3" t="s">
        <v>29</v>
      </c>
      <c r="E8" s="170" t="s">
        <v>1642</v>
      </c>
      <c r="F8" s="168" t="s">
        <v>1532</v>
      </c>
      <c r="G8" s="169" t="s">
        <v>1533</v>
      </c>
      <c r="H8" s="169" t="s">
        <v>1534</v>
      </c>
      <c r="I8" s="170" t="s">
        <v>1564</v>
      </c>
      <c r="J8" s="170" t="s">
        <v>1580</v>
      </c>
      <c r="K8" s="169" t="s">
        <v>1597</v>
      </c>
      <c r="L8" s="170">
        <v>35.078000000000003</v>
      </c>
      <c r="M8" s="170">
        <v>35</v>
      </c>
      <c r="N8" s="3" t="s">
        <v>244</v>
      </c>
      <c r="O8" s="4" t="s">
        <v>687</v>
      </c>
      <c r="P8" s="171">
        <v>45915</v>
      </c>
      <c r="Q8" s="171">
        <v>45915</v>
      </c>
      <c r="R8" s="66">
        <v>45918</v>
      </c>
      <c r="S8" s="66">
        <v>45926</v>
      </c>
      <c r="T8" s="172">
        <f t="shared" si="0"/>
        <v>11</v>
      </c>
      <c r="U8" s="66">
        <v>45937</v>
      </c>
      <c r="V8" s="66">
        <v>45939</v>
      </c>
      <c r="W8" s="66">
        <v>45942</v>
      </c>
      <c r="X8" s="66">
        <v>45943</v>
      </c>
      <c r="Y8" s="66">
        <v>45946</v>
      </c>
      <c r="Z8" s="66">
        <v>45949</v>
      </c>
      <c r="AA8" s="66">
        <v>45949</v>
      </c>
      <c r="AB8" s="66">
        <v>45951</v>
      </c>
      <c r="AC8" s="66">
        <v>45953</v>
      </c>
      <c r="AD8" s="66">
        <v>45955</v>
      </c>
      <c r="AE8" s="54">
        <f>MAX(0,AD8-AB8)</f>
        <v>4</v>
      </c>
      <c r="AF8" s="16"/>
      <c r="AG8" s="2"/>
      <c r="AH8" s="2"/>
    </row>
    <row r="9" spans="1:34" customFormat="1" ht="12.75" customHeight="1">
      <c r="A9" s="167">
        <v>6</v>
      </c>
      <c r="B9" s="23" t="s">
        <v>204</v>
      </c>
      <c r="C9" s="154" t="s">
        <v>1324</v>
      </c>
      <c r="D9" s="3" t="s">
        <v>29</v>
      </c>
      <c r="E9" s="170" t="s">
        <v>1650</v>
      </c>
      <c r="F9" s="168" t="s">
        <v>1527</v>
      </c>
      <c r="G9" s="169" t="s">
        <v>1528</v>
      </c>
      <c r="H9" s="169" t="s">
        <v>1529</v>
      </c>
      <c r="I9" s="170" t="s">
        <v>1562</v>
      </c>
      <c r="J9" s="170" t="s">
        <v>1577</v>
      </c>
      <c r="K9" s="169" t="s">
        <v>1595</v>
      </c>
      <c r="L9" s="170">
        <v>36.173999999999999</v>
      </c>
      <c r="M9" s="170">
        <v>36</v>
      </c>
      <c r="N9" s="3" t="s">
        <v>244</v>
      </c>
      <c r="O9" s="4" t="s">
        <v>687</v>
      </c>
      <c r="P9" s="171">
        <v>45918</v>
      </c>
      <c r="Q9" s="171">
        <v>45918</v>
      </c>
      <c r="R9" s="66">
        <v>45919</v>
      </c>
      <c r="S9" s="66">
        <v>45926</v>
      </c>
      <c r="T9" s="172">
        <f t="shared" si="0"/>
        <v>8</v>
      </c>
      <c r="U9" s="66">
        <v>45928</v>
      </c>
      <c r="V9" s="66">
        <v>45931</v>
      </c>
      <c r="W9" s="66">
        <v>45931</v>
      </c>
      <c r="X9" s="66">
        <v>45933</v>
      </c>
      <c r="Y9" s="66">
        <v>45936</v>
      </c>
      <c r="Z9" s="66">
        <v>45936</v>
      </c>
      <c r="AA9" s="66">
        <v>45936</v>
      </c>
      <c r="AB9" s="66">
        <v>45938</v>
      </c>
      <c r="AC9" s="66">
        <v>45947</v>
      </c>
      <c r="AD9" s="66">
        <v>45951</v>
      </c>
      <c r="AE9" s="54">
        <f>MAX(0,AD9-AB9)</f>
        <v>13</v>
      </c>
      <c r="AF9" s="16"/>
      <c r="AG9" s="2"/>
      <c r="AH9" s="2"/>
    </row>
    <row r="10" spans="1:34" customFormat="1" ht="12.75" customHeight="1">
      <c r="A10" s="167">
        <v>7</v>
      </c>
      <c r="B10" s="23" t="s">
        <v>204</v>
      </c>
      <c r="C10" s="154" t="s">
        <v>1324</v>
      </c>
      <c r="D10" s="3" t="s">
        <v>29</v>
      </c>
      <c r="E10" s="170" t="s">
        <v>1636</v>
      </c>
      <c r="F10" s="168" t="s">
        <v>396</v>
      </c>
      <c r="G10" s="169" t="s">
        <v>397</v>
      </c>
      <c r="H10" s="169" t="s">
        <v>398</v>
      </c>
      <c r="I10" s="170" t="s">
        <v>413</v>
      </c>
      <c r="J10" s="170" t="s">
        <v>1584</v>
      </c>
      <c r="K10" s="169" t="s">
        <v>421</v>
      </c>
      <c r="L10" s="170">
        <v>36.078000000000003</v>
      </c>
      <c r="M10" s="170">
        <v>36</v>
      </c>
      <c r="N10" s="3" t="s">
        <v>244</v>
      </c>
      <c r="O10" s="4" t="s">
        <v>687</v>
      </c>
      <c r="P10" s="171">
        <v>45920</v>
      </c>
      <c r="Q10" s="171">
        <v>45920</v>
      </c>
      <c r="R10" s="4">
        <v>45922</v>
      </c>
      <c r="S10" s="66">
        <v>45930</v>
      </c>
      <c r="T10" s="172">
        <f t="shared" si="0"/>
        <v>10</v>
      </c>
      <c r="U10" s="66">
        <v>45931</v>
      </c>
      <c r="V10" s="66">
        <v>45938</v>
      </c>
      <c r="W10" s="66">
        <v>45938</v>
      </c>
      <c r="X10" s="66">
        <v>45939</v>
      </c>
      <c r="Y10" s="66">
        <v>45941</v>
      </c>
      <c r="Z10" s="66">
        <v>45942</v>
      </c>
      <c r="AA10" s="66">
        <v>45942</v>
      </c>
      <c r="AB10" s="66">
        <v>45943</v>
      </c>
      <c r="AC10" s="66">
        <v>45948</v>
      </c>
      <c r="AD10" s="66">
        <v>45951</v>
      </c>
      <c r="AE10" s="54">
        <f>MAX(0,AD10-AB10)</f>
        <v>8</v>
      </c>
      <c r="AF10" s="36"/>
      <c r="AG10" s="2"/>
      <c r="AH10" s="2"/>
    </row>
    <row r="11" spans="1:34" customFormat="1" ht="13.5" customHeight="1">
      <c r="A11" s="167">
        <v>8</v>
      </c>
      <c r="B11" s="23" t="s">
        <v>204</v>
      </c>
      <c r="C11" s="154" t="s">
        <v>1324</v>
      </c>
      <c r="D11" s="3" t="s">
        <v>29</v>
      </c>
      <c r="E11" s="170" t="s">
        <v>1637</v>
      </c>
      <c r="F11" s="168" t="s">
        <v>770</v>
      </c>
      <c r="G11" s="169" t="s">
        <v>771</v>
      </c>
      <c r="H11" s="169" t="s">
        <v>772</v>
      </c>
      <c r="I11" s="170" t="s">
        <v>1558</v>
      </c>
      <c r="J11" s="170" t="s">
        <v>1574</v>
      </c>
      <c r="K11" s="169" t="s">
        <v>1592</v>
      </c>
      <c r="L11" s="170">
        <v>35.35</v>
      </c>
      <c r="M11" s="170">
        <v>36</v>
      </c>
      <c r="N11" s="3" t="s">
        <v>244</v>
      </c>
      <c r="O11" s="4" t="s">
        <v>687</v>
      </c>
      <c r="P11" s="171">
        <v>45920</v>
      </c>
      <c r="Q11" s="171">
        <v>45920</v>
      </c>
      <c r="R11" s="4">
        <v>45922</v>
      </c>
      <c r="S11" s="66">
        <v>45930</v>
      </c>
      <c r="T11" s="172">
        <f t="shared" si="0"/>
        <v>10</v>
      </c>
      <c r="U11" s="66">
        <v>45931</v>
      </c>
      <c r="V11" s="66">
        <v>45938</v>
      </c>
      <c r="W11" s="66">
        <v>45938</v>
      </c>
      <c r="X11" s="66">
        <v>45939</v>
      </c>
      <c r="Y11" s="66">
        <v>45942</v>
      </c>
      <c r="Z11" s="66">
        <v>45942</v>
      </c>
      <c r="AA11" s="66">
        <v>45942</v>
      </c>
      <c r="AB11" s="66">
        <v>45944</v>
      </c>
      <c r="AC11" s="66">
        <v>45947</v>
      </c>
      <c r="AD11" s="66">
        <v>45951</v>
      </c>
      <c r="AE11" s="54">
        <f>MAX(0,AD11-AB11)</f>
        <v>7</v>
      </c>
      <c r="AF11" s="16"/>
      <c r="AG11" s="2"/>
      <c r="AH11" s="2"/>
    </row>
    <row r="12" spans="1:34" customFormat="1" ht="12.75" customHeight="1">
      <c r="A12" s="167">
        <v>9</v>
      </c>
      <c r="B12" s="23" t="s">
        <v>204</v>
      </c>
      <c r="C12" s="154" t="s">
        <v>1324</v>
      </c>
      <c r="D12" s="3" t="s">
        <v>29</v>
      </c>
      <c r="E12" s="170" t="s">
        <v>1651</v>
      </c>
      <c r="F12" s="168" t="s">
        <v>1541</v>
      </c>
      <c r="G12" s="169" t="s">
        <v>1542</v>
      </c>
      <c r="H12" s="169" t="s">
        <v>1543</v>
      </c>
      <c r="I12" s="170" t="s">
        <v>1567</v>
      </c>
      <c r="J12" s="170" t="s">
        <v>1585</v>
      </c>
      <c r="K12" s="169" t="s">
        <v>1601</v>
      </c>
      <c r="L12" s="112">
        <v>34.375</v>
      </c>
      <c r="M12" s="170">
        <v>35</v>
      </c>
      <c r="N12" s="3" t="s">
        <v>244</v>
      </c>
      <c r="O12" s="4" t="s">
        <v>687</v>
      </c>
      <c r="P12" s="171">
        <v>45923</v>
      </c>
      <c r="Q12" s="171">
        <v>45923</v>
      </c>
      <c r="R12" s="66">
        <v>45926</v>
      </c>
      <c r="S12" s="66">
        <v>45934</v>
      </c>
      <c r="T12" s="172">
        <f t="shared" si="0"/>
        <v>11</v>
      </c>
      <c r="U12" s="66">
        <v>45936</v>
      </c>
      <c r="V12" s="66">
        <v>45938</v>
      </c>
      <c r="W12" s="66">
        <v>45938</v>
      </c>
      <c r="X12" s="66">
        <v>45939</v>
      </c>
      <c r="Y12" s="66">
        <v>45941</v>
      </c>
      <c r="Z12" s="66">
        <v>45942</v>
      </c>
      <c r="AA12" s="66">
        <v>45942</v>
      </c>
      <c r="AB12" s="66">
        <v>45943</v>
      </c>
      <c r="AC12" s="66">
        <v>45946</v>
      </c>
      <c r="AD12" s="66">
        <v>45949</v>
      </c>
      <c r="AE12" s="54">
        <f t="shared" ref="AE12" si="3">MAX(0,AD12-AB12)</f>
        <v>6</v>
      </c>
      <c r="AF12" s="16"/>
      <c r="AG12" s="2"/>
      <c r="AH12" s="2"/>
    </row>
    <row r="13" spans="1:34" customFormat="1" ht="12.75" customHeight="1">
      <c r="A13" s="167">
        <v>10</v>
      </c>
      <c r="B13" s="23" t="s">
        <v>204</v>
      </c>
      <c r="C13" s="154" t="s">
        <v>1324</v>
      </c>
      <c r="D13" s="3" t="s">
        <v>29</v>
      </c>
      <c r="E13" s="170" t="s">
        <v>1639</v>
      </c>
      <c r="F13" s="168" t="s">
        <v>1550</v>
      </c>
      <c r="G13" s="169" t="s">
        <v>1551</v>
      </c>
      <c r="H13" s="169"/>
      <c r="I13" s="170" t="s">
        <v>1570</v>
      </c>
      <c r="J13" s="173" t="s">
        <v>1588</v>
      </c>
      <c r="K13" s="169" t="s">
        <v>1604</v>
      </c>
      <c r="L13" s="170">
        <v>37.5</v>
      </c>
      <c r="M13" s="170">
        <v>37</v>
      </c>
      <c r="N13" s="3" t="s">
        <v>244</v>
      </c>
      <c r="O13" s="4" t="s">
        <v>687</v>
      </c>
      <c r="P13" s="171">
        <v>45919</v>
      </c>
      <c r="Q13" s="171">
        <v>45919</v>
      </c>
      <c r="R13" s="4">
        <v>45922</v>
      </c>
      <c r="S13" s="66">
        <v>45930</v>
      </c>
      <c r="T13" s="172">
        <f t="shared" si="0"/>
        <v>11</v>
      </c>
      <c r="U13" s="66">
        <v>45931</v>
      </c>
      <c r="V13" s="66">
        <v>45938</v>
      </c>
      <c r="W13" s="66">
        <v>45938</v>
      </c>
      <c r="X13" s="66">
        <v>45939</v>
      </c>
      <c r="Y13" s="66">
        <v>45942</v>
      </c>
      <c r="Z13" s="66">
        <v>45942</v>
      </c>
      <c r="AA13" s="66">
        <v>45942</v>
      </c>
      <c r="AB13" s="66">
        <v>45943</v>
      </c>
      <c r="AC13" s="66">
        <v>45946</v>
      </c>
      <c r="AD13" s="66">
        <v>45948</v>
      </c>
      <c r="AE13" s="54">
        <f>MAX(0,AD13-AB13)</f>
        <v>5</v>
      </c>
      <c r="AF13" s="16"/>
      <c r="AG13" s="2"/>
      <c r="AH13" s="2"/>
    </row>
    <row r="14" spans="1:34" customFormat="1" ht="13.5" customHeight="1">
      <c r="A14" s="167">
        <v>11</v>
      </c>
      <c r="B14" s="23" t="s">
        <v>204</v>
      </c>
      <c r="C14" s="154" t="s">
        <v>1324</v>
      </c>
      <c r="D14" s="3" t="s">
        <v>29</v>
      </c>
      <c r="E14" s="170" t="s">
        <v>1640</v>
      </c>
      <c r="F14" s="168" t="s">
        <v>1547</v>
      </c>
      <c r="G14" s="169" t="s">
        <v>1548</v>
      </c>
      <c r="H14" s="169" t="s">
        <v>1549</v>
      </c>
      <c r="I14" s="170" t="s">
        <v>1569</v>
      </c>
      <c r="J14" s="170" t="s">
        <v>1587</v>
      </c>
      <c r="K14" s="169" t="s">
        <v>1603</v>
      </c>
      <c r="L14" s="170">
        <v>34.83</v>
      </c>
      <c r="M14" s="170">
        <v>35</v>
      </c>
      <c r="N14" s="3" t="s">
        <v>244</v>
      </c>
      <c r="O14" s="4" t="s">
        <v>687</v>
      </c>
      <c r="P14" s="171">
        <v>45918</v>
      </c>
      <c r="Q14" s="171">
        <v>45918</v>
      </c>
      <c r="R14" s="4">
        <v>45922</v>
      </c>
      <c r="S14" s="66">
        <v>45931</v>
      </c>
      <c r="T14" s="172">
        <f t="shared" si="0"/>
        <v>13</v>
      </c>
      <c r="U14" s="66">
        <v>45932</v>
      </c>
      <c r="V14" s="66">
        <v>45934</v>
      </c>
      <c r="W14" s="66">
        <v>45934</v>
      </c>
      <c r="X14" s="66">
        <v>45934</v>
      </c>
      <c r="Y14" s="66">
        <v>45938</v>
      </c>
      <c r="Z14" s="66">
        <v>45939</v>
      </c>
      <c r="AA14" s="66">
        <v>45939</v>
      </c>
      <c r="AB14" s="66">
        <v>45943</v>
      </c>
      <c r="AC14" s="66">
        <v>45946</v>
      </c>
      <c r="AD14" s="66">
        <v>45948</v>
      </c>
      <c r="AE14" s="54">
        <f>MAX(0,AD14-AB14)</f>
        <v>5</v>
      </c>
      <c r="AF14" s="16"/>
      <c r="AG14" s="2"/>
      <c r="AH14" s="2"/>
    </row>
    <row r="15" spans="1:34" customFormat="1" ht="12.75" customHeight="1">
      <c r="A15" s="167">
        <v>12</v>
      </c>
      <c r="B15" s="23" t="s">
        <v>204</v>
      </c>
      <c r="C15" s="154" t="s">
        <v>1324</v>
      </c>
      <c r="D15" s="3" t="s">
        <v>29</v>
      </c>
      <c r="E15" s="170" t="s">
        <v>1647</v>
      </c>
      <c r="F15" s="168" t="s">
        <v>1535</v>
      </c>
      <c r="G15" s="169" t="s">
        <v>1536</v>
      </c>
      <c r="H15" s="169" t="s">
        <v>1537</v>
      </c>
      <c r="I15" s="170" t="s">
        <v>1565</v>
      </c>
      <c r="J15" s="170" t="s">
        <v>1581</v>
      </c>
      <c r="K15" s="169" t="s">
        <v>1598</v>
      </c>
      <c r="L15" s="170">
        <v>35.515999999999998</v>
      </c>
      <c r="M15" s="170">
        <v>35</v>
      </c>
      <c r="N15" s="3" t="s">
        <v>244</v>
      </c>
      <c r="O15" s="4" t="s">
        <v>687</v>
      </c>
      <c r="P15" s="171">
        <v>45918</v>
      </c>
      <c r="Q15" s="171">
        <v>45918</v>
      </c>
      <c r="R15" s="66">
        <v>45919</v>
      </c>
      <c r="S15" s="66">
        <v>45926</v>
      </c>
      <c r="T15" s="172">
        <f t="shared" si="0"/>
        <v>8</v>
      </c>
      <c r="U15" s="66">
        <v>45928</v>
      </c>
      <c r="V15" s="66">
        <v>45932</v>
      </c>
      <c r="W15" s="66">
        <v>45933</v>
      </c>
      <c r="X15" s="66">
        <v>45934</v>
      </c>
      <c r="Y15" s="66">
        <v>45939</v>
      </c>
      <c r="Z15" s="66">
        <v>45939</v>
      </c>
      <c r="AA15" s="66">
        <v>45939</v>
      </c>
      <c r="AB15" s="66">
        <v>45940</v>
      </c>
      <c r="AC15" s="66">
        <v>45942</v>
      </c>
      <c r="AD15" s="66">
        <v>45947</v>
      </c>
      <c r="AE15" s="54">
        <f t="shared" ref="AE15" si="4">MAX(0,AD15-AB15)</f>
        <v>7</v>
      </c>
      <c r="AF15" s="16"/>
      <c r="AG15" s="2"/>
      <c r="AH15" s="2"/>
    </row>
    <row r="16" spans="1:34" customFormat="1" ht="13.5" customHeight="1">
      <c r="A16" s="167">
        <v>13</v>
      </c>
      <c r="B16" s="23" t="s">
        <v>204</v>
      </c>
      <c r="C16" s="154" t="s">
        <v>1324</v>
      </c>
      <c r="D16" s="3" t="s">
        <v>29</v>
      </c>
      <c r="E16" s="170" t="s">
        <v>1645</v>
      </c>
      <c r="F16" s="168" t="s">
        <v>1084</v>
      </c>
      <c r="G16" s="169" t="s">
        <v>1085</v>
      </c>
      <c r="H16" s="169" t="s">
        <v>1105</v>
      </c>
      <c r="I16" s="170" t="s">
        <v>1559</v>
      </c>
      <c r="J16" s="170" t="s">
        <v>1124</v>
      </c>
      <c r="K16" s="169" t="s">
        <v>1137</v>
      </c>
      <c r="L16" s="170">
        <v>35.517000000000003</v>
      </c>
      <c r="M16" s="170">
        <v>35</v>
      </c>
      <c r="N16" s="3" t="s">
        <v>244</v>
      </c>
      <c r="O16" s="4" t="s">
        <v>687</v>
      </c>
      <c r="P16" s="171">
        <v>45915</v>
      </c>
      <c r="Q16" s="171">
        <v>45915</v>
      </c>
      <c r="R16" s="66">
        <v>45917</v>
      </c>
      <c r="S16" s="66">
        <v>45927</v>
      </c>
      <c r="T16" s="172">
        <f t="shared" si="0"/>
        <v>12</v>
      </c>
      <c r="U16" s="66">
        <v>45929</v>
      </c>
      <c r="V16" s="66">
        <v>45931</v>
      </c>
      <c r="W16" s="66">
        <v>45931</v>
      </c>
      <c r="X16" s="66">
        <v>45933</v>
      </c>
      <c r="Y16" s="66">
        <v>45934</v>
      </c>
      <c r="Z16" s="66">
        <v>45936</v>
      </c>
      <c r="AA16" s="66">
        <v>45936</v>
      </c>
      <c r="AB16" s="66">
        <v>45938</v>
      </c>
      <c r="AC16" s="66">
        <v>45941</v>
      </c>
      <c r="AD16" s="66">
        <v>45946</v>
      </c>
      <c r="AE16" s="54">
        <f>MAX(0,AD16-AB16)</f>
        <v>8</v>
      </c>
      <c r="AF16" s="16"/>
      <c r="AG16" s="2"/>
      <c r="AH16" s="2"/>
    </row>
    <row r="17" spans="1:34" customFormat="1" ht="12.75" customHeight="1">
      <c r="A17" s="167">
        <v>14</v>
      </c>
      <c r="B17" s="23" t="s">
        <v>204</v>
      </c>
      <c r="C17" s="154" t="s">
        <v>1324</v>
      </c>
      <c r="D17" s="3" t="s">
        <v>29</v>
      </c>
      <c r="E17" s="170" t="s">
        <v>1649</v>
      </c>
      <c r="F17" s="168" t="s">
        <v>1538</v>
      </c>
      <c r="G17" s="169" t="s">
        <v>1539</v>
      </c>
      <c r="H17" s="169" t="s">
        <v>1540</v>
      </c>
      <c r="I17" s="170" t="s">
        <v>1566</v>
      </c>
      <c r="J17" s="170" t="s">
        <v>1582</v>
      </c>
      <c r="K17" s="169" t="s">
        <v>1599</v>
      </c>
      <c r="L17" s="170">
        <v>35.692999999999998</v>
      </c>
      <c r="M17" s="170">
        <v>35</v>
      </c>
      <c r="N17" s="3" t="s">
        <v>244</v>
      </c>
      <c r="O17" s="4" t="s">
        <v>687</v>
      </c>
      <c r="P17" s="171">
        <v>45918</v>
      </c>
      <c r="Q17" s="171">
        <v>45918</v>
      </c>
      <c r="R17" s="66">
        <v>45919</v>
      </c>
      <c r="S17" s="66">
        <v>45926</v>
      </c>
      <c r="T17" s="172">
        <f t="shared" si="0"/>
        <v>8</v>
      </c>
      <c r="U17" s="66">
        <v>45928</v>
      </c>
      <c r="V17" s="66">
        <v>45931</v>
      </c>
      <c r="W17" s="66">
        <v>45931</v>
      </c>
      <c r="X17" s="66">
        <v>45931</v>
      </c>
      <c r="Y17" s="66">
        <v>45934</v>
      </c>
      <c r="Z17" s="66">
        <v>45936</v>
      </c>
      <c r="AA17" s="66">
        <v>45936</v>
      </c>
      <c r="AB17" s="66">
        <v>45940</v>
      </c>
      <c r="AC17" s="66">
        <v>45942</v>
      </c>
      <c r="AD17" s="66">
        <v>45944</v>
      </c>
      <c r="AE17" s="54">
        <f>MAX(0,AD17-AB17)</f>
        <v>4</v>
      </c>
      <c r="AF17" s="16"/>
      <c r="AG17" s="2"/>
      <c r="AH17" s="2"/>
    </row>
    <row r="18" spans="1:34" customFormat="1" ht="12.75" customHeight="1">
      <c r="A18" s="167">
        <v>15</v>
      </c>
      <c r="B18" s="23" t="s">
        <v>204</v>
      </c>
      <c r="C18" s="154" t="s">
        <v>1324</v>
      </c>
      <c r="D18" s="3" t="s">
        <v>29</v>
      </c>
      <c r="E18" s="170" t="s">
        <v>1644</v>
      </c>
      <c r="F18" s="168" t="s">
        <v>1524</v>
      </c>
      <c r="G18" s="169" t="s">
        <v>1525</v>
      </c>
      <c r="H18" s="169" t="s">
        <v>1526</v>
      </c>
      <c r="I18" s="170" t="s">
        <v>1561</v>
      </c>
      <c r="J18" s="170" t="s">
        <v>1576</v>
      </c>
      <c r="K18" s="169" t="s">
        <v>1594</v>
      </c>
      <c r="L18" s="170">
        <v>34.957999999999998</v>
      </c>
      <c r="M18" s="170">
        <v>35</v>
      </c>
      <c r="N18" s="3" t="s">
        <v>244</v>
      </c>
      <c r="O18" s="4" t="s">
        <v>687</v>
      </c>
      <c r="P18" s="171">
        <v>45915</v>
      </c>
      <c r="Q18" s="171">
        <v>45915</v>
      </c>
      <c r="R18" s="66">
        <v>45918</v>
      </c>
      <c r="S18" s="66">
        <v>45927</v>
      </c>
      <c r="T18" s="172">
        <f t="shared" si="0"/>
        <v>12</v>
      </c>
      <c r="U18" s="66">
        <v>45929</v>
      </c>
      <c r="V18" s="66">
        <v>45931</v>
      </c>
      <c r="W18" s="66">
        <v>45931</v>
      </c>
      <c r="X18" s="66">
        <v>45933</v>
      </c>
      <c r="Y18" s="66">
        <v>45934</v>
      </c>
      <c r="Z18" s="66">
        <v>45936</v>
      </c>
      <c r="AA18" s="66">
        <v>45936</v>
      </c>
      <c r="AB18" s="66">
        <v>45938</v>
      </c>
      <c r="AC18" s="66">
        <v>45941</v>
      </c>
      <c r="AD18" s="66">
        <v>45944</v>
      </c>
      <c r="AE18" s="54">
        <f>MAX(0,AD18-AB18)</f>
        <v>6</v>
      </c>
      <c r="AF18" s="16"/>
      <c r="AG18" s="2"/>
      <c r="AH18" s="2"/>
    </row>
    <row r="19" spans="1:34" customFormat="1" ht="12.75" customHeight="1">
      <c r="A19" s="167">
        <v>16</v>
      </c>
      <c r="B19" s="23" t="s">
        <v>204</v>
      </c>
      <c r="C19" s="154" t="s">
        <v>1324</v>
      </c>
      <c r="D19" s="3" t="s">
        <v>29</v>
      </c>
      <c r="E19" s="170" t="s">
        <v>1641</v>
      </c>
      <c r="F19" s="3" t="s">
        <v>1493</v>
      </c>
      <c r="G19" s="3" t="s">
        <v>1494</v>
      </c>
      <c r="H19" s="3" t="s">
        <v>1495</v>
      </c>
      <c r="I19" s="23" t="s">
        <v>1502</v>
      </c>
      <c r="J19" s="3" t="s">
        <v>1509</v>
      </c>
      <c r="K19" s="169" t="s">
        <v>1514</v>
      </c>
      <c r="L19" s="23">
        <v>35.756</v>
      </c>
      <c r="M19" s="27">
        <v>36</v>
      </c>
      <c r="N19" s="3" t="s">
        <v>244</v>
      </c>
      <c r="O19" s="4" t="s">
        <v>687</v>
      </c>
      <c r="P19" s="4">
        <v>45915</v>
      </c>
      <c r="Q19" s="4">
        <v>45915</v>
      </c>
      <c r="R19" s="66">
        <v>45918</v>
      </c>
      <c r="S19" s="66">
        <v>45926</v>
      </c>
      <c r="T19" s="172">
        <f t="shared" si="0"/>
        <v>11</v>
      </c>
      <c r="U19" s="66">
        <v>45928</v>
      </c>
      <c r="V19" s="66">
        <v>45932</v>
      </c>
      <c r="W19" s="66">
        <v>45932</v>
      </c>
      <c r="X19" s="66">
        <v>45933</v>
      </c>
      <c r="Y19" s="66">
        <v>45935</v>
      </c>
      <c r="Z19" s="66">
        <v>45936</v>
      </c>
      <c r="AA19" s="66">
        <v>45936</v>
      </c>
      <c r="AB19" s="66">
        <v>45938</v>
      </c>
      <c r="AC19" s="66">
        <v>45941</v>
      </c>
      <c r="AD19" s="66">
        <v>45943</v>
      </c>
      <c r="AE19" s="54">
        <f>MAX(0,AD19-AB19)</f>
        <v>5</v>
      </c>
      <c r="AF19" s="16"/>
      <c r="AG19" s="2"/>
      <c r="AH19" s="2"/>
    </row>
    <row r="20" spans="1:34" customFormat="1" ht="12.75" customHeight="1">
      <c r="A20" s="167">
        <v>17</v>
      </c>
      <c r="B20" s="23" t="s">
        <v>204</v>
      </c>
      <c r="C20" s="154" t="s">
        <v>1324</v>
      </c>
      <c r="D20" s="3" t="s">
        <v>29</v>
      </c>
      <c r="E20" s="170" t="s">
        <v>1643</v>
      </c>
      <c r="F20" s="168" t="s">
        <v>1552</v>
      </c>
      <c r="G20" s="169" t="s">
        <v>1553</v>
      </c>
      <c r="H20" s="169" t="s">
        <v>1554</v>
      </c>
      <c r="I20" s="170" t="s">
        <v>1571</v>
      </c>
      <c r="J20" s="170" t="s">
        <v>1589</v>
      </c>
      <c r="K20" s="169" t="s">
        <v>1605</v>
      </c>
      <c r="L20" s="170">
        <v>35.329000000000001</v>
      </c>
      <c r="M20" s="170">
        <v>35</v>
      </c>
      <c r="N20" s="3" t="s">
        <v>244</v>
      </c>
      <c r="O20" s="4" t="s">
        <v>687</v>
      </c>
      <c r="P20" s="171">
        <v>45915</v>
      </c>
      <c r="Q20" s="171">
        <v>45915</v>
      </c>
      <c r="R20" s="66">
        <v>45918</v>
      </c>
      <c r="S20" s="66">
        <v>45926</v>
      </c>
      <c r="T20" s="172">
        <f t="shared" si="0"/>
        <v>11</v>
      </c>
      <c r="U20" s="66">
        <v>45928</v>
      </c>
      <c r="V20" s="66">
        <v>45932</v>
      </c>
      <c r="W20" s="66">
        <v>45932</v>
      </c>
      <c r="X20" s="66">
        <v>45932</v>
      </c>
      <c r="Y20" s="66">
        <v>45936</v>
      </c>
      <c r="Z20" s="66">
        <v>45936</v>
      </c>
      <c r="AA20" s="66">
        <v>45936</v>
      </c>
      <c r="AB20" s="66">
        <v>45938</v>
      </c>
      <c r="AC20" s="66">
        <v>45941</v>
      </c>
      <c r="AD20" s="66">
        <v>45943</v>
      </c>
      <c r="AE20" s="54">
        <f t="shared" ref="AE20" si="5">MAX(0,AD20-AB20)</f>
        <v>5</v>
      </c>
      <c r="AF20" s="16"/>
      <c r="AG20" s="2"/>
      <c r="AH20" s="2"/>
    </row>
    <row r="21" spans="1:34" customFormat="1" ht="12.75" customHeight="1">
      <c r="A21" s="167">
        <v>18</v>
      </c>
      <c r="B21" s="23" t="s">
        <v>204</v>
      </c>
      <c r="C21" s="154" t="s">
        <v>1324</v>
      </c>
      <c r="D21" s="3" t="s">
        <v>29</v>
      </c>
      <c r="E21" s="170" t="s">
        <v>1646</v>
      </c>
      <c r="F21" s="168" t="s">
        <v>1519</v>
      </c>
      <c r="G21" s="169" t="s">
        <v>1520</v>
      </c>
      <c r="H21" s="169" t="s">
        <v>1521</v>
      </c>
      <c r="I21" s="170" t="s">
        <v>1557</v>
      </c>
      <c r="J21" s="170" t="s">
        <v>1573</v>
      </c>
      <c r="K21" s="169" t="s">
        <v>1591</v>
      </c>
      <c r="L21" s="170">
        <v>34.835000000000001</v>
      </c>
      <c r="M21" s="170">
        <v>35</v>
      </c>
      <c r="N21" s="3" t="s">
        <v>244</v>
      </c>
      <c r="O21" s="4" t="s">
        <v>687</v>
      </c>
      <c r="P21" s="171">
        <v>45915</v>
      </c>
      <c r="Q21" s="4">
        <v>45915</v>
      </c>
      <c r="R21" s="66">
        <v>45917</v>
      </c>
      <c r="S21" s="66">
        <v>45927</v>
      </c>
      <c r="T21" s="172">
        <f t="shared" si="0"/>
        <v>12</v>
      </c>
      <c r="U21" s="66">
        <v>45929</v>
      </c>
      <c r="V21" s="66">
        <v>45931</v>
      </c>
      <c r="W21" s="66">
        <v>45931</v>
      </c>
      <c r="X21" s="66">
        <v>45933</v>
      </c>
      <c r="Y21" s="66">
        <v>45934</v>
      </c>
      <c r="Z21" s="66">
        <v>45936</v>
      </c>
      <c r="AA21" s="66">
        <v>45936</v>
      </c>
      <c r="AB21" s="66">
        <v>45938</v>
      </c>
      <c r="AC21" s="66">
        <v>45940</v>
      </c>
      <c r="AD21" s="66">
        <v>45941</v>
      </c>
      <c r="AE21" s="54">
        <f>MAX(0,AD21-AB21)</f>
        <v>3</v>
      </c>
      <c r="AF21" s="16"/>
      <c r="AG21" s="2"/>
      <c r="AH21" s="2"/>
    </row>
    <row r="22" spans="1:34" customFormat="1" ht="12.75" customHeight="1">
      <c r="A22" s="167">
        <v>19</v>
      </c>
      <c r="B22" s="23" t="s">
        <v>204</v>
      </c>
      <c r="C22" s="154" t="s">
        <v>1324</v>
      </c>
      <c r="D22" s="3" t="s">
        <v>29</v>
      </c>
      <c r="E22" s="170" t="s">
        <v>1648</v>
      </c>
      <c r="F22" s="168" t="s">
        <v>1530</v>
      </c>
      <c r="G22" s="169" t="s">
        <v>1531</v>
      </c>
      <c r="H22" s="169"/>
      <c r="I22" s="170" t="s">
        <v>1563</v>
      </c>
      <c r="J22" s="170" t="s">
        <v>1579</v>
      </c>
      <c r="K22" s="169" t="s">
        <v>1596</v>
      </c>
      <c r="L22" s="170">
        <v>30.483000000000001</v>
      </c>
      <c r="M22" s="170">
        <v>31</v>
      </c>
      <c r="N22" s="3" t="s">
        <v>244</v>
      </c>
      <c r="O22" s="4" t="s">
        <v>687</v>
      </c>
      <c r="P22" s="171">
        <v>45918</v>
      </c>
      <c r="Q22" s="171">
        <v>45918</v>
      </c>
      <c r="R22" s="66">
        <v>45919</v>
      </c>
      <c r="S22" s="66">
        <v>45926</v>
      </c>
      <c r="T22" s="172">
        <f t="shared" si="0"/>
        <v>8</v>
      </c>
      <c r="U22" s="66">
        <v>45929</v>
      </c>
      <c r="V22" s="66">
        <v>45931</v>
      </c>
      <c r="W22" s="66">
        <v>45931</v>
      </c>
      <c r="X22" s="66">
        <v>45931</v>
      </c>
      <c r="Y22" s="66">
        <v>45934</v>
      </c>
      <c r="Z22" s="66">
        <v>45934</v>
      </c>
      <c r="AA22" s="66">
        <v>45934</v>
      </c>
      <c r="AB22" s="66">
        <v>45936</v>
      </c>
      <c r="AC22" s="66">
        <v>45938</v>
      </c>
      <c r="AD22" s="66">
        <v>45940</v>
      </c>
      <c r="AE22" s="54">
        <f>MAX(0,AD22-AB22)</f>
        <v>4</v>
      </c>
      <c r="AF22" s="16"/>
      <c r="AG22" s="2"/>
      <c r="AH22" s="2"/>
    </row>
    <row r="23" spans="1:34" customFormat="1" ht="12.75" customHeight="1">
      <c r="A23" s="167">
        <v>20</v>
      </c>
      <c r="B23" s="23" t="s">
        <v>204</v>
      </c>
      <c r="C23" s="154" t="s">
        <v>1324</v>
      </c>
      <c r="D23" s="3" t="s">
        <v>29</v>
      </c>
      <c r="E23" s="170" t="s">
        <v>1635</v>
      </c>
      <c r="F23" s="168" t="s">
        <v>1518</v>
      </c>
      <c r="G23" s="169" t="s">
        <v>99</v>
      </c>
      <c r="H23" s="169" t="s">
        <v>100</v>
      </c>
      <c r="I23" s="170" t="s">
        <v>1556</v>
      </c>
      <c r="J23" s="170" t="s">
        <v>1572</v>
      </c>
      <c r="K23" s="169" t="s">
        <v>1590</v>
      </c>
      <c r="L23" s="170">
        <v>34.942999999999998</v>
      </c>
      <c r="M23" s="170">
        <v>35</v>
      </c>
      <c r="N23" s="3" t="s">
        <v>244</v>
      </c>
      <c r="O23" s="4" t="s">
        <v>687</v>
      </c>
      <c r="P23" s="66">
        <v>45899</v>
      </c>
      <c r="Q23" s="66">
        <v>45899</v>
      </c>
      <c r="R23" s="66">
        <v>45902</v>
      </c>
      <c r="S23" s="66">
        <v>45910</v>
      </c>
      <c r="T23" s="172">
        <f t="shared" si="0"/>
        <v>11</v>
      </c>
      <c r="U23" s="66">
        <v>45914</v>
      </c>
      <c r="V23" s="66">
        <v>45918</v>
      </c>
      <c r="W23" s="66">
        <v>45918</v>
      </c>
      <c r="X23" s="66">
        <v>45920</v>
      </c>
      <c r="Y23" s="66">
        <v>45923</v>
      </c>
      <c r="Z23" s="66">
        <v>45924</v>
      </c>
      <c r="AA23" s="66">
        <v>45924</v>
      </c>
      <c r="AB23" s="66">
        <v>45926</v>
      </c>
      <c r="AC23" s="66">
        <v>45928</v>
      </c>
      <c r="AD23" s="66">
        <v>45929</v>
      </c>
      <c r="AE23" s="54">
        <f>MAX(0,AD23-AB23)</f>
        <v>3</v>
      </c>
      <c r="AF23" s="16"/>
      <c r="AG23" s="2"/>
      <c r="AH23" s="2"/>
    </row>
    <row r="24" spans="1:34" s="142" customFormat="1" ht="12.75" hidden="1" customHeight="1">
      <c r="A24" s="167">
        <v>21</v>
      </c>
      <c r="B24" s="95" t="s">
        <v>204</v>
      </c>
      <c r="C24" s="140" t="s">
        <v>1324</v>
      </c>
      <c r="D24" s="92" t="s">
        <v>29</v>
      </c>
      <c r="E24" s="92" t="s">
        <v>41</v>
      </c>
      <c r="F24" s="150" t="s">
        <v>1039</v>
      </c>
      <c r="G24" s="143" t="s">
        <v>1040</v>
      </c>
      <c r="H24" s="143" t="s">
        <v>1555</v>
      </c>
      <c r="I24" s="144" t="s">
        <v>1055</v>
      </c>
      <c r="J24" s="144" t="s">
        <v>1065</v>
      </c>
      <c r="K24" s="145" t="s">
        <v>41</v>
      </c>
      <c r="L24" s="144" t="s">
        <v>41</v>
      </c>
      <c r="M24" s="144">
        <v>35</v>
      </c>
      <c r="N24" s="143" t="s">
        <v>1615</v>
      </c>
      <c r="O24" s="141" t="s">
        <v>1452</v>
      </c>
      <c r="P24" s="146">
        <v>45915</v>
      </c>
      <c r="Q24" s="139"/>
      <c r="R24" s="139"/>
      <c r="S24" s="139"/>
      <c r="T24" s="96">
        <f>MAX(0,S24-Q24)</f>
        <v>0</v>
      </c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96">
        <f t="shared" ref="AE24" si="6">MAX(0,AD24-AB24)</f>
        <v>0</v>
      </c>
      <c r="AF24" s="138"/>
    </row>
    <row r="25" spans="1:34" s="147" customFormat="1" ht="12.75" hidden="1" customHeight="1">
      <c r="A25" s="32">
        <v>22</v>
      </c>
      <c r="I25" s="147" t="s">
        <v>1515</v>
      </c>
      <c r="N25" s="148"/>
      <c r="Q25" s="149"/>
      <c r="R25" s="149"/>
      <c r="S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</row>
    <row r="27" spans="1:34" ht="12.75" customHeight="1">
      <c r="A27" s="30" t="s">
        <v>205</v>
      </c>
      <c r="B27" s="31"/>
      <c r="C27" s="31"/>
      <c r="D27" s="31"/>
      <c r="E27" s="31"/>
      <c r="F27" s="31"/>
      <c r="G27" s="31"/>
      <c r="H27" s="31"/>
      <c r="I27" s="31"/>
    </row>
    <row r="28" spans="1:34" ht="12.75" customHeight="1">
      <c r="A28" s="30" t="s">
        <v>1517</v>
      </c>
      <c r="B28" s="31"/>
      <c r="C28" s="31"/>
      <c r="D28" s="31"/>
      <c r="E28" s="31"/>
      <c r="F28" s="31"/>
      <c r="G28" s="31"/>
      <c r="H28" s="31"/>
      <c r="I28" s="31"/>
    </row>
    <row r="29" spans="1:34" ht="12.75" customHeight="1">
      <c r="A29" s="30" t="s">
        <v>1474</v>
      </c>
      <c r="B29" s="31"/>
      <c r="C29" s="31"/>
      <c r="D29" s="31"/>
      <c r="E29" s="31"/>
      <c r="F29" s="31"/>
      <c r="G29" s="31"/>
      <c r="H29" s="31"/>
      <c r="I29" s="31"/>
    </row>
    <row r="60" spans="10:10" ht="12.75" customHeight="1" thickBot="1">
      <c r="J60" s="134"/>
    </row>
    <row r="61" spans="10:10" ht="12.75" customHeight="1" thickBot="1">
      <c r="J61" s="134"/>
    </row>
    <row r="62" spans="10:10" ht="12.75" customHeight="1" thickBot="1">
      <c r="J62" s="134"/>
    </row>
    <row r="63" spans="10:10" ht="12.75" customHeight="1" thickBot="1">
      <c r="J63" s="134"/>
    </row>
    <row r="64" spans="10:10" ht="12.75" customHeight="1" thickBot="1">
      <c r="J64" s="134"/>
    </row>
    <row r="65" spans="10:10" ht="12.75" customHeight="1" thickBot="1">
      <c r="J65" s="134"/>
    </row>
    <row r="66" spans="10:10" ht="12.75" customHeight="1" thickBot="1">
      <c r="J66" s="134"/>
    </row>
    <row r="67" spans="10:10" ht="12.75" customHeight="1" thickBot="1">
      <c r="J67" s="137"/>
    </row>
    <row r="68" spans="10:10" ht="12.75" customHeight="1" thickBot="1">
      <c r="J68" s="134"/>
    </row>
    <row r="69" spans="10:10" ht="12.75" customHeight="1" thickBot="1">
      <c r="J69" s="134"/>
    </row>
    <row r="70" spans="10:10" ht="12.75" customHeight="1" thickBot="1">
      <c r="J70" s="134"/>
    </row>
    <row r="71" spans="10:10" ht="12.75" customHeight="1">
      <c r="J71" s="133"/>
    </row>
  </sheetData>
  <autoFilter ref="A3:AF25" xr:uid="{6FA7A35B-9C30-4BC1-A65D-042E2744FAEB}"/>
  <mergeCells count="7">
    <mergeCell ref="AF2:AF3"/>
    <mergeCell ref="I2:J2"/>
    <mergeCell ref="U2:V2"/>
    <mergeCell ref="W2:X2"/>
    <mergeCell ref="Y2:Z2"/>
    <mergeCell ref="AA2:AB2"/>
    <mergeCell ref="AC2:AE2"/>
  </mergeCells>
  <conditionalFormatting sqref="B1">
    <cfRule type="duplicateValues" dxfId="220" priority="143"/>
    <cfRule type="duplicateValues" dxfId="219" priority="144"/>
    <cfRule type="duplicateValues" dxfId="218" priority="145"/>
    <cfRule type="duplicateValues" dxfId="217" priority="146"/>
  </conditionalFormatting>
  <conditionalFormatting sqref="F1:F3">
    <cfRule type="duplicateValues" dxfId="216" priority="147"/>
    <cfRule type="duplicateValues" dxfId="215" priority="148"/>
    <cfRule type="duplicateValues" dxfId="214" priority="149"/>
    <cfRule type="duplicateValues" dxfId="213" priority="150"/>
  </conditionalFormatting>
  <conditionalFormatting sqref="F4">
    <cfRule type="duplicateValues" dxfId="212" priority="91"/>
    <cfRule type="duplicateValues" dxfId="211" priority="92"/>
    <cfRule type="duplicateValues" dxfId="210" priority="96"/>
    <cfRule type="duplicateValues" dxfId="209" priority="97"/>
    <cfRule type="duplicateValues" dxfId="208" priority="98"/>
    <cfRule type="duplicateValues" dxfId="207" priority="99"/>
    <cfRule type="duplicateValues" dxfId="206" priority="100"/>
    <cfRule type="duplicateValues" dxfId="205" priority="101"/>
    <cfRule type="duplicateValues" dxfId="204" priority="102"/>
    <cfRule type="duplicateValues" dxfId="203" priority="103"/>
    <cfRule type="duplicateValues" dxfId="202" priority="104"/>
    <cfRule type="duplicateValues" dxfId="201" priority="105"/>
    <cfRule type="duplicateValues" dxfId="200" priority="106"/>
    <cfRule type="duplicateValues" dxfId="199" priority="107"/>
    <cfRule type="duplicateValues" dxfId="198" priority="108"/>
    <cfRule type="duplicateValues" dxfId="197" priority="109"/>
    <cfRule type="duplicateValues" dxfId="196" priority="110"/>
    <cfRule type="duplicateValues" dxfId="195" priority="111"/>
    <cfRule type="duplicateValues" dxfId="194" priority="112"/>
    <cfRule type="duplicateValues" dxfId="193" priority="113"/>
    <cfRule type="duplicateValues" dxfId="192" priority="114"/>
    <cfRule type="duplicateValues" dxfId="191" priority="115"/>
    <cfRule type="duplicateValues" dxfId="190" priority="116"/>
    <cfRule type="duplicateValues" dxfId="189" priority="117"/>
    <cfRule type="duplicateValues" dxfId="188" priority="119"/>
    <cfRule type="duplicateValues" dxfId="187" priority="120"/>
    <cfRule type="duplicateValues" dxfId="186" priority="121"/>
    <cfRule type="duplicateValues" dxfId="185" priority="122"/>
  </conditionalFormatting>
  <conditionalFormatting sqref="F9">
    <cfRule type="duplicateValues" dxfId="184" priority="1"/>
    <cfRule type="duplicateValues" dxfId="183" priority="2"/>
    <cfRule type="duplicateValues" dxfId="182" priority="3"/>
    <cfRule type="duplicateValues" dxfId="181" priority="4"/>
    <cfRule type="duplicateValues" dxfId="180" priority="5"/>
  </conditionalFormatting>
  <conditionalFormatting sqref="F12 F18 F21:F23 F7">
    <cfRule type="duplicateValues" dxfId="179" priority="28738"/>
  </conditionalFormatting>
  <conditionalFormatting sqref="F12 F21:F23 F7">
    <cfRule type="duplicateValues" dxfId="178" priority="28640"/>
  </conditionalFormatting>
  <conditionalFormatting sqref="F18">
    <cfRule type="duplicateValues" dxfId="177" priority="136"/>
  </conditionalFormatting>
  <conditionalFormatting sqref="F19">
    <cfRule type="duplicateValues" dxfId="176" priority="6"/>
    <cfRule type="duplicateValues" dxfId="175" priority="7"/>
    <cfRule type="duplicateValues" dxfId="174" priority="9"/>
    <cfRule type="duplicateValues" dxfId="173" priority="10"/>
    <cfRule type="duplicateValues" dxfId="172" priority="11"/>
    <cfRule type="duplicateValues" dxfId="171" priority="12"/>
    <cfRule type="duplicateValues" dxfId="170" priority="13"/>
    <cfRule type="duplicateValues" dxfId="169" priority="14"/>
    <cfRule type="duplicateValues" dxfId="168" priority="15"/>
    <cfRule type="duplicateValues" dxfId="167" priority="16"/>
    <cfRule type="duplicateValues" dxfId="166" priority="17"/>
    <cfRule type="duplicateValues" dxfId="165" priority="18"/>
    <cfRule type="duplicateValues" dxfId="164" priority="19"/>
    <cfRule type="duplicateValues" dxfId="163" priority="20"/>
    <cfRule type="duplicateValues" dxfId="162" priority="21"/>
    <cfRule type="duplicateValues" dxfId="161" priority="22"/>
    <cfRule type="duplicateValues" dxfId="160" priority="23"/>
    <cfRule type="duplicateValues" dxfId="159" priority="24"/>
    <cfRule type="duplicateValues" dxfId="158" priority="25"/>
    <cfRule type="duplicateValues" dxfId="157" priority="26"/>
    <cfRule type="duplicateValues" dxfId="156" priority="27"/>
    <cfRule type="duplicateValues" dxfId="155" priority="28"/>
    <cfRule type="duplicateValues" dxfId="154" priority="29"/>
    <cfRule type="duplicateValues" dxfId="153" priority="30"/>
  </conditionalFormatting>
  <conditionalFormatting sqref="F20">
    <cfRule type="duplicateValues" dxfId="152" priority="27687"/>
    <cfRule type="duplicateValues" dxfId="151" priority="27688"/>
    <cfRule type="duplicateValues" dxfId="150" priority="27689"/>
    <cfRule type="duplicateValues" dxfId="149" priority="27690"/>
    <cfRule type="duplicateValues" dxfId="148" priority="27691"/>
    <cfRule type="duplicateValues" dxfId="147" priority="27692"/>
    <cfRule type="duplicateValues" dxfId="146" priority="27693"/>
    <cfRule type="duplicateValues" dxfId="145" priority="27694"/>
    <cfRule type="duplicateValues" dxfId="144" priority="27695"/>
    <cfRule type="duplicateValues" dxfId="143" priority="27696"/>
    <cfRule type="duplicateValues" dxfId="142" priority="27697"/>
    <cfRule type="duplicateValues" dxfId="141" priority="27698"/>
    <cfRule type="duplicateValues" dxfId="140" priority="27699"/>
    <cfRule type="duplicateValues" dxfId="139" priority="27700"/>
    <cfRule type="duplicateValues" dxfId="138" priority="27701"/>
    <cfRule type="duplicateValues" dxfId="137" priority="27702"/>
    <cfRule type="duplicateValues" dxfId="136" priority="27703"/>
    <cfRule type="duplicateValues" dxfId="135" priority="27704"/>
    <cfRule type="duplicateValues" dxfId="134" priority="27705"/>
    <cfRule type="duplicateValues" dxfId="133" priority="27706"/>
    <cfRule type="duplicateValues" dxfId="132" priority="27707"/>
    <cfRule type="duplicateValues" dxfId="131" priority="27708"/>
  </conditionalFormatting>
  <conditionalFormatting sqref="F21:F23 F16 F18 F6:F7 F11:F12">
    <cfRule type="duplicateValues" dxfId="130" priority="33297"/>
    <cfRule type="duplicateValues" dxfId="129" priority="33298"/>
    <cfRule type="duplicateValues" dxfId="128" priority="33299"/>
  </conditionalFormatting>
  <conditionalFormatting sqref="F21:F24 F5:F18">
    <cfRule type="duplicateValues" dxfId="127" priority="33670"/>
  </conditionalFormatting>
  <conditionalFormatting sqref="F24 F5 F13:F15 F17 F8 F10">
    <cfRule type="duplicateValues" dxfId="126" priority="33532"/>
    <cfRule type="duplicateValues" dxfId="125" priority="33533"/>
    <cfRule type="duplicateValues" dxfId="124" priority="33534"/>
  </conditionalFormatting>
  <conditionalFormatting sqref="F25:F27 F1:F3 F29:F30 F60:F1048576">
    <cfRule type="duplicateValues" dxfId="123" priority="142"/>
    <cfRule type="duplicateValues" dxfId="122" priority="151"/>
    <cfRule type="duplicateValues" dxfId="121" priority="152"/>
    <cfRule type="duplicateValues" dxfId="120" priority="153"/>
    <cfRule type="duplicateValues" dxfId="119" priority="154"/>
    <cfRule type="duplicateValues" dxfId="118" priority="155"/>
    <cfRule type="duplicateValues" dxfId="117" priority="156"/>
    <cfRule type="duplicateValues" dxfId="116" priority="157"/>
    <cfRule type="duplicateValues" dxfId="115" priority="158"/>
    <cfRule type="duplicateValues" dxfId="114" priority="159"/>
  </conditionalFormatting>
  <conditionalFormatting sqref="F25:F27 F29:F30 F60:F1048576">
    <cfRule type="duplicateValues" dxfId="113" priority="160"/>
  </conditionalFormatting>
  <conditionalFormatting sqref="F28">
    <cfRule type="duplicateValues" dxfId="112" priority="59"/>
    <cfRule type="duplicateValues" dxfId="111" priority="60"/>
    <cfRule type="duplicateValues" dxfId="110" priority="61"/>
    <cfRule type="duplicateValues" dxfId="109" priority="62"/>
    <cfRule type="duplicateValues" dxfId="108" priority="63"/>
    <cfRule type="duplicateValues" dxfId="107" priority="64"/>
    <cfRule type="duplicateValues" dxfId="106" priority="65"/>
    <cfRule type="duplicateValues" dxfId="105" priority="66"/>
    <cfRule type="duplicateValues" dxfId="104" priority="67"/>
    <cfRule type="duplicateValues" dxfId="103" priority="68"/>
    <cfRule type="duplicateValues" dxfId="102" priority="69"/>
    <cfRule type="duplicateValues" dxfId="101" priority="70"/>
    <cfRule type="duplicateValues" dxfId="100" priority="71"/>
  </conditionalFormatting>
  <conditionalFormatting sqref="F29:F30 F60:F1048576 F20:F27 F1:F18">
    <cfRule type="duplicateValues" dxfId="99" priority="29664"/>
  </conditionalFormatting>
  <conditionalFormatting sqref="F29:F30 F60:F1048576 F21:F27 F1:F18">
    <cfRule type="duplicateValues" dxfId="98" priority="30031"/>
  </conditionalFormatting>
  <conditionalFormatting sqref="F31:F59">
    <cfRule type="duplicateValues" dxfId="97" priority="38"/>
    <cfRule type="duplicateValues" dxfId="96" priority="39"/>
    <cfRule type="duplicateValues" dxfId="95" priority="40"/>
    <cfRule type="duplicateValues" dxfId="94" priority="41"/>
    <cfRule type="duplicateValues" dxfId="93" priority="42"/>
    <cfRule type="duplicateValues" dxfId="92" priority="43"/>
    <cfRule type="duplicateValues" dxfId="91" priority="44"/>
    <cfRule type="duplicateValues" dxfId="90" priority="45"/>
    <cfRule type="duplicateValues" dxfId="89" priority="46"/>
    <cfRule type="duplicateValues" dxfId="88" priority="47"/>
    <cfRule type="duplicateValues" dxfId="87" priority="48"/>
    <cfRule type="duplicateValues" dxfId="86" priority="49"/>
    <cfRule type="duplicateValues" dxfId="85" priority="50"/>
    <cfRule type="duplicateValues" dxfId="84" priority="51"/>
    <cfRule type="duplicateValues" dxfId="83" priority="52"/>
    <cfRule type="duplicateValues" dxfId="82" priority="53"/>
    <cfRule type="duplicateValues" dxfId="81" priority="54"/>
  </conditionalFormatting>
  <conditionalFormatting sqref="F60:F1048576 F20:F30 F1:F18">
    <cfRule type="duplicateValues" dxfId="80" priority="29669"/>
    <cfRule type="duplicateValues" dxfId="79" priority="29670"/>
    <cfRule type="duplicateValues" dxfId="78" priority="29721"/>
  </conditionalFormatting>
  <conditionalFormatting sqref="F60:F1048576">
    <cfRule type="duplicateValues" dxfId="77" priority="55"/>
  </conditionalFormatting>
  <conditionalFormatting sqref="F72:F1048576">
    <cfRule type="duplicateValues" dxfId="76" priority="200"/>
  </conditionalFormatting>
  <conditionalFormatting sqref="F4:G4">
    <cfRule type="duplicateValues" dxfId="75" priority="118"/>
  </conditionalFormatting>
  <conditionalFormatting sqref="F19:G19">
    <cfRule type="duplicateValues" dxfId="74" priority="31"/>
  </conditionalFormatting>
  <conditionalFormatting sqref="F20:G20">
    <cfRule type="duplicateValues" dxfId="73" priority="27709"/>
  </conditionalFormatting>
  <conditionalFormatting sqref="G4">
    <cfRule type="duplicateValues" dxfId="72" priority="94"/>
    <cfRule type="duplicateValues" dxfId="71" priority="95"/>
  </conditionalFormatting>
  <conditionalFormatting sqref="G19">
    <cfRule type="duplicateValues" dxfId="70" priority="32"/>
    <cfRule type="duplicateValues" dxfId="69" priority="33"/>
  </conditionalFormatting>
  <conditionalFormatting sqref="G20">
    <cfRule type="duplicateValues" dxfId="68" priority="27710"/>
    <cfRule type="duplicateValues" dxfId="67" priority="27711"/>
  </conditionalFormatting>
  <conditionalFormatting sqref="I4">
    <cfRule type="duplicateValues" dxfId="66" priority="89"/>
    <cfRule type="duplicateValues" dxfId="65" priority="90"/>
  </conditionalFormatting>
  <conditionalFormatting sqref="I19">
    <cfRule type="duplicateValues" dxfId="64" priority="34"/>
    <cfRule type="duplicateValues" dxfId="63" priority="35"/>
  </conditionalFormatting>
  <conditionalFormatting sqref="I20">
    <cfRule type="duplicateValues" dxfId="62" priority="27712"/>
    <cfRule type="duplicateValues" dxfId="61" priority="27713"/>
  </conditionalFormatting>
  <conditionalFormatting sqref="I22">
    <cfRule type="duplicateValues" dxfId="60" priority="130"/>
    <cfRule type="duplicateValues" dxfId="59" priority="131"/>
    <cfRule type="duplicateValues" dxfId="58" priority="132"/>
    <cfRule type="duplicateValues" dxfId="57" priority="133"/>
  </conditionalFormatting>
  <conditionalFormatting sqref="I24 I5 I13:I15 I17 I8 I10">
    <cfRule type="duplicateValues" dxfId="56" priority="33622"/>
    <cfRule type="duplicateValues" dxfId="55" priority="33623"/>
    <cfRule type="duplicateValues" dxfId="54" priority="33624"/>
    <cfRule type="duplicateValues" dxfId="53" priority="33625"/>
  </conditionalFormatting>
  <conditionalFormatting sqref="J4">
    <cfRule type="duplicateValues" dxfId="52" priority="87"/>
    <cfRule type="duplicateValues" dxfId="51" priority="88"/>
  </conditionalFormatting>
  <conditionalFormatting sqref="J7">
    <cfRule type="duplicateValues" dxfId="50" priority="126"/>
    <cfRule type="duplicateValues" dxfId="49" priority="127"/>
  </conditionalFormatting>
  <conditionalFormatting sqref="J19">
    <cfRule type="duplicateValues" dxfId="48" priority="36"/>
    <cfRule type="duplicateValues" dxfId="47" priority="37"/>
  </conditionalFormatting>
  <conditionalFormatting sqref="J20">
    <cfRule type="duplicateValues" dxfId="46" priority="27714"/>
    <cfRule type="duplicateValues" dxfId="45" priority="27715"/>
  </conditionalFormatting>
  <conditionalFormatting sqref="J22">
    <cfRule type="duplicateValues" dxfId="44" priority="128"/>
  </conditionalFormatting>
  <conditionalFormatting sqref="J24 J5 J13:J15 J17 J8 J10">
    <cfRule type="duplicateValues" dxfId="43" priority="33652"/>
  </conditionalFormatting>
  <pageMargins left="0.7" right="0.7" top="0.75" bottom="0.75" header="0.3" footer="0.3"/>
  <pageSetup orientation="portrait" r:id="rId1"/>
  <ignoredErrors>
    <ignoredError sqref="J24 J4 J15 J20 J11:J14 J21 J16:J19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4" operator="containsText" text="TBA" id="{18233A7F-05DB-4724-A5F3-0A897E45624B}">
            <xm:f>NOT(ISERROR(SEARCH("TBA",'d:\Users\User\Dropbox\Pre-Alerts\.Shreehari---2025\[2025 Master--Pre-alert--updated--2025,18  August Final updated.xlsx]August 2025'!#REF!)))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F4:H24</xm:sqref>
        </x14:conditionalFormatting>
        <x14:conditionalFormatting xmlns:xm="http://schemas.microsoft.com/office/excel/2006/main">
          <x14:cfRule type="containsText" priority="93" operator="containsText" text="TBA" id="{7C99D4C9-C8CC-4175-B613-1A85825C9CF7}">
            <xm:f>NOT(ISERROR(SEARCH("TBA",'d:\Users\User\Dropbox\Pre-Alerts\.Shreehari---2025\[2025 Master--Pre-alert--updated--2025,18  August Final updated.xlsx]June25'!#REF!)))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G4</xm:sqref>
        </x14:conditionalFormatting>
        <x14:conditionalFormatting xmlns:xm="http://schemas.microsoft.com/office/excel/2006/main">
          <x14:cfRule type="containsText" priority="135" operator="containsText" text="TBA" id="{6311FE87-6201-4856-844A-A01E0252F576}">
            <xm:f>NOT(ISERROR(SEARCH("TBA",'d:\Users\User\Dropbox\Pre-Alerts\.Shreehari---2025\[2025 Master--Pre-alert--updated--2025,18  August Final updated.xlsx]August 2025'!#REF!)))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8" operator="containsText" text="TBA" id="{FE25858E-7E51-49AE-A894-DEAC12880196}">
            <xm:f>NOT(ISERROR(SEARCH("TBA",'d:\Users\User\Dropbox\Pre-Alerts\.Shreehari---2025\[2025 Master--Pre-alert--updated--2025,18  August Final updated.xlsx]June25'!#REF!)))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I4:J4 I6:J6 G18:G24 I18:J24</xm:sqref>
        </x14:conditionalFormatting>
        <x14:conditionalFormatting xmlns:xm="http://schemas.microsoft.com/office/excel/2006/main">
          <x14:cfRule type="containsText" priority="129" operator="containsText" text="TBA" id="{85AB313D-3E7B-4CAB-A1FD-636D3E5178F7}">
            <xm:f>NOT(ISERROR(SEARCH("TBA",'d:\Users\User\Dropbox\Pre-Alerts\.Shreehari---2025\[2025 Master--Pre-alert--updated--2025,18  August Final updated.xlsx]August 2025'!#REF!)))</xm:f>
            <x14:dxf>
              <font>
                <color rgb="FF9C0006"/>
              </font>
              <fill>
                <patternFill patternType="solid">
                  <bgColor rgb="FFFFC7CE"/>
                </patternFill>
              </fill>
            </x14:dxf>
          </x14:cfRule>
          <xm:sqref>I4:J24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5D094-DE89-4D5F-AF6A-11E0B3DA5719}">
  <dimension ref="A1:AF56"/>
  <sheetViews>
    <sheetView topLeftCell="J1" zoomScale="115" zoomScaleNormal="115" workbookViewId="0">
      <selection activeCell="D6" sqref="D6"/>
    </sheetView>
  </sheetViews>
  <sheetFormatPr defaultRowHeight="15"/>
  <cols>
    <col min="1" max="1" width="5.140625" customWidth="1"/>
    <col min="2" max="2" width="7.5703125" bestFit="1" customWidth="1"/>
    <col min="3" max="3" width="13.42578125" bestFit="1" customWidth="1"/>
    <col min="4" max="4" width="10.140625" bestFit="1" customWidth="1"/>
    <col min="5" max="5" width="19.7109375" bestFit="1" customWidth="1"/>
    <col min="6" max="6" width="17.5703125" bestFit="1" customWidth="1"/>
    <col min="7" max="7" width="9.42578125" customWidth="1"/>
    <col min="8" max="8" width="9.5703125" customWidth="1"/>
    <col min="9" max="9" width="34.85546875" customWidth="1"/>
    <col min="10" max="10" width="28.85546875" customWidth="1"/>
    <col min="11" max="11" width="11.85546875" customWidth="1"/>
    <col min="12" max="12" width="9.42578125" customWidth="1"/>
    <col min="13" max="13" width="14.42578125" customWidth="1"/>
    <col min="14" max="14" width="16.140625" bestFit="1" customWidth="1"/>
    <col min="15" max="15" width="20.140625" bestFit="1" customWidth="1"/>
    <col min="16" max="16" width="13.42578125" customWidth="1"/>
    <col min="17" max="17" width="14.42578125" customWidth="1"/>
    <col min="18" max="18" width="12.7109375" customWidth="1"/>
    <col min="19" max="19" width="12.140625" customWidth="1"/>
    <col min="20" max="20" width="4.42578125" bestFit="1" customWidth="1"/>
    <col min="21" max="21" width="13.28515625" customWidth="1"/>
    <col min="22" max="22" width="12.7109375" customWidth="1"/>
    <col min="23" max="23" width="15.28515625" customWidth="1"/>
    <col min="24" max="24" width="13.5703125" customWidth="1"/>
    <col min="25" max="25" width="11.85546875" bestFit="1" customWidth="1"/>
    <col min="26" max="26" width="11.28515625" bestFit="1" customWidth="1"/>
    <col min="27" max="27" width="7.140625" bestFit="1" customWidth="1"/>
    <col min="28" max="28" width="7.42578125" bestFit="1" customWidth="1"/>
    <col min="29" max="29" width="13.7109375" bestFit="1" customWidth="1"/>
    <col min="30" max="30" width="8.42578125" bestFit="1" customWidth="1"/>
    <col min="31" max="31" width="4.42578125" bestFit="1" customWidth="1"/>
    <col min="32" max="32" width="10" bestFit="1" customWidth="1"/>
  </cols>
  <sheetData>
    <row r="1" spans="1:32" s="1" customFormat="1" ht="12.75" customHeight="1">
      <c r="A1" s="174" t="s">
        <v>0</v>
      </c>
      <c r="B1" s="175"/>
      <c r="C1" s="175"/>
      <c r="D1" s="175"/>
      <c r="E1" s="175"/>
      <c r="F1" s="176"/>
      <c r="G1" s="175"/>
      <c r="H1" s="175"/>
      <c r="I1" s="175"/>
      <c r="J1" s="175"/>
      <c r="K1" s="175"/>
      <c r="L1" s="177">
        <f>SUM(L4:L40)</f>
        <v>1250617.6629999999</v>
      </c>
      <c r="M1" s="177">
        <f>SUM(M4:M40)</f>
        <v>1281</v>
      </c>
      <c r="N1" s="175"/>
      <c r="O1" s="175"/>
      <c r="P1" s="175"/>
      <c r="Q1" s="178"/>
      <c r="R1" s="178"/>
      <c r="S1" s="178"/>
      <c r="T1" s="175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5"/>
      <c r="AF1" s="175"/>
    </row>
    <row r="2" spans="1:32" s="2" customFormat="1" ht="23.25" customHeight="1">
      <c r="A2" s="181" t="s">
        <v>1</v>
      </c>
      <c r="B2" s="181" t="s">
        <v>2</v>
      </c>
      <c r="C2" s="181" t="s">
        <v>3</v>
      </c>
      <c r="D2" s="181" t="s">
        <v>4</v>
      </c>
      <c r="E2" s="181" t="s">
        <v>5</v>
      </c>
      <c r="F2" s="181" t="s">
        <v>6</v>
      </c>
      <c r="G2" s="181" t="s">
        <v>7</v>
      </c>
      <c r="H2" s="181" t="s">
        <v>8</v>
      </c>
      <c r="I2" s="185" t="s">
        <v>1829</v>
      </c>
      <c r="J2" s="184" t="s">
        <v>1656</v>
      </c>
      <c r="K2" s="181" t="s">
        <v>9</v>
      </c>
      <c r="L2" s="181" t="s">
        <v>10</v>
      </c>
      <c r="M2" s="181" t="s">
        <v>32</v>
      </c>
      <c r="N2" s="181" t="s">
        <v>11</v>
      </c>
      <c r="O2" s="181" t="s">
        <v>12</v>
      </c>
      <c r="P2" s="182" t="s">
        <v>13</v>
      </c>
      <c r="Q2" s="183" t="s">
        <v>14</v>
      </c>
      <c r="R2" s="183"/>
      <c r="S2" s="183"/>
      <c r="T2" s="183"/>
      <c r="U2" s="243" t="s">
        <v>15</v>
      </c>
      <c r="V2" s="243"/>
      <c r="W2" s="243" t="s">
        <v>16</v>
      </c>
      <c r="X2" s="243"/>
      <c r="Y2" s="243" t="s">
        <v>17</v>
      </c>
      <c r="Z2" s="243"/>
      <c r="AA2" s="243" t="s">
        <v>18</v>
      </c>
      <c r="AB2" s="243"/>
      <c r="AC2" s="244" t="s">
        <v>19</v>
      </c>
      <c r="AD2" s="244"/>
      <c r="AE2" s="244"/>
      <c r="AF2" s="186" t="s">
        <v>28</v>
      </c>
    </row>
    <row r="3" spans="1:32" s="115" customFormat="1" ht="25.5">
      <c r="A3" s="207"/>
      <c r="B3" s="207"/>
      <c r="C3" s="207"/>
      <c r="D3" s="207"/>
      <c r="E3" s="207"/>
      <c r="F3" s="207"/>
      <c r="G3" s="207"/>
      <c r="H3" s="207"/>
      <c r="I3" s="208"/>
      <c r="J3" s="208"/>
      <c r="K3" s="207"/>
      <c r="L3" s="207"/>
      <c r="M3" s="207"/>
      <c r="N3" s="207"/>
      <c r="O3" s="211"/>
      <c r="P3" s="212" t="s">
        <v>21</v>
      </c>
      <c r="Q3" s="213" t="s">
        <v>22</v>
      </c>
      <c r="R3" s="213" t="s">
        <v>23</v>
      </c>
      <c r="S3" s="213" t="s">
        <v>24</v>
      </c>
      <c r="T3" s="214" t="s">
        <v>25</v>
      </c>
      <c r="U3" s="215" t="s">
        <v>22</v>
      </c>
      <c r="V3" s="215" t="s">
        <v>26</v>
      </c>
      <c r="W3" s="215" t="s">
        <v>22</v>
      </c>
      <c r="X3" s="215" t="s">
        <v>26</v>
      </c>
      <c r="Y3" s="215" t="s">
        <v>22</v>
      </c>
      <c r="Z3" s="215" t="s">
        <v>26</v>
      </c>
      <c r="AA3" s="215" t="s">
        <v>22</v>
      </c>
      <c r="AB3" s="215" t="s">
        <v>26</v>
      </c>
      <c r="AC3" s="216" t="s">
        <v>19</v>
      </c>
      <c r="AD3" s="215" t="s">
        <v>27</v>
      </c>
      <c r="AE3" s="217" t="s">
        <v>25</v>
      </c>
      <c r="AF3" s="218"/>
    </row>
    <row r="4" spans="1:32" s="115" customFormat="1">
      <c r="A4" s="219">
        <f t="shared" ref="A4:A40" si="0">ROW()-3</f>
        <v>1</v>
      </c>
      <c r="B4" s="219" t="s">
        <v>204</v>
      </c>
      <c r="C4" s="192" t="s">
        <v>1657</v>
      </c>
      <c r="D4" s="193" t="s">
        <v>29</v>
      </c>
      <c r="E4" s="193" t="s">
        <v>1888</v>
      </c>
      <c r="F4" s="219" t="s">
        <v>1916</v>
      </c>
      <c r="G4" s="219" t="s">
        <v>1489</v>
      </c>
      <c r="H4" s="219" t="s">
        <v>1490</v>
      </c>
      <c r="I4" s="5" t="s">
        <v>1500</v>
      </c>
      <c r="J4" s="219" t="s">
        <v>1507</v>
      </c>
      <c r="K4" s="219" t="s">
        <v>1608</v>
      </c>
      <c r="L4" s="219">
        <v>35509</v>
      </c>
      <c r="M4" s="219">
        <v>35</v>
      </c>
      <c r="N4" s="204" t="s">
        <v>1917</v>
      </c>
      <c r="O4" s="219" t="s">
        <v>687</v>
      </c>
      <c r="P4" s="220" t="s">
        <v>212</v>
      </c>
      <c r="Q4" s="220">
        <v>45960</v>
      </c>
      <c r="R4" s="220">
        <v>45960</v>
      </c>
      <c r="S4" s="220">
        <v>45968</v>
      </c>
      <c r="T4" s="219">
        <f t="shared" ref="T4:T29" si="1">S4-Q4</f>
        <v>8</v>
      </c>
      <c r="U4" s="220">
        <v>45991</v>
      </c>
      <c r="V4" s="220">
        <v>45994</v>
      </c>
      <c r="W4" s="220">
        <v>45994</v>
      </c>
      <c r="X4" s="221">
        <v>45998</v>
      </c>
      <c r="Y4" s="221">
        <v>46001</v>
      </c>
      <c r="Z4" s="221">
        <v>46006</v>
      </c>
      <c r="AA4" s="221">
        <v>46006</v>
      </c>
      <c r="AB4" s="221">
        <v>46010</v>
      </c>
      <c r="AC4" s="221">
        <v>46012</v>
      </c>
      <c r="AD4" s="221">
        <v>46015</v>
      </c>
      <c r="AE4" s="219"/>
      <c r="AF4" s="219"/>
    </row>
    <row r="5" spans="1:32" s="115" customFormat="1">
      <c r="A5" s="219">
        <f t="shared" si="0"/>
        <v>2</v>
      </c>
      <c r="B5" s="219" t="s">
        <v>204</v>
      </c>
      <c r="C5" s="192" t="s">
        <v>1657</v>
      </c>
      <c r="D5" s="193" t="s">
        <v>29</v>
      </c>
      <c r="E5" s="193" t="s">
        <v>1881</v>
      </c>
      <c r="F5" s="219" t="s">
        <v>1676</v>
      </c>
      <c r="G5" s="219" t="s">
        <v>1677</v>
      </c>
      <c r="H5" s="219"/>
      <c r="I5" s="5" t="s">
        <v>1799</v>
      </c>
      <c r="J5" s="219" t="s">
        <v>1706</v>
      </c>
      <c r="K5" s="219" t="s">
        <v>1721</v>
      </c>
      <c r="L5" s="219">
        <v>30057</v>
      </c>
      <c r="M5" s="219">
        <v>30</v>
      </c>
      <c r="N5" s="204" t="s">
        <v>1917</v>
      </c>
      <c r="O5" s="219" t="s">
        <v>687</v>
      </c>
      <c r="P5" s="220" t="s">
        <v>212</v>
      </c>
      <c r="Q5" s="220">
        <v>45954</v>
      </c>
      <c r="R5" s="220">
        <v>45954</v>
      </c>
      <c r="S5" s="220">
        <v>45964</v>
      </c>
      <c r="T5" s="219">
        <f t="shared" ref="T5" si="2">S5-Q5</f>
        <v>10</v>
      </c>
      <c r="U5" s="220">
        <v>45965</v>
      </c>
      <c r="V5" s="220">
        <v>45968</v>
      </c>
      <c r="W5" s="220">
        <v>45968</v>
      </c>
      <c r="X5" s="220">
        <v>45972</v>
      </c>
      <c r="Y5" s="221">
        <v>45980</v>
      </c>
      <c r="Z5" s="221">
        <v>45983</v>
      </c>
      <c r="AA5" s="221">
        <v>45983</v>
      </c>
      <c r="AB5" s="221">
        <v>45999</v>
      </c>
      <c r="AC5" s="221">
        <v>46003</v>
      </c>
      <c r="AD5" s="221">
        <v>46007</v>
      </c>
      <c r="AE5" s="219"/>
      <c r="AF5" s="219"/>
    </row>
    <row r="6" spans="1:32" s="115" customFormat="1">
      <c r="A6" s="219">
        <f t="shared" si="0"/>
        <v>3</v>
      </c>
      <c r="B6" s="219" t="s">
        <v>204</v>
      </c>
      <c r="C6" s="192" t="s">
        <v>1657</v>
      </c>
      <c r="D6" s="193" t="s">
        <v>29</v>
      </c>
      <c r="E6" s="193" t="s">
        <v>1729</v>
      </c>
      <c r="F6" s="219" t="s">
        <v>1658</v>
      </c>
      <c r="G6" s="219" t="s">
        <v>1659</v>
      </c>
      <c r="H6" s="219"/>
      <c r="I6" s="5" t="s">
        <v>1792</v>
      </c>
      <c r="J6" s="219" t="s">
        <v>1660</v>
      </c>
      <c r="K6" s="219" t="s">
        <v>1661</v>
      </c>
      <c r="L6" s="219">
        <v>29.663</v>
      </c>
      <c r="M6" s="219">
        <v>30</v>
      </c>
      <c r="N6" s="204" t="s">
        <v>1917</v>
      </c>
      <c r="O6" s="219" t="s">
        <v>687</v>
      </c>
      <c r="P6" s="220" t="s">
        <v>212</v>
      </c>
      <c r="Q6" s="220">
        <v>45940</v>
      </c>
      <c r="R6" s="220">
        <v>45940</v>
      </c>
      <c r="S6" s="220">
        <v>45947</v>
      </c>
      <c r="T6" s="219">
        <f>S6-Q6</f>
        <v>7</v>
      </c>
      <c r="U6" s="220">
        <v>45956</v>
      </c>
      <c r="V6" s="220">
        <v>45961</v>
      </c>
      <c r="W6" s="220">
        <v>45961</v>
      </c>
      <c r="X6" s="220">
        <v>45967</v>
      </c>
      <c r="Y6" s="221">
        <v>45974</v>
      </c>
      <c r="Z6" s="221">
        <v>45983</v>
      </c>
      <c r="AA6" s="221">
        <v>45983</v>
      </c>
      <c r="AB6" s="221">
        <v>45986</v>
      </c>
      <c r="AC6" s="221">
        <v>45995</v>
      </c>
      <c r="AD6" s="221">
        <v>45997</v>
      </c>
      <c r="AE6" s="219"/>
      <c r="AF6" s="219"/>
    </row>
    <row r="7" spans="1:32" s="115" customFormat="1" ht="14.25" customHeight="1">
      <c r="A7" s="219">
        <f t="shared" si="0"/>
        <v>4</v>
      </c>
      <c r="B7" s="219" t="s">
        <v>204</v>
      </c>
      <c r="C7" s="192" t="s">
        <v>1657</v>
      </c>
      <c r="D7" s="193" t="s">
        <v>29</v>
      </c>
      <c r="E7" s="193" t="s">
        <v>1903</v>
      </c>
      <c r="F7" s="219" t="s">
        <v>1766</v>
      </c>
      <c r="G7" s="219" t="s">
        <v>1767</v>
      </c>
      <c r="H7" s="219"/>
      <c r="I7" s="5" t="s">
        <v>1820</v>
      </c>
      <c r="J7" s="223" t="s">
        <v>1844</v>
      </c>
      <c r="K7" s="219" t="s">
        <v>1860</v>
      </c>
      <c r="L7" s="219">
        <v>31101</v>
      </c>
      <c r="M7" s="77">
        <v>31</v>
      </c>
      <c r="N7" s="204" t="s">
        <v>1917</v>
      </c>
      <c r="O7" s="219" t="s">
        <v>687</v>
      </c>
      <c r="P7" s="220" t="s">
        <v>212</v>
      </c>
      <c r="Q7" s="220">
        <v>45967</v>
      </c>
      <c r="R7" s="220">
        <v>45968</v>
      </c>
      <c r="S7" s="220">
        <v>45976</v>
      </c>
      <c r="T7" s="219">
        <f>S7-Q7</f>
        <v>9</v>
      </c>
      <c r="U7" s="220">
        <v>45978</v>
      </c>
      <c r="V7" s="220">
        <v>45983</v>
      </c>
      <c r="W7" s="220">
        <v>45983</v>
      </c>
      <c r="X7" s="220">
        <v>45985</v>
      </c>
      <c r="Y7" s="221">
        <v>45988</v>
      </c>
      <c r="Z7" s="221">
        <v>45990</v>
      </c>
      <c r="AA7" s="221">
        <v>45990</v>
      </c>
      <c r="AB7" s="221">
        <v>45992</v>
      </c>
      <c r="AC7" s="221">
        <v>45995</v>
      </c>
      <c r="AD7" s="221">
        <v>45997</v>
      </c>
      <c r="AE7" s="219"/>
      <c r="AF7" s="219"/>
    </row>
    <row r="8" spans="1:32" s="115" customFormat="1">
      <c r="A8" s="219">
        <f t="shared" si="0"/>
        <v>5</v>
      </c>
      <c r="B8" s="219" t="s">
        <v>204</v>
      </c>
      <c r="C8" s="192" t="s">
        <v>1657</v>
      </c>
      <c r="D8" s="193" t="s">
        <v>29</v>
      </c>
      <c r="E8" s="193" t="s">
        <v>1900</v>
      </c>
      <c r="F8" s="219" t="s">
        <v>1742</v>
      </c>
      <c r="G8" s="219" t="s">
        <v>1743</v>
      </c>
      <c r="H8" s="219" t="s">
        <v>1744</v>
      </c>
      <c r="I8" s="5" t="s">
        <v>1811</v>
      </c>
      <c r="J8" s="193" t="s">
        <v>1834</v>
      </c>
      <c r="K8" s="5" t="s">
        <v>1854</v>
      </c>
      <c r="L8" s="5">
        <v>35480</v>
      </c>
      <c r="M8" s="77">
        <v>35</v>
      </c>
      <c r="N8" s="204" t="s">
        <v>1917</v>
      </c>
      <c r="O8" s="219" t="s">
        <v>687</v>
      </c>
      <c r="P8" s="220" t="s">
        <v>212</v>
      </c>
      <c r="Q8" s="220">
        <v>45966</v>
      </c>
      <c r="R8" s="220">
        <v>45966</v>
      </c>
      <c r="S8" s="220">
        <v>45975</v>
      </c>
      <c r="T8" s="219">
        <f t="shared" ref="T8" si="3">S8-Q8</f>
        <v>9</v>
      </c>
      <c r="U8" s="220">
        <v>45976</v>
      </c>
      <c r="V8" s="220">
        <v>45979</v>
      </c>
      <c r="W8" s="220">
        <v>45979</v>
      </c>
      <c r="X8" s="220">
        <v>45981</v>
      </c>
      <c r="Y8" s="220">
        <v>45985</v>
      </c>
      <c r="Z8" s="221">
        <v>45987</v>
      </c>
      <c r="AA8" s="221">
        <v>45987</v>
      </c>
      <c r="AB8" s="221">
        <v>45989</v>
      </c>
      <c r="AC8" s="221">
        <v>45995</v>
      </c>
      <c r="AD8" s="221">
        <v>45996</v>
      </c>
      <c r="AE8" s="219"/>
      <c r="AF8" s="219"/>
    </row>
    <row r="9" spans="1:32" s="115" customFormat="1">
      <c r="A9" s="219">
        <f t="shared" si="0"/>
        <v>6</v>
      </c>
      <c r="B9" s="219" t="s">
        <v>204</v>
      </c>
      <c r="C9" s="192" t="s">
        <v>1657</v>
      </c>
      <c r="D9" s="193" t="s">
        <v>29</v>
      </c>
      <c r="E9" s="193" t="s">
        <v>1902</v>
      </c>
      <c r="F9" s="200" t="s">
        <v>1758</v>
      </c>
      <c r="G9" s="219" t="s">
        <v>1759</v>
      </c>
      <c r="H9" s="219"/>
      <c r="I9" s="5" t="s">
        <v>1817</v>
      </c>
      <c r="J9" s="225" t="s">
        <v>1840</v>
      </c>
      <c r="K9" s="193" t="s">
        <v>1857</v>
      </c>
      <c r="L9" s="219">
        <v>31605</v>
      </c>
      <c r="M9" s="193">
        <v>32</v>
      </c>
      <c r="N9" s="204" t="s">
        <v>1917</v>
      </c>
      <c r="O9" s="219" t="s">
        <v>687</v>
      </c>
      <c r="P9" s="220" t="s">
        <v>212</v>
      </c>
      <c r="Q9" s="220">
        <v>45966</v>
      </c>
      <c r="R9" s="220">
        <v>45966</v>
      </c>
      <c r="S9" s="220">
        <v>45975</v>
      </c>
      <c r="T9" s="219">
        <f>S9-Q9</f>
        <v>9</v>
      </c>
      <c r="U9" s="220">
        <v>45976</v>
      </c>
      <c r="V9" s="220">
        <v>45979</v>
      </c>
      <c r="W9" s="220">
        <v>45979</v>
      </c>
      <c r="X9" s="220">
        <v>45982</v>
      </c>
      <c r="Y9" s="221">
        <v>45984</v>
      </c>
      <c r="Z9" s="221">
        <v>45986</v>
      </c>
      <c r="AA9" s="221">
        <v>45986</v>
      </c>
      <c r="AB9" s="221">
        <v>45987</v>
      </c>
      <c r="AC9" s="221">
        <v>45989</v>
      </c>
      <c r="AD9" s="221">
        <v>45992</v>
      </c>
      <c r="AE9" s="219"/>
      <c r="AF9" s="219"/>
    </row>
    <row r="10" spans="1:32" s="115" customFormat="1" ht="15.75" customHeight="1">
      <c r="A10" s="219">
        <f t="shared" si="0"/>
        <v>7</v>
      </c>
      <c r="B10" s="219" t="s">
        <v>204</v>
      </c>
      <c r="C10" s="192" t="s">
        <v>1657</v>
      </c>
      <c r="D10" s="193" t="s">
        <v>29</v>
      </c>
      <c r="E10" s="193" t="s">
        <v>1904</v>
      </c>
      <c r="F10" s="219" t="s">
        <v>1678</v>
      </c>
      <c r="G10" s="219" t="s">
        <v>1679</v>
      </c>
      <c r="H10" s="219" t="s">
        <v>1680</v>
      </c>
      <c r="I10" s="5" t="s">
        <v>1801</v>
      </c>
      <c r="J10" s="219" t="s">
        <v>1708</v>
      </c>
      <c r="K10" s="219" t="s">
        <v>1723</v>
      </c>
      <c r="L10" s="219">
        <v>34820</v>
      </c>
      <c r="M10" s="219">
        <v>35</v>
      </c>
      <c r="N10" s="204" t="s">
        <v>1917</v>
      </c>
      <c r="O10" s="5" t="s">
        <v>687</v>
      </c>
      <c r="P10" s="220" t="s">
        <v>212</v>
      </c>
      <c r="Q10" s="220">
        <v>45968</v>
      </c>
      <c r="R10" s="220">
        <v>45968</v>
      </c>
      <c r="S10" s="220">
        <v>45976</v>
      </c>
      <c r="T10" s="219">
        <f>S10-Q10</f>
        <v>8</v>
      </c>
      <c r="U10" s="220">
        <v>45977</v>
      </c>
      <c r="V10" s="220">
        <v>45979</v>
      </c>
      <c r="W10" s="220">
        <v>45979</v>
      </c>
      <c r="X10" s="220">
        <v>45981</v>
      </c>
      <c r="Y10" s="221">
        <v>45983</v>
      </c>
      <c r="Z10" s="221">
        <v>45987</v>
      </c>
      <c r="AA10" s="221">
        <v>45987</v>
      </c>
      <c r="AB10" s="221">
        <v>45684</v>
      </c>
      <c r="AC10" s="221">
        <v>45989</v>
      </c>
      <c r="AD10" s="221">
        <v>45990</v>
      </c>
      <c r="AE10" s="219"/>
      <c r="AF10" s="219"/>
    </row>
    <row r="11" spans="1:32" s="115" customFormat="1" ht="14.1" customHeight="1">
      <c r="A11" s="219">
        <f t="shared" si="0"/>
        <v>8</v>
      </c>
      <c r="B11" s="219" t="s">
        <v>204</v>
      </c>
      <c r="C11" s="192" t="s">
        <v>1657</v>
      </c>
      <c r="D11" s="193" t="s">
        <v>29</v>
      </c>
      <c r="E11" s="193" t="s">
        <v>1882</v>
      </c>
      <c r="F11" s="219" t="s">
        <v>719</v>
      </c>
      <c r="G11" s="219" t="s">
        <v>1674</v>
      </c>
      <c r="H11" s="219"/>
      <c r="I11" s="5" t="s">
        <v>1797</v>
      </c>
      <c r="J11" s="219" t="s">
        <v>1704</v>
      </c>
      <c r="K11" s="219" t="s">
        <v>1719</v>
      </c>
      <c r="L11" s="219">
        <v>30461</v>
      </c>
      <c r="M11" s="219">
        <v>30</v>
      </c>
      <c r="N11" s="204" t="s">
        <v>1917</v>
      </c>
      <c r="O11" s="5" t="s">
        <v>687</v>
      </c>
      <c r="P11" s="220" t="s">
        <v>212</v>
      </c>
      <c r="Q11" s="220">
        <v>45953</v>
      </c>
      <c r="R11" s="220">
        <v>45954</v>
      </c>
      <c r="S11" s="220">
        <v>45964</v>
      </c>
      <c r="T11" s="219">
        <f>S11-Q11</f>
        <v>11</v>
      </c>
      <c r="U11" s="220">
        <v>45965</v>
      </c>
      <c r="V11" s="220">
        <v>45968</v>
      </c>
      <c r="W11" s="220">
        <v>45968</v>
      </c>
      <c r="X11" s="220">
        <v>45970</v>
      </c>
      <c r="Y11" s="221">
        <v>45975</v>
      </c>
      <c r="Z11" s="221">
        <v>45976</v>
      </c>
      <c r="AA11" s="221">
        <v>45976</v>
      </c>
      <c r="AB11" s="221">
        <v>45987</v>
      </c>
      <c r="AC11" s="221">
        <v>45989</v>
      </c>
      <c r="AD11" s="221">
        <v>45990</v>
      </c>
      <c r="AE11" s="219"/>
      <c r="AF11" s="219"/>
    </row>
    <row r="12" spans="1:32" s="115" customFormat="1" ht="14.25" customHeight="1">
      <c r="A12" s="219">
        <f t="shared" si="0"/>
        <v>9</v>
      </c>
      <c r="B12" s="219" t="s">
        <v>204</v>
      </c>
      <c r="C12" s="192" t="s">
        <v>1657</v>
      </c>
      <c r="D12" s="193" t="s">
        <v>29</v>
      </c>
      <c r="E12" s="193" t="s">
        <v>1891</v>
      </c>
      <c r="F12" s="219" t="s">
        <v>98</v>
      </c>
      <c r="G12" s="219" t="s">
        <v>576</v>
      </c>
      <c r="H12" s="219" t="s">
        <v>1751</v>
      </c>
      <c r="I12" s="5" t="s">
        <v>139</v>
      </c>
      <c r="J12" s="194">
        <v>255766539737</v>
      </c>
      <c r="K12" s="219" t="s">
        <v>195</v>
      </c>
      <c r="L12" s="219">
        <v>34768</v>
      </c>
      <c r="M12" s="77">
        <v>35</v>
      </c>
      <c r="N12" s="204" t="s">
        <v>1917</v>
      </c>
      <c r="O12" s="219" t="s">
        <v>687</v>
      </c>
      <c r="P12" s="220" t="s">
        <v>212</v>
      </c>
      <c r="Q12" s="220">
        <v>45964</v>
      </c>
      <c r="R12" s="220">
        <v>45965</v>
      </c>
      <c r="S12" s="220">
        <v>45972</v>
      </c>
      <c r="T12" s="219">
        <f>S12-Q12</f>
        <v>8</v>
      </c>
      <c r="U12" s="220">
        <v>45974</v>
      </c>
      <c r="V12" s="220">
        <v>45977</v>
      </c>
      <c r="W12" s="220">
        <v>45977</v>
      </c>
      <c r="X12" s="220">
        <v>45978</v>
      </c>
      <c r="Y12" s="221">
        <v>45981</v>
      </c>
      <c r="Z12" s="221">
        <v>45982</v>
      </c>
      <c r="AA12" s="221">
        <v>45982</v>
      </c>
      <c r="AB12" s="221">
        <v>45985</v>
      </c>
      <c r="AC12" s="221">
        <v>45987</v>
      </c>
      <c r="AD12" s="221">
        <v>45990</v>
      </c>
      <c r="AE12" s="219"/>
      <c r="AF12" s="219"/>
    </row>
    <row r="13" spans="1:32" s="115" customFormat="1">
      <c r="A13" s="219">
        <f t="shared" si="0"/>
        <v>10</v>
      </c>
      <c r="B13" s="219" t="s">
        <v>204</v>
      </c>
      <c r="C13" s="192" t="s">
        <v>1657</v>
      </c>
      <c r="D13" s="193" t="s">
        <v>29</v>
      </c>
      <c r="E13" s="193" t="s">
        <v>1892</v>
      </c>
      <c r="F13" s="219" t="s">
        <v>1491</v>
      </c>
      <c r="G13" s="219" t="s">
        <v>1492</v>
      </c>
      <c r="H13" s="219"/>
      <c r="I13" s="5" t="s">
        <v>1501</v>
      </c>
      <c r="J13" s="126" t="s">
        <v>1842</v>
      </c>
      <c r="K13" s="219" t="s">
        <v>1513</v>
      </c>
      <c r="L13" s="219">
        <v>36942</v>
      </c>
      <c r="M13" s="77">
        <v>37</v>
      </c>
      <c r="N13" s="204" t="s">
        <v>1917</v>
      </c>
      <c r="O13" s="219" t="s">
        <v>687</v>
      </c>
      <c r="P13" s="220" t="s">
        <v>212</v>
      </c>
      <c r="Q13" s="220">
        <v>45965</v>
      </c>
      <c r="R13" s="220">
        <v>45965</v>
      </c>
      <c r="S13" s="220">
        <v>45972</v>
      </c>
      <c r="T13" s="219">
        <f>S13-Q13</f>
        <v>7</v>
      </c>
      <c r="U13" s="220">
        <v>45975</v>
      </c>
      <c r="V13" s="220">
        <v>45978</v>
      </c>
      <c r="W13" s="220">
        <v>45978</v>
      </c>
      <c r="X13" s="220">
        <v>45979</v>
      </c>
      <c r="Y13" s="221">
        <v>45982</v>
      </c>
      <c r="Z13" s="221">
        <v>45983</v>
      </c>
      <c r="AA13" s="221">
        <v>45983</v>
      </c>
      <c r="AB13" s="221">
        <v>45985</v>
      </c>
      <c r="AC13" s="221">
        <v>45988</v>
      </c>
      <c r="AD13" s="221">
        <v>45990</v>
      </c>
      <c r="AE13" s="219"/>
      <c r="AF13" s="219"/>
    </row>
    <row r="14" spans="1:32" s="115" customFormat="1" ht="15.75" customHeight="1">
      <c r="A14" s="219">
        <f t="shared" si="0"/>
        <v>11</v>
      </c>
      <c r="B14" s="219" t="s">
        <v>204</v>
      </c>
      <c r="C14" s="192" t="s">
        <v>1657</v>
      </c>
      <c r="D14" s="193" t="s">
        <v>29</v>
      </c>
      <c r="E14" s="193" t="s">
        <v>1915</v>
      </c>
      <c r="F14" s="219" t="s">
        <v>1343</v>
      </c>
      <c r="G14" s="219" t="s">
        <v>1344</v>
      </c>
      <c r="H14" s="219" t="s">
        <v>1345</v>
      </c>
      <c r="I14" s="5" t="s">
        <v>1808</v>
      </c>
      <c r="J14" s="203" t="s">
        <v>1830</v>
      </c>
      <c r="K14" s="5" t="s">
        <v>1440</v>
      </c>
      <c r="L14" s="219">
        <v>35505</v>
      </c>
      <c r="M14" s="77">
        <v>35</v>
      </c>
      <c r="N14" s="204" t="s">
        <v>1917</v>
      </c>
      <c r="O14" s="219" t="s">
        <v>687</v>
      </c>
      <c r="P14" s="220" t="s">
        <v>212</v>
      </c>
      <c r="Q14" s="220">
        <v>45964</v>
      </c>
      <c r="R14" s="220">
        <v>45965</v>
      </c>
      <c r="S14" s="220">
        <v>45972</v>
      </c>
      <c r="T14" s="219">
        <f t="shared" ref="T14" si="4">S14-Q14</f>
        <v>8</v>
      </c>
      <c r="U14" s="220">
        <v>45974</v>
      </c>
      <c r="V14" s="220">
        <v>45977</v>
      </c>
      <c r="W14" s="220">
        <v>45977</v>
      </c>
      <c r="X14" s="220">
        <v>45978</v>
      </c>
      <c r="Y14" s="221">
        <v>45980</v>
      </c>
      <c r="Z14" s="221">
        <v>45982</v>
      </c>
      <c r="AA14" s="221">
        <v>45982</v>
      </c>
      <c r="AB14" s="221">
        <v>45985</v>
      </c>
      <c r="AC14" s="221">
        <v>45988</v>
      </c>
      <c r="AD14" s="221">
        <v>45989</v>
      </c>
      <c r="AE14" s="219"/>
      <c r="AF14" s="219"/>
    </row>
    <row r="15" spans="1:32" s="115" customFormat="1">
      <c r="A15" s="219">
        <f t="shared" si="0"/>
        <v>12</v>
      </c>
      <c r="B15" s="219" t="s">
        <v>204</v>
      </c>
      <c r="C15" s="192" t="s">
        <v>1657</v>
      </c>
      <c r="D15" s="193" t="s">
        <v>29</v>
      </c>
      <c r="E15" s="193" t="s">
        <v>1895</v>
      </c>
      <c r="F15" s="219" t="s">
        <v>1739</v>
      </c>
      <c r="G15" s="219" t="s">
        <v>1740</v>
      </c>
      <c r="H15" s="219" t="s">
        <v>1741</v>
      </c>
      <c r="I15" s="5" t="s">
        <v>1810</v>
      </c>
      <c r="J15" s="126" t="s">
        <v>1833</v>
      </c>
      <c r="K15" s="5" t="s">
        <v>1853</v>
      </c>
      <c r="L15" s="219">
        <v>36209</v>
      </c>
      <c r="M15" s="77">
        <v>36</v>
      </c>
      <c r="N15" s="204" t="s">
        <v>1917</v>
      </c>
      <c r="O15" s="219" t="s">
        <v>687</v>
      </c>
      <c r="P15" s="220" t="s">
        <v>212</v>
      </c>
      <c r="Q15" s="220">
        <v>45964</v>
      </c>
      <c r="R15" s="220">
        <v>45965</v>
      </c>
      <c r="S15" s="220">
        <v>45972</v>
      </c>
      <c r="T15" s="219">
        <f>S15-Q15</f>
        <v>8</v>
      </c>
      <c r="U15" s="220">
        <v>45975</v>
      </c>
      <c r="V15" s="220">
        <v>45978</v>
      </c>
      <c r="W15" s="220">
        <v>45978</v>
      </c>
      <c r="X15" s="220">
        <v>45978</v>
      </c>
      <c r="Y15" s="221">
        <v>45980</v>
      </c>
      <c r="Z15" s="221">
        <v>45982</v>
      </c>
      <c r="AA15" s="221">
        <v>45982</v>
      </c>
      <c r="AB15" s="221">
        <v>45985</v>
      </c>
      <c r="AC15" s="221">
        <v>45986</v>
      </c>
      <c r="AD15" s="221">
        <v>45990</v>
      </c>
      <c r="AE15" s="219"/>
      <c r="AF15" s="219"/>
    </row>
    <row r="16" spans="1:32" s="115" customFormat="1" ht="14.25" customHeight="1">
      <c r="A16" s="219">
        <f t="shared" si="0"/>
        <v>13</v>
      </c>
      <c r="B16" s="219" t="s">
        <v>204</v>
      </c>
      <c r="C16" s="192" t="s">
        <v>1657</v>
      </c>
      <c r="D16" s="193" t="s">
        <v>29</v>
      </c>
      <c r="E16" s="193" t="s">
        <v>1896</v>
      </c>
      <c r="F16" s="219" t="s">
        <v>1752</v>
      </c>
      <c r="G16" s="219" t="s">
        <v>1753</v>
      </c>
      <c r="H16" s="219" t="s">
        <v>1754</v>
      </c>
      <c r="I16" s="5" t="s">
        <v>1815</v>
      </c>
      <c r="J16" s="223" t="s">
        <v>1838</v>
      </c>
      <c r="K16" s="193" t="s">
        <v>41</v>
      </c>
      <c r="L16" s="219">
        <v>36113</v>
      </c>
      <c r="M16" s="77">
        <v>36</v>
      </c>
      <c r="N16" s="204" t="s">
        <v>1917</v>
      </c>
      <c r="O16" s="219" t="s">
        <v>687</v>
      </c>
      <c r="P16" s="220" t="s">
        <v>212</v>
      </c>
      <c r="Q16" s="220">
        <v>45964</v>
      </c>
      <c r="R16" s="220">
        <v>45965</v>
      </c>
      <c r="S16" s="220">
        <v>45972</v>
      </c>
      <c r="T16" s="219">
        <f t="shared" ref="T16:T22" si="5">S16-Q16</f>
        <v>8</v>
      </c>
      <c r="U16" s="220">
        <v>45974</v>
      </c>
      <c r="V16" s="220">
        <v>45977</v>
      </c>
      <c r="W16" s="220">
        <v>45977</v>
      </c>
      <c r="X16" s="220">
        <v>45978</v>
      </c>
      <c r="Y16" s="221">
        <v>45980</v>
      </c>
      <c r="Z16" s="221">
        <v>45981</v>
      </c>
      <c r="AA16" s="221">
        <v>45981</v>
      </c>
      <c r="AB16" s="221">
        <v>45983</v>
      </c>
      <c r="AC16" s="221">
        <v>45986</v>
      </c>
      <c r="AD16" s="221">
        <v>45988</v>
      </c>
      <c r="AE16" s="219"/>
      <c r="AF16" s="219"/>
    </row>
    <row r="17" spans="1:32" s="115" customFormat="1" ht="15.75" customHeight="1">
      <c r="A17" s="219">
        <f t="shared" si="0"/>
        <v>14</v>
      </c>
      <c r="B17" s="219" t="s">
        <v>204</v>
      </c>
      <c r="C17" s="192" t="s">
        <v>1657</v>
      </c>
      <c r="D17" s="193" t="s">
        <v>29</v>
      </c>
      <c r="E17" s="193" t="s">
        <v>1897</v>
      </c>
      <c r="F17" s="219" t="s">
        <v>1736</v>
      </c>
      <c r="G17" s="219" t="s">
        <v>1737</v>
      </c>
      <c r="H17" s="219" t="s">
        <v>1738</v>
      </c>
      <c r="I17" s="5" t="s">
        <v>1809</v>
      </c>
      <c r="J17" s="77" t="s">
        <v>1832</v>
      </c>
      <c r="K17" s="193" t="s">
        <v>41</v>
      </c>
      <c r="L17" s="219">
        <v>35262</v>
      </c>
      <c r="M17" s="77">
        <v>35</v>
      </c>
      <c r="N17" s="204" t="s">
        <v>1917</v>
      </c>
      <c r="O17" s="219" t="s">
        <v>687</v>
      </c>
      <c r="P17" s="220" t="s">
        <v>212</v>
      </c>
      <c r="Q17" s="220">
        <v>45964</v>
      </c>
      <c r="R17" s="220">
        <v>45965</v>
      </c>
      <c r="S17" s="220">
        <v>45972</v>
      </c>
      <c r="T17" s="219">
        <f t="shared" si="5"/>
        <v>8</v>
      </c>
      <c r="U17" s="220">
        <v>45974</v>
      </c>
      <c r="V17" s="220">
        <v>45977</v>
      </c>
      <c r="W17" s="220">
        <v>45977</v>
      </c>
      <c r="X17" s="220">
        <v>45978</v>
      </c>
      <c r="Y17" s="221">
        <v>45981</v>
      </c>
      <c r="Z17" s="221">
        <v>45982</v>
      </c>
      <c r="AA17" s="221">
        <v>45982</v>
      </c>
      <c r="AB17" s="221">
        <v>45984</v>
      </c>
      <c r="AC17" s="221">
        <v>45986</v>
      </c>
      <c r="AD17" s="221">
        <v>45988</v>
      </c>
      <c r="AE17" s="219"/>
      <c r="AF17" s="219"/>
    </row>
    <row r="18" spans="1:32" s="115" customFormat="1">
      <c r="A18" s="219">
        <f t="shared" si="0"/>
        <v>15</v>
      </c>
      <c r="B18" s="219" t="s">
        <v>204</v>
      </c>
      <c r="C18" s="192" t="s">
        <v>1657</v>
      </c>
      <c r="D18" s="193" t="s">
        <v>29</v>
      </c>
      <c r="E18" s="193" t="s">
        <v>1886</v>
      </c>
      <c r="F18" s="219" t="s">
        <v>1672</v>
      </c>
      <c r="G18" s="219" t="s">
        <v>1673</v>
      </c>
      <c r="H18" s="219"/>
      <c r="I18" s="5" t="s">
        <v>1796</v>
      </c>
      <c r="J18" s="5" t="s">
        <v>1703</v>
      </c>
      <c r="K18" s="5" t="s">
        <v>1718</v>
      </c>
      <c r="L18" s="219">
        <v>36462</v>
      </c>
      <c r="M18" s="5">
        <v>36</v>
      </c>
      <c r="N18" s="204" t="s">
        <v>1917</v>
      </c>
      <c r="O18" s="219" t="s">
        <v>687</v>
      </c>
      <c r="P18" s="220" t="s">
        <v>212</v>
      </c>
      <c r="Q18" s="220">
        <v>45954</v>
      </c>
      <c r="R18" s="220">
        <v>45954</v>
      </c>
      <c r="S18" s="220">
        <v>45964</v>
      </c>
      <c r="T18" s="219">
        <f t="shared" si="5"/>
        <v>10</v>
      </c>
      <c r="U18" s="220">
        <v>45965</v>
      </c>
      <c r="V18" s="220">
        <v>45968</v>
      </c>
      <c r="W18" s="220">
        <v>45968</v>
      </c>
      <c r="X18" s="220">
        <v>45971</v>
      </c>
      <c r="Y18" s="221">
        <v>45975</v>
      </c>
      <c r="Z18" s="221">
        <v>45977</v>
      </c>
      <c r="AA18" s="221">
        <v>45977</v>
      </c>
      <c r="AB18" s="221">
        <v>45979</v>
      </c>
      <c r="AC18" s="221">
        <v>45986</v>
      </c>
      <c r="AD18" s="221">
        <v>45988</v>
      </c>
      <c r="AE18" s="219"/>
      <c r="AF18" s="219"/>
    </row>
    <row r="19" spans="1:32" s="115" customFormat="1" ht="14.25" customHeight="1">
      <c r="A19" s="219">
        <f t="shared" si="0"/>
        <v>16</v>
      </c>
      <c r="B19" s="219" t="s">
        <v>204</v>
      </c>
      <c r="C19" s="192" t="s">
        <v>1657</v>
      </c>
      <c r="D19" s="193" t="s">
        <v>29</v>
      </c>
      <c r="E19" s="193" t="s">
        <v>1880</v>
      </c>
      <c r="F19" s="219" t="s">
        <v>1663</v>
      </c>
      <c r="G19" s="219" t="s">
        <v>1664</v>
      </c>
      <c r="H19" s="219" t="s">
        <v>1665</v>
      </c>
      <c r="I19" s="5" t="s">
        <v>1793</v>
      </c>
      <c r="J19" s="219" t="s">
        <v>1700</v>
      </c>
      <c r="K19" s="219" t="s">
        <v>1715</v>
      </c>
      <c r="L19" s="219">
        <v>35395</v>
      </c>
      <c r="M19" s="219">
        <v>35</v>
      </c>
      <c r="N19" s="204" t="s">
        <v>1917</v>
      </c>
      <c r="O19" s="219" t="s">
        <v>687</v>
      </c>
      <c r="P19" s="220" t="s">
        <v>212</v>
      </c>
      <c r="Q19" s="220">
        <v>45954</v>
      </c>
      <c r="R19" s="220">
        <v>45954</v>
      </c>
      <c r="S19" s="220">
        <v>45964</v>
      </c>
      <c r="T19" s="219">
        <f t="shared" si="5"/>
        <v>10</v>
      </c>
      <c r="U19" s="220">
        <v>45965</v>
      </c>
      <c r="V19" s="220">
        <v>45968</v>
      </c>
      <c r="W19" s="220">
        <v>45968</v>
      </c>
      <c r="X19" s="220">
        <v>45970</v>
      </c>
      <c r="Y19" s="221">
        <v>45975</v>
      </c>
      <c r="Z19" s="221">
        <v>45976</v>
      </c>
      <c r="AA19" s="221">
        <v>45976</v>
      </c>
      <c r="AB19" s="221">
        <v>45981</v>
      </c>
      <c r="AC19" s="221">
        <v>45985</v>
      </c>
      <c r="AD19" s="221">
        <v>45987</v>
      </c>
      <c r="AE19" s="219"/>
      <c r="AF19" s="219"/>
    </row>
    <row r="20" spans="1:32" s="115" customFormat="1">
      <c r="A20" s="219">
        <f t="shared" si="0"/>
        <v>17</v>
      </c>
      <c r="B20" s="219" t="s">
        <v>204</v>
      </c>
      <c r="C20" s="192" t="s">
        <v>1657</v>
      </c>
      <c r="D20" s="193" t="s">
        <v>29</v>
      </c>
      <c r="E20" s="193" t="s">
        <v>1883</v>
      </c>
      <c r="F20" s="219" t="s">
        <v>1675</v>
      </c>
      <c r="G20" s="219" t="s">
        <v>730</v>
      </c>
      <c r="H20" s="219" t="s">
        <v>731</v>
      </c>
      <c r="I20" s="5" t="s">
        <v>1798</v>
      </c>
      <c r="J20" s="5" t="s">
        <v>1705</v>
      </c>
      <c r="K20" s="219" t="s">
        <v>1720</v>
      </c>
      <c r="L20" s="219">
        <v>34991</v>
      </c>
      <c r="M20" s="5">
        <v>35</v>
      </c>
      <c r="N20" s="204" t="s">
        <v>1917</v>
      </c>
      <c r="O20" s="219" t="s">
        <v>687</v>
      </c>
      <c r="P20" s="220" t="s">
        <v>212</v>
      </c>
      <c r="Q20" s="220">
        <v>45953</v>
      </c>
      <c r="R20" s="220">
        <v>45954</v>
      </c>
      <c r="S20" s="220">
        <v>45964</v>
      </c>
      <c r="T20" s="219">
        <f t="shared" si="5"/>
        <v>11</v>
      </c>
      <c r="U20" s="220">
        <v>45965</v>
      </c>
      <c r="V20" s="220">
        <v>45968</v>
      </c>
      <c r="W20" s="220">
        <v>45968</v>
      </c>
      <c r="X20" s="220">
        <v>45970</v>
      </c>
      <c r="Y20" s="221">
        <v>45977</v>
      </c>
      <c r="Z20" s="221">
        <v>45980</v>
      </c>
      <c r="AA20" s="221">
        <v>45980</v>
      </c>
      <c r="AB20" s="221">
        <v>45981</v>
      </c>
      <c r="AC20" s="221">
        <v>45983</v>
      </c>
      <c r="AD20" s="221">
        <v>45986</v>
      </c>
      <c r="AE20" s="219"/>
      <c r="AF20" s="219"/>
    </row>
    <row r="21" spans="1:32" s="115" customFormat="1" ht="14.1" customHeight="1">
      <c r="A21" s="219">
        <f t="shared" si="0"/>
        <v>18</v>
      </c>
      <c r="B21" s="219" t="s">
        <v>204</v>
      </c>
      <c r="C21" s="192" t="s">
        <v>1657</v>
      </c>
      <c r="D21" s="193" t="s">
        <v>29</v>
      </c>
      <c r="E21" s="193" t="s">
        <v>1893</v>
      </c>
      <c r="F21" s="219" t="s">
        <v>52</v>
      </c>
      <c r="G21" s="219" t="s">
        <v>1735</v>
      </c>
      <c r="H21" s="219"/>
      <c r="I21" s="5" t="s">
        <v>122</v>
      </c>
      <c r="J21" s="210" t="s">
        <v>151</v>
      </c>
      <c r="K21" s="219" t="s">
        <v>179</v>
      </c>
      <c r="L21" s="219">
        <v>37752</v>
      </c>
      <c r="M21" s="193">
        <v>38</v>
      </c>
      <c r="N21" s="204" t="s">
        <v>1917</v>
      </c>
      <c r="O21" s="219" t="s">
        <v>687</v>
      </c>
      <c r="P21" s="220" t="s">
        <v>212</v>
      </c>
      <c r="Q21" s="220">
        <v>45964</v>
      </c>
      <c r="R21" s="220">
        <v>45965</v>
      </c>
      <c r="S21" s="220">
        <v>45972</v>
      </c>
      <c r="T21" s="219">
        <f t="shared" si="5"/>
        <v>8</v>
      </c>
      <c r="U21" s="220">
        <v>45974</v>
      </c>
      <c r="V21" s="220">
        <v>45977</v>
      </c>
      <c r="W21" s="220">
        <v>45977</v>
      </c>
      <c r="X21" s="220">
        <v>45978</v>
      </c>
      <c r="Y21" s="221">
        <v>45980</v>
      </c>
      <c r="Z21" s="221">
        <v>45981</v>
      </c>
      <c r="AA21" s="221">
        <v>45981</v>
      </c>
      <c r="AB21" s="221">
        <v>45983</v>
      </c>
      <c r="AC21" s="221">
        <v>45985</v>
      </c>
      <c r="AD21" s="221">
        <v>45986</v>
      </c>
      <c r="AE21" s="219"/>
      <c r="AF21" s="219"/>
    </row>
    <row r="22" spans="1:32" s="115" customFormat="1" ht="14.25" customHeight="1">
      <c r="A22" s="219">
        <f t="shared" si="0"/>
        <v>19</v>
      </c>
      <c r="B22" s="219" t="s">
        <v>204</v>
      </c>
      <c r="C22" s="192" t="s">
        <v>1657</v>
      </c>
      <c r="D22" s="193" t="s">
        <v>29</v>
      </c>
      <c r="E22" s="193" t="s">
        <v>1914</v>
      </c>
      <c r="F22" s="219" t="s">
        <v>1687</v>
      </c>
      <c r="G22" s="219" t="s">
        <v>1688</v>
      </c>
      <c r="H22" s="219" t="s">
        <v>1689</v>
      </c>
      <c r="I22" s="5" t="s">
        <v>1804</v>
      </c>
      <c r="J22" s="219" t="s">
        <v>1711</v>
      </c>
      <c r="K22" s="219" t="s">
        <v>1875</v>
      </c>
      <c r="L22" s="219">
        <v>34430</v>
      </c>
      <c r="M22" s="219">
        <v>35</v>
      </c>
      <c r="N22" s="204" t="s">
        <v>1917</v>
      </c>
      <c r="O22" s="219" t="s">
        <v>687</v>
      </c>
      <c r="P22" s="220" t="s">
        <v>212</v>
      </c>
      <c r="Q22" s="220">
        <v>45951</v>
      </c>
      <c r="R22" s="220">
        <v>45951</v>
      </c>
      <c r="S22" s="220">
        <v>45960</v>
      </c>
      <c r="T22" s="219">
        <f t="shared" si="5"/>
        <v>9</v>
      </c>
      <c r="U22" s="220">
        <v>45963</v>
      </c>
      <c r="V22" s="220">
        <v>45963</v>
      </c>
      <c r="W22" s="220">
        <v>45963</v>
      </c>
      <c r="X22" s="220">
        <v>45967</v>
      </c>
      <c r="Y22" s="221">
        <v>45972</v>
      </c>
      <c r="Z22" s="221">
        <v>45972</v>
      </c>
      <c r="AA22" s="221">
        <v>45974</v>
      </c>
      <c r="AB22" s="221">
        <v>45974</v>
      </c>
      <c r="AC22" s="221">
        <v>45980</v>
      </c>
      <c r="AD22" s="221">
        <v>45983</v>
      </c>
      <c r="AE22" s="219"/>
      <c r="AF22" s="219"/>
    </row>
    <row r="23" spans="1:32" s="115" customFormat="1" ht="16.5" customHeight="1">
      <c r="A23" s="219">
        <f t="shared" si="0"/>
        <v>20</v>
      </c>
      <c r="B23" s="219" t="s">
        <v>204</v>
      </c>
      <c r="C23" s="192" t="s">
        <v>1657</v>
      </c>
      <c r="D23" s="193" t="s">
        <v>29</v>
      </c>
      <c r="E23" s="193" t="s">
        <v>1910</v>
      </c>
      <c r="F23" s="219" t="s">
        <v>302</v>
      </c>
      <c r="G23" s="219" t="s">
        <v>303</v>
      </c>
      <c r="H23" s="219" t="s">
        <v>304</v>
      </c>
      <c r="I23" s="5" t="s">
        <v>330</v>
      </c>
      <c r="J23" s="5" t="s">
        <v>356</v>
      </c>
      <c r="K23" s="219" t="s">
        <v>383</v>
      </c>
      <c r="L23" s="219">
        <v>34257</v>
      </c>
      <c r="M23" s="5">
        <v>35</v>
      </c>
      <c r="N23" s="204" t="s">
        <v>1917</v>
      </c>
      <c r="O23" s="219" t="s">
        <v>687</v>
      </c>
      <c r="P23" s="220" t="s">
        <v>212</v>
      </c>
      <c r="Q23" s="220">
        <v>45950</v>
      </c>
      <c r="R23" s="220">
        <v>45951</v>
      </c>
      <c r="S23" s="220">
        <v>45960</v>
      </c>
      <c r="T23" s="219">
        <f t="shared" si="1"/>
        <v>10</v>
      </c>
      <c r="U23" s="220">
        <v>45963</v>
      </c>
      <c r="V23" s="220">
        <v>45963</v>
      </c>
      <c r="W23" s="220">
        <v>45963</v>
      </c>
      <c r="X23" s="220">
        <v>45966</v>
      </c>
      <c r="Y23" s="221">
        <v>45971</v>
      </c>
      <c r="Z23" s="221">
        <v>45972</v>
      </c>
      <c r="AA23" s="221">
        <v>45972</v>
      </c>
      <c r="AB23" s="221">
        <v>45973</v>
      </c>
      <c r="AC23" s="221">
        <v>45975</v>
      </c>
      <c r="AD23" s="221">
        <v>45978</v>
      </c>
      <c r="AE23" s="219"/>
      <c r="AF23" s="219"/>
    </row>
    <row r="24" spans="1:32" s="115" customFormat="1">
      <c r="A24" s="219">
        <f t="shared" si="0"/>
        <v>21</v>
      </c>
      <c r="B24" s="219" t="s">
        <v>204</v>
      </c>
      <c r="C24" s="192" t="s">
        <v>1657</v>
      </c>
      <c r="D24" s="193" t="s">
        <v>29</v>
      </c>
      <c r="E24" s="193" t="s">
        <v>1911</v>
      </c>
      <c r="F24" s="219" t="s">
        <v>1346</v>
      </c>
      <c r="G24" s="219" t="s">
        <v>1347</v>
      </c>
      <c r="H24" s="219" t="s">
        <v>1693</v>
      </c>
      <c r="I24" s="5" t="s">
        <v>1396</v>
      </c>
      <c r="J24" s="5" t="s">
        <v>1418</v>
      </c>
      <c r="K24" s="219" t="s">
        <v>1727</v>
      </c>
      <c r="L24" s="219">
        <v>35557</v>
      </c>
      <c r="M24" s="5">
        <v>35</v>
      </c>
      <c r="N24" s="204" t="s">
        <v>1917</v>
      </c>
      <c r="O24" s="219" t="s">
        <v>687</v>
      </c>
      <c r="P24" s="220" t="s">
        <v>212</v>
      </c>
      <c r="Q24" s="220">
        <v>45950</v>
      </c>
      <c r="R24" s="220">
        <v>45951</v>
      </c>
      <c r="S24" s="220">
        <v>45960</v>
      </c>
      <c r="T24" s="219">
        <f t="shared" si="1"/>
        <v>10</v>
      </c>
      <c r="U24" s="220">
        <v>45963</v>
      </c>
      <c r="V24" s="220">
        <v>45963</v>
      </c>
      <c r="W24" s="220">
        <v>45963</v>
      </c>
      <c r="X24" s="220">
        <v>45966</v>
      </c>
      <c r="Y24" s="221">
        <v>45970</v>
      </c>
      <c r="Z24" s="221">
        <v>45972</v>
      </c>
      <c r="AA24" s="221">
        <v>45972</v>
      </c>
      <c r="AB24" s="221">
        <v>45974</v>
      </c>
      <c r="AC24" s="221">
        <v>45975</v>
      </c>
      <c r="AD24" s="221">
        <v>45978</v>
      </c>
      <c r="AE24" s="219"/>
      <c r="AF24" s="219"/>
    </row>
    <row r="25" spans="1:32" s="115" customFormat="1">
      <c r="A25" s="219">
        <f t="shared" si="0"/>
        <v>22</v>
      </c>
      <c r="B25" s="219" t="s">
        <v>204</v>
      </c>
      <c r="C25" s="192" t="s">
        <v>1657</v>
      </c>
      <c r="D25" s="193" t="s">
        <v>29</v>
      </c>
      <c r="E25" s="193" t="s">
        <v>1912</v>
      </c>
      <c r="F25" s="219" t="s">
        <v>1697</v>
      </c>
      <c r="G25" s="219" t="s">
        <v>1698</v>
      </c>
      <c r="H25" s="219" t="s">
        <v>1699</v>
      </c>
      <c r="I25" s="5" t="s">
        <v>1807</v>
      </c>
      <c r="J25" s="5" t="s">
        <v>1714</v>
      </c>
      <c r="K25" s="219" t="s">
        <v>1728</v>
      </c>
      <c r="L25" s="219">
        <v>34265</v>
      </c>
      <c r="M25" s="5">
        <v>35</v>
      </c>
      <c r="N25" s="204" t="s">
        <v>1917</v>
      </c>
      <c r="O25" s="219" t="s">
        <v>687</v>
      </c>
      <c r="P25" s="220" t="s">
        <v>212</v>
      </c>
      <c r="Q25" s="220">
        <v>45950</v>
      </c>
      <c r="R25" s="220">
        <v>45951</v>
      </c>
      <c r="S25" s="220">
        <v>45960</v>
      </c>
      <c r="T25" s="219">
        <f t="shared" si="1"/>
        <v>10</v>
      </c>
      <c r="U25" s="220">
        <v>45963</v>
      </c>
      <c r="V25" s="220">
        <v>45963</v>
      </c>
      <c r="W25" s="220">
        <v>45963</v>
      </c>
      <c r="X25" s="220">
        <v>45966</v>
      </c>
      <c r="Y25" s="221">
        <v>45971</v>
      </c>
      <c r="Z25" s="221">
        <v>45972</v>
      </c>
      <c r="AA25" s="221">
        <v>45972</v>
      </c>
      <c r="AB25" s="221">
        <v>45973</v>
      </c>
      <c r="AC25" s="221">
        <v>45977</v>
      </c>
      <c r="AD25" s="221">
        <v>45978</v>
      </c>
      <c r="AE25" s="219"/>
      <c r="AF25" s="219"/>
    </row>
    <row r="26" spans="1:32" s="115" customFormat="1">
      <c r="A26" s="219">
        <f t="shared" si="0"/>
        <v>23</v>
      </c>
      <c r="B26" s="219" t="s">
        <v>204</v>
      </c>
      <c r="C26" s="192" t="s">
        <v>1657</v>
      </c>
      <c r="D26" s="193" t="s">
        <v>29</v>
      </c>
      <c r="E26" s="193" t="s">
        <v>1905</v>
      </c>
      <c r="F26" s="219" t="s">
        <v>391</v>
      </c>
      <c r="G26" s="219" t="s">
        <v>392</v>
      </c>
      <c r="H26" s="219" t="s">
        <v>393</v>
      </c>
      <c r="I26" s="5" t="s">
        <v>412</v>
      </c>
      <c r="J26" s="5" t="s">
        <v>427</v>
      </c>
      <c r="K26" s="5" t="s">
        <v>420</v>
      </c>
      <c r="L26" s="219">
        <v>35476</v>
      </c>
      <c r="M26" s="5">
        <v>35</v>
      </c>
      <c r="N26" s="204" t="s">
        <v>1917</v>
      </c>
      <c r="O26" s="219" t="s">
        <v>687</v>
      </c>
      <c r="P26" s="220" t="s">
        <v>212</v>
      </c>
      <c r="Q26" s="220">
        <v>45950</v>
      </c>
      <c r="R26" s="220">
        <v>45951</v>
      </c>
      <c r="S26" s="220">
        <v>45960</v>
      </c>
      <c r="T26" s="219">
        <f t="shared" si="1"/>
        <v>10</v>
      </c>
      <c r="U26" s="220">
        <v>45963</v>
      </c>
      <c r="V26" s="220">
        <v>45963</v>
      </c>
      <c r="W26" s="220">
        <v>45963</v>
      </c>
      <c r="X26" s="220">
        <v>45966</v>
      </c>
      <c r="Y26" s="221">
        <v>45972</v>
      </c>
      <c r="Z26" s="221">
        <v>45974</v>
      </c>
      <c r="AA26" s="221">
        <v>45974</v>
      </c>
      <c r="AB26" s="221">
        <v>45975</v>
      </c>
      <c r="AC26" s="221">
        <v>45977</v>
      </c>
      <c r="AD26" s="221">
        <v>45978</v>
      </c>
      <c r="AE26" s="219"/>
      <c r="AF26" s="219"/>
    </row>
    <row r="27" spans="1:32" s="115" customFormat="1">
      <c r="A27" s="219">
        <f t="shared" si="0"/>
        <v>24</v>
      </c>
      <c r="B27" s="219" t="s">
        <v>204</v>
      </c>
      <c r="C27" s="192" t="s">
        <v>1657</v>
      </c>
      <c r="D27" s="193" t="s">
        <v>29</v>
      </c>
      <c r="E27" s="193" t="s">
        <v>1907</v>
      </c>
      <c r="F27" s="219" t="s">
        <v>1684</v>
      </c>
      <c r="G27" s="219" t="s">
        <v>1685</v>
      </c>
      <c r="H27" s="219" t="s">
        <v>1686</v>
      </c>
      <c r="I27" s="5" t="s">
        <v>1803</v>
      </c>
      <c r="J27" s="5" t="s">
        <v>1710</v>
      </c>
      <c r="K27" s="219" t="s">
        <v>1725</v>
      </c>
      <c r="L27" s="219">
        <v>35104</v>
      </c>
      <c r="M27" s="5">
        <v>35</v>
      </c>
      <c r="N27" s="204" t="s">
        <v>1917</v>
      </c>
      <c r="O27" s="219" t="s">
        <v>687</v>
      </c>
      <c r="P27" s="220" t="s">
        <v>212</v>
      </c>
      <c r="Q27" s="220">
        <v>45950</v>
      </c>
      <c r="R27" s="220">
        <v>45951</v>
      </c>
      <c r="S27" s="220">
        <v>45960</v>
      </c>
      <c r="T27" s="219">
        <f t="shared" si="1"/>
        <v>10</v>
      </c>
      <c r="U27" s="220">
        <v>45963</v>
      </c>
      <c r="V27" s="220">
        <v>45963</v>
      </c>
      <c r="W27" s="220">
        <v>45963</v>
      </c>
      <c r="X27" s="220">
        <v>45968</v>
      </c>
      <c r="Y27" s="221">
        <v>45972</v>
      </c>
      <c r="Z27" s="221">
        <v>45972</v>
      </c>
      <c r="AA27" s="221">
        <v>45972</v>
      </c>
      <c r="AB27" s="221">
        <v>45974</v>
      </c>
      <c r="AC27" s="221">
        <v>45977</v>
      </c>
      <c r="AD27" s="221">
        <v>45979</v>
      </c>
      <c r="AE27" s="219"/>
      <c r="AF27" s="219"/>
    </row>
    <row r="28" spans="1:32" s="115" customFormat="1">
      <c r="A28" s="219">
        <f t="shared" si="0"/>
        <v>25</v>
      </c>
      <c r="B28" s="219" t="s">
        <v>204</v>
      </c>
      <c r="C28" s="192" t="s">
        <v>1657</v>
      </c>
      <c r="D28" s="193" t="s">
        <v>29</v>
      </c>
      <c r="E28" s="193" t="s">
        <v>1913</v>
      </c>
      <c r="F28" s="219" t="s">
        <v>104</v>
      </c>
      <c r="G28" s="219" t="s">
        <v>105</v>
      </c>
      <c r="H28" s="219" t="s">
        <v>106</v>
      </c>
      <c r="I28" s="5" t="s">
        <v>143</v>
      </c>
      <c r="J28" s="5" t="s">
        <v>172</v>
      </c>
      <c r="K28" s="219" t="s">
        <v>199</v>
      </c>
      <c r="L28" s="219">
        <v>35496</v>
      </c>
      <c r="M28" s="5">
        <v>35</v>
      </c>
      <c r="N28" s="204" t="s">
        <v>1917</v>
      </c>
      <c r="O28" s="219" t="s">
        <v>687</v>
      </c>
      <c r="P28" s="220" t="s">
        <v>212</v>
      </c>
      <c r="Q28" s="220">
        <v>45950</v>
      </c>
      <c r="R28" s="220">
        <v>45951</v>
      </c>
      <c r="S28" s="220">
        <v>45960</v>
      </c>
      <c r="T28" s="219">
        <f t="shared" si="1"/>
        <v>10</v>
      </c>
      <c r="U28" s="220">
        <v>45963</v>
      </c>
      <c r="V28" s="220">
        <v>45963</v>
      </c>
      <c r="W28" s="220">
        <v>45963</v>
      </c>
      <c r="X28" s="220">
        <v>45966</v>
      </c>
      <c r="Y28" s="221">
        <v>45972</v>
      </c>
      <c r="Z28" s="221">
        <v>45972</v>
      </c>
      <c r="AA28" s="221">
        <v>45972</v>
      </c>
      <c r="AB28" s="221">
        <v>45975</v>
      </c>
      <c r="AC28" s="221">
        <v>45978</v>
      </c>
      <c r="AD28" s="221">
        <v>45979</v>
      </c>
      <c r="AE28" s="219"/>
      <c r="AF28" s="219"/>
    </row>
    <row r="29" spans="1:32" s="115" customFormat="1">
      <c r="A29" s="219">
        <f t="shared" si="0"/>
        <v>26</v>
      </c>
      <c r="B29" s="219" t="s">
        <v>204</v>
      </c>
      <c r="C29" s="192" t="s">
        <v>1657</v>
      </c>
      <c r="D29" s="193" t="s">
        <v>29</v>
      </c>
      <c r="E29" s="193" t="s">
        <v>1908</v>
      </c>
      <c r="F29" s="219" t="s">
        <v>1690</v>
      </c>
      <c r="G29" s="219" t="s">
        <v>1691</v>
      </c>
      <c r="H29" s="219" t="s">
        <v>1692</v>
      </c>
      <c r="I29" s="5" t="s">
        <v>1805</v>
      </c>
      <c r="J29" s="5" t="s">
        <v>1712</v>
      </c>
      <c r="K29" s="219" t="s">
        <v>1726</v>
      </c>
      <c r="L29" s="219">
        <v>36321</v>
      </c>
      <c r="M29" s="5">
        <v>36</v>
      </c>
      <c r="N29" s="204" t="s">
        <v>1917</v>
      </c>
      <c r="O29" s="219" t="s">
        <v>687</v>
      </c>
      <c r="P29" s="220" t="s">
        <v>212</v>
      </c>
      <c r="Q29" s="220">
        <v>45950</v>
      </c>
      <c r="R29" s="220">
        <v>45951</v>
      </c>
      <c r="S29" s="220">
        <v>45960</v>
      </c>
      <c r="T29" s="219">
        <f t="shared" si="1"/>
        <v>10</v>
      </c>
      <c r="U29" s="220">
        <v>45963</v>
      </c>
      <c r="V29" s="220">
        <v>45963</v>
      </c>
      <c r="W29" s="220">
        <v>45963</v>
      </c>
      <c r="X29" s="220">
        <v>45967</v>
      </c>
      <c r="Y29" s="221">
        <v>45972</v>
      </c>
      <c r="Z29" s="221">
        <v>45974</v>
      </c>
      <c r="AA29" s="221">
        <v>45974</v>
      </c>
      <c r="AB29" s="221">
        <v>45976</v>
      </c>
      <c r="AC29" s="221">
        <v>45978</v>
      </c>
      <c r="AD29" s="221">
        <v>45980</v>
      </c>
      <c r="AE29" s="219"/>
      <c r="AF29" s="219"/>
    </row>
    <row r="30" spans="1:32" s="115" customFormat="1">
      <c r="A30" s="219">
        <f t="shared" si="0"/>
        <v>27</v>
      </c>
      <c r="B30" s="219" t="s">
        <v>204</v>
      </c>
      <c r="C30" s="192" t="s">
        <v>1657</v>
      </c>
      <c r="D30" s="193" t="s">
        <v>29</v>
      </c>
      <c r="E30" s="193" t="s">
        <v>1884</v>
      </c>
      <c r="F30" s="219" t="s">
        <v>1669</v>
      </c>
      <c r="G30" s="219" t="s">
        <v>1670</v>
      </c>
      <c r="H30" s="219" t="s">
        <v>1671</v>
      </c>
      <c r="I30" s="5" t="s">
        <v>1795</v>
      </c>
      <c r="J30" s="219" t="s">
        <v>1702</v>
      </c>
      <c r="K30" s="5" t="s">
        <v>1717</v>
      </c>
      <c r="L30" s="5">
        <v>34699</v>
      </c>
      <c r="M30" s="5">
        <v>35</v>
      </c>
      <c r="N30" s="204" t="s">
        <v>1917</v>
      </c>
      <c r="O30" s="5" t="s">
        <v>687</v>
      </c>
      <c r="P30" s="220" t="s">
        <v>212</v>
      </c>
      <c r="Q30" s="220">
        <v>45954</v>
      </c>
      <c r="R30" s="220">
        <v>45954</v>
      </c>
      <c r="S30" s="220">
        <v>45964</v>
      </c>
      <c r="T30" s="219">
        <f t="shared" ref="T30:T35" si="6">S30-Q30</f>
        <v>10</v>
      </c>
      <c r="U30" s="220">
        <v>45965</v>
      </c>
      <c r="V30" s="220">
        <v>45968</v>
      </c>
      <c r="W30" s="220">
        <v>45968</v>
      </c>
      <c r="X30" s="220">
        <v>45970</v>
      </c>
      <c r="Y30" s="221">
        <v>45975</v>
      </c>
      <c r="Z30" s="221">
        <v>45977</v>
      </c>
      <c r="AA30" s="221">
        <v>45977</v>
      </c>
      <c r="AB30" s="221">
        <v>45978</v>
      </c>
      <c r="AC30" s="221">
        <v>45980</v>
      </c>
      <c r="AD30" s="221">
        <v>45982</v>
      </c>
      <c r="AE30" s="219"/>
      <c r="AF30" s="226"/>
    </row>
    <row r="31" spans="1:32" s="115" customFormat="1">
      <c r="A31" s="219">
        <f t="shared" si="0"/>
        <v>28</v>
      </c>
      <c r="B31" s="219" t="s">
        <v>204</v>
      </c>
      <c r="C31" s="192" t="s">
        <v>1657</v>
      </c>
      <c r="D31" s="193" t="s">
        <v>29</v>
      </c>
      <c r="E31" s="193" t="s">
        <v>1887</v>
      </c>
      <c r="F31" s="219" t="s">
        <v>1681</v>
      </c>
      <c r="G31" s="219" t="s">
        <v>1682</v>
      </c>
      <c r="H31" s="219" t="s">
        <v>1683</v>
      </c>
      <c r="I31" s="5" t="s">
        <v>1802</v>
      </c>
      <c r="J31" s="219" t="s">
        <v>1709</v>
      </c>
      <c r="K31" s="5" t="s">
        <v>1724</v>
      </c>
      <c r="L31" s="5">
        <v>35033</v>
      </c>
      <c r="M31" s="5">
        <v>36</v>
      </c>
      <c r="N31" s="204" t="s">
        <v>1917</v>
      </c>
      <c r="O31" s="5" t="s">
        <v>687</v>
      </c>
      <c r="P31" s="220" t="s">
        <v>212</v>
      </c>
      <c r="Q31" s="220">
        <v>45954</v>
      </c>
      <c r="R31" s="220">
        <v>45954</v>
      </c>
      <c r="S31" s="220">
        <v>45964</v>
      </c>
      <c r="T31" s="219">
        <f t="shared" si="6"/>
        <v>10</v>
      </c>
      <c r="U31" s="220">
        <v>45965</v>
      </c>
      <c r="V31" s="220">
        <v>45968</v>
      </c>
      <c r="W31" s="220">
        <v>45968</v>
      </c>
      <c r="X31" s="220">
        <v>45970</v>
      </c>
      <c r="Y31" s="221">
        <v>45974</v>
      </c>
      <c r="Z31" s="221">
        <v>45977</v>
      </c>
      <c r="AA31" s="221">
        <v>45977</v>
      </c>
      <c r="AB31" s="221">
        <v>45978</v>
      </c>
      <c r="AC31" s="221">
        <v>45980</v>
      </c>
      <c r="AD31" s="221">
        <v>45982</v>
      </c>
      <c r="AE31" s="219"/>
      <c r="AF31" s="226"/>
    </row>
    <row r="32" spans="1:32" s="115" customFormat="1" ht="13.5" customHeight="1">
      <c r="A32" s="219">
        <f t="shared" si="0"/>
        <v>29</v>
      </c>
      <c r="B32" s="219" t="s">
        <v>204</v>
      </c>
      <c r="C32" s="192" t="s">
        <v>1657</v>
      </c>
      <c r="D32" s="193" t="s">
        <v>29</v>
      </c>
      <c r="E32" s="193" t="s">
        <v>1885</v>
      </c>
      <c r="F32" s="219" t="s">
        <v>1666</v>
      </c>
      <c r="G32" s="219" t="s">
        <v>1667</v>
      </c>
      <c r="H32" s="219" t="s">
        <v>1668</v>
      </c>
      <c r="I32" s="5" t="s">
        <v>1794</v>
      </c>
      <c r="J32" s="219" t="s">
        <v>1701</v>
      </c>
      <c r="K32" s="219" t="s">
        <v>1716</v>
      </c>
      <c r="L32" s="219">
        <v>35683</v>
      </c>
      <c r="M32" s="219">
        <v>36</v>
      </c>
      <c r="N32" s="204" t="s">
        <v>1917</v>
      </c>
      <c r="O32" s="219" t="s">
        <v>687</v>
      </c>
      <c r="P32" s="220" t="s">
        <v>212</v>
      </c>
      <c r="Q32" s="220">
        <v>45953</v>
      </c>
      <c r="R32" s="220">
        <v>45954</v>
      </c>
      <c r="S32" s="220">
        <v>45964</v>
      </c>
      <c r="T32" s="219">
        <f t="shared" si="6"/>
        <v>11</v>
      </c>
      <c r="U32" s="220">
        <v>45965</v>
      </c>
      <c r="V32" s="220">
        <v>45968</v>
      </c>
      <c r="W32" s="220">
        <v>45968</v>
      </c>
      <c r="X32" s="220">
        <v>45970</v>
      </c>
      <c r="Y32" s="221">
        <v>45975</v>
      </c>
      <c r="Z32" s="221">
        <v>45976</v>
      </c>
      <c r="AA32" s="221">
        <v>45976</v>
      </c>
      <c r="AB32" s="221">
        <v>45979</v>
      </c>
      <c r="AC32" s="221">
        <v>45981</v>
      </c>
      <c r="AD32" s="221">
        <v>45983</v>
      </c>
      <c r="AE32" s="219"/>
      <c r="AF32" s="219"/>
    </row>
    <row r="33" spans="1:32" s="115" customFormat="1">
      <c r="A33" s="219">
        <f t="shared" si="0"/>
        <v>30</v>
      </c>
      <c r="B33" s="219" t="s">
        <v>204</v>
      </c>
      <c r="C33" s="192" t="s">
        <v>1657</v>
      </c>
      <c r="D33" s="193" t="s">
        <v>29</v>
      </c>
      <c r="E33" s="193" t="s">
        <v>1906</v>
      </c>
      <c r="F33" s="219" t="s">
        <v>998</v>
      </c>
      <c r="G33" s="219" t="s">
        <v>999</v>
      </c>
      <c r="H33" s="219"/>
      <c r="I33" s="5" t="s">
        <v>1800</v>
      </c>
      <c r="J33" s="219" t="s">
        <v>1707</v>
      </c>
      <c r="K33" s="5" t="s">
        <v>1722</v>
      </c>
      <c r="L33" s="5">
        <v>29867</v>
      </c>
      <c r="M33" s="5">
        <v>30</v>
      </c>
      <c r="N33" s="204" t="s">
        <v>1917</v>
      </c>
      <c r="O33" s="219" t="s">
        <v>687</v>
      </c>
      <c r="P33" s="220" t="s">
        <v>212</v>
      </c>
      <c r="Q33" s="220">
        <v>45950</v>
      </c>
      <c r="R33" s="220">
        <v>45951</v>
      </c>
      <c r="S33" s="220">
        <v>45960</v>
      </c>
      <c r="T33" s="219">
        <f t="shared" si="6"/>
        <v>10</v>
      </c>
      <c r="U33" s="220">
        <v>45963</v>
      </c>
      <c r="V33" s="220">
        <v>45963</v>
      </c>
      <c r="W33" s="220">
        <v>45963</v>
      </c>
      <c r="X33" s="220">
        <v>45967</v>
      </c>
      <c r="Y33" s="221">
        <v>45972</v>
      </c>
      <c r="Z33" s="221">
        <v>45973</v>
      </c>
      <c r="AA33" s="221">
        <v>45973</v>
      </c>
      <c r="AB33" s="221">
        <v>45975</v>
      </c>
      <c r="AC33" s="221">
        <v>45980</v>
      </c>
      <c r="AD33" s="221">
        <v>45983</v>
      </c>
      <c r="AE33" s="219"/>
      <c r="AF33" s="219"/>
    </row>
    <row r="34" spans="1:32" s="115" customFormat="1">
      <c r="A34" s="219">
        <f t="shared" si="0"/>
        <v>31</v>
      </c>
      <c r="B34" s="219" t="s">
        <v>204</v>
      </c>
      <c r="C34" s="192" t="s">
        <v>1657</v>
      </c>
      <c r="D34" s="193" t="s">
        <v>29</v>
      </c>
      <c r="E34" s="193" t="s">
        <v>1909</v>
      </c>
      <c r="F34" s="219" t="s">
        <v>1694</v>
      </c>
      <c r="G34" s="219" t="s">
        <v>1695</v>
      </c>
      <c r="H34" s="219" t="s">
        <v>1696</v>
      </c>
      <c r="I34" s="5" t="s">
        <v>1806</v>
      </c>
      <c r="J34" s="219" t="s">
        <v>1713</v>
      </c>
      <c r="K34" s="219" t="s">
        <v>1075</v>
      </c>
      <c r="L34" s="219">
        <v>34454</v>
      </c>
      <c r="M34" s="219">
        <v>35</v>
      </c>
      <c r="N34" s="204" t="s">
        <v>1917</v>
      </c>
      <c r="O34" s="219" t="s">
        <v>687</v>
      </c>
      <c r="P34" s="220" t="s">
        <v>212</v>
      </c>
      <c r="Q34" s="220">
        <v>45950</v>
      </c>
      <c r="R34" s="220">
        <v>45951</v>
      </c>
      <c r="S34" s="220">
        <v>45960</v>
      </c>
      <c r="T34" s="219">
        <f t="shared" si="6"/>
        <v>10</v>
      </c>
      <c r="U34" s="220">
        <v>45963</v>
      </c>
      <c r="V34" s="220">
        <v>45963</v>
      </c>
      <c r="W34" s="220">
        <v>45963</v>
      </c>
      <c r="X34" s="220">
        <v>45966</v>
      </c>
      <c r="Y34" s="221">
        <v>45971</v>
      </c>
      <c r="Z34" s="221">
        <v>45974</v>
      </c>
      <c r="AA34" s="221">
        <v>45974</v>
      </c>
      <c r="AB34" s="221">
        <v>45977</v>
      </c>
      <c r="AC34" s="221">
        <v>45983</v>
      </c>
      <c r="AD34" s="221">
        <v>45986</v>
      </c>
      <c r="AE34" s="219"/>
      <c r="AF34" s="219"/>
    </row>
    <row r="35" spans="1:32" s="115" customFormat="1">
      <c r="A35" s="219">
        <f t="shared" si="0"/>
        <v>32</v>
      </c>
      <c r="B35" s="219" t="s">
        <v>204</v>
      </c>
      <c r="C35" s="192" t="s">
        <v>1657</v>
      </c>
      <c r="D35" s="193" t="s">
        <v>29</v>
      </c>
      <c r="E35" s="193" t="s">
        <v>1898</v>
      </c>
      <c r="F35" s="219" t="s">
        <v>1337</v>
      </c>
      <c r="G35" s="219" t="s">
        <v>1338</v>
      </c>
      <c r="H35" s="219" t="s">
        <v>1339</v>
      </c>
      <c r="I35" s="5" t="s">
        <v>1393</v>
      </c>
      <c r="J35" s="209">
        <v>255786955551</v>
      </c>
      <c r="K35" s="219" t="s">
        <v>1439</v>
      </c>
      <c r="L35" s="219">
        <v>34785</v>
      </c>
      <c r="M35" s="193">
        <v>35</v>
      </c>
      <c r="N35" s="204" t="s">
        <v>1917</v>
      </c>
      <c r="O35" s="219" t="s">
        <v>687</v>
      </c>
      <c r="P35" s="220" t="s">
        <v>212</v>
      </c>
      <c r="Q35" s="220">
        <v>45965</v>
      </c>
      <c r="R35" s="220">
        <v>45965</v>
      </c>
      <c r="S35" s="220">
        <v>45972</v>
      </c>
      <c r="T35" s="219">
        <f t="shared" si="6"/>
        <v>7</v>
      </c>
      <c r="U35" s="220">
        <v>45974</v>
      </c>
      <c r="V35" s="220">
        <v>45977</v>
      </c>
      <c r="W35" s="220">
        <v>45977</v>
      </c>
      <c r="X35" s="220">
        <v>45978</v>
      </c>
      <c r="Y35" s="221">
        <v>45980</v>
      </c>
      <c r="Z35" s="221">
        <v>45981</v>
      </c>
      <c r="AA35" s="221">
        <v>45981</v>
      </c>
      <c r="AB35" s="221">
        <v>45983</v>
      </c>
      <c r="AC35" s="221">
        <v>45985</v>
      </c>
      <c r="AD35" s="221">
        <v>45987</v>
      </c>
      <c r="AE35" s="219"/>
      <c r="AF35" s="219"/>
    </row>
    <row r="36" spans="1:32" s="115" customFormat="1" ht="14.25" customHeight="1">
      <c r="A36" s="219">
        <f t="shared" si="0"/>
        <v>33</v>
      </c>
      <c r="B36" s="219" t="s">
        <v>204</v>
      </c>
      <c r="C36" s="192" t="s">
        <v>1657</v>
      </c>
      <c r="D36" s="193" t="s">
        <v>29</v>
      </c>
      <c r="E36" s="193" t="s">
        <v>1899</v>
      </c>
      <c r="F36" s="219" t="s">
        <v>65</v>
      </c>
      <c r="G36" s="219" t="s">
        <v>1733</v>
      </c>
      <c r="H36" s="219" t="s">
        <v>1734</v>
      </c>
      <c r="I36" s="5" t="s">
        <v>128</v>
      </c>
      <c r="J36" s="193" t="s">
        <v>157</v>
      </c>
      <c r="K36" s="193" t="s">
        <v>41</v>
      </c>
      <c r="L36" s="219">
        <v>34726</v>
      </c>
      <c r="M36" s="193">
        <v>35</v>
      </c>
      <c r="N36" s="204" t="s">
        <v>1917</v>
      </c>
      <c r="O36" s="219" t="s">
        <v>687</v>
      </c>
      <c r="P36" s="220" t="s">
        <v>212</v>
      </c>
      <c r="Q36" s="220">
        <v>45965</v>
      </c>
      <c r="R36" s="220">
        <v>45965</v>
      </c>
      <c r="S36" s="220">
        <v>45972</v>
      </c>
      <c r="T36" s="219">
        <f t="shared" ref="T36:T37" si="7">S36-Q36</f>
        <v>7</v>
      </c>
      <c r="U36" s="220">
        <v>45974</v>
      </c>
      <c r="V36" s="220">
        <v>45977</v>
      </c>
      <c r="W36" s="220">
        <v>45977</v>
      </c>
      <c r="X36" s="220">
        <v>45978</v>
      </c>
      <c r="Y36" s="221">
        <v>45980</v>
      </c>
      <c r="Z36" s="221">
        <v>45982</v>
      </c>
      <c r="AA36" s="221">
        <v>45982</v>
      </c>
      <c r="AB36" s="221">
        <v>45985</v>
      </c>
      <c r="AC36" s="221">
        <v>45682</v>
      </c>
      <c r="AD36" s="221">
        <v>45988</v>
      </c>
      <c r="AE36" s="219"/>
      <c r="AF36" s="219"/>
    </row>
    <row r="37" spans="1:32" s="115" customFormat="1">
      <c r="A37" s="219">
        <f t="shared" si="0"/>
        <v>34</v>
      </c>
      <c r="B37" s="219" t="s">
        <v>204</v>
      </c>
      <c r="C37" s="192" t="s">
        <v>1657</v>
      </c>
      <c r="D37" s="193" t="s">
        <v>29</v>
      </c>
      <c r="E37" s="193" t="s">
        <v>1890</v>
      </c>
      <c r="F37" s="219" t="s">
        <v>1730</v>
      </c>
      <c r="G37" s="219" t="s">
        <v>1731</v>
      </c>
      <c r="H37" s="219" t="s">
        <v>1732</v>
      </c>
      <c r="I37" s="5" t="s">
        <v>1878</v>
      </c>
      <c r="J37" s="222" t="s">
        <v>1831</v>
      </c>
      <c r="K37" s="193" t="s">
        <v>1877</v>
      </c>
      <c r="L37" s="219">
        <v>35354</v>
      </c>
      <c r="M37" s="193">
        <v>35</v>
      </c>
      <c r="N37" s="204" t="s">
        <v>1917</v>
      </c>
      <c r="O37" s="219" t="s">
        <v>687</v>
      </c>
      <c r="P37" s="220" t="s">
        <v>212</v>
      </c>
      <c r="Q37" s="220">
        <v>45964</v>
      </c>
      <c r="R37" s="220">
        <v>45965</v>
      </c>
      <c r="S37" s="220">
        <v>45972</v>
      </c>
      <c r="T37" s="219">
        <f t="shared" si="7"/>
        <v>8</v>
      </c>
      <c r="U37" s="220">
        <v>45974</v>
      </c>
      <c r="V37" s="220">
        <v>45977</v>
      </c>
      <c r="W37" s="220">
        <v>45977</v>
      </c>
      <c r="X37" s="220">
        <v>45978</v>
      </c>
      <c r="Y37" s="221">
        <v>45980</v>
      </c>
      <c r="Z37" s="221">
        <v>45982</v>
      </c>
      <c r="AA37" s="221">
        <v>45982</v>
      </c>
      <c r="AB37" s="221">
        <v>45984</v>
      </c>
      <c r="AC37" s="221">
        <v>45986</v>
      </c>
      <c r="AD37" s="221">
        <v>45988</v>
      </c>
      <c r="AE37" s="219"/>
      <c r="AF37" s="219"/>
    </row>
    <row r="38" spans="1:32" s="115" customFormat="1">
      <c r="A38" s="219">
        <f t="shared" si="0"/>
        <v>35</v>
      </c>
      <c r="B38" s="219" t="s">
        <v>204</v>
      </c>
      <c r="C38" s="192" t="s">
        <v>1657</v>
      </c>
      <c r="D38" s="193" t="s">
        <v>29</v>
      </c>
      <c r="E38" s="193" t="s">
        <v>1889</v>
      </c>
      <c r="F38" s="219" t="s">
        <v>515</v>
      </c>
      <c r="G38" s="219" t="s">
        <v>519</v>
      </c>
      <c r="H38" s="219" t="s">
        <v>1757</v>
      </c>
      <c r="I38" s="5" t="s">
        <v>524</v>
      </c>
      <c r="J38" s="219" t="s">
        <v>528</v>
      </c>
      <c r="K38" s="219" t="s">
        <v>531</v>
      </c>
      <c r="L38" s="219">
        <v>34951</v>
      </c>
      <c r="M38" s="193">
        <v>35</v>
      </c>
      <c r="N38" s="204" t="s">
        <v>1917</v>
      </c>
      <c r="O38" s="219" t="s">
        <v>687</v>
      </c>
      <c r="P38" s="220" t="s">
        <v>212</v>
      </c>
      <c r="Q38" s="220">
        <v>45964</v>
      </c>
      <c r="R38" s="220">
        <v>45965</v>
      </c>
      <c r="S38" s="220">
        <v>45972</v>
      </c>
      <c r="T38" s="219">
        <f>S38-Q38</f>
        <v>8</v>
      </c>
      <c r="U38" s="220">
        <v>45974</v>
      </c>
      <c r="V38" s="220">
        <v>45977</v>
      </c>
      <c r="W38" s="220">
        <v>45977</v>
      </c>
      <c r="X38" s="220">
        <v>45978</v>
      </c>
      <c r="Y38" s="221">
        <v>45980</v>
      </c>
      <c r="Z38" s="221">
        <v>45981</v>
      </c>
      <c r="AA38" s="221">
        <v>45981</v>
      </c>
      <c r="AB38" s="221">
        <v>45985</v>
      </c>
      <c r="AC38" s="221">
        <v>45987</v>
      </c>
      <c r="AD38" s="221">
        <v>45989</v>
      </c>
      <c r="AE38" s="219"/>
      <c r="AF38" s="219"/>
    </row>
    <row r="39" spans="1:32" s="115" customFormat="1" ht="16.5" customHeight="1">
      <c r="A39" s="219">
        <f t="shared" si="0"/>
        <v>36</v>
      </c>
      <c r="B39" s="219" t="s">
        <v>204</v>
      </c>
      <c r="C39" s="192" t="s">
        <v>1657</v>
      </c>
      <c r="D39" s="193" t="s">
        <v>29</v>
      </c>
      <c r="E39" s="193" t="s">
        <v>1894</v>
      </c>
      <c r="F39" s="219" t="s">
        <v>1747</v>
      </c>
      <c r="G39" s="219" t="s">
        <v>1748</v>
      </c>
      <c r="H39" s="219"/>
      <c r="I39" s="5" t="s">
        <v>1813</v>
      </c>
      <c r="J39" s="210" t="s">
        <v>1836</v>
      </c>
      <c r="K39" s="219" t="s">
        <v>1856</v>
      </c>
      <c r="L39" s="219">
        <v>36546</v>
      </c>
      <c r="M39" s="193">
        <v>37</v>
      </c>
      <c r="N39" s="204" t="s">
        <v>1917</v>
      </c>
      <c r="O39" s="219" t="s">
        <v>687</v>
      </c>
      <c r="P39" s="220" t="s">
        <v>212</v>
      </c>
      <c r="Q39" s="220">
        <v>45965</v>
      </c>
      <c r="R39" s="220">
        <v>45965</v>
      </c>
      <c r="S39" s="220">
        <v>45972</v>
      </c>
      <c r="T39" s="219">
        <f>S39-Q39</f>
        <v>7</v>
      </c>
      <c r="U39" s="220">
        <v>45974</v>
      </c>
      <c r="V39" s="220">
        <v>45977</v>
      </c>
      <c r="W39" s="220">
        <v>45977</v>
      </c>
      <c r="X39" s="220">
        <v>45978</v>
      </c>
      <c r="Y39" s="221">
        <v>45980</v>
      </c>
      <c r="Z39" s="221">
        <v>45982</v>
      </c>
      <c r="AA39" s="221">
        <v>45982</v>
      </c>
      <c r="AB39" s="221">
        <v>45985</v>
      </c>
      <c r="AC39" s="221">
        <v>45991</v>
      </c>
      <c r="AD39" s="221">
        <v>45993</v>
      </c>
      <c r="AE39" s="219"/>
      <c r="AF39" s="219"/>
    </row>
    <row r="40" spans="1:32" s="115" customFormat="1">
      <c r="A40" s="219">
        <f t="shared" si="0"/>
        <v>37</v>
      </c>
      <c r="B40" s="219" t="s">
        <v>204</v>
      </c>
      <c r="C40" s="192" t="s">
        <v>1657</v>
      </c>
      <c r="D40" s="193" t="s">
        <v>29</v>
      </c>
      <c r="E40" s="193" t="s">
        <v>1901</v>
      </c>
      <c r="F40" s="200" t="s">
        <v>1760</v>
      </c>
      <c r="G40" s="219" t="s">
        <v>1761</v>
      </c>
      <c r="H40" s="219" t="s">
        <v>1762</v>
      </c>
      <c r="I40" s="5" t="s">
        <v>1818</v>
      </c>
      <c r="J40" s="224" t="s">
        <v>1841</v>
      </c>
      <c r="K40" s="219" t="s">
        <v>1858</v>
      </c>
      <c r="L40" s="219">
        <v>35152</v>
      </c>
      <c r="M40" s="193">
        <v>35</v>
      </c>
      <c r="N40" s="204" t="s">
        <v>1917</v>
      </c>
      <c r="O40" s="219" t="s">
        <v>687</v>
      </c>
      <c r="P40" s="220" t="s">
        <v>212</v>
      </c>
      <c r="Q40" s="220">
        <v>45965</v>
      </c>
      <c r="R40" s="220">
        <v>45965</v>
      </c>
      <c r="S40" s="220">
        <v>45975</v>
      </c>
      <c r="T40" s="219">
        <f>S40-Q40</f>
        <v>10</v>
      </c>
      <c r="U40" s="220">
        <v>45976</v>
      </c>
      <c r="V40" s="220">
        <v>45979</v>
      </c>
      <c r="W40" s="220">
        <v>45979</v>
      </c>
      <c r="X40" s="220">
        <v>45982</v>
      </c>
      <c r="Y40" s="221">
        <v>45984</v>
      </c>
      <c r="Z40" s="221">
        <v>45986</v>
      </c>
      <c r="AA40" s="221">
        <v>45986</v>
      </c>
      <c r="AB40" s="221">
        <v>45987</v>
      </c>
      <c r="AC40" s="221">
        <v>45990</v>
      </c>
      <c r="AD40" s="221">
        <v>45993</v>
      </c>
      <c r="AE40" s="219"/>
      <c r="AF40" s="219"/>
    </row>
    <row r="41" spans="1:32" s="115" customFormat="1" ht="16.5" customHeight="1">
      <c r="A41" s="219"/>
      <c r="B41" s="219"/>
      <c r="C41" s="227"/>
      <c r="D41" s="193"/>
      <c r="E41" s="193"/>
      <c r="F41" s="219"/>
      <c r="G41" s="219"/>
      <c r="H41" s="219"/>
      <c r="I41" s="219"/>
      <c r="J41" s="210"/>
      <c r="K41" s="219"/>
      <c r="L41" s="219"/>
      <c r="M41" s="193"/>
      <c r="N41" s="219"/>
      <c r="O41" s="219"/>
      <c r="P41" s="220"/>
      <c r="Q41" s="220"/>
      <c r="R41" s="220"/>
      <c r="S41" s="220"/>
      <c r="T41" s="219"/>
      <c r="U41" s="220"/>
      <c r="V41" s="220"/>
      <c r="W41" s="220"/>
      <c r="X41" s="220"/>
      <c r="Y41" s="221"/>
      <c r="Z41" s="221"/>
      <c r="AA41" s="221"/>
      <c r="AB41" s="221"/>
      <c r="AC41" s="221"/>
      <c r="AD41" s="221"/>
      <c r="AE41" s="219"/>
      <c r="AF41" s="219"/>
    </row>
    <row r="42" spans="1:32" s="191" customFormat="1">
      <c r="A42" s="188">
        <v>1</v>
      </c>
      <c r="B42" s="188" t="s">
        <v>204</v>
      </c>
      <c r="C42" s="195" t="s">
        <v>1657</v>
      </c>
      <c r="D42" s="196" t="s">
        <v>29</v>
      </c>
      <c r="E42" s="188" t="s">
        <v>41</v>
      </c>
      <c r="F42" s="188" t="s">
        <v>1755</v>
      </c>
      <c r="G42" s="188" t="s">
        <v>1756</v>
      </c>
      <c r="H42" s="188"/>
      <c r="I42" s="188" t="s">
        <v>1816</v>
      </c>
      <c r="J42" s="201" t="s">
        <v>1839</v>
      </c>
      <c r="K42" s="196" t="s">
        <v>41</v>
      </c>
      <c r="L42" s="188" t="s">
        <v>41</v>
      </c>
      <c r="M42" s="196">
        <v>37</v>
      </c>
      <c r="N42" s="188" t="s">
        <v>1615</v>
      </c>
      <c r="O42" s="188" t="s">
        <v>1452</v>
      </c>
      <c r="P42" s="205">
        <v>45971</v>
      </c>
      <c r="Q42" s="205"/>
      <c r="R42" s="188"/>
      <c r="S42" s="188"/>
      <c r="T42" s="188"/>
      <c r="U42" s="188"/>
      <c r="V42" s="205"/>
      <c r="W42" s="205"/>
      <c r="X42" s="188"/>
      <c r="Y42" s="188"/>
      <c r="Z42" s="188"/>
      <c r="AA42" s="188"/>
      <c r="AB42" s="188"/>
      <c r="AC42" s="188"/>
      <c r="AD42" s="188"/>
      <c r="AE42" s="188"/>
      <c r="AF42" s="188"/>
    </row>
    <row r="43" spans="1:32" s="191" customFormat="1" ht="14.25" customHeight="1">
      <c r="A43" s="188">
        <v>2</v>
      </c>
      <c r="B43" s="188" t="s">
        <v>204</v>
      </c>
      <c r="C43" s="195" t="s">
        <v>1657</v>
      </c>
      <c r="D43" s="196" t="s">
        <v>29</v>
      </c>
      <c r="E43" s="188" t="s">
        <v>41</v>
      </c>
      <c r="F43" s="188" t="s">
        <v>1749</v>
      </c>
      <c r="G43" s="188" t="s">
        <v>1750</v>
      </c>
      <c r="H43" s="188"/>
      <c r="I43" s="188" t="s">
        <v>1814</v>
      </c>
      <c r="J43" s="202" t="s">
        <v>1837</v>
      </c>
      <c r="K43" s="188" t="s">
        <v>1876</v>
      </c>
      <c r="L43" s="188" t="s">
        <v>41</v>
      </c>
      <c r="M43" s="196">
        <v>30</v>
      </c>
      <c r="N43" s="188" t="s">
        <v>1869</v>
      </c>
      <c r="O43" s="188" t="s">
        <v>1452</v>
      </c>
      <c r="P43" s="205">
        <v>45976</v>
      </c>
      <c r="Q43" s="205"/>
      <c r="R43" s="188"/>
      <c r="S43" s="188"/>
      <c r="T43" s="188"/>
      <c r="U43" s="188"/>
      <c r="V43" s="205"/>
      <c r="W43" s="205"/>
      <c r="X43" s="188"/>
      <c r="Y43" s="188"/>
      <c r="Z43" s="188"/>
      <c r="AA43" s="188"/>
      <c r="AB43" s="188"/>
      <c r="AC43" s="188"/>
      <c r="AD43" s="188"/>
      <c r="AE43" s="188"/>
      <c r="AF43" s="188"/>
    </row>
    <row r="44" spans="1:32" s="191" customFormat="1">
      <c r="A44" s="188">
        <v>3</v>
      </c>
      <c r="B44" s="188" t="s">
        <v>204</v>
      </c>
      <c r="C44" s="195" t="s">
        <v>1657</v>
      </c>
      <c r="D44" s="196" t="s">
        <v>29</v>
      </c>
      <c r="E44" s="188" t="s">
        <v>41</v>
      </c>
      <c r="F44" s="188" t="s">
        <v>1745</v>
      </c>
      <c r="G44" s="188" t="s">
        <v>1746</v>
      </c>
      <c r="H44" s="188"/>
      <c r="I44" s="188" t="s">
        <v>1812</v>
      </c>
      <c r="J44" s="196" t="s">
        <v>1835</v>
      </c>
      <c r="K44" s="197" t="s">
        <v>1855</v>
      </c>
      <c r="L44" s="188" t="s">
        <v>41</v>
      </c>
      <c r="M44" s="196">
        <v>37</v>
      </c>
      <c r="N44" s="188" t="s">
        <v>1018</v>
      </c>
      <c r="O44" s="188" t="s">
        <v>1452</v>
      </c>
      <c r="P44" s="205">
        <v>45958</v>
      </c>
      <c r="Q44" s="188"/>
      <c r="R44" s="188"/>
      <c r="S44" s="188"/>
      <c r="T44" s="188"/>
      <c r="U44" s="188"/>
      <c r="V44" s="190"/>
      <c r="W44" s="190"/>
      <c r="X44" s="188"/>
      <c r="Y44" s="188"/>
      <c r="Z44" s="188"/>
      <c r="AA44" s="188"/>
      <c r="AB44" s="188"/>
      <c r="AC44" s="188"/>
      <c r="AD44" s="188"/>
      <c r="AE44" s="188"/>
      <c r="AF44" s="188"/>
    </row>
    <row r="45" spans="1:32" s="191" customFormat="1" ht="14.25" customHeight="1">
      <c r="A45" s="188">
        <v>4</v>
      </c>
      <c r="B45" s="188" t="s">
        <v>204</v>
      </c>
      <c r="C45" s="195" t="s">
        <v>1657</v>
      </c>
      <c r="D45" s="196" t="s">
        <v>29</v>
      </c>
      <c r="E45" s="188" t="s">
        <v>41</v>
      </c>
      <c r="F45" s="206" t="s">
        <v>1763</v>
      </c>
      <c r="G45" s="188" t="s">
        <v>1764</v>
      </c>
      <c r="H45" s="188" t="s">
        <v>1765</v>
      </c>
      <c r="I45" s="188" t="s">
        <v>1819</v>
      </c>
      <c r="J45" s="198" t="s">
        <v>1843</v>
      </c>
      <c r="K45" s="196" t="s">
        <v>1859</v>
      </c>
      <c r="L45" s="188" t="s">
        <v>41</v>
      </c>
      <c r="M45" s="196">
        <v>35</v>
      </c>
      <c r="N45" s="188" t="s">
        <v>1868</v>
      </c>
      <c r="O45" s="188" t="s">
        <v>1452</v>
      </c>
      <c r="P45" s="205">
        <v>45958</v>
      </c>
      <c r="Q45" s="188"/>
      <c r="R45" s="188"/>
      <c r="S45" s="188"/>
      <c r="T45" s="188"/>
      <c r="U45" s="188"/>
      <c r="V45" s="190"/>
      <c r="W45" s="190"/>
      <c r="X45" s="188"/>
      <c r="Y45" s="188"/>
      <c r="Z45" s="188"/>
      <c r="AA45" s="188"/>
      <c r="AB45" s="188"/>
      <c r="AC45" s="188"/>
      <c r="AD45" s="188"/>
      <c r="AE45" s="188"/>
      <c r="AF45" s="188"/>
    </row>
    <row r="46" spans="1:32" s="191" customFormat="1">
      <c r="A46" s="188">
        <v>5</v>
      </c>
      <c r="B46" s="188" t="s">
        <v>204</v>
      </c>
      <c r="C46" s="195" t="s">
        <v>1657</v>
      </c>
      <c r="D46" s="196" t="s">
        <v>29</v>
      </c>
      <c r="E46" s="188" t="s">
        <v>41</v>
      </c>
      <c r="F46" s="188" t="s">
        <v>385</v>
      </c>
      <c r="G46" s="188" t="s">
        <v>386</v>
      </c>
      <c r="H46" s="188" t="s">
        <v>387</v>
      </c>
      <c r="I46" s="188" t="s">
        <v>1821</v>
      </c>
      <c r="J46" s="196" t="s">
        <v>425</v>
      </c>
      <c r="K46" s="196" t="s">
        <v>418</v>
      </c>
      <c r="L46" s="188" t="s">
        <v>41</v>
      </c>
      <c r="M46" s="196">
        <v>35</v>
      </c>
      <c r="N46" s="188" t="s">
        <v>1871</v>
      </c>
      <c r="O46" s="188" t="s">
        <v>1452</v>
      </c>
      <c r="P46" s="205">
        <v>45958</v>
      </c>
      <c r="Q46" s="188"/>
      <c r="R46" s="188"/>
      <c r="S46" s="188"/>
      <c r="T46" s="188"/>
      <c r="U46" s="188"/>
      <c r="V46" s="190"/>
      <c r="W46" s="190"/>
      <c r="X46" s="188"/>
      <c r="Y46" s="188"/>
      <c r="Z46" s="188"/>
      <c r="AA46" s="188"/>
      <c r="AB46" s="188"/>
      <c r="AC46" s="188"/>
      <c r="AD46" s="188"/>
      <c r="AE46" s="188"/>
      <c r="AF46" s="188"/>
    </row>
    <row r="47" spans="1:32" s="191" customFormat="1" ht="15" customHeight="1">
      <c r="A47" s="188">
        <v>6</v>
      </c>
      <c r="B47" s="188" t="s">
        <v>204</v>
      </c>
      <c r="C47" s="195" t="s">
        <v>1657</v>
      </c>
      <c r="D47" s="196" t="s">
        <v>29</v>
      </c>
      <c r="E47" s="188" t="s">
        <v>41</v>
      </c>
      <c r="F47" s="188" t="s">
        <v>1768</v>
      </c>
      <c r="G47" s="188" t="s">
        <v>1769</v>
      </c>
      <c r="H47" s="188" t="s">
        <v>1770</v>
      </c>
      <c r="I47" s="188" t="s">
        <v>1822</v>
      </c>
      <c r="J47" s="188" t="s">
        <v>1845</v>
      </c>
      <c r="K47" s="196" t="s">
        <v>1861</v>
      </c>
      <c r="L47" s="188" t="s">
        <v>41</v>
      </c>
      <c r="M47" s="196">
        <v>35</v>
      </c>
      <c r="N47" s="188" t="s">
        <v>1871</v>
      </c>
      <c r="O47" s="188" t="s">
        <v>1452</v>
      </c>
      <c r="P47" s="205">
        <v>45958</v>
      </c>
      <c r="Q47" s="188"/>
      <c r="R47" s="188"/>
      <c r="S47" s="188"/>
      <c r="T47" s="188"/>
      <c r="U47" s="188"/>
      <c r="V47" s="190"/>
      <c r="W47" s="190"/>
      <c r="X47" s="188"/>
      <c r="Y47" s="188"/>
      <c r="Z47" s="188"/>
      <c r="AA47" s="188"/>
      <c r="AB47" s="188"/>
      <c r="AC47" s="188"/>
      <c r="AD47" s="188"/>
      <c r="AE47" s="188"/>
      <c r="AF47" s="188"/>
    </row>
    <row r="48" spans="1:32" s="191" customFormat="1">
      <c r="A48" s="188">
        <v>7</v>
      </c>
      <c r="B48" s="188" t="s">
        <v>204</v>
      </c>
      <c r="C48" s="195" t="s">
        <v>1657</v>
      </c>
      <c r="D48" s="196" t="s">
        <v>29</v>
      </c>
      <c r="E48" s="188" t="s">
        <v>41</v>
      </c>
      <c r="F48" s="188" t="s">
        <v>574</v>
      </c>
      <c r="G48" s="188" t="s">
        <v>1771</v>
      </c>
      <c r="H48" s="188" t="s">
        <v>575</v>
      </c>
      <c r="I48" s="188" t="s">
        <v>605</v>
      </c>
      <c r="J48" s="198" t="s">
        <v>1846</v>
      </c>
      <c r="K48" s="196" t="s">
        <v>650</v>
      </c>
      <c r="L48" s="188" t="s">
        <v>41</v>
      </c>
      <c r="M48" s="196">
        <v>36</v>
      </c>
      <c r="N48" s="188" t="s">
        <v>1018</v>
      </c>
      <c r="O48" s="188" t="s">
        <v>1452</v>
      </c>
      <c r="P48" s="205">
        <v>45958</v>
      </c>
      <c r="Q48" s="188"/>
      <c r="R48" s="188"/>
      <c r="S48" s="188"/>
      <c r="T48" s="188"/>
      <c r="U48" s="188"/>
      <c r="V48" s="190"/>
      <c r="W48" s="190"/>
      <c r="X48" s="188"/>
      <c r="Y48" s="188"/>
      <c r="Z48" s="188"/>
      <c r="AA48" s="188"/>
      <c r="AB48" s="188"/>
      <c r="AC48" s="188"/>
      <c r="AD48" s="188"/>
      <c r="AE48" s="188"/>
      <c r="AF48" s="188"/>
    </row>
    <row r="49" spans="1:32" s="191" customFormat="1">
      <c r="A49" s="188">
        <v>8</v>
      </c>
      <c r="B49" s="188" t="s">
        <v>204</v>
      </c>
      <c r="C49" s="195" t="s">
        <v>1657</v>
      </c>
      <c r="D49" s="196" t="s">
        <v>29</v>
      </c>
      <c r="E49" s="188" t="s">
        <v>41</v>
      </c>
      <c r="F49" s="188" t="s">
        <v>1772</v>
      </c>
      <c r="G49" s="188" t="s">
        <v>1773</v>
      </c>
      <c r="H49" s="188" t="s">
        <v>1774</v>
      </c>
      <c r="I49" s="188" t="s">
        <v>1823</v>
      </c>
      <c r="J49" s="188" t="s">
        <v>1847</v>
      </c>
      <c r="K49" s="196" t="s">
        <v>1862</v>
      </c>
      <c r="L49" s="188" t="s">
        <v>41</v>
      </c>
      <c r="M49" s="196">
        <v>36</v>
      </c>
      <c r="N49" s="188" t="s">
        <v>1869</v>
      </c>
      <c r="O49" s="188" t="s">
        <v>1452</v>
      </c>
      <c r="P49" s="205">
        <v>45958</v>
      </c>
      <c r="Q49" s="188"/>
      <c r="R49" s="188"/>
      <c r="S49" s="188"/>
      <c r="T49" s="188"/>
      <c r="U49" s="188"/>
      <c r="V49" s="190"/>
      <c r="W49" s="190"/>
      <c r="X49" s="188"/>
      <c r="Y49" s="188"/>
      <c r="Z49" s="188"/>
      <c r="AA49" s="188"/>
      <c r="AB49" s="188"/>
      <c r="AC49" s="188"/>
      <c r="AD49" s="188"/>
      <c r="AE49" s="188"/>
      <c r="AF49" s="188"/>
    </row>
    <row r="50" spans="1:32" s="191" customFormat="1">
      <c r="A50" s="188">
        <v>9</v>
      </c>
      <c r="B50" s="188" t="s">
        <v>204</v>
      </c>
      <c r="C50" s="195" t="s">
        <v>1657</v>
      </c>
      <c r="D50" s="196" t="s">
        <v>29</v>
      </c>
      <c r="E50" s="188" t="s">
        <v>41</v>
      </c>
      <c r="F50" s="188" t="s">
        <v>1775</v>
      </c>
      <c r="G50" s="188" t="s">
        <v>274</v>
      </c>
      <c r="H50" s="188" t="s">
        <v>1776</v>
      </c>
      <c r="I50" s="188" t="s">
        <v>319</v>
      </c>
      <c r="J50" s="189" t="s">
        <v>345</v>
      </c>
      <c r="K50" s="196" t="s">
        <v>371</v>
      </c>
      <c r="L50" s="188" t="s">
        <v>41</v>
      </c>
      <c r="M50" s="196">
        <v>35</v>
      </c>
      <c r="N50" s="188" t="s">
        <v>1870</v>
      </c>
      <c r="O50" s="188" t="s">
        <v>1452</v>
      </c>
      <c r="P50" s="205">
        <v>45958</v>
      </c>
      <c r="Q50" s="188"/>
      <c r="R50" s="188"/>
      <c r="S50" s="188"/>
      <c r="T50" s="188"/>
      <c r="U50" s="188"/>
      <c r="V50" s="190"/>
      <c r="W50" s="190"/>
      <c r="X50" s="188"/>
      <c r="Y50" s="188"/>
      <c r="Z50" s="188"/>
      <c r="AA50" s="188"/>
      <c r="AB50" s="188"/>
      <c r="AC50" s="188"/>
      <c r="AD50" s="188"/>
      <c r="AE50" s="188"/>
      <c r="AF50" s="188"/>
    </row>
    <row r="51" spans="1:32" s="191" customFormat="1">
      <c r="A51" s="188">
        <v>10</v>
      </c>
      <c r="B51" s="188" t="s">
        <v>204</v>
      </c>
      <c r="C51" s="195" t="s">
        <v>1657</v>
      </c>
      <c r="D51" s="196" t="s">
        <v>29</v>
      </c>
      <c r="E51" s="188" t="s">
        <v>41</v>
      </c>
      <c r="F51" s="188" t="s">
        <v>1777</v>
      </c>
      <c r="G51" s="188" t="s">
        <v>1778</v>
      </c>
      <c r="H51" s="188" t="s">
        <v>1779</v>
      </c>
      <c r="I51" s="188" t="s">
        <v>1824</v>
      </c>
      <c r="J51" s="199" t="s">
        <v>1848</v>
      </c>
      <c r="K51" s="196" t="s">
        <v>1863</v>
      </c>
      <c r="L51" s="188" t="s">
        <v>41</v>
      </c>
      <c r="M51" s="196">
        <v>35</v>
      </c>
      <c r="N51" s="188" t="s">
        <v>1868</v>
      </c>
      <c r="O51" s="188" t="s">
        <v>1452</v>
      </c>
      <c r="P51" s="205">
        <v>45958</v>
      </c>
      <c r="Q51" s="188"/>
      <c r="R51" s="188"/>
      <c r="S51" s="188"/>
      <c r="T51" s="188"/>
      <c r="U51" s="188"/>
      <c r="V51" s="190"/>
      <c r="W51" s="190"/>
      <c r="X51" s="188"/>
      <c r="Y51" s="188"/>
      <c r="Z51" s="188"/>
      <c r="AA51" s="188"/>
      <c r="AB51" s="188"/>
      <c r="AC51" s="188"/>
      <c r="AD51" s="188"/>
      <c r="AE51" s="188"/>
      <c r="AF51" s="188"/>
    </row>
    <row r="52" spans="1:32" s="191" customFormat="1">
      <c r="A52" s="188">
        <v>11</v>
      </c>
      <c r="B52" s="188" t="s">
        <v>204</v>
      </c>
      <c r="C52" s="195" t="s">
        <v>1657</v>
      </c>
      <c r="D52" s="196" t="s">
        <v>29</v>
      </c>
      <c r="E52" s="188" t="s">
        <v>41</v>
      </c>
      <c r="F52" s="188" t="s">
        <v>1780</v>
      </c>
      <c r="G52" s="188" t="s">
        <v>1781</v>
      </c>
      <c r="H52" s="188" t="s">
        <v>1782</v>
      </c>
      <c r="I52" s="188" t="s">
        <v>1825</v>
      </c>
      <c r="J52" s="197" t="s">
        <v>1849</v>
      </c>
      <c r="K52" s="196" t="s">
        <v>1864</v>
      </c>
      <c r="L52" s="188" t="s">
        <v>41</v>
      </c>
      <c r="M52" s="196">
        <v>35</v>
      </c>
      <c r="N52" s="188" t="s">
        <v>1018</v>
      </c>
      <c r="O52" s="188" t="s">
        <v>1452</v>
      </c>
      <c r="P52" s="205">
        <v>45958</v>
      </c>
      <c r="Q52" s="188"/>
      <c r="R52" s="188"/>
      <c r="S52" s="188"/>
      <c r="T52" s="188"/>
      <c r="U52" s="188"/>
      <c r="V52" s="190"/>
      <c r="W52" s="190"/>
      <c r="X52" s="188"/>
      <c r="Y52" s="188"/>
      <c r="Z52" s="188"/>
      <c r="AA52" s="188"/>
      <c r="AB52" s="188"/>
      <c r="AC52" s="188"/>
      <c r="AD52" s="188"/>
      <c r="AE52" s="188"/>
      <c r="AF52" s="188"/>
    </row>
    <row r="53" spans="1:32" s="191" customFormat="1" ht="13.5" customHeight="1">
      <c r="A53" s="188">
        <v>12</v>
      </c>
      <c r="B53" s="188" t="s">
        <v>204</v>
      </c>
      <c r="C53" s="195" t="s">
        <v>1657</v>
      </c>
      <c r="D53" s="196" t="s">
        <v>29</v>
      </c>
      <c r="E53" s="188" t="s">
        <v>41</v>
      </c>
      <c r="F53" s="188" t="s">
        <v>1783</v>
      </c>
      <c r="G53" s="188" t="s">
        <v>1784</v>
      </c>
      <c r="H53" s="188" t="s">
        <v>1785</v>
      </c>
      <c r="I53" s="188" t="s">
        <v>1826</v>
      </c>
      <c r="J53" s="198" t="s">
        <v>1850</v>
      </c>
      <c r="K53" s="196" t="s">
        <v>1865</v>
      </c>
      <c r="L53" s="188" t="s">
        <v>41</v>
      </c>
      <c r="M53" s="196">
        <v>36</v>
      </c>
      <c r="N53" s="188" t="s">
        <v>1872</v>
      </c>
      <c r="O53" s="188" t="s">
        <v>1452</v>
      </c>
      <c r="P53" s="205">
        <v>45958</v>
      </c>
      <c r="Q53" s="188"/>
      <c r="R53" s="188"/>
      <c r="S53" s="188"/>
      <c r="T53" s="188"/>
      <c r="U53" s="188"/>
      <c r="V53" s="190"/>
      <c r="W53" s="190"/>
      <c r="X53" s="188"/>
      <c r="Y53" s="188"/>
      <c r="Z53" s="188"/>
      <c r="AA53" s="188"/>
      <c r="AB53" s="188"/>
      <c r="AC53" s="188"/>
      <c r="AD53" s="188"/>
      <c r="AE53" s="188"/>
      <c r="AF53" s="188"/>
    </row>
    <row r="54" spans="1:32" s="191" customFormat="1">
      <c r="A54" s="188">
        <v>13</v>
      </c>
      <c r="B54" s="188" t="s">
        <v>204</v>
      </c>
      <c r="C54" s="195" t="s">
        <v>1657</v>
      </c>
      <c r="D54" s="196" t="s">
        <v>29</v>
      </c>
      <c r="E54" s="188" t="s">
        <v>41</v>
      </c>
      <c r="F54" s="188" t="s">
        <v>1786</v>
      </c>
      <c r="G54" s="188" t="s">
        <v>1787</v>
      </c>
      <c r="H54" s="188" t="s">
        <v>1788</v>
      </c>
      <c r="I54" s="188" t="s">
        <v>1827</v>
      </c>
      <c r="J54" s="188" t="s">
        <v>1851</v>
      </c>
      <c r="K54" s="196" t="s">
        <v>1866</v>
      </c>
      <c r="L54" s="188" t="s">
        <v>41</v>
      </c>
      <c r="M54" s="196">
        <v>35</v>
      </c>
      <c r="N54" s="188" t="s">
        <v>1873</v>
      </c>
      <c r="O54" s="188" t="s">
        <v>1452</v>
      </c>
      <c r="P54" s="205">
        <v>45958</v>
      </c>
      <c r="Q54" s="188"/>
      <c r="R54" s="188"/>
      <c r="S54" s="188"/>
      <c r="T54" s="188"/>
      <c r="U54" s="188"/>
      <c r="V54" s="190"/>
      <c r="W54" s="190"/>
      <c r="X54" s="188"/>
      <c r="Y54" s="188"/>
      <c r="Z54" s="188"/>
      <c r="AA54" s="188"/>
      <c r="AB54" s="188"/>
      <c r="AC54" s="188"/>
      <c r="AD54" s="188"/>
      <c r="AE54" s="188"/>
      <c r="AF54" s="188"/>
    </row>
    <row r="55" spans="1:32" s="191" customFormat="1">
      <c r="A55" s="188">
        <v>14</v>
      </c>
      <c r="B55" s="188" t="s">
        <v>204</v>
      </c>
      <c r="C55" s="195" t="s">
        <v>1657</v>
      </c>
      <c r="D55" s="196" t="s">
        <v>29</v>
      </c>
      <c r="E55" s="188" t="s">
        <v>41</v>
      </c>
      <c r="F55" s="188" t="s">
        <v>1789</v>
      </c>
      <c r="G55" s="188" t="s">
        <v>1790</v>
      </c>
      <c r="H55" s="188" t="s">
        <v>1791</v>
      </c>
      <c r="I55" s="188" t="s">
        <v>1828</v>
      </c>
      <c r="J55" s="196" t="s">
        <v>1852</v>
      </c>
      <c r="K55" s="196" t="s">
        <v>1867</v>
      </c>
      <c r="L55" s="188" t="s">
        <v>41</v>
      </c>
      <c r="M55" s="196">
        <v>35</v>
      </c>
      <c r="N55" s="188" t="s">
        <v>1874</v>
      </c>
      <c r="O55" s="188" t="s">
        <v>1452</v>
      </c>
      <c r="P55" s="205">
        <v>45958</v>
      </c>
      <c r="Q55" s="188"/>
      <c r="R55" s="188"/>
      <c r="S55" s="188"/>
      <c r="T55" s="188"/>
      <c r="U55" s="188"/>
      <c r="V55" s="190"/>
      <c r="W55" s="190"/>
      <c r="X55" s="188"/>
      <c r="Y55" s="188"/>
      <c r="Z55" s="188"/>
      <c r="AA55" s="188"/>
      <c r="AB55" s="188"/>
      <c r="AC55" s="188"/>
      <c r="AD55" s="188"/>
      <c r="AE55" s="188"/>
      <c r="AF55" s="188"/>
    </row>
    <row r="56" spans="1:32" s="191" customFormat="1">
      <c r="A56" s="188">
        <v>15</v>
      </c>
      <c r="B56" s="188" t="s">
        <v>204</v>
      </c>
      <c r="C56" s="195" t="s">
        <v>1657</v>
      </c>
      <c r="D56" s="196" t="s">
        <v>29</v>
      </c>
      <c r="E56" s="188" t="s">
        <v>41</v>
      </c>
      <c r="F56" s="188" t="s">
        <v>1360</v>
      </c>
      <c r="G56" s="188" t="s">
        <v>1361</v>
      </c>
      <c r="H56" s="188" t="s">
        <v>1362</v>
      </c>
      <c r="I56" s="188" t="s">
        <v>1401</v>
      </c>
      <c r="J56" s="199">
        <v>255754825130</v>
      </c>
      <c r="K56" s="196" t="s">
        <v>1442</v>
      </c>
      <c r="L56" s="188" t="s">
        <v>41</v>
      </c>
      <c r="M56" s="196">
        <v>35</v>
      </c>
      <c r="N56" s="188" t="s">
        <v>1869</v>
      </c>
      <c r="O56" s="188" t="s">
        <v>1452</v>
      </c>
      <c r="P56" s="205">
        <v>45958</v>
      </c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</row>
  </sheetData>
  <autoFilter ref="A2:AF2" xr:uid="{5BF70491-4679-4BF6-B72D-AD9FD675B308}">
    <filterColumn colId="20" showButton="0"/>
    <filterColumn colId="22" showButton="0"/>
    <filterColumn colId="24" showButton="0"/>
    <filterColumn colId="26" showButton="0"/>
    <filterColumn colId="28" showButton="0"/>
    <filterColumn colId="29" showButton="0"/>
    <sortState xmlns:xlrd2="http://schemas.microsoft.com/office/spreadsheetml/2017/richdata2" ref="A3:AF4">
      <sortCondition ref="N2"/>
    </sortState>
  </autoFilter>
  <mergeCells count="5">
    <mergeCell ref="U2:V2"/>
    <mergeCell ref="W2:X2"/>
    <mergeCell ref="Y2:Z2"/>
    <mergeCell ref="AA2:AB2"/>
    <mergeCell ref="AC2:AE2"/>
  </mergeCells>
  <conditionalFormatting sqref="B1">
    <cfRule type="duplicateValues" dxfId="37" priority="899"/>
    <cfRule type="duplicateValues" dxfId="36" priority="900"/>
    <cfRule type="duplicateValues" dxfId="35" priority="901"/>
    <cfRule type="duplicateValues" dxfId="34" priority="902"/>
  </conditionalFormatting>
  <conditionalFormatting sqref="F1:F2">
    <cfRule type="duplicateValues" dxfId="33" priority="33382"/>
    <cfRule type="duplicateValues" dxfId="32" priority="33383"/>
    <cfRule type="duplicateValues" dxfId="31" priority="33384"/>
    <cfRule type="duplicateValues" dxfId="30" priority="33385"/>
    <cfRule type="duplicateValues" dxfId="29" priority="33386"/>
    <cfRule type="duplicateValues" dxfId="28" priority="33387"/>
    <cfRule type="duplicateValues" dxfId="27" priority="33388"/>
    <cfRule type="duplicateValues" dxfId="26" priority="33389"/>
    <cfRule type="duplicateValues" dxfId="25" priority="33390"/>
    <cfRule type="duplicateValues" dxfId="24" priority="33391"/>
    <cfRule type="duplicateValues" dxfId="23" priority="33392"/>
    <cfRule type="duplicateValues" dxfId="22" priority="33393"/>
    <cfRule type="duplicateValues" dxfId="21" priority="33394"/>
    <cfRule type="duplicateValues" dxfId="20" priority="33395"/>
    <cfRule type="duplicateValues" dxfId="19" priority="33396"/>
    <cfRule type="duplicateValues" dxfId="18" priority="33397"/>
    <cfRule type="duplicateValues" dxfId="17" priority="33398"/>
    <cfRule type="duplicateValues" dxfId="16" priority="33399"/>
    <cfRule type="duplicateValues" dxfId="15" priority="33400"/>
  </conditionalFormatting>
  <conditionalFormatting sqref="F1:F1048576">
    <cfRule type="duplicateValues" dxfId="14" priority="1"/>
  </conditionalFormatting>
  <conditionalFormatting sqref="F30">
    <cfRule type="duplicateValues" dxfId="13" priority="2"/>
    <cfRule type="duplicateValues" dxfId="12" priority="3"/>
  </conditionalFormatting>
  <conditionalFormatting sqref="F31:F1048576 F1:F29">
    <cfRule type="duplicateValues" dxfId="11" priority="33671"/>
  </conditionalFormatting>
  <conditionalFormatting sqref="J4:J44">
    <cfRule type="containsText" dxfId="10" priority="79" operator="containsText" text="TBA">
      <formula>NOT(ISERROR(SEARCH("TBA",J4)))</formula>
    </cfRule>
  </conditionalFormatting>
  <conditionalFormatting sqref="J7">
    <cfRule type="duplicateValues" dxfId="9" priority="33681"/>
  </conditionalFormatting>
  <conditionalFormatting sqref="J13">
    <cfRule type="duplicateValues" dxfId="8" priority="82"/>
  </conditionalFormatting>
  <conditionalFormatting sqref="J20">
    <cfRule type="duplicateValues" dxfId="7" priority="85"/>
  </conditionalFormatting>
  <conditionalFormatting sqref="J23">
    <cfRule type="containsText" dxfId="6" priority="81" operator="containsText" text="TBA">
      <formula>NOT(ISERROR(SEARCH("TBA",J23)))</formula>
    </cfRule>
    <cfRule type="duplicateValues" dxfId="5" priority="86"/>
    <cfRule type="duplicateValues" dxfId="4" priority="87"/>
  </conditionalFormatting>
  <conditionalFormatting sqref="J44">
    <cfRule type="duplicateValues" dxfId="3" priority="84"/>
  </conditionalFormatting>
  <conditionalFormatting sqref="K44">
    <cfRule type="containsText" dxfId="2" priority="76" operator="containsText" text="TBA">
      <formula>NOT(ISERROR(SEARCH("TBA",K44)))</formula>
    </cfRule>
    <cfRule type="duplicateValues" dxfId="1" priority="77"/>
    <cfRule type="duplicateValues" dxfId="0" priority="78"/>
  </conditionalFormatting>
  <pageMargins left="0.7" right="0.7" top="0.75" bottom="0.75" header="0.3" footer="0.3"/>
  <pageSetup orientation="portrait" r:id="rId1"/>
  <ignoredErrors>
    <ignoredError sqref="J42:J56 J10:J38 J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B8F1-6E29-4786-A4D1-1211FB4DA8C2}">
  <sheetPr codeName="Sheet4"/>
  <dimension ref="B2:O6"/>
  <sheetViews>
    <sheetView tabSelected="1" zoomScaleNormal="100" workbookViewId="0">
      <selection activeCell="E12" sqref="E11:E12"/>
    </sheetView>
  </sheetViews>
  <sheetFormatPr defaultColWidth="16" defaultRowHeight="15"/>
  <cols>
    <col min="2" max="2" width="3.5703125" bestFit="1" customWidth="1"/>
    <col min="3" max="3" width="14.42578125" bestFit="1" customWidth="1"/>
    <col min="4" max="4" width="10.140625" bestFit="1" customWidth="1"/>
    <col min="5" max="5" width="13.7109375" bestFit="1" customWidth="1"/>
    <col min="6" max="6" width="13.42578125" bestFit="1" customWidth="1"/>
    <col min="7" max="7" width="14.5703125" bestFit="1" customWidth="1"/>
    <col min="8" max="8" width="12.85546875" bestFit="1" customWidth="1"/>
    <col min="9" max="9" width="14.42578125" bestFit="1" customWidth="1"/>
    <col min="10" max="10" width="10.28515625" customWidth="1"/>
    <col min="11" max="11" width="17" customWidth="1"/>
    <col min="12" max="12" width="13" bestFit="1" customWidth="1"/>
    <col min="13" max="13" width="9.5703125" bestFit="1" customWidth="1"/>
    <col min="14" max="14" width="11.42578125" customWidth="1"/>
    <col min="15" max="15" width="13.7109375" customWidth="1"/>
  </cols>
  <sheetData>
    <row r="2" spans="2:15" ht="45">
      <c r="B2" s="119" t="s">
        <v>33</v>
      </c>
      <c r="C2" s="119" t="s">
        <v>34</v>
      </c>
      <c r="D2" s="120" t="s">
        <v>208</v>
      </c>
      <c r="E2" s="120" t="s">
        <v>35</v>
      </c>
      <c r="F2" s="120" t="s">
        <v>36</v>
      </c>
      <c r="G2" s="120" t="s">
        <v>37</v>
      </c>
      <c r="H2" s="120" t="s">
        <v>242</v>
      </c>
      <c r="I2" s="120" t="s">
        <v>1655</v>
      </c>
      <c r="J2" s="120" t="s">
        <v>38</v>
      </c>
      <c r="K2" s="120" t="s">
        <v>243</v>
      </c>
      <c r="L2" s="120" t="s">
        <v>39</v>
      </c>
      <c r="M2" s="120" t="s">
        <v>40</v>
      </c>
      <c r="N2" s="119" t="s">
        <v>27</v>
      </c>
      <c r="O2" s="119" t="s">
        <v>42</v>
      </c>
    </row>
    <row r="3" spans="2:15" hidden="1">
      <c r="B3" s="5">
        <v>1</v>
      </c>
      <c r="C3" s="119" t="s">
        <v>1453</v>
      </c>
      <c r="D3" s="6">
        <v>37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7">
        <v>37</v>
      </c>
      <c r="O3" s="5">
        <f>SUM(E3:M3)</f>
        <v>0</v>
      </c>
    </row>
    <row r="4" spans="2:15" hidden="1">
      <c r="B4" s="5">
        <v>1</v>
      </c>
      <c r="C4" s="119" t="s">
        <v>1606</v>
      </c>
      <c r="D4" s="6">
        <v>20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7">
        <v>20</v>
      </c>
      <c r="O4" s="5">
        <f>SUM(E4:M4)</f>
        <v>0</v>
      </c>
    </row>
    <row r="5" spans="2:15">
      <c r="B5" s="5">
        <v>1</v>
      </c>
      <c r="C5" s="119" t="s">
        <v>1662</v>
      </c>
      <c r="D5" s="6">
        <v>37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37</v>
      </c>
      <c r="O5" s="5">
        <f>SUM(E5:N5)</f>
        <v>37</v>
      </c>
    </row>
    <row r="6" spans="2:15">
      <c r="E6" s="115"/>
      <c r="M6" s="179">
        <f>SUM(M3:M5)</f>
        <v>0</v>
      </c>
      <c r="N6" s="180">
        <f>SUM(N3:N5)</f>
        <v>94</v>
      </c>
      <c r="O6" s="179">
        <f>SUM(O3:O5)</f>
        <v>37</v>
      </c>
    </row>
  </sheetData>
  <phoneticPr fontId="37" type="noConversion"/>
  <pageMargins left="0.7" right="0.7" top="0.75" bottom="0.75" header="0.3" footer="0.3"/>
  <pageSetup orientation="portrait" r:id="rId1"/>
  <ignoredErrors>
    <ignoredError sqref="O3:O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Feb DEZIWA- DAR</vt:lpstr>
      <vt:lpstr>April</vt:lpstr>
      <vt:lpstr>May</vt:lpstr>
      <vt:lpstr>May Additional 1000'MT</vt:lpstr>
      <vt:lpstr>June</vt:lpstr>
      <vt:lpstr>July Deziwa -Ndola</vt:lpstr>
      <vt:lpstr>July</vt:lpstr>
      <vt:lpstr>August </vt:lpstr>
      <vt:lpstr>September</vt:lpstr>
      <vt:lpstr>October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Overland Tracking</dc:creator>
  <cp:lastModifiedBy>Domtila -tracking</cp:lastModifiedBy>
  <dcterms:created xsi:type="dcterms:W3CDTF">2024-12-04T05:32:26Z</dcterms:created>
  <dcterms:modified xsi:type="dcterms:W3CDTF">2025-12-28T06:29:54Z</dcterms:modified>
</cp:coreProperties>
</file>