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CLIENTS REPORTS\_CURRENT REPORTS\EXPORT REPORTS\"/>
    </mc:Choice>
  </mc:AlternateContent>
  <xr:revisionPtr revIDLastSave="0" documentId="13_ncr:1_{F9C04FCE-3A29-44FE-8371-CAECD20D8865}" xr6:coauthVersionLast="36" xr6:coauthVersionMax="47" xr10:uidLastSave="{00000000-0000-0000-0000-000000000000}"/>
  <bookViews>
    <workbookView xWindow="-28920" yWindow="-2960" windowWidth="29040" windowHeight="15720" xr2:uid="{F8A0BAAB-AD6C-4099-B7C8-C4E6E5B73DC6}"/>
  </bookViews>
  <sheets>
    <sheet name="TFM - DAR January" sheetId="1" r:id="rId1"/>
    <sheet name="Summary" sheetId="2" r:id="rId2"/>
  </sheets>
  <definedNames>
    <definedName name="_xlnm._FilterDatabase" localSheetId="0" hidden="1">'TFM - DAR January'!$A$3:$AH$33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M1" i="1" l="1"/>
  <c r="A4" i="1" l="1"/>
  <c r="N1" i="1" l="1"/>
  <c r="V16" i="1" l="1"/>
  <c r="V33" i="1"/>
  <c r="V17" i="1"/>
  <c r="V24" i="1"/>
  <c r="V25" i="1"/>
  <c r="V26" i="1"/>
  <c r="V27" i="1"/>
  <c r="V28" i="1"/>
  <c r="V29" i="1"/>
  <c r="V22" i="1"/>
  <c r="A16" i="1" l="1"/>
  <c r="A33" i="1"/>
  <c r="A17" i="1"/>
  <c r="A24" i="1"/>
  <c r="A25" i="1"/>
  <c r="A26" i="1"/>
  <c r="A27" i="1"/>
  <c r="A28" i="1"/>
  <c r="A29" i="1"/>
  <c r="A22" i="1"/>
  <c r="V14" i="1" l="1"/>
  <c r="V31" i="1"/>
  <c r="V18" i="1"/>
  <c r="V19" i="1"/>
  <c r="Q6" i="2" l="1"/>
  <c r="V20" i="1"/>
  <c r="V15" i="1" l="1"/>
  <c r="V21" i="1"/>
  <c r="V32" i="1"/>
  <c r="V23" i="1"/>
  <c r="V30" i="1"/>
  <c r="A30" i="1" l="1"/>
  <c r="A23" i="1"/>
  <c r="A7" i="1"/>
  <c r="A11" i="1"/>
  <c r="A31" i="1"/>
  <c r="A20" i="1"/>
  <c r="A6" i="1"/>
  <c r="A18" i="1"/>
  <c r="A14" i="1"/>
  <c r="A10" i="1"/>
  <c r="A5" i="1"/>
  <c r="A19" i="1"/>
  <c r="A13" i="1"/>
  <c r="A9" i="1"/>
  <c r="A8" i="1"/>
  <c r="A15" i="1"/>
  <c r="A21" i="1"/>
  <c r="A32" i="1"/>
  <c r="A12" i="1"/>
  <c r="V13" i="1" l="1"/>
  <c r="P7" i="2" l="1"/>
  <c r="O7" i="2"/>
  <c r="Q7" i="2"/>
</calcChain>
</file>

<file path=xl/sharedStrings.xml><?xml version="1.0" encoding="utf-8"?>
<sst xmlns="http://schemas.openxmlformats.org/spreadsheetml/2006/main" count="499" uniqueCount="237">
  <si>
    <t>SN</t>
  </si>
  <si>
    <t>Uplift</t>
  </si>
  <si>
    <t>Offloading Point</t>
  </si>
  <si>
    <t>PRODUCT</t>
  </si>
  <si>
    <t>Transporter</t>
  </si>
  <si>
    <t>Lot No</t>
  </si>
  <si>
    <t>Truck</t>
  </si>
  <si>
    <t>Trailer I</t>
  </si>
  <si>
    <t>Trailer II</t>
  </si>
  <si>
    <t>Passport</t>
  </si>
  <si>
    <t xml:space="preserve">Loading Capacities </t>
  </si>
  <si>
    <t>Loaded Weight (Kgs)</t>
  </si>
  <si>
    <t>Type</t>
  </si>
  <si>
    <t>Current Location</t>
  </si>
  <si>
    <t>REMARK</t>
  </si>
  <si>
    <t>L/SITE</t>
  </si>
  <si>
    <t>Origins</t>
  </si>
  <si>
    <t>WHISKY</t>
  </si>
  <si>
    <t>KASUMBALESA/SAKANIA</t>
  </si>
  <si>
    <t>Nakonde border</t>
  </si>
  <si>
    <t>Tunduma border</t>
  </si>
  <si>
    <t>Final destination</t>
  </si>
  <si>
    <t>Driver Telephone No</t>
  </si>
  <si>
    <t>Driver's Name</t>
  </si>
  <si>
    <t>ETA</t>
  </si>
  <si>
    <t>Arrival</t>
  </si>
  <si>
    <t>Loaded</t>
  </si>
  <si>
    <t>Departure</t>
  </si>
  <si>
    <t>Days</t>
  </si>
  <si>
    <t>Dispatch</t>
  </si>
  <si>
    <t>Offloaded</t>
  </si>
  <si>
    <t>Total delays</t>
  </si>
  <si>
    <t>TFM</t>
  </si>
  <si>
    <t>Copper Cathode</t>
  </si>
  <si>
    <t>OVERLAND</t>
  </si>
  <si>
    <t>FLATBED</t>
  </si>
  <si>
    <t>Loaded waiting for release</t>
  </si>
  <si>
    <t>TBA</t>
  </si>
  <si>
    <t>NO</t>
  </si>
  <si>
    <t>Allocations</t>
  </si>
  <si>
    <t>Total Allocations</t>
  </si>
  <si>
    <t>Waiting to load</t>
  </si>
  <si>
    <t>In -Transit (DRC)</t>
  </si>
  <si>
    <t>whisky border</t>
  </si>
  <si>
    <t>At K-lesa/Sakania border</t>
  </si>
  <si>
    <t>In -Transit (ZMB)</t>
  </si>
  <si>
    <t>At Nakonde/Tunduma Border</t>
  </si>
  <si>
    <t>In -Transit (TZ)</t>
  </si>
  <si>
    <t xml:space="preserve">Waiting to Offload </t>
  </si>
  <si>
    <t>Total Active</t>
  </si>
  <si>
    <t>Enroute to TFM</t>
  </si>
  <si>
    <t>T623DPV</t>
  </si>
  <si>
    <t>T101APA</t>
  </si>
  <si>
    <t>T335DWZ</t>
  </si>
  <si>
    <t>T509AUU</t>
  </si>
  <si>
    <t>T553DTR</t>
  </si>
  <si>
    <t>T324BZY</t>
  </si>
  <si>
    <t>T105APA</t>
  </si>
  <si>
    <t>T719EFH</t>
  </si>
  <si>
    <t>T873CJS</t>
  </si>
  <si>
    <t>T383BXG</t>
  </si>
  <si>
    <t>T671EFH</t>
  </si>
  <si>
    <t>T627CKK</t>
  </si>
  <si>
    <t>T368CRT</t>
  </si>
  <si>
    <t>T231EMP</t>
  </si>
  <si>
    <t>T624DPV</t>
  </si>
  <si>
    <t>T971ASG</t>
  </si>
  <si>
    <t>T275DTA</t>
  </si>
  <si>
    <t>T266DSM</t>
  </si>
  <si>
    <t>T663CJT</t>
  </si>
  <si>
    <t>T463DAA</t>
  </si>
  <si>
    <t>T276ELA</t>
  </si>
  <si>
    <t>T539BXN</t>
  </si>
  <si>
    <t>T971CFD</t>
  </si>
  <si>
    <t>T729EFH</t>
  </si>
  <si>
    <t>T350DWZ</t>
  </si>
  <si>
    <t>T645CKC</t>
  </si>
  <si>
    <t>T581DTR</t>
  </si>
  <si>
    <t>T334DWZ</t>
  </si>
  <si>
    <t>T517AUU</t>
  </si>
  <si>
    <t>T936DWJ</t>
  </si>
  <si>
    <t>T459DMH</t>
  </si>
  <si>
    <t>T661BAK</t>
  </si>
  <si>
    <t>T417EFH</t>
  </si>
  <si>
    <t>T586DMJ</t>
  </si>
  <si>
    <t>T287BED</t>
  </si>
  <si>
    <t>T960DWJ</t>
  </si>
  <si>
    <t>T462DZH</t>
  </si>
  <si>
    <t>T200CVF</t>
  </si>
  <si>
    <t>T212EMM</t>
  </si>
  <si>
    <t>T578DMJ</t>
  </si>
  <si>
    <t>T177DCZ</t>
  </si>
  <si>
    <t>T556DTR</t>
  </si>
  <si>
    <t>T645CJT</t>
  </si>
  <si>
    <t>T445CBM</t>
  </si>
  <si>
    <t>T984DWJ</t>
  </si>
  <si>
    <t>T308BZY</t>
  </si>
  <si>
    <t>T405BQX</t>
  </si>
  <si>
    <t>T260EMP</t>
  </si>
  <si>
    <t>T242AJP</t>
  </si>
  <si>
    <t>T963DWJ</t>
  </si>
  <si>
    <t>T956CAS</t>
  </si>
  <si>
    <t>T468DAA</t>
  </si>
  <si>
    <t>T281ELA</t>
  </si>
  <si>
    <t>T230CVP</t>
  </si>
  <si>
    <t>T194BED</t>
  </si>
  <si>
    <t>T690EFH</t>
  </si>
  <si>
    <t>T307CVN</t>
  </si>
  <si>
    <t>T508BWD</t>
  </si>
  <si>
    <t>T930DWJ</t>
  </si>
  <si>
    <t>T498DMH</t>
  </si>
  <si>
    <t>T219DQD</t>
  </si>
  <si>
    <t>T504DQD</t>
  </si>
  <si>
    <t>T357DWZ</t>
  </si>
  <si>
    <t>T609DXS</t>
  </si>
  <si>
    <t>T611DXS</t>
  </si>
  <si>
    <t>T580DMJ</t>
  </si>
  <si>
    <t>T735BAK</t>
  </si>
  <si>
    <t>T935DWJ</t>
  </si>
  <si>
    <t>T635BVP</t>
  </si>
  <si>
    <t>T777AXN</t>
  </si>
  <si>
    <t>T285EMP</t>
  </si>
  <si>
    <t>T297EJA</t>
  </si>
  <si>
    <t>T151EHW</t>
  </si>
  <si>
    <t>TT252EMP</t>
  </si>
  <si>
    <t>T657BZY</t>
  </si>
  <si>
    <t>T401BJE</t>
  </si>
  <si>
    <t>T872EBS</t>
  </si>
  <si>
    <t>T966EBC</t>
  </si>
  <si>
    <t>T550EBB</t>
  </si>
  <si>
    <t>T218EES</t>
  </si>
  <si>
    <t>T349EGE</t>
  </si>
  <si>
    <t>FREDRICK LUCAS NYAMHANGA</t>
  </si>
  <si>
    <t>RASHID HAMIS NJENJEMA</t>
  </si>
  <si>
    <t xml:space="preserve">ALEX GOMEL ROBERT </t>
  </si>
  <si>
    <t>SHABANI SAID ATHUMAN</t>
  </si>
  <si>
    <t>DANIEL CHRISANT MAKILIKA</t>
  </si>
  <si>
    <t>RAMADHANI SHABANI OMARY</t>
  </si>
  <si>
    <t>RAMADHANI ATHUMANI SALEHE</t>
  </si>
  <si>
    <t>IDDY SHABAN RAMADHAN </t>
  </si>
  <si>
    <t>DAUDI DAMAS MWAPENDA</t>
  </si>
  <si>
    <t>MAKWAYA ATHUMANI MLUNDI</t>
  </si>
  <si>
    <t>WAZIRI SALEHE MWADEGU</t>
  </si>
  <si>
    <t>AISHA HUSSENI RAMADHANI</t>
  </si>
  <si>
    <t>SILAS  JONAS MAGAMBO</t>
  </si>
  <si>
    <t>JUMA BAKARI ALLY</t>
  </si>
  <si>
    <t>BASHIRU JUMA SOMBI</t>
  </si>
  <si>
    <t>SALIM ZUBERI ALLY</t>
  </si>
  <si>
    <t>KHAMIS MOHAMED ABDALLAH</t>
  </si>
  <si>
    <t>MFAUME ISMAIL NASSORO</t>
  </si>
  <si>
    <t>JAMSHID ELIAS KIOBYA</t>
  </si>
  <si>
    <t>AMINI OMARY HAMIS</t>
  </si>
  <si>
    <t>AHMED MUSHITAK MAWJI</t>
  </si>
  <si>
    <t>SALIMU HAMISS SAID</t>
  </si>
  <si>
    <t>OMAR JUMA MACHIBYA</t>
  </si>
  <si>
    <t>SEKO PAULO LUPEMBA</t>
  </si>
  <si>
    <t>EMMANUEL LEARNSON NJOWELA</t>
  </si>
  <si>
    <t>ABDALLAH ATHUMANI ALLY</t>
  </si>
  <si>
    <t>ELIAKIMU JUMA SAID</t>
  </si>
  <si>
    <t>ABDALLAH HAMIS OMARY</t>
  </si>
  <si>
    <t>ABRAHAM KATINA SHIJA</t>
  </si>
  <si>
    <t>255687330668</t>
  </si>
  <si>
    <t>255792137375</t>
  </si>
  <si>
    <t>255653786588</t>
  </si>
  <si>
    <t>255741312119</t>
  </si>
  <si>
    <t>255750921414</t>
  </si>
  <si>
    <t>255682 407144</t>
  </si>
  <si>
    <t>255688932310</t>
  </si>
  <si>
    <t>255755240624</t>
  </si>
  <si>
    <t>255683667884/255757486688</t>
  </si>
  <si>
    <t>255713266847</t>
  </si>
  <si>
    <t>255719 186681</t>
  </si>
  <si>
    <t>255784646548</t>
  </si>
  <si>
    <t>255684 957183</t>
  </si>
  <si>
    <t>255784 072384</t>
  </si>
  <si>
    <t>255683 212710</t>
  </si>
  <si>
    <t>255759 610957</t>
  </si>
  <si>
    <t>255773 593190/255754 593190</t>
  </si>
  <si>
    <t>255789 088088</t>
  </si>
  <si>
    <t>255787040070</t>
  </si>
  <si>
    <t>255787383403</t>
  </si>
  <si>
    <t>255675206126</t>
  </si>
  <si>
    <t>255714 327182</t>
  </si>
  <si>
    <t>255766 556801</t>
  </si>
  <si>
    <t>255655535128</t>
  </si>
  <si>
    <t>255764 833740</t>
  </si>
  <si>
    <t>255687944329</t>
  </si>
  <si>
    <t>255757979762</t>
  </si>
  <si>
    <t>255782545473</t>
  </si>
  <si>
    <t>255713 008354</t>
  </si>
  <si>
    <t>TAE752363</t>
  </si>
  <si>
    <t>TAE725185</t>
  </si>
  <si>
    <t>TAE807803</t>
  </si>
  <si>
    <t>TAE696979</t>
  </si>
  <si>
    <t>TAE600776</t>
  </si>
  <si>
    <t>TAE660218</t>
  </si>
  <si>
    <t>TAE684407</t>
  </si>
  <si>
    <t>TAE736809</t>
  </si>
  <si>
    <t>TAE663753</t>
  </si>
  <si>
    <t>TAE726368</t>
  </si>
  <si>
    <t>TAE122054</t>
  </si>
  <si>
    <t>TAE667678</t>
  </si>
  <si>
    <t>TAE787572</t>
  </si>
  <si>
    <t>TAE753791</t>
  </si>
  <si>
    <t>TAE343169</t>
  </si>
  <si>
    <t>TAE688703</t>
  </si>
  <si>
    <t>TA8003335</t>
  </si>
  <si>
    <t>TAE712521</t>
  </si>
  <si>
    <t xml:space="preserve">K-LESA DRC </t>
  </si>
  <si>
    <t>AB10194412</t>
  </si>
  <si>
    <t>AB10194421</t>
  </si>
  <si>
    <t>AB10194673</t>
  </si>
  <si>
    <t>AB10193779</t>
  </si>
  <si>
    <t>TAE901699</t>
  </si>
  <si>
    <t>January</t>
  </si>
  <si>
    <t xml:space="preserve">Clearing Agent :Bravo
Offloading: C.Steinweg Bridge, Tazara
</t>
  </si>
  <si>
    <t>AB10196487</t>
  </si>
  <si>
    <t>AB10194248</t>
  </si>
  <si>
    <t>AB10196806</t>
  </si>
  <si>
    <t>AB10194442</t>
  </si>
  <si>
    <t>AB10191255</t>
  </si>
  <si>
    <t>T201DYR</t>
  </si>
  <si>
    <t>K-LESA ZMB</t>
  </si>
  <si>
    <t>Waiting to Release</t>
  </si>
  <si>
    <t>AB10194789</t>
  </si>
  <si>
    <t>C-Steinweg Bridge WH   TAZARA</t>
  </si>
  <si>
    <t>T223DNF</t>
  </si>
  <si>
    <t>T810BYV</t>
  </si>
  <si>
    <t>T253EMM</t>
  </si>
  <si>
    <t>255762059139/255712 594175</t>
  </si>
  <si>
    <t>ANTHONY E NGUMBI</t>
  </si>
  <si>
    <t>TAE679312</t>
  </si>
  <si>
    <t>NDOLA ZM</t>
  </si>
  <si>
    <t>TB06649/TFM/01/26</t>
  </si>
  <si>
    <t>TB06650/TFM/01/26</t>
  </si>
  <si>
    <t>TB06639/TFM/01/26</t>
  </si>
  <si>
    <t>KOLWEZI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</si>
</sst>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[$-409]d\-mmm;@"/>
    <numFmt numFmtId="166" formatCode="[$-409]dd/mmm/yy;@"/>
    <numFmt numFmtId="167" formatCode="[$-409]d/mmm/yy;@"/>
    <numFmt numFmtId="168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10" borderId="0" applyNumberFormat="0" applyBorder="0" applyAlignment="0" applyProtection="0"/>
  </cellStyleXfs>
  <cellXfs count="53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5" fontId="5" fillId="2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167" fontId="5" fillId="2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8" fontId="7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20% - Accent3 2" xfId="1" xr:uid="{28C19222-CB9C-438D-8465-ECF4622FF673}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9CAA-D19C-444C-8F4B-F12F61FACDF4}">
  <dimension ref="A1:AH36"/>
  <sheetViews>
    <sheetView tabSelected="1" topLeftCell="D1" zoomScaleNormal="100" workbookViewId="0">
      <selection activeCell="K8" sqref="K8"/>
    </sheetView>
  </sheetViews>
  <sheetFormatPr defaultColWidth="8.7265625" defaultRowHeight="13" x14ac:dyDescent="0.3"/>
  <cols>
    <col min="1" max="1" width="3" style="19" bestFit="1" customWidth="1"/>
    <col min="2" max="2" width="5.1796875" style="19" bestFit="1" customWidth="1"/>
    <col min="3" max="3" width="24.81640625" style="19" bestFit="1" customWidth="1"/>
    <col min="4" max="4" width="21.1796875" style="19" customWidth="1"/>
    <col min="5" max="5" width="11.26953125" style="19" bestFit="1" customWidth="1"/>
    <col min="6" max="6" width="16.7265625" style="19" bestFit="1" customWidth="1"/>
    <col min="7" max="7" width="8.453125" style="19" bestFit="1" customWidth="1"/>
    <col min="8" max="8" width="9.453125" style="19" customWidth="1"/>
    <col min="9" max="9" width="10.1796875" style="19" customWidth="1"/>
    <col min="10" max="10" width="25.453125" style="19" customWidth="1"/>
    <col min="11" max="11" width="29.54296875" style="19" customWidth="1"/>
    <col min="12" max="12" width="12.26953125" style="19" customWidth="1"/>
    <col min="13" max="13" width="10.1796875" style="19" customWidth="1"/>
    <col min="14" max="14" width="14.81640625" style="19" customWidth="1"/>
    <col min="15" max="15" width="9.36328125" style="19" customWidth="1"/>
    <col min="16" max="16" width="16" style="19" customWidth="1"/>
    <col min="17" max="17" width="22.54296875" style="19" customWidth="1"/>
    <col min="18" max="18" width="13.453125" style="19" customWidth="1"/>
    <col min="19" max="19" width="10.453125" style="19" bestFit="1" customWidth="1"/>
    <col min="20" max="20" width="9.1796875" style="19" customWidth="1"/>
    <col min="21" max="21" width="12.1796875" style="19" customWidth="1"/>
    <col min="22" max="25" width="9.1796875" style="19" customWidth="1"/>
    <col min="26" max="26" width="14" style="19" customWidth="1"/>
    <col min="27" max="27" width="10.453125" style="19" bestFit="1" customWidth="1"/>
    <col min="28" max="31" width="9.1796875" style="19" customWidth="1"/>
    <col min="32" max="32" width="11.54296875" style="19" customWidth="1"/>
    <col min="33" max="33" width="9.1796875" style="19" customWidth="1"/>
    <col min="34" max="34" width="14.1796875" style="19" customWidth="1"/>
    <col min="35" max="16384" width="8.7265625" style="19"/>
  </cols>
  <sheetData>
    <row r="1" spans="1:34" s="6" customFormat="1" ht="14.5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1"/>
      <c r="K1" s="1"/>
      <c r="L1" s="2"/>
      <c r="M1" s="3">
        <f>SUM(M4:M33)</f>
        <v>1033</v>
      </c>
      <c r="N1" s="4">
        <f>SUM(N10:N33)</f>
        <v>106325</v>
      </c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10" customFormat="1" ht="12.75" customHeight="1" x14ac:dyDescent="0.3">
      <c r="A2" s="46"/>
      <c r="B2" s="48" t="s">
        <v>1</v>
      </c>
      <c r="C2" s="49" t="s">
        <v>2</v>
      </c>
      <c r="D2" s="51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7"/>
      <c r="K2" s="7"/>
      <c r="L2" s="38" t="s">
        <v>9</v>
      </c>
      <c r="M2" s="39" t="s">
        <v>10</v>
      </c>
      <c r="N2" s="40" t="s">
        <v>11</v>
      </c>
      <c r="O2" s="39" t="s">
        <v>12</v>
      </c>
      <c r="P2" s="38" t="s">
        <v>13</v>
      </c>
      <c r="Q2" s="38" t="s">
        <v>14</v>
      </c>
      <c r="R2" s="8" t="s">
        <v>15</v>
      </c>
      <c r="S2" s="42" t="s">
        <v>16</v>
      </c>
      <c r="T2" s="42"/>
      <c r="U2" s="42"/>
      <c r="V2" s="42"/>
      <c r="W2" s="43" t="s">
        <v>17</v>
      </c>
      <c r="X2" s="43"/>
      <c r="Y2" s="44" t="s">
        <v>18</v>
      </c>
      <c r="Z2" s="43"/>
      <c r="AA2" s="43" t="s">
        <v>19</v>
      </c>
      <c r="AB2" s="43"/>
      <c r="AC2" s="43" t="s">
        <v>20</v>
      </c>
      <c r="AD2" s="43"/>
      <c r="AE2" s="37" t="s">
        <v>21</v>
      </c>
      <c r="AF2" s="37"/>
      <c r="AG2" s="37"/>
      <c r="AH2" s="9"/>
    </row>
    <row r="3" spans="1:34" s="10" customFormat="1" ht="17.149999999999999" customHeight="1" x14ac:dyDescent="0.3">
      <c r="A3" s="46"/>
      <c r="B3" s="48"/>
      <c r="C3" s="50"/>
      <c r="D3" s="52"/>
      <c r="E3" s="38"/>
      <c r="F3" s="38"/>
      <c r="G3" s="38"/>
      <c r="H3" s="38"/>
      <c r="I3" s="38"/>
      <c r="J3" s="7" t="s">
        <v>22</v>
      </c>
      <c r="K3" s="7" t="s">
        <v>23</v>
      </c>
      <c r="L3" s="38"/>
      <c r="M3" s="39"/>
      <c r="N3" s="41"/>
      <c r="O3" s="39"/>
      <c r="P3" s="38"/>
      <c r="Q3" s="38"/>
      <c r="R3" s="8" t="s">
        <v>24</v>
      </c>
      <c r="S3" s="11" t="s">
        <v>25</v>
      </c>
      <c r="T3" s="11" t="s">
        <v>26</v>
      </c>
      <c r="U3" s="11" t="s">
        <v>27</v>
      </c>
      <c r="V3" s="12" t="s">
        <v>28</v>
      </c>
      <c r="W3" s="13" t="s">
        <v>25</v>
      </c>
      <c r="X3" s="13" t="s">
        <v>29</v>
      </c>
      <c r="Y3" s="14" t="s">
        <v>25</v>
      </c>
      <c r="Z3" s="13" t="s">
        <v>29</v>
      </c>
      <c r="AA3" s="13" t="s">
        <v>25</v>
      </c>
      <c r="AB3" s="13" t="s">
        <v>29</v>
      </c>
      <c r="AC3" s="13" t="s">
        <v>25</v>
      </c>
      <c r="AD3" s="13" t="s">
        <v>29</v>
      </c>
      <c r="AE3" s="13" t="s">
        <v>25</v>
      </c>
      <c r="AF3" s="13" t="s">
        <v>30</v>
      </c>
      <c r="AG3" s="15" t="s">
        <v>28</v>
      </c>
      <c r="AH3" s="9" t="s">
        <v>31</v>
      </c>
    </row>
    <row r="4" spans="1:34" s="28" customFormat="1" ht="15.75" customHeight="1" x14ac:dyDescent="0.3">
      <c r="A4" s="20">
        <f t="shared" ref="A4:A33" si="0">ROW()-3</f>
        <v>1</v>
      </c>
      <c r="B4" s="20" t="s">
        <v>32</v>
      </c>
      <c r="C4" s="31" t="s">
        <v>225</v>
      </c>
      <c r="D4" s="20" t="s">
        <v>33</v>
      </c>
      <c r="E4" s="20" t="s">
        <v>34</v>
      </c>
      <c r="F4" s="20" t="s">
        <v>37</v>
      </c>
      <c r="G4" s="32" t="s">
        <v>226</v>
      </c>
      <c r="H4" s="32" t="s">
        <v>227</v>
      </c>
      <c r="I4" s="32" t="s">
        <v>228</v>
      </c>
      <c r="J4" s="33" t="s">
        <v>229</v>
      </c>
      <c r="K4" s="20" t="s">
        <v>230</v>
      </c>
      <c r="L4" s="32" t="s">
        <v>231</v>
      </c>
      <c r="M4" s="34">
        <v>35</v>
      </c>
      <c r="N4" s="35" t="s">
        <v>37</v>
      </c>
      <c r="O4" s="20" t="s">
        <v>35</v>
      </c>
      <c r="P4" s="20" t="s">
        <v>32</v>
      </c>
      <c r="Q4" s="30" t="s">
        <v>223</v>
      </c>
      <c r="R4" s="17">
        <v>46032</v>
      </c>
      <c r="S4" s="18">
        <v>46032</v>
      </c>
      <c r="T4" s="18">
        <v>46038</v>
      </c>
      <c r="U4" s="27"/>
      <c r="V4" s="29">
        <f t="shared" ref="V4:V33" si="1">(U4-S4)</f>
        <v>-46032</v>
      </c>
      <c r="W4" s="27"/>
      <c r="X4" s="27"/>
      <c r="Y4" s="27"/>
      <c r="Z4" s="20"/>
      <c r="AA4" s="20"/>
      <c r="AB4" s="20"/>
      <c r="AC4" s="20"/>
      <c r="AD4" s="20"/>
      <c r="AE4" s="20"/>
      <c r="AF4" s="20"/>
      <c r="AG4" s="20"/>
      <c r="AH4" s="20"/>
    </row>
    <row r="5" spans="1:34" s="28" customFormat="1" ht="15.75" customHeight="1" x14ac:dyDescent="0.35">
      <c r="A5" s="20">
        <f t="shared" si="0"/>
        <v>2</v>
      </c>
      <c r="B5" s="20" t="s">
        <v>32</v>
      </c>
      <c r="C5" s="31" t="s">
        <v>225</v>
      </c>
      <c r="D5" s="20" t="s">
        <v>33</v>
      </c>
      <c r="E5" s="20" t="s">
        <v>34</v>
      </c>
      <c r="F5" s="20" t="s">
        <v>37</v>
      </c>
      <c r="G5" s="20" t="s">
        <v>51</v>
      </c>
      <c r="H5" s="20" t="s">
        <v>52</v>
      </c>
      <c r="I5" s="20"/>
      <c r="J5" s="20" t="s">
        <v>161</v>
      </c>
      <c r="K5" s="20" t="s">
        <v>132</v>
      </c>
      <c r="L5" s="20" t="s">
        <v>190</v>
      </c>
      <c r="M5" s="20">
        <v>30</v>
      </c>
      <c r="N5" s="20" t="s">
        <v>37</v>
      </c>
      <c r="O5" s="20" t="s">
        <v>35</v>
      </c>
      <c r="P5" s="20" t="s">
        <v>32</v>
      </c>
      <c r="Q5" s="30" t="s">
        <v>223</v>
      </c>
      <c r="R5" s="17">
        <v>46036</v>
      </c>
      <c r="S5" s="18">
        <v>46036</v>
      </c>
      <c r="T5" s="27">
        <v>46037</v>
      </c>
      <c r="U5" s="27"/>
      <c r="V5" s="29">
        <f>(U5-S5)</f>
        <v>-46036</v>
      </c>
      <c r="W5" s="27"/>
      <c r="X5" s="27"/>
      <c r="Y5" s="27"/>
      <c r="Z5" s="20"/>
      <c r="AA5" s="20"/>
      <c r="AB5" s="20"/>
      <c r="AC5" s="20"/>
      <c r="AD5" s="20"/>
      <c r="AE5" s="20"/>
      <c r="AF5" s="20"/>
      <c r="AG5" s="20"/>
      <c r="AH5" s="20"/>
    </row>
    <row r="6" spans="1:34" s="28" customFormat="1" ht="15.65" customHeight="1" x14ac:dyDescent="0.35">
      <c r="A6" s="20">
        <f t="shared" si="0"/>
        <v>3</v>
      </c>
      <c r="B6" s="20" t="s">
        <v>32</v>
      </c>
      <c r="C6" s="31" t="s">
        <v>225</v>
      </c>
      <c r="D6" s="20" t="s">
        <v>33</v>
      </c>
      <c r="E6" s="20" t="s">
        <v>34</v>
      </c>
      <c r="F6" s="20" t="s">
        <v>37</v>
      </c>
      <c r="G6" s="20" t="s">
        <v>53</v>
      </c>
      <c r="H6" s="20" t="s">
        <v>54</v>
      </c>
      <c r="I6" s="20" t="s">
        <v>55</v>
      </c>
      <c r="J6" s="20" t="s">
        <v>162</v>
      </c>
      <c r="K6" s="20" t="s">
        <v>133</v>
      </c>
      <c r="L6" s="20" t="s">
        <v>224</v>
      </c>
      <c r="M6" s="20">
        <v>35</v>
      </c>
      <c r="N6" s="20" t="s">
        <v>37</v>
      </c>
      <c r="O6" s="20" t="s">
        <v>35</v>
      </c>
      <c r="P6" s="20" t="s">
        <v>32</v>
      </c>
      <c r="Q6" s="30" t="s">
        <v>223</v>
      </c>
      <c r="R6" s="17">
        <v>46036</v>
      </c>
      <c r="S6" s="18">
        <v>46036</v>
      </c>
      <c r="T6" s="27">
        <v>46037</v>
      </c>
      <c r="U6" s="27"/>
      <c r="V6" s="29">
        <f>(U6-S6)</f>
        <v>-46036</v>
      </c>
      <c r="W6" s="27"/>
      <c r="X6" s="27"/>
      <c r="Y6" s="27"/>
      <c r="Z6" s="20"/>
      <c r="AA6" s="20"/>
      <c r="AB6" s="20"/>
      <c r="AC6" s="20"/>
      <c r="AD6" s="20"/>
      <c r="AE6" s="20"/>
      <c r="AF6" s="20"/>
      <c r="AG6" s="20"/>
      <c r="AH6" s="20"/>
    </row>
    <row r="7" spans="1:34" s="28" customFormat="1" ht="15.75" customHeight="1" x14ac:dyDescent="0.35">
      <c r="A7" s="20">
        <f t="shared" si="0"/>
        <v>4</v>
      </c>
      <c r="B7" s="20" t="s">
        <v>32</v>
      </c>
      <c r="C7" s="31" t="s">
        <v>225</v>
      </c>
      <c r="D7" s="20" t="s">
        <v>33</v>
      </c>
      <c r="E7" s="20" t="s">
        <v>34</v>
      </c>
      <c r="F7" s="20" t="s">
        <v>37</v>
      </c>
      <c r="G7" s="20" t="s">
        <v>69</v>
      </c>
      <c r="H7" s="20" t="s">
        <v>70</v>
      </c>
      <c r="I7" s="20" t="s">
        <v>71</v>
      </c>
      <c r="J7" s="20" t="s">
        <v>168</v>
      </c>
      <c r="K7" s="20" t="s">
        <v>139</v>
      </c>
      <c r="L7" s="20" t="s">
        <v>211</v>
      </c>
      <c r="M7" s="20">
        <v>35</v>
      </c>
      <c r="N7" s="20" t="s">
        <v>37</v>
      </c>
      <c r="O7" s="20" t="s">
        <v>35</v>
      </c>
      <c r="P7" s="20" t="s">
        <v>32</v>
      </c>
      <c r="Q7" s="30" t="s">
        <v>223</v>
      </c>
      <c r="R7" s="17">
        <v>46036</v>
      </c>
      <c r="S7" s="18">
        <v>46036</v>
      </c>
      <c r="T7" s="27">
        <v>46037</v>
      </c>
      <c r="U7" s="27"/>
      <c r="V7" s="29">
        <f>(U7-S7)</f>
        <v>-46036</v>
      </c>
      <c r="W7" s="27"/>
      <c r="X7" s="27"/>
      <c r="Y7" s="27"/>
      <c r="Z7" s="20"/>
      <c r="AA7" s="20"/>
      <c r="AB7" s="20"/>
      <c r="AC7" s="20"/>
      <c r="AD7" s="20"/>
      <c r="AE7" s="20"/>
      <c r="AF7" s="20"/>
      <c r="AG7" s="20"/>
      <c r="AH7" s="20"/>
    </row>
    <row r="8" spans="1:34" s="28" customFormat="1" ht="15.75" customHeight="1" x14ac:dyDescent="0.35">
      <c r="A8" s="20">
        <f t="shared" si="0"/>
        <v>5</v>
      </c>
      <c r="B8" s="20" t="s">
        <v>32</v>
      </c>
      <c r="C8" s="31" t="s">
        <v>225</v>
      </c>
      <c r="D8" s="20" t="s">
        <v>33</v>
      </c>
      <c r="E8" s="20" t="s">
        <v>34</v>
      </c>
      <c r="F8" s="20" t="s">
        <v>37</v>
      </c>
      <c r="G8" s="20" t="s">
        <v>65</v>
      </c>
      <c r="H8" s="20" t="s">
        <v>66</v>
      </c>
      <c r="I8" s="20"/>
      <c r="J8" s="20" t="s">
        <v>166</v>
      </c>
      <c r="K8" s="20" t="s">
        <v>137</v>
      </c>
      <c r="L8" s="20" t="s">
        <v>209</v>
      </c>
      <c r="M8" s="20">
        <v>30</v>
      </c>
      <c r="N8" s="20" t="s">
        <v>37</v>
      </c>
      <c r="O8" s="20" t="s">
        <v>35</v>
      </c>
      <c r="P8" s="20" t="s">
        <v>32</v>
      </c>
      <c r="Q8" s="30" t="s">
        <v>223</v>
      </c>
      <c r="R8" s="17">
        <v>46036</v>
      </c>
      <c r="S8" s="18">
        <v>46036</v>
      </c>
      <c r="T8" s="27">
        <v>46037</v>
      </c>
      <c r="U8" s="27"/>
      <c r="V8" s="29">
        <f>(U8-S8)</f>
        <v>-46036</v>
      </c>
      <c r="W8" s="27"/>
      <c r="X8" s="27"/>
      <c r="Y8" s="27"/>
      <c r="Z8" s="20"/>
      <c r="AA8" s="20"/>
      <c r="AB8" s="20"/>
      <c r="AC8" s="20"/>
      <c r="AD8" s="20"/>
      <c r="AE8" s="20"/>
      <c r="AF8" s="20"/>
      <c r="AG8" s="20"/>
      <c r="AH8" s="20"/>
    </row>
    <row r="9" spans="1:34" s="28" customFormat="1" ht="15.75" customHeight="1" x14ac:dyDescent="0.35">
      <c r="A9" s="20">
        <f t="shared" si="0"/>
        <v>6</v>
      </c>
      <c r="B9" s="20" t="s">
        <v>32</v>
      </c>
      <c r="C9" s="31" t="s">
        <v>225</v>
      </c>
      <c r="D9" s="20" t="s">
        <v>33</v>
      </c>
      <c r="E9" s="20" t="s">
        <v>34</v>
      </c>
      <c r="F9" s="20" t="s">
        <v>37</v>
      </c>
      <c r="G9" s="20" t="s">
        <v>67</v>
      </c>
      <c r="H9" s="20" t="s">
        <v>68</v>
      </c>
      <c r="I9" s="20"/>
      <c r="J9" s="20" t="s">
        <v>167</v>
      </c>
      <c r="K9" s="20" t="s">
        <v>138</v>
      </c>
      <c r="L9" s="20" t="s">
        <v>210</v>
      </c>
      <c r="M9" s="20">
        <v>31</v>
      </c>
      <c r="N9" s="20" t="s">
        <v>37</v>
      </c>
      <c r="O9" s="20" t="s">
        <v>35</v>
      </c>
      <c r="P9" s="20" t="s">
        <v>32</v>
      </c>
      <c r="Q9" s="30" t="s">
        <v>223</v>
      </c>
      <c r="R9" s="17">
        <v>46036</v>
      </c>
      <c r="S9" s="18">
        <v>46036</v>
      </c>
      <c r="T9" s="27">
        <v>46037</v>
      </c>
      <c r="U9" s="27"/>
      <c r="V9" s="29">
        <f>(U9-S9)</f>
        <v>-46036</v>
      </c>
      <c r="W9" s="27"/>
      <c r="X9" s="27"/>
      <c r="Y9" s="27"/>
      <c r="Z9" s="20"/>
      <c r="AA9" s="20"/>
      <c r="AB9" s="20"/>
      <c r="AC9" s="20"/>
      <c r="AD9" s="20"/>
      <c r="AE9" s="20"/>
      <c r="AF9" s="20"/>
      <c r="AG9" s="20"/>
      <c r="AH9" s="20"/>
    </row>
    <row r="10" spans="1:34" s="28" customFormat="1" ht="15.75" customHeight="1" x14ac:dyDescent="0.35">
      <c r="A10" s="20">
        <f t="shared" si="0"/>
        <v>7</v>
      </c>
      <c r="B10" s="20" t="s">
        <v>32</v>
      </c>
      <c r="C10" s="31" t="s">
        <v>225</v>
      </c>
      <c r="D10" s="20" t="s">
        <v>33</v>
      </c>
      <c r="E10" s="20" t="s">
        <v>34</v>
      </c>
      <c r="F10" s="20" t="s">
        <v>233</v>
      </c>
      <c r="G10" s="20" t="s">
        <v>56</v>
      </c>
      <c r="H10" s="20" t="s">
        <v>57</v>
      </c>
      <c r="I10" s="20" t="s">
        <v>58</v>
      </c>
      <c r="J10" s="20" t="s">
        <v>163</v>
      </c>
      <c r="K10" s="20" t="s">
        <v>134</v>
      </c>
      <c r="L10" s="20" t="s">
        <v>191</v>
      </c>
      <c r="M10" s="20">
        <v>35</v>
      </c>
      <c r="N10" s="20">
        <v>35626</v>
      </c>
      <c r="O10" s="20" t="s">
        <v>35</v>
      </c>
      <c r="P10" s="20" t="s">
        <v>32</v>
      </c>
      <c r="Q10" s="30" t="s">
        <v>223</v>
      </c>
      <c r="R10" s="17">
        <v>46031</v>
      </c>
      <c r="S10" s="18">
        <v>46031</v>
      </c>
      <c r="T10" s="27">
        <v>46033</v>
      </c>
      <c r="U10" s="27"/>
      <c r="V10" s="29">
        <f t="shared" si="1"/>
        <v>-46031</v>
      </c>
      <c r="W10" s="27"/>
      <c r="X10" s="27"/>
      <c r="Y10" s="27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s="28" customFormat="1" ht="15.75" customHeight="1" x14ac:dyDescent="0.35">
      <c r="A11" s="20">
        <f t="shared" si="0"/>
        <v>8</v>
      </c>
      <c r="B11" s="20" t="s">
        <v>32</v>
      </c>
      <c r="C11" s="31" t="s">
        <v>225</v>
      </c>
      <c r="D11" s="20" t="s">
        <v>33</v>
      </c>
      <c r="E11" s="20" t="s">
        <v>34</v>
      </c>
      <c r="F11" s="20" t="s">
        <v>234</v>
      </c>
      <c r="G11" s="20" t="s">
        <v>59</v>
      </c>
      <c r="H11" s="20" t="s">
        <v>60</v>
      </c>
      <c r="I11" s="20" t="s">
        <v>61</v>
      </c>
      <c r="J11" s="20" t="s">
        <v>164</v>
      </c>
      <c r="K11" s="20" t="s">
        <v>135</v>
      </c>
      <c r="L11" s="20" t="s">
        <v>192</v>
      </c>
      <c r="M11" s="20">
        <v>35</v>
      </c>
      <c r="N11" s="20">
        <v>35485</v>
      </c>
      <c r="O11" s="20" t="s">
        <v>35</v>
      </c>
      <c r="P11" s="20" t="s">
        <v>32</v>
      </c>
      <c r="Q11" s="30" t="s">
        <v>223</v>
      </c>
      <c r="R11" s="17">
        <v>46031</v>
      </c>
      <c r="S11" s="18">
        <v>46031</v>
      </c>
      <c r="T11" s="27">
        <v>46033</v>
      </c>
      <c r="U11" s="27"/>
      <c r="V11" s="29">
        <f t="shared" si="1"/>
        <v>-46031</v>
      </c>
      <c r="W11" s="27"/>
      <c r="X11" s="27"/>
      <c r="Y11" s="27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s="28" customFormat="1" ht="15.75" customHeight="1" x14ac:dyDescent="0.35">
      <c r="A12" s="20">
        <f t="shared" si="0"/>
        <v>9</v>
      </c>
      <c r="B12" s="20" t="s">
        <v>32</v>
      </c>
      <c r="C12" s="31" t="s">
        <v>225</v>
      </c>
      <c r="D12" s="20" t="s">
        <v>33</v>
      </c>
      <c r="E12" s="20" t="s">
        <v>34</v>
      </c>
      <c r="F12" s="20" t="s">
        <v>235</v>
      </c>
      <c r="G12" s="20" t="s">
        <v>81</v>
      </c>
      <c r="H12" s="20" t="s">
        <v>82</v>
      </c>
      <c r="I12" s="20" t="s">
        <v>83</v>
      </c>
      <c r="J12" s="20" t="s">
        <v>172</v>
      </c>
      <c r="K12" s="20" t="s">
        <v>143</v>
      </c>
      <c r="L12" s="20" t="s">
        <v>220</v>
      </c>
      <c r="M12" s="20">
        <v>35</v>
      </c>
      <c r="N12" s="20">
        <v>35214</v>
      </c>
      <c r="O12" s="20" t="s">
        <v>35</v>
      </c>
      <c r="P12" s="20" t="s">
        <v>32</v>
      </c>
      <c r="Q12" s="30" t="s">
        <v>223</v>
      </c>
      <c r="R12" s="17">
        <v>46031</v>
      </c>
      <c r="S12" s="18">
        <v>46031</v>
      </c>
      <c r="T12" s="27">
        <v>46032</v>
      </c>
      <c r="U12" s="27"/>
      <c r="V12" s="29">
        <f t="shared" si="1"/>
        <v>-46031</v>
      </c>
      <c r="W12" s="27"/>
      <c r="X12" s="27"/>
      <c r="Y12" s="27"/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34" s="28" customFormat="1" ht="15.75" customHeight="1" x14ac:dyDescent="0.35">
      <c r="A13" s="20">
        <f t="shared" si="0"/>
        <v>10</v>
      </c>
      <c r="B13" s="20" t="s">
        <v>32</v>
      </c>
      <c r="C13" s="31" t="s">
        <v>225</v>
      </c>
      <c r="D13" s="20" t="s">
        <v>33</v>
      </c>
      <c r="E13" s="20" t="s">
        <v>34</v>
      </c>
      <c r="F13" s="20" t="s">
        <v>37</v>
      </c>
      <c r="G13" s="20" t="s">
        <v>78</v>
      </c>
      <c r="H13" s="20" t="s">
        <v>79</v>
      </c>
      <c r="I13" s="20" t="s">
        <v>80</v>
      </c>
      <c r="J13" s="20" t="s">
        <v>171</v>
      </c>
      <c r="K13" s="20" t="s">
        <v>142</v>
      </c>
      <c r="L13" s="20" t="s">
        <v>195</v>
      </c>
      <c r="M13" s="20">
        <v>35</v>
      </c>
      <c r="N13" s="20" t="s">
        <v>37</v>
      </c>
      <c r="O13" s="20" t="s">
        <v>35</v>
      </c>
      <c r="P13" s="20" t="s">
        <v>236</v>
      </c>
      <c r="Q13" s="20" t="s">
        <v>50</v>
      </c>
      <c r="R13" s="17">
        <v>46042</v>
      </c>
      <c r="S13" s="18"/>
      <c r="T13" s="18"/>
      <c r="U13" s="27"/>
      <c r="V13" s="29">
        <f t="shared" si="1"/>
        <v>0</v>
      </c>
      <c r="W13" s="27"/>
      <c r="X13" s="27"/>
      <c r="Y13" s="27"/>
      <c r="Z13" s="20"/>
      <c r="AA13" s="20"/>
      <c r="AB13" s="20"/>
      <c r="AC13" s="20"/>
      <c r="AD13" s="20"/>
      <c r="AE13" s="20"/>
      <c r="AF13" s="20"/>
      <c r="AG13" s="20"/>
      <c r="AH13" s="20"/>
    </row>
    <row r="14" spans="1:34" s="28" customFormat="1" ht="15.75" customHeight="1" x14ac:dyDescent="0.35">
      <c r="A14" s="20">
        <f t="shared" si="0"/>
        <v>11</v>
      </c>
      <c r="B14" s="20" t="s">
        <v>32</v>
      </c>
      <c r="C14" s="31" t="s">
        <v>225</v>
      </c>
      <c r="D14" s="20" t="s">
        <v>33</v>
      </c>
      <c r="E14" s="20" t="s">
        <v>34</v>
      </c>
      <c r="F14" s="20" t="s">
        <v>37</v>
      </c>
      <c r="G14" s="20" t="s">
        <v>90</v>
      </c>
      <c r="H14" s="20" t="s">
        <v>91</v>
      </c>
      <c r="I14" s="20" t="s">
        <v>92</v>
      </c>
      <c r="J14" s="20" t="s">
        <v>175</v>
      </c>
      <c r="K14" s="20" t="s">
        <v>146</v>
      </c>
      <c r="L14" s="20" t="s">
        <v>198</v>
      </c>
      <c r="M14" s="20">
        <v>35</v>
      </c>
      <c r="N14" s="20" t="s">
        <v>37</v>
      </c>
      <c r="O14" s="20" t="s">
        <v>35</v>
      </c>
      <c r="P14" s="20" t="s">
        <v>236</v>
      </c>
      <c r="Q14" s="20" t="s">
        <v>50</v>
      </c>
      <c r="R14" s="17">
        <v>46042</v>
      </c>
      <c r="S14" s="18"/>
      <c r="T14" s="18"/>
      <c r="U14" s="27"/>
      <c r="V14" s="29">
        <f t="shared" si="1"/>
        <v>0</v>
      </c>
      <c r="W14" s="27"/>
      <c r="X14" s="27"/>
      <c r="Y14" s="27"/>
      <c r="Z14" s="20"/>
      <c r="AA14" s="20"/>
      <c r="AB14" s="20"/>
      <c r="AC14" s="20"/>
      <c r="AD14" s="20"/>
      <c r="AE14" s="20"/>
      <c r="AF14" s="20"/>
      <c r="AG14" s="20"/>
      <c r="AH14" s="20"/>
    </row>
    <row r="15" spans="1:34" s="28" customFormat="1" ht="15.75" customHeight="1" x14ac:dyDescent="0.35">
      <c r="A15" s="20">
        <f t="shared" si="0"/>
        <v>12</v>
      </c>
      <c r="B15" s="20" t="s">
        <v>32</v>
      </c>
      <c r="C15" s="31" t="s">
        <v>225</v>
      </c>
      <c r="D15" s="20" t="s">
        <v>33</v>
      </c>
      <c r="E15" s="20" t="s">
        <v>34</v>
      </c>
      <c r="F15" s="20" t="s">
        <v>37</v>
      </c>
      <c r="G15" s="20" t="s">
        <v>101</v>
      </c>
      <c r="H15" s="20" t="s">
        <v>102</v>
      </c>
      <c r="I15" s="20" t="s">
        <v>103</v>
      </c>
      <c r="J15" s="20" t="s">
        <v>179</v>
      </c>
      <c r="K15" s="20" t="s">
        <v>150</v>
      </c>
      <c r="L15" s="20" t="s">
        <v>202</v>
      </c>
      <c r="M15" s="20">
        <v>35</v>
      </c>
      <c r="N15" s="20" t="s">
        <v>37</v>
      </c>
      <c r="O15" s="20" t="s">
        <v>35</v>
      </c>
      <c r="P15" s="20" t="s">
        <v>208</v>
      </c>
      <c r="Q15" s="20" t="s">
        <v>50</v>
      </c>
      <c r="R15" s="17">
        <v>46045</v>
      </c>
      <c r="S15" s="18"/>
      <c r="T15" s="18"/>
      <c r="U15" s="27"/>
      <c r="V15" s="29">
        <f t="shared" si="1"/>
        <v>0</v>
      </c>
      <c r="W15" s="27"/>
      <c r="X15" s="27"/>
      <c r="Y15" s="27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34" s="28" customFormat="1" ht="15.75" customHeight="1" x14ac:dyDescent="0.35">
      <c r="A16" s="20">
        <f t="shared" si="0"/>
        <v>13</v>
      </c>
      <c r="B16" s="20" t="s">
        <v>32</v>
      </c>
      <c r="C16" s="31" t="s">
        <v>225</v>
      </c>
      <c r="D16" s="20" t="s">
        <v>33</v>
      </c>
      <c r="E16" s="20" t="s">
        <v>34</v>
      </c>
      <c r="F16" s="20" t="s">
        <v>37</v>
      </c>
      <c r="G16" s="20" t="s">
        <v>104</v>
      </c>
      <c r="H16" s="20" t="s">
        <v>105</v>
      </c>
      <c r="I16" s="20" t="s">
        <v>106</v>
      </c>
      <c r="J16" s="20" t="s">
        <v>180</v>
      </c>
      <c r="K16" s="20" t="s">
        <v>151</v>
      </c>
      <c r="L16" s="20" t="s">
        <v>203</v>
      </c>
      <c r="M16" s="20">
        <v>35</v>
      </c>
      <c r="N16" s="20" t="s">
        <v>37</v>
      </c>
      <c r="O16" s="20" t="s">
        <v>35</v>
      </c>
      <c r="P16" s="20" t="s">
        <v>236</v>
      </c>
      <c r="Q16" s="20" t="s">
        <v>50</v>
      </c>
      <c r="R16" s="17">
        <v>46042</v>
      </c>
      <c r="S16" s="18"/>
      <c r="T16" s="18"/>
      <c r="U16" s="27"/>
      <c r="V16" s="29">
        <f t="shared" si="1"/>
        <v>0</v>
      </c>
      <c r="W16" s="27"/>
      <c r="X16" s="27"/>
      <c r="Y16" s="27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1:34" s="28" customFormat="1" ht="15.75" customHeight="1" x14ac:dyDescent="0.35">
      <c r="A17" s="20">
        <f t="shared" si="0"/>
        <v>14</v>
      </c>
      <c r="B17" s="20" t="s">
        <v>32</v>
      </c>
      <c r="C17" s="31" t="s">
        <v>225</v>
      </c>
      <c r="D17" s="20" t="s">
        <v>33</v>
      </c>
      <c r="E17" s="20" t="s">
        <v>34</v>
      </c>
      <c r="F17" s="20" t="s">
        <v>37</v>
      </c>
      <c r="G17" s="20" t="s">
        <v>110</v>
      </c>
      <c r="H17" s="20" t="s">
        <v>111</v>
      </c>
      <c r="I17" s="20" t="s">
        <v>112</v>
      </c>
      <c r="J17" s="20" t="s">
        <v>182</v>
      </c>
      <c r="K17" s="20" t="s">
        <v>153</v>
      </c>
      <c r="L17" s="20" t="s">
        <v>204</v>
      </c>
      <c r="M17" s="20">
        <v>34</v>
      </c>
      <c r="N17" s="20" t="s">
        <v>37</v>
      </c>
      <c r="O17" s="20" t="s">
        <v>35</v>
      </c>
      <c r="P17" s="20" t="s">
        <v>236</v>
      </c>
      <c r="Q17" s="20" t="s">
        <v>50</v>
      </c>
      <c r="R17" s="17">
        <v>46042</v>
      </c>
      <c r="S17" s="18"/>
      <c r="T17" s="18"/>
      <c r="U17" s="27"/>
      <c r="V17" s="29">
        <f t="shared" si="1"/>
        <v>0</v>
      </c>
      <c r="W17" s="27"/>
      <c r="X17" s="27"/>
      <c r="Y17" s="27"/>
      <c r="Z17" s="20"/>
      <c r="AA17" s="20"/>
      <c r="AB17" s="20"/>
      <c r="AC17" s="20"/>
      <c r="AD17" s="20"/>
      <c r="AE17" s="20"/>
      <c r="AF17" s="20"/>
      <c r="AG17" s="20"/>
      <c r="AH17" s="20"/>
    </row>
    <row r="18" spans="1:34" s="28" customFormat="1" ht="15.75" customHeight="1" x14ac:dyDescent="0.35">
      <c r="A18" s="20">
        <f t="shared" si="0"/>
        <v>15</v>
      </c>
      <c r="B18" s="20" t="s">
        <v>32</v>
      </c>
      <c r="C18" s="31" t="s">
        <v>225</v>
      </c>
      <c r="D18" s="20" t="s">
        <v>33</v>
      </c>
      <c r="E18" s="20" t="s">
        <v>34</v>
      </c>
      <c r="F18" s="20" t="s">
        <v>37</v>
      </c>
      <c r="G18" s="20" t="s">
        <v>84</v>
      </c>
      <c r="H18" s="20" t="s">
        <v>85</v>
      </c>
      <c r="I18" s="20" t="s">
        <v>86</v>
      </c>
      <c r="J18" s="20" t="s">
        <v>173</v>
      </c>
      <c r="K18" s="20" t="s">
        <v>144</v>
      </c>
      <c r="L18" s="20" t="s">
        <v>196</v>
      </c>
      <c r="M18" s="20">
        <v>35</v>
      </c>
      <c r="N18" s="20" t="s">
        <v>37</v>
      </c>
      <c r="O18" s="20" t="s">
        <v>35</v>
      </c>
      <c r="P18" s="20" t="s">
        <v>236</v>
      </c>
      <c r="Q18" s="20" t="s">
        <v>50</v>
      </c>
      <c r="R18" s="17">
        <v>46042</v>
      </c>
      <c r="S18" s="18"/>
      <c r="T18" s="18"/>
      <c r="U18" s="27"/>
      <c r="V18" s="29">
        <f t="shared" si="1"/>
        <v>0</v>
      </c>
      <c r="W18" s="27"/>
      <c r="X18" s="27"/>
      <c r="Y18" s="27"/>
      <c r="Z18" s="20"/>
      <c r="AA18" s="20"/>
      <c r="AB18" s="20"/>
      <c r="AC18" s="20"/>
      <c r="AD18" s="20"/>
      <c r="AE18" s="20"/>
      <c r="AF18" s="20"/>
      <c r="AG18" s="20"/>
      <c r="AH18" s="20"/>
    </row>
    <row r="19" spans="1:34" s="28" customFormat="1" ht="15.75" customHeight="1" x14ac:dyDescent="0.35">
      <c r="A19" s="20">
        <f t="shared" si="0"/>
        <v>16</v>
      </c>
      <c r="B19" s="20" t="s">
        <v>32</v>
      </c>
      <c r="C19" s="31" t="s">
        <v>225</v>
      </c>
      <c r="D19" s="20" t="s">
        <v>33</v>
      </c>
      <c r="E19" s="20" t="s">
        <v>34</v>
      </c>
      <c r="F19" s="20" t="s">
        <v>37</v>
      </c>
      <c r="G19" s="20" t="s">
        <v>93</v>
      </c>
      <c r="H19" s="20" t="s">
        <v>94</v>
      </c>
      <c r="I19" s="20" t="s">
        <v>95</v>
      </c>
      <c r="J19" s="20" t="s">
        <v>176</v>
      </c>
      <c r="K19" s="20" t="s">
        <v>147</v>
      </c>
      <c r="L19" s="20" t="s">
        <v>199</v>
      </c>
      <c r="M19" s="20">
        <v>35</v>
      </c>
      <c r="N19" s="20" t="s">
        <v>37</v>
      </c>
      <c r="O19" s="20" t="s">
        <v>35</v>
      </c>
      <c r="P19" s="20" t="s">
        <v>222</v>
      </c>
      <c r="Q19" s="20" t="s">
        <v>50</v>
      </c>
      <c r="R19" s="17">
        <v>46045</v>
      </c>
      <c r="S19" s="18"/>
      <c r="T19" s="18"/>
      <c r="U19" s="27"/>
      <c r="V19" s="29">
        <f t="shared" si="1"/>
        <v>0</v>
      </c>
      <c r="W19" s="27"/>
      <c r="X19" s="27"/>
      <c r="Y19" s="27"/>
      <c r="Z19" s="20"/>
      <c r="AA19" s="20"/>
      <c r="AB19" s="20"/>
      <c r="AC19" s="20"/>
      <c r="AD19" s="20"/>
      <c r="AE19" s="20"/>
      <c r="AF19" s="20"/>
      <c r="AG19" s="20"/>
      <c r="AH19" s="20"/>
    </row>
    <row r="20" spans="1:34" s="28" customFormat="1" ht="15.75" customHeight="1" x14ac:dyDescent="0.35">
      <c r="A20" s="20">
        <f t="shared" si="0"/>
        <v>17</v>
      </c>
      <c r="B20" s="20" t="s">
        <v>32</v>
      </c>
      <c r="C20" s="31" t="s">
        <v>225</v>
      </c>
      <c r="D20" s="20" t="s">
        <v>33</v>
      </c>
      <c r="E20" s="20" t="s">
        <v>34</v>
      </c>
      <c r="F20" s="20" t="s">
        <v>37</v>
      </c>
      <c r="G20" s="20" t="s">
        <v>96</v>
      </c>
      <c r="H20" s="20" t="s">
        <v>97</v>
      </c>
      <c r="I20" s="20" t="s">
        <v>98</v>
      </c>
      <c r="J20" s="20" t="s">
        <v>177</v>
      </c>
      <c r="K20" s="20" t="s">
        <v>148</v>
      </c>
      <c r="L20" s="20" t="s">
        <v>200</v>
      </c>
      <c r="M20" s="20">
        <v>35</v>
      </c>
      <c r="N20" s="20" t="s">
        <v>37</v>
      </c>
      <c r="O20" s="20" t="s">
        <v>35</v>
      </c>
      <c r="P20" s="20" t="s">
        <v>208</v>
      </c>
      <c r="Q20" s="20" t="s">
        <v>50</v>
      </c>
      <c r="R20" s="17">
        <v>46045</v>
      </c>
      <c r="S20" s="18"/>
      <c r="T20" s="18"/>
      <c r="U20" s="27"/>
      <c r="V20" s="29">
        <f t="shared" si="1"/>
        <v>0</v>
      </c>
      <c r="W20" s="27"/>
      <c r="X20" s="27"/>
      <c r="Y20" s="27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:34" s="28" customFormat="1" ht="17.25" customHeight="1" x14ac:dyDescent="0.3">
      <c r="A21" s="20">
        <f t="shared" si="0"/>
        <v>18</v>
      </c>
      <c r="B21" s="20" t="s">
        <v>32</v>
      </c>
      <c r="C21" s="31" t="s">
        <v>225</v>
      </c>
      <c r="D21" s="20" t="s">
        <v>33</v>
      </c>
      <c r="E21" s="20" t="s">
        <v>34</v>
      </c>
      <c r="F21" s="20" t="s">
        <v>37</v>
      </c>
      <c r="G21" s="36" t="s">
        <v>221</v>
      </c>
      <c r="H21" s="20" t="s">
        <v>99</v>
      </c>
      <c r="I21" s="20" t="s">
        <v>100</v>
      </c>
      <c r="J21" s="20" t="s">
        <v>178</v>
      </c>
      <c r="K21" s="20" t="s">
        <v>149</v>
      </c>
      <c r="L21" s="20" t="s">
        <v>201</v>
      </c>
      <c r="M21" s="20">
        <v>35</v>
      </c>
      <c r="N21" s="20" t="s">
        <v>37</v>
      </c>
      <c r="O21" s="20" t="s">
        <v>35</v>
      </c>
      <c r="P21" s="20" t="s">
        <v>208</v>
      </c>
      <c r="Q21" s="20" t="s">
        <v>50</v>
      </c>
      <c r="R21" s="17">
        <v>46045</v>
      </c>
      <c r="S21" s="18"/>
      <c r="T21" s="18"/>
      <c r="U21" s="27"/>
      <c r="V21" s="29">
        <f t="shared" si="1"/>
        <v>0</v>
      </c>
      <c r="W21" s="27"/>
      <c r="X21" s="27"/>
      <c r="Y21" s="27"/>
      <c r="Z21" s="20"/>
      <c r="AA21" s="20"/>
      <c r="AB21" s="20"/>
      <c r="AC21" s="20"/>
      <c r="AD21" s="20"/>
      <c r="AE21" s="20"/>
      <c r="AF21" s="20"/>
      <c r="AG21" s="20"/>
      <c r="AH21" s="20"/>
    </row>
    <row r="22" spans="1:34" s="28" customFormat="1" ht="15.75" customHeight="1" x14ac:dyDescent="0.35">
      <c r="A22" s="20">
        <f t="shared" si="0"/>
        <v>19</v>
      </c>
      <c r="B22" s="20" t="s">
        <v>32</v>
      </c>
      <c r="C22" s="31" t="s">
        <v>225</v>
      </c>
      <c r="D22" s="20" t="s">
        <v>33</v>
      </c>
      <c r="E22" s="20" t="s">
        <v>34</v>
      </c>
      <c r="F22" s="20" t="s">
        <v>37</v>
      </c>
      <c r="G22" s="20" t="s">
        <v>130</v>
      </c>
      <c r="H22" s="20" t="s">
        <v>131</v>
      </c>
      <c r="I22" s="20"/>
      <c r="J22" s="20" t="s">
        <v>189</v>
      </c>
      <c r="K22" s="20" t="s">
        <v>160</v>
      </c>
      <c r="L22" s="20" t="s">
        <v>207</v>
      </c>
      <c r="M22" s="20">
        <v>37</v>
      </c>
      <c r="N22" s="20" t="s">
        <v>37</v>
      </c>
      <c r="O22" s="20" t="s">
        <v>35</v>
      </c>
      <c r="P22" s="20" t="s">
        <v>208</v>
      </c>
      <c r="Q22" s="20" t="s">
        <v>50</v>
      </c>
      <c r="R22" s="17">
        <v>46045</v>
      </c>
      <c r="S22" s="18"/>
      <c r="T22" s="18"/>
      <c r="U22" s="27"/>
      <c r="V22" s="29">
        <f t="shared" si="1"/>
        <v>0</v>
      </c>
      <c r="W22" s="27"/>
      <c r="X22" s="27"/>
      <c r="Y22" s="27"/>
      <c r="Z22" s="20"/>
      <c r="AA22" s="20"/>
      <c r="AB22" s="20"/>
      <c r="AC22" s="20"/>
      <c r="AD22" s="20"/>
      <c r="AE22" s="20"/>
      <c r="AF22" s="20"/>
      <c r="AG22" s="20"/>
      <c r="AH22" s="20"/>
    </row>
    <row r="23" spans="1:34" s="28" customFormat="1" ht="15.75" customHeight="1" x14ac:dyDescent="0.35">
      <c r="A23" s="20">
        <f t="shared" si="0"/>
        <v>20</v>
      </c>
      <c r="B23" s="20" t="s">
        <v>32</v>
      </c>
      <c r="C23" s="31" t="s">
        <v>225</v>
      </c>
      <c r="D23" s="20" t="s">
        <v>33</v>
      </c>
      <c r="E23" s="20" t="s">
        <v>34</v>
      </c>
      <c r="F23" s="20" t="s">
        <v>37</v>
      </c>
      <c r="G23" s="20" t="s">
        <v>72</v>
      </c>
      <c r="H23" s="20" t="s">
        <v>73</v>
      </c>
      <c r="I23" s="20" t="s">
        <v>74</v>
      </c>
      <c r="J23" s="20" t="s">
        <v>169</v>
      </c>
      <c r="K23" s="20" t="s">
        <v>140</v>
      </c>
      <c r="L23" s="20" t="s">
        <v>193</v>
      </c>
      <c r="M23" s="20">
        <v>35</v>
      </c>
      <c r="N23" s="20" t="s">
        <v>37</v>
      </c>
      <c r="O23" s="20" t="s">
        <v>35</v>
      </c>
      <c r="P23" s="20" t="s">
        <v>236</v>
      </c>
      <c r="Q23" s="20" t="s">
        <v>50</v>
      </c>
      <c r="R23" s="17">
        <v>46042</v>
      </c>
      <c r="S23" s="18"/>
      <c r="T23" s="18"/>
      <c r="U23" s="27"/>
      <c r="V23" s="29">
        <f t="shared" si="1"/>
        <v>0</v>
      </c>
      <c r="W23" s="27"/>
      <c r="X23" s="27"/>
      <c r="Y23" s="27"/>
      <c r="Z23" s="20"/>
      <c r="AA23" s="20"/>
      <c r="AB23" s="20"/>
      <c r="AC23" s="20"/>
      <c r="AD23" s="20"/>
      <c r="AE23" s="20"/>
      <c r="AF23" s="20"/>
      <c r="AG23" s="20"/>
      <c r="AH23" s="20"/>
    </row>
    <row r="24" spans="1:34" s="28" customFormat="1" ht="15.75" customHeight="1" x14ac:dyDescent="0.35">
      <c r="A24" s="20">
        <f t="shared" si="0"/>
        <v>21</v>
      </c>
      <c r="B24" s="20" t="s">
        <v>32</v>
      </c>
      <c r="C24" s="31" t="s">
        <v>225</v>
      </c>
      <c r="D24" s="20" t="s">
        <v>33</v>
      </c>
      <c r="E24" s="20" t="s">
        <v>34</v>
      </c>
      <c r="F24" s="20" t="s">
        <v>37</v>
      </c>
      <c r="G24" s="20" t="s">
        <v>113</v>
      </c>
      <c r="H24" s="20" t="s">
        <v>114</v>
      </c>
      <c r="I24" s="20" t="s">
        <v>115</v>
      </c>
      <c r="J24" s="20" t="s">
        <v>183</v>
      </c>
      <c r="K24" s="20" t="s">
        <v>154</v>
      </c>
      <c r="L24" s="20" t="s">
        <v>205</v>
      </c>
      <c r="M24" s="20">
        <v>36</v>
      </c>
      <c r="N24" s="20" t="s">
        <v>37</v>
      </c>
      <c r="O24" s="20" t="s">
        <v>35</v>
      </c>
      <c r="P24" s="20" t="s">
        <v>236</v>
      </c>
      <c r="Q24" s="20" t="s">
        <v>50</v>
      </c>
      <c r="R24" s="17">
        <v>46042</v>
      </c>
      <c r="S24" s="18"/>
      <c r="T24" s="18"/>
      <c r="U24" s="27"/>
      <c r="V24" s="29">
        <f t="shared" si="1"/>
        <v>0</v>
      </c>
      <c r="W24" s="27"/>
      <c r="X24" s="27"/>
      <c r="Y24" s="27"/>
      <c r="Z24" s="20"/>
      <c r="AA24" s="20"/>
      <c r="AB24" s="20"/>
      <c r="AC24" s="20"/>
      <c r="AD24" s="20"/>
      <c r="AE24" s="20"/>
      <c r="AF24" s="20"/>
      <c r="AG24" s="20"/>
      <c r="AH24" s="20"/>
    </row>
    <row r="25" spans="1:34" s="28" customFormat="1" ht="15.75" customHeight="1" x14ac:dyDescent="0.35">
      <c r="A25" s="20">
        <f t="shared" si="0"/>
        <v>22</v>
      </c>
      <c r="B25" s="20" t="s">
        <v>32</v>
      </c>
      <c r="C25" s="31" t="s">
        <v>225</v>
      </c>
      <c r="D25" s="20" t="s">
        <v>33</v>
      </c>
      <c r="E25" s="20" t="s">
        <v>34</v>
      </c>
      <c r="F25" s="20" t="s">
        <v>37</v>
      </c>
      <c r="G25" s="20" t="s">
        <v>116</v>
      </c>
      <c r="H25" s="20" t="s">
        <v>117</v>
      </c>
      <c r="I25" s="20" t="s">
        <v>118</v>
      </c>
      <c r="J25" s="20" t="s">
        <v>184</v>
      </c>
      <c r="K25" s="20" t="s">
        <v>155</v>
      </c>
      <c r="L25" s="20" t="s">
        <v>216</v>
      </c>
      <c r="M25" s="20">
        <v>35</v>
      </c>
      <c r="N25" s="20" t="s">
        <v>37</v>
      </c>
      <c r="O25" s="20" t="s">
        <v>35</v>
      </c>
      <c r="P25" s="20" t="s">
        <v>232</v>
      </c>
      <c r="Q25" s="20" t="s">
        <v>50</v>
      </c>
      <c r="R25" s="17">
        <v>46047</v>
      </c>
      <c r="S25" s="18"/>
      <c r="T25" s="18"/>
      <c r="U25" s="27"/>
      <c r="V25" s="29">
        <f t="shared" si="1"/>
        <v>0</v>
      </c>
      <c r="W25" s="27"/>
      <c r="X25" s="27"/>
      <c r="Y25" s="27"/>
      <c r="Z25" s="20"/>
      <c r="AA25" s="20"/>
      <c r="AB25" s="20"/>
      <c r="AC25" s="20"/>
      <c r="AD25" s="20"/>
      <c r="AE25" s="20"/>
      <c r="AF25" s="20"/>
      <c r="AG25" s="20"/>
      <c r="AH25" s="20"/>
    </row>
    <row r="26" spans="1:34" s="28" customFormat="1" ht="15.75" customHeight="1" x14ac:dyDescent="0.35">
      <c r="A26" s="20">
        <f t="shared" si="0"/>
        <v>23</v>
      </c>
      <c r="B26" s="20" t="s">
        <v>32</v>
      </c>
      <c r="C26" s="31" t="s">
        <v>225</v>
      </c>
      <c r="D26" s="20" t="s">
        <v>33</v>
      </c>
      <c r="E26" s="20" t="s">
        <v>34</v>
      </c>
      <c r="F26" s="20" t="s">
        <v>37</v>
      </c>
      <c r="G26" s="20" t="s">
        <v>119</v>
      </c>
      <c r="H26" s="20" t="s">
        <v>120</v>
      </c>
      <c r="I26" s="20" t="s">
        <v>121</v>
      </c>
      <c r="J26" s="20" t="s">
        <v>185</v>
      </c>
      <c r="K26" s="20" t="s">
        <v>156</v>
      </c>
      <c r="L26" s="20" t="s">
        <v>206</v>
      </c>
      <c r="M26" s="20">
        <v>35</v>
      </c>
      <c r="N26" s="20" t="s">
        <v>37</v>
      </c>
      <c r="O26" s="20" t="s">
        <v>35</v>
      </c>
      <c r="P26" s="20" t="s">
        <v>208</v>
      </c>
      <c r="Q26" s="20" t="s">
        <v>50</v>
      </c>
      <c r="R26" s="17">
        <v>46045</v>
      </c>
      <c r="S26" s="18"/>
      <c r="T26" s="18"/>
      <c r="U26" s="27"/>
      <c r="V26" s="29">
        <f t="shared" si="1"/>
        <v>0</v>
      </c>
      <c r="W26" s="27"/>
      <c r="X26" s="27"/>
      <c r="Y26" s="27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s="28" customFormat="1" ht="15.75" customHeight="1" x14ac:dyDescent="0.35">
      <c r="A27" s="20">
        <f t="shared" si="0"/>
        <v>24</v>
      </c>
      <c r="B27" s="20" t="s">
        <v>32</v>
      </c>
      <c r="C27" s="31" t="s">
        <v>225</v>
      </c>
      <c r="D27" s="20" t="s">
        <v>33</v>
      </c>
      <c r="E27" s="20" t="s">
        <v>34</v>
      </c>
      <c r="F27" s="20" t="s">
        <v>37</v>
      </c>
      <c r="G27" s="20" t="s">
        <v>122</v>
      </c>
      <c r="H27" s="20" t="s">
        <v>123</v>
      </c>
      <c r="I27" s="20" t="s">
        <v>124</v>
      </c>
      <c r="J27" s="20" t="s">
        <v>186</v>
      </c>
      <c r="K27" s="20" t="s">
        <v>157</v>
      </c>
      <c r="L27" s="20" t="s">
        <v>212</v>
      </c>
      <c r="M27" s="20">
        <v>35</v>
      </c>
      <c r="N27" s="20" t="s">
        <v>37</v>
      </c>
      <c r="O27" s="20" t="s">
        <v>35</v>
      </c>
      <c r="P27" s="20" t="s">
        <v>208</v>
      </c>
      <c r="Q27" s="20" t="s">
        <v>50</v>
      </c>
      <c r="R27" s="17">
        <v>46045</v>
      </c>
      <c r="S27" s="18"/>
      <c r="T27" s="18"/>
      <c r="U27" s="27"/>
      <c r="V27" s="29">
        <f t="shared" si="1"/>
        <v>0</v>
      </c>
      <c r="W27" s="27"/>
      <c r="X27" s="27"/>
      <c r="Y27" s="27"/>
      <c r="Z27" s="20"/>
      <c r="AA27" s="20"/>
      <c r="AB27" s="20"/>
      <c r="AC27" s="20"/>
      <c r="AD27" s="20"/>
      <c r="AE27" s="20"/>
      <c r="AF27" s="20"/>
      <c r="AG27" s="20"/>
      <c r="AH27" s="20"/>
    </row>
    <row r="28" spans="1:34" s="28" customFormat="1" ht="15.75" customHeight="1" x14ac:dyDescent="0.35">
      <c r="A28" s="20">
        <f t="shared" si="0"/>
        <v>25</v>
      </c>
      <c r="B28" s="20" t="s">
        <v>32</v>
      </c>
      <c r="C28" s="31" t="s">
        <v>225</v>
      </c>
      <c r="D28" s="20" t="s">
        <v>33</v>
      </c>
      <c r="E28" s="20" t="s">
        <v>34</v>
      </c>
      <c r="F28" s="20" t="s">
        <v>37</v>
      </c>
      <c r="G28" s="20" t="s">
        <v>125</v>
      </c>
      <c r="H28" s="20" t="s">
        <v>126</v>
      </c>
      <c r="I28" s="20"/>
      <c r="J28" s="20" t="s">
        <v>187</v>
      </c>
      <c r="K28" s="20" t="s">
        <v>158</v>
      </c>
      <c r="L28" s="20" t="s">
        <v>218</v>
      </c>
      <c r="M28" s="20">
        <v>30</v>
      </c>
      <c r="N28" s="20" t="s">
        <v>37</v>
      </c>
      <c r="O28" s="20" t="s">
        <v>35</v>
      </c>
      <c r="P28" s="20" t="s">
        <v>208</v>
      </c>
      <c r="Q28" s="20" t="s">
        <v>50</v>
      </c>
      <c r="R28" s="17">
        <v>46045</v>
      </c>
      <c r="S28" s="18"/>
      <c r="T28" s="18"/>
      <c r="U28" s="27"/>
      <c r="V28" s="29">
        <f t="shared" si="1"/>
        <v>0</v>
      </c>
      <c r="W28" s="27"/>
      <c r="X28" s="27"/>
      <c r="Y28" s="27"/>
      <c r="Z28" s="20"/>
      <c r="AA28" s="20"/>
      <c r="AB28" s="20"/>
      <c r="AC28" s="20"/>
      <c r="AD28" s="20"/>
      <c r="AE28" s="20"/>
      <c r="AF28" s="20"/>
      <c r="AG28" s="20"/>
      <c r="AH28" s="20"/>
    </row>
    <row r="29" spans="1:34" s="28" customFormat="1" ht="15.75" customHeight="1" x14ac:dyDescent="0.35">
      <c r="A29" s="20">
        <f t="shared" si="0"/>
        <v>26</v>
      </c>
      <c r="B29" s="20" t="s">
        <v>32</v>
      </c>
      <c r="C29" s="31" t="s">
        <v>225</v>
      </c>
      <c r="D29" s="20" t="s">
        <v>33</v>
      </c>
      <c r="E29" s="20" t="s">
        <v>34</v>
      </c>
      <c r="F29" s="20" t="s">
        <v>37</v>
      </c>
      <c r="G29" s="20" t="s">
        <v>127</v>
      </c>
      <c r="H29" s="20" t="s">
        <v>128</v>
      </c>
      <c r="I29" s="20" t="s">
        <v>129</v>
      </c>
      <c r="J29" s="20" t="s">
        <v>188</v>
      </c>
      <c r="K29" s="20" t="s">
        <v>159</v>
      </c>
      <c r="L29" s="20" t="s">
        <v>213</v>
      </c>
      <c r="M29" s="20">
        <v>35</v>
      </c>
      <c r="N29" s="20" t="s">
        <v>37</v>
      </c>
      <c r="O29" s="20" t="s">
        <v>35</v>
      </c>
      <c r="P29" s="20" t="s">
        <v>208</v>
      </c>
      <c r="Q29" s="20" t="s">
        <v>50</v>
      </c>
      <c r="R29" s="17">
        <v>46045</v>
      </c>
      <c r="S29" s="18"/>
      <c r="T29" s="18"/>
      <c r="U29" s="27"/>
      <c r="V29" s="29">
        <f t="shared" si="1"/>
        <v>0</v>
      </c>
      <c r="W29" s="27"/>
      <c r="X29" s="27"/>
      <c r="Y29" s="27"/>
      <c r="Z29" s="20"/>
      <c r="AA29" s="20"/>
      <c r="AB29" s="20"/>
      <c r="AC29" s="20"/>
      <c r="AD29" s="20"/>
      <c r="AE29" s="20"/>
      <c r="AF29" s="20"/>
      <c r="AG29" s="20"/>
      <c r="AH29" s="20"/>
    </row>
    <row r="30" spans="1:34" s="28" customFormat="1" ht="15.75" customHeight="1" x14ac:dyDescent="0.35">
      <c r="A30" s="20">
        <f t="shared" si="0"/>
        <v>27</v>
      </c>
      <c r="B30" s="20" t="s">
        <v>32</v>
      </c>
      <c r="C30" s="31" t="s">
        <v>225</v>
      </c>
      <c r="D30" s="20" t="s">
        <v>33</v>
      </c>
      <c r="E30" s="20" t="s">
        <v>34</v>
      </c>
      <c r="F30" s="20" t="s">
        <v>37</v>
      </c>
      <c r="G30" s="20" t="s">
        <v>62</v>
      </c>
      <c r="H30" s="20" t="s">
        <v>63</v>
      </c>
      <c r="I30" s="20" t="s">
        <v>64</v>
      </c>
      <c r="J30" s="20" t="s">
        <v>165</v>
      </c>
      <c r="K30" s="20" t="s">
        <v>136</v>
      </c>
      <c r="L30" s="20" t="s">
        <v>219</v>
      </c>
      <c r="M30" s="20">
        <v>35</v>
      </c>
      <c r="N30" s="20" t="s">
        <v>37</v>
      </c>
      <c r="O30" s="20" t="s">
        <v>35</v>
      </c>
      <c r="P30" s="20" t="s">
        <v>222</v>
      </c>
      <c r="Q30" s="20" t="s">
        <v>50</v>
      </c>
      <c r="R30" s="17">
        <v>46046</v>
      </c>
      <c r="S30" s="18"/>
      <c r="T30" s="18"/>
      <c r="U30" s="27"/>
      <c r="V30" s="29">
        <f t="shared" si="1"/>
        <v>0</v>
      </c>
      <c r="W30" s="27"/>
      <c r="X30" s="27"/>
      <c r="Y30" s="27"/>
      <c r="Z30" s="20"/>
      <c r="AA30" s="20"/>
      <c r="AB30" s="20"/>
      <c r="AC30" s="20"/>
      <c r="AD30" s="20"/>
      <c r="AE30" s="20"/>
      <c r="AF30" s="20"/>
      <c r="AG30" s="20"/>
      <c r="AH30" s="20"/>
    </row>
    <row r="31" spans="1:34" s="28" customFormat="1" ht="15.75" customHeight="1" x14ac:dyDescent="0.35">
      <c r="A31" s="20">
        <f t="shared" si="0"/>
        <v>28</v>
      </c>
      <c r="B31" s="20" t="s">
        <v>32</v>
      </c>
      <c r="C31" s="31" t="s">
        <v>225</v>
      </c>
      <c r="D31" s="20" t="s">
        <v>33</v>
      </c>
      <c r="E31" s="20" t="s">
        <v>34</v>
      </c>
      <c r="F31" s="20" t="s">
        <v>37</v>
      </c>
      <c r="G31" s="20" t="s">
        <v>87</v>
      </c>
      <c r="H31" s="20" t="s">
        <v>88</v>
      </c>
      <c r="I31" s="20" t="s">
        <v>89</v>
      </c>
      <c r="J31" s="20" t="s">
        <v>174</v>
      </c>
      <c r="K31" s="20" t="s">
        <v>145</v>
      </c>
      <c r="L31" s="20" t="s">
        <v>197</v>
      </c>
      <c r="M31" s="20">
        <v>35</v>
      </c>
      <c r="N31" s="20" t="s">
        <v>37</v>
      </c>
      <c r="O31" s="20" t="s">
        <v>35</v>
      </c>
      <c r="P31" s="20" t="s">
        <v>222</v>
      </c>
      <c r="Q31" s="20" t="s">
        <v>50</v>
      </c>
      <c r="R31" s="17">
        <v>46046</v>
      </c>
      <c r="S31" s="18"/>
      <c r="T31" s="18"/>
      <c r="U31" s="27"/>
      <c r="V31" s="29">
        <f t="shared" si="1"/>
        <v>0</v>
      </c>
      <c r="W31" s="27"/>
      <c r="X31" s="27"/>
      <c r="Y31" s="27"/>
      <c r="Z31" s="20"/>
      <c r="AA31" s="20"/>
      <c r="AB31" s="20"/>
      <c r="AC31" s="20"/>
      <c r="AD31" s="20"/>
      <c r="AE31" s="20"/>
      <c r="AF31" s="20"/>
      <c r="AG31" s="20"/>
      <c r="AH31" s="20"/>
    </row>
    <row r="32" spans="1:34" s="28" customFormat="1" ht="15.75" customHeight="1" x14ac:dyDescent="0.35">
      <c r="A32" s="20">
        <f t="shared" si="0"/>
        <v>29</v>
      </c>
      <c r="B32" s="20" t="s">
        <v>32</v>
      </c>
      <c r="C32" s="31" t="s">
        <v>225</v>
      </c>
      <c r="D32" s="20" t="s">
        <v>33</v>
      </c>
      <c r="E32" s="20" t="s">
        <v>34</v>
      </c>
      <c r="F32" s="20" t="s">
        <v>37</v>
      </c>
      <c r="G32" s="20" t="s">
        <v>75</v>
      </c>
      <c r="H32" s="20" t="s">
        <v>76</v>
      </c>
      <c r="I32" s="20" t="s">
        <v>77</v>
      </c>
      <c r="J32" s="20" t="s">
        <v>170</v>
      </c>
      <c r="K32" s="20" t="s">
        <v>141</v>
      </c>
      <c r="L32" s="20" t="s">
        <v>194</v>
      </c>
      <c r="M32" s="20">
        <v>35</v>
      </c>
      <c r="N32" s="20" t="s">
        <v>37</v>
      </c>
      <c r="O32" s="20" t="s">
        <v>35</v>
      </c>
      <c r="P32" s="20" t="s">
        <v>222</v>
      </c>
      <c r="Q32" s="20" t="s">
        <v>50</v>
      </c>
      <c r="R32" s="17">
        <v>46046</v>
      </c>
      <c r="S32" s="18"/>
      <c r="T32" s="18"/>
      <c r="U32" s="27"/>
      <c r="V32" s="29">
        <f t="shared" si="1"/>
        <v>0</v>
      </c>
      <c r="W32" s="27"/>
      <c r="X32" s="27"/>
      <c r="Y32" s="27"/>
      <c r="Z32" s="20"/>
      <c r="AA32" s="20"/>
      <c r="AB32" s="20"/>
      <c r="AC32" s="20"/>
      <c r="AD32" s="20"/>
      <c r="AE32" s="20"/>
      <c r="AF32" s="20"/>
      <c r="AG32" s="20"/>
      <c r="AH32" s="20"/>
    </row>
    <row r="33" spans="1:34" s="28" customFormat="1" ht="15.75" customHeight="1" x14ac:dyDescent="0.35">
      <c r="A33" s="20">
        <f t="shared" si="0"/>
        <v>30</v>
      </c>
      <c r="B33" s="20" t="s">
        <v>32</v>
      </c>
      <c r="C33" s="31" t="s">
        <v>225</v>
      </c>
      <c r="D33" s="20" t="s">
        <v>33</v>
      </c>
      <c r="E33" s="20" t="s">
        <v>34</v>
      </c>
      <c r="F33" s="20" t="s">
        <v>37</v>
      </c>
      <c r="G33" s="20" t="s">
        <v>107</v>
      </c>
      <c r="H33" s="20" t="s">
        <v>108</v>
      </c>
      <c r="I33" s="20" t="s">
        <v>109</v>
      </c>
      <c r="J33" s="20" t="s">
        <v>181</v>
      </c>
      <c r="K33" s="20" t="s">
        <v>152</v>
      </c>
      <c r="L33" s="20" t="s">
        <v>217</v>
      </c>
      <c r="M33" s="20">
        <v>35</v>
      </c>
      <c r="N33" s="20" t="s">
        <v>37</v>
      </c>
      <c r="O33" s="20" t="s">
        <v>35</v>
      </c>
      <c r="P33" s="20" t="s">
        <v>222</v>
      </c>
      <c r="Q33" s="20" t="s">
        <v>50</v>
      </c>
      <c r="R33" s="17">
        <v>46046</v>
      </c>
      <c r="S33" s="18"/>
      <c r="T33" s="18"/>
      <c r="U33" s="27"/>
      <c r="V33" s="29">
        <f t="shared" si="1"/>
        <v>0</v>
      </c>
      <c r="W33" s="27"/>
      <c r="X33" s="27"/>
      <c r="Y33" s="27"/>
      <c r="Z33" s="20"/>
      <c r="AA33" s="20"/>
      <c r="AB33" s="20"/>
      <c r="AC33" s="20"/>
      <c r="AD33" s="20"/>
      <c r="AE33" s="20"/>
      <c r="AF33" s="20"/>
      <c r="AG33" s="20"/>
      <c r="AH33" s="20"/>
    </row>
    <row r="36" spans="1:34" ht="51.65" customHeight="1" x14ac:dyDescent="0.3">
      <c r="A36" s="45" t="s">
        <v>215</v>
      </c>
      <c r="B36" s="45"/>
      <c r="C36" s="45"/>
      <c r="D36" s="45"/>
      <c r="E36" s="45"/>
    </row>
  </sheetData>
  <autoFilter ref="A3:AH33" xr:uid="{D6299FDD-3F30-473B-8199-09E64701524E}">
    <sortState ref="A11:AH33">
      <sortCondition ref="R3:R23"/>
    </sortState>
  </autoFilter>
  <mergeCells count="23">
    <mergeCell ref="A36:E36"/>
    <mergeCell ref="A1:A3"/>
    <mergeCell ref="B1:I1"/>
    <mergeCell ref="B2:B3"/>
    <mergeCell ref="C2:C3"/>
    <mergeCell ref="D2:D3"/>
    <mergeCell ref="E2:E3"/>
    <mergeCell ref="F2:F3"/>
    <mergeCell ref="G2:G3"/>
    <mergeCell ref="H2:H3"/>
    <mergeCell ref="I2:I3"/>
    <mergeCell ref="AE2:AG2"/>
    <mergeCell ref="L2:L3"/>
    <mergeCell ref="M2:M3"/>
    <mergeCell ref="N2:N3"/>
    <mergeCell ref="O2:O3"/>
    <mergeCell ref="P2:P3"/>
    <mergeCell ref="Q2:Q3"/>
    <mergeCell ref="S2:V2"/>
    <mergeCell ref="W2:X2"/>
    <mergeCell ref="Y2:Z2"/>
    <mergeCell ref="AA2:AB2"/>
    <mergeCell ref="AC2:AD2"/>
  </mergeCells>
  <conditionalFormatting sqref="G22:G1048576 G1:G3 G5:G20">
    <cfRule type="duplicateValues" dxfId="31" priority="34"/>
  </conditionalFormatting>
  <conditionalFormatting sqref="G21">
    <cfRule type="duplicateValues" dxfId="30" priority="23"/>
  </conditionalFormatting>
  <conditionalFormatting sqref="G34:G1048576 G1:G3">
    <cfRule type="duplicateValues" dxfId="29" priority="90"/>
    <cfRule type="duplicateValues" dxfId="28" priority="578"/>
    <cfRule type="duplicateValues" dxfId="27" priority="580"/>
    <cfRule type="duplicateValues" dxfId="26" priority="1318"/>
    <cfRule type="duplicateValues" dxfId="25" priority="1319"/>
    <cfRule type="duplicateValues" dxfId="24" priority="1320"/>
    <cfRule type="duplicateValues" dxfId="23" priority="1324"/>
    <cfRule type="duplicateValues" dxfId="22" priority="2488"/>
  </conditionalFormatting>
  <conditionalFormatting sqref="G34:G1048576">
    <cfRule type="duplicateValues" dxfId="21" priority="638"/>
  </conditionalFormatting>
  <conditionalFormatting sqref="G4">
    <cfRule type="duplicateValues" dxfId="20" priority="6"/>
  </conditionalFormatting>
  <conditionalFormatting sqref="G4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  <cfRule type="duplicateValues" dxfId="13" priority="13"/>
  </conditionalFormatting>
  <conditionalFormatting sqref="H4">
    <cfRule type="duplicateValues" dxfId="12" priority="14"/>
    <cfRule type="duplicateValues" dxfId="11" priority="15"/>
    <cfRule type="duplicateValues" dxfId="10" priority="16"/>
  </conditionalFormatting>
  <conditionalFormatting sqref="H4:I4">
    <cfRule type="duplicateValues" dxfId="9" priority="17"/>
  </conditionalFormatting>
  <conditionalFormatting sqref="I4">
    <cfRule type="duplicateValues" dxfId="8" priority="18"/>
    <cfRule type="duplicateValues" dxfId="7" priority="19"/>
    <cfRule type="duplicateValues" dxfId="6" priority="20"/>
  </conditionalFormatting>
  <conditionalFormatting sqref="K4">
    <cfRule type="duplicateValues" dxfId="5" priority="21"/>
    <cfRule type="duplicateValues" dxfId="4" priority="22"/>
  </conditionalFormatting>
  <conditionalFormatting sqref="G1:G1048576">
    <cfRule type="duplicateValues" dxfId="3" priority="4"/>
  </conditionalFormatting>
  <conditionalFormatting sqref="G38:G1048576">
    <cfRule type="duplicateValues" dxfId="2" priority="3"/>
  </conditionalFormatting>
  <conditionalFormatting sqref="G39:G1048576">
    <cfRule type="duplicateValues" dxfId="1" priority="2"/>
  </conditionalFormatting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J14:J22 J10:J12 J23:J33 J5: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9C1A-72B3-4E75-A167-A87AF5975D5B}">
  <dimension ref="D5:Q7"/>
  <sheetViews>
    <sheetView topLeftCell="A4" workbookViewId="0">
      <selection activeCell="B22" sqref="B22:B23"/>
    </sheetView>
  </sheetViews>
  <sheetFormatPr defaultRowHeight="14.5" x14ac:dyDescent="0.35"/>
  <cols>
    <col min="4" max="4" width="3.54296875" bestFit="1" customWidth="1"/>
    <col min="5" max="6" width="10.453125" bestFit="1" customWidth="1"/>
    <col min="7" max="7" width="10.81640625" customWidth="1"/>
    <col min="8" max="8" width="13.81640625" bestFit="1" customWidth="1"/>
    <col min="9" max="9" width="11.54296875" customWidth="1"/>
    <col min="10" max="10" width="6.81640625" bestFit="1" customWidth="1"/>
    <col min="11" max="11" width="16.453125" customWidth="1"/>
    <col min="12" max="12" width="9.453125" bestFit="1" customWidth="1"/>
    <col min="13" max="13" width="19.7265625" customWidth="1"/>
    <col min="14" max="14" width="6.54296875" bestFit="1" customWidth="1"/>
    <col min="15" max="15" width="7.453125" bestFit="1" customWidth="1"/>
    <col min="16" max="16" width="9.54296875" bestFit="1" customWidth="1"/>
    <col min="17" max="17" width="10.81640625" bestFit="1" customWidth="1"/>
  </cols>
  <sheetData>
    <row r="5" spans="4:17" ht="43.5" x14ac:dyDescent="0.35">
      <c r="D5" s="21" t="s">
        <v>38</v>
      </c>
      <c r="E5" s="21" t="s">
        <v>39</v>
      </c>
      <c r="F5" s="22" t="s">
        <v>40</v>
      </c>
      <c r="G5" s="22" t="s">
        <v>41</v>
      </c>
      <c r="H5" s="22" t="s">
        <v>36</v>
      </c>
      <c r="I5" s="22" t="s">
        <v>42</v>
      </c>
      <c r="J5" s="22" t="s">
        <v>43</v>
      </c>
      <c r="K5" s="22" t="s">
        <v>44</v>
      </c>
      <c r="L5" s="22" t="s">
        <v>45</v>
      </c>
      <c r="M5" s="22" t="s">
        <v>46</v>
      </c>
      <c r="N5" s="22" t="s">
        <v>47</v>
      </c>
      <c r="O5" s="22" t="s">
        <v>48</v>
      </c>
      <c r="P5" s="21" t="s">
        <v>30</v>
      </c>
      <c r="Q5" s="21" t="s">
        <v>49</v>
      </c>
    </row>
    <row r="6" spans="4:17" x14ac:dyDescent="0.35">
      <c r="D6" s="16">
        <v>1</v>
      </c>
      <c r="E6" s="21" t="s">
        <v>214</v>
      </c>
      <c r="F6" s="23">
        <v>30</v>
      </c>
      <c r="G6" s="16">
        <v>0</v>
      </c>
      <c r="H6" s="16">
        <v>9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f>SUM(G6:P6)</f>
        <v>9</v>
      </c>
    </row>
    <row r="7" spans="4:17" x14ac:dyDescent="0.35">
      <c r="D7" s="24"/>
      <c r="E7" s="24"/>
      <c r="F7" s="24"/>
      <c r="G7" s="16"/>
      <c r="H7" s="24"/>
      <c r="I7" s="24"/>
      <c r="J7" s="24"/>
      <c r="K7" s="24"/>
      <c r="L7" s="24"/>
      <c r="M7" s="24"/>
      <c r="N7" s="24"/>
      <c r="O7" s="25">
        <f>SUM(O6:O6)</f>
        <v>0</v>
      </c>
      <c r="P7" s="26">
        <f>SUM(P6:P6)</f>
        <v>0</v>
      </c>
      <c r="Q7" s="25">
        <f>SUM(Q6:Q6)</f>
        <v>9</v>
      </c>
    </row>
  </sheetData>
  <pageMargins left="0.7" right="0.7" top="0.75" bottom="0.75" header="0.3" footer="0.3"/>
  <ignoredErrors>
    <ignoredError sqref="Q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TFM - DAR January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Domtila -tracking</dc:creator>
  <cp:lastModifiedBy>Sreehari Syamakalla</cp:lastModifiedBy>
  <cp:lastPrinted>2025-11-21T06:22:16Z</cp:lastPrinted>
  <dcterms:created xsi:type="dcterms:W3CDTF">2025-11-17T08:29:56Z</dcterms:created>
  <dcterms:modified xsi:type="dcterms:W3CDTF">2026-01-20T05:14:22Z</dcterms:modified>
</cp:coreProperties>
</file>