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um\Dropbox\Dropbox\CLIENTS REPORTS\_CURRENT REPORTS\IMPORT REPORTS\"/>
    </mc:Choice>
  </mc:AlternateContent>
  <xr:revisionPtr revIDLastSave="0" documentId="13_ncr:1_{C7AEC4DD-07C0-45EF-988D-10C79B2F68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olwezi-696048438 " sheetId="4" r:id="rId1"/>
    <sheet name="Kolwezi-696066666" sheetId="2" r:id="rId2"/>
    <sheet name="Likasi-696048438" sheetId="1" r:id="rId3"/>
    <sheet name="Summary" sheetId="3" r:id="rId4"/>
  </sheets>
  <externalReferences>
    <externalReference r:id="rId5"/>
  </externalReferences>
  <definedNames>
    <definedName name="_xlnm._FilterDatabase" localSheetId="0" hidden="1">'Kolwezi-696048438 '!$A$1:$AO$33</definedName>
    <definedName name="_xlnm._FilterDatabase" localSheetId="2" hidden="1">'Likasi-696048438'!$A$1:$AO$87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" i="1" l="1"/>
  <c r="AN2" i="4"/>
  <c r="A9" i="4"/>
  <c r="A7" i="4"/>
  <c r="A4" i="4"/>
  <c r="A8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I10" i="4"/>
  <c r="AK10" i="4" s="1"/>
  <c r="AM10" i="4" s="1"/>
  <c r="AD8" i="4"/>
  <c r="AF8" i="4" s="1"/>
  <c r="AH8" i="4" s="1"/>
  <c r="AI8" i="4"/>
  <c r="AK8" i="4" s="1"/>
  <c r="AM8" i="4" s="1"/>
  <c r="AD12" i="4"/>
  <c r="AF12" i="4" s="1"/>
  <c r="AH12" i="4" s="1"/>
  <c r="AI12" i="4"/>
  <c r="AK12" i="4" s="1"/>
  <c r="AM12" i="4" s="1"/>
  <c r="AO12" i="4" s="1"/>
  <c r="A5" i="4"/>
  <c r="A6" i="4"/>
  <c r="AO8" i="4" l="1"/>
  <c r="L6" i="3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D28" i="4" l="1"/>
  <c r="AF28" i="4" s="1"/>
  <c r="AH28" i="4" s="1"/>
  <c r="AI28" i="4"/>
  <c r="AK28" i="4" s="1"/>
  <c r="AM28" i="4" s="1"/>
  <c r="AD29" i="4"/>
  <c r="AF29" i="4" s="1"/>
  <c r="AH29" i="4" s="1"/>
  <c r="AI29" i="4"/>
  <c r="AK29" i="4" s="1"/>
  <c r="AM29" i="4" s="1"/>
  <c r="AD30" i="4"/>
  <c r="AF30" i="4" s="1"/>
  <c r="AH30" i="4" s="1"/>
  <c r="AI30" i="4"/>
  <c r="AK30" i="4" s="1"/>
  <c r="AM30" i="4" s="1"/>
  <c r="AD31" i="4"/>
  <c r="AF31" i="4" s="1"/>
  <c r="AH31" i="4" s="1"/>
  <c r="AI31" i="4"/>
  <c r="AK31" i="4" s="1"/>
  <c r="AM31" i="4" s="1"/>
  <c r="L5" i="3"/>
  <c r="AI7" i="4"/>
  <c r="AK7" i="4" s="1"/>
  <c r="AM7" i="4" s="1"/>
  <c r="AD7" i="4"/>
  <c r="AF7" i="4" s="1"/>
  <c r="AH7" i="4" s="1"/>
  <c r="AI15" i="4"/>
  <c r="AK15" i="4" s="1"/>
  <c r="AM15" i="4" s="1"/>
  <c r="AD15" i="4"/>
  <c r="AF15" i="4" s="1"/>
  <c r="AH15" i="4" s="1"/>
  <c r="AI14" i="4"/>
  <c r="AK14" i="4" s="1"/>
  <c r="AM14" i="4" s="1"/>
  <c r="AO14" i="4" s="1"/>
  <c r="AD14" i="4"/>
  <c r="AF14" i="4" s="1"/>
  <c r="AH14" i="4" s="1"/>
  <c r="AI13" i="4"/>
  <c r="AK13" i="4" s="1"/>
  <c r="AM13" i="4" s="1"/>
  <c r="AD13" i="4"/>
  <c r="AF13" i="4" s="1"/>
  <c r="AH13" i="4" s="1"/>
  <c r="AI16" i="4"/>
  <c r="AK16" i="4" s="1"/>
  <c r="AM16" i="4" s="1"/>
  <c r="AD16" i="4"/>
  <c r="AF16" i="4" s="1"/>
  <c r="AH16" i="4" s="1"/>
  <c r="AI20" i="4"/>
  <c r="AK20" i="4" s="1"/>
  <c r="AM20" i="4" s="1"/>
  <c r="AD20" i="4"/>
  <c r="AF20" i="4" s="1"/>
  <c r="AH20" i="4" s="1"/>
  <c r="AI6" i="4"/>
  <c r="AK6" i="4" s="1"/>
  <c r="AM6" i="4" s="1"/>
  <c r="AD6" i="4"/>
  <c r="AF6" i="4" s="1"/>
  <c r="AH6" i="4" s="1"/>
  <c r="AI17" i="4"/>
  <c r="AK17" i="4" s="1"/>
  <c r="AM17" i="4" s="1"/>
  <c r="AD17" i="4"/>
  <c r="AF17" i="4" s="1"/>
  <c r="AH17" i="4" s="1"/>
  <c r="AI22" i="4"/>
  <c r="AK22" i="4" s="1"/>
  <c r="AM22" i="4" s="1"/>
  <c r="AD22" i="4"/>
  <c r="AF22" i="4" s="1"/>
  <c r="AH22" i="4" s="1"/>
  <c r="AI23" i="4"/>
  <c r="AK23" i="4" s="1"/>
  <c r="AM23" i="4" s="1"/>
  <c r="AD23" i="4"/>
  <c r="AF23" i="4" s="1"/>
  <c r="AH23" i="4" s="1"/>
  <c r="AI21" i="4"/>
  <c r="AK21" i="4" s="1"/>
  <c r="AM21" i="4" s="1"/>
  <c r="AD21" i="4"/>
  <c r="AF21" i="4" s="1"/>
  <c r="AH21" i="4" s="1"/>
  <c r="AI18" i="4"/>
  <c r="AK18" i="4" s="1"/>
  <c r="AM18" i="4" s="1"/>
  <c r="AD18" i="4"/>
  <c r="AF18" i="4" s="1"/>
  <c r="AH18" i="4" s="1"/>
  <c r="AD10" i="4"/>
  <c r="AF10" i="4" s="1"/>
  <c r="AH10" i="4" s="1"/>
  <c r="AO10" i="4" s="1"/>
  <c r="AI24" i="4"/>
  <c r="AK24" i="4" s="1"/>
  <c r="AM24" i="4" s="1"/>
  <c r="AD24" i="4"/>
  <c r="AF24" i="4" s="1"/>
  <c r="AH24" i="4" s="1"/>
  <c r="AI27" i="4"/>
  <c r="AK27" i="4" s="1"/>
  <c r="AM27" i="4" s="1"/>
  <c r="AD27" i="4"/>
  <c r="AF27" i="4" s="1"/>
  <c r="AH27" i="4" s="1"/>
  <c r="AI26" i="4"/>
  <c r="AK26" i="4" s="1"/>
  <c r="AM26" i="4" s="1"/>
  <c r="AD26" i="4"/>
  <c r="AF26" i="4" s="1"/>
  <c r="AH26" i="4" s="1"/>
  <c r="AI33" i="4"/>
  <c r="AK33" i="4" s="1"/>
  <c r="AM33" i="4" s="1"/>
  <c r="AD33" i="4"/>
  <c r="AF33" i="4" s="1"/>
  <c r="AH33" i="4" s="1"/>
  <c r="AI32" i="4"/>
  <c r="AK32" i="4" s="1"/>
  <c r="AM32" i="4" s="1"/>
  <c r="AD32" i="4"/>
  <c r="AF32" i="4" s="1"/>
  <c r="AH32" i="4" s="1"/>
  <c r="AI25" i="4"/>
  <c r="AK25" i="4" s="1"/>
  <c r="AM25" i="4" s="1"/>
  <c r="AD25" i="4"/>
  <c r="AF25" i="4" s="1"/>
  <c r="AH25" i="4" s="1"/>
  <c r="AI5" i="4"/>
  <c r="AK5" i="4" s="1"/>
  <c r="AM5" i="4" s="1"/>
  <c r="AD5" i="4"/>
  <c r="AF5" i="4" s="1"/>
  <c r="AH5" i="4" s="1"/>
  <c r="AI19" i="4"/>
  <c r="AK19" i="4" s="1"/>
  <c r="AM19" i="4" s="1"/>
  <c r="AD19" i="4"/>
  <c r="AF19" i="4" s="1"/>
  <c r="AH19" i="4" s="1"/>
  <c r="AI9" i="4"/>
  <c r="AK9" i="4" s="1"/>
  <c r="AM9" i="4" s="1"/>
  <c r="AD9" i="4"/>
  <c r="AF9" i="4" s="1"/>
  <c r="AH9" i="4" s="1"/>
  <c r="AI4" i="4"/>
  <c r="AK4" i="4" s="1"/>
  <c r="AM4" i="4" s="1"/>
  <c r="AD4" i="4"/>
  <c r="AF4" i="4" s="1"/>
  <c r="AH4" i="4" s="1"/>
  <c r="AI11" i="4"/>
  <c r="AK11" i="4" s="1"/>
  <c r="AM11" i="4" s="1"/>
  <c r="AD11" i="4"/>
  <c r="AF11" i="4" s="1"/>
  <c r="AH11" i="4" s="1"/>
  <c r="J1" i="4"/>
  <c r="I1" i="4"/>
  <c r="H1" i="4"/>
  <c r="E1" i="4"/>
  <c r="AO11" i="4" l="1"/>
  <c r="AH2" i="4"/>
  <c r="AO15" i="4"/>
  <c r="AO13" i="4"/>
  <c r="AM2" i="4"/>
  <c r="AO16" i="4"/>
  <c r="AO28" i="4"/>
  <c r="AO29" i="4"/>
  <c r="AO31" i="4"/>
  <c r="AO30" i="4"/>
  <c r="AO20" i="4"/>
  <c r="AO27" i="4"/>
  <c r="AO32" i="4"/>
  <c r="AO5" i="4"/>
  <c r="AO21" i="4"/>
  <c r="AO17" i="4"/>
  <c r="AO19" i="4"/>
  <c r="AO24" i="4"/>
  <c r="AO23" i="4"/>
  <c r="AO26" i="4"/>
  <c r="AO4" i="4"/>
  <c r="AO9" i="4"/>
  <c r="AO18" i="4"/>
  <c r="AO33" i="4"/>
  <c r="AO22" i="4"/>
  <c r="AO7" i="4"/>
  <c r="AO25" i="4"/>
  <c r="AO6" i="4"/>
  <c r="AO2" i="4" l="1"/>
  <c r="AI21" i="1" l="1"/>
  <c r="AK21" i="1" s="1"/>
  <c r="AM21" i="1" s="1"/>
  <c r="AD21" i="1"/>
  <c r="AF21" i="1" s="1"/>
  <c r="AH21" i="1" s="1"/>
  <c r="AI27" i="1"/>
  <c r="AK27" i="1" s="1"/>
  <c r="AM27" i="1" s="1"/>
  <c r="AD27" i="1"/>
  <c r="AF27" i="1" s="1"/>
  <c r="AH27" i="1" s="1"/>
  <c r="E1" i="2"/>
  <c r="AI29" i="1"/>
  <c r="AK29" i="1" s="1"/>
  <c r="AM29" i="1" s="1"/>
  <c r="AD29" i="1"/>
  <c r="AF29" i="1" s="1"/>
  <c r="AH29" i="1" s="1"/>
  <c r="AI28" i="1"/>
  <c r="AK28" i="1" s="1"/>
  <c r="AM28" i="1" s="1"/>
  <c r="AD28" i="1"/>
  <c r="AF28" i="1" s="1"/>
  <c r="AH28" i="1" s="1"/>
  <c r="AI31" i="1"/>
  <c r="AK31" i="1" s="1"/>
  <c r="AM31" i="1" s="1"/>
  <c r="AD31" i="1"/>
  <c r="AF31" i="1" s="1"/>
  <c r="AH31" i="1" s="1"/>
  <c r="AI30" i="1"/>
  <c r="AK30" i="1" s="1"/>
  <c r="AM30" i="1" s="1"/>
  <c r="AD30" i="1"/>
  <c r="AF30" i="1" s="1"/>
  <c r="AH30" i="1" s="1"/>
  <c r="A5" i="1"/>
  <c r="A4" i="1"/>
  <c r="AO21" i="1" l="1"/>
  <c r="AO27" i="1"/>
  <c r="AO29" i="1"/>
  <c r="AO28" i="1"/>
  <c r="AO30" i="1"/>
  <c r="AO31" i="1"/>
  <c r="AD20" i="1" l="1"/>
  <c r="AF20" i="1" s="1"/>
  <c r="AH20" i="1" s="1"/>
  <c r="H85" i="1"/>
  <c r="H87" i="1" s="1"/>
  <c r="AD32" i="1"/>
  <c r="AF32" i="1" s="1"/>
  <c r="AH32" i="1" s="1"/>
  <c r="AI32" i="1"/>
  <c r="AK32" i="1" s="1"/>
  <c r="AM32" i="1" s="1"/>
  <c r="AD18" i="1"/>
  <c r="AF18" i="1" s="1"/>
  <c r="AH18" i="1" s="1"/>
  <c r="AI18" i="1"/>
  <c r="AK18" i="1" s="1"/>
  <c r="AM18" i="1" s="1"/>
  <c r="AD8" i="1"/>
  <c r="AF8" i="1" s="1"/>
  <c r="AH8" i="1" s="1"/>
  <c r="AI8" i="1"/>
  <c r="AK8" i="1" s="1"/>
  <c r="AM8" i="1" s="1"/>
  <c r="AI20" i="1"/>
  <c r="AK20" i="1" s="1"/>
  <c r="AM20" i="1" s="1"/>
  <c r="AD26" i="1"/>
  <c r="AF26" i="1" s="1"/>
  <c r="AH26" i="1" s="1"/>
  <c r="AI26" i="1"/>
  <c r="AK26" i="1" s="1"/>
  <c r="AM26" i="1" s="1"/>
  <c r="AD25" i="1"/>
  <c r="AF25" i="1" s="1"/>
  <c r="AH25" i="1" s="1"/>
  <c r="AI25" i="1"/>
  <c r="AK25" i="1" s="1"/>
  <c r="AM25" i="1" s="1"/>
  <c r="AD23" i="1"/>
  <c r="AF23" i="1" s="1"/>
  <c r="AH23" i="1" s="1"/>
  <c r="AI23" i="1"/>
  <c r="AK23" i="1" s="1"/>
  <c r="AM23" i="1" s="1"/>
  <c r="AO18" i="1" l="1"/>
  <c r="AO25" i="1"/>
  <c r="AO23" i="1"/>
  <c r="AO8" i="1"/>
  <c r="AO26" i="1"/>
  <c r="AO32" i="1"/>
  <c r="AO20" i="1"/>
  <c r="J85" i="1"/>
  <c r="J87" i="1" s="1"/>
  <c r="I85" i="1"/>
  <c r="I87" i="1" s="1"/>
  <c r="AN2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L7" i="3"/>
  <c r="AD4" i="2" l="1"/>
  <c r="AF4" i="2" s="1"/>
  <c r="AH4" i="2" s="1"/>
  <c r="AI4" i="2"/>
  <c r="AK4" i="2" s="1"/>
  <c r="AM4" i="2" s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12" i="1"/>
  <c r="AD11" i="1"/>
  <c r="AD4" i="1"/>
  <c r="AD6" i="1"/>
  <c r="AD5" i="1"/>
  <c r="AD19" i="1"/>
  <c r="AD14" i="1"/>
  <c r="AD10" i="1"/>
  <c r="AD9" i="1"/>
  <c r="AD17" i="1"/>
  <c r="AD22" i="1"/>
  <c r="AD15" i="1"/>
  <c r="AD7" i="1"/>
  <c r="AD16" i="1"/>
  <c r="AD13" i="1"/>
  <c r="AD24" i="1"/>
  <c r="AD38" i="1"/>
  <c r="AD34" i="1"/>
  <c r="AD35" i="1"/>
  <c r="AD37" i="1"/>
  <c r="AD47" i="1"/>
  <c r="AD36" i="1"/>
  <c r="AD50" i="1"/>
  <c r="AD48" i="1"/>
  <c r="AD49" i="1"/>
  <c r="AD44" i="1"/>
  <c r="AD41" i="1"/>
  <c r="AD40" i="1"/>
  <c r="AD45" i="1"/>
  <c r="AD51" i="1"/>
  <c r="AD46" i="1"/>
  <c r="AD39" i="1"/>
  <c r="AD42" i="1"/>
  <c r="AD43" i="1"/>
  <c r="AD33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12" i="1"/>
  <c r="AI11" i="1"/>
  <c r="AI4" i="1"/>
  <c r="AI6" i="1"/>
  <c r="AI5" i="1"/>
  <c r="AI19" i="1"/>
  <c r="AI14" i="1"/>
  <c r="AI10" i="1"/>
  <c r="AI9" i="1"/>
  <c r="AI17" i="1"/>
  <c r="AI22" i="1"/>
  <c r="AI15" i="1"/>
  <c r="AI7" i="1"/>
  <c r="AI16" i="1"/>
  <c r="AI13" i="1"/>
  <c r="AI24" i="1"/>
  <c r="AI38" i="1"/>
  <c r="AI34" i="1"/>
  <c r="AI35" i="1"/>
  <c r="AI37" i="1"/>
  <c r="AI47" i="1"/>
  <c r="AI36" i="1"/>
  <c r="AI50" i="1"/>
  <c r="AI48" i="1"/>
  <c r="AI49" i="1"/>
  <c r="AI44" i="1"/>
  <c r="AI41" i="1"/>
  <c r="AI40" i="1"/>
  <c r="AI45" i="1"/>
  <c r="AI51" i="1"/>
  <c r="AI46" i="1"/>
  <c r="AI39" i="1"/>
  <c r="AI42" i="1"/>
  <c r="AI43" i="1"/>
  <c r="AI33" i="1"/>
  <c r="A5" i="2"/>
  <c r="A4" i="2"/>
  <c r="AI121" i="2"/>
  <c r="AK121" i="2" s="1"/>
  <c r="AM121" i="2" s="1"/>
  <c r="AI120" i="2"/>
  <c r="AK120" i="2" s="1"/>
  <c r="AM120" i="2" s="1"/>
  <c r="AI119" i="2"/>
  <c r="AK119" i="2" s="1"/>
  <c r="AM119" i="2" s="1"/>
  <c r="AI118" i="2"/>
  <c r="AK118" i="2" s="1"/>
  <c r="AM118" i="2" s="1"/>
  <c r="AI117" i="2"/>
  <c r="AK117" i="2" s="1"/>
  <c r="AM117" i="2" s="1"/>
  <c r="AI116" i="2"/>
  <c r="AK116" i="2" s="1"/>
  <c r="AM116" i="2" s="1"/>
  <c r="AI115" i="2"/>
  <c r="AK115" i="2" s="1"/>
  <c r="AM115" i="2" s="1"/>
  <c r="AI114" i="2"/>
  <c r="AK114" i="2" s="1"/>
  <c r="AM114" i="2" s="1"/>
  <c r="AI113" i="2"/>
  <c r="AK113" i="2" s="1"/>
  <c r="AM113" i="2" s="1"/>
  <c r="AI112" i="2"/>
  <c r="AK112" i="2" s="1"/>
  <c r="AM112" i="2" s="1"/>
  <c r="AI111" i="2"/>
  <c r="AK111" i="2" s="1"/>
  <c r="AM111" i="2" s="1"/>
  <c r="AI110" i="2"/>
  <c r="AK110" i="2" s="1"/>
  <c r="AM110" i="2" s="1"/>
  <c r="AI109" i="2"/>
  <c r="AK109" i="2" s="1"/>
  <c r="AM109" i="2" s="1"/>
  <c r="AI108" i="2"/>
  <c r="AK108" i="2" s="1"/>
  <c r="AM108" i="2" s="1"/>
  <c r="AI107" i="2"/>
  <c r="AK107" i="2" s="1"/>
  <c r="AM107" i="2" s="1"/>
  <c r="AI106" i="2"/>
  <c r="AK106" i="2" s="1"/>
  <c r="AM106" i="2" s="1"/>
  <c r="AI105" i="2"/>
  <c r="AK105" i="2" s="1"/>
  <c r="AM105" i="2" s="1"/>
  <c r="AI104" i="2"/>
  <c r="AK104" i="2" s="1"/>
  <c r="AM104" i="2" s="1"/>
  <c r="AI103" i="2"/>
  <c r="AK103" i="2" s="1"/>
  <c r="AM103" i="2" s="1"/>
  <c r="AI102" i="2"/>
  <c r="AK102" i="2" s="1"/>
  <c r="AM102" i="2" s="1"/>
  <c r="AI101" i="2"/>
  <c r="AK101" i="2" s="1"/>
  <c r="AM101" i="2" s="1"/>
  <c r="AI100" i="2"/>
  <c r="AK100" i="2" s="1"/>
  <c r="AM100" i="2" s="1"/>
  <c r="AI99" i="2"/>
  <c r="AK99" i="2" s="1"/>
  <c r="AM99" i="2" s="1"/>
  <c r="AI98" i="2"/>
  <c r="AK98" i="2" s="1"/>
  <c r="AM98" i="2" s="1"/>
  <c r="AI97" i="2"/>
  <c r="AK97" i="2" s="1"/>
  <c r="AM97" i="2" s="1"/>
  <c r="AI96" i="2"/>
  <c r="AK96" i="2" s="1"/>
  <c r="AM96" i="2" s="1"/>
  <c r="AI95" i="2"/>
  <c r="AK95" i="2" s="1"/>
  <c r="AM95" i="2" s="1"/>
  <c r="AI94" i="2"/>
  <c r="AK94" i="2" s="1"/>
  <c r="AM94" i="2" s="1"/>
  <c r="AI93" i="2"/>
  <c r="AK93" i="2" s="1"/>
  <c r="AM93" i="2" s="1"/>
  <c r="AI92" i="2"/>
  <c r="AK92" i="2" s="1"/>
  <c r="AM92" i="2" s="1"/>
  <c r="AI91" i="2"/>
  <c r="AK91" i="2" s="1"/>
  <c r="AM91" i="2" s="1"/>
  <c r="AI90" i="2"/>
  <c r="AK90" i="2" s="1"/>
  <c r="AM90" i="2" s="1"/>
  <c r="AI89" i="2"/>
  <c r="AK89" i="2" s="1"/>
  <c r="AM89" i="2" s="1"/>
  <c r="AI88" i="2"/>
  <c r="AK88" i="2" s="1"/>
  <c r="AM88" i="2" s="1"/>
  <c r="AI87" i="2"/>
  <c r="AK87" i="2" s="1"/>
  <c r="AM87" i="2" s="1"/>
  <c r="AI86" i="2"/>
  <c r="AK86" i="2" s="1"/>
  <c r="AM86" i="2" s="1"/>
  <c r="AI85" i="2"/>
  <c r="AK85" i="2" s="1"/>
  <c r="AM85" i="2" s="1"/>
  <c r="AI84" i="2"/>
  <c r="AK84" i="2" s="1"/>
  <c r="AM84" i="2" s="1"/>
  <c r="AI83" i="2"/>
  <c r="AK83" i="2" s="1"/>
  <c r="AM83" i="2" s="1"/>
  <c r="AI82" i="2"/>
  <c r="AK82" i="2" s="1"/>
  <c r="AM82" i="2" s="1"/>
  <c r="AI81" i="2"/>
  <c r="AK81" i="2" s="1"/>
  <c r="AM81" i="2" s="1"/>
  <c r="AI80" i="2"/>
  <c r="AK80" i="2" s="1"/>
  <c r="AM80" i="2" s="1"/>
  <c r="AI79" i="2"/>
  <c r="AK79" i="2" s="1"/>
  <c r="AM79" i="2" s="1"/>
  <c r="AI78" i="2"/>
  <c r="AK78" i="2" s="1"/>
  <c r="AM78" i="2" s="1"/>
  <c r="AI77" i="2"/>
  <c r="AK77" i="2" s="1"/>
  <c r="AM77" i="2" s="1"/>
  <c r="AI76" i="2"/>
  <c r="AK76" i="2" s="1"/>
  <c r="AM76" i="2" s="1"/>
  <c r="AI75" i="2"/>
  <c r="AK75" i="2" s="1"/>
  <c r="AM75" i="2" s="1"/>
  <c r="AI74" i="2"/>
  <c r="AK74" i="2" s="1"/>
  <c r="AM74" i="2" s="1"/>
  <c r="AI73" i="2"/>
  <c r="AK73" i="2" s="1"/>
  <c r="AM73" i="2" s="1"/>
  <c r="AI72" i="2"/>
  <c r="AK72" i="2" s="1"/>
  <c r="AM72" i="2" s="1"/>
  <c r="AI71" i="2"/>
  <c r="AK71" i="2" s="1"/>
  <c r="AM71" i="2" s="1"/>
  <c r="AI70" i="2"/>
  <c r="AK70" i="2" s="1"/>
  <c r="AM70" i="2" s="1"/>
  <c r="AI69" i="2"/>
  <c r="AK69" i="2" s="1"/>
  <c r="AM69" i="2" s="1"/>
  <c r="AI68" i="2"/>
  <c r="AK68" i="2" s="1"/>
  <c r="AM68" i="2" s="1"/>
  <c r="AI67" i="2"/>
  <c r="AK67" i="2" s="1"/>
  <c r="AM67" i="2" s="1"/>
  <c r="AI66" i="2"/>
  <c r="AK66" i="2" s="1"/>
  <c r="AM66" i="2" s="1"/>
  <c r="AI65" i="2"/>
  <c r="AK65" i="2" s="1"/>
  <c r="AM65" i="2" s="1"/>
  <c r="AI64" i="2"/>
  <c r="AK64" i="2" s="1"/>
  <c r="AM64" i="2" s="1"/>
  <c r="AI63" i="2"/>
  <c r="AK63" i="2" s="1"/>
  <c r="AM63" i="2" s="1"/>
  <c r="AI62" i="2"/>
  <c r="AK62" i="2" s="1"/>
  <c r="AM62" i="2" s="1"/>
  <c r="AI61" i="2"/>
  <c r="AK61" i="2" s="1"/>
  <c r="AM61" i="2" s="1"/>
  <c r="AI60" i="2"/>
  <c r="AK60" i="2" s="1"/>
  <c r="AM60" i="2" s="1"/>
  <c r="AI59" i="2"/>
  <c r="AK59" i="2" s="1"/>
  <c r="AM59" i="2" s="1"/>
  <c r="AI58" i="2"/>
  <c r="AK58" i="2" s="1"/>
  <c r="AM58" i="2" s="1"/>
  <c r="AI57" i="2"/>
  <c r="AK57" i="2" s="1"/>
  <c r="AM57" i="2" s="1"/>
  <c r="AI56" i="2"/>
  <c r="AK56" i="2" s="1"/>
  <c r="AM56" i="2" s="1"/>
  <c r="AI55" i="2"/>
  <c r="AK55" i="2" s="1"/>
  <c r="AM55" i="2" s="1"/>
  <c r="AI54" i="2"/>
  <c r="AK54" i="2" s="1"/>
  <c r="AM54" i="2" s="1"/>
  <c r="AI53" i="2"/>
  <c r="AK53" i="2" s="1"/>
  <c r="AM53" i="2" s="1"/>
  <c r="AI52" i="2"/>
  <c r="AK52" i="2" s="1"/>
  <c r="AM52" i="2" s="1"/>
  <c r="AI51" i="2"/>
  <c r="AK51" i="2" s="1"/>
  <c r="AM51" i="2" s="1"/>
  <c r="AI50" i="2"/>
  <c r="AK50" i="2" s="1"/>
  <c r="AM50" i="2" s="1"/>
  <c r="AI49" i="2"/>
  <c r="AK49" i="2" s="1"/>
  <c r="AM49" i="2" s="1"/>
  <c r="AI48" i="2"/>
  <c r="AK48" i="2" s="1"/>
  <c r="AM48" i="2" s="1"/>
  <c r="AI47" i="2"/>
  <c r="AK47" i="2" s="1"/>
  <c r="AM47" i="2" s="1"/>
  <c r="AI46" i="2"/>
  <c r="AK46" i="2" s="1"/>
  <c r="AM46" i="2" s="1"/>
  <c r="AI45" i="2"/>
  <c r="AK45" i="2" s="1"/>
  <c r="AM45" i="2" s="1"/>
  <c r="AI44" i="2"/>
  <c r="AK44" i="2" s="1"/>
  <c r="AM44" i="2" s="1"/>
  <c r="AI43" i="2"/>
  <c r="AK43" i="2" s="1"/>
  <c r="AM43" i="2" s="1"/>
  <c r="AI42" i="2"/>
  <c r="AK42" i="2" s="1"/>
  <c r="AM42" i="2" s="1"/>
  <c r="AI41" i="2"/>
  <c r="AK41" i="2" s="1"/>
  <c r="AM41" i="2" s="1"/>
  <c r="AI40" i="2"/>
  <c r="AK40" i="2" s="1"/>
  <c r="AM40" i="2" s="1"/>
  <c r="AI39" i="2"/>
  <c r="AK39" i="2" s="1"/>
  <c r="AM39" i="2" s="1"/>
  <c r="AI38" i="2"/>
  <c r="AK38" i="2" s="1"/>
  <c r="AM38" i="2" s="1"/>
  <c r="AI37" i="2"/>
  <c r="AK37" i="2" s="1"/>
  <c r="AM37" i="2" s="1"/>
  <c r="AI36" i="2"/>
  <c r="AK36" i="2" s="1"/>
  <c r="AM36" i="2" s="1"/>
  <c r="AI35" i="2"/>
  <c r="AK35" i="2" s="1"/>
  <c r="AM35" i="2" s="1"/>
  <c r="AI34" i="2"/>
  <c r="AK34" i="2" s="1"/>
  <c r="AM34" i="2" s="1"/>
  <c r="AI33" i="2"/>
  <c r="AK33" i="2" s="1"/>
  <c r="AM33" i="2" s="1"/>
  <c r="AI32" i="2"/>
  <c r="AK32" i="2" s="1"/>
  <c r="AM32" i="2" s="1"/>
  <c r="AI31" i="2"/>
  <c r="AK31" i="2" s="1"/>
  <c r="AM31" i="2" s="1"/>
  <c r="AI30" i="2"/>
  <c r="AK30" i="2" s="1"/>
  <c r="AM30" i="2" s="1"/>
  <c r="AI29" i="2"/>
  <c r="AK29" i="2" s="1"/>
  <c r="AM29" i="2" s="1"/>
  <c r="AI28" i="2"/>
  <c r="AK28" i="2" s="1"/>
  <c r="AM28" i="2" s="1"/>
  <c r="AI27" i="2"/>
  <c r="AK27" i="2" s="1"/>
  <c r="AM27" i="2" s="1"/>
  <c r="AI26" i="2"/>
  <c r="AK26" i="2" s="1"/>
  <c r="AM26" i="2" s="1"/>
  <c r="AI25" i="2"/>
  <c r="AK25" i="2" s="1"/>
  <c r="AM25" i="2" s="1"/>
  <c r="AI24" i="2"/>
  <c r="AK24" i="2" s="1"/>
  <c r="AM24" i="2" s="1"/>
  <c r="AI23" i="2"/>
  <c r="AK23" i="2" s="1"/>
  <c r="AM23" i="2" s="1"/>
  <c r="AI22" i="2"/>
  <c r="AK22" i="2" s="1"/>
  <c r="AM22" i="2" s="1"/>
  <c r="AI21" i="2"/>
  <c r="AK21" i="2" s="1"/>
  <c r="AM21" i="2" s="1"/>
  <c r="AI20" i="2"/>
  <c r="AK20" i="2" s="1"/>
  <c r="AM20" i="2" s="1"/>
  <c r="AI19" i="2"/>
  <c r="AK19" i="2" s="1"/>
  <c r="AM19" i="2" s="1"/>
  <c r="AI18" i="2"/>
  <c r="AK18" i="2" s="1"/>
  <c r="AM18" i="2" s="1"/>
  <c r="AI17" i="2"/>
  <c r="AK17" i="2" s="1"/>
  <c r="AM17" i="2" s="1"/>
  <c r="AI16" i="2"/>
  <c r="AK16" i="2" s="1"/>
  <c r="AM16" i="2" s="1"/>
  <c r="AI15" i="2"/>
  <c r="AK15" i="2" s="1"/>
  <c r="AM15" i="2" s="1"/>
  <c r="AI14" i="2"/>
  <c r="AK14" i="2" s="1"/>
  <c r="AM14" i="2" s="1"/>
  <c r="AI13" i="2"/>
  <c r="AK13" i="2" s="1"/>
  <c r="AM13" i="2" s="1"/>
  <c r="AI12" i="2"/>
  <c r="AK12" i="2" s="1"/>
  <c r="AM12" i="2" s="1"/>
  <c r="AI11" i="2"/>
  <c r="AK11" i="2" s="1"/>
  <c r="AM11" i="2" s="1"/>
  <c r="AI10" i="2"/>
  <c r="AK10" i="2" s="1"/>
  <c r="AM10" i="2" s="1"/>
  <c r="AI9" i="2"/>
  <c r="AK9" i="2" s="1"/>
  <c r="AM9" i="2" s="1"/>
  <c r="AI8" i="2"/>
  <c r="AK8" i="2" s="1"/>
  <c r="AM8" i="2" s="1"/>
  <c r="AI7" i="2"/>
  <c r="AK7" i="2" s="1"/>
  <c r="AM7" i="2" s="1"/>
  <c r="AI6" i="2"/>
  <c r="AK6" i="2" s="1"/>
  <c r="AM6" i="2" s="1"/>
  <c r="AI5" i="2"/>
  <c r="AK5" i="2" s="1"/>
  <c r="AM5" i="2" s="1"/>
  <c r="AD121" i="2"/>
  <c r="AF121" i="2" s="1"/>
  <c r="AH121" i="2" s="1"/>
  <c r="AD120" i="2"/>
  <c r="AF120" i="2" s="1"/>
  <c r="AH120" i="2" s="1"/>
  <c r="AD119" i="2"/>
  <c r="AF119" i="2" s="1"/>
  <c r="AH119" i="2" s="1"/>
  <c r="AD118" i="2"/>
  <c r="AF118" i="2" s="1"/>
  <c r="AH118" i="2" s="1"/>
  <c r="AD117" i="2"/>
  <c r="AF117" i="2" s="1"/>
  <c r="AH117" i="2" s="1"/>
  <c r="AD116" i="2"/>
  <c r="AF116" i="2" s="1"/>
  <c r="AH116" i="2" s="1"/>
  <c r="AD115" i="2"/>
  <c r="AF115" i="2" s="1"/>
  <c r="AH115" i="2" s="1"/>
  <c r="AD114" i="2"/>
  <c r="AF114" i="2" s="1"/>
  <c r="AH114" i="2" s="1"/>
  <c r="AD113" i="2"/>
  <c r="AF113" i="2" s="1"/>
  <c r="AH113" i="2" s="1"/>
  <c r="AD112" i="2"/>
  <c r="AF112" i="2" s="1"/>
  <c r="AH112" i="2" s="1"/>
  <c r="AD111" i="2"/>
  <c r="AF111" i="2" s="1"/>
  <c r="AH111" i="2" s="1"/>
  <c r="AD110" i="2"/>
  <c r="AF110" i="2" s="1"/>
  <c r="AH110" i="2" s="1"/>
  <c r="AD109" i="2"/>
  <c r="AF109" i="2" s="1"/>
  <c r="AH109" i="2" s="1"/>
  <c r="AD108" i="2"/>
  <c r="AF108" i="2" s="1"/>
  <c r="AH108" i="2" s="1"/>
  <c r="AD107" i="2"/>
  <c r="AF107" i="2" s="1"/>
  <c r="AH107" i="2" s="1"/>
  <c r="AD106" i="2"/>
  <c r="AF106" i="2" s="1"/>
  <c r="AH106" i="2" s="1"/>
  <c r="AD105" i="2"/>
  <c r="AF105" i="2" s="1"/>
  <c r="AH105" i="2" s="1"/>
  <c r="AD104" i="2"/>
  <c r="AF104" i="2" s="1"/>
  <c r="AH104" i="2" s="1"/>
  <c r="AD103" i="2"/>
  <c r="AF103" i="2" s="1"/>
  <c r="AH103" i="2" s="1"/>
  <c r="AD102" i="2"/>
  <c r="AF102" i="2" s="1"/>
  <c r="AH102" i="2" s="1"/>
  <c r="AD101" i="2"/>
  <c r="AF101" i="2" s="1"/>
  <c r="AH101" i="2" s="1"/>
  <c r="AD100" i="2"/>
  <c r="AF100" i="2" s="1"/>
  <c r="AH100" i="2" s="1"/>
  <c r="AD99" i="2"/>
  <c r="AF99" i="2" s="1"/>
  <c r="AH99" i="2" s="1"/>
  <c r="AD98" i="2"/>
  <c r="AF98" i="2" s="1"/>
  <c r="AH98" i="2" s="1"/>
  <c r="AD97" i="2"/>
  <c r="AF97" i="2" s="1"/>
  <c r="AH97" i="2" s="1"/>
  <c r="AD96" i="2"/>
  <c r="AF96" i="2" s="1"/>
  <c r="AH96" i="2" s="1"/>
  <c r="AD95" i="2"/>
  <c r="AF95" i="2" s="1"/>
  <c r="AH95" i="2" s="1"/>
  <c r="AD94" i="2"/>
  <c r="AF94" i="2" s="1"/>
  <c r="AH94" i="2" s="1"/>
  <c r="AD93" i="2"/>
  <c r="AF93" i="2" s="1"/>
  <c r="AH93" i="2" s="1"/>
  <c r="AD92" i="2"/>
  <c r="AF92" i="2" s="1"/>
  <c r="AH92" i="2" s="1"/>
  <c r="AD91" i="2"/>
  <c r="AF91" i="2" s="1"/>
  <c r="AH91" i="2" s="1"/>
  <c r="AD90" i="2"/>
  <c r="AF90" i="2" s="1"/>
  <c r="AH90" i="2" s="1"/>
  <c r="AD89" i="2"/>
  <c r="AF89" i="2" s="1"/>
  <c r="AH89" i="2" s="1"/>
  <c r="AD88" i="2"/>
  <c r="AF88" i="2" s="1"/>
  <c r="AH88" i="2" s="1"/>
  <c r="AD87" i="2"/>
  <c r="AF87" i="2" s="1"/>
  <c r="AH87" i="2" s="1"/>
  <c r="AD86" i="2"/>
  <c r="AF86" i="2" s="1"/>
  <c r="AH86" i="2" s="1"/>
  <c r="AD85" i="2"/>
  <c r="AF85" i="2" s="1"/>
  <c r="AH85" i="2" s="1"/>
  <c r="AD84" i="2"/>
  <c r="AF84" i="2" s="1"/>
  <c r="AH84" i="2" s="1"/>
  <c r="AD83" i="2"/>
  <c r="AF83" i="2" s="1"/>
  <c r="AH83" i="2" s="1"/>
  <c r="AD82" i="2"/>
  <c r="AF82" i="2" s="1"/>
  <c r="AH82" i="2" s="1"/>
  <c r="AD81" i="2"/>
  <c r="AF81" i="2" s="1"/>
  <c r="AH81" i="2" s="1"/>
  <c r="AD80" i="2"/>
  <c r="AF80" i="2" s="1"/>
  <c r="AH80" i="2" s="1"/>
  <c r="AD79" i="2"/>
  <c r="AF79" i="2" s="1"/>
  <c r="AH79" i="2" s="1"/>
  <c r="AD78" i="2"/>
  <c r="AF78" i="2" s="1"/>
  <c r="AH78" i="2" s="1"/>
  <c r="AD77" i="2"/>
  <c r="AF77" i="2" s="1"/>
  <c r="AH77" i="2" s="1"/>
  <c r="AO77" i="2" s="1"/>
  <c r="AD76" i="2"/>
  <c r="AF76" i="2" s="1"/>
  <c r="AH76" i="2" s="1"/>
  <c r="AD75" i="2"/>
  <c r="AF75" i="2" s="1"/>
  <c r="AH75" i="2" s="1"/>
  <c r="AD74" i="2"/>
  <c r="AF74" i="2" s="1"/>
  <c r="AH74" i="2" s="1"/>
  <c r="AD73" i="2"/>
  <c r="AF73" i="2" s="1"/>
  <c r="AH73" i="2" s="1"/>
  <c r="AD72" i="2"/>
  <c r="AF72" i="2" s="1"/>
  <c r="AH72" i="2" s="1"/>
  <c r="AD71" i="2"/>
  <c r="AF71" i="2" s="1"/>
  <c r="AH71" i="2" s="1"/>
  <c r="AD70" i="2"/>
  <c r="AF70" i="2" s="1"/>
  <c r="AH70" i="2" s="1"/>
  <c r="AD69" i="2"/>
  <c r="AF69" i="2" s="1"/>
  <c r="AH69" i="2" s="1"/>
  <c r="AD68" i="2"/>
  <c r="AF68" i="2" s="1"/>
  <c r="AH68" i="2" s="1"/>
  <c r="AD67" i="2"/>
  <c r="AF67" i="2" s="1"/>
  <c r="AH67" i="2" s="1"/>
  <c r="AD66" i="2"/>
  <c r="AF66" i="2" s="1"/>
  <c r="AH66" i="2" s="1"/>
  <c r="AD65" i="2"/>
  <c r="AF65" i="2" s="1"/>
  <c r="AH65" i="2" s="1"/>
  <c r="AD64" i="2"/>
  <c r="AF64" i="2" s="1"/>
  <c r="AH64" i="2" s="1"/>
  <c r="AD63" i="2"/>
  <c r="AF63" i="2" s="1"/>
  <c r="AH63" i="2" s="1"/>
  <c r="AD62" i="2"/>
  <c r="AF62" i="2" s="1"/>
  <c r="AH62" i="2" s="1"/>
  <c r="AD61" i="2"/>
  <c r="AF61" i="2" s="1"/>
  <c r="AH61" i="2" s="1"/>
  <c r="AD60" i="2"/>
  <c r="AF60" i="2" s="1"/>
  <c r="AH60" i="2" s="1"/>
  <c r="AD59" i="2"/>
  <c r="AF59" i="2" s="1"/>
  <c r="AH59" i="2" s="1"/>
  <c r="AD58" i="2"/>
  <c r="AF58" i="2" s="1"/>
  <c r="AH58" i="2" s="1"/>
  <c r="AD57" i="2"/>
  <c r="AF57" i="2" s="1"/>
  <c r="AH57" i="2" s="1"/>
  <c r="AD56" i="2"/>
  <c r="AF56" i="2" s="1"/>
  <c r="AH56" i="2" s="1"/>
  <c r="AD55" i="2"/>
  <c r="AF55" i="2" s="1"/>
  <c r="AH55" i="2" s="1"/>
  <c r="AD54" i="2"/>
  <c r="AF54" i="2" s="1"/>
  <c r="AH54" i="2" s="1"/>
  <c r="AD53" i="2"/>
  <c r="AF53" i="2" s="1"/>
  <c r="AH53" i="2" s="1"/>
  <c r="AD52" i="2"/>
  <c r="AF52" i="2" s="1"/>
  <c r="AH52" i="2" s="1"/>
  <c r="AD51" i="2"/>
  <c r="AF51" i="2" s="1"/>
  <c r="AH51" i="2" s="1"/>
  <c r="AD50" i="2"/>
  <c r="AF50" i="2" s="1"/>
  <c r="AH50" i="2" s="1"/>
  <c r="AD49" i="2"/>
  <c r="AF49" i="2" s="1"/>
  <c r="AH49" i="2" s="1"/>
  <c r="AD48" i="2"/>
  <c r="AF48" i="2" s="1"/>
  <c r="AH48" i="2" s="1"/>
  <c r="AD47" i="2"/>
  <c r="AF47" i="2" s="1"/>
  <c r="AH47" i="2" s="1"/>
  <c r="AD46" i="2"/>
  <c r="AF46" i="2" s="1"/>
  <c r="AH46" i="2" s="1"/>
  <c r="AD45" i="2"/>
  <c r="AF45" i="2" s="1"/>
  <c r="AH45" i="2" s="1"/>
  <c r="AD44" i="2"/>
  <c r="AF44" i="2" s="1"/>
  <c r="AH44" i="2" s="1"/>
  <c r="AD43" i="2"/>
  <c r="AF43" i="2" s="1"/>
  <c r="AH43" i="2" s="1"/>
  <c r="AD42" i="2"/>
  <c r="AF42" i="2" s="1"/>
  <c r="AH42" i="2" s="1"/>
  <c r="AD41" i="2"/>
  <c r="AF41" i="2" s="1"/>
  <c r="AH41" i="2" s="1"/>
  <c r="AD40" i="2"/>
  <c r="AF40" i="2" s="1"/>
  <c r="AH40" i="2" s="1"/>
  <c r="AD39" i="2"/>
  <c r="AF39" i="2" s="1"/>
  <c r="AH39" i="2" s="1"/>
  <c r="AD38" i="2"/>
  <c r="AF38" i="2" s="1"/>
  <c r="AH38" i="2" s="1"/>
  <c r="AD37" i="2"/>
  <c r="AF37" i="2" s="1"/>
  <c r="AH37" i="2" s="1"/>
  <c r="AD36" i="2"/>
  <c r="AF36" i="2" s="1"/>
  <c r="AH36" i="2" s="1"/>
  <c r="AD35" i="2"/>
  <c r="AF35" i="2" s="1"/>
  <c r="AH35" i="2" s="1"/>
  <c r="AD34" i="2"/>
  <c r="AF34" i="2" s="1"/>
  <c r="AH34" i="2" s="1"/>
  <c r="AD33" i="2"/>
  <c r="AF33" i="2" s="1"/>
  <c r="AH33" i="2" s="1"/>
  <c r="AD32" i="2"/>
  <c r="AF32" i="2" s="1"/>
  <c r="AH32" i="2" s="1"/>
  <c r="AD31" i="2"/>
  <c r="AF31" i="2" s="1"/>
  <c r="AH31" i="2" s="1"/>
  <c r="AD30" i="2"/>
  <c r="AF30" i="2" s="1"/>
  <c r="AH30" i="2" s="1"/>
  <c r="AD29" i="2"/>
  <c r="AF29" i="2" s="1"/>
  <c r="AH29" i="2" s="1"/>
  <c r="AD28" i="2"/>
  <c r="AF28" i="2" s="1"/>
  <c r="AH28" i="2" s="1"/>
  <c r="AD27" i="2"/>
  <c r="AF27" i="2" s="1"/>
  <c r="AH27" i="2" s="1"/>
  <c r="AD26" i="2"/>
  <c r="AF26" i="2" s="1"/>
  <c r="AH26" i="2" s="1"/>
  <c r="AD25" i="2"/>
  <c r="AF25" i="2" s="1"/>
  <c r="AH25" i="2" s="1"/>
  <c r="AD24" i="2"/>
  <c r="AF24" i="2" s="1"/>
  <c r="AH24" i="2" s="1"/>
  <c r="AD23" i="2"/>
  <c r="AF23" i="2" s="1"/>
  <c r="AH23" i="2" s="1"/>
  <c r="AD22" i="2"/>
  <c r="AF22" i="2" s="1"/>
  <c r="AH22" i="2" s="1"/>
  <c r="AD21" i="2"/>
  <c r="AF21" i="2" s="1"/>
  <c r="AH21" i="2" s="1"/>
  <c r="AO21" i="2" s="1"/>
  <c r="AD20" i="2"/>
  <c r="AF20" i="2" s="1"/>
  <c r="AH20" i="2" s="1"/>
  <c r="AD19" i="2"/>
  <c r="AF19" i="2" s="1"/>
  <c r="AH19" i="2" s="1"/>
  <c r="AD18" i="2"/>
  <c r="AF18" i="2" s="1"/>
  <c r="AH18" i="2" s="1"/>
  <c r="AD17" i="2"/>
  <c r="AF17" i="2" s="1"/>
  <c r="AH17" i="2" s="1"/>
  <c r="AD16" i="2"/>
  <c r="AF16" i="2" s="1"/>
  <c r="AH16" i="2" s="1"/>
  <c r="AD15" i="2"/>
  <c r="AF15" i="2" s="1"/>
  <c r="AH15" i="2" s="1"/>
  <c r="AD14" i="2"/>
  <c r="AF14" i="2" s="1"/>
  <c r="AH14" i="2" s="1"/>
  <c r="AD13" i="2"/>
  <c r="AF13" i="2" s="1"/>
  <c r="AH13" i="2" s="1"/>
  <c r="AD12" i="2"/>
  <c r="AF12" i="2" s="1"/>
  <c r="AH12" i="2" s="1"/>
  <c r="AD11" i="2"/>
  <c r="AF11" i="2" s="1"/>
  <c r="AH11" i="2" s="1"/>
  <c r="AD10" i="2"/>
  <c r="AF10" i="2" s="1"/>
  <c r="AH10" i="2" s="1"/>
  <c r="AD9" i="2"/>
  <c r="AF9" i="2" s="1"/>
  <c r="AH9" i="2" s="1"/>
  <c r="AD8" i="2"/>
  <c r="AF8" i="2" s="1"/>
  <c r="AH8" i="2" s="1"/>
  <c r="AD7" i="2"/>
  <c r="AF7" i="2" s="1"/>
  <c r="AH7" i="2" s="1"/>
  <c r="AD6" i="2"/>
  <c r="AF6" i="2" s="1"/>
  <c r="AH6" i="2" s="1"/>
  <c r="AD5" i="2"/>
  <c r="AF5" i="2" s="1"/>
  <c r="AH5" i="2" s="1"/>
  <c r="AH2" i="2" l="1"/>
  <c r="AO54" i="2"/>
  <c r="AO70" i="2"/>
  <c r="AO102" i="2"/>
  <c r="AO110" i="2"/>
  <c r="AO118" i="2"/>
  <c r="AO46" i="2"/>
  <c r="AO94" i="2"/>
  <c r="AO30" i="2"/>
  <c r="AO78" i="2"/>
  <c r="AO38" i="2"/>
  <c r="AO62" i="2"/>
  <c r="AO22" i="2"/>
  <c r="AO86" i="2"/>
  <c r="AO7" i="2"/>
  <c r="AO15" i="2"/>
  <c r="AO23" i="2"/>
  <c r="AO31" i="2"/>
  <c r="AO39" i="2"/>
  <c r="AO47" i="2"/>
  <c r="AO55" i="2"/>
  <c r="AO63" i="2"/>
  <c r="AO71" i="2"/>
  <c r="AO79" i="2"/>
  <c r="AO87" i="2"/>
  <c r="AO95" i="2"/>
  <c r="AO103" i="2"/>
  <c r="AO111" i="2"/>
  <c r="AO119" i="2"/>
  <c r="AO76" i="2"/>
  <c r="AO8" i="2"/>
  <c r="AO16" i="2"/>
  <c r="AO48" i="2"/>
  <c r="AO72" i="2"/>
  <c r="AO96" i="2"/>
  <c r="AO120" i="2"/>
  <c r="AO17" i="2"/>
  <c r="AO33" i="2"/>
  <c r="AO41" i="2"/>
  <c r="AO49" i="2"/>
  <c r="AO57" i="2"/>
  <c r="AO65" i="2"/>
  <c r="AO73" i="2"/>
  <c r="AO81" i="2"/>
  <c r="AO89" i="2"/>
  <c r="AO97" i="2"/>
  <c r="AO105" i="2"/>
  <c r="AO113" i="2"/>
  <c r="AO121" i="2"/>
  <c r="AO9" i="2"/>
  <c r="AO25" i="2"/>
  <c r="AO26" i="2"/>
  <c r="AO58" i="2"/>
  <c r="AO90" i="2"/>
  <c r="AO13" i="2"/>
  <c r="AO29" i="2"/>
  <c r="AO37" i="2"/>
  <c r="AO45" i="2"/>
  <c r="AO53" i="2"/>
  <c r="AO61" i="2"/>
  <c r="AO69" i="2"/>
  <c r="AO85" i="2"/>
  <c r="AO93" i="2"/>
  <c r="AO101" i="2"/>
  <c r="AO109" i="2"/>
  <c r="AO117" i="2"/>
  <c r="AO14" i="2"/>
  <c r="AM2" i="2"/>
  <c r="AO24" i="2"/>
  <c r="AO32" i="2"/>
  <c r="AO40" i="2"/>
  <c r="AO56" i="2"/>
  <c r="AO64" i="2"/>
  <c r="AO80" i="2"/>
  <c r="AO88" i="2"/>
  <c r="AO104" i="2"/>
  <c r="AO112" i="2"/>
  <c r="AO10" i="2"/>
  <c r="AO18" i="2"/>
  <c r="AO34" i="2"/>
  <c r="AO42" i="2"/>
  <c r="AO50" i="2"/>
  <c r="AO66" i="2"/>
  <c r="AO74" i="2"/>
  <c r="AO82" i="2"/>
  <c r="AO98" i="2"/>
  <c r="AO106" i="2"/>
  <c r="AO114" i="2"/>
  <c r="AO12" i="2"/>
  <c r="AO20" i="2"/>
  <c r="AO28" i="2"/>
  <c r="AO36" i="2"/>
  <c r="AO44" i="2"/>
  <c r="AO52" i="2"/>
  <c r="AO60" i="2"/>
  <c r="AO68" i="2"/>
  <c r="AO84" i="2"/>
  <c r="AO92" i="2"/>
  <c r="AO100" i="2"/>
  <c r="AO108" i="2"/>
  <c r="AO116" i="2"/>
  <c r="AO6" i="2"/>
  <c r="AO4" i="2"/>
  <c r="AO5" i="2"/>
  <c r="AO11" i="2"/>
  <c r="AO19" i="2"/>
  <c r="AO27" i="2"/>
  <c r="AO35" i="2"/>
  <c r="AO43" i="2"/>
  <c r="AO51" i="2"/>
  <c r="AO59" i="2"/>
  <c r="AO67" i="2"/>
  <c r="AO75" i="2"/>
  <c r="AO83" i="2"/>
  <c r="AO91" i="2"/>
  <c r="AO99" i="2"/>
  <c r="AO107" i="2"/>
  <c r="AO115" i="2"/>
  <c r="AO2" i="2" l="1"/>
  <c r="AF19" i="1" l="1"/>
  <c r="AH19" i="1" s="1"/>
  <c r="AF5" i="1"/>
  <c r="AH5" i="1" s="1"/>
  <c r="AF6" i="1"/>
  <c r="AH6" i="1" s="1"/>
  <c r="AF4" i="1"/>
  <c r="AH4" i="1" s="1"/>
  <c r="AF11" i="1"/>
  <c r="AH11" i="1" s="1"/>
  <c r="AF12" i="1"/>
  <c r="AH12" i="1" s="1"/>
  <c r="AF52" i="1"/>
  <c r="AH52" i="1" s="1"/>
  <c r="AK84" i="1"/>
  <c r="AM84" i="1" s="1"/>
  <c r="AK5" i="1"/>
  <c r="AM5" i="1" s="1"/>
  <c r="AK6" i="1"/>
  <c r="AM6" i="1" s="1"/>
  <c r="AK4" i="1"/>
  <c r="AM4" i="1" s="1"/>
  <c r="AK11" i="1"/>
  <c r="AM11" i="1" s="1"/>
  <c r="AK12" i="1"/>
  <c r="AM12" i="1" s="1"/>
  <c r="AF13" i="1"/>
  <c r="AH13" i="1" s="1"/>
  <c r="AK13" i="1"/>
  <c r="AM13" i="1" s="1"/>
  <c r="AF16" i="1"/>
  <c r="AH16" i="1" s="1"/>
  <c r="AK16" i="1"/>
  <c r="AM16" i="1" s="1"/>
  <c r="AF7" i="1"/>
  <c r="AH7" i="1" s="1"/>
  <c r="AK7" i="1"/>
  <c r="AM7" i="1" s="1"/>
  <c r="AF15" i="1"/>
  <c r="AH15" i="1" s="1"/>
  <c r="AK15" i="1"/>
  <c r="AM15" i="1" s="1"/>
  <c r="AF22" i="1"/>
  <c r="AH22" i="1" s="1"/>
  <c r="AK22" i="1"/>
  <c r="AM22" i="1" s="1"/>
  <c r="AF17" i="1"/>
  <c r="AH17" i="1" s="1"/>
  <c r="AK17" i="1"/>
  <c r="AM17" i="1" s="1"/>
  <c r="AF9" i="1"/>
  <c r="AH9" i="1" s="1"/>
  <c r="AK9" i="1"/>
  <c r="AM9" i="1" s="1"/>
  <c r="AF10" i="1"/>
  <c r="AH10" i="1" s="1"/>
  <c r="AK10" i="1"/>
  <c r="AM10" i="1" s="1"/>
  <c r="AF14" i="1"/>
  <c r="AH14" i="1" s="1"/>
  <c r="AK14" i="1"/>
  <c r="AM14" i="1" s="1"/>
  <c r="AK19" i="1"/>
  <c r="AM19" i="1" s="1"/>
  <c r="AF24" i="1"/>
  <c r="AH24" i="1" s="1"/>
  <c r="AK24" i="1"/>
  <c r="AM24" i="1" s="1"/>
  <c r="AK62" i="1"/>
  <c r="AM62" i="1" s="1"/>
  <c r="AK63" i="1"/>
  <c r="AM63" i="1" s="1"/>
  <c r="AK79" i="1"/>
  <c r="AM79" i="1" s="1"/>
  <c r="AF35" i="1"/>
  <c r="AH35" i="1" s="1"/>
  <c r="AK35" i="1"/>
  <c r="AM35" i="1" s="1"/>
  <c r="AF34" i="1"/>
  <c r="AH34" i="1" s="1"/>
  <c r="AK34" i="1"/>
  <c r="AM34" i="1" s="1"/>
  <c r="AF38" i="1"/>
  <c r="AH38" i="1" s="1"/>
  <c r="AK38" i="1"/>
  <c r="AM38" i="1" s="1"/>
  <c r="AO4" i="1" l="1"/>
  <c r="AO5" i="1"/>
  <c r="AO12" i="1"/>
  <c r="AO6" i="1"/>
  <c r="AO11" i="1"/>
  <c r="AO19" i="1"/>
  <c r="AO10" i="1"/>
  <c r="AO16" i="1"/>
  <c r="AO14" i="1"/>
  <c r="AO22" i="1"/>
  <c r="AO7" i="1"/>
  <c r="AO9" i="1"/>
  <c r="AO17" i="1"/>
  <c r="AO13" i="1"/>
  <c r="AO15" i="1"/>
  <c r="AO24" i="1"/>
  <c r="AO35" i="1"/>
  <c r="AO34" i="1"/>
  <c r="AO38" i="1"/>
  <c r="AF84" i="1" l="1"/>
  <c r="AF39" i="1"/>
  <c r="AH39" i="1" s="1"/>
  <c r="AK39" i="1"/>
  <c r="AM39" i="1" s="1"/>
  <c r="AF51" i="1"/>
  <c r="AH51" i="1" s="1"/>
  <c r="AK51" i="1"/>
  <c r="AM51" i="1" s="1"/>
  <c r="AF80" i="1"/>
  <c r="AH80" i="1" s="1"/>
  <c r="AK80" i="1"/>
  <c r="AM80" i="1" s="1"/>
  <c r="AF70" i="1"/>
  <c r="AH70" i="1" s="1"/>
  <c r="AK70" i="1"/>
  <c r="AM70" i="1" s="1"/>
  <c r="AF45" i="1"/>
  <c r="AH45" i="1" s="1"/>
  <c r="AK45" i="1"/>
  <c r="AM45" i="1" s="1"/>
  <c r="AF69" i="1"/>
  <c r="AH69" i="1" s="1"/>
  <c r="AK69" i="1"/>
  <c r="AM69" i="1" s="1"/>
  <c r="AF81" i="1"/>
  <c r="AH81" i="1" s="1"/>
  <c r="AK81" i="1"/>
  <c r="AM81" i="1" s="1"/>
  <c r="AK83" i="1"/>
  <c r="AM83" i="1" s="1"/>
  <c r="AF83" i="1"/>
  <c r="AH83" i="1" s="1"/>
  <c r="AH84" i="1" l="1"/>
  <c r="AO84" i="1" s="1"/>
  <c r="AO69" i="1"/>
  <c r="AO83" i="1"/>
  <c r="AO45" i="1"/>
  <c r="AO39" i="1"/>
  <c r="AO80" i="1"/>
  <c r="AO81" i="1"/>
  <c r="AO51" i="1"/>
  <c r="AO70" i="1"/>
  <c r="AF66" i="1" l="1"/>
  <c r="AH66" i="1" s="1"/>
  <c r="AK66" i="1"/>
  <c r="AM66" i="1" s="1"/>
  <c r="AF63" i="1"/>
  <c r="AF79" i="1"/>
  <c r="AF58" i="1"/>
  <c r="AH58" i="1" s="1"/>
  <c r="AK58" i="1"/>
  <c r="AM58" i="1" s="1"/>
  <c r="AF78" i="1"/>
  <c r="AH78" i="1" s="1"/>
  <c r="AK78" i="1"/>
  <c r="AM78" i="1" s="1"/>
  <c r="AF60" i="1"/>
  <c r="AH60" i="1" s="1"/>
  <c r="AK60" i="1"/>
  <c r="AM60" i="1" s="1"/>
  <c r="AF77" i="1"/>
  <c r="AH77" i="1" s="1"/>
  <c r="AK77" i="1"/>
  <c r="AM77" i="1" s="1"/>
  <c r="AF65" i="1"/>
  <c r="AH65" i="1" s="1"/>
  <c r="AK65" i="1"/>
  <c r="AM65" i="1" s="1"/>
  <c r="AK46" i="1"/>
  <c r="AM46" i="1" s="1"/>
  <c r="AF46" i="1"/>
  <c r="AH46" i="1" s="1"/>
  <c r="AK71" i="1"/>
  <c r="AM71" i="1" s="1"/>
  <c r="AF71" i="1"/>
  <c r="AH71" i="1" s="1"/>
  <c r="AH79" i="1" l="1"/>
  <c r="AO79" i="1" s="1"/>
  <c r="AH63" i="1"/>
  <c r="AO63" i="1" s="1"/>
  <c r="AO78" i="1"/>
  <c r="AO60" i="1"/>
  <c r="AO65" i="1"/>
  <c r="AO58" i="1"/>
  <c r="AO77" i="1"/>
  <c r="AO46" i="1"/>
  <c r="AO71" i="1"/>
  <c r="AO66" i="1"/>
  <c r="AF82" i="1" l="1"/>
  <c r="AH82" i="1" s="1"/>
  <c r="AK82" i="1"/>
  <c r="AM82" i="1" s="1"/>
  <c r="AF43" i="1"/>
  <c r="AH43" i="1" s="1"/>
  <c r="AK43" i="1"/>
  <c r="AM43" i="1" s="1"/>
  <c r="AF53" i="1"/>
  <c r="AH53" i="1" s="1"/>
  <c r="AK53" i="1"/>
  <c r="AM53" i="1" s="1"/>
  <c r="AF40" i="1"/>
  <c r="AH40" i="1" s="1"/>
  <c r="AK40" i="1"/>
  <c r="AM40" i="1" s="1"/>
  <c r="AF54" i="1"/>
  <c r="AH54" i="1" s="1"/>
  <c r="AK54" i="1"/>
  <c r="AM54" i="1" s="1"/>
  <c r="AF59" i="1"/>
  <c r="AH59" i="1" s="1"/>
  <c r="AK59" i="1"/>
  <c r="AM59" i="1" s="1"/>
  <c r="AF55" i="1"/>
  <c r="AH55" i="1" s="1"/>
  <c r="AK55" i="1"/>
  <c r="AM55" i="1" s="1"/>
  <c r="AF76" i="1"/>
  <c r="AH76" i="1" s="1"/>
  <c r="AK76" i="1"/>
  <c r="AM76" i="1" s="1"/>
  <c r="AK52" i="1"/>
  <c r="AM52" i="1" s="1"/>
  <c r="AK33" i="1"/>
  <c r="AM33" i="1" s="1"/>
  <c r="AF33" i="1"/>
  <c r="AH33" i="1" s="1"/>
  <c r="AO55" i="1" l="1"/>
  <c r="AO53" i="1"/>
  <c r="AO52" i="1"/>
  <c r="AO82" i="1"/>
  <c r="AO33" i="1"/>
  <c r="AO54" i="1"/>
  <c r="AO59" i="1"/>
  <c r="AO76" i="1"/>
  <c r="AO40" i="1"/>
  <c r="AO43" i="1"/>
  <c r="AK68" i="1" l="1"/>
  <c r="AM68" i="1" s="1"/>
  <c r="AF68" i="1"/>
  <c r="AH68" i="1" s="1"/>
  <c r="AK64" i="1"/>
  <c r="AM64" i="1" s="1"/>
  <c r="AK61" i="1"/>
  <c r="AM61" i="1" s="1"/>
  <c r="AK75" i="1"/>
  <c r="AM75" i="1" s="1"/>
  <c r="AK74" i="1"/>
  <c r="AM74" i="1" s="1"/>
  <c r="AK73" i="1"/>
  <c r="AM73" i="1" s="1"/>
  <c r="AK72" i="1"/>
  <c r="AM72" i="1" s="1"/>
  <c r="AK42" i="1"/>
  <c r="AM42" i="1" s="1"/>
  <c r="AK57" i="1"/>
  <c r="AM57" i="1" s="1"/>
  <c r="AK41" i="1"/>
  <c r="AM41" i="1" s="1"/>
  <c r="AK44" i="1"/>
  <c r="AM44" i="1" s="1"/>
  <c r="AK49" i="1"/>
  <c r="AM49" i="1" s="1"/>
  <c r="AK56" i="1"/>
  <c r="AM56" i="1" s="1"/>
  <c r="AK48" i="1"/>
  <c r="AM48" i="1" s="1"/>
  <c r="AK50" i="1"/>
  <c r="AM50" i="1" s="1"/>
  <c r="AF61" i="1"/>
  <c r="AH61" i="1" s="1"/>
  <c r="AF75" i="1"/>
  <c r="AH75" i="1" s="1"/>
  <c r="AF62" i="1"/>
  <c r="AF74" i="1"/>
  <c r="AH74" i="1" s="1"/>
  <c r="AF73" i="1"/>
  <c r="AH73" i="1" s="1"/>
  <c r="AF72" i="1"/>
  <c r="AH72" i="1" s="1"/>
  <c r="AF42" i="1"/>
  <c r="AH42" i="1" s="1"/>
  <c r="AF57" i="1"/>
  <c r="AH57" i="1" s="1"/>
  <c r="AF41" i="1"/>
  <c r="AH41" i="1" s="1"/>
  <c r="AF44" i="1"/>
  <c r="AH44" i="1" s="1"/>
  <c r="AF64" i="1"/>
  <c r="AH64" i="1" s="1"/>
  <c r="AF49" i="1"/>
  <c r="AH49" i="1" s="1"/>
  <c r="AF56" i="1"/>
  <c r="AH56" i="1" s="1"/>
  <c r="AF48" i="1"/>
  <c r="AH48" i="1" s="1"/>
  <c r="AF50" i="1"/>
  <c r="AH50" i="1" s="1"/>
  <c r="AF67" i="1"/>
  <c r="AH67" i="1" s="1"/>
  <c r="AK67" i="1"/>
  <c r="AM67" i="1" s="1"/>
  <c r="AF36" i="1"/>
  <c r="AH36" i="1" s="1"/>
  <c r="AK36" i="1"/>
  <c r="AM36" i="1" s="1"/>
  <c r="AF47" i="1"/>
  <c r="AH47" i="1" s="1"/>
  <c r="AK47" i="1"/>
  <c r="AM47" i="1" s="1"/>
  <c r="AF37" i="1"/>
  <c r="AH37" i="1" s="1"/>
  <c r="AK37" i="1"/>
  <c r="AM37" i="1" s="1"/>
  <c r="AM2" i="1" l="1"/>
  <c r="AH62" i="1"/>
  <c r="AO62" i="1" s="1"/>
  <c r="AO68" i="1"/>
  <c r="AO74" i="1"/>
  <c r="AO37" i="1"/>
  <c r="AO49" i="1"/>
  <c r="AO36" i="1"/>
  <c r="AO57" i="1"/>
  <c r="AO48" i="1"/>
  <c r="AO44" i="1"/>
  <c r="AO47" i="1"/>
  <c r="AO72" i="1"/>
  <c r="AO67" i="1"/>
  <c r="AO56" i="1"/>
  <c r="AO50" i="1"/>
  <c r="AO41" i="1"/>
  <c r="AO75" i="1"/>
  <c r="AO61" i="1"/>
  <c r="AO42" i="1"/>
  <c r="AO73" i="1"/>
  <c r="AO64" i="1"/>
  <c r="AH2" i="1" l="1"/>
  <c r="AO2" i="1" s="1"/>
  <c r="J1" i="1"/>
  <c r="I1" i="1"/>
  <c r="H1" i="1"/>
  <c r="E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Salum</author>
  </authors>
  <commentList>
    <comment ref="H7" authorId="0" shapeId="0" xr:uid="{3046249D-ECB7-4C7A-9F22-6307C105AC1F}">
      <text>
        <r>
          <rPr>
            <b/>
            <sz val="9"/>
            <color indexed="81"/>
            <rFont val="Tahoma"/>
            <family val="2"/>
          </rPr>
          <t>Domtila:</t>
        </r>
        <r>
          <rPr>
            <sz val="9"/>
            <color indexed="81"/>
            <rFont val="Tahoma"/>
            <family val="2"/>
          </rPr>
          <t xml:space="preserve">
6 rebags</t>
        </r>
      </text>
    </comment>
    <comment ref="H12" authorId="0" shapeId="0" xr:uid="{0BF19CBE-2174-4D2A-85F1-8C48D137EBB3}">
      <text>
        <r>
          <rPr>
            <b/>
            <sz val="9"/>
            <color indexed="81"/>
            <rFont val="Tahoma"/>
            <family val="2"/>
          </rPr>
          <t>Domtila:</t>
        </r>
        <r>
          <rPr>
            <sz val="9"/>
            <color indexed="81"/>
            <rFont val="Tahoma"/>
            <family val="2"/>
          </rPr>
          <t xml:space="preserve">
6 rebags</t>
        </r>
      </text>
    </comment>
    <comment ref="H13" authorId="0" shapeId="0" xr:uid="{F42164F1-362F-4C2D-8356-76FEDCCFF25F}">
      <text>
        <r>
          <rPr>
            <b/>
            <sz val="9"/>
            <color indexed="81"/>
            <rFont val="Tahoma"/>
            <family val="2"/>
          </rPr>
          <t>Domtila:</t>
        </r>
        <r>
          <rPr>
            <sz val="9"/>
            <color indexed="81"/>
            <rFont val="Tahoma"/>
            <family val="2"/>
          </rPr>
          <t xml:space="preserve">
8 rebags</t>
        </r>
      </text>
    </comment>
    <comment ref="H14" authorId="0" shapeId="0" xr:uid="{F2BAD18F-6B83-49A8-959B-977D0D86729C}">
      <text>
        <r>
          <rPr>
            <b/>
            <sz val="9"/>
            <color indexed="81"/>
            <rFont val="Tahoma"/>
            <family val="2"/>
          </rPr>
          <t>Domtila:</t>
        </r>
        <r>
          <rPr>
            <sz val="9"/>
            <color indexed="81"/>
            <rFont val="Tahoma"/>
            <family val="2"/>
          </rPr>
          <t xml:space="preserve">
8 rebags</t>
        </r>
      </text>
    </comment>
    <comment ref="H15" authorId="0" shapeId="0" xr:uid="{C402F493-E74F-4FB6-8BCA-B97A8DAC704F}">
      <text>
        <r>
          <rPr>
            <b/>
            <sz val="9"/>
            <color indexed="81"/>
            <rFont val="Tahoma"/>
            <family val="2"/>
          </rPr>
          <t>Domtila:</t>
        </r>
        <r>
          <rPr>
            <sz val="9"/>
            <color indexed="81"/>
            <rFont val="Tahoma"/>
            <family val="2"/>
          </rPr>
          <t xml:space="preserve">
8 rebags</t>
        </r>
      </text>
    </comment>
    <comment ref="H16" authorId="0" shapeId="0" xr:uid="{804B5584-4806-41E2-9CD0-047689F1331E}">
      <text>
        <r>
          <rPr>
            <b/>
            <sz val="9"/>
            <color indexed="81"/>
            <rFont val="Tahoma"/>
            <family val="2"/>
          </rPr>
          <t>Domtila :</t>
        </r>
        <r>
          <rPr>
            <sz val="9"/>
            <color indexed="81"/>
            <rFont val="Tahoma"/>
            <family val="2"/>
          </rPr>
          <t xml:space="preserve">
7 rebag</t>
        </r>
      </text>
    </comment>
    <comment ref="H20" authorId="0" shapeId="0" xr:uid="{8CF93DA2-DF15-4FDA-8090-D9064CD0175C}">
      <text>
        <r>
          <rPr>
            <b/>
            <sz val="9"/>
            <color indexed="81"/>
            <rFont val="Tahoma"/>
            <family val="2"/>
          </rPr>
          <t>Domtila:</t>
        </r>
        <r>
          <rPr>
            <sz val="9"/>
            <color indexed="81"/>
            <rFont val="Tahoma"/>
            <family val="2"/>
          </rPr>
          <t xml:space="preserve">
8 rebag</t>
        </r>
      </text>
    </comment>
  </commentList>
</comments>
</file>

<file path=xl/sharedStrings.xml><?xml version="1.0" encoding="utf-8"?>
<sst xmlns="http://schemas.openxmlformats.org/spreadsheetml/2006/main" count="2520" uniqueCount="788">
  <si>
    <t>序号</t>
    <phoneticPr fontId="0" type="noConversion"/>
  </si>
  <si>
    <t>提单号</t>
    <phoneticPr fontId="0" type="noConversion"/>
  </si>
  <si>
    <t>卡车牌号</t>
    <phoneticPr fontId="0" type="noConversion"/>
  </si>
  <si>
    <t>拖车牌号</t>
    <phoneticPr fontId="0" type="noConversion"/>
  </si>
  <si>
    <t>司机姓名</t>
    <phoneticPr fontId="0" type="noConversion"/>
  </si>
  <si>
    <t>目的地</t>
    <phoneticPr fontId="0" type="noConversion"/>
  </si>
  <si>
    <t>No.</t>
  </si>
  <si>
    <t>B/L No.</t>
    <phoneticPr fontId="0" type="noConversion"/>
  </si>
  <si>
    <t>HDAN</t>
  </si>
  <si>
    <t>TRUCK
NUMBER</t>
    <phoneticPr fontId="0" type="noConversion"/>
  </si>
  <si>
    <t>TRAILER 
NUMBER</t>
    <phoneticPr fontId="0" type="noConversion"/>
  </si>
  <si>
    <t>FINAL
DESTINATION</t>
    <phoneticPr fontId="0" type="noConversion"/>
  </si>
  <si>
    <t>Bags</t>
  </si>
  <si>
    <t>NET WEIGHT</t>
  </si>
  <si>
    <t>GROSS WEIGHT</t>
  </si>
  <si>
    <t>T173EES</t>
  </si>
  <si>
    <t>T224DQD-T501DQD</t>
  </si>
  <si>
    <t>MAHMOUD AHMED MAYMUN</t>
  </si>
  <si>
    <t>LDAN</t>
  </si>
  <si>
    <t>T348DWZ</t>
  </si>
  <si>
    <t>T540BWU</t>
  </si>
  <si>
    <t>SALUM JUMANNE WAZIRI</t>
  </si>
  <si>
    <t>T339DZH</t>
  </si>
  <si>
    <t>T206DZH-T852DZG</t>
  </si>
  <si>
    <t>T301BZY</t>
  </si>
  <si>
    <t>T378BXG-T618EFH</t>
  </si>
  <si>
    <t>HASHIM AHMAD HASHIM</t>
  </si>
  <si>
    <t>T363DCA</t>
  </si>
  <si>
    <t>T810AEJ</t>
  </si>
  <si>
    <t>EMMANUEL ANGWILILE MWANDENUKA</t>
  </si>
  <si>
    <t>T586DPW</t>
  </si>
  <si>
    <t>T459CBM</t>
  </si>
  <si>
    <t>MASHAKA GEORGE SONGOMA</t>
  </si>
  <si>
    <t>T660DQF</t>
  </si>
  <si>
    <t>T226DQD-T509DQD</t>
  </si>
  <si>
    <t>SELEMANI MZEE MNEMO</t>
  </si>
  <si>
    <t>T533EDX</t>
  </si>
  <si>
    <t>T933EDN</t>
  </si>
  <si>
    <t>SAMSON ISAYA MBONGELA</t>
  </si>
  <si>
    <t>T753EEY</t>
  </si>
  <si>
    <t>T664EFA</t>
  </si>
  <si>
    <t>MUSSA SAIDI ALLY</t>
  </si>
  <si>
    <t>T230ELH</t>
  </si>
  <si>
    <t>T328DVM-T220DXD</t>
  </si>
  <si>
    <t>MUBAARAK MUSTAFA MKETO</t>
  </si>
  <si>
    <t>DAILY TRACKING REPORT - FORWARDING</t>
  </si>
  <si>
    <t>L-DAN 3146  / HDAN 8</t>
  </si>
  <si>
    <t>GT OCEAN TRANSPORTATION LIMITED</t>
    <phoneticPr fontId="0" type="noConversion"/>
  </si>
  <si>
    <t>Total Amount</t>
  </si>
  <si>
    <t>司机电话</t>
    <phoneticPr fontId="0" type="noConversion"/>
  </si>
  <si>
    <t>吨袋</t>
    <phoneticPr fontId="0" type="noConversion"/>
  </si>
  <si>
    <t>文件接收</t>
    <phoneticPr fontId="0" type="noConversion"/>
  </si>
  <si>
    <t>船司</t>
    <phoneticPr fontId="0" type="noConversion"/>
  </si>
  <si>
    <t>船名</t>
    <phoneticPr fontId="0" type="noConversion"/>
  </si>
  <si>
    <t>预计抵港</t>
    <phoneticPr fontId="0" type="noConversion"/>
  </si>
  <si>
    <t>实际靠泊</t>
    <phoneticPr fontId="0" type="noConversion"/>
  </si>
  <si>
    <t>船司放行</t>
    <phoneticPr fontId="0" type="noConversion"/>
  </si>
  <si>
    <t>装运时间</t>
    <phoneticPr fontId="0" type="noConversion"/>
  </si>
  <si>
    <t>起运时间</t>
    <phoneticPr fontId="0" type="noConversion"/>
  </si>
  <si>
    <t>到达目的地</t>
    <phoneticPr fontId="0" type="noConversion"/>
  </si>
  <si>
    <t>卸货时间</t>
    <phoneticPr fontId="0" type="noConversion"/>
  </si>
  <si>
    <t>备注</t>
    <phoneticPr fontId="0" type="noConversion"/>
  </si>
  <si>
    <t>Border Delays</t>
  </si>
  <si>
    <t>Offloading Delays</t>
  </si>
  <si>
    <t>DRIVER
NAME</t>
    <phoneticPr fontId="0" type="noConversion"/>
  </si>
  <si>
    <t>TRUCK POSITION</t>
  </si>
  <si>
    <t>DOCUMENTS RECEIVED</t>
    <phoneticPr fontId="0" type="noConversion"/>
  </si>
  <si>
    <t>SHIPPING
LINE</t>
    <phoneticPr fontId="0" type="noConversion"/>
  </si>
  <si>
    <t>VESSEL</t>
    <phoneticPr fontId="0" type="noConversion"/>
  </si>
  <si>
    <t>ETA</t>
    <phoneticPr fontId="0" type="noConversion"/>
  </si>
  <si>
    <t>ATB</t>
    <phoneticPr fontId="0" type="noConversion"/>
  </si>
  <si>
    <t>LINE RELEASE</t>
  </si>
  <si>
    <t>DATE LOADED</t>
  </si>
  <si>
    <t>DISPATCH DATE</t>
    <phoneticPr fontId="0" type="noConversion"/>
  </si>
  <si>
    <t>ARRIVED TUNDUMA BORDER</t>
  </si>
  <si>
    <t>DEPARTED
NAKONDE</t>
    <phoneticPr fontId="0" type="noConversion"/>
  </si>
  <si>
    <t xml:space="preserve">K-LESA ARRIVED  </t>
  </si>
  <si>
    <t>K-LESA DEPARTED</t>
  </si>
  <si>
    <t>L-MBASHI ARRIVED</t>
  </si>
  <si>
    <t>DEPARTED L-MBASHI</t>
  </si>
  <si>
    <t>ARRIVED DESTINATION</t>
  </si>
  <si>
    <t>OFFLOADED</t>
  </si>
  <si>
    <t>COMMENTS</t>
    <phoneticPr fontId="0" type="noConversion"/>
  </si>
  <si>
    <t>Border  Days</t>
  </si>
  <si>
    <t>Free days</t>
  </si>
  <si>
    <t>Chargable Days</t>
  </si>
  <si>
    <t>Chargable Rate</t>
  </si>
  <si>
    <t>Border Delays Amt</t>
  </si>
  <si>
    <t>Offloading Days</t>
  </si>
  <si>
    <t>Offloading Delays Amt</t>
  </si>
  <si>
    <t>Parking Charges Amount</t>
  </si>
  <si>
    <t>TOTAL</t>
  </si>
  <si>
    <t>-</t>
  </si>
  <si>
    <t>LIKASI/SICODEX</t>
  </si>
  <si>
    <t>JACKSON DEDAN LENGWALA</t>
  </si>
  <si>
    <t>MV Action Trader</t>
  </si>
  <si>
    <t>Seaforth shipping line</t>
  </si>
  <si>
    <t>Action trader</t>
  </si>
  <si>
    <t>T624DPV</t>
  </si>
  <si>
    <t>T156DDY</t>
  </si>
  <si>
    <t>T320CFY</t>
  </si>
  <si>
    <t>T389DZH</t>
  </si>
  <si>
    <t>T580DPW</t>
  </si>
  <si>
    <t>T628DPW</t>
  </si>
  <si>
    <t>T971CAS</t>
  </si>
  <si>
    <t>T329DWZ</t>
  </si>
  <si>
    <t>T971ASG</t>
  </si>
  <si>
    <t>T848CBB</t>
  </si>
  <si>
    <t>T108APA</t>
  </si>
  <si>
    <t>T977ASG</t>
  </si>
  <si>
    <t>T326BXG-T525EFH</t>
  </si>
  <si>
    <t>T205DZH-T850DZG</t>
  </si>
  <si>
    <t>T807BVG-T506EFH</t>
  </si>
  <si>
    <t>T213DCZ-T554DTR</t>
  </si>
  <si>
    <t>RAMADHANI SHABANI OMARY</t>
  </si>
  <si>
    <t>AMIRI SAID MJATA</t>
  </si>
  <si>
    <t>MBWANA SAID ALLY</t>
  </si>
  <si>
    <t>DENISI KILISTOFA HAULE</t>
  </si>
  <si>
    <t>MICHAEL PAULO MZALIFU</t>
  </si>
  <si>
    <t>MARTIN HERI NGOCHELO</t>
  </si>
  <si>
    <t xml:space="preserve">CHAME YASSIN SHEBE </t>
  </si>
  <si>
    <t>JORDAN NICODEMUS MATWEGULA</t>
  </si>
  <si>
    <t>T679CJT</t>
  </si>
  <si>
    <t>EZEKIEL SAMWEL SHILAYE</t>
  </si>
  <si>
    <t>T925CTU-T216EMM</t>
  </si>
  <si>
    <t>T214EES</t>
  </si>
  <si>
    <t>BARAKA FARUKU SANGA</t>
  </si>
  <si>
    <t>T177BUF-T218EMM</t>
  </si>
  <si>
    <t>T499DMH</t>
  </si>
  <si>
    <t>T520BXN</t>
  </si>
  <si>
    <t>T650CJT</t>
  </si>
  <si>
    <t>T352DWZ</t>
  </si>
  <si>
    <t>T372DZH</t>
  </si>
  <si>
    <t>T935BZF</t>
  </si>
  <si>
    <t>T704EHZ</t>
  </si>
  <si>
    <t>T710EHZ</t>
  </si>
  <si>
    <t>T361EFR</t>
  </si>
  <si>
    <t>T859EBS</t>
  </si>
  <si>
    <t>T144CTH</t>
  </si>
  <si>
    <t>T476CBM-T730EFH</t>
  </si>
  <si>
    <t>T428CRA-T263EMP</t>
  </si>
  <si>
    <t>T179DXQ-T182DXQ</t>
  </si>
  <si>
    <t>T198DZH-T897DZG</t>
  </si>
  <si>
    <t>T169BZX-T248EMP</t>
  </si>
  <si>
    <t>T724EHV-T204EMP</t>
  </si>
  <si>
    <t>T139EHW-T223EMM</t>
  </si>
  <si>
    <t>T436CRA-T511EFH</t>
  </si>
  <si>
    <t>T960EBC-T556EBB</t>
  </si>
  <si>
    <t>YUSUPH MASHAKA OMARY</t>
  </si>
  <si>
    <t>RAMADHAN ALLY HALFANI</t>
  </si>
  <si>
    <t>ISACK SAMSON KALIDUSHI</t>
  </si>
  <si>
    <t>FRANCIS JOHN HAULE</t>
  </si>
  <si>
    <t xml:space="preserve">ERASTO MANENO SHAIBU </t>
  </si>
  <si>
    <t>ISIKE SAIDI ALLY</t>
  </si>
  <si>
    <t>KEPHA BENJAMIN NDULA</t>
  </si>
  <si>
    <t>SALIMU AZIZ SALIMU</t>
  </si>
  <si>
    <t>JEREMIAH MASALA ALPHONCE</t>
  </si>
  <si>
    <t>CHRISTIAN CLETUS CHILUMBA</t>
  </si>
  <si>
    <t>_</t>
  </si>
  <si>
    <t>T620DPV</t>
  </si>
  <si>
    <t>T223DNF</t>
  </si>
  <si>
    <t>T514BXN</t>
  </si>
  <si>
    <t>T595BXN</t>
  </si>
  <si>
    <t>T331DWZ</t>
  </si>
  <si>
    <t>T330DWZ</t>
  </si>
  <si>
    <t>T139EES</t>
  </si>
  <si>
    <t>T356EFR</t>
  </si>
  <si>
    <t>T588CJT</t>
  </si>
  <si>
    <t>T332DWZ</t>
  </si>
  <si>
    <t>T209DEG</t>
  </si>
  <si>
    <t>T810BYV-T253EMM</t>
  </si>
  <si>
    <t>T863CBB-T513EFH</t>
  </si>
  <si>
    <t>T127ATF-T228EMP</t>
  </si>
  <si>
    <t>T181DED-T568DTR</t>
  </si>
  <si>
    <t>T247ARR-T318DUD</t>
  </si>
  <si>
    <t>T454CBM-T290EMP</t>
  </si>
  <si>
    <t>T188EFX-T186EFX</t>
  </si>
  <si>
    <t>T182EFX-T308EFX</t>
  </si>
  <si>
    <t>T417BQX-T373DSM</t>
  </si>
  <si>
    <t>NASSORO THABITI KASSIMU</t>
  </si>
  <si>
    <t>ANTHONY E NGUMBI</t>
  </si>
  <si>
    <t>GODWIN KOSAM SAMPAMPA</t>
  </si>
  <si>
    <t>SHABANI MOHAMEDI MAKANDAWILE</t>
  </si>
  <si>
    <t>KENETH AMON LULENGA</t>
  </si>
  <si>
    <t>MASAMA G BARNABA</t>
  </si>
  <si>
    <t>RAMADHANI OMARY MNONJI</t>
  </si>
  <si>
    <t>SAID AHMED ABBAS</t>
  </si>
  <si>
    <t>ROBINSON MKANDAWILE KASSIAN</t>
  </si>
  <si>
    <t>JACKSON CHARLES NIKOBOGORO</t>
  </si>
  <si>
    <t>到达TUNDUMA</t>
  </si>
  <si>
    <t>NAKONDE出发</t>
  </si>
  <si>
    <t>T850CQL</t>
  </si>
  <si>
    <t>T904ECV</t>
  </si>
  <si>
    <t>T945CAS</t>
  </si>
  <si>
    <t>T642CJT</t>
  </si>
  <si>
    <t>T770CRG</t>
  </si>
  <si>
    <t>T613DPV</t>
  </si>
  <si>
    <t>T657BZY</t>
  </si>
  <si>
    <t>T310DRF</t>
  </si>
  <si>
    <t>T704DRY</t>
  </si>
  <si>
    <t>T354DWZ</t>
  </si>
  <si>
    <t>T717DEG</t>
  </si>
  <si>
    <t>T449CBM</t>
  </si>
  <si>
    <t>T401BJE</t>
  </si>
  <si>
    <t>T392DRY</t>
  </si>
  <si>
    <t>T437DBY</t>
  </si>
  <si>
    <t>ADABERT SWEETBERT CHILUMBA</t>
  </si>
  <si>
    <t>BAKARI SALIM BAKARI</t>
  </si>
  <si>
    <t>ELISHA WILLIAM SAID</t>
  </si>
  <si>
    <t>ATHUMANI ERASTO NGULWARA</t>
  </si>
  <si>
    <t>DANIEL ANDALILE FOKILE</t>
  </si>
  <si>
    <t>LUGANO YANGSON MWAFONGO</t>
  </si>
  <si>
    <t>HAMIS MOSHI MSOKOALE</t>
  </si>
  <si>
    <t>SHABANI ABDALLAH NZUGILO</t>
  </si>
  <si>
    <t>EVODY ANTONI PASTORY</t>
  </si>
  <si>
    <t>SAIDI OBEDI MSOFE</t>
  </si>
  <si>
    <t>T398BQX-T531EFH</t>
  </si>
  <si>
    <t>T374CRT-T244EMP</t>
  </si>
  <si>
    <t>T540CTF-T226EMM</t>
  </si>
  <si>
    <t>T188CVF-T675DUQ</t>
  </si>
  <si>
    <t>T173DXQ-T176DXQ</t>
  </si>
  <si>
    <t>T364DCA</t>
  </si>
  <si>
    <t>T338DGN</t>
  </si>
  <si>
    <t>JONAS TUMAINIELI MWENDE</t>
  </si>
  <si>
    <t>T203DYR</t>
  </si>
  <si>
    <t>CHESKO CHUMILA NGWETA</t>
  </si>
  <si>
    <t>T229DNF</t>
  </si>
  <si>
    <t>PETER MAURICE MAPUNDA</t>
  </si>
  <si>
    <t>T621CKK</t>
  </si>
  <si>
    <t>HAMISI JUMA SHABANI</t>
  </si>
  <si>
    <t>T443DZH</t>
  </si>
  <si>
    <t>BAKARI ALLY SHANI</t>
  </si>
  <si>
    <t>T501DMH</t>
  </si>
  <si>
    <t>BLASIUS DANIEL LAY</t>
  </si>
  <si>
    <t>T771EAE</t>
  </si>
  <si>
    <t>BAKARI MOHAMMED KHATIBU</t>
  </si>
  <si>
    <t>T477DZH</t>
  </si>
  <si>
    <t>JUMA FESTO PHINIAS</t>
  </si>
  <si>
    <t>T202DYR</t>
  </si>
  <si>
    <t>AMAN HARUNA NGOLLOH</t>
  </si>
  <si>
    <t>T375EFR</t>
  </si>
  <si>
    <t>CLOFAC FAUSTIN MALIMA</t>
  </si>
  <si>
    <t>T772AHL-T948DWJ</t>
  </si>
  <si>
    <t>T756BYV-T397DSM</t>
  </si>
  <si>
    <t>T468CBM-T220EMM</t>
  </si>
  <si>
    <t>T332EBB-T577EBB</t>
  </si>
  <si>
    <t>T997ANZ-T236EMM</t>
  </si>
  <si>
    <t>T538CRA-T932DWJ</t>
  </si>
  <si>
    <t>T334EBB-T566EBB</t>
  </si>
  <si>
    <t>T215DEG-T565DTR</t>
  </si>
  <si>
    <t>T236EFX-T407EFX</t>
  </si>
  <si>
    <t>COMPLETED</t>
  </si>
  <si>
    <t>T498DMH</t>
  </si>
  <si>
    <t>T614DPV</t>
  </si>
  <si>
    <t>T505DQH</t>
  </si>
  <si>
    <t>T447EFR</t>
  </si>
  <si>
    <t>T341DWZ</t>
  </si>
  <si>
    <t>T772EAE</t>
  </si>
  <si>
    <t>T327DMH</t>
  </si>
  <si>
    <t>T465DZH</t>
  </si>
  <si>
    <t>T879EBS</t>
  </si>
  <si>
    <t>T219DQD-T504DQD</t>
  </si>
  <si>
    <t>T530CTF-T196EMP</t>
  </si>
  <si>
    <t>T217DEG-T217DEG</t>
  </si>
  <si>
    <t>T239EFX-T315EFX</t>
  </si>
  <si>
    <t>T116DXM-T117DXM</t>
  </si>
  <si>
    <t>T753CVC-T993DWJ</t>
  </si>
  <si>
    <t>T657AVR-T376DTD</t>
  </si>
  <si>
    <t>T341EBB-T563EBB</t>
  </si>
  <si>
    <t>T969EBC-T548EBB</t>
  </si>
  <si>
    <t>SALIMU HAMISS SAID</t>
  </si>
  <si>
    <t>MOHAMED OMAR SALEHE</t>
  </si>
  <si>
    <t>ALLY MOHAMEDI KAJO</t>
  </si>
  <si>
    <t>EMANUEL ANDELILE MSUSI</t>
  </si>
  <si>
    <t>MOHAMED MSHANA OMARI</t>
  </si>
  <si>
    <t>ATHUMANI BAKARI CHIKOKO</t>
  </si>
  <si>
    <t>ISMAIL MOHAMED SINDA</t>
  </si>
  <si>
    <t>JUMA HAMISI BUNGARA</t>
  </si>
  <si>
    <t>DENIS MWEMEZI THOMAS</t>
  </si>
  <si>
    <t>T297EJA</t>
  </si>
  <si>
    <t>T316DRM</t>
  </si>
  <si>
    <t>T357DZH</t>
  </si>
  <si>
    <t>T324BZY</t>
  </si>
  <si>
    <t>T674CJT</t>
  </si>
  <si>
    <t>T725DPW</t>
  </si>
  <si>
    <t>T482DZH</t>
  </si>
  <si>
    <t>T350DWZ</t>
  </si>
  <si>
    <t>T353DWZ</t>
  </si>
  <si>
    <t>T895ECV</t>
  </si>
  <si>
    <t>T261DTD</t>
  </si>
  <si>
    <t>T185DED</t>
  </si>
  <si>
    <t>T697CKC</t>
  </si>
  <si>
    <t>ABDALLAH ATHUMANI ALLY</t>
  </si>
  <si>
    <t>FRENK MOHAMED MANYAI</t>
  </si>
  <si>
    <t>MANASE WILBAD MSOFE</t>
  </si>
  <si>
    <t xml:space="preserve">ALEX GOMEL ROBERT </t>
  </si>
  <si>
    <t>HAMIS MOHAMED NYANYANGE</t>
  </si>
  <si>
    <t>MATHIAS RICHARD NGAA</t>
  </si>
  <si>
    <t>ABDUL MOHAMED SATAL</t>
  </si>
  <si>
    <t>MAKWAYA ATHUMANI MLUNDI</t>
  </si>
  <si>
    <t>HEMEDI JUMANNE IDDI</t>
  </si>
  <si>
    <t>IDDI HASSAN CHILEU</t>
  </si>
  <si>
    <t>T151EHW-T252EMP</t>
  </si>
  <si>
    <t>T967EBC-T549EBB</t>
  </si>
  <si>
    <t>T105APA-T719EFH</t>
  </si>
  <si>
    <t>T728CVC-T998DWJ</t>
  </si>
  <si>
    <t>T342EBB-T564EBB</t>
  </si>
  <si>
    <t>T645CKC-T581DTR</t>
  </si>
  <si>
    <t>T472CBM-T216EMP</t>
  </si>
  <si>
    <t>T444DZH</t>
  </si>
  <si>
    <t>T724DRY</t>
  </si>
  <si>
    <t>T442DZH</t>
  </si>
  <si>
    <t>T273CUN</t>
  </si>
  <si>
    <t>T798CCY</t>
  </si>
  <si>
    <t>T663DQF</t>
  </si>
  <si>
    <t>T446DZH</t>
  </si>
  <si>
    <t>T872EBS</t>
  </si>
  <si>
    <t>T668BZY</t>
  </si>
  <si>
    <t>T203DSK</t>
  </si>
  <si>
    <t>MOHAMED ISMAIL MOHAMED</t>
  </si>
  <si>
    <t>RICHARD MAGENI BUPAMBA</t>
  </si>
  <si>
    <t xml:space="preserve">EMMANUEL EDWARD KYEJO </t>
  </si>
  <si>
    <t>NICHOLAS GWALUSAKO MWAKALEBELA</t>
  </si>
  <si>
    <t>MICHAEL JOHN POMBO</t>
  </si>
  <si>
    <t>MASHAULI JOEL SENGUKA</t>
  </si>
  <si>
    <t>SUDI HALIFA MIZOZO</t>
  </si>
  <si>
    <t>ABDALLAH HAMIS MGANGA</t>
  </si>
  <si>
    <t>LUCAS CHARLES HENRY</t>
  </si>
  <si>
    <t>T345EBB-T562EBB</t>
  </si>
  <si>
    <t>T347EBB-T560EBB</t>
  </si>
  <si>
    <t>T387BXG-T619EFH</t>
  </si>
  <si>
    <t>T181EFX-T305EFX</t>
  </si>
  <si>
    <t>T881DQF-T882DQF</t>
  </si>
  <si>
    <t>T203DZH-T862DZG</t>
  </si>
  <si>
    <t>T966EBC-T550EBB</t>
  </si>
  <si>
    <t>T896CBB-T990DWJ</t>
  </si>
  <si>
    <t>MV Action</t>
  </si>
  <si>
    <t>GT OCEAN TRANSPORTATION LIMITED</t>
  </si>
  <si>
    <t>序号</t>
  </si>
  <si>
    <t>提单号</t>
  </si>
  <si>
    <t>卡车牌号</t>
  </si>
  <si>
    <t>拖车牌号</t>
  </si>
  <si>
    <t>司机姓名</t>
  </si>
  <si>
    <t>目的地</t>
  </si>
  <si>
    <t>司机电话</t>
  </si>
  <si>
    <t>吨袋</t>
  </si>
  <si>
    <t>文件接收</t>
  </si>
  <si>
    <t>船司</t>
  </si>
  <si>
    <t>船名</t>
  </si>
  <si>
    <t>预计抵港</t>
  </si>
  <si>
    <t>实际靠泊</t>
  </si>
  <si>
    <t>船司放行</t>
  </si>
  <si>
    <t>装运时间</t>
  </si>
  <si>
    <t>起运时间</t>
  </si>
  <si>
    <r>
      <rPr>
        <b/>
        <sz val="8"/>
        <color theme="0"/>
        <rFont val="宋体"/>
        <family val="3"/>
        <charset val="134"/>
      </rPr>
      <t>到达</t>
    </r>
    <r>
      <rPr>
        <b/>
        <sz val="8"/>
        <color theme="0"/>
        <rFont val="Tahoma"/>
        <family val="2"/>
      </rPr>
      <t>TUNDUMA</t>
    </r>
  </si>
  <si>
    <r>
      <t>NAKONDE</t>
    </r>
    <r>
      <rPr>
        <b/>
        <sz val="8"/>
        <color theme="0"/>
        <rFont val="宋体"/>
        <family val="3"/>
        <charset val="134"/>
      </rPr>
      <t>出发</t>
    </r>
  </si>
  <si>
    <t>到达目的地</t>
  </si>
  <si>
    <t>卸货时间</t>
  </si>
  <si>
    <t>备注</t>
  </si>
  <si>
    <t>TRUCK
NUMBER</t>
  </si>
  <si>
    <t>TRAILER 
NUMBER</t>
  </si>
  <si>
    <t>DRIVER
NAME</t>
  </si>
  <si>
    <t>FINAL
DESTINATION</t>
  </si>
  <si>
    <t>DOCUMENTS RECEIVED</t>
  </si>
  <si>
    <t>SHIPPING
LINE</t>
  </si>
  <si>
    <t>VESSEL</t>
  </si>
  <si>
    <t>ETA</t>
  </si>
  <si>
    <t>ATB</t>
  </si>
  <si>
    <t>DISPATCH DATE</t>
  </si>
  <si>
    <t>DEPARTED
NAKONDE</t>
  </si>
  <si>
    <t>COMMENTS</t>
  </si>
  <si>
    <t>T660DQF (T149EES)</t>
  </si>
  <si>
    <t>T272DQD-T513DQD</t>
  </si>
  <si>
    <t>KOLWEZI/SICODEX</t>
  </si>
  <si>
    <t>T373DCA</t>
  </si>
  <si>
    <t>T645AVR</t>
  </si>
  <si>
    <t>SEIF MOHAMEDI HASSAN</t>
  </si>
  <si>
    <t>Completed</t>
  </si>
  <si>
    <t>T660BXN</t>
  </si>
  <si>
    <t>T187DED-T557DTR</t>
  </si>
  <si>
    <t>EZEKIA EDWARD KYEJO</t>
  </si>
  <si>
    <t>T579DMJ</t>
  </si>
  <si>
    <t>T486BCE-T123DUG</t>
  </si>
  <si>
    <t>AMBLOZI ZENO NKOSWE</t>
  </si>
  <si>
    <t>T606DPW</t>
  </si>
  <si>
    <t>T182DED</t>
  </si>
  <si>
    <t>SHABANI SIASA NGOCHELA</t>
  </si>
  <si>
    <t>T654CJT</t>
  </si>
  <si>
    <t>T167CTH</t>
  </si>
  <si>
    <t>SADICK RASHID KIBWANA</t>
  </si>
  <si>
    <t>T432BVZ</t>
  </si>
  <si>
    <t>T748CVC-T246EMP</t>
  </si>
  <si>
    <t>HAMIS RASHID MIHAYO</t>
  </si>
  <si>
    <t>T629DPW</t>
  </si>
  <si>
    <t>T699BMY</t>
  </si>
  <si>
    <t>FAIDHAL IAN SHUNDI</t>
  </si>
  <si>
    <t>T200DYR</t>
  </si>
  <si>
    <t>T706BMY-T570DTR</t>
  </si>
  <si>
    <t>RASHID DADI SWALEH</t>
  </si>
  <si>
    <t>T579DPW</t>
  </si>
  <si>
    <t>T120ATF</t>
  </si>
  <si>
    <t>PLIVA MADEGA SILIMANUS</t>
  </si>
  <si>
    <t>T648CJT</t>
  </si>
  <si>
    <t>T499DAA</t>
  </si>
  <si>
    <t>MELKION NICHOLAUS NTOGHA</t>
  </si>
  <si>
    <t>T174EJA</t>
  </si>
  <si>
    <t>T105EHW-T195EMP</t>
  </si>
  <si>
    <t>SHABAN JUMA KAPERA</t>
  </si>
  <si>
    <t>T451EFR</t>
  </si>
  <si>
    <t>T490ELF-T208EMP</t>
  </si>
  <si>
    <t>SAID MOHAMED KHALFANI</t>
  </si>
  <si>
    <t>T308BZY</t>
  </si>
  <si>
    <t>T405BQX-T260EMP</t>
  </si>
  <si>
    <t>KHAMIS MOHAMED ABDALLAH</t>
  </si>
  <si>
    <t>T643DPW</t>
  </si>
  <si>
    <t>T211DEG</t>
  </si>
  <si>
    <t>HABIB ALLY MIANDANJE</t>
  </si>
  <si>
    <t>T321CFY</t>
  </si>
  <si>
    <t>T693BMY</t>
  </si>
  <si>
    <t>MASHAKA SALUM KIYOYA</t>
  </si>
  <si>
    <t>T139DDY</t>
  </si>
  <si>
    <t>T720DEG</t>
  </si>
  <si>
    <t xml:space="preserve">SIMONI JULIUS NDILLAH </t>
  </si>
  <si>
    <t>T148DDY</t>
  </si>
  <si>
    <t>T665AVR</t>
  </si>
  <si>
    <t>EDWARD LAWRENCE MSIMBE</t>
  </si>
  <si>
    <t>T136DDY</t>
  </si>
  <si>
    <t>T993ATE</t>
  </si>
  <si>
    <t>SAMWELI ELIKANA PHILIPO</t>
  </si>
  <si>
    <t>T326CFY</t>
  </si>
  <si>
    <t>T199BED</t>
  </si>
  <si>
    <t xml:space="preserve">ALLY SALUM ABDALLAH </t>
  </si>
  <si>
    <t>T611DPW</t>
  </si>
  <si>
    <t>T202DEG</t>
  </si>
  <si>
    <t>ISACK HARIM MWAMENGO</t>
  </si>
  <si>
    <t>T638DPW</t>
  </si>
  <si>
    <t>T792BDF</t>
  </si>
  <si>
    <t>ALLY ABDALLAH RASHID</t>
  </si>
  <si>
    <t>T599DPW</t>
  </si>
  <si>
    <t>T524BWD</t>
  </si>
  <si>
    <t xml:space="preserve">BAKARI HATIBU CHIPETA </t>
  </si>
  <si>
    <t>T642DPW</t>
  </si>
  <si>
    <t>T535BWU</t>
  </si>
  <si>
    <t xml:space="preserve">LUGANO JOHN GWANKISA </t>
  </si>
  <si>
    <t>T595DPW</t>
  </si>
  <si>
    <t>T102APA</t>
  </si>
  <si>
    <t>SAID ALLY SAID</t>
  </si>
  <si>
    <t>T151DDY</t>
  </si>
  <si>
    <t>T661AVR</t>
  </si>
  <si>
    <t>CHRISTOPHER ADELING MASAWE</t>
  </si>
  <si>
    <t>T942DEY</t>
  </si>
  <si>
    <t>T343DGN</t>
  </si>
  <si>
    <t>PHILIPO ANYINGISYE MWANYINGILI</t>
  </si>
  <si>
    <t>T927EGG</t>
  </si>
  <si>
    <t>T101DXM-T105DXM</t>
  </si>
  <si>
    <t>HAMAD JUMA OMARI</t>
  </si>
  <si>
    <t>T781CCY</t>
  </si>
  <si>
    <t>T417EFX</t>
  </si>
  <si>
    <t>TWAHA H BIYOMBO</t>
  </si>
  <si>
    <t>T583DMJ</t>
  </si>
  <si>
    <t>T183DED</t>
  </si>
  <si>
    <t>THEONAS VICENT KALYALYA</t>
  </si>
  <si>
    <t>T490DQH</t>
  </si>
  <si>
    <t>T899BBQ</t>
  </si>
  <si>
    <t>BAKARI ATHUMAN MJAKEO</t>
  </si>
  <si>
    <t>T383DZH</t>
  </si>
  <si>
    <t>T466CBM</t>
  </si>
  <si>
    <t>MOHAMED MUSSA MOHAMED</t>
  </si>
  <si>
    <t>T301BXT</t>
  </si>
  <si>
    <t>T758CVC-T720EFH</t>
  </si>
  <si>
    <t>COSMAS ISRAEL SANGA</t>
  </si>
  <si>
    <t>T960EBX</t>
  </si>
  <si>
    <t>T270ECC</t>
  </si>
  <si>
    <t>NUHU EDDY KILAPILO</t>
  </si>
  <si>
    <t>T351DWZ</t>
  </si>
  <si>
    <t>T623DXS-T626DXS</t>
  </si>
  <si>
    <t>JAMES WILLIAM KIWIA</t>
  </si>
  <si>
    <t>T418BVZ</t>
  </si>
  <si>
    <t>T463CBM</t>
  </si>
  <si>
    <t>MUSSA DAUDI SADIKI</t>
  </si>
  <si>
    <t>T931EFC</t>
  </si>
  <si>
    <t>T201EFH</t>
  </si>
  <si>
    <t>SHABANI YUSUPH KIVUNJA</t>
  </si>
  <si>
    <t>PUMP LAMIKAL/SICODEX</t>
  </si>
  <si>
    <t>T852EFC</t>
  </si>
  <si>
    <t>T182EFH</t>
  </si>
  <si>
    <t>HARUNA AMANI HARUNA</t>
  </si>
  <si>
    <t>T924EJU</t>
  </si>
  <si>
    <t>T976EJU</t>
  </si>
  <si>
    <t>MAJUTO SADIKI ATHUMANI</t>
  </si>
  <si>
    <t>T932EJU</t>
  </si>
  <si>
    <t>T163EJV</t>
  </si>
  <si>
    <t>ROBERT NICODEM MFUNGWASITA</t>
  </si>
  <si>
    <t>T922EFC</t>
  </si>
  <si>
    <t>T197EFH</t>
  </si>
  <si>
    <t>DAVID VICTOR KYAMBA</t>
  </si>
  <si>
    <t>T897EJU</t>
  </si>
  <si>
    <t>T984EJU</t>
  </si>
  <si>
    <t>AYUBU MUSTAFA KASHUSHA</t>
  </si>
  <si>
    <t>T915EJU</t>
  </si>
  <si>
    <t>T105EJV</t>
  </si>
  <si>
    <t>ISDORY BONIFACE NZALI</t>
  </si>
  <si>
    <t>T886EFC</t>
  </si>
  <si>
    <t>T192EFH</t>
  </si>
  <si>
    <t>ASAJILE HEBRON MWAIJUMBA</t>
  </si>
  <si>
    <t>T867EFC</t>
  </si>
  <si>
    <t>T186EFH</t>
  </si>
  <si>
    <t>RASHID LUKAS RITANDA</t>
  </si>
  <si>
    <t>T898EJU</t>
  </si>
  <si>
    <t>T986EJU</t>
  </si>
  <si>
    <t xml:space="preserve">GEFT  LEONARD MASANJA </t>
  </si>
  <si>
    <t>T887CJS</t>
  </si>
  <si>
    <t>T741CVC-T423EFH</t>
  </si>
  <si>
    <t>MICHAEL CHENI BWANAKOO</t>
  </si>
  <si>
    <t>T717DMS</t>
  </si>
  <si>
    <t>T246DQD-T511DQD</t>
  </si>
  <si>
    <t>IDD MATAYI SABO</t>
  </si>
  <si>
    <t>T310EES</t>
  </si>
  <si>
    <t>T254DQD-T515DQD</t>
  </si>
  <si>
    <t>BAHATI A MWATUPOSOLE</t>
  </si>
  <si>
    <t>T381EFR</t>
  </si>
  <si>
    <t>T414EFX</t>
  </si>
  <si>
    <t>ABASI YAHAYA ALLY</t>
  </si>
  <si>
    <t>T926EJU</t>
  </si>
  <si>
    <t>T 164 EJV</t>
  </si>
  <si>
    <t>MIRAJI HAMISI MIRAJI</t>
  </si>
  <si>
    <t>T841EFC</t>
  </si>
  <si>
    <t>T180EFH</t>
  </si>
  <si>
    <t>T774CRG</t>
  </si>
  <si>
    <t>T949CTU</t>
  </si>
  <si>
    <t>MOHAMMED ALLY MATIMBWA</t>
  </si>
  <si>
    <t>T716DMS</t>
  </si>
  <si>
    <t>T270DQD-T507DQD</t>
  </si>
  <si>
    <t>DEOGRATIAS ENYASI SHIYO</t>
  </si>
  <si>
    <t>T207DYR</t>
  </si>
  <si>
    <t>T742BAK-T567DTR</t>
  </si>
  <si>
    <t>EDGAR FRANCIS LALISA</t>
  </si>
  <si>
    <t>T232DNF</t>
  </si>
  <si>
    <t>T569CTF-T566DTR</t>
  </si>
  <si>
    <t>BASHIRI WAZIRI MFINANGA</t>
  </si>
  <si>
    <t>T251CVP</t>
  </si>
  <si>
    <t>T500DMH</t>
  </si>
  <si>
    <t>T855CBB-T612EFH</t>
  </si>
  <si>
    <t>HEZRON GEORGE NSONGAMA</t>
  </si>
  <si>
    <t>T883ECV</t>
  </si>
  <si>
    <t>T514AUU</t>
  </si>
  <si>
    <t>DAN JOHN NGWETA</t>
  </si>
  <si>
    <t>T859DVK</t>
  </si>
  <si>
    <t>T495DCA</t>
  </si>
  <si>
    <t>GABON KALUGE  MASALE</t>
  </si>
  <si>
    <t>T772AHL</t>
  </si>
  <si>
    <t>LEONARD EVARISTO SIWINGWA</t>
  </si>
  <si>
    <t>T545BXN</t>
  </si>
  <si>
    <t>T867CBB</t>
  </si>
  <si>
    <t>MATHAYO DANFORD LUHANGA</t>
  </si>
  <si>
    <t>T154EJA</t>
  </si>
  <si>
    <t>T693EHV</t>
  </si>
  <si>
    <t>CLAUDY FRANK CHAMBULILA</t>
  </si>
  <si>
    <t>T860DVK</t>
  </si>
  <si>
    <t>T432DBY</t>
  </si>
  <si>
    <t>SHABAN SEIF KAMWELWE</t>
  </si>
  <si>
    <t>T328DWZ</t>
  </si>
  <si>
    <t>T390ALY</t>
  </si>
  <si>
    <t>VICTORY ANDREAY MWEAKALONGE</t>
  </si>
  <si>
    <t>T628BVP</t>
  </si>
  <si>
    <t>T526CRA</t>
  </si>
  <si>
    <t>SALUMU KIBWANA SEKIBO</t>
  </si>
  <si>
    <t>T193DYR</t>
  </si>
  <si>
    <t>T643CKC</t>
  </si>
  <si>
    <t>MBARAKA SALEHE SHENGOTO</t>
  </si>
  <si>
    <t>T890ECV</t>
  </si>
  <si>
    <t>T500AUU</t>
  </si>
  <si>
    <t>MAURIDI ABASI AMIRY</t>
  </si>
  <si>
    <t>T541DMH</t>
  </si>
  <si>
    <t>T408CRA</t>
  </si>
  <si>
    <t>GODFREY FAUSTINE MAKULA</t>
  </si>
  <si>
    <t>T223EES</t>
  </si>
  <si>
    <t>T186DED</t>
  </si>
  <si>
    <t>PAULO JENGO PAULO</t>
  </si>
  <si>
    <t>T916EJU</t>
  </si>
  <si>
    <t>T133EJV</t>
  </si>
  <si>
    <t>BAHATI AGUSTINO NGUVUMALI</t>
  </si>
  <si>
    <t>T886EJU</t>
  </si>
  <si>
    <t>T167EJV</t>
  </si>
  <si>
    <t>ANTONY JACOB TWANGE</t>
  </si>
  <si>
    <t>T849EFC</t>
  </si>
  <si>
    <t>T181EFH</t>
  </si>
  <si>
    <t>IBRAHIM SALUM WERIKAYA</t>
  </si>
  <si>
    <t>T871EFC</t>
  </si>
  <si>
    <t>T188EFH</t>
  </si>
  <si>
    <t>MTENZI METHEW SIYOVELA</t>
  </si>
  <si>
    <t>T925EJU</t>
  </si>
  <si>
    <t>T964EJU</t>
  </si>
  <si>
    <t>MUSSA CHARLES MAZENGO</t>
  </si>
  <si>
    <t>T882EJU</t>
  </si>
  <si>
    <t>T974EJU</t>
  </si>
  <si>
    <t>HAMZA RAMADHANI SALUM</t>
  </si>
  <si>
    <t>T940EFC</t>
  </si>
  <si>
    <t>T203EFH</t>
  </si>
  <si>
    <t>POLYCAP TITUS MDULINGWA</t>
  </si>
  <si>
    <t>T883EJU</t>
  </si>
  <si>
    <t>T152EJV</t>
  </si>
  <si>
    <t>SEMU ALFREDY MUHEMECHI</t>
  </si>
  <si>
    <t>T867EBS</t>
  </si>
  <si>
    <t>T961EBC</t>
  </si>
  <si>
    <t>PASTORY MZUMARI CHARLES</t>
  </si>
  <si>
    <t>T170EBA</t>
  </si>
  <si>
    <t xml:space="preserve">T932AMG </t>
  </si>
  <si>
    <t>SALUM JUNAIDI MDOSE</t>
  </si>
  <si>
    <t>T294DRM</t>
  </si>
  <si>
    <t>T320BXG</t>
  </si>
  <si>
    <t>NICODEMUS JORDAN MATWEGULA</t>
  </si>
  <si>
    <t>T405EFM</t>
  </si>
  <si>
    <t>T325ECC</t>
  </si>
  <si>
    <t>ABDULY SAID SANGARI</t>
  </si>
  <si>
    <t>T963EBX</t>
  </si>
  <si>
    <t>T230ECC</t>
  </si>
  <si>
    <t>ABASI MRISHO HUSSEIN</t>
  </si>
  <si>
    <t>T976EBX</t>
  </si>
  <si>
    <t>T243ECC</t>
  </si>
  <si>
    <t>MIRAJI JUMA HUSSEIN</t>
  </si>
  <si>
    <t>T982EBX</t>
  </si>
  <si>
    <t>T264ECC</t>
  </si>
  <si>
    <t>RUKUMAN ALLY WARBURG</t>
  </si>
  <si>
    <t>T970EBX</t>
  </si>
  <si>
    <t>T252ECC</t>
  </si>
  <si>
    <t>HERRY SAIDI SANGARI</t>
  </si>
  <si>
    <t>T971EBX</t>
  </si>
  <si>
    <t>T323ECC</t>
  </si>
  <si>
    <t>JABIRI JABU SAAD</t>
  </si>
  <si>
    <t>T977EBX</t>
  </si>
  <si>
    <t>T291ECC</t>
  </si>
  <si>
    <t>MOHAMEDI HAMISI SEIFU</t>
  </si>
  <si>
    <t>T984EBX</t>
  </si>
  <si>
    <t>T297ECC</t>
  </si>
  <si>
    <t>IKUPILIKA EDSON MWANGOMBOLA</t>
  </si>
  <si>
    <t>T339DWZ</t>
  </si>
  <si>
    <t>T192DXQ</t>
  </si>
  <si>
    <t>OMARY HASHIM MBUNDA</t>
  </si>
  <si>
    <t>T479DZH</t>
  </si>
  <si>
    <t>T195DZH</t>
  </si>
  <si>
    <t>LAWRENCE ONESMO SANGIJA</t>
  </si>
  <si>
    <t>T436CRA</t>
  </si>
  <si>
    <t>T796DRY</t>
  </si>
  <si>
    <t>T205DSK</t>
  </si>
  <si>
    <t xml:space="preserve">HEMED SAID HEMED </t>
  </si>
  <si>
    <t>T540CTF</t>
  </si>
  <si>
    <t>T956CAS</t>
  </si>
  <si>
    <t>T411EFX</t>
  </si>
  <si>
    <t>FRUGENCE KAGANDE RAZALO</t>
  </si>
  <si>
    <t xml:space="preserve"> T277DTA</t>
  </si>
  <si>
    <t>T269DSM</t>
  </si>
  <si>
    <t>JUMA SEPH SHUNDA</t>
  </si>
  <si>
    <t>T658DQF</t>
  </si>
  <si>
    <t>T879DQF</t>
  </si>
  <si>
    <t>ALLY HUSSEIN KULILI</t>
  </si>
  <si>
    <t>T307CVN</t>
  </si>
  <si>
    <t>T508BWD-T930DWJ</t>
  </si>
  <si>
    <t>JOSEPH NICHOLAUS MKOMA</t>
  </si>
  <si>
    <t>T697DRY</t>
  </si>
  <si>
    <t>T204DSK</t>
  </si>
  <si>
    <t>SEBASTIAN JOHN SEBASTIAN</t>
  </si>
  <si>
    <t>T157EES</t>
  </si>
  <si>
    <t>T351EGE</t>
  </si>
  <si>
    <t>ATHUMANI SHABANI MILLONDOMO</t>
  </si>
  <si>
    <t>T714DMS</t>
  </si>
  <si>
    <t>T631DRM-T638DRM</t>
  </si>
  <si>
    <t>INVOCAFTH YONA LEMA</t>
  </si>
  <si>
    <t>T224DQD-T224DQD</t>
  </si>
  <si>
    <t>T870DRL</t>
  </si>
  <si>
    <t>T398DRY</t>
  </si>
  <si>
    <t>GODFREY ALPHONCE PHILIPO</t>
  </si>
  <si>
    <t>MBARAKA ABDALLAH ATHUMAN</t>
  </si>
  <si>
    <t>T363EFR</t>
  </si>
  <si>
    <t>T238EFX-T312EFX</t>
  </si>
  <si>
    <t>SAID RAMADHAN JUMA</t>
  </si>
  <si>
    <t>T940DEY</t>
  </si>
  <si>
    <t>T320DGN</t>
  </si>
  <si>
    <t>SAID NASSOR JUMA</t>
  </si>
  <si>
    <t>T903ECV</t>
  </si>
  <si>
    <t>T357EGE</t>
  </si>
  <si>
    <t>WILIADI LUKUSYILA MWAKYOMA</t>
  </si>
  <si>
    <t>T342DWZ</t>
  </si>
  <si>
    <t>T122DXM-T123DXM</t>
  </si>
  <si>
    <t>JOHN DEVID SHANGALI</t>
  </si>
  <si>
    <t>T899ECV</t>
  </si>
  <si>
    <t>T233DQD-T517DQD</t>
  </si>
  <si>
    <t>KIKWALA ADOLPH KASWIZA</t>
  </si>
  <si>
    <t>T334EFR</t>
  </si>
  <si>
    <t>T415EFX-T195EFX</t>
  </si>
  <si>
    <t>ZUBERI SAID ZUBERI</t>
  </si>
  <si>
    <t>T193DNF</t>
  </si>
  <si>
    <t>T882CBB-T968DWJ</t>
  </si>
  <si>
    <t xml:space="preserve">IBRAHIM EZEKIEL PHILIPO </t>
  </si>
  <si>
    <t>T884EBS</t>
  </si>
  <si>
    <t>T962EBC-T553EBB</t>
  </si>
  <si>
    <t xml:space="preserve">KAMEHA KENEDY CHALO </t>
  </si>
  <si>
    <t>T418BXV</t>
  </si>
  <si>
    <t>T196BED-T677EFH</t>
  </si>
  <si>
    <t>JOSHUA BROWN NZAVIKE</t>
  </si>
  <si>
    <t>T863CJS</t>
  </si>
  <si>
    <t>T161CTH-T675EFH</t>
  </si>
  <si>
    <t>OMARY MOHAMED ALLY</t>
  </si>
  <si>
    <t>T255CVP</t>
  </si>
  <si>
    <t>T874CTU-T617EFH</t>
  </si>
  <si>
    <t>ABDALAH MASUDI ABDALAH</t>
  </si>
  <si>
    <t>Sn</t>
  </si>
  <si>
    <t>B/L</t>
  </si>
  <si>
    <t>waiting to release Dar</t>
  </si>
  <si>
    <t xml:space="preserve">In -Transit TZ </t>
  </si>
  <si>
    <t xml:space="preserve">At Tunduma </t>
  </si>
  <si>
    <t>At Nakonde</t>
  </si>
  <si>
    <t xml:space="preserve">In -Transit Zambia </t>
  </si>
  <si>
    <t>At K-lesa Borders</t>
  </si>
  <si>
    <t>In transit DRC</t>
  </si>
  <si>
    <t xml:space="preserve">Waiting to Offload </t>
  </si>
  <si>
    <t>Offloaded</t>
  </si>
  <si>
    <t>Total</t>
  </si>
  <si>
    <t>MV ACTION</t>
  </si>
  <si>
    <t>BL 696066666</t>
  </si>
  <si>
    <t>LDAN 8</t>
  </si>
  <si>
    <t>HDAN 20</t>
  </si>
  <si>
    <t>BL</t>
  </si>
  <si>
    <t>T715DMS</t>
  </si>
  <si>
    <t>T582DPW</t>
  </si>
  <si>
    <t>T357DWZ</t>
  </si>
  <si>
    <t>T298DRF</t>
  </si>
  <si>
    <t>T596CJT</t>
  </si>
  <si>
    <t>T635BVP</t>
  </si>
  <si>
    <t>T533BXN</t>
  </si>
  <si>
    <t>T622DPV</t>
  </si>
  <si>
    <t>T940CTU</t>
  </si>
  <si>
    <t>T399DRY</t>
  </si>
  <si>
    <t>T558CTF</t>
  </si>
  <si>
    <t>ANTHONY ALLEN LUKINDO</t>
  </si>
  <si>
    <t>GIVEN GERALD KIMARO</t>
  </si>
  <si>
    <t>OMAR JUMA MACHIBYA</t>
  </si>
  <si>
    <t>ADOLF PAUL KILIMANJARO</t>
  </si>
  <si>
    <t>PASCHAL JANGSON MWAIPOPO</t>
  </si>
  <si>
    <t>EMMANUEL LEARNSON NJOWELA</t>
  </si>
  <si>
    <t>SADUKI BONIFACE MAGESA</t>
  </si>
  <si>
    <t>MUSSA DIWADHA DAUDA</t>
  </si>
  <si>
    <t>T249DQD-T514DQD</t>
  </si>
  <si>
    <t>T609DXS-T611DXS</t>
  </si>
  <si>
    <t>T113BFS-T198EMP</t>
  </si>
  <si>
    <t>T777AXN-T285EMP</t>
  </si>
  <si>
    <t>T963ASG-T517EFH</t>
  </si>
  <si>
    <t>T426BVZ</t>
  </si>
  <si>
    <t>T797DRY</t>
  </si>
  <si>
    <t>T711DMS</t>
  </si>
  <si>
    <t>T856DVK</t>
  </si>
  <si>
    <t>T703BVB</t>
  </si>
  <si>
    <t>T192BED</t>
  </si>
  <si>
    <t>T262DTD</t>
  </si>
  <si>
    <t>T239DQD</t>
  </si>
  <si>
    <t>T439DBY</t>
  </si>
  <si>
    <t>T105EHW</t>
  </si>
  <si>
    <t>T254ARR</t>
  </si>
  <si>
    <t>EMMANUEL BETHODI MGOMAHENGA</t>
  </si>
  <si>
    <t>EMMANUEL PAUL MAKOYE</t>
  </si>
  <si>
    <t>RICHARD IPOLE MWAKATUMBULA</t>
  </si>
  <si>
    <t>HATIBU HAMADI KAMOTE</t>
  </si>
  <si>
    <t>SAID RASHIDI PAZI</t>
  </si>
  <si>
    <t>T585DPW</t>
  </si>
  <si>
    <t>T873CQL</t>
  </si>
  <si>
    <t>T709DMS</t>
  </si>
  <si>
    <t>T196BUF</t>
  </si>
  <si>
    <t>BARAKA PETER VICENT</t>
  </si>
  <si>
    <t>CHILE JACKOBU MAHENGE</t>
  </si>
  <si>
    <t>ALAMINI SADICK OMARY</t>
  </si>
  <si>
    <t>T178DED-T578DTR</t>
  </si>
  <si>
    <t>T221DQD-T512DQD</t>
  </si>
  <si>
    <t>T998DNE</t>
  </si>
  <si>
    <t>MIRAJI JABIRY KAMONGO</t>
  </si>
  <si>
    <t>T399EFR</t>
  </si>
  <si>
    <t>AHMED ALLY GOMBAT</t>
  </si>
  <si>
    <t>T197EES</t>
  </si>
  <si>
    <t>T739CWH</t>
  </si>
  <si>
    <t>RASHIDI ABDALLAH MIRAMBO</t>
  </si>
  <si>
    <t>T724AHL-T372DSM</t>
  </si>
  <si>
    <t>T226EFX-T401EFX</t>
  </si>
  <si>
    <t>BL 696048438 LIKASI</t>
  </si>
  <si>
    <t>BL 696048438 KOLWEZI</t>
  </si>
  <si>
    <t>T358DWZ</t>
  </si>
  <si>
    <t>T194DXQ</t>
  </si>
  <si>
    <t>SALUM RODGERS CHIPETA</t>
  </si>
  <si>
    <t>DOC</t>
  </si>
  <si>
    <t>K-LESA  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</si>
</sst>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[$-409]d\-mmm\-yy;@"/>
    <numFmt numFmtId="168" formatCode="yyyy\-mm\-dd;@"/>
    <numFmt numFmtId="169" formatCode="_([$$-409]* #,##0_);_([$$-409]* \(#,##0\);_([$$-409]* &quot;-&quot;??_);_(@_)"/>
    <numFmt numFmtId="170" formatCode="_([$$-409]* #,##0.00_);_([$$-409]* \(#,##0.00\);_([$$-409]* &quot;-&quot;??_);_(@_)"/>
    <numFmt numFmtId="171" formatCode="General\ "/>
    <numFmt numFmtId="172" formatCode="[$-409]d\-mmm;@"/>
    <numFmt numFmtId="173" formatCode="_(* #,##0_);_(* \(#,##0\);_(* &quot;-&quot;??_);_(@_)"/>
    <numFmt numFmtId="174" formatCode="_ &quot;R&quot;\ * #,##0.00_ ;_ &quot;R&quot;\ * \-#,##0.00_ ;_ &quot;R&quot;\ * &quot;-&quot;??_ ;_ @_ "/>
    <numFmt numFmtId="175" formatCode="_ * #,##0.00_ ;_ * \-#,##0.00_ ;_ * &quot;-&quot;??_ ;_ @_ "/>
    <numFmt numFmtId="176" formatCode="_-* #,##0\ _€_-;\-* #,##0\ _€_-;_-* &quot;-&quot;??\ _€_-;_-@_-"/>
    <numFmt numFmtId="177" formatCode="_-* #,##0.00\ _€_-;\-* #,##0.00\ _€_-;_-* &quot;-&quot;??\ _€_-;_-@_-"/>
    <numFmt numFmtId="178" formatCode="0.000%"/>
    <numFmt numFmtId="179" formatCode="_(* #,##0.0_);_(* \(#,##0.0\);_(* &quot;-&quot;??_);_(@_)"/>
    <numFmt numFmtId="180" formatCode="_(* #,##0.000_);_(* \(#,##0.000\);_(* &quot;-&quot;??_);_(@_)"/>
    <numFmt numFmtId="181" formatCode="_([$TZS]\ * #,##0.00_);_([$TZS]\ * \(#,##0.00\);_([$TZS]\ * &quot;-&quot;??_);_(@_)"/>
    <numFmt numFmtId="182" formatCode="0.000"/>
    <numFmt numFmtId="183" formatCode="[$-409]dd\-mmm\-yy;@"/>
    <numFmt numFmtId="184" formatCode="[$-409]d/mmm;@"/>
    <numFmt numFmtId="185" formatCode="[$-409]d/mmm/yy;@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4A597A"/>
      <name val="Arial"/>
      <family val="2"/>
    </font>
    <font>
      <sz val="11"/>
      <name val="Calibri"/>
      <family val="2"/>
      <scheme val="minor"/>
    </font>
    <font>
      <b/>
      <sz val="12"/>
      <color theme="9" tint="-0.499984740745262"/>
      <name val="Calibri"/>
      <family val="3"/>
      <charset val="134"/>
      <scheme val="minor"/>
    </font>
    <font>
      <b/>
      <sz val="18"/>
      <color theme="9" tint="-0.499984740745262"/>
      <name val="Calibri"/>
      <family val="3"/>
      <charset val="134"/>
      <scheme val="minor"/>
    </font>
    <font>
      <b/>
      <sz val="8"/>
      <color theme="0"/>
      <name val="宋体"/>
      <family val="3"/>
      <charset val="134"/>
    </font>
    <font>
      <b/>
      <sz val="8"/>
      <color theme="0"/>
      <name val="Tahoma"/>
      <family val="3"/>
      <charset val="134"/>
    </font>
    <font>
      <b/>
      <sz val="8"/>
      <color theme="0"/>
      <name val="Tahoma"/>
      <family val="2"/>
    </font>
    <font>
      <b/>
      <sz val="12"/>
      <color rgb="FFFF0000"/>
      <name val="Calibri"/>
      <family val="3"/>
      <charset val="13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.55"/>
      <color theme="10"/>
      <name val="Calibri"/>
      <family val="2"/>
    </font>
    <font>
      <sz val="11"/>
      <color rgb="FF000000"/>
      <name val="Calibri"/>
      <family val="2"/>
    </font>
    <font>
      <sz val="12"/>
      <name val="Arial Narrow"/>
      <family val="2"/>
    </font>
    <font>
      <sz val="8"/>
      <color theme="1"/>
      <name val="Arial"/>
      <family val="2"/>
    </font>
    <font>
      <sz val="10"/>
      <name val="Verdana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2"/>
      <name val="Calibri"/>
      <family val="2"/>
    </font>
    <font>
      <u/>
      <sz val="11"/>
      <color rgb="FF0463C1"/>
      <name val="Calibri"/>
      <family val="2"/>
    </font>
    <font>
      <b/>
      <sz val="13"/>
      <name val="Calibri"/>
      <family val="2"/>
      <scheme val="minor"/>
    </font>
    <font>
      <sz val="11"/>
      <color rgb="FF4A597A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Trebuchet MS"/>
      <family val="2"/>
    </font>
    <font>
      <sz val="12"/>
      <color theme="1"/>
      <name val="Calibri"/>
      <family val="2"/>
      <scheme val="minor"/>
    </font>
    <font>
      <sz val="12"/>
      <color rgb="FF000000"/>
      <name val="宋体"/>
      <charset val="134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4A597A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theme="9" tint="-0.499984740745262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EBEEF5"/>
      </bottom>
      <diagonal/>
    </border>
  </borders>
  <cellStyleXfs count="10434">
    <xf numFmtId="0" fontId="0" fillId="0" borderId="0"/>
    <xf numFmtId="44" fontId="1" fillId="0" borderId="0" applyFont="0" applyFill="0" applyBorder="0" applyAlignment="0" applyProtection="0"/>
    <xf numFmtId="172" fontId="7" fillId="0" borderId="0"/>
    <xf numFmtId="0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167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2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175" fontId="1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172" fontId="1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1" fillId="0" borderId="0"/>
    <xf numFmtId="172" fontId="7" fillId="0" borderId="0"/>
    <xf numFmtId="172" fontId="7" fillId="0" borderId="0"/>
    <xf numFmtId="172" fontId="1" fillId="0" borderId="0" applyFont="0" applyFill="0" applyBorder="0" applyAlignment="0" applyProtection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1" fillId="0" borderId="0"/>
    <xf numFmtId="172" fontId="1" fillId="0" borderId="0"/>
    <xf numFmtId="172" fontId="7" fillId="0" borderId="0"/>
    <xf numFmtId="172" fontId="7" fillId="0" borderId="0"/>
    <xf numFmtId="172" fontId="1" fillId="0" borderId="0"/>
    <xf numFmtId="172" fontId="1" fillId="0" borderId="0"/>
    <xf numFmtId="0" fontId="7" fillId="0" borderId="0"/>
    <xf numFmtId="0" fontId="24" fillId="13" borderId="0" applyNumberFormat="0" applyBorder="0" applyAlignment="0" applyProtection="0"/>
    <xf numFmtId="0" fontId="24" fillId="12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15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9" borderId="0" applyNumberFormat="0" applyBorder="0" applyAlignment="0" applyProtection="0"/>
    <xf numFmtId="0" fontId="26" fillId="13" borderId="0" applyNumberFormat="0" applyBorder="0" applyAlignment="0" applyProtection="0"/>
    <xf numFmtId="0" fontId="27" fillId="30" borderId="19" applyNumberFormat="0" applyAlignment="0" applyProtection="0"/>
    <xf numFmtId="0" fontId="28" fillId="31" borderId="21" applyNumberFormat="0" applyAlignment="0" applyProtection="0"/>
    <xf numFmtId="0" fontId="29" fillId="0" borderId="0" applyNumberFormat="0" applyFill="0" applyBorder="0" applyAlignment="0" applyProtection="0"/>
    <xf numFmtId="0" fontId="30" fillId="14" borderId="0" applyNumberFormat="0" applyBorder="0" applyAlignment="0" applyProtection="0"/>
    <xf numFmtId="0" fontId="31" fillId="0" borderId="23" applyNumberFormat="0" applyFill="0" applyAlignment="0" applyProtection="0"/>
    <xf numFmtId="0" fontId="32" fillId="0" borderId="24" applyNumberFormat="0" applyFill="0" applyAlignment="0" applyProtection="0"/>
    <xf numFmtId="0" fontId="33" fillId="0" borderId="25" applyNumberFormat="0" applyFill="0" applyAlignment="0" applyProtection="0"/>
    <xf numFmtId="0" fontId="33" fillId="0" borderId="0" applyNumberFormat="0" applyFill="0" applyBorder="0" applyAlignment="0" applyProtection="0"/>
    <xf numFmtId="0" fontId="34" fillId="17" borderId="19" applyNumberFormat="0" applyAlignment="0" applyProtection="0"/>
    <xf numFmtId="0" fontId="35" fillId="0" borderId="20" applyNumberFormat="0" applyFill="0" applyAlignment="0" applyProtection="0"/>
    <xf numFmtId="0" fontId="36" fillId="33" borderId="0" applyNumberFormat="0" applyBorder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40" fillId="0" borderId="0" applyNumberFormat="0" applyFill="0" applyBorder="0" applyAlignment="0" applyProtection="0"/>
    <xf numFmtId="0" fontId="7" fillId="0" borderId="0"/>
    <xf numFmtId="177" fontId="7" fillId="0" borderId="0" applyFont="0" applyFill="0" applyBorder="0" applyAlignment="0" applyProtection="0"/>
    <xf numFmtId="0" fontId="1" fillId="0" borderId="0"/>
    <xf numFmtId="0" fontId="1" fillId="0" borderId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9" borderId="0" applyNumberFormat="0" applyBorder="0" applyAlignment="0" applyProtection="0"/>
    <xf numFmtId="177" fontId="7" fillId="0" borderId="0" applyFont="0" applyFill="0" applyBorder="0" applyAlignment="0" applyProtection="0"/>
    <xf numFmtId="0" fontId="39" fillId="0" borderId="27" applyNumberFormat="0" applyFill="0" applyAlignment="0" applyProtection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1" fillId="0" borderId="0"/>
    <xf numFmtId="0" fontId="7" fillId="0" borderId="0"/>
    <xf numFmtId="0" fontId="7" fillId="0" borderId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0" borderId="0"/>
    <xf numFmtId="175" fontId="1" fillId="0" borderId="0" applyFont="0" applyFill="0" applyBorder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42" fillId="0" borderId="0"/>
    <xf numFmtId="0" fontId="42" fillId="0" borderId="0"/>
    <xf numFmtId="175" fontId="7" fillId="0" borderId="0" applyFont="0" applyFill="0" applyBorder="0" applyAlignment="0" applyProtection="0"/>
    <xf numFmtId="175" fontId="24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7" fillId="0" borderId="0"/>
    <xf numFmtId="0" fontId="7" fillId="0" borderId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175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24" fillId="0" borderId="0"/>
    <xf numFmtId="173" fontId="43" fillId="0" borderId="0"/>
    <xf numFmtId="178" fontId="43" fillId="0" borderId="0"/>
    <xf numFmtId="0" fontId="7" fillId="0" borderId="0"/>
    <xf numFmtId="0" fontId="43" fillId="0" borderId="0"/>
    <xf numFmtId="0" fontId="43" fillId="0" borderId="0"/>
    <xf numFmtId="173" fontId="43" fillId="0" borderId="0"/>
    <xf numFmtId="179" fontId="43" fillId="0" borderId="0"/>
    <xf numFmtId="179" fontId="43" fillId="0" borderId="0"/>
    <xf numFmtId="180" fontId="43" fillId="0" borderId="0"/>
    <xf numFmtId="170" fontId="43" fillId="0" borderId="0"/>
    <xf numFmtId="179" fontId="43" fillId="0" borderId="0"/>
    <xf numFmtId="181" fontId="43" fillId="0" borderId="0"/>
    <xf numFmtId="181" fontId="43" fillId="0" borderId="0"/>
    <xf numFmtId="181" fontId="43" fillId="0" borderId="0"/>
    <xf numFmtId="182" fontId="43" fillId="0" borderId="0"/>
    <xf numFmtId="182" fontId="43" fillId="0" borderId="0"/>
    <xf numFmtId="179" fontId="43" fillId="0" borderId="0"/>
    <xf numFmtId="181" fontId="43" fillId="0" borderId="0"/>
    <xf numFmtId="181" fontId="43" fillId="0" borderId="0"/>
    <xf numFmtId="181" fontId="43" fillId="0" borderId="0"/>
    <xf numFmtId="182" fontId="43" fillId="0" borderId="0"/>
    <xf numFmtId="182" fontId="43" fillId="0" borderId="0"/>
    <xf numFmtId="183" fontId="43" fillId="0" borderId="0"/>
    <xf numFmtId="183" fontId="43" fillId="0" borderId="0"/>
    <xf numFmtId="183" fontId="43" fillId="0" borderId="0"/>
    <xf numFmtId="183" fontId="43" fillId="0" borderId="0"/>
    <xf numFmtId="173" fontId="43" fillId="0" borderId="0"/>
    <xf numFmtId="173" fontId="43" fillId="0" borderId="0"/>
    <xf numFmtId="173" fontId="43" fillId="0" borderId="0"/>
    <xf numFmtId="173" fontId="43" fillId="0" borderId="0"/>
    <xf numFmtId="173" fontId="1" fillId="0" borderId="0"/>
    <xf numFmtId="167" fontId="1" fillId="0" borderId="0"/>
    <xf numFmtId="183" fontId="1" fillId="0" borderId="0"/>
    <xf numFmtId="179" fontId="1" fillId="0" borderId="0"/>
    <xf numFmtId="179" fontId="1" fillId="0" borderId="0"/>
    <xf numFmtId="180" fontId="1" fillId="0" borderId="0"/>
    <xf numFmtId="179" fontId="1" fillId="0" borderId="0"/>
    <xf numFmtId="0" fontId="24" fillId="0" borderId="0"/>
    <xf numFmtId="0" fontId="1" fillId="0" borderId="0"/>
    <xf numFmtId="167" fontId="1" fillId="0" borderId="0"/>
    <xf numFmtId="0" fontId="1" fillId="0" borderId="0"/>
    <xf numFmtId="0" fontId="44" fillId="0" borderId="0"/>
    <xf numFmtId="165" fontId="4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7" fillId="0" borderId="0"/>
    <xf numFmtId="175" fontId="1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45" fillId="0" borderId="0"/>
    <xf numFmtId="0" fontId="44" fillId="0" borderId="0"/>
    <xf numFmtId="165" fontId="44" fillId="0" borderId="0" applyFont="0" applyFill="0" applyBorder="0" applyAlignment="0" applyProtection="0"/>
    <xf numFmtId="0" fontId="1" fillId="0" borderId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7" fillId="0" borderId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4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>
      <protection locked="0"/>
    </xf>
    <xf numFmtId="0" fontId="1" fillId="0" borderId="0"/>
    <xf numFmtId="0" fontId="1" fillId="0" borderId="0">
      <alignment vertical="center"/>
    </xf>
    <xf numFmtId="165" fontId="9" fillId="0" borderId="0" applyFont="0" applyFill="0" applyBorder="0" applyAlignment="0" applyProtection="0"/>
    <xf numFmtId="184" fontId="1" fillId="0" borderId="0"/>
    <xf numFmtId="0" fontId="46" fillId="0" borderId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4" fillId="17" borderId="19" applyNumberFormat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7" fillId="30" borderId="26" applyNumberFormat="0" applyAlignment="0" applyProtection="0"/>
    <xf numFmtId="0" fontId="24" fillId="32" borderId="22" applyNumberFormat="0" applyFont="0" applyAlignment="0" applyProtection="0"/>
    <xf numFmtId="0" fontId="37" fillId="30" borderId="26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39" fillId="0" borderId="27" applyNumberFormat="0" applyFill="0" applyAlignment="0" applyProtection="0"/>
    <xf numFmtId="0" fontId="24" fillId="32" borderId="22" applyNumberFormat="0" applyFon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24" fillId="32" borderId="22" applyNumberFormat="0" applyFont="0" applyAlignment="0" applyProtection="0"/>
    <xf numFmtId="0" fontId="34" fillId="17" borderId="19" applyNumberFormat="0" applyAlignment="0" applyProtection="0"/>
    <xf numFmtId="0" fontId="27" fillId="30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0" fontId="34" fillId="17" borderId="19" applyNumberFormat="0" applyAlignment="0" applyProtection="0"/>
    <xf numFmtId="164" fontId="1" fillId="0" borderId="0" applyFon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5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60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1" fillId="0" borderId="0"/>
    <xf numFmtId="0" fontId="24" fillId="32" borderId="33" applyNumberFormat="0" applyFont="0" applyAlignment="0" applyProtection="0"/>
    <xf numFmtId="0" fontId="7" fillId="0" borderId="0"/>
    <xf numFmtId="0" fontId="7" fillId="0" borderId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7" fillId="0" borderId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43" fontId="1" fillId="0" borderId="0" applyFon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9" fillId="0" borderId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43" fontId="1" fillId="0" borderId="0" applyFont="0" applyFill="0" applyBorder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43" fontId="1" fillId="0" borderId="0" applyFont="0" applyFill="0" applyBorder="0" applyAlignment="0" applyProtection="0"/>
    <xf numFmtId="0" fontId="47" fillId="0" borderId="0">
      <alignment vertical="center"/>
    </xf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43" fontId="1" fillId="0" borderId="0" applyFont="0" applyFill="0" applyBorder="0" applyAlignment="0" applyProtection="0"/>
    <xf numFmtId="0" fontId="61" fillId="0" borderId="0"/>
    <xf numFmtId="0" fontId="17" fillId="0" borderId="0"/>
    <xf numFmtId="43" fontId="9" fillId="0" borderId="0" applyFont="0" applyFill="0" applyBorder="0" applyAlignment="0" applyProtection="0"/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25" fillId="0" borderId="0" applyFill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185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2" fillId="0" borderId="0" applyFont="0" applyFill="0" applyBorder="0" applyAlignment="0" applyProtection="0"/>
    <xf numFmtId="185" fontId="57" fillId="0" borderId="0" applyNumberFormat="0" applyFill="0" applyBorder="0" applyAlignment="0" applyProtection="0"/>
    <xf numFmtId="185" fontId="57" fillId="0" borderId="0" applyNumberFormat="0" applyFill="0" applyBorder="0" applyAlignment="0" applyProtection="0"/>
    <xf numFmtId="185" fontId="58" fillId="0" borderId="0" applyNumberFormat="0" applyFill="0" applyBorder="0" applyAlignment="0" applyProtection="0"/>
    <xf numFmtId="185" fontId="58" fillId="0" borderId="0" applyNumberFormat="0" applyFill="0" applyBorder="0" applyAlignment="0" applyProtection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62" fillId="0" borderId="0">
      <alignment vertical="center"/>
    </xf>
    <xf numFmtId="185" fontId="62" fillId="0" borderId="0">
      <alignment vertical="center"/>
    </xf>
    <xf numFmtId="185" fontId="62" fillId="0" borderId="0">
      <alignment vertical="center"/>
    </xf>
    <xf numFmtId="185" fontId="62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62" fillId="0" borderId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 applyBorder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/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63" fillId="0" borderId="0">
      <alignment vertical="center"/>
    </xf>
    <xf numFmtId="185" fontId="63" fillId="0" borderId="0">
      <alignment vertical="center"/>
    </xf>
    <xf numFmtId="185" fontId="63" fillId="0" borderId="0">
      <alignment vertical="center"/>
    </xf>
    <xf numFmtId="185" fontId="63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4" fillId="17" borderId="32" applyNumberFormat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7" fillId="30" borderId="34" applyNumberFormat="0" applyAlignment="0" applyProtection="0"/>
    <xf numFmtId="0" fontId="24" fillId="32" borderId="33" applyNumberFormat="0" applyFont="0" applyAlignment="0" applyProtection="0"/>
    <xf numFmtId="0" fontId="37" fillId="30" borderId="34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39" fillId="0" borderId="35" applyNumberFormat="0" applyFill="0" applyAlignment="0" applyProtection="0"/>
    <xf numFmtId="0" fontId="24" fillId="32" borderId="33" applyNumberFormat="0" applyFon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24" fillId="32" borderId="33" applyNumberFormat="0" applyFont="0" applyAlignment="0" applyProtection="0"/>
    <xf numFmtId="0" fontId="34" fillId="17" borderId="32" applyNumberFormat="0" applyAlignment="0" applyProtection="0"/>
    <xf numFmtId="0" fontId="27" fillId="30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  <xf numFmtId="0" fontId="34" fillId="17" borderId="32" applyNumberFormat="0" applyAlignment="0" applyProtection="0"/>
  </cellStyleXfs>
  <cellXfs count="183">
    <xf numFmtId="0" fontId="0" fillId="0" borderId="0" xfId="0"/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9" fontId="2" fillId="0" borderId="0" xfId="1" applyNumberFormat="1" applyFont="1" applyAlignment="1">
      <alignment vertical="center"/>
    </xf>
    <xf numFmtId="170" fontId="0" fillId="0" borderId="0" xfId="1" applyNumberFormat="1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171" fontId="4" fillId="0" borderId="4" xfId="0" applyNumberFormat="1" applyFont="1" applyBorder="1" applyAlignment="1">
      <alignment horizontal="center" vertical="center"/>
    </xf>
    <xf numFmtId="169" fontId="4" fillId="0" borderId="4" xfId="0" applyNumberFormat="1" applyFont="1" applyBorder="1" applyAlignment="1">
      <alignment horizontal="center" vertical="center"/>
    </xf>
    <xf numFmtId="170" fontId="4" fillId="0" borderId="4" xfId="1" applyNumberFormat="1" applyFont="1" applyBorder="1" applyAlignment="1">
      <alignment horizontal="center" vertical="center"/>
    </xf>
    <xf numFmtId="169" fontId="4" fillId="5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7" fontId="3" fillId="2" borderId="9" xfId="0" applyNumberFormat="1" applyFont="1" applyFill="1" applyBorder="1" applyAlignment="1">
      <alignment horizontal="center"/>
    </xf>
    <xf numFmtId="168" fontId="3" fillId="2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1" fontId="4" fillId="0" borderId="9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9" fontId="6" fillId="4" borderId="11" xfId="0" applyNumberFormat="1" applyFont="1" applyFill="1" applyBorder="1" applyAlignment="1">
      <alignment horizontal="center" vertical="center"/>
    </xf>
    <xf numFmtId="169" fontId="6" fillId="4" borderId="12" xfId="0" applyNumberFormat="1" applyFont="1" applyFill="1" applyBorder="1" applyAlignment="1">
      <alignment horizontal="center" vertical="center"/>
    </xf>
    <xf numFmtId="169" fontId="5" fillId="5" borderId="1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8" fontId="12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168" fontId="15" fillId="9" borderId="3" xfId="0" applyNumberFormat="1" applyFont="1" applyFill="1" applyBorder="1" applyAlignment="1">
      <alignment horizontal="center" vertical="center" wrapText="1"/>
    </xf>
    <xf numFmtId="168" fontId="15" fillId="9" borderId="8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9" borderId="11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168" fontId="10" fillId="9" borderId="11" xfId="0" applyNumberFormat="1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170" fontId="11" fillId="4" borderId="11" xfId="1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168" fontId="18" fillId="0" borderId="1" xfId="0" applyNumberFormat="1" applyFont="1" applyBorder="1" applyAlignment="1">
      <alignment vertical="center"/>
    </xf>
    <xf numFmtId="0" fontId="20" fillId="10" borderId="17" xfId="0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horizontal="center" vertical="center"/>
    </xf>
    <xf numFmtId="168" fontId="20" fillId="10" borderId="18" xfId="0" applyNumberFormat="1" applyFont="1" applyFill="1" applyBorder="1" applyAlignment="1">
      <alignment horizontal="center" vertical="center" wrapText="1"/>
    </xf>
    <xf numFmtId="168" fontId="21" fillId="10" borderId="18" xfId="0" applyNumberFormat="1" applyFont="1" applyFill="1" applyBorder="1" applyAlignment="1">
      <alignment horizontal="center" vertical="center" wrapText="1"/>
    </xf>
    <xf numFmtId="168" fontId="22" fillId="10" borderId="18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 wrapText="1"/>
    </xf>
    <xf numFmtId="168" fontId="22" fillId="10" borderId="3" xfId="0" applyNumberFormat="1" applyFont="1" applyFill="1" applyBorder="1" applyAlignment="1">
      <alignment horizontal="center" vertical="center" wrapText="1"/>
    </xf>
    <xf numFmtId="168" fontId="22" fillId="10" borderId="8" xfId="0" applyNumberFormat="1" applyFont="1" applyFill="1" applyBorder="1" applyAlignment="1">
      <alignment horizontal="center" vertical="center" wrapText="1"/>
    </xf>
    <xf numFmtId="167" fontId="3" fillId="11" borderId="4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left" vertical="center"/>
    </xf>
    <xf numFmtId="166" fontId="18" fillId="0" borderId="1" xfId="0" applyNumberFormat="1" applyFont="1" applyBorder="1" applyAlignment="1">
      <alignment horizontal="left" vertical="center"/>
    </xf>
    <xf numFmtId="14" fontId="19" fillId="0" borderId="1" xfId="0" applyNumberFormat="1" applyFont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9" fontId="2" fillId="0" borderId="0" xfId="1997" applyNumberFormat="1" applyFont="1" applyAlignment="1">
      <alignment vertical="center"/>
    </xf>
    <xf numFmtId="169" fontId="6" fillId="4" borderId="4" xfId="0" applyNumberFormat="1" applyFont="1" applyFill="1" applyBorder="1" applyAlignment="1">
      <alignment horizontal="center" vertical="center"/>
    </xf>
    <xf numFmtId="169" fontId="5" fillId="5" borderId="29" xfId="0" applyNumberFormat="1" applyFont="1" applyFill="1" applyBorder="1" applyAlignment="1">
      <alignment horizontal="center" vertical="center"/>
    </xf>
    <xf numFmtId="0" fontId="51" fillId="6" borderId="4" xfId="0" applyFont="1" applyFill="1" applyBorder="1" applyAlignment="1">
      <alignment horizontal="center" vertical="center" wrapText="1"/>
    </xf>
    <xf numFmtId="170" fontId="6" fillId="4" borderId="4" xfId="1997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9" fontId="17" fillId="0" borderId="4" xfId="0" applyNumberFormat="1" applyFont="1" applyBorder="1" applyAlignment="1">
      <alignment horizontal="center" vertical="center"/>
    </xf>
    <xf numFmtId="169" fontId="17" fillId="5" borderId="4" xfId="0" applyNumberFormat="1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0" fontId="52" fillId="7" borderId="10" xfId="0" applyFont="1" applyFill="1" applyBorder="1" applyAlignment="1">
      <alignment horizontal="center" vertical="center"/>
    </xf>
    <xf numFmtId="0" fontId="52" fillId="8" borderId="10" xfId="0" applyFont="1" applyFill="1" applyBorder="1" applyAlignment="1">
      <alignment horizontal="center" vertical="center"/>
    </xf>
    <xf numFmtId="167" fontId="0" fillId="11" borderId="4" xfId="0" applyNumberFormat="1" applyFill="1" applyBorder="1" applyAlignment="1">
      <alignment horizontal="center"/>
    </xf>
    <xf numFmtId="16" fontId="0" fillId="11" borderId="4" xfId="0" applyNumberFormat="1" applyFill="1" applyBorder="1" applyAlignment="1">
      <alignment horizontal="center" vertical="center"/>
    </xf>
    <xf numFmtId="168" fontId="0" fillId="11" borderId="4" xfId="0" applyNumberFormat="1" applyFill="1" applyBorder="1" applyAlignment="1">
      <alignment horizontal="center" vertical="center"/>
    </xf>
    <xf numFmtId="1" fontId="0" fillId="11" borderId="28" xfId="0" applyNumberFormat="1" applyFill="1" applyBorder="1" applyAlignment="1">
      <alignment horizontal="center" vertical="center"/>
    </xf>
    <xf numFmtId="172" fontId="17" fillId="11" borderId="4" xfId="2" applyFont="1" applyFill="1" applyBorder="1" applyAlignment="1">
      <alignment horizontal="center"/>
    </xf>
    <xf numFmtId="0" fontId="0" fillId="11" borderId="28" xfId="0" applyFill="1" applyBorder="1" applyAlignment="1">
      <alignment horizontal="center" vertical="center"/>
    </xf>
    <xf numFmtId="1" fontId="0" fillId="11" borderId="4" xfId="0" applyNumberFormat="1" applyFill="1" applyBorder="1" applyAlignment="1">
      <alignment horizontal="center" vertical="center"/>
    </xf>
    <xf numFmtId="170" fontId="0" fillId="0" borderId="0" xfId="1997" applyNumberFormat="1" applyFont="1" applyBorder="1" applyAlignment="1">
      <alignment vertical="center"/>
    </xf>
    <xf numFmtId="0" fontId="17" fillId="11" borderId="4" xfId="0" applyFont="1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1" fontId="3" fillId="11" borderId="28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/>
    </xf>
    <xf numFmtId="0" fontId="17" fillId="11" borderId="9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171" fontId="0" fillId="0" borderId="4" xfId="0" applyNumberFormat="1" applyBorder="1" applyAlignment="1">
      <alignment horizontal="center" vertical="center"/>
    </xf>
    <xf numFmtId="0" fontId="53" fillId="0" borderId="4" xfId="0" applyFont="1" applyBorder="1" applyAlignment="1">
      <alignment horizontal="center" vertical="center" wrapText="1"/>
    </xf>
    <xf numFmtId="0" fontId="54" fillId="4" borderId="4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wrapText="1"/>
    </xf>
    <xf numFmtId="0" fontId="53" fillId="9" borderId="4" xfId="0" applyFont="1" applyFill="1" applyBorder="1" applyAlignment="1">
      <alignment horizontal="center" vertical="center" wrapText="1"/>
    </xf>
    <xf numFmtId="0" fontId="54" fillId="34" borderId="4" xfId="0" applyFont="1" applyFill="1" applyBorder="1" applyAlignment="1">
      <alignment horizontal="center" vertical="center" wrapText="1"/>
    </xf>
    <xf numFmtId="170" fontId="3" fillId="0" borderId="0" xfId="1" applyNumberFormat="1" applyFont="1" applyAlignment="1">
      <alignment vertical="center"/>
    </xf>
    <xf numFmtId="0" fontId="16" fillId="8" borderId="10" xfId="0" applyFont="1" applyFill="1" applyBorder="1" applyAlignment="1">
      <alignment horizontal="center" vertical="center" wrapText="1"/>
    </xf>
    <xf numFmtId="22" fontId="16" fillId="8" borderId="10" xfId="0" applyNumberFormat="1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22" fontId="16" fillId="7" borderId="10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16" fillId="8" borderId="37" xfId="0" applyFont="1" applyFill="1" applyBorder="1" applyAlignment="1">
      <alignment horizontal="center" vertical="center" wrapText="1"/>
    </xf>
    <xf numFmtId="0" fontId="16" fillId="7" borderId="37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167" fontId="0" fillId="2" borderId="4" xfId="0" applyNumberFormat="1" applyFill="1" applyBorder="1" applyAlignment="1">
      <alignment horizontal="center"/>
    </xf>
    <xf numFmtId="16" fontId="0" fillId="2" borderId="4" xfId="0" applyNumberFormat="1" applyFill="1" applyBorder="1" applyAlignment="1">
      <alignment horizontal="center" vertical="center"/>
    </xf>
    <xf numFmtId="0" fontId="64" fillId="9" borderId="11" xfId="0" applyFont="1" applyFill="1" applyBorder="1" applyAlignment="1">
      <alignment horizontal="center" vertical="center"/>
    </xf>
    <xf numFmtId="0" fontId="64" fillId="9" borderId="11" xfId="0" applyFont="1" applyFill="1" applyBorder="1" applyAlignment="1">
      <alignment horizontal="center" vertical="center" wrapText="1"/>
    </xf>
    <xf numFmtId="168" fontId="64" fillId="9" borderId="11" xfId="0" applyNumberFormat="1" applyFont="1" applyFill="1" applyBorder="1" applyAlignment="1">
      <alignment horizontal="center" vertical="center" wrapText="1"/>
    </xf>
    <xf numFmtId="0" fontId="64" fillId="6" borderId="11" xfId="0" applyFont="1" applyFill="1" applyBorder="1" applyAlignment="1">
      <alignment horizontal="center" vertical="center" wrapText="1"/>
    </xf>
    <xf numFmtId="170" fontId="65" fillId="4" borderId="11" xfId="1" applyNumberFormat="1" applyFont="1" applyFill="1" applyBorder="1" applyAlignment="1">
      <alignment horizontal="center" vertical="center" wrapText="1"/>
    </xf>
    <xf numFmtId="0" fontId="65" fillId="4" borderId="11" xfId="0" applyFont="1" applyFill="1" applyBorder="1" applyAlignment="1">
      <alignment horizontal="center" vertical="center" wrapText="1"/>
    </xf>
    <xf numFmtId="0" fontId="65" fillId="5" borderId="11" xfId="0" applyFont="1" applyFill="1" applyBorder="1" applyAlignment="1">
      <alignment horizontal="center" vertical="center" wrapText="1"/>
    </xf>
    <xf numFmtId="169" fontId="4" fillId="5" borderId="9" xfId="0" applyNumberFormat="1" applyFont="1" applyFill="1" applyBorder="1" applyAlignment="1">
      <alignment horizontal="center" vertical="center"/>
    </xf>
    <xf numFmtId="0" fontId="3" fillId="0" borderId="0" xfId="0" applyFont="1"/>
    <xf numFmtId="0" fontId="67" fillId="8" borderId="10" xfId="0" applyFont="1" applyFill="1" applyBorder="1" applyAlignment="1">
      <alignment horizontal="center" vertical="center" wrapText="1"/>
    </xf>
    <xf numFmtId="22" fontId="67" fillId="8" borderId="10" xfId="0" applyNumberFormat="1" applyFont="1" applyFill="1" applyBorder="1" applyAlignment="1">
      <alignment horizontal="center" vertical="center" wrapText="1"/>
    </xf>
    <xf numFmtId="0" fontId="66" fillId="3" borderId="16" xfId="0" applyFont="1" applyFill="1" applyBorder="1" applyAlignment="1">
      <alignment horizontal="center" vertical="center"/>
    </xf>
    <xf numFmtId="0" fontId="66" fillId="3" borderId="4" xfId="0" applyFont="1" applyFill="1" applyBorder="1" applyAlignment="1">
      <alignment horizontal="center" vertical="center"/>
    </xf>
    <xf numFmtId="1" fontId="66" fillId="3" borderId="4" xfId="0" applyNumberFormat="1" applyFont="1" applyFill="1" applyBorder="1" applyAlignment="1">
      <alignment horizontal="center" vertical="center"/>
    </xf>
    <xf numFmtId="0" fontId="66" fillId="4" borderId="16" xfId="0" applyFont="1" applyFill="1" applyBorder="1" applyAlignment="1">
      <alignment horizontal="center" vertical="center"/>
    </xf>
    <xf numFmtId="0" fontId="66" fillId="4" borderId="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" fontId="11" fillId="3" borderId="4" xfId="0" applyNumberFormat="1" applyFont="1" applyFill="1" applyBorder="1" applyAlignment="1">
      <alignment horizontal="center" vertical="center"/>
    </xf>
    <xf numFmtId="0" fontId="3" fillId="34" borderId="4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3" fillId="34" borderId="4" xfId="0" applyFont="1" applyFill="1" applyBorder="1" applyAlignment="1">
      <alignment horizontal="center"/>
    </xf>
    <xf numFmtId="0" fontId="4" fillId="34" borderId="4" xfId="0" applyFont="1" applyFill="1" applyBorder="1" applyAlignment="1">
      <alignment horizontal="center" vertical="center" wrapText="1"/>
    </xf>
    <xf numFmtId="167" fontId="0" fillId="34" borderId="4" xfId="0" applyNumberFormat="1" applyFill="1" applyBorder="1" applyAlignment="1">
      <alignment horizontal="center"/>
    </xf>
    <xf numFmtId="16" fontId="0" fillId="34" borderId="4" xfId="0" applyNumberFormat="1" applyFill="1" applyBorder="1" applyAlignment="1">
      <alignment horizontal="center" vertical="center"/>
    </xf>
    <xf numFmtId="167" fontId="3" fillId="34" borderId="4" xfId="0" applyNumberFormat="1" applyFont="1" applyFill="1" applyBorder="1" applyAlignment="1">
      <alignment horizontal="center"/>
    </xf>
    <xf numFmtId="167" fontId="3" fillId="34" borderId="9" xfId="0" applyNumberFormat="1" applyFont="1" applyFill="1" applyBorder="1" applyAlignment="1">
      <alignment horizontal="center"/>
    </xf>
    <xf numFmtId="168" fontId="3" fillId="34" borderId="9" xfId="0" applyNumberFormat="1" applyFont="1" applyFill="1" applyBorder="1" applyAlignment="1">
      <alignment horizontal="center" vertical="center"/>
    </xf>
    <xf numFmtId="0" fontId="0" fillId="34" borderId="4" xfId="0" applyFill="1" applyBorder="1" applyAlignment="1">
      <alignment horizontal="center"/>
    </xf>
    <xf numFmtId="0" fontId="4" fillId="34" borderId="4" xfId="0" applyFont="1" applyFill="1" applyBorder="1" applyAlignment="1">
      <alignment horizontal="center"/>
    </xf>
    <xf numFmtId="0" fontId="3" fillId="34" borderId="0" xfId="0" applyFont="1" applyFill="1" applyAlignment="1">
      <alignment horizontal="center"/>
    </xf>
    <xf numFmtId="16" fontId="3" fillId="34" borderId="4" xfId="0" applyNumberFormat="1" applyFont="1" applyFill="1" applyBorder="1" applyAlignment="1">
      <alignment horizontal="center" vertical="center"/>
    </xf>
    <xf numFmtId="168" fontId="3" fillId="34" borderId="4" xfId="0" applyNumberFormat="1" applyFont="1" applyFill="1" applyBorder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1" fontId="3" fillId="34" borderId="4" xfId="0" applyNumberFormat="1" applyFont="1" applyFill="1" applyBorder="1" applyAlignment="1">
      <alignment horizontal="center" vertical="center"/>
    </xf>
    <xf numFmtId="1" fontId="4" fillId="34" borderId="4" xfId="0" applyNumberFormat="1" applyFont="1" applyFill="1" applyBorder="1" applyAlignment="1">
      <alignment horizontal="center" vertical="center"/>
    </xf>
    <xf numFmtId="0" fontId="3" fillId="34" borderId="9" xfId="0" applyFont="1" applyFill="1" applyBorder="1" applyAlignment="1">
      <alignment horizontal="center" vertical="center"/>
    </xf>
    <xf numFmtId="0" fontId="3" fillId="34" borderId="9" xfId="0" applyFont="1" applyFill="1" applyBorder="1" applyAlignment="1">
      <alignment horizontal="center"/>
    </xf>
    <xf numFmtId="0" fontId="3" fillId="34" borderId="4" xfId="0" applyFont="1" applyFill="1" applyBorder="1"/>
    <xf numFmtId="0" fontId="4" fillId="34" borderId="9" xfId="0" applyFont="1" applyFill="1" applyBorder="1" applyAlignment="1">
      <alignment horizontal="center" vertical="center"/>
    </xf>
    <xf numFmtId="0" fontId="4" fillId="34" borderId="9" xfId="0" applyFont="1" applyFill="1" applyBorder="1" applyAlignment="1">
      <alignment horizontal="center" vertical="center" wrapText="1"/>
    </xf>
    <xf numFmtId="1" fontId="3" fillId="34" borderId="9" xfId="0" applyNumberFormat="1" applyFont="1" applyFill="1" applyBorder="1" applyAlignment="1">
      <alignment horizontal="center" vertical="center"/>
    </xf>
    <xf numFmtId="16" fontId="3" fillId="34" borderId="9" xfId="0" applyNumberFormat="1" applyFont="1" applyFill="1" applyBorder="1" applyAlignment="1">
      <alignment horizontal="center" vertical="center"/>
    </xf>
    <xf numFmtId="0" fontId="8" fillId="34" borderId="4" xfId="0" applyFont="1" applyFill="1" applyBorder="1" applyAlignment="1">
      <alignment horizontal="center" vertical="center"/>
    </xf>
    <xf numFmtId="0" fontId="4" fillId="34" borderId="9" xfId="0" applyFont="1" applyFill="1" applyBorder="1" applyAlignment="1">
      <alignment horizontal="center"/>
    </xf>
    <xf numFmtId="0" fontId="66" fillId="34" borderId="14" xfId="0" applyFont="1" applyFill="1" applyBorder="1" applyAlignment="1">
      <alignment horizontal="center" vertical="center"/>
    </xf>
    <xf numFmtId="0" fontId="66" fillId="34" borderId="15" xfId="0" applyFont="1" applyFill="1" applyBorder="1" applyAlignment="1">
      <alignment horizontal="center" vertical="center"/>
    </xf>
    <xf numFmtId="0" fontId="4" fillId="34" borderId="4" xfId="3" applyFont="1" applyFill="1" applyBorder="1" applyAlignment="1">
      <alignment horizontal="center" vertical="center"/>
    </xf>
    <xf numFmtId="0" fontId="3" fillId="34" borderId="4" xfId="3" applyFont="1" applyFill="1" applyBorder="1" applyAlignment="1">
      <alignment horizontal="center"/>
    </xf>
    <xf numFmtId="0" fontId="3" fillId="34" borderId="30" xfId="0" applyFont="1" applyFill="1" applyBorder="1" applyAlignment="1">
      <alignment horizontal="center" vertical="center"/>
    </xf>
    <xf numFmtId="0" fontId="4" fillId="34" borderId="30" xfId="0" applyFont="1" applyFill="1" applyBorder="1" applyAlignment="1">
      <alignment horizontal="center" vertical="center"/>
    </xf>
    <xf numFmtId="0" fontId="3" fillId="34" borderId="30" xfId="0" applyFont="1" applyFill="1" applyBorder="1" applyAlignment="1">
      <alignment horizontal="center"/>
    </xf>
    <xf numFmtId="0" fontId="3" fillId="34" borderId="31" xfId="0" applyFont="1" applyFill="1" applyBorder="1" applyAlignment="1">
      <alignment horizontal="center"/>
    </xf>
    <xf numFmtId="167" fontId="3" fillId="34" borderId="30" xfId="0" applyNumberFormat="1" applyFont="1" applyFill="1" applyBorder="1" applyAlignment="1">
      <alignment horizontal="center"/>
    </xf>
    <xf numFmtId="0" fontId="3" fillId="34" borderId="36" xfId="0" applyFont="1" applyFill="1" applyBorder="1" applyAlignment="1">
      <alignment horizontal="center"/>
    </xf>
    <xf numFmtId="0" fontId="4" fillId="34" borderId="31" xfId="0" applyFont="1" applyFill="1" applyBorder="1" applyAlignment="1">
      <alignment horizontal="center" vertical="center" wrapText="1"/>
    </xf>
    <xf numFmtId="169" fontId="5" fillId="5" borderId="5" xfId="0" applyNumberFormat="1" applyFont="1" applyFill="1" applyBorder="1" applyAlignment="1">
      <alignment horizontal="center" vertical="center"/>
    </xf>
    <xf numFmtId="169" fontId="5" fillId="5" borderId="6" xfId="0" applyNumberFormat="1" applyFont="1" applyFill="1" applyBorder="1" applyAlignment="1">
      <alignment horizontal="center" vertical="center"/>
    </xf>
    <xf numFmtId="169" fontId="5" fillId="5" borderId="7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3" fillId="9" borderId="4" xfId="0" applyFont="1" applyFill="1" applyBorder="1" applyAlignment="1">
      <alignment horizontal="center" vertical="center" wrapText="1"/>
    </xf>
  </cellXfs>
  <cellStyles count="10434">
    <cellStyle name="_x0004_¥" xfId="13" xr:uid="{1DB79586-F25B-4CBB-9477-1139A86A131A}"/>
    <cellStyle name="_x0004_¥ 2" xfId="73" xr:uid="{53B1AFE4-D532-4104-8737-EC01BE7123D9}"/>
    <cellStyle name="_x0004_¥ 2 2" xfId="141" xr:uid="{0F1F1B66-4CDE-4726-8BB8-91A93155DBC8}"/>
    <cellStyle name="_x0004_¥ 2 3" xfId="192" xr:uid="{FF497795-9405-40C3-A111-7B9164FE41CA}"/>
    <cellStyle name="20% - Accent1 2" xfId="101" xr:uid="{E26F9405-7F9C-4B68-B99A-0B19CAA3FAC1}"/>
    <cellStyle name="20% - Accent2 2" xfId="100" xr:uid="{16AF795D-6048-4C4D-B37E-F9F5061BA1DE}"/>
    <cellStyle name="20% - Accent3 2" xfId="102" xr:uid="{40AB9A53-55C2-4D22-80E5-A889B8CD4051}"/>
    <cellStyle name="20% - Accent4 2" xfId="103" xr:uid="{159DBE23-B40F-4839-80E7-D76B000BF50F}"/>
    <cellStyle name="20% - Accent5 2" xfId="104" xr:uid="{89E0BE2A-CDE5-47B8-89BF-3544CCC02867}"/>
    <cellStyle name="20% - Accent6 2" xfId="105" xr:uid="{B994A6D8-1434-4429-A4CE-893FF4FF24E2}"/>
    <cellStyle name="40% - Accent1 2" xfId="106" xr:uid="{B9B8880D-B6B3-4FFA-A3D2-6EE393E25643}"/>
    <cellStyle name="40% - Accent2 2" xfId="107" xr:uid="{2E74E8CE-E40E-458E-9788-01D54CDD1A1E}"/>
    <cellStyle name="40% - Accent3 2" xfId="108" xr:uid="{D6FAB4A6-D406-401E-B9D7-A9573DB86150}"/>
    <cellStyle name="40% - Accent4 2" xfId="109" xr:uid="{0A6B3D75-DB56-406A-ABAC-73331FAC6578}"/>
    <cellStyle name="40% - Accent5 2" xfId="110" xr:uid="{890403BE-62AF-4F3E-A7F1-59E6E62A87BA}"/>
    <cellStyle name="40% - Accent6 2" xfId="111" xr:uid="{5FE99715-0356-4044-82DA-5FD46E0A7A98}"/>
    <cellStyle name="60% - Accent1 2" xfId="112" xr:uid="{8AD1EDE5-8FF7-4FAC-90A4-B52E56657961}"/>
    <cellStyle name="60% - Accent2 2" xfId="113" xr:uid="{4E963123-CB7D-4AEB-9AF1-224977CC852D}"/>
    <cellStyle name="60% - Accent3 2" xfId="114" xr:uid="{E3E8142A-9F08-4187-8E64-586FD87724D0}"/>
    <cellStyle name="60% - Accent4 2" xfId="115" xr:uid="{93DC3E1D-5EAB-4D01-BED0-3A9CDB06ACF7}"/>
    <cellStyle name="60% - Accent5 2" xfId="116" xr:uid="{D5CFE521-D577-4188-88C8-74AF3ACECC6B}"/>
    <cellStyle name="60% - Accent6 2" xfId="117" xr:uid="{F3A6591B-6C8E-460C-821C-7600C288D6E3}"/>
    <cellStyle name="Accent1 2" xfId="145" xr:uid="{5DAB5A25-77AB-421F-A44B-75E9C582E6D2}"/>
    <cellStyle name="Accent1 3" xfId="118" xr:uid="{C690032E-4029-45CA-8AD3-8F1C0C316881}"/>
    <cellStyle name="Accent2 2" xfId="146" xr:uid="{185D6953-F8FA-4908-83E8-A7F94DB63C7B}"/>
    <cellStyle name="Accent2 3" xfId="119" xr:uid="{3848977C-21B6-45AE-BDE0-0EF0653A81E0}"/>
    <cellStyle name="Accent3 2" xfId="147" xr:uid="{17B8FC15-28F1-4BFD-BB4A-0DE796F503DB}"/>
    <cellStyle name="Accent3 3" xfId="120" xr:uid="{00EF56F6-F46A-48A0-961B-1C83B5F44BD9}"/>
    <cellStyle name="Accent4 2" xfId="148" xr:uid="{588BAAEB-71A1-4984-9134-284D8C2C5B83}"/>
    <cellStyle name="Accent4 3" xfId="121" xr:uid="{F5364BB4-2667-46A7-B9DF-EA1930F11045}"/>
    <cellStyle name="Accent5 2" xfId="149" xr:uid="{BB4A6937-11E0-4555-BB64-CCEC81307146}"/>
    <cellStyle name="Accent5 3" xfId="122" xr:uid="{FE02A80E-6AC1-4F99-8993-0CE850C8015D}"/>
    <cellStyle name="Accent6 2" xfId="150" xr:uid="{5788078C-E8F2-4A6D-9439-4445785A4BD4}"/>
    <cellStyle name="Accent6 3" xfId="123" xr:uid="{0E66D5E9-B571-4444-BC02-3325CDE55DEC}"/>
    <cellStyle name="Bad 2" xfId="124" xr:uid="{321D115B-88CC-4477-913B-D64AABB21396}"/>
    <cellStyle name="Calculation 2" xfId="125" xr:uid="{7B11657F-CFD8-4D60-9784-15A7A6EA0D7F}"/>
    <cellStyle name="Calculation 2 10" xfId="289" xr:uid="{F24A8F74-F86C-4C75-8A87-9A15E7ACBD71}"/>
    <cellStyle name="Calculation 2 10 2" xfId="513" xr:uid="{8A97B910-87AA-4469-8681-D3EA4417006A}"/>
    <cellStyle name="Calculation 2 10 2 2" xfId="992" xr:uid="{A19DFEC5-1C9D-42D2-B9F4-9BEB102AD48C}"/>
    <cellStyle name="Calculation 2 10 2 2 2" xfId="1797" xr:uid="{C74A2A5E-EE80-45F3-835B-E3B9C723268B}"/>
    <cellStyle name="Calculation 2 10 2 2 2 2" xfId="7568" xr:uid="{A09308E7-994F-4FA6-8319-CB3486A81C8C}"/>
    <cellStyle name="Calculation 2 10 2 2 2 3" xfId="10234" xr:uid="{80D6B7E6-4550-47D3-A54C-ED24F5A1BAA6}"/>
    <cellStyle name="Calculation 2 10 2 2 2 4" xfId="4594" xr:uid="{9C7DD024-557F-451B-85A0-54DF8BD68AA2}"/>
    <cellStyle name="Calculation 2 10 2 2 3" xfId="5334" xr:uid="{A70C0A11-F63B-46D2-99EC-366B67DF8F9A}"/>
    <cellStyle name="Calculation 2 10 2 2 3 2" xfId="8308" xr:uid="{3286227E-9948-4CC4-926A-58994343A7C6}"/>
    <cellStyle name="Calculation 2 10 2 2 4" xfId="6099" xr:uid="{9155FB47-A024-4055-935B-9F6138F551CC}"/>
    <cellStyle name="Calculation 2 10 2 2 4 2" xfId="9073" xr:uid="{448484C3-0841-4BB9-8935-F74EFADA686C}"/>
    <cellStyle name="Calculation 2 10 2 2 5" xfId="3809" xr:uid="{4D51313F-6664-4A05-9C1E-8E3118BD749B}"/>
    <cellStyle name="Calculation 2 10 2 2 6" xfId="6772" xr:uid="{09BC8569-AA9E-45D2-9DE3-1286AC303127}"/>
    <cellStyle name="Calculation 2 10 2 2 7" xfId="2749" xr:uid="{D508ABE8-3774-4D9D-9F3E-E10307E9AC78}"/>
    <cellStyle name="Calculation 2 10 2 3" xfId="654" xr:uid="{9E9293D3-3FF5-4672-AE78-F979A02F5890}"/>
    <cellStyle name="Calculation 2 10 2 3 2" xfId="1459" xr:uid="{5BF223D0-5027-4AE1-8B44-29EDF0391305}"/>
    <cellStyle name="Calculation 2 10 2 3 2 2" xfId="7230" xr:uid="{F2D0B052-594F-4B49-94D1-E2501CDDC80F}"/>
    <cellStyle name="Calculation 2 10 2 3 2 3" xfId="9896" xr:uid="{AF7CA3B3-027F-4530-A400-2EB40183527F}"/>
    <cellStyle name="Calculation 2 10 2 3 2 4" xfId="4256" xr:uid="{007F0B31-3760-42E6-99AE-F930D4B0C0D0}"/>
    <cellStyle name="Calculation 2 10 2 3 3" xfId="4996" xr:uid="{A81C2989-2917-4F21-86C1-C97F329607CE}"/>
    <cellStyle name="Calculation 2 10 2 3 3 2" xfId="7970" xr:uid="{59459223-708E-449D-A892-391C3369A3DF}"/>
    <cellStyle name="Calculation 2 10 2 3 4" xfId="5761" xr:uid="{2778C5C1-F5DE-45B4-9F9C-8327266AF52B}"/>
    <cellStyle name="Calculation 2 10 2 3 4 2" xfId="8735" xr:uid="{1E17251E-77DE-4D67-8CEC-5E451F7D7DE2}"/>
    <cellStyle name="Calculation 2 10 2 3 5" xfId="3496" xr:uid="{3A7908D0-601F-44EB-AE01-723125E3F04B}"/>
    <cellStyle name="Calculation 2 10 2 3 6" xfId="6434" xr:uid="{3BE74519-714D-4FE4-A386-0F3CBC64BA5C}"/>
    <cellStyle name="Calculation 2 10 2 3 7" xfId="2411" xr:uid="{2E20ED0D-3F0B-4E37-98A1-11154949EB8D}"/>
    <cellStyle name="Calculation 2 10 2 4" xfId="1319" xr:uid="{F98FCBB2-6FB8-43F4-8180-D1F58FEA04DF}"/>
    <cellStyle name="Calculation 2 10 2 4 2" xfId="7090" xr:uid="{D6E96C19-21CB-43A9-8F01-7AA4A6367868}"/>
    <cellStyle name="Calculation 2 10 2 4 3" xfId="9756" xr:uid="{6EB4F9CF-0393-48CA-B1E6-05AE69EEF3D2}"/>
    <cellStyle name="Calculation 2 10 2 4 4" xfId="4116" xr:uid="{D3DC4DDA-FBF8-46FC-92E4-280EB14EFC2E}"/>
    <cellStyle name="Calculation 2 10 2 5" xfId="4856" xr:uid="{8F62C859-1943-4CAE-B902-940764023874}"/>
    <cellStyle name="Calculation 2 10 2 5 2" xfId="7830" xr:uid="{3C629075-8AEE-4D0E-8596-2D10433C5C0D}"/>
    <cellStyle name="Calculation 2 10 2 6" xfId="5621" xr:uid="{22EA3236-900F-424B-AB9C-2C1ACB8BABD8}"/>
    <cellStyle name="Calculation 2 10 2 6 2" xfId="8595" xr:uid="{AE8875D9-DC35-4DE7-88CD-1AF8436D180A}"/>
    <cellStyle name="Calculation 2 10 2 7" xfId="3399" xr:uid="{762C3FE6-0ACC-4B75-88FB-940E408547AF}"/>
    <cellStyle name="Calculation 2 10 2 8" xfId="3045" xr:uid="{A783B08F-F211-4421-A239-2B88ADC4F432}"/>
    <cellStyle name="Calculation 2 10 2 9" xfId="2271" xr:uid="{A22BC910-2B55-469D-B68F-D1F2869B191C}"/>
    <cellStyle name="Calculation 2 10 3" xfId="781" xr:uid="{02FDB508-6C6E-4C27-BECD-A8627A9F1BEB}"/>
    <cellStyle name="Calculation 2 10 3 2" xfId="1586" xr:uid="{DBF92B1F-161C-4300-AD16-121F0E722670}"/>
    <cellStyle name="Calculation 2 10 3 2 2" xfId="7357" xr:uid="{C79B55F3-6780-42AA-81BB-1FB636F4BE27}"/>
    <cellStyle name="Calculation 2 10 3 2 3" xfId="10023" xr:uid="{DABC20CC-B748-4CF0-AC2D-D163D68504F7}"/>
    <cellStyle name="Calculation 2 10 3 2 4" xfId="4383" xr:uid="{F33EE597-E00D-421C-927F-BE730E2984EB}"/>
    <cellStyle name="Calculation 2 10 3 3" xfId="5123" xr:uid="{AEA8878D-A9F3-4C16-A558-5B1DB04E2E20}"/>
    <cellStyle name="Calculation 2 10 3 3 2" xfId="8097" xr:uid="{8E3EBBB4-AA5E-4A52-9A49-609D409685D7}"/>
    <cellStyle name="Calculation 2 10 3 4" xfId="5888" xr:uid="{D8C3E9EE-86E7-4301-A23F-D62AE01ECFA3}"/>
    <cellStyle name="Calculation 2 10 3 4 2" xfId="8862" xr:uid="{1AF365E5-2C9C-48F0-884A-8A67AC7149D8}"/>
    <cellStyle name="Calculation 2 10 3 5" xfId="3616" xr:uid="{1F15C104-98B7-431B-887F-D06216DDFE69}"/>
    <cellStyle name="Calculation 2 10 3 6" xfId="6561" xr:uid="{A89BDB04-26F9-4D58-91FE-A95C729A28E1}"/>
    <cellStyle name="Calculation 2 10 3 7" xfId="2538" xr:uid="{F277DECF-02BA-4BEE-B255-C3C2B4EAC8E3}"/>
    <cellStyle name="Calculation 2 10 4" xfId="662" xr:uid="{03E9A103-A2E9-4978-8487-FB56009C8443}"/>
    <cellStyle name="Calculation 2 10 4 2" xfId="1467" xr:uid="{66EB5656-520D-4FB6-9179-FA203D7A8D57}"/>
    <cellStyle name="Calculation 2 10 4 2 2" xfId="7238" xr:uid="{FA50BCF9-01D8-429B-B425-A2279E98B046}"/>
    <cellStyle name="Calculation 2 10 4 2 3" xfId="9904" xr:uid="{C878990A-A3E8-400F-84F1-054FDAE2D8B4}"/>
    <cellStyle name="Calculation 2 10 4 2 4" xfId="4264" xr:uid="{A66A1529-4F83-4A59-A368-498B0CF82873}"/>
    <cellStyle name="Calculation 2 10 4 3" xfId="5004" xr:uid="{29D3576D-1AD5-4662-B2BB-FE3363DB872D}"/>
    <cellStyle name="Calculation 2 10 4 3 2" xfId="7978" xr:uid="{6E1EEABF-8B73-4B47-998D-ADC77E44B14D}"/>
    <cellStyle name="Calculation 2 10 4 4" xfId="5769" xr:uid="{FBF3F623-0C7D-4FE2-A06A-8AD45CE166DA}"/>
    <cellStyle name="Calculation 2 10 4 4 2" xfId="8743" xr:uid="{969B8CA0-6B52-4679-B6F5-46A3F5FDBA34}"/>
    <cellStyle name="Calculation 2 10 4 5" xfId="3502" xr:uid="{2A0E2F30-BCAA-453B-A633-D5CF580E15E6}"/>
    <cellStyle name="Calculation 2 10 4 6" xfId="6442" xr:uid="{7A381D85-994E-40C2-8C31-5E019DFEF284}"/>
    <cellStyle name="Calculation 2 10 4 7" xfId="2419" xr:uid="{BD3F0422-6CAF-48B4-84CF-5B05575124FE}"/>
    <cellStyle name="Calculation 2 10 5" xfId="3218" xr:uid="{4C5140DF-8D5F-4021-8427-0667B67428F3}"/>
    <cellStyle name="Calculation 2 10 6" xfId="3986" xr:uid="{2EDD68F2-310A-4DA7-B0AA-9C1FCA428D8A}"/>
    <cellStyle name="Calculation 2 10 7" xfId="2109" xr:uid="{2EA9FC56-8CDB-4E3D-BC10-8900EEBFDAA4}"/>
    <cellStyle name="Calculation 2 11" xfId="241" xr:uid="{0E37EEDF-8BF5-46DA-A50C-F8F0E8FF274E}"/>
    <cellStyle name="Calculation 2 11 2" xfId="465" xr:uid="{9B741B9D-8101-4DD8-AF57-C7C12C2E6E91}"/>
    <cellStyle name="Calculation 2 11 2 2" xfId="944" xr:uid="{27876F88-A965-4677-A5A4-EFA51DC13E19}"/>
    <cellStyle name="Calculation 2 11 2 2 2" xfId="1749" xr:uid="{5521A282-8CBE-42ED-BCDB-DFF1564FC7E2}"/>
    <cellStyle name="Calculation 2 11 2 2 2 2" xfId="7520" xr:uid="{7726D243-01BB-415C-8C36-D4EEBE1E4FE5}"/>
    <cellStyle name="Calculation 2 11 2 2 2 3" xfId="10186" xr:uid="{537A597D-A3EE-47B3-956C-3F6DBAA44451}"/>
    <cellStyle name="Calculation 2 11 2 2 2 4" xfId="4546" xr:uid="{214FA3BD-99D5-4744-9D40-5298A8D7073C}"/>
    <cellStyle name="Calculation 2 11 2 2 3" xfId="5286" xr:uid="{727260A9-3837-4D39-8F95-F07448F8CCA1}"/>
    <cellStyle name="Calculation 2 11 2 2 3 2" xfId="8260" xr:uid="{77BDADC4-AFB4-4DF9-9C47-055542A44679}"/>
    <cellStyle name="Calculation 2 11 2 2 4" xfId="6051" xr:uid="{261F64B4-5C8C-4EAB-A2BA-74FB4B2F811E}"/>
    <cellStyle name="Calculation 2 11 2 2 4 2" xfId="9025" xr:uid="{5BF1C5A9-B882-4352-B662-9FE373883721}"/>
    <cellStyle name="Calculation 2 11 2 2 5" xfId="3761" xr:uid="{8F7F9290-41EE-4D18-B180-8AD9C92A4B84}"/>
    <cellStyle name="Calculation 2 11 2 2 6" xfId="6724" xr:uid="{90691C6D-2ABF-4520-A5EF-6AE7F3E48360}"/>
    <cellStyle name="Calculation 2 11 2 2 7" xfId="2701" xr:uid="{B63A8586-784A-44FC-B6F6-F1A49085FA25}"/>
    <cellStyle name="Calculation 2 11 2 3" xfId="837" xr:uid="{09CA44C2-7F17-4F88-86E3-1A1F107946E1}"/>
    <cellStyle name="Calculation 2 11 2 3 2" xfId="1642" xr:uid="{2B9EE75F-0A6B-440B-A21C-7B8EF2A12D3F}"/>
    <cellStyle name="Calculation 2 11 2 3 2 2" xfId="7413" xr:uid="{70E542AD-8334-49AA-AD50-D3C508F8D1A6}"/>
    <cellStyle name="Calculation 2 11 2 3 2 3" xfId="10079" xr:uid="{6CFCB493-473A-4D49-9BCF-BFA71AC009A6}"/>
    <cellStyle name="Calculation 2 11 2 3 2 4" xfId="4439" xr:uid="{7987D50C-F48B-4CA7-A098-89B62E5A6973}"/>
    <cellStyle name="Calculation 2 11 2 3 3" xfId="5179" xr:uid="{2CA57797-AD6A-402F-A697-E43608AA7CA6}"/>
    <cellStyle name="Calculation 2 11 2 3 3 2" xfId="8153" xr:uid="{2E1E9EC6-9269-4C9E-89A8-FFCA870CC33F}"/>
    <cellStyle name="Calculation 2 11 2 3 4" xfId="5944" xr:uid="{C802CC26-1D28-4270-9293-3F4EFFBCB006}"/>
    <cellStyle name="Calculation 2 11 2 3 4 2" xfId="8918" xr:uid="{6BAF0D1E-390A-42DB-BB22-F0B6A467330B}"/>
    <cellStyle name="Calculation 2 11 2 3 5" xfId="3671" xr:uid="{D219E338-B30C-4A97-B2D0-4C653FCFB6DC}"/>
    <cellStyle name="Calculation 2 11 2 3 6" xfId="6617" xr:uid="{3EC0A31E-3AC8-4354-8992-908CD52B2DEF}"/>
    <cellStyle name="Calculation 2 11 2 3 7" xfId="2594" xr:uid="{0FA883F9-2164-4EF4-9325-F9D1B7514CEA}"/>
    <cellStyle name="Calculation 2 11 2 4" xfId="1271" xr:uid="{68EBAD87-29EE-494C-BBC1-D81AB2B5AD50}"/>
    <cellStyle name="Calculation 2 11 2 4 2" xfId="7042" xr:uid="{A91148CE-7C40-49C6-87C2-BE63E146CF14}"/>
    <cellStyle name="Calculation 2 11 2 4 3" xfId="9708" xr:uid="{EA9185DD-7DA6-4812-8EAD-CC1D2256D53A}"/>
    <cellStyle name="Calculation 2 11 2 4 4" xfId="4068" xr:uid="{9E24BAF5-EE0F-48E2-A630-AFA704D2BE51}"/>
    <cellStyle name="Calculation 2 11 2 5" xfId="4808" xr:uid="{95076B8C-0FF0-4414-8884-82C4E3934406}"/>
    <cellStyle name="Calculation 2 11 2 5 2" xfId="7782" xr:uid="{BB36AC98-32C2-41F2-9729-2DB2DB76976E}"/>
    <cellStyle name="Calculation 2 11 2 6" xfId="5573" xr:uid="{8691C059-5041-46B6-B8A7-41B379236003}"/>
    <cellStyle name="Calculation 2 11 2 6 2" xfId="8547" xr:uid="{A5E06990-B202-49D7-B4A9-591BBBE6F4C7}"/>
    <cellStyle name="Calculation 2 11 2 7" xfId="3366" xr:uid="{37AFED16-0A4F-4C90-AF97-8C837FF7AE66}"/>
    <cellStyle name="Calculation 2 11 2 8" xfId="3294" xr:uid="{E7DF1544-B74F-4C5F-8183-202BB0BD47CA}"/>
    <cellStyle name="Calculation 2 11 2 9" xfId="2223" xr:uid="{474F499F-993C-4D5C-81D8-7C2DBD13B961}"/>
    <cellStyle name="Calculation 2 11 3" xfId="733" xr:uid="{97AA6C6F-54D9-411D-BC30-41E065E4E811}"/>
    <cellStyle name="Calculation 2 11 3 2" xfId="1538" xr:uid="{49D21449-92AC-42A5-8AFD-B8FB796BF32E}"/>
    <cellStyle name="Calculation 2 11 3 2 2" xfId="7309" xr:uid="{A35015B2-7576-41DE-AAE5-4524B17BA032}"/>
    <cellStyle name="Calculation 2 11 3 2 3" xfId="9975" xr:uid="{C7551125-CD5A-480B-AF59-541845898F71}"/>
    <cellStyle name="Calculation 2 11 3 2 4" xfId="4335" xr:uid="{27BC1E26-24CF-4D3A-9AE2-44F8BDB347E3}"/>
    <cellStyle name="Calculation 2 11 3 3" xfId="5075" xr:uid="{357D8912-EC47-42DB-B825-445A5DA8D9ED}"/>
    <cellStyle name="Calculation 2 11 3 3 2" xfId="8049" xr:uid="{96EE8F19-71B7-42EB-9F45-436CBFF13F60}"/>
    <cellStyle name="Calculation 2 11 3 4" xfId="5840" xr:uid="{BC49FDDA-DEEC-471C-B0D9-E934011C4B68}"/>
    <cellStyle name="Calculation 2 11 3 4 2" xfId="8814" xr:uid="{2C639A0A-B041-408A-9925-8F205172D46A}"/>
    <cellStyle name="Calculation 2 11 3 5" xfId="3568" xr:uid="{AAC4ADA1-4512-40CF-92D6-F3B08A10E57F}"/>
    <cellStyle name="Calculation 2 11 3 6" xfId="6513" xr:uid="{73825D94-80EB-4B6C-87C1-3DAAD5DC0FB2}"/>
    <cellStyle name="Calculation 2 11 3 7" xfId="2490" xr:uid="{648490FB-28B0-4C9B-AB5D-7C29763B30CA}"/>
    <cellStyle name="Calculation 2 11 4" xfId="1125" xr:uid="{2E2E611E-9AC0-4427-B027-47C2548FBE2B}"/>
    <cellStyle name="Calculation 2 11 4 2" xfId="1930" xr:uid="{D93F4895-A217-44C0-A984-7835723B2A7F}"/>
    <cellStyle name="Calculation 2 11 4 2 2" xfId="7701" xr:uid="{41F5C9AF-A14F-4AA4-8452-915534834330}"/>
    <cellStyle name="Calculation 2 11 4 2 3" xfId="10367" xr:uid="{9A1F63FD-E0F1-4729-8F27-E1AC2CD71859}"/>
    <cellStyle name="Calculation 2 11 4 2 4" xfId="4727" xr:uid="{1ED6139D-53A0-441B-8AB1-9176C7724CB4}"/>
    <cellStyle name="Calculation 2 11 4 3" xfId="5467" xr:uid="{77BA4BE5-BFDC-4A20-BAD4-3B955A630386}"/>
    <cellStyle name="Calculation 2 11 4 3 2" xfId="8441" xr:uid="{C431C90D-CA25-4C3F-84A8-2D9D95C6875D}"/>
    <cellStyle name="Calculation 2 11 4 4" xfId="6232" xr:uid="{2843D651-7420-411E-B81D-5438679AE72F}"/>
    <cellStyle name="Calculation 2 11 4 4 2" xfId="9206" xr:uid="{3D075C65-E2BB-4305-A87D-D9A2FEF66089}"/>
    <cellStyle name="Calculation 2 11 4 5" xfId="3927" xr:uid="{2DB5E371-3BCA-4267-A48C-7B4EF3C36E83}"/>
    <cellStyle name="Calculation 2 11 4 6" xfId="6905" xr:uid="{F5B4F126-812A-49A3-A3C9-DCE34191C7F5}"/>
    <cellStyle name="Calculation 2 11 4 7" xfId="2882" xr:uid="{59D7C878-7EFB-44DA-A39A-2759BED6A74B}"/>
    <cellStyle name="Calculation 2 11 5" xfId="3179" xr:uid="{55B3709A-2A0D-4E59-99A4-F72417DE2BE7}"/>
    <cellStyle name="Calculation 2 11 6" xfId="3420" xr:uid="{E1782349-0E32-4DE6-8F72-1B9647DDCAE7}"/>
    <cellStyle name="Calculation 2 11 7" xfId="2058" xr:uid="{55A2D624-F49B-44CA-B11B-A08F495713F2}"/>
    <cellStyle name="Calculation 2 12" xfId="194" xr:uid="{3EB97DD4-4C3F-43FB-BC1E-87E9F9008C3F}"/>
    <cellStyle name="Calculation 2 12 2" xfId="423" xr:uid="{3F1F7608-8696-4058-A03C-FA3A074A0C89}"/>
    <cellStyle name="Calculation 2 12 2 2" xfId="902" xr:uid="{87A69ECB-9CC6-4ED4-9256-EE1CD8CC119E}"/>
    <cellStyle name="Calculation 2 12 2 2 2" xfId="1707" xr:uid="{854FA8DC-BE1B-48C9-8796-4CE36F4F9A90}"/>
    <cellStyle name="Calculation 2 12 2 2 2 2" xfId="7478" xr:uid="{747EA231-7A09-47E5-9BE1-707895E212C1}"/>
    <cellStyle name="Calculation 2 12 2 2 2 3" xfId="10144" xr:uid="{FBF1D51E-F9D9-4BF8-9204-ABD957D5FACA}"/>
    <cellStyle name="Calculation 2 12 2 2 2 4" xfId="4504" xr:uid="{20B60D7A-8DE7-4698-8559-B166646861D9}"/>
    <cellStyle name="Calculation 2 12 2 2 3" xfId="5244" xr:uid="{B9314B56-89C0-41E5-B6E2-32E06B8CBA1B}"/>
    <cellStyle name="Calculation 2 12 2 2 3 2" xfId="8218" xr:uid="{43CECCB0-F087-48BE-A12C-C858C2766CF1}"/>
    <cellStyle name="Calculation 2 12 2 2 4" xfId="6009" xr:uid="{92DFB7B8-B2C8-4047-8737-4AA080763D54}"/>
    <cellStyle name="Calculation 2 12 2 2 4 2" xfId="8983" xr:uid="{ED4B26AB-D1E8-4B6B-AEF8-5CD34AE05CB1}"/>
    <cellStyle name="Calculation 2 12 2 2 5" xfId="3719" xr:uid="{F90B54AB-7CD9-44EE-AF21-1F9E2A694E48}"/>
    <cellStyle name="Calculation 2 12 2 2 6" xfId="6682" xr:uid="{BE645FE8-A9B5-4B2F-8624-921EEAEEC8AA}"/>
    <cellStyle name="Calculation 2 12 2 2 7" xfId="2659" xr:uid="{DF0CEDE7-4FBC-40D6-B933-95B1096EE981}"/>
    <cellStyle name="Calculation 2 12 2 3" xfId="1182" xr:uid="{C14F7E38-293C-4F52-911B-FFE0BB3C263A}"/>
    <cellStyle name="Calculation 2 12 2 3 2" xfId="1987" xr:uid="{70CA7CCA-0CAE-4712-B7CE-F6B13EC6E100}"/>
    <cellStyle name="Calculation 2 12 2 3 2 2" xfId="7758" xr:uid="{CC3F8E00-2DA0-47D8-9C84-3FBCCDAF698C}"/>
    <cellStyle name="Calculation 2 12 2 3 2 3" xfId="10424" xr:uid="{077F7D8D-FACC-474A-BF52-8C97C4E960A9}"/>
    <cellStyle name="Calculation 2 12 2 3 2 4" xfId="4784" xr:uid="{2AB81598-7500-42FC-8D0B-5099FB1D02A3}"/>
    <cellStyle name="Calculation 2 12 2 3 3" xfId="5524" xr:uid="{6FBFBC92-7059-410F-B03B-AA8223945015}"/>
    <cellStyle name="Calculation 2 12 2 3 3 2" xfId="8498" xr:uid="{6D0A63D4-ACE1-4B4D-BFFC-C93E16EDB342}"/>
    <cellStyle name="Calculation 2 12 2 3 4" xfId="6289" xr:uid="{8A306DFF-B083-4CC8-8165-ECE158BC0816}"/>
    <cellStyle name="Calculation 2 12 2 3 4 2" xfId="9263" xr:uid="{7CA0B327-5D29-46E2-9140-23097AC13570}"/>
    <cellStyle name="Calculation 2 12 2 3 5" xfId="3956" xr:uid="{A82442DA-7E78-4844-8DE0-2C2190CB5A90}"/>
    <cellStyle name="Calculation 2 12 2 3 6" xfId="6962" xr:uid="{7BE3B615-451A-4629-9ACF-147FC567242E}"/>
    <cellStyle name="Calculation 2 12 2 3 7" xfId="2939" xr:uid="{5EED254E-650A-4589-BCC3-F250B14A1992}"/>
    <cellStyle name="Calculation 2 12 2 4" xfId="1229" xr:uid="{DF48BFF2-8A48-4DE7-92C4-A89F912E2EF4}"/>
    <cellStyle name="Calculation 2 12 2 4 2" xfId="7000" xr:uid="{8E1C566F-4556-4395-A31C-B0CC60E085A9}"/>
    <cellStyle name="Calculation 2 12 2 4 3" xfId="9666" xr:uid="{6485B37C-5FD6-4DDE-BC3E-FA10E6A494DB}"/>
    <cellStyle name="Calculation 2 12 2 4 4" xfId="4026" xr:uid="{2CBCB6D9-053E-4373-8FB2-3FFA3DF58CDD}"/>
    <cellStyle name="Calculation 2 12 2 5" xfId="3271" xr:uid="{17580DCA-2969-4CDE-98B4-04C2D2E5154B}"/>
    <cellStyle name="Calculation 2 12 2 5 2" xfId="3324" xr:uid="{E106E4C9-01B0-49B2-9BC3-E0A2837ACE0C}"/>
    <cellStyle name="Calculation 2 12 2 6" xfId="4000" xr:uid="{12886F02-0D6D-4812-B923-607CB4416165}"/>
    <cellStyle name="Calculation 2 12 2 6 2" xfId="6974" xr:uid="{BB68A58C-556E-4551-84FF-5AF64FC048C4}"/>
    <cellStyle name="Calculation 2 12 2 7" xfId="3335" xr:uid="{7D01B000-3861-4E9E-B8F0-028CA9C8C7DF}"/>
    <cellStyle name="Calculation 2 12 2 8" xfId="3305" xr:uid="{533F1398-BA87-4A36-A3F6-D108179EFEB5}"/>
    <cellStyle name="Calculation 2 12 2 9" xfId="2181" xr:uid="{88DB37E8-052C-461B-B77A-38748FCD8B72}"/>
    <cellStyle name="Calculation 2 12 3" xfId="687" xr:uid="{AAE90ABF-0CF9-404E-A466-877DCDE8368E}"/>
    <cellStyle name="Calculation 2 12 3 2" xfId="1492" xr:uid="{7E69A74E-9617-4170-9CDD-8C0407199A13}"/>
    <cellStyle name="Calculation 2 12 3 2 2" xfId="7263" xr:uid="{54A42732-0DC7-4397-83F6-980952C5D626}"/>
    <cellStyle name="Calculation 2 12 3 2 3" xfId="9929" xr:uid="{D5D99A88-E4B1-4012-9AC9-4CC0C41416EA}"/>
    <cellStyle name="Calculation 2 12 3 2 4" xfId="4289" xr:uid="{F7EAEF7E-D0BE-4352-9A8E-71317E84B45E}"/>
    <cellStyle name="Calculation 2 12 3 3" xfId="5029" xr:uid="{4B34A250-7028-4F53-99E1-315D1E65F965}"/>
    <cellStyle name="Calculation 2 12 3 3 2" xfId="8003" xr:uid="{9E2C2C67-6AE4-4E24-A21B-7D5AB03B1059}"/>
    <cellStyle name="Calculation 2 12 3 4" xfId="5794" xr:uid="{8279D1FB-CD22-4EFB-9AC9-8A70556BA424}"/>
    <cellStyle name="Calculation 2 12 3 4 2" xfId="8768" xr:uid="{75A76E8E-6DF2-47F7-BB5B-12018BE9990F}"/>
    <cellStyle name="Calculation 2 12 3 5" xfId="3523" xr:uid="{0897DE2D-C2E0-4003-8E14-2E9C331B3222}"/>
    <cellStyle name="Calculation 2 12 3 6" xfId="6467" xr:uid="{304CD4E0-C996-4356-B091-32BD88ACBA5D}"/>
    <cellStyle name="Calculation 2 12 3 7" xfId="2444" xr:uid="{96D0DF28-15BA-4482-98E7-D12166AE367D}"/>
    <cellStyle name="Calculation 2 12 4" xfId="1183" xr:uid="{A65B2F16-7A13-43FF-BAEA-1ADAED082C9F}"/>
    <cellStyle name="Calculation 2 12 4 2" xfId="1988" xr:uid="{E5AD9387-1C3B-458E-AA78-B407911CF737}"/>
    <cellStyle name="Calculation 2 12 4 2 2" xfId="7759" xr:uid="{6B8C6D2C-14D7-4833-A623-DEAE14367277}"/>
    <cellStyle name="Calculation 2 12 4 2 3" xfId="10425" xr:uid="{A5BA8D3C-BBDF-49DD-9A2E-8BFECB762148}"/>
    <cellStyle name="Calculation 2 12 4 2 4" xfId="4785" xr:uid="{280D742F-2D4A-4C3B-9F0B-BB74231905E2}"/>
    <cellStyle name="Calculation 2 12 4 3" xfId="5525" xr:uid="{D256AC2E-549D-47FC-9282-B647EF598AA3}"/>
    <cellStyle name="Calculation 2 12 4 3 2" xfId="8499" xr:uid="{BF343F2B-8D5E-4FC8-9D50-A32BC74CE2A8}"/>
    <cellStyle name="Calculation 2 12 4 4" xfId="6290" xr:uid="{F826CAB2-C0C2-459E-9F83-656D5AA5A9F2}"/>
    <cellStyle name="Calculation 2 12 4 4 2" xfId="9264" xr:uid="{06FA91CB-08F6-453C-8017-7B84CEAB7D0A}"/>
    <cellStyle name="Calculation 2 12 4 5" xfId="3957" xr:uid="{F374E509-FFE0-498B-87E6-59335519D7F0}"/>
    <cellStyle name="Calculation 2 12 4 6" xfId="6963" xr:uid="{987E09E1-BB63-49A3-8E8E-08244CBAF0A5}"/>
    <cellStyle name="Calculation 2 12 4 7" xfId="2940" xr:uid="{FA8074C9-095F-43F5-B062-8446B75F7CCF}"/>
    <cellStyle name="Calculation 2 12 5" xfId="3125" xr:uid="{3B237C8E-6FE2-4923-B7ED-4FB162756219}"/>
    <cellStyle name="Calculation 2 12 6" xfId="3403" xr:uid="{E3DA7F76-FFDE-459E-BC6A-6BC4FAAAD83D}"/>
    <cellStyle name="Calculation 2 12 7" xfId="2012" xr:uid="{BE483B3C-D21B-4C63-ABF7-7CC9283F3589}"/>
    <cellStyle name="Calculation 2 13" xfId="411" xr:uid="{5F1CF799-C2D9-4F3B-AF4D-7A4FF1B6F466}"/>
    <cellStyle name="Calculation 2 13 2" xfId="890" xr:uid="{4C896B06-4A3C-4914-B46F-E0D7D4072CF8}"/>
    <cellStyle name="Calculation 2 13 2 2" xfId="1695" xr:uid="{8A3E38C2-9A2F-4049-8C5B-BD0C3475E942}"/>
    <cellStyle name="Calculation 2 13 2 2 2" xfId="7466" xr:uid="{AD8B47B4-B8FC-462C-9EAA-569F7A433ABC}"/>
    <cellStyle name="Calculation 2 13 2 2 3" xfId="10132" xr:uid="{898822BB-3E4B-4B11-8494-06D6ABD9F011}"/>
    <cellStyle name="Calculation 2 13 2 2 4" xfId="4492" xr:uid="{F1CD252E-5B27-4CBC-84AE-A0CDFDE3FD0E}"/>
    <cellStyle name="Calculation 2 13 2 3" xfId="5232" xr:uid="{F0A856DA-D573-4C0B-AED2-328E50A1475C}"/>
    <cellStyle name="Calculation 2 13 2 3 2" xfId="8206" xr:uid="{68216A9B-1B15-4D17-B5BD-9F002D37377E}"/>
    <cellStyle name="Calculation 2 13 2 4" xfId="5997" xr:uid="{1D30F8ED-6F46-4E8C-960A-C6A567EF0796}"/>
    <cellStyle name="Calculation 2 13 2 4 2" xfId="8971" xr:uid="{85316161-2D97-474D-AAB5-6B98413D4DC1}"/>
    <cellStyle name="Calculation 2 13 2 5" xfId="3707" xr:uid="{1887F4F8-5949-440F-A1E4-39FF94D1E011}"/>
    <cellStyle name="Calculation 2 13 2 6" xfId="6670" xr:uid="{CF740536-1E1F-4699-A423-27EEB55C6916}"/>
    <cellStyle name="Calculation 2 13 2 7" xfId="2647" xr:uid="{0BB32E31-B3B5-4571-8341-0D0867D1B316}"/>
    <cellStyle name="Calculation 2 13 3" xfId="1188" xr:uid="{1849AD52-A817-4328-B5E1-4D6B1C4CA55A}"/>
    <cellStyle name="Calculation 2 13 3 2" xfId="1993" xr:uid="{8E460988-422E-4FE9-8659-4F3B3C48B527}"/>
    <cellStyle name="Calculation 2 13 3 2 2" xfId="7764" xr:uid="{8BB699C8-35F8-4D03-9F2A-8B98D1CBDE30}"/>
    <cellStyle name="Calculation 2 13 3 2 3" xfId="10430" xr:uid="{4A17BB6D-1F50-4FCA-916F-B385B6B91F6E}"/>
    <cellStyle name="Calculation 2 13 3 2 4" xfId="4790" xr:uid="{EC04E809-DC89-49EF-9980-AF46EB83EA37}"/>
    <cellStyle name="Calculation 2 13 3 3" xfId="5530" xr:uid="{9673D24E-8511-4097-8AF7-3F061C047F34}"/>
    <cellStyle name="Calculation 2 13 3 3 2" xfId="8504" xr:uid="{4CCF58F6-7947-49C6-810E-12952589A5FB}"/>
    <cellStyle name="Calculation 2 13 3 4" xfId="6295" xr:uid="{913D8A9E-13C6-401E-856E-0F446025A350}"/>
    <cellStyle name="Calculation 2 13 3 4 2" xfId="9269" xr:uid="{454027E1-DAA7-430F-B7C3-9882C9A3211A}"/>
    <cellStyle name="Calculation 2 13 3 5" xfId="3962" xr:uid="{4F82F079-ACB4-485B-A365-6A891A04121B}"/>
    <cellStyle name="Calculation 2 13 3 6" xfId="6968" xr:uid="{2758B961-2DAC-4065-8ECE-A9470BF809CB}"/>
    <cellStyle name="Calculation 2 13 3 7" xfId="2945" xr:uid="{B9D2979F-7CA5-4DDE-BE81-0A2BAAAE7896}"/>
    <cellStyle name="Calculation 2 13 4" xfId="1217" xr:uid="{6A6775CC-651B-4937-8EC5-C964BD5CA945}"/>
    <cellStyle name="Calculation 2 13 4 2" xfId="6988" xr:uid="{4BAB44F9-21AB-40BD-8211-7CC6A0ED1D7B}"/>
    <cellStyle name="Calculation 2 13 4 3" xfId="9654" xr:uid="{9043FE94-E586-488A-835B-0F0E68DEEEC9}"/>
    <cellStyle name="Calculation 2 13 4 4" xfId="4014" xr:uid="{C3603DDC-D533-4BB6-A470-4AC2952D7FDF}"/>
    <cellStyle name="Calculation 2 13 5" xfId="3258" xr:uid="{0C700403-B7C0-45F5-866A-2119F49C2150}"/>
    <cellStyle name="Calculation 2 13 5 2" xfId="3313" xr:uid="{F759BC59-12CB-4C8E-9E9C-DE5786A63D3F}"/>
    <cellStyle name="Calculation 2 13 6" xfId="4001" xr:uid="{69DDA326-77C8-4CB4-A786-F3729F715626}"/>
    <cellStyle name="Calculation 2 13 6 2" xfId="6975" xr:uid="{C941BEDE-3DFF-43FD-8D97-88FCC91C79CF}"/>
    <cellStyle name="Calculation 2 13 7" xfId="3326" xr:uid="{4D5A6DE1-9559-4D16-87B1-793F85B0F7DE}"/>
    <cellStyle name="Calculation 2 13 8" xfId="2994" xr:uid="{4FF2DF66-FE99-4D0C-AFB6-07B1955DC502}"/>
    <cellStyle name="Calculation 2 13 9" xfId="2169" xr:uid="{CAE89F1F-9B04-4F72-BDB5-4092F288438D}"/>
    <cellStyle name="Calculation 2 14" xfId="641" xr:uid="{30C7D3E1-4175-4D0C-A54F-B054B5EE39DB}"/>
    <cellStyle name="Calculation 2 14 2" xfId="1446" xr:uid="{A11D7961-3205-4BA2-BA37-19A96AC91BC6}"/>
    <cellStyle name="Calculation 2 14 2 2" xfId="7217" xr:uid="{10554995-EED5-4FE2-9017-6D7CDA4003E7}"/>
    <cellStyle name="Calculation 2 14 2 3" xfId="9883" xr:uid="{0CCAAB10-2133-4259-B51F-43EB70BA4B3C}"/>
    <cellStyle name="Calculation 2 14 2 4" xfId="4243" xr:uid="{C1D7225F-2DE7-478F-92D5-29793FD18BC5}"/>
    <cellStyle name="Calculation 2 14 3" xfId="4983" xr:uid="{669D7196-33C7-4138-AA73-54A2BF4C88D2}"/>
    <cellStyle name="Calculation 2 14 3 2" xfId="7957" xr:uid="{AA38E11C-218B-4780-8702-910AB2E80851}"/>
    <cellStyle name="Calculation 2 14 4" xfId="5748" xr:uid="{33436335-B3EE-4F23-893A-00452215861D}"/>
    <cellStyle name="Calculation 2 14 4 2" xfId="8722" xr:uid="{3AFC3EA5-3243-4761-9427-2C078AD75164}"/>
    <cellStyle name="Calculation 2 14 5" xfId="3487" xr:uid="{A22E0D6B-C1D1-43BC-A73E-36E11A211650}"/>
    <cellStyle name="Calculation 2 14 6" xfId="6421" xr:uid="{64EF7D8F-D2E1-4ECA-9244-CA555A854770}"/>
    <cellStyle name="Calculation 2 14 7" xfId="2398" xr:uid="{0730F074-1FA5-4EF6-BD12-2137FC80177B}"/>
    <cellStyle name="Calculation 2 15" xfId="1053" xr:uid="{8C396E30-9F7D-43A3-9338-40F04C5B6698}"/>
    <cellStyle name="Calculation 2 15 2" xfId="1858" xr:uid="{BCF62C4E-419D-4063-97CE-016D7A983E3C}"/>
    <cellStyle name="Calculation 2 15 2 2" xfId="7629" xr:uid="{9843D03F-B2CC-4748-B75A-A909EB1F73BB}"/>
    <cellStyle name="Calculation 2 15 2 3" xfId="10295" xr:uid="{CD9F4B4A-5674-4682-A5DF-E2EF9A968BD0}"/>
    <cellStyle name="Calculation 2 15 2 4" xfId="4655" xr:uid="{4243F91E-54E2-482A-8877-B9E93000119D}"/>
    <cellStyle name="Calculation 2 15 3" xfId="5395" xr:uid="{FDA8B18D-CEC3-484C-9E49-8E5716EC25E2}"/>
    <cellStyle name="Calculation 2 15 3 2" xfId="8369" xr:uid="{4536A7DF-86BE-4865-AB14-8C965BD10648}"/>
    <cellStyle name="Calculation 2 15 4" xfId="6160" xr:uid="{51908171-4AE4-43EA-8691-1FE08E9F9507}"/>
    <cellStyle name="Calculation 2 15 4 2" xfId="9134" xr:uid="{5084C87C-A4B5-4E84-B404-73AAFE02519D}"/>
    <cellStyle name="Calculation 2 15 5" xfId="3870" xr:uid="{AE1FABA7-C78B-49BD-80BA-1239E4BFDEE8}"/>
    <cellStyle name="Calculation 2 15 6" xfId="6833" xr:uid="{0F098293-263F-470D-BE61-B4CA9305723F}"/>
    <cellStyle name="Calculation 2 15 7" xfId="2810" xr:uid="{E4D0CBA3-A679-4481-98B1-EADB99B10909}"/>
    <cellStyle name="Calculation 2 16" xfId="3069" xr:uid="{84A0CAC6-0CE0-402B-8291-465B3355B978}"/>
    <cellStyle name="Calculation 2 17" xfId="3510" xr:uid="{473EFC07-53A8-4D49-A3E4-9B8ED4FE7753}"/>
    <cellStyle name="Calculation 2 18" xfId="1998" xr:uid="{3CCE9D5F-FE75-47F9-9D35-316220B7C650}"/>
    <cellStyle name="Calculation 2 2" xfId="186" xr:uid="{B2576F4B-F30B-4BF2-BEE4-9A96C65F03E6}"/>
    <cellStyle name="Calculation 2 2 10" xfId="2006" xr:uid="{31BE0872-0305-4400-9566-448947F5F93C}"/>
    <cellStyle name="Calculation 2 2 2" xfId="303" xr:uid="{81E67BD2-4B26-4186-893F-61352F137578}"/>
    <cellStyle name="Calculation 2 2 2 2" xfId="525" xr:uid="{D2BC4BA5-4902-4FCC-9881-AF0C83606014}"/>
    <cellStyle name="Calculation 2 2 2 2 2" xfId="1004" xr:uid="{80496AFF-3825-4178-AA6F-07C1DC87DAE2}"/>
    <cellStyle name="Calculation 2 2 2 2 2 2" xfId="1809" xr:uid="{D811ACD2-A2B0-4302-AE9B-F9C94C4BF172}"/>
    <cellStyle name="Calculation 2 2 2 2 2 2 2" xfId="7580" xr:uid="{690D3ABF-FD66-4F8A-B024-69BB14773679}"/>
    <cellStyle name="Calculation 2 2 2 2 2 2 3" xfId="10246" xr:uid="{86183B6A-B75A-48EA-A42B-F6CF1D68EE79}"/>
    <cellStyle name="Calculation 2 2 2 2 2 2 4" xfId="4606" xr:uid="{35A1BA60-CAAE-416A-B1EC-A6DF45122B7B}"/>
    <cellStyle name="Calculation 2 2 2 2 2 3" xfId="5346" xr:uid="{7E4094C1-CF6A-4E5E-A4C3-F11A9860CC47}"/>
    <cellStyle name="Calculation 2 2 2 2 2 3 2" xfId="8320" xr:uid="{3696E18A-0EF4-426A-8914-10CAD7413C2E}"/>
    <cellStyle name="Calculation 2 2 2 2 2 4" xfId="6111" xr:uid="{142C0571-1EB0-423D-97D4-D64397D28C79}"/>
    <cellStyle name="Calculation 2 2 2 2 2 4 2" xfId="9085" xr:uid="{1C53E963-9C0C-4B00-8D94-EBE74DD02075}"/>
    <cellStyle name="Calculation 2 2 2 2 2 5" xfId="3821" xr:uid="{4395933A-53B4-4B8D-856C-2B8E8F25538E}"/>
    <cellStyle name="Calculation 2 2 2 2 2 6" xfId="6784" xr:uid="{711B9A05-EDFA-44A6-BCA7-110B44CEC8A6}"/>
    <cellStyle name="Calculation 2 2 2 2 2 7" xfId="2761" xr:uid="{62F69659-4FC9-40A0-9EEF-C89A80D34045}"/>
    <cellStyle name="Calculation 2 2 2 2 3" xfId="1140" xr:uid="{DF87B89B-F6DA-4C01-AE43-72C107E0D50C}"/>
    <cellStyle name="Calculation 2 2 2 2 3 2" xfId="1945" xr:uid="{7D065584-A75B-47AC-8DB2-92D6BBEEC2CB}"/>
    <cellStyle name="Calculation 2 2 2 2 3 2 2" xfId="7716" xr:uid="{F02964FD-7F1C-49DD-A2F7-77F04052CB9E}"/>
    <cellStyle name="Calculation 2 2 2 2 3 2 3" xfId="10382" xr:uid="{E5B03E62-6896-4DEB-97CE-29B3BA13C897}"/>
    <cellStyle name="Calculation 2 2 2 2 3 2 4" xfId="4742" xr:uid="{6726511F-6A27-409B-9D2B-93676542ADCF}"/>
    <cellStyle name="Calculation 2 2 2 2 3 3" xfId="5482" xr:uid="{369BFAE1-5DAC-4515-A00D-DF4C55A70CE8}"/>
    <cellStyle name="Calculation 2 2 2 2 3 3 2" xfId="8456" xr:uid="{68A88FB5-D2F7-4A55-825A-C7460D3AE787}"/>
    <cellStyle name="Calculation 2 2 2 2 3 4" xfId="6247" xr:uid="{5DE96783-4580-45C4-A30C-912DD94E014A}"/>
    <cellStyle name="Calculation 2 2 2 2 3 4 2" xfId="9221" xr:uid="{F78ED1F4-3BFB-4E98-9AB8-0BFF77B8F8D6}"/>
    <cellStyle name="Calculation 2 2 2 2 3 5" xfId="3936" xr:uid="{56231B6A-8395-4966-9E8D-AB7BD2A2559B}"/>
    <cellStyle name="Calculation 2 2 2 2 3 6" xfId="6920" xr:uid="{68DD342D-23F3-4D36-BACC-E06E84EC2FC0}"/>
    <cellStyle name="Calculation 2 2 2 2 3 7" xfId="2897" xr:uid="{93A68B4E-37AA-4370-B398-4C6475BDCD26}"/>
    <cellStyle name="Calculation 2 2 2 2 4" xfId="1331" xr:uid="{C4F34471-F4F3-4FC4-A587-45E711C57D86}"/>
    <cellStyle name="Calculation 2 2 2 2 4 2" xfId="7102" xr:uid="{0CC6FF6F-E725-49A2-AA05-52E746C6AF49}"/>
    <cellStyle name="Calculation 2 2 2 2 4 3" xfId="9768" xr:uid="{224F43AE-B165-4E1E-BCDC-4251D9929A15}"/>
    <cellStyle name="Calculation 2 2 2 2 4 4" xfId="4128" xr:uid="{801E9E47-8E44-485C-AECB-51337D805569}"/>
    <cellStyle name="Calculation 2 2 2 2 5" xfId="4868" xr:uid="{998F14F8-7B6E-409B-84F1-1466AC84F87D}"/>
    <cellStyle name="Calculation 2 2 2 2 5 2" xfId="7842" xr:uid="{3E1EA264-A294-4266-B3B0-4D162D19B3D4}"/>
    <cellStyle name="Calculation 2 2 2 2 6" xfId="5633" xr:uid="{D0047FB1-5B0C-4D03-8549-D2EA70A830D7}"/>
    <cellStyle name="Calculation 2 2 2 2 6 2" xfId="8607" xr:uid="{B52EE2E1-9ADB-4081-95C3-1740CF7903FF}"/>
    <cellStyle name="Calculation 2 2 2 2 7" xfId="3409" xr:uid="{1F67511B-A0C2-4086-953F-D615AA303FFD}"/>
    <cellStyle name="Calculation 2 2 2 2 8" xfId="6306" xr:uid="{AF909A22-A678-41C8-A39D-070E6CC477CC}"/>
    <cellStyle name="Calculation 2 2 2 2 9" xfId="2283" xr:uid="{DA18C98A-C79D-427D-883E-E6AB08BBEFD6}"/>
    <cellStyle name="Calculation 2 2 2 3" xfId="794" xr:uid="{FC6626C1-05B0-40D8-AD1A-B1CDD4B2D853}"/>
    <cellStyle name="Calculation 2 2 2 3 2" xfId="1599" xr:uid="{854651E9-68A7-4E94-86A1-8EB03F3E94C0}"/>
    <cellStyle name="Calculation 2 2 2 3 2 2" xfId="7370" xr:uid="{CBFF834E-4F84-4205-9DBD-51D6713177D2}"/>
    <cellStyle name="Calculation 2 2 2 3 2 3" xfId="10036" xr:uid="{4D01236B-2A5F-4058-A0D0-DBCAB2C6ED22}"/>
    <cellStyle name="Calculation 2 2 2 3 2 4" xfId="4396" xr:uid="{5D99BAFC-E3CB-4AE9-B027-9979C728116E}"/>
    <cellStyle name="Calculation 2 2 2 3 3" xfId="5136" xr:uid="{ED1084DD-B1E4-4C65-9024-87EB293EEF35}"/>
    <cellStyle name="Calculation 2 2 2 3 3 2" xfId="8110" xr:uid="{9C2439C5-162E-4133-B8E8-B30E13A0C366}"/>
    <cellStyle name="Calculation 2 2 2 3 4" xfId="5901" xr:uid="{B50DDDC2-9EF3-4041-8B2D-374BEF7F6844}"/>
    <cellStyle name="Calculation 2 2 2 3 4 2" xfId="8875" xr:uid="{C21D85E0-5B28-4099-B0DF-DCFAA4200943}"/>
    <cellStyle name="Calculation 2 2 2 3 5" xfId="3628" xr:uid="{3164B056-7E03-4B2E-9FC9-D61B5C9EB84E}"/>
    <cellStyle name="Calculation 2 2 2 3 6" xfId="6574" xr:uid="{B3D90E87-1D4A-44F1-92B8-66239DBDE309}"/>
    <cellStyle name="Calculation 2 2 2 3 7" xfId="2551" xr:uid="{DAA3B668-8B84-4186-A80E-54009B4DDEF5}"/>
    <cellStyle name="Calculation 2 2 2 4" xfId="1113" xr:uid="{F7D4CB36-13C4-40B2-94D0-2DE4B3D18EFB}"/>
    <cellStyle name="Calculation 2 2 2 4 2" xfId="1918" xr:uid="{CAB09438-A994-4881-BE3D-DA6796A50921}"/>
    <cellStyle name="Calculation 2 2 2 4 2 2" xfId="7689" xr:uid="{6D48B813-FB84-4FFC-BB80-37DE0B3A9D3C}"/>
    <cellStyle name="Calculation 2 2 2 4 2 3" xfId="10355" xr:uid="{DD32CA92-8396-45C7-AAD7-6EDAB8F11C81}"/>
    <cellStyle name="Calculation 2 2 2 4 2 4" xfId="4715" xr:uid="{C5653BA4-9B7F-4B2B-AFEE-D4A3384DFAA8}"/>
    <cellStyle name="Calculation 2 2 2 4 3" xfId="5455" xr:uid="{B649EEB7-436A-440C-9C6F-9F58FD33DD4A}"/>
    <cellStyle name="Calculation 2 2 2 4 3 2" xfId="8429" xr:uid="{98F4920D-3CD0-4465-8E96-29CED8E3AF90}"/>
    <cellStyle name="Calculation 2 2 2 4 4" xfId="6220" xr:uid="{B5AA384B-7345-4CA1-B26A-C85A92CE844D}"/>
    <cellStyle name="Calculation 2 2 2 4 4 2" xfId="9194" xr:uid="{C1C7CC74-D57D-4C74-9358-11D1E14569E6}"/>
    <cellStyle name="Calculation 2 2 2 4 5" xfId="3918" xr:uid="{6E958D73-8C4E-48C0-838C-A2B90184F3B6}"/>
    <cellStyle name="Calculation 2 2 2 4 6" xfId="6893" xr:uid="{24E68641-1049-4D7D-959A-E707BE324817}"/>
    <cellStyle name="Calculation 2 2 2 4 7" xfId="2870" xr:uid="{41CC79E9-252F-4010-973A-54CFD63090B9}"/>
    <cellStyle name="Calculation 2 2 2 5" xfId="3228" xr:uid="{76699012-8A24-4FD8-BD98-D5ECFD211401}"/>
    <cellStyle name="Calculation 2 2 2 6" xfId="3975" xr:uid="{F0529CB5-CA22-4DAB-A5BA-F2117697F766}"/>
    <cellStyle name="Calculation 2 2 2 7" xfId="2121" xr:uid="{219F04DB-75D0-413E-9C7F-4296AEEF5B1E}"/>
    <cellStyle name="Calculation 2 2 3" xfId="247" xr:uid="{F2E87F27-FB88-4546-9444-6532386BD758}"/>
    <cellStyle name="Calculation 2 2 3 2" xfId="471" xr:uid="{64031566-A6A0-4DF1-AF64-EEC87A4F091D}"/>
    <cellStyle name="Calculation 2 2 3 2 2" xfId="950" xr:uid="{F80F2467-55FD-4AEE-B3CE-107B4327CE10}"/>
    <cellStyle name="Calculation 2 2 3 2 2 2" xfId="1755" xr:uid="{0BC1BFAF-DD0C-4E94-99FD-ADD919A8624E}"/>
    <cellStyle name="Calculation 2 2 3 2 2 2 2" xfId="7526" xr:uid="{12A549F3-9E83-4C6D-8999-BF1D652F7898}"/>
    <cellStyle name="Calculation 2 2 3 2 2 2 3" xfId="10192" xr:uid="{30A12581-B9B1-4D55-995A-8B81F822E878}"/>
    <cellStyle name="Calculation 2 2 3 2 2 2 4" xfId="4552" xr:uid="{E19426F0-DCBC-44D0-A59B-2DD588DF7D8C}"/>
    <cellStyle name="Calculation 2 2 3 2 2 3" xfId="5292" xr:uid="{239F9395-B41B-469F-B85B-E6B0CC26A456}"/>
    <cellStyle name="Calculation 2 2 3 2 2 3 2" xfId="8266" xr:uid="{359E67ED-86A7-4EB5-A1A6-EA77DA82D426}"/>
    <cellStyle name="Calculation 2 2 3 2 2 4" xfId="6057" xr:uid="{C01D5E58-E740-447A-B96B-0EC856BB7778}"/>
    <cellStyle name="Calculation 2 2 3 2 2 4 2" xfId="9031" xr:uid="{9D355222-63C0-488D-AC3D-2B6DA8754EA0}"/>
    <cellStyle name="Calculation 2 2 3 2 2 5" xfId="3767" xr:uid="{0328EA01-1E29-4D35-BE02-DF28A4E4CF90}"/>
    <cellStyle name="Calculation 2 2 3 2 2 6" xfId="6730" xr:uid="{DBFA9E9B-A1F5-4509-9802-9E9EA061D6C2}"/>
    <cellStyle name="Calculation 2 2 3 2 2 7" xfId="2707" xr:uid="{B7C84BB1-C765-4526-B812-64B74A485AA9}"/>
    <cellStyle name="Calculation 2 2 3 2 3" xfId="1134" xr:uid="{5BD1E20B-EC1E-4AD1-916C-57B3703E9581}"/>
    <cellStyle name="Calculation 2 2 3 2 3 2" xfId="1939" xr:uid="{4639C567-C205-4FB1-9EAC-2DE4D67DDA51}"/>
    <cellStyle name="Calculation 2 2 3 2 3 2 2" xfId="7710" xr:uid="{C596B451-CD9B-4F28-A7FA-456A56530EB2}"/>
    <cellStyle name="Calculation 2 2 3 2 3 2 3" xfId="10376" xr:uid="{E9C4A66A-52DB-4986-AC45-122C054C13C0}"/>
    <cellStyle name="Calculation 2 2 3 2 3 2 4" xfId="4736" xr:uid="{63E4340B-CA23-40D8-915C-CCF3B9DD64BC}"/>
    <cellStyle name="Calculation 2 2 3 2 3 3" xfId="5476" xr:uid="{FC4A13BA-C85C-4C69-B06B-ECFAB569A2B5}"/>
    <cellStyle name="Calculation 2 2 3 2 3 3 2" xfId="8450" xr:uid="{BE7E8B3F-9D43-4DC8-944D-5CE60A4DA2D3}"/>
    <cellStyle name="Calculation 2 2 3 2 3 4" xfId="6241" xr:uid="{EAD08750-ED05-4487-BB08-C6ABF7FE3D32}"/>
    <cellStyle name="Calculation 2 2 3 2 3 4 2" xfId="9215" xr:uid="{7A9C33A8-3031-45ED-AA5E-2220C3ED72F1}"/>
    <cellStyle name="Calculation 2 2 3 2 3 5" xfId="3933" xr:uid="{B940D163-4FFC-4523-9854-D47720BCFD22}"/>
    <cellStyle name="Calculation 2 2 3 2 3 6" xfId="6914" xr:uid="{E32ABA32-84EA-4BAD-8631-2E8C4D459B23}"/>
    <cellStyle name="Calculation 2 2 3 2 3 7" xfId="2891" xr:uid="{03AB2B0A-7CF4-4749-9FFB-17CF0C1138A8}"/>
    <cellStyle name="Calculation 2 2 3 2 4" xfId="1277" xr:uid="{436DE5A9-0A39-4AC4-B12B-456AC001BAFE}"/>
    <cellStyle name="Calculation 2 2 3 2 4 2" xfId="7048" xr:uid="{F3A20E2B-57D2-4DD6-999B-2BF0F6678D08}"/>
    <cellStyle name="Calculation 2 2 3 2 4 3" xfId="9714" xr:uid="{FA319ED3-DB70-47A2-8F0B-ADA016BB2FEC}"/>
    <cellStyle name="Calculation 2 2 3 2 4 4" xfId="4074" xr:uid="{C65F8FD0-20AE-4C34-BF31-338D8A3A488C}"/>
    <cellStyle name="Calculation 2 2 3 2 5" xfId="4814" xr:uid="{C289F3EB-F912-436C-A960-25C3DAC5DA51}"/>
    <cellStyle name="Calculation 2 2 3 2 5 2" xfId="7788" xr:uid="{4116C3F3-9B5B-411E-A2E6-E9768B855EC6}"/>
    <cellStyle name="Calculation 2 2 3 2 6" xfId="5579" xr:uid="{8BF85E90-1A52-4574-94FC-73812BE4FE20}"/>
    <cellStyle name="Calculation 2 2 3 2 6 2" xfId="8553" xr:uid="{E16115F6-11A8-4957-9E14-1ED7EE9121BE}"/>
    <cellStyle name="Calculation 2 2 3 2 7" xfId="3371" xr:uid="{2E5DCDFC-206C-478C-9EDF-9DF7D1C0E3B2}"/>
    <cellStyle name="Calculation 2 2 3 2 8" xfId="3295" xr:uid="{61CFC28F-361F-41F1-97D7-E7815CACF480}"/>
    <cellStyle name="Calculation 2 2 3 2 9" xfId="2229" xr:uid="{B2FB47AB-DA0E-4CC7-ABEF-DD8C6530A010}"/>
    <cellStyle name="Calculation 2 2 3 3" xfId="739" xr:uid="{C0D83DF5-1F7F-4A14-91BC-CABE61546844}"/>
    <cellStyle name="Calculation 2 2 3 3 2" xfId="1544" xr:uid="{5B103284-79EE-4D07-AAF1-0B36DA02A3A3}"/>
    <cellStyle name="Calculation 2 2 3 3 2 2" xfId="7315" xr:uid="{0071AE6E-D199-479B-B2A1-7AA1DB644E1F}"/>
    <cellStyle name="Calculation 2 2 3 3 2 3" xfId="9981" xr:uid="{1F11B6F9-6300-42FA-A0C4-0FD3CFCF47CE}"/>
    <cellStyle name="Calculation 2 2 3 3 2 4" xfId="4341" xr:uid="{C17338D2-DE91-42A4-B9F5-0BA2565B9361}"/>
    <cellStyle name="Calculation 2 2 3 3 3" xfId="5081" xr:uid="{2EC76A60-33DB-40AA-9A2E-BD8270E7F43D}"/>
    <cellStyle name="Calculation 2 2 3 3 3 2" xfId="8055" xr:uid="{4EFED609-B346-4341-BFD0-7B7654170FF5}"/>
    <cellStyle name="Calculation 2 2 3 3 4" xfId="5846" xr:uid="{1607547D-D7DC-4087-831E-45F7BFF112D1}"/>
    <cellStyle name="Calculation 2 2 3 3 4 2" xfId="8820" xr:uid="{234DD6C3-A327-47D8-A76E-42B3AF97718E}"/>
    <cellStyle name="Calculation 2 2 3 3 5" xfId="3574" xr:uid="{368292C0-A10F-441B-AC44-49E228AE6758}"/>
    <cellStyle name="Calculation 2 2 3 3 6" xfId="6519" xr:uid="{2B73B5DF-3BA5-4B6F-AD1F-AEE9E2CC01BC}"/>
    <cellStyle name="Calculation 2 2 3 3 7" xfId="2496" xr:uid="{0DE05CF2-329D-4F2E-888F-215798E7284E}"/>
    <cellStyle name="Calculation 2 2 3 4" xfId="871" xr:uid="{F5363F06-85CA-43F0-8E57-DD868D1E1D49}"/>
    <cellStyle name="Calculation 2 2 3 4 2" xfId="1676" xr:uid="{0D6527C2-9D67-4912-A532-3A83FB46222B}"/>
    <cellStyle name="Calculation 2 2 3 4 2 2" xfId="7447" xr:uid="{451696F5-1DA4-442D-A1E8-C010DE595B3D}"/>
    <cellStyle name="Calculation 2 2 3 4 2 3" xfId="10113" xr:uid="{6AF79885-87E9-476F-89BE-EA433602D15D}"/>
    <cellStyle name="Calculation 2 2 3 4 2 4" xfId="4473" xr:uid="{14DAA3A5-95FE-4322-900C-0868E12F52C5}"/>
    <cellStyle name="Calculation 2 2 3 4 3" xfId="5213" xr:uid="{C44CDA06-56E3-4784-A8E5-984340C716F4}"/>
    <cellStyle name="Calculation 2 2 3 4 3 2" xfId="8187" xr:uid="{865EE64A-3846-461C-81BA-3B7714DCF61F}"/>
    <cellStyle name="Calculation 2 2 3 4 4" xfId="5978" xr:uid="{097C5DD2-6730-48FB-8EEA-954E25B01982}"/>
    <cellStyle name="Calculation 2 2 3 4 4 2" xfId="8952" xr:uid="{597C5639-5A72-469E-9590-270722951252}"/>
    <cellStyle name="Calculation 2 2 3 4 5" xfId="3694" xr:uid="{0FF0902C-6A20-4170-9752-83FC80C57C6E}"/>
    <cellStyle name="Calculation 2 2 3 4 6" xfId="6651" xr:uid="{0829EE6B-E1E2-4918-8688-87DFA854428D}"/>
    <cellStyle name="Calculation 2 2 3 4 7" xfId="2628" xr:uid="{2338FB8E-F87C-4610-92AF-09457EB02668}"/>
    <cellStyle name="Calculation 2 2 3 5" xfId="3184" xr:uid="{E9451394-6C09-4169-AD4A-87D59ED7D2B9}"/>
    <cellStyle name="Calculation 2 2 3 6" xfId="3498" xr:uid="{60532D50-98EC-483D-B047-410B242A0FD6}"/>
    <cellStyle name="Calculation 2 2 3 7" xfId="2064" xr:uid="{D25B7874-E55F-447E-A507-E53C46B79960}"/>
    <cellStyle name="Calculation 2 2 4" xfId="202" xr:uid="{1F81E6CB-EC3A-409D-88D7-A3766107FA5F}"/>
    <cellStyle name="Calculation 2 2 4 2" xfId="426" xr:uid="{CFF13A2D-7157-47B8-B255-817ABD7E53C7}"/>
    <cellStyle name="Calculation 2 2 4 2 2" xfId="905" xr:uid="{5783BAAB-D3FC-4FA9-903F-4D09F2726AFD}"/>
    <cellStyle name="Calculation 2 2 4 2 2 2" xfId="1710" xr:uid="{DA06C6B0-2C0D-4328-81CA-5EF40E00EE18}"/>
    <cellStyle name="Calculation 2 2 4 2 2 2 2" xfId="7481" xr:uid="{996CA5C5-93FA-4637-BB1B-A18B4005C493}"/>
    <cellStyle name="Calculation 2 2 4 2 2 2 3" xfId="10147" xr:uid="{B0C6EB11-47D7-4872-865B-94D554340ECB}"/>
    <cellStyle name="Calculation 2 2 4 2 2 2 4" xfId="4507" xr:uid="{3C5DD192-B67F-4137-9B18-239B14395F5A}"/>
    <cellStyle name="Calculation 2 2 4 2 2 3" xfId="5247" xr:uid="{47776D5B-772F-477B-94C2-085C1EC85E05}"/>
    <cellStyle name="Calculation 2 2 4 2 2 3 2" xfId="8221" xr:uid="{74595465-A55A-4AC8-AC1F-3768867D5467}"/>
    <cellStyle name="Calculation 2 2 4 2 2 4" xfId="6012" xr:uid="{1E9C4B05-EE05-4F1F-81CB-B507C1853877}"/>
    <cellStyle name="Calculation 2 2 4 2 2 4 2" xfId="8986" xr:uid="{527EAC31-8092-44B7-887C-17E2B928DCD0}"/>
    <cellStyle name="Calculation 2 2 4 2 2 5" xfId="3722" xr:uid="{49B044C3-5C7D-408A-AFB8-502011F450A8}"/>
    <cellStyle name="Calculation 2 2 4 2 2 6" xfId="6685" xr:uid="{C6A27A2B-59D2-4E00-8D64-879FB408C89F}"/>
    <cellStyle name="Calculation 2 2 4 2 2 7" xfId="2662" xr:uid="{D5AC9E77-C9A5-471C-9A34-D1EEA3AF3667}"/>
    <cellStyle name="Calculation 2 2 4 2 3" xfId="1144" xr:uid="{278F5147-2BEE-41AC-83DF-9135203F6160}"/>
    <cellStyle name="Calculation 2 2 4 2 3 2" xfId="1949" xr:uid="{D9531643-BF4C-4303-91FF-15638E176638}"/>
    <cellStyle name="Calculation 2 2 4 2 3 2 2" xfId="7720" xr:uid="{99D6C198-9434-413C-9173-8A2EE1058368}"/>
    <cellStyle name="Calculation 2 2 4 2 3 2 3" xfId="10386" xr:uid="{285AF479-C20F-4D7D-A108-D0804387F63F}"/>
    <cellStyle name="Calculation 2 2 4 2 3 2 4" xfId="4746" xr:uid="{54DC7425-D260-47D8-91BA-A7F367BA3DFA}"/>
    <cellStyle name="Calculation 2 2 4 2 3 3" xfId="5486" xr:uid="{1F0A185D-90C5-4EAF-BC5F-0D9286921BB2}"/>
    <cellStyle name="Calculation 2 2 4 2 3 3 2" xfId="8460" xr:uid="{37392821-7E86-4263-B266-88FE00DB7423}"/>
    <cellStyle name="Calculation 2 2 4 2 3 4" xfId="6251" xr:uid="{44450F90-BF02-47BA-BAA0-2E89B8234A03}"/>
    <cellStyle name="Calculation 2 2 4 2 3 4 2" xfId="9225" xr:uid="{638AD6B6-EDB0-41EA-9380-B526CBB85989}"/>
    <cellStyle name="Calculation 2 2 4 2 3 5" xfId="3938" xr:uid="{F24D411B-42D2-4A05-BED4-B9DB222ABE8C}"/>
    <cellStyle name="Calculation 2 2 4 2 3 6" xfId="6924" xr:uid="{2DBAC9F1-0EC4-4692-B851-256B4B5457E4}"/>
    <cellStyle name="Calculation 2 2 4 2 3 7" xfId="2901" xr:uid="{4D448980-4C6F-4049-9C23-0DBEF81983DB}"/>
    <cellStyle name="Calculation 2 2 4 2 4" xfId="1232" xr:uid="{A315DFB1-8AE2-423F-AC8D-835E05082D2B}"/>
    <cellStyle name="Calculation 2 2 4 2 4 2" xfId="7003" xr:uid="{D86482F5-A07E-4AF8-9848-7C890631961D}"/>
    <cellStyle name="Calculation 2 2 4 2 4 3" xfId="9669" xr:uid="{3E6C000C-95B4-4622-83D1-B23593C87771}"/>
    <cellStyle name="Calculation 2 2 4 2 4 4" xfId="4029" xr:uid="{AB532244-7D61-4577-A49E-4AABCC647A9A}"/>
    <cellStyle name="Calculation 2 2 4 2 5" xfId="3263" xr:uid="{A9FA4914-5515-4151-B951-9E98BDBB25E6}"/>
    <cellStyle name="Calculation 2 2 4 2 5 2" xfId="3309" xr:uid="{637953F0-76ED-4AAB-88A9-1A470974F668}"/>
    <cellStyle name="Calculation 2 2 4 2 6" xfId="5534" xr:uid="{E5567F55-51C9-4CD8-833D-BB9A91E9E77B}"/>
    <cellStyle name="Calculation 2 2 4 2 6 2" xfId="8508" xr:uid="{D1EC13DC-98DD-4A2B-8420-BEE77D2C2520}"/>
    <cellStyle name="Calculation 2 2 4 2 7" xfId="3338" xr:uid="{7EB20214-8AD0-4BA2-908D-22E643ACD18E}"/>
    <cellStyle name="Calculation 2 2 4 2 8" xfId="3304" xr:uid="{B411C6A9-B9EB-4233-8524-99E5B1159E51}"/>
    <cellStyle name="Calculation 2 2 4 2 9" xfId="2184" xr:uid="{78503FDD-E797-4AED-A2BD-2390862801F9}"/>
    <cellStyle name="Calculation 2 2 4 3" xfId="694" xr:uid="{1A78584F-9CF6-4006-996B-DD1AB92D7A76}"/>
    <cellStyle name="Calculation 2 2 4 3 2" xfId="1499" xr:uid="{BB2A9D6F-ACBE-4322-BB0D-0EEF9DE66375}"/>
    <cellStyle name="Calculation 2 2 4 3 2 2" xfId="7270" xr:uid="{24165B4B-C7EA-49B5-A939-089AFFDC52A8}"/>
    <cellStyle name="Calculation 2 2 4 3 2 3" xfId="9936" xr:uid="{D1C40B15-6ABE-4BC1-8E65-396DB67FBB63}"/>
    <cellStyle name="Calculation 2 2 4 3 2 4" xfId="4296" xr:uid="{BECB89E1-DB84-4051-A1D8-9C9FBF61FB79}"/>
    <cellStyle name="Calculation 2 2 4 3 3" xfId="5036" xr:uid="{D1BBD552-0453-42EF-BDE6-615A45343D30}"/>
    <cellStyle name="Calculation 2 2 4 3 3 2" xfId="8010" xr:uid="{ED005A8F-FFED-4E29-B78C-E7F456ADBAC4}"/>
    <cellStyle name="Calculation 2 2 4 3 4" xfId="5801" xr:uid="{DAD04B43-5239-42FB-8AEC-D33C896E1E0B}"/>
    <cellStyle name="Calculation 2 2 4 3 4 2" xfId="8775" xr:uid="{AA1713AC-38BF-4090-A4A3-F14E59E564DA}"/>
    <cellStyle name="Calculation 2 2 4 3 5" xfId="3529" xr:uid="{049B28EE-2757-4CD4-B839-1F49DAF016E8}"/>
    <cellStyle name="Calculation 2 2 4 3 6" xfId="6474" xr:uid="{A056E298-A870-400F-93A5-E58F08CCC67E}"/>
    <cellStyle name="Calculation 2 2 4 3 7" xfId="2451" xr:uid="{652BA76C-DFB6-4FFB-AA75-9D582C449480}"/>
    <cellStyle name="Calculation 2 2 4 4" xfId="1180" xr:uid="{289FE406-3631-4995-A0D0-95664CD06104}"/>
    <cellStyle name="Calculation 2 2 4 4 2" xfId="1985" xr:uid="{9A19D324-7C61-46CF-AC95-31778E9334F8}"/>
    <cellStyle name="Calculation 2 2 4 4 2 2" xfId="7756" xr:uid="{815B4658-882A-424F-A1F1-675C53863700}"/>
    <cellStyle name="Calculation 2 2 4 4 2 3" xfId="10422" xr:uid="{42C6448C-3658-4CB0-A39A-6DBFE07F269E}"/>
    <cellStyle name="Calculation 2 2 4 4 2 4" xfId="4782" xr:uid="{F11B8105-A4BE-40DA-9A9F-9DB14DAA2AE4}"/>
    <cellStyle name="Calculation 2 2 4 4 3" xfId="5522" xr:uid="{7BA3FE8A-CBE6-4C1A-82BB-5E3FB29B53B8}"/>
    <cellStyle name="Calculation 2 2 4 4 3 2" xfId="8496" xr:uid="{D072F208-8727-48EE-A253-3B46224E3C41}"/>
    <cellStyle name="Calculation 2 2 4 4 4" xfId="6287" xr:uid="{8D487986-FF15-40F8-8232-C8156E51BFAC}"/>
    <cellStyle name="Calculation 2 2 4 4 4 2" xfId="9261" xr:uid="{7522FE44-84C1-46C7-9E73-89B7EF55E286}"/>
    <cellStyle name="Calculation 2 2 4 4 5" xfId="3954" xr:uid="{46D6EBFC-8353-4193-9B91-D5F155FF0726}"/>
    <cellStyle name="Calculation 2 2 4 4 6" xfId="6960" xr:uid="{C10711AF-8549-4C96-B485-6BA656777EC5}"/>
    <cellStyle name="Calculation 2 2 4 4 7" xfId="2937" xr:uid="{473255CA-7DCD-4EDE-8807-148A97A3216E}"/>
    <cellStyle name="Calculation 2 2 4 5" xfId="3142" xr:uid="{C5B43532-112E-41CA-B499-438368F271DC}"/>
    <cellStyle name="Calculation 2 2 4 6" xfId="3436" xr:uid="{B0BB46D1-B82D-4FA0-A8A1-3659EC611696}"/>
    <cellStyle name="Calculation 2 2 4 7" xfId="2017" xr:uid="{64DD32A5-C09E-46AD-9977-E2B7BB349C8D}"/>
    <cellStyle name="Calculation 2 2 5" xfId="417" xr:uid="{342C8680-3989-4428-9DE9-0916CDF55CE7}"/>
    <cellStyle name="Calculation 2 2 5 2" xfId="896" xr:uid="{8F37DE01-ACBD-44C8-9D2E-7FF1A561AC58}"/>
    <cellStyle name="Calculation 2 2 5 2 2" xfId="1701" xr:uid="{067AB2BC-078A-47B5-901C-E67343E1CA37}"/>
    <cellStyle name="Calculation 2 2 5 2 2 2" xfId="7472" xr:uid="{2E707CD4-4C4B-4761-BCBC-37AB6342F0EF}"/>
    <cellStyle name="Calculation 2 2 5 2 2 3" xfId="10138" xr:uid="{FA2B7A34-B9A1-40A2-8276-275EA25A40E6}"/>
    <cellStyle name="Calculation 2 2 5 2 2 4" xfId="4498" xr:uid="{051C1902-3E44-45D4-B05A-ABE6D62E7524}"/>
    <cellStyle name="Calculation 2 2 5 2 3" xfId="5238" xr:uid="{548D82F3-844E-4B76-ADE4-7D48124112D4}"/>
    <cellStyle name="Calculation 2 2 5 2 3 2" xfId="8212" xr:uid="{45043393-6D09-4C8E-861C-44B01715370D}"/>
    <cellStyle name="Calculation 2 2 5 2 4" xfId="6003" xr:uid="{90726DF4-721A-4C70-93F2-4441A8CC060F}"/>
    <cellStyle name="Calculation 2 2 5 2 4 2" xfId="8977" xr:uid="{5ACB028D-EF20-4931-8B81-BDAF77B98755}"/>
    <cellStyle name="Calculation 2 2 5 2 5" xfId="3713" xr:uid="{B3957B59-6356-4E4F-ADCC-B6C67C737CDE}"/>
    <cellStyle name="Calculation 2 2 5 2 6" xfId="6676" xr:uid="{D4756D1D-3348-4D2D-AA72-056889843E0D}"/>
    <cellStyle name="Calculation 2 2 5 2 7" xfId="2653" xr:uid="{45483D5F-CD98-4680-A128-42D2D5FAD890}"/>
    <cellStyle name="Calculation 2 2 5 3" xfId="1185" xr:uid="{7197F64E-7DAC-4388-A76E-F172A6084B4F}"/>
    <cellStyle name="Calculation 2 2 5 3 2" xfId="1990" xr:uid="{45C7E12F-5C12-4F2D-BD8D-5209CC3A17F2}"/>
    <cellStyle name="Calculation 2 2 5 3 2 2" xfId="7761" xr:uid="{99D67319-F92F-419F-BAFD-B9148CA3F6E3}"/>
    <cellStyle name="Calculation 2 2 5 3 2 3" xfId="10427" xr:uid="{92D4098B-E48E-4FB7-BB5E-F9DC4820E27B}"/>
    <cellStyle name="Calculation 2 2 5 3 2 4" xfId="4787" xr:uid="{EE8CCD4F-7AB3-45A9-A51E-298B2754A619}"/>
    <cellStyle name="Calculation 2 2 5 3 3" xfId="5527" xr:uid="{A9A8AAAA-1F59-42D7-9831-AB85D1B1AFBD}"/>
    <cellStyle name="Calculation 2 2 5 3 3 2" xfId="8501" xr:uid="{48E315E7-7C03-4814-9C3A-AB03B254917C}"/>
    <cellStyle name="Calculation 2 2 5 3 4" xfId="6292" xr:uid="{04CD1634-60B4-466B-B315-22C4022A302D}"/>
    <cellStyle name="Calculation 2 2 5 3 4 2" xfId="9266" xr:uid="{B4A52B34-A1CB-4482-AF2C-57112072F8D7}"/>
    <cellStyle name="Calculation 2 2 5 3 5" xfId="3959" xr:uid="{B8599D8B-A890-425D-BB82-36CF9C9ACC3C}"/>
    <cellStyle name="Calculation 2 2 5 3 6" xfId="6965" xr:uid="{4EBE604F-918A-4970-BCFC-DC8C2056FD91}"/>
    <cellStyle name="Calculation 2 2 5 3 7" xfId="2942" xr:uid="{A1DD0655-B4D6-40D0-BD5D-34BEEF8844AD}"/>
    <cellStyle name="Calculation 2 2 5 4" xfId="1223" xr:uid="{0A669D0F-94C4-4BCA-BC9B-B8803B1BB17B}"/>
    <cellStyle name="Calculation 2 2 5 4 2" xfId="6994" xr:uid="{5EDC042F-1C4F-4E0D-A1B1-89AD7FC8E5A3}"/>
    <cellStyle name="Calculation 2 2 5 4 3" xfId="9660" xr:uid="{AEF7D19C-4B33-43AB-BB32-6471B2812DAF}"/>
    <cellStyle name="Calculation 2 2 5 4 4" xfId="4020" xr:uid="{89DE1462-106F-4108-9DDF-D30482E9537D}"/>
    <cellStyle name="Calculation 2 2 5 5" xfId="3268" xr:uid="{24C46C2E-9D92-4BDA-9780-81DD4EC1267B}"/>
    <cellStyle name="Calculation 2 2 5 5 2" xfId="3084" xr:uid="{ADFD99BF-6D59-4317-B9C9-709DC62B3E5D}"/>
    <cellStyle name="Calculation 2 2 5 6" xfId="4007" xr:uid="{2914ED43-961F-4DBC-A8D4-9BD6543284F6}"/>
    <cellStyle name="Calculation 2 2 5 6 2" xfId="6981" xr:uid="{3097D70C-10ED-42A7-9E88-A14D8BEF4E48}"/>
    <cellStyle name="Calculation 2 2 5 7" xfId="3331" xr:uid="{85FAA525-2D40-4985-8390-0145A5815649}"/>
    <cellStyle name="Calculation 2 2 5 8" xfId="2993" xr:uid="{CA59560A-F86D-4144-BF92-39739520B050}"/>
    <cellStyle name="Calculation 2 2 5 9" xfId="2175" xr:uid="{9DE090C8-08AD-446F-87FC-D91F57795F97}"/>
    <cellStyle name="Calculation 2 2 6" xfId="680" xr:uid="{32DD789A-9C46-49F5-B04E-6AA0C075E4D5}"/>
    <cellStyle name="Calculation 2 2 6 2" xfId="1485" xr:uid="{8CE49779-3D74-46B6-84E0-799926E33B61}"/>
    <cellStyle name="Calculation 2 2 6 2 2" xfId="7256" xr:uid="{522BC030-B491-4485-9A23-9B1A02245C76}"/>
    <cellStyle name="Calculation 2 2 6 2 3" xfId="9922" xr:uid="{C474A621-BCB0-4DBB-829E-5E36ABB1623C}"/>
    <cellStyle name="Calculation 2 2 6 2 4" xfId="4282" xr:uid="{A9F21FDD-FD91-41A4-9D3E-A97D49335A6B}"/>
    <cellStyle name="Calculation 2 2 6 3" xfId="5022" xr:uid="{BB0C36CF-FB63-43A9-9078-6F9A7E7F73B4}"/>
    <cellStyle name="Calculation 2 2 6 3 2" xfId="7996" xr:uid="{D03D7034-FAC0-4BD7-B9CC-D7C54CFD0C74}"/>
    <cellStyle name="Calculation 2 2 6 4" xfId="5787" xr:uid="{FD527CC1-557C-4325-9F37-EA353CF36CFA}"/>
    <cellStyle name="Calculation 2 2 6 4 2" xfId="8761" xr:uid="{3E3281A5-BDCE-476D-83DE-A50A1DC4B841}"/>
    <cellStyle name="Calculation 2 2 6 5" xfId="3516" xr:uid="{913AA2D5-1130-4B48-9C70-3FD01926EA41}"/>
    <cellStyle name="Calculation 2 2 6 6" xfId="6460" xr:uid="{62015487-A097-49EF-B0E3-79D2E0753485}"/>
    <cellStyle name="Calculation 2 2 6 7" xfId="2437" xr:uid="{64363465-834F-4EDE-B497-08FB33C06399}"/>
    <cellStyle name="Calculation 2 2 7" xfId="1168" xr:uid="{6E398EE2-B63B-422B-A4A7-8D8473E4C587}"/>
    <cellStyle name="Calculation 2 2 7 2" xfId="1973" xr:uid="{FC52F207-BF27-4A77-A780-B594B6C3C2D0}"/>
    <cellStyle name="Calculation 2 2 7 2 2" xfId="7744" xr:uid="{697B7847-BBA9-4EA9-8E81-A24B45226814}"/>
    <cellStyle name="Calculation 2 2 7 2 3" xfId="10410" xr:uid="{A553708E-F05A-4CF5-8E00-A7275D428780}"/>
    <cellStyle name="Calculation 2 2 7 2 4" xfId="4770" xr:uid="{7F05199D-6BDE-4145-A21C-21006658B5BB}"/>
    <cellStyle name="Calculation 2 2 7 3" xfId="5510" xr:uid="{0F773F9B-04F8-4FC6-B75B-3CB2171D69A2}"/>
    <cellStyle name="Calculation 2 2 7 3 2" xfId="8484" xr:uid="{AC402430-8210-41AA-9D26-F8D8BF302DE1}"/>
    <cellStyle name="Calculation 2 2 7 4" xfId="6275" xr:uid="{E3168D65-1CBC-46E0-9170-308BC5E19B35}"/>
    <cellStyle name="Calculation 2 2 7 4 2" xfId="9249" xr:uid="{7FC9E985-AC4E-4D73-B120-D7BE92A09FFB}"/>
    <cellStyle name="Calculation 2 2 7 5" xfId="3950" xr:uid="{36091AFF-F9D9-4960-9254-CA33846FAC86}"/>
    <cellStyle name="Calculation 2 2 7 6" xfId="6948" xr:uid="{0B421C15-055D-4E61-B0D6-AB4DEA70AEC8}"/>
    <cellStyle name="Calculation 2 2 7 7" xfId="2925" xr:uid="{2E7EF518-CF2D-4C07-8E80-E942DA45EE68}"/>
    <cellStyle name="Calculation 2 2 8" xfId="3119" xr:uid="{AF0DE23C-2F06-427B-991B-09F7D2B56DE5}"/>
    <cellStyle name="Calculation 2 2 9" xfId="3865" xr:uid="{C17BBE50-8175-4CC0-A513-EB70F49A3DC8}"/>
    <cellStyle name="Calculation 2 3" xfId="205" xr:uid="{5D472426-BDA5-4FA2-9968-78EEFCA4BFD8}"/>
    <cellStyle name="Calculation 2 3 2" xfId="309" xr:uid="{60D4A09A-DD2F-41D3-B309-999A56514624}"/>
    <cellStyle name="Calculation 2 3 2 2" xfId="531" xr:uid="{B986EF79-E1F8-48E6-AD8F-4894E3D7E628}"/>
    <cellStyle name="Calculation 2 3 2 2 2" xfId="1010" xr:uid="{503061B6-91F8-48D7-B545-D9AD27AA4961}"/>
    <cellStyle name="Calculation 2 3 2 2 2 2" xfId="1815" xr:uid="{19D6F8A4-F8CC-4B65-BFC7-4397D3CEDC83}"/>
    <cellStyle name="Calculation 2 3 2 2 2 2 2" xfId="7586" xr:uid="{9FA5808E-24F0-41DA-8680-8511D3412A9F}"/>
    <cellStyle name="Calculation 2 3 2 2 2 2 3" xfId="10252" xr:uid="{FCF1D5FE-E67E-48F5-B88A-ECCD7035CCD0}"/>
    <cellStyle name="Calculation 2 3 2 2 2 2 4" xfId="4612" xr:uid="{040CE16C-5A37-4D0F-82D2-D1AAF49F229D}"/>
    <cellStyle name="Calculation 2 3 2 2 2 3" xfId="5352" xr:uid="{C2E6CDE6-3967-4C0D-A2D5-8B2AC83A8883}"/>
    <cellStyle name="Calculation 2 3 2 2 2 3 2" xfId="8326" xr:uid="{36506873-E56A-44E4-95EA-1E690D2D8CB0}"/>
    <cellStyle name="Calculation 2 3 2 2 2 4" xfId="6117" xr:uid="{62E9FF79-D5D8-4A57-9D95-360FC03C695A}"/>
    <cellStyle name="Calculation 2 3 2 2 2 4 2" xfId="9091" xr:uid="{0B3B649E-AA6F-4703-BD68-83B48C63EDF9}"/>
    <cellStyle name="Calculation 2 3 2 2 2 5" xfId="3827" xr:uid="{4A7E0199-29E1-46BD-B7E6-73ABD7CF0659}"/>
    <cellStyle name="Calculation 2 3 2 2 2 6" xfId="6790" xr:uid="{FB991785-BB16-469B-B063-2A41F9C89D35}"/>
    <cellStyle name="Calculation 2 3 2 2 2 7" xfId="2767" xr:uid="{E5829B06-E62B-4A8D-8BBD-A149272CE1B3}"/>
    <cellStyle name="Calculation 2 3 2 2 3" xfId="1056" xr:uid="{B031C77C-28B0-4973-A68C-846BD622DB07}"/>
    <cellStyle name="Calculation 2 3 2 2 3 2" xfId="1861" xr:uid="{46D095C6-8176-4DCE-B612-BA16F77A26C6}"/>
    <cellStyle name="Calculation 2 3 2 2 3 2 2" xfId="7632" xr:uid="{33F4F12D-FE11-41CE-9EBD-DBE07C0DA0EB}"/>
    <cellStyle name="Calculation 2 3 2 2 3 2 3" xfId="10298" xr:uid="{2C3F8F71-24A4-4BBE-8BBC-32D36D3903C2}"/>
    <cellStyle name="Calculation 2 3 2 2 3 2 4" xfId="4658" xr:uid="{E658EE69-F9C8-4571-A6BC-5E92E039B48F}"/>
    <cellStyle name="Calculation 2 3 2 2 3 3" xfId="5398" xr:uid="{F45C4A74-BBAB-4922-86DC-1D0218F5FDE6}"/>
    <cellStyle name="Calculation 2 3 2 2 3 3 2" xfId="8372" xr:uid="{2998A406-7970-4F9C-88D5-9ACD600A688A}"/>
    <cellStyle name="Calculation 2 3 2 2 3 4" xfId="6163" xr:uid="{09CED778-5FE9-4D59-8DB3-95FD62B6D8D9}"/>
    <cellStyle name="Calculation 2 3 2 2 3 4 2" xfId="9137" xr:uid="{8B1205D1-EAC1-4208-B8A0-736FDA74C77D}"/>
    <cellStyle name="Calculation 2 3 2 2 3 5" xfId="3873" xr:uid="{D0AD7BBD-FD92-4A4E-99AA-3444BCFE857F}"/>
    <cellStyle name="Calculation 2 3 2 2 3 6" xfId="6836" xr:uid="{A70CDB17-6133-4C46-AC48-2156ABD8116F}"/>
    <cellStyle name="Calculation 2 3 2 2 3 7" xfId="2813" xr:uid="{9D8D8C20-6241-48CC-9D7E-0741756CD290}"/>
    <cellStyle name="Calculation 2 3 2 2 4" xfId="1337" xr:uid="{867D7AF5-23A9-4F30-8E2D-0652D9181698}"/>
    <cellStyle name="Calculation 2 3 2 2 4 2" xfId="7108" xr:uid="{285F9CF9-67BA-4C2B-9948-DB69AC5E4B6C}"/>
    <cellStyle name="Calculation 2 3 2 2 4 3" xfId="9774" xr:uid="{29EC91B1-11FA-4D1F-94D2-01D198F90E05}"/>
    <cellStyle name="Calculation 2 3 2 2 4 4" xfId="4134" xr:uid="{3D5EAEE1-0C46-4CD2-B26B-5266BFDAAC08}"/>
    <cellStyle name="Calculation 2 3 2 2 5" xfId="4874" xr:uid="{3E78860A-5256-4578-B6C7-EABD5C8266D1}"/>
    <cellStyle name="Calculation 2 3 2 2 5 2" xfId="7848" xr:uid="{930C5C04-A0EE-4D0D-91FF-130F6F0ADBFC}"/>
    <cellStyle name="Calculation 2 3 2 2 6" xfId="5639" xr:uid="{09DBCF46-F3F4-48AA-91ED-D35A409654B9}"/>
    <cellStyle name="Calculation 2 3 2 2 6 2" xfId="8613" xr:uid="{B10D8409-32BC-43CE-A398-8EEE055EB984}"/>
    <cellStyle name="Calculation 2 3 2 2 7" xfId="3413" xr:uid="{E9CB5937-80BD-47F5-B0E5-0578B322CACF}"/>
    <cellStyle name="Calculation 2 3 2 2 8" xfId="6312" xr:uid="{1287B78E-4367-494B-9ECA-7E2F68CD4770}"/>
    <cellStyle name="Calculation 2 3 2 2 9" xfId="2289" xr:uid="{8CB06181-527E-4F59-8167-0147ED30D797}"/>
    <cellStyle name="Calculation 2 3 2 3" xfId="800" xr:uid="{66B1E087-F5C6-4B42-934C-7C75F0479033}"/>
    <cellStyle name="Calculation 2 3 2 3 2" xfId="1605" xr:uid="{96D1018B-9AA6-4B77-9275-F920D6747A18}"/>
    <cellStyle name="Calculation 2 3 2 3 2 2" xfId="7376" xr:uid="{5A08536A-2E05-4E6F-B702-7662F64C04AD}"/>
    <cellStyle name="Calculation 2 3 2 3 2 3" xfId="10042" xr:uid="{AF6722D7-C699-4A4A-BCBD-88D31F8C8087}"/>
    <cellStyle name="Calculation 2 3 2 3 2 4" xfId="4402" xr:uid="{1E1F9EA5-AA40-48A1-A468-C5CE955D62BD}"/>
    <cellStyle name="Calculation 2 3 2 3 3" xfId="5142" xr:uid="{0592C06C-B28A-4E69-8B62-4C23408E9B1C}"/>
    <cellStyle name="Calculation 2 3 2 3 3 2" xfId="8116" xr:uid="{8B37143A-411A-40E7-BC35-9DFACBBD0DD0}"/>
    <cellStyle name="Calculation 2 3 2 3 4" xfId="5907" xr:uid="{0768ADB7-00B4-4579-B3F9-417DC0A88AB9}"/>
    <cellStyle name="Calculation 2 3 2 3 4 2" xfId="8881" xr:uid="{CFDE5ED0-4167-4FA0-B61C-45CA98395BDB}"/>
    <cellStyle name="Calculation 2 3 2 3 5" xfId="3634" xr:uid="{867BCA70-C151-43FE-8D27-DA4E9F1769D1}"/>
    <cellStyle name="Calculation 2 3 2 3 6" xfId="6580" xr:uid="{9A87CE6E-2E29-4E7B-9AF2-7ED040DD031A}"/>
    <cellStyle name="Calculation 2 3 2 3 7" xfId="2557" xr:uid="{9606C577-1B18-4CA5-8A05-F57FF19B093D}"/>
    <cellStyle name="Calculation 2 3 2 4" xfId="1107" xr:uid="{2D7C192D-7CD5-4180-8529-EB7C9FCC6DEF}"/>
    <cellStyle name="Calculation 2 3 2 4 2" xfId="1912" xr:uid="{164537C0-79ED-4D7D-B336-6AAA340AE76B}"/>
    <cellStyle name="Calculation 2 3 2 4 2 2" xfId="7683" xr:uid="{C0951A61-904F-4F20-B25A-54ED91BAEB7C}"/>
    <cellStyle name="Calculation 2 3 2 4 2 3" xfId="10349" xr:uid="{AAE797C6-39E8-4B39-9C87-6D72A839B26C}"/>
    <cellStyle name="Calculation 2 3 2 4 2 4" xfId="4709" xr:uid="{74BC29F8-47CB-4B57-91E5-CA50F842C2B4}"/>
    <cellStyle name="Calculation 2 3 2 4 3" xfId="5449" xr:uid="{366641FB-B46E-49AB-96C3-C29D8D1731F8}"/>
    <cellStyle name="Calculation 2 3 2 4 3 2" xfId="8423" xr:uid="{F0A4EA8A-2321-4D34-BCA6-1128E8585058}"/>
    <cellStyle name="Calculation 2 3 2 4 4" xfId="6214" xr:uid="{CF92D449-D572-48B5-A073-B0D8C0EBE122}"/>
    <cellStyle name="Calculation 2 3 2 4 4 2" xfId="9188" xr:uid="{A07B74B6-329B-4978-A1E8-C0948A6BCD0C}"/>
    <cellStyle name="Calculation 2 3 2 4 5" xfId="3914" xr:uid="{1850B882-89F5-4E77-94D6-F197F9EF9475}"/>
    <cellStyle name="Calculation 2 3 2 4 6" xfId="6887" xr:uid="{D66EDF52-6E9E-4458-AA38-96C2E0BE42FD}"/>
    <cellStyle name="Calculation 2 3 2 4 7" xfId="2864" xr:uid="{8EC29F01-6B4F-437F-8C9B-83DCC13A4730}"/>
    <cellStyle name="Calculation 2 3 2 5" xfId="3232" xr:uid="{82C477CE-5B16-4BC3-BEE5-953967E5E276}"/>
    <cellStyle name="Calculation 2 3 2 6" xfId="3969" xr:uid="{C04404E9-FC25-4813-80CA-B1055D3DF0DE}"/>
    <cellStyle name="Calculation 2 3 2 7" xfId="2127" xr:uid="{6FEB51D9-B871-4FD7-A91E-C1D784BED7CE}"/>
    <cellStyle name="Calculation 2 3 3" xfId="253" xr:uid="{D3F0443F-BA0F-41EB-82AB-EB2E5B7209FA}"/>
    <cellStyle name="Calculation 2 3 3 2" xfId="477" xr:uid="{73298373-EB16-45A1-A4D9-77411CA1C797}"/>
    <cellStyle name="Calculation 2 3 3 2 2" xfId="956" xr:uid="{471E5959-926E-4263-A820-014F5DCBA46E}"/>
    <cellStyle name="Calculation 2 3 3 2 2 2" xfId="1761" xr:uid="{C3C89618-5E60-41F2-B6B4-B369A0BF8CBA}"/>
    <cellStyle name="Calculation 2 3 3 2 2 2 2" xfId="7532" xr:uid="{8CA7DECA-5855-434B-8ADD-7094C72B02F9}"/>
    <cellStyle name="Calculation 2 3 3 2 2 2 3" xfId="10198" xr:uid="{100F9132-347F-4EC5-B5C8-C9E065D88013}"/>
    <cellStyle name="Calculation 2 3 3 2 2 2 4" xfId="4558" xr:uid="{9DC06026-668C-4D95-8B45-5198085964C8}"/>
    <cellStyle name="Calculation 2 3 3 2 2 3" xfId="5298" xr:uid="{8E46D774-61DB-433E-AB9A-11C6F832A1BE}"/>
    <cellStyle name="Calculation 2 3 3 2 2 3 2" xfId="8272" xr:uid="{A338E239-0013-4D58-9F81-BD1201DB24FE}"/>
    <cellStyle name="Calculation 2 3 3 2 2 4" xfId="6063" xr:uid="{50C2343D-FEAD-47F1-8CA9-3923238338B7}"/>
    <cellStyle name="Calculation 2 3 3 2 2 4 2" xfId="9037" xr:uid="{2B0E6537-90F0-4749-892C-5C4388EF3DF2}"/>
    <cellStyle name="Calculation 2 3 3 2 2 5" xfId="3773" xr:uid="{576027C8-FAD7-4058-872C-AF74B1B59774}"/>
    <cellStyle name="Calculation 2 3 3 2 2 6" xfId="6736" xr:uid="{7C399206-C8AF-4722-BA59-4AAF81527D9D}"/>
    <cellStyle name="Calculation 2 3 3 2 2 7" xfId="2713" xr:uid="{E764A9E6-6941-474B-94FA-B6445AE20B08}"/>
    <cellStyle name="Calculation 2 3 3 2 3" xfId="1130" xr:uid="{A01DDD80-C542-4036-8B0C-C4CDB7557315}"/>
    <cellStyle name="Calculation 2 3 3 2 3 2" xfId="1935" xr:uid="{66BE9CD7-7F5D-4072-A08D-E7663887E53A}"/>
    <cellStyle name="Calculation 2 3 3 2 3 2 2" xfId="7706" xr:uid="{3C236E24-9408-4E07-A4B3-272AAA9D908C}"/>
    <cellStyle name="Calculation 2 3 3 2 3 2 3" xfId="10372" xr:uid="{6FAF6B2C-1A1C-404D-9C68-C2B15C3F9594}"/>
    <cellStyle name="Calculation 2 3 3 2 3 2 4" xfId="4732" xr:uid="{36ABE5FB-4A78-4BB7-ACD1-B1A48E1303B3}"/>
    <cellStyle name="Calculation 2 3 3 2 3 3" xfId="5472" xr:uid="{504E53B0-C0B9-4643-98BE-9762CB192500}"/>
    <cellStyle name="Calculation 2 3 3 2 3 3 2" xfId="8446" xr:uid="{0AEA7E5D-6F54-434A-A325-C13C27AD4BA4}"/>
    <cellStyle name="Calculation 2 3 3 2 3 4" xfId="6237" xr:uid="{CC83D987-0FAC-47B3-9F7F-CE5797008A0F}"/>
    <cellStyle name="Calculation 2 3 3 2 3 4 2" xfId="9211" xr:uid="{E593EB05-E803-4360-A901-97F6496C0BDB}"/>
    <cellStyle name="Calculation 2 3 3 2 3 5" xfId="3931" xr:uid="{0EC8ABA9-74D6-4FCE-AA92-26CA3171CA3D}"/>
    <cellStyle name="Calculation 2 3 3 2 3 6" xfId="6910" xr:uid="{4F1B49AD-EBF2-4DF2-8224-5353596C9C1D}"/>
    <cellStyle name="Calculation 2 3 3 2 3 7" xfId="2887" xr:uid="{227113A7-EC0E-41CB-AE9D-3BD26FFEEEE0}"/>
    <cellStyle name="Calculation 2 3 3 2 4" xfId="1283" xr:uid="{50F147E3-0446-4DF4-B835-466D6B91434F}"/>
    <cellStyle name="Calculation 2 3 3 2 4 2" xfId="7054" xr:uid="{621B4ABB-07B6-411B-82F0-044E81828E59}"/>
    <cellStyle name="Calculation 2 3 3 2 4 3" xfId="9720" xr:uid="{5629C7F8-0871-4912-BDD1-99C301B2E24E}"/>
    <cellStyle name="Calculation 2 3 3 2 4 4" xfId="4080" xr:uid="{D80F3A1B-95D9-4331-87A2-7F2AD4F9A9FA}"/>
    <cellStyle name="Calculation 2 3 3 2 5" xfId="4820" xr:uid="{3B3D3410-9F96-41BF-9744-C2C924B9AD69}"/>
    <cellStyle name="Calculation 2 3 3 2 5 2" xfId="7794" xr:uid="{3B448C0B-AA49-4537-BEE3-FEBCEAE34D98}"/>
    <cellStyle name="Calculation 2 3 3 2 6" xfId="5585" xr:uid="{3F4880C8-F46F-4ADF-BD7E-7D41B157CC2F}"/>
    <cellStyle name="Calculation 2 3 3 2 6 2" xfId="8559" xr:uid="{2343A4C1-C11D-4EB8-8B04-D54974FEAD7E}"/>
    <cellStyle name="Calculation 2 3 3 2 7" xfId="3375" xr:uid="{7F32C91B-EF8F-4F3F-851E-98B0BDADD6B9}"/>
    <cellStyle name="Calculation 2 3 3 2 8" xfId="3095" xr:uid="{8C177EA2-878F-4BD9-9A7F-E3EBCD48ECDE}"/>
    <cellStyle name="Calculation 2 3 3 2 9" xfId="2235" xr:uid="{E239F17E-8DA8-4B09-935D-2D7678AE6E6C}"/>
    <cellStyle name="Calculation 2 3 3 3" xfId="745" xr:uid="{26366DD2-C393-43A7-8960-BF2BF7A648D6}"/>
    <cellStyle name="Calculation 2 3 3 3 2" xfId="1550" xr:uid="{C47F25FE-C8AE-4704-AF26-4E6DE4650694}"/>
    <cellStyle name="Calculation 2 3 3 3 2 2" xfId="7321" xr:uid="{343D89DC-CDD9-404D-AE25-F10B36627426}"/>
    <cellStyle name="Calculation 2 3 3 3 2 3" xfId="9987" xr:uid="{CF45BE2B-A41E-4541-9649-4D8E27BDA153}"/>
    <cellStyle name="Calculation 2 3 3 3 2 4" xfId="4347" xr:uid="{2C609D32-3F61-4E50-BCE3-536ABC7D6794}"/>
    <cellStyle name="Calculation 2 3 3 3 3" xfId="5087" xr:uid="{DC49FB31-BEE7-4AEC-97DA-166D91E44880}"/>
    <cellStyle name="Calculation 2 3 3 3 3 2" xfId="8061" xr:uid="{4433B1D7-F1C5-425A-AC6F-F13A827DA5B5}"/>
    <cellStyle name="Calculation 2 3 3 3 4" xfId="5852" xr:uid="{83352659-C31A-4758-86CD-4F8A370221A9}"/>
    <cellStyle name="Calculation 2 3 3 3 4 2" xfId="8826" xr:uid="{9CB96A65-F39A-41E8-B9E4-3774C0FE0A37}"/>
    <cellStyle name="Calculation 2 3 3 3 5" xfId="3580" xr:uid="{C71E286E-6D55-4E1A-B8F6-E404B81FDC00}"/>
    <cellStyle name="Calculation 2 3 3 3 6" xfId="6525" xr:uid="{4ADC1738-B404-4438-A80C-497B1D7D6E29}"/>
    <cellStyle name="Calculation 2 3 3 3 7" xfId="2502" xr:uid="{EDF08070-EF41-48D6-98E3-7D3E32106314}"/>
    <cellStyle name="Calculation 2 3 3 4" xfId="868" xr:uid="{C9C91CFC-9750-4F1A-9714-8348AB521810}"/>
    <cellStyle name="Calculation 2 3 3 4 2" xfId="1673" xr:uid="{43B0948C-6F2E-426C-869D-DB48C7DFE18C}"/>
    <cellStyle name="Calculation 2 3 3 4 2 2" xfId="7444" xr:uid="{34DABBAE-A9C7-4FFA-80F4-EBA0C022870B}"/>
    <cellStyle name="Calculation 2 3 3 4 2 3" xfId="10110" xr:uid="{AFE5E31E-A03A-49EC-A52B-8F9E23AD0823}"/>
    <cellStyle name="Calculation 2 3 3 4 2 4" xfId="4470" xr:uid="{A9066200-1711-4ED7-B89A-8A8FC0E68AE3}"/>
    <cellStyle name="Calculation 2 3 3 4 3" xfId="5210" xr:uid="{DA53CA22-EA22-4166-A560-944977823B6E}"/>
    <cellStyle name="Calculation 2 3 3 4 3 2" xfId="8184" xr:uid="{EB5CF9F3-2CE9-4B5B-AAD5-326D5F825C96}"/>
    <cellStyle name="Calculation 2 3 3 4 4" xfId="5975" xr:uid="{38455373-7D57-43C2-83AA-198D444F6AF3}"/>
    <cellStyle name="Calculation 2 3 3 4 4 2" xfId="8949" xr:uid="{A226030F-5494-44E7-8936-04FBB8C4FE2D}"/>
    <cellStyle name="Calculation 2 3 3 4 5" xfId="3692" xr:uid="{B2D38CE1-A77C-4FFD-87E8-D2D585C71995}"/>
    <cellStyle name="Calculation 2 3 3 4 6" xfId="6648" xr:uid="{FE06EA1E-FF0D-4CEE-8B89-D9DE587822D5}"/>
    <cellStyle name="Calculation 2 3 3 4 7" xfId="2625" xr:uid="{866A4C57-C931-46D1-9D7A-0919A7CE0E4D}"/>
    <cellStyle name="Calculation 2 3 3 5" xfId="3188" xr:uid="{D0298CBD-0FBD-40B3-B008-CE87188B6E61}"/>
    <cellStyle name="Calculation 2 3 3 6" xfId="3416" xr:uid="{670C6C92-7E58-4119-94FE-B7DE401699FA}"/>
    <cellStyle name="Calculation 2 3 3 7" xfId="2070" xr:uid="{906BD8EE-2852-408D-9111-ACDCF602A6CE}"/>
    <cellStyle name="Calculation 2 3 4" xfId="429" xr:uid="{ED06F091-7B5A-43FA-8509-F21BEC54CC65}"/>
    <cellStyle name="Calculation 2 3 4 2" xfId="908" xr:uid="{9070BAD4-24E5-4663-A147-BD4822ED9E58}"/>
    <cellStyle name="Calculation 2 3 4 2 2" xfId="1713" xr:uid="{865B030A-BFD3-402C-B35A-58FAFFABDB85}"/>
    <cellStyle name="Calculation 2 3 4 2 2 2" xfId="7484" xr:uid="{6C0F18E9-4988-45C4-9A98-6E02409DA6E0}"/>
    <cellStyle name="Calculation 2 3 4 2 2 3" xfId="10150" xr:uid="{FDB89AED-7BEA-418C-B559-17AAE8DD4E32}"/>
    <cellStyle name="Calculation 2 3 4 2 2 4" xfId="4510" xr:uid="{E350C20A-AC08-41AD-9D7D-9787A6AF04BD}"/>
    <cellStyle name="Calculation 2 3 4 2 3" xfId="5250" xr:uid="{839D0EEF-C2E1-4236-A83D-A8AA9CB41270}"/>
    <cellStyle name="Calculation 2 3 4 2 3 2" xfId="8224" xr:uid="{745270F7-6156-4828-B2C1-50A9EE50BF0C}"/>
    <cellStyle name="Calculation 2 3 4 2 4" xfId="6015" xr:uid="{8B9F3CED-27EC-4DDC-8D29-91FAE6CA11DA}"/>
    <cellStyle name="Calculation 2 3 4 2 4 2" xfId="8989" xr:uid="{9DF7A22E-A929-49FF-BFC3-C70D412862A2}"/>
    <cellStyle name="Calculation 2 3 4 2 5" xfId="3725" xr:uid="{BE3F61CE-452D-4B65-8E9F-28E1C4C0FB29}"/>
    <cellStyle name="Calculation 2 3 4 2 6" xfId="6688" xr:uid="{F78E1174-C3D5-4CD1-AF6E-86A5BEE58864}"/>
    <cellStyle name="Calculation 2 3 4 2 7" xfId="2665" xr:uid="{830120E5-3E17-4E28-83E4-CD5433DEA3DA}"/>
    <cellStyle name="Calculation 2 3 4 3" xfId="1163" xr:uid="{C4B611FE-BC9F-417B-9405-AA1B845454CD}"/>
    <cellStyle name="Calculation 2 3 4 3 2" xfId="1968" xr:uid="{F10D062F-365F-467B-B55E-557AD0FC5735}"/>
    <cellStyle name="Calculation 2 3 4 3 2 2" xfId="7739" xr:uid="{F520E7F3-70AD-492C-BEFD-87BE4DE895D9}"/>
    <cellStyle name="Calculation 2 3 4 3 2 3" xfId="10405" xr:uid="{319AA6E0-F4E2-4A7D-BEBD-D5C28F7175A7}"/>
    <cellStyle name="Calculation 2 3 4 3 2 4" xfId="4765" xr:uid="{3D4E66A4-7A43-46ED-8B01-2E2F4DD196AF}"/>
    <cellStyle name="Calculation 2 3 4 3 3" xfId="5505" xr:uid="{81720A14-122F-48D6-8345-731C599C71D0}"/>
    <cellStyle name="Calculation 2 3 4 3 3 2" xfId="8479" xr:uid="{D47C8965-226F-4B69-B50D-1434B90B6FE1}"/>
    <cellStyle name="Calculation 2 3 4 3 4" xfId="6270" xr:uid="{5FFA9859-45D9-4DE8-9F4C-9C29F98364C6}"/>
    <cellStyle name="Calculation 2 3 4 3 4 2" xfId="9244" xr:uid="{9889EBBA-92B9-4402-9D5C-11B4F89E68BB}"/>
    <cellStyle name="Calculation 2 3 4 3 5" xfId="3949" xr:uid="{F9D3EEDD-F66D-4C62-9975-19B2BE453329}"/>
    <cellStyle name="Calculation 2 3 4 3 6" xfId="6943" xr:uid="{750F99F3-ADCD-45F9-BF44-5977DB51A559}"/>
    <cellStyle name="Calculation 2 3 4 3 7" xfId="2920" xr:uid="{8CBDC708-A171-424F-A69C-CFD98E74B483}"/>
    <cellStyle name="Calculation 2 3 4 4" xfId="1235" xr:uid="{1BD00FF0-3DF8-4B6B-8E80-D2ED18F5490F}"/>
    <cellStyle name="Calculation 2 3 4 4 2" xfId="7006" xr:uid="{85BC46BE-8317-4AC3-86D8-FFA2CE0317D3}"/>
    <cellStyle name="Calculation 2 3 4 4 3" xfId="9672" xr:uid="{EBC3F4F2-E477-49B1-B168-ED0EC09622BA}"/>
    <cellStyle name="Calculation 2 3 4 4 4" xfId="4032" xr:uid="{23DDFD82-1BDB-4699-902C-1628306ACB8F}"/>
    <cellStyle name="Calculation 2 3 4 5" xfId="3274" xr:uid="{0C17B0B9-1EE8-4A52-8E13-030E5FC0459F}"/>
    <cellStyle name="Calculation 2 3 4 5 2" xfId="2975" xr:uid="{B5B2A29E-4060-4ADC-9B8B-2560185A2DFF}"/>
    <cellStyle name="Calculation 2 3 4 6" xfId="5537" xr:uid="{BCD2740C-64A7-49DD-A8F4-7E6323585492}"/>
    <cellStyle name="Calculation 2 3 4 6 2" xfId="8511" xr:uid="{B9273984-A0B8-4D6E-94E7-A38DEA4144E0}"/>
    <cellStyle name="Calculation 2 3 4 7" xfId="3341" xr:uid="{D17320BE-DAD2-42A3-9B19-9149B30805BB}"/>
    <cellStyle name="Calculation 2 3 4 8" xfId="2991" xr:uid="{19425585-ABB5-45CD-806C-B40F67EB8920}"/>
    <cellStyle name="Calculation 2 3 4 9" xfId="2187" xr:uid="{9FE96DBD-2555-4A57-82FB-20496BF1EA1C}"/>
    <cellStyle name="Calculation 2 3 5" xfId="697" xr:uid="{75A9DB3B-9F5C-44F8-B7F8-C293DAD5172E}"/>
    <cellStyle name="Calculation 2 3 5 2" xfId="1502" xr:uid="{F393BB31-2E9F-4732-B949-B787436DEC96}"/>
    <cellStyle name="Calculation 2 3 5 2 2" xfId="7273" xr:uid="{A1277200-222B-4D01-8611-7321EB352654}"/>
    <cellStyle name="Calculation 2 3 5 2 3" xfId="9939" xr:uid="{1DFA886B-134E-4814-A97E-3E30F7A0B08E}"/>
    <cellStyle name="Calculation 2 3 5 2 4" xfId="4299" xr:uid="{19D213C4-07D7-4FE3-A6CB-E250B7193515}"/>
    <cellStyle name="Calculation 2 3 5 3" xfId="5039" xr:uid="{909791AA-0BE6-453E-8DFD-6A508DA0D20A}"/>
    <cellStyle name="Calculation 2 3 5 3 2" xfId="8013" xr:uid="{8759C577-FE2D-458E-80CD-710A669AD446}"/>
    <cellStyle name="Calculation 2 3 5 4" xfId="5804" xr:uid="{BA7E8339-73E5-4FD9-9011-199B2B5A9F82}"/>
    <cellStyle name="Calculation 2 3 5 4 2" xfId="8778" xr:uid="{4CBC9C04-8022-4BE2-865C-3FF4840628C9}"/>
    <cellStyle name="Calculation 2 3 5 5" xfId="3532" xr:uid="{1772F744-D091-4699-92A3-85235516BA80}"/>
    <cellStyle name="Calculation 2 3 5 6" xfId="6477" xr:uid="{62122C7C-429F-44BE-833C-2612F9348E00}"/>
    <cellStyle name="Calculation 2 3 5 7" xfId="2454" xr:uid="{FC5189E3-0A3A-4857-A03A-BA720C7E18C5}"/>
    <cellStyle name="Calculation 2 3 6" xfId="1142" xr:uid="{EF0033F6-3C11-4A6A-ABE2-67336C6C0BD2}"/>
    <cellStyle name="Calculation 2 3 6 2" xfId="1947" xr:uid="{55EB25B5-4ADF-41FB-93AF-BDCC76F87B65}"/>
    <cellStyle name="Calculation 2 3 6 2 2" xfId="7718" xr:uid="{EBEC5908-5AC1-48C6-B719-60778164F3F1}"/>
    <cellStyle name="Calculation 2 3 6 2 3" xfId="10384" xr:uid="{F0B47631-63EC-4020-9D61-ED3A345F97B9}"/>
    <cellStyle name="Calculation 2 3 6 2 4" xfId="4744" xr:uid="{A88B69C8-F75F-4D57-9704-1BBA37384D34}"/>
    <cellStyle name="Calculation 2 3 6 3" xfId="5484" xr:uid="{EAFC1211-DFFA-4D3B-811A-0CE59B78A8AD}"/>
    <cellStyle name="Calculation 2 3 6 3 2" xfId="8458" xr:uid="{FCA1335D-45CF-41DF-8537-B078C3E3DA57}"/>
    <cellStyle name="Calculation 2 3 6 4" xfId="6249" xr:uid="{F0EA5571-5F6E-4CF5-BBB3-AA447AE85BE6}"/>
    <cellStyle name="Calculation 2 3 6 4 2" xfId="9223" xr:uid="{D2EF7C2B-FFB8-4CCD-B3A2-5FF8979021EC}"/>
    <cellStyle name="Calculation 2 3 6 5" xfId="3937" xr:uid="{B1BBB634-AA79-4A17-9F19-ECB95F0BEAC8}"/>
    <cellStyle name="Calculation 2 3 6 6" xfId="6922" xr:uid="{BF549EEA-5522-41D3-BE08-7067F0CDD7D7}"/>
    <cellStyle name="Calculation 2 3 6 7" xfId="2899" xr:uid="{5F61598F-7672-483E-A825-E0835F7B9E1D}"/>
    <cellStyle name="Calculation 2 3 7" xfId="3145" xr:uid="{CBF3C85A-3AE1-46D1-A482-DF83BAF536CE}"/>
    <cellStyle name="Calculation 2 3 8" xfId="3441" xr:uid="{0D73A986-BC0F-469C-88E6-706DE7043EC1}"/>
    <cellStyle name="Calculation 2 3 9" xfId="2020" xr:uid="{906C0394-FD97-4C42-8B55-C550CABB99A4}"/>
    <cellStyle name="Calculation 2 4" xfId="211" xr:uid="{695DC44E-CC7E-4A44-8D3F-D070E8879CE3}"/>
    <cellStyle name="Calculation 2 4 2" xfId="315" xr:uid="{171E15C8-C691-448B-9D41-CEC8FCACF3B9}"/>
    <cellStyle name="Calculation 2 4 2 2" xfId="537" xr:uid="{99078C86-6772-4072-972B-D3C215DC9357}"/>
    <cellStyle name="Calculation 2 4 2 2 2" xfId="1016" xr:uid="{444D5264-79F2-4464-85CA-31F11AD3421E}"/>
    <cellStyle name="Calculation 2 4 2 2 2 2" xfId="1821" xr:uid="{FB816AAA-40C3-40ED-9D0C-0AD63B729E99}"/>
    <cellStyle name="Calculation 2 4 2 2 2 2 2" xfId="7592" xr:uid="{36D969CD-BA26-415F-B1B2-C244573A5FF2}"/>
    <cellStyle name="Calculation 2 4 2 2 2 2 3" xfId="10258" xr:uid="{E0106A68-3D80-4657-9108-DA1F3C5DBAD9}"/>
    <cellStyle name="Calculation 2 4 2 2 2 2 4" xfId="4618" xr:uid="{FED1D07F-9226-4227-A449-BDD94441123B}"/>
    <cellStyle name="Calculation 2 4 2 2 2 3" xfId="5358" xr:uid="{8302F3A2-F8EE-45F1-AF94-F223F4710CDD}"/>
    <cellStyle name="Calculation 2 4 2 2 2 3 2" xfId="8332" xr:uid="{8221CC5F-9232-4016-8D58-CD02B8090F61}"/>
    <cellStyle name="Calculation 2 4 2 2 2 4" xfId="6123" xr:uid="{577E06D5-7899-45E7-9AAE-C0E0486F3EBA}"/>
    <cellStyle name="Calculation 2 4 2 2 2 4 2" xfId="9097" xr:uid="{120D0069-DF58-4BAB-8718-5E0964162BCF}"/>
    <cellStyle name="Calculation 2 4 2 2 2 5" xfId="3833" xr:uid="{31162096-E1DF-4773-878E-418B8E4BE07C}"/>
    <cellStyle name="Calculation 2 4 2 2 2 6" xfId="6796" xr:uid="{77880855-E10C-4D57-855B-85EC30CF0F1E}"/>
    <cellStyle name="Calculation 2 4 2 2 2 7" xfId="2773" xr:uid="{E5857EB1-2781-47B4-BEE3-D7595541DA5C}"/>
    <cellStyle name="Calculation 2 4 2 2 3" xfId="581" xr:uid="{94E7329F-2B98-494E-A733-234E1B94B803}"/>
    <cellStyle name="Calculation 2 4 2 2 3 2" xfId="1386" xr:uid="{CA62E573-69F9-4B9D-B28E-E9ABAC8DBBEC}"/>
    <cellStyle name="Calculation 2 4 2 2 3 2 2" xfId="7157" xr:uid="{F442E4BB-E6A5-41FA-850E-DA3DA7674548}"/>
    <cellStyle name="Calculation 2 4 2 2 3 2 3" xfId="9823" xr:uid="{13D40A98-9CD9-4BF1-B151-91FEE2B5542A}"/>
    <cellStyle name="Calculation 2 4 2 2 3 2 4" xfId="4183" xr:uid="{8554DFD0-8215-43E6-BDF9-5CCF98F0E597}"/>
    <cellStyle name="Calculation 2 4 2 2 3 3" xfId="4923" xr:uid="{6A85ED50-3927-4388-8D0E-17DE20E0ACF6}"/>
    <cellStyle name="Calculation 2 4 2 2 3 3 2" xfId="7897" xr:uid="{04E87F1A-D04D-4E6E-B6A0-5F46ECFA0D16}"/>
    <cellStyle name="Calculation 2 4 2 2 3 4" xfId="5688" xr:uid="{628DC861-8406-445E-846C-11D18B683A02}"/>
    <cellStyle name="Calculation 2 4 2 2 3 4 2" xfId="8662" xr:uid="{20898093-2C1C-4DBF-8092-DCFD70608AE7}"/>
    <cellStyle name="Calculation 2 4 2 2 3 5" xfId="3448" xr:uid="{2C814920-9DE3-4A4F-A819-272A67995184}"/>
    <cellStyle name="Calculation 2 4 2 2 3 6" xfId="6361" xr:uid="{F7B2BE44-90AC-4AC2-9BDE-C308D348B039}"/>
    <cellStyle name="Calculation 2 4 2 2 3 7" xfId="2338" xr:uid="{89991CB3-22F4-4501-B691-BCBEBA094615}"/>
    <cellStyle name="Calculation 2 4 2 2 4" xfId="1343" xr:uid="{9B90893E-EF25-4B65-BC78-7AC3FA06E1D3}"/>
    <cellStyle name="Calculation 2 4 2 2 4 2" xfId="7114" xr:uid="{D18D0EF0-52DC-499C-81B0-BAE756AF9F98}"/>
    <cellStyle name="Calculation 2 4 2 2 4 3" xfId="9780" xr:uid="{5B92D301-E407-41C8-9B5B-1E04A363AFE8}"/>
    <cellStyle name="Calculation 2 4 2 2 4 4" xfId="4140" xr:uid="{9D992FDE-BB2E-43B6-8D59-6FE54937D438}"/>
    <cellStyle name="Calculation 2 4 2 2 5" xfId="4880" xr:uid="{39D853B6-DB17-4613-96FA-0FA04ACA9DC6}"/>
    <cellStyle name="Calculation 2 4 2 2 5 2" xfId="7854" xr:uid="{F11298EA-690F-44BB-9C07-C99D596ABF0E}"/>
    <cellStyle name="Calculation 2 4 2 2 6" xfId="5645" xr:uid="{E69BB1BA-2CB3-4D86-B7BF-D8FCFE377615}"/>
    <cellStyle name="Calculation 2 4 2 2 6 2" xfId="8619" xr:uid="{63D319B6-1FD7-4BBC-9DD9-D6B4456806BE}"/>
    <cellStyle name="Calculation 2 4 2 2 7" xfId="3417" xr:uid="{D3F88169-A912-476B-AAD4-7C4662B213FD}"/>
    <cellStyle name="Calculation 2 4 2 2 8" xfId="6318" xr:uid="{2719B8F7-DC28-4A3C-83D3-165E2E034821}"/>
    <cellStyle name="Calculation 2 4 2 2 9" xfId="2295" xr:uid="{9C544A74-F687-4F2F-9F96-3A60544E576B}"/>
    <cellStyle name="Calculation 2 4 2 3" xfId="806" xr:uid="{115F6255-14D7-4E1A-9519-038C429E7884}"/>
    <cellStyle name="Calculation 2 4 2 3 2" xfId="1611" xr:uid="{97BD8123-6DF9-462C-95C1-A4001D0395B7}"/>
    <cellStyle name="Calculation 2 4 2 3 2 2" xfId="7382" xr:uid="{999AE468-B26B-4FB4-8784-7693506E6B3B}"/>
    <cellStyle name="Calculation 2 4 2 3 2 3" xfId="10048" xr:uid="{416361DF-1640-487D-A429-B456E5EE9C0A}"/>
    <cellStyle name="Calculation 2 4 2 3 2 4" xfId="4408" xr:uid="{FCC856FB-92D5-47C2-910F-3E7BC2B79458}"/>
    <cellStyle name="Calculation 2 4 2 3 3" xfId="5148" xr:uid="{8BBA2087-EA6E-4A81-A360-0371EA5A38B4}"/>
    <cellStyle name="Calculation 2 4 2 3 3 2" xfId="8122" xr:uid="{B370FAD1-C1E4-4FA7-9448-9CFC04ED5301}"/>
    <cellStyle name="Calculation 2 4 2 3 4" xfId="5913" xr:uid="{B607BAC2-89F3-4A99-8A90-CCB4C0FFE6FD}"/>
    <cellStyle name="Calculation 2 4 2 3 4 2" xfId="8887" xr:uid="{DFA3E7B9-A207-4182-ABEA-3AD82C0E69C4}"/>
    <cellStyle name="Calculation 2 4 2 3 5" xfId="3640" xr:uid="{7B40F260-490E-4E5E-9ED2-8FCAB79867A8}"/>
    <cellStyle name="Calculation 2 4 2 3 6" xfId="6586" xr:uid="{6CC5FA1F-5F0F-4C11-AF9E-02F025D86983}"/>
    <cellStyle name="Calculation 2 4 2 3 7" xfId="2563" xr:uid="{8DD4782F-FB26-421A-A1BA-4AB574FC5559}"/>
    <cellStyle name="Calculation 2 4 2 4" xfId="1101" xr:uid="{0690018D-17D9-4B3A-971F-7DDFEA4F6197}"/>
    <cellStyle name="Calculation 2 4 2 4 2" xfId="1906" xr:uid="{2DDE1F65-E78C-4FE8-96F5-CDAC010EDA1C}"/>
    <cellStyle name="Calculation 2 4 2 4 2 2" xfId="7677" xr:uid="{B4255D7D-57DB-4D1D-A01F-246CEF388262}"/>
    <cellStyle name="Calculation 2 4 2 4 2 3" xfId="10343" xr:uid="{FE219468-C341-4E4C-9F5F-4096849EDEDD}"/>
    <cellStyle name="Calculation 2 4 2 4 2 4" xfId="4703" xr:uid="{E4BE1B53-DB8A-4EFB-9F6A-235FBE92506A}"/>
    <cellStyle name="Calculation 2 4 2 4 3" xfId="5443" xr:uid="{665EAA93-80EB-40BD-8B52-8E05C4DD0D60}"/>
    <cellStyle name="Calculation 2 4 2 4 3 2" xfId="8417" xr:uid="{03B9025B-2BA2-4643-81D4-2A69FCE4750B}"/>
    <cellStyle name="Calculation 2 4 2 4 4" xfId="6208" xr:uid="{D68E3273-ECCF-44E2-8DF4-7116FF0F9F55}"/>
    <cellStyle name="Calculation 2 4 2 4 4 2" xfId="9182" xr:uid="{8FF394F9-B541-4BA2-9505-7077758FA34C}"/>
    <cellStyle name="Calculation 2 4 2 4 5" xfId="3910" xr:uid="{B80A4FFF-4514-45DF-BB80-D682FB342F17}"/>
    <cellStyle name="Calculation 2 4 2 4 6" xfId="6881" xr:uid="{20D1FC95-2DEE-4A44-BD77-099B03E2AC5D}"/>
    <cellStyle name="Calculation 2 4 2 4 7" xfId="2858" xr:uid="{5DFFD887-A04A-4416-8C3C-B9C9EC023C22}"/>
    <cellStyle name="Calculation 2 4 2 5" xfId="3236" xr:uid="{03E143E8-15E6-4BED-9E70-267F9EDC9A3C}"/>
    <cellStyle name="Calculation 2 4 2 6" xfId="2995" xr:uid="{49509641-B57B-4DB8-85CB-B8E2A5F602F7}"/>
    <cellStyle name="Calculation 2 4 2 7" xfId="2133" xr:uid="{81481A3F-2AA5-4A45-A060-2915EC156508}"/>
    <cellStyle name="Calculation 2 4 3" xfId="259" xr:uid="{5B688FD4-7267-4F09-ABC7-C054E6E3A1B5}"/>
    <cellStyle name="Calculation 2 4 3 2" xfId="483" xr:uid="{D7B528F0-F293-452E-8FE3-19C1C8D19E39}"/>
    <cellStyle name="Calculation 2 4 3 2 2" xfId="962" xr:uid="{7A759BDA-B5CD-4A2D-9908-DFD706F88F1C}"/>
    <cellStyle name="Calculation 2 4 3 2 2 2" xfId="1767" xr:uid="{D7FBF1F8-ED16-48DE-9A68-24731CAFBDEB}"/>
    <cellStyle name="Calculation 2 4 3 2 2 2 2" xfId="7538" xr:uid="{0E644BA4-526A-4FB1-9039-3F7E61186780}"/>
    <cellStyle name="Calculation 2 4 3 2 2 2 3" xfId="10204" xr:uid="{C8945AEB-969C-48D9-A5F4-A46B59CD22F3}"/>
    <cellStyle name="Calculation 2 4 3 2 2 2 4" xfId="4564" xr:uid="{6BA1CA5C-7636-44EF-88B7-F8209E2AE204}"/>
    <cellStyle name="Calculation 2 4 3 2 2 3" xfId="5304" xr:uid="{9196FD97-9823-4586-89B9-93A83F06AE74}"/>
    <cellStyle name="Calculation 2 4 3 2 2 3 2" xfId="8278" xr:uid="{883C767A-53CD-4A35-9AA2-F9D8BD8F1081}"/>
    <cellStyle name="Calculation 2 4 3 2 2 4" xfId="6069" xr:uid="{73E3628E-CC82-4C8E-9016-F9A448A64CCF}"/>
    <cellStyle name="Calculation 2 4 3 2 2 4 2" xfId="9043" xr:uid="{767B6632-B913-4EC8-9D5D-8900B1E6DF2E}"/>
    <cellStyle name="Calculation 2 4 3 2 2 5" xfId="3779" xr:uid="{ED09C4BE-F7B2-46A4-8D67-A3CBED1DFB0A}"/>
    <cellStyle name="Calculation 2 4 3 2 2 6" xfId="6742" xr:uid="{CC079CEE-9874-4F2E-A885-E1543B3500FE}"/>
    <cellStyle name="Calculation 2 4 3 2 2 7" xfId="2719" xr:uid="{4BC82639-0B67-491C-A4EB-D91693B3E42C}"/>
    <cellStyle name="Calculation 2 4 3 2 3" xfId="1055" xr:uid="{95CB7742-15B5-48D3-947F-634A72CFC499}"/>
    <cellStyle name="Calculation 2 4 3 2 3 2" xfId="1860" xr:uid="{3D11C7EE-02F7-4CA0-849D-DFF18814BB92}"/>
    <cellStyle name="Calculation 2 4 3 2 3 2 2" xfId="7631" xr:uid="{82203565-DFAF-4568-A454-FC9F979879FE}"/>
    <cellStyle name="Calculation 2 4 3 2 3 2 3" xfId="10297" xr:uid="{439657D2-AAA8-4E7A-814C-74B83DDCA983}"/>
    <cellStyle name="Calculation 2 4 3 2 3 2 4" xfId="4657" xr:uid="{C7377285-4F70-4B07-AFC4-72E266894F54}"/>
    <cellStyle name="Calculation 2 4 3 2 3 3" xfId="5397" xr:uid="{3A90AFA5-C352-4E37-A1A6-AE02DE5132C4}"/>
    <cellStyle name="Calculation 2 4 3 2 3 3 2" xfId="8371" xr:uid="{B6028CFB-EA53-4A51-A3F0-6A86B6E0C384}"/>
    <cellStyle name="Calculation 2 4 3 2 3 4" xfId="6162" xr:uid="{95B99251-FDD9-40E1-AC1B-CCCEEA5D076A}"/>
    <cellStyle name="Calculation 2 4 3 2 3 4 2" xfId="9136" xr:uid="{53ADF9F1-1AFC-4878-8588-7CE6D3F2879A}"/>
    <cellStyle name="Calculation 2 4 3 2 3 5" xfId="3872" xr:uid="{095C5C60-5887-426A-85A9-4994B922CD96}"/>
    <cellStyle name="Calculation 2 4 3 2 3 6" xfId="6835" xr:uid="{8D6E8225-ED61-48B7-BCBE-EF9818749404}"/>
    <cellStyle name="Calculation 2 4 3 2 3 7" xfId="2812" xr:uid="{29541E45-69E0-4CC0-AE13-CB24DEC56FCB}"/>
    <cellStyle name="Calculation 2 4 3 2 4" xfId="1289" xr:uid="{E801C300-19A4-4917-83C4-A4385C6BA550}"/>
    <cellStyle name="Calculation 2 4 3 2 4 2" xfId="7060" xr:uid="{43924E12-FA7A-45DC-814D-246F80773BC1}"/>
    <cellStyle name="Calculation 2 4 3 2 4 3" xfId="9726" xr:uid="{4F7F481B-F09E-4287-8695-888A8573B9D8}"/>
    <cellStyle name="Calculation 2 4 3 2 4 4" xfId="4086" xr:uid="{A892AE50-9E7A-439D-BA7D-AB7406DF0C99}"/>
    <cellStyle name="Calculation 2 4 3 2 5" xfId="4826" xr:uid="{CBFD82EE-8551-4F76-85EA-45C500E38139}"/>
    <cellStyle name="Calculation 2 4 3 2 5 2" xfId="7800" xr:uid="{6823CE8A-F395-4B5D-A5FE-2C01DF59EEB8}"/>
    <cellStyle name="Calculation 2 4 3 2 6" xfId="5591" xr:uid="{A3A9417D-DCCB-454D-A912-154CDE630109}"/>
    <cellStyle name="Calculation 2 4 3 2 6 2" xfId="8565" xr:uid="{1C82D131-6147-4625-B1DE-502CBE6D7DF4}"/>
    <cellStyle name="Calculation 2 4 3 2 7" xfId="3379" xr:uid="{4AAF6C14-5CFE-44D7-9E30-5C0CD0A9C434}"/>
    <cellStyle name="Calculation 2 4 3 2 8" xfId="3068" xr:uid="{6E021180-46E1-46E6-9EC1-B8B68D47E0DB}"/>
    <cellStyle name="Calculation 2 4 3 2 9" xfId="2241" xr:uid="{121D46B7-65F5-42A2-9B3C-E0E236572E20}"/>
    <cellStyle name="Calculation 2 4 3 3" xfId="751" xr:uid="{E3D4C62C-E3BE-45FA-99E2-E8A639F6AA84}"/>
    <cellStyle name="Calculation 2 4 3 3 2" xfId="1556" xr:uid="{8CC91EF6-D528-4D16-A9E0-DFD7B08D1D21}"/>
    <cellStyle name="Calculation 2 4 3 3 2 2" xfId="7327" xr:uid="{E436229F-6FF0-473E-B8ED-E7DB18632F7B}"/>
    <cellStyle name="Calculation 2 4 3 3 2 3" xfId="9993" xr:uid="{B8971DDD-DF8D-4759-91AF-5247266B76F3}"/>
    <cellStyle name="Calculation 2 4 3 3 2 4" xfId="4353" xr:uid="{A8F72982-10A3-41EF-BBBB-E980460EC211}"/>
    <cellStyle name="Calculation 2 4 3 3 3" xfId="5093" xr:uid="{44587E6B-10F7-43F0-8E0B-2D5709AB21E3}"/>
    <cellStyle name="Calculation 2 4 3 3 3 2" xfId="8067" xr:uid="{9BFE83E7-1D79-40F1-B19C-97A9A2181EFF}"/>
    <cellStyle name="Calculation 2 4 3 3 4" xfId="5858" xr:uid="{FEC1BAC7-76C3-4DBD-9D19-A96808891669}"/>
    <cellStyle name="Calculation 2 4 3 3 4 2" xfId="8832" xr:uid="{5DB95CD2-7AD7-4BB1-9DFF-EF8A3C427629}"/>
    <cellStyle name="Calculation 2 4 3 3 5" xfId="3586" xr:uid="{C2CFD8BC-23D2-4EA8-BC01-E2D019976CA2}"/>
    <cellStyle name="Calculation 2 4 3 3 6" xfId="6531" xr:uid="{9740C8DE-85A5-4875-845E-950542501730}"/>
    <cellStyle name="Calculation 2 4 3 3 7" xfId="2508" xr:uid="{36A4DC6B-7780-490E-A0A8-0994E621383D}"/>
    <cellStyle name="Calculation 2 4 3 4" xfId="870" xr:uid="{843BE273-3629-42E5-88C9-C13EBAF95E8F}"/>
    <cellStyle name="Calculation 2 4 3 4 2" xfId="1675" xr:uid="{B1A9392E-344A-45C3-8556-F6DD249B66E2}"/>
    <cellStyle name="Calculation 2 4 3 4 2 2" xfId="7446" xr:uid="{B729914D-B5E1-4C33-921D-64D65F6D6F3C}"/>
    <cellStyle name="Calculation 2 4 3 4 2 3" xfId="10112" xr:uid="{06E049D5-C1FA-4B38-8C91-D929FFA8D009}"/>
    <cellStyle name="Calculation 2 4 3 4 2 4" xfId="4472" xr:uid="{3B6B09F8-D9E2-4BFF-AFC1-A9130B466227}"/>
    <cellStyle name="Calculation 2 4 3 4 3" xfId="5212" xr:uid="{D0D69E7A-363B-4554-A584-0DF2F84ACD04}"/>
    <cellStyle name="Calculation 2 4 3 4 3 2" xfId="8186" xr:uid="{1BF71396-D42F-434C-8CA4-5F5051C6A4A8}"/>
    <cellStyle name="Calculation 2 4 3 4 4" xfId="5977" xr:uid="{1A1EF91E-0CD0-4452-900C-736DE8143C1F}"/>
    <cellStyle name="Calculation 2 4 3 4 4 2" xfId="8951" xr:uid="{F8D691B9-8037-40DF-B00A-B52DD7B4FB28}"/>
    <cellStyle name="Calculation 2 4 3 4 5" xfId="3693" xr:uid="{DE33D53D-72F9-4065-ABD9-A349BDEDCBE4}"/>
    <cellStyle name="Calculation 2 4 3 4 6" xfId="6650" xr:uid="{563E4EFA-C07A-4107-9ACB-53C63D2B9506}"/>
    <cellStyle name="Calculation 2 4 3 4 7" xfId="2627" xr:uid="{DAC7CBBB-ABE6-4499-9E07-451F93BA40EF}"/>
    <cellStyle name="Calculation 2 4 3 5" xfId="3192" xr:uid="{D26CF4DF-E776-4412-8693-D7682C905323}"/>
    <cellStyle name="Calculation 2 4 3 6" xfId="3447" xr:uid="{5A192C4C-D854-45A2-9C8C-F982A8205650}"/>
    <cellStyle name="Calculation 2 4 3 7" xfId="2076" xr:uid="{42A517E9-E371-40F3-81EB-F31E8E3BB3AA}"/>
    <cellStyle name="Calculation 2 4 4" xfId="435" xr:uid="{E4A51470-2C3E-444E-B1DE-AC4683F71835}"/>
    <cellStyle name="Calculation 2 4 4 2" xfId="914" xr:uid="{0ED2030A-FE5D-40E4-9EBE-791C8C7922EE}"/>
    <cellStyle name="Calculation 2 4 4 2 2" xfId="1719" xr:uid="{56902525-48D8-4A78-8272-9454806F7F58}"/>
    <cellStyle name="Calculation 2 4 4 2 2 2" xfId="7490" xr:uid="{AE99DB01-569F-4215-B7DB-C05534BBE4D5}"/>
    <cellStyle name="Calculation 2 4 4 2 2 3" xfId="10156" xr:uid="{07870C6E-6161-4128-90DD-8EC2C37D477F}"/>
    <cellStyle name="Calculation 2 4 4 2 2 4" xfId="4516" xr:uid="{16BD6ABB-1459-4FA6-A10F-C15F65A32604}"/>
    <cellStyle name="Calculation 2 4 4 2 3" xfId="5256" xr:uid="{DBBE7CC9-ABAF-4718-9ACE-067BF338A325}"/>
    <cellStyle name="Calculation 2 4 4 2 3 2" xfId="8230" xr:uid="{2275F0D4-EE83-4A24-9BE3-E58B6D871C50}"/>
    <cellStyle name="Calculation 2 4 4 2 4" xfId="6021" xr:uid="{6041591D-56C8-4F62-A9DE-E46DB2292522}"/>
    <cellStyle name="Calculation 2 4 4 2 4 2" xfId="8995" xr:uid="{3745C72A-A4E0-4BDC-BBBF-BAFF380524B2}"/>
    <cellStyle name="Calculation 2 4 4 2 5" xfId="3731" xr:uid="{D7029BE5-72F6-4488-A4BB-44C63C2C14D1}"/>
    <cellStyle name="Calculation 2 4 4 2 6" xfId="6694" xr:uid="{3FE015CA-B1C7-4EFC-9615-1CCE73804694}"/>
    <cellStyle name="Calculation 2 4 4 2 7" xfId="2671" xr:uid="{FB43D075-2E23-40E4-85A0-E3037854D059}"/>
    <cellStyle name="Calculation 2 4 4 3" xfId="1146" xr:uid="{27336001-48AB-40BD-A6E3-DC190B81455A}"/>
    <cellStyle name="Calculation 2 4 4 3 2" xfId="1951" xr:uid="{79196FE4-D5B5-454D-BDE5-027CA74A6A54}"/>
    <cellStyle name="Calculation 2 4 4 3 2 2" xfId="7722" xr:uid="{9AEACFBA-B50D-4D47-A6FE-B2569CCDD23C}"/>
    <cellStyle name="Calculation 2 4 4 3 2 3" xfId="10388" xr:uid="{4AA18F8C-E9DD-4A6E-AB17-D58B845C88B6}"/>
    <cellStyle name="Calculation 2 4 4 3 2 4" xfId="4748" xr:uid="{F0B27721-4ACA-4FA1-9D8B-226601A23BDE}"/>
    <cellStyle name="Calculation 2 4 4 3 3" xfId="5488" xr:uid="{032184FC-487A-4014-992F-C51BBBE79E47}"/>
    <cellStyle name="Calculation 2 4 4 3 3 2" xfId="8462" xr:uid="{B207AC8A-69E3-4028-95CB-BA66849F7450}"/>
    <cellStyle name="Calculation 2 4 4 3 4" xfId="6253" xr:uid="{A188AA78-8461-495A-943C-CB025B4C0927}"/>
    <cellStyle name="Calculation 2 4 4 3 4 2" xfId="9227" xr:uid="{1CC9086F-CD84-4505-A34F-260BDB64303B}"/>
    <cellStyle name="Calculation 2 4 4 3 5" xfId="3940" xr:uid="{9702B6BA-994E-40EC-BE55-BB9D8BC04990}"/>
    <cellStyle name="Calculation 2 4 4 3 6" xfId="6926" xr:uid="{3CE6BE80-F364-4520-B2E3-BE24A5840766}"/>
    <cellStyle name="Calculation 2 4 4 3 7" xfId="2903" xr:uid="{1C060DA8-756C-46E8-A3EA-2106736AB886}"/>
    <cellStyle name="Calculation 2 4 4 4" xfId="1241" xr:uid="{D0BDE22A-2929-4E41-8849-F5B177A13F77}"/>
    <cellStyle name="Calculation 2 4 4 4 2" xfId="7012" xr:uid="{C04822A4-3B91-48B6-9296-F9425D7D6619}"/>
    <cellStyle name="Calculation 2 4 4 4 3" xfId="9678" xr:uid="{B71FE1CA-1EB6-47D8-92AA-4183318C8EC9}"/>
    <cellStyle name="Calculation 2 4 4 4 4" xfId="4038" xr:uid="{5F4E1DF2-A3E9-4EB0-A8AE-7E783F531B70}"/>
    <cellStyle name="Calculation 2 4 4 5" xfId="3280" xr:uid="{569DD0D9-5B11-4217-B293-93FF30ABC030}"/>
    <cellStyle name="Calculation 2 4 4 5 2" xfId="3002" xr:uid="{50011438-9D2F-42D3-B271-84416A8F0F73}"/>
    <cellStyle name="Calculation 2 4 4 6" xfId="5543" xr:uid="{AA83E2F6-7FCB-409B-A2C0-203122D6BB23}"/>
    <cellStyle name="Calculation 2 4 4 6 2" xfId="8517" xr:uid="{3BF1F199-48B5-45F3-AEF0-B305ADBC591C}"/>
    <cellStyle name="Calculation 2 4 4 7" xfId="3345" xr:uid="{CBCB797D-3C85-433F-8AF1-6FCD331B0601}"/>
    <cellStyle name="Calculation 2 4 4 8" xfId="3083" xr:uid="{44A3EED6-7B6F-4F1D-A15C-E78CA08FD425}"/>
    <cellStyle name="Calculation 2 4 4 9" xfId="2193" xr:uid="{0F24E996-B4E9-4576-A2CF-F916E83CFA20}"/>
    <cellStyle name="Calculation 2 4 5" xfId="703" xr:uid="{74CF0182-4408-4678-A875-CFA5765F5688}"/>
    <cellStyle name="Calculation 2 4 5 2" xfId="1508" xr:uid="{8AE38D72-DE38-40DB-A00A-8E60A140A7D7}"/>
    <cellStyle name="Calculation 2 4 5 2 2" xfId="7279" xr:uid="{5054F860-268C-4CBF-BF68-C7E0472E492B}"/>
    <cellStyle name="Calculation 2 4 5 2 3" xfId="9945" xr:uid="{5B9D5A02-2D65-4010-A2D7-647A9139F6D8}"/>
    <cellStyle name="Calculation 2 4 5 2 4" xfId="4305" xr:uid="{9B1E2BCF-3727-47AC-B8D7-FE39D2BDC6B7}"/>
    <cellStyle name="Calculation 2 4 5 3" xfId="5045" xr:uid="{5BC49C68-02F8-4D60-AF66-01CA027E58D6}"/>
    <cellStyle name="Calculation 2 4 5 3 2" xfId="8019" xr:uid="{E66CA73A-38BA-4374-AD17-92F375C90F61}"/>
    <cellStyle name="Calculation 2 4 5 4" xfId="5810" xr:uid="{00706AB4-E03F-4014-A039-CA5EBCA9BBC7}"/>
    <cellStyle name="Calculation 2 4 5 4 2" xfId="8784" xr:uid="{6698FF81-E75E-4244-A912-DDFABBE4ECF0}"/>
    <cellStyle name="Calculation 2 4 5 5" xfId="3538" xr:uid="{AC1BF33E-2498-44F3-AD2A-7B9954047577}"/>
    <cellStyle name="Calculation 2 4 5 6" xfId="6483" xr:uid="{343D0044-6D64-4A83-B2B5-2A09E13EDEF8}"/>
    <cellStyle name="Calculation 2 4 5 7" xfId="2460" xr:uid="{846B58C1-1CC2-4DCE-A90C-2B409D6D6A64}"/>
    <cellStyle name="Calculation 2 4 6" xfId="1058" xr:uid="{0B60AAED-3622-40A6-9D9B-A97F80CF1D7E}"/>
    <cellStyle name="Calculation 2 4 6 2" xfId="1863" xr:uid="{6264451F-1A72-496A-B140-D6C55ED1D619}"/>
    <cellStyle name="Calculation 2 4 6 2 2" xfId="7634" xr:uid="{9550A743-9F2A-4ABE-8C6B-F46847F49476}"/>
    <cellStyle name="Calculation 2 4 6 2 3" xfId="10300" xr:uid="{FD85F803-814F-4509-9D32-FB2F447C32A2}"/>
    <cellStyle name="Calculation 2 4 6 2 4" xfId="4660" xr:uid="{21B33B39-96EB-4F72-8CD3-CF312FBD6DEE}"/>
    <cellStyle name="Calculation 2 4 6 3" xfId="5400" xr:uid="{C115A389-FA4D-45DD-B1D1-8F9EC432C5B0}"/>
    <cellStyle name="Calculation 2 4 6 3 2" xfId="8374" xr:uid="{CF97252D-6FBA-4673-B9F7-3CF7AF28AA35}"/>
    <cellStyle name="Calculation 2 4 6 4" xfId="6165" xr:uid="{89EC4CB3-7DB9-4806-A8A0-C811FA24A807}"/>
    <cellStyle name="Calculation 2 4 6 4 2" xfId="9139" xr:uid="{3382AB02-9592-463B-8758-CE87B1C3F636}"/>
    <cellStyle name="Calculation 2 4 6 5" xfId="3874" xr:uid="{D4667F72-51B5-4C5A-9EC0-3EC3AE9E9AEE}"/>
    <cellStyle name="Calculation 2 4 6 6" xfId="6838" xr:uid="{959BE13B-7C75-4BFC-981F-7A9AE4D5DF33}"/>
    <cellStyle name="Calculation 2 4 6 7" xfId="2815" xr:uid="{589CB651-2EC1-49DD-B541-FEBF418D7301}"/>
    <cellStyle name="Calculation 2 4 7" xfId="3149" xr:uid="{161ED63E-9B37-4C74-AAF1-9A3CAA64ED0F}"/>
    <cellStyle name="Calculation 2 4 8" xfId="3207" xr:uid="{4153F432-931F-42A0-B368-B9D144B0529A}"/>
    <cellStyle name="Calculation 2 4 9" xfId="2026" xr:uid="{CC0B2B43-5EBC-49E0-8697-CFBBA689D357}"/>
    <cellStyle name="Calculation 2 5" xfId="217" xr:uid="{745F7ECB-AF60-4F7E-AB7C-FED4152EB429}"/>
    <cellStyle name="Calculation 2 5 2" xfId="321" xr:uid="{5FF754AB-1EDC-4755-ADA8-E134C00F8185}"/>
    <cellStyle name="Calculation 2 5 2 2" xfId="543" xr:uid="{57192630-1262-4A28-A67E-AAA659B8D2F2}"/>
    <cellStyle name="Calculation 2 5 2 2 2" xfId="1022" xr:uid="{213ACB29-8311-45AA-A4EE-EF547E2BD2A8}"/>
    <cellStyle name="Calculation 2 5 2 2 2 2" xfId="1827" xr:uid="{22F055B3-3636-44A7-AE09-26D2C4C0FC97}"/>
    <cellStyle name="Calculation 2 5 2 2 2 2 2" xfId="7598" xr:uid="{6E48960A-39DC-4FCF-B44B-BF1A46A0EE52}"/>
    <cellStyle name="Calculation 2 5 2 2 2 2 3" xfId="10264" xr:uid="{AC3367CF-D900-4A4B-ADF4-9A995896298D}"/>
    <cellStyle name="Calculation 2 5 2 2 2 2 4" xfId="4624" xr:uid="{F46E415D-0B74-4634-9D77-AC3ED9121505}"/>
    <cellStyle name="Calculation 2 5 2 2 2 3" xfId="5364" xr:uid="{D0D219F8-6EF9-4F2A-AC0D-515E3043FD73}"/>
    <cellStyle name="Calculation 2 5 2 2 2 3 2" xfId="8338" xr:uid="{1531A444-2497-4914-BC4C-7EDB9F22B062}"/>
    <cellStyle name="Calculation 2 5 2 2 2 4" xfId="6129" xr:uid="{6A9C808C-88FA-4C6D-93AD-FAF0A6E41E3F}"/>
    <cellStyle name="Calculation 2 5 2 2 2 4 2" xfId="9103" xr:uid="{C307C1F1-DB24-431D-A44B-E53A7E5857C8}"/>
    <cellStyle name="Calculation 2 5 2 2 2 5" xfId="3839" xr:uid="{57A545AD-CA65-4AC8-B494-5DA699B2EE1C}"/>
    <cellStyle name="Calculation 2 5 2 2 2 6" xfId="6802" xr:uid="{E773D3B4-F313-4DD2-98A3-6F70C650A22A}"/>
    <cellStyle name="Calculation 2 5 2 2 2 7" xfId="2779" xr:uid="{79BC21D1-18C6-49C6-B1CD-C119613A79A6}"/>
    <cellStyle name="Calculation 2 5 2 2 3" xfId="626" xr:uid="{1F55CD3D-4319-4436-A292-15EE241345EE}"/>
    <cellStyle name="Calculation 2 5 2 2 3 2" xfId="1431" xr:uid="{3D586C5C-C33D-4DD9-8063-3A2BFDC0D4F4}"/>
    <cellStyle name="Calculation 2 5 2 2 3 2 2" xfId="7202" xr:uid="{B2DB7D76-D01C-4E40-980C-64E0B85475CE}"/>
    <cellStyle name="Calculation 2 5 2 2 3 2 3" xfId="9868" xr:uid="{F9EE3D2D-9794-432A-9F0A-025C98CE3FC8}"/>
    <cellStyle name="Calculation 2 5 2 2 3 2 4" xfId="4228" xr:uid="{6CDDECB0-AA23-484C-A7B0-601463586343}"/>
    <cellStyle name="Calculation 2 5 2 2 3 3" xfId="4968" xr:uid="{05339C68-9BEF-4E7D-B42F-AC24AFDF349F}"/>
    <cellStyle name="Calculation 2 5 2 2 3 3 2" xfId="7942" xr:uid="{0625660A-3D34-4D98-9006-B0C017E9043A}"/>
    <cellStyle name="Calculation 2 5 2 2 3 4" xfId="5733" xr:uid="{DF3CAB10-BA43-4BD9-9016-6B0F96C17B4E}"/>
    <cellStyle name="Calculation 2 5 2 2 3 4 2" xfId="8707" xr:uid="{8E6B267F-B260-4381-AF1D-51B5E09B083F}"/>
    <cellStyle name="Calculation 2 5 2 2 3 5" xfId="3477" xr:uid="{2611DFEA-ACB4-4545-9ADC-9B4C24563C3C}"/>
    <cellStyle name="Calculation 2 5 2 2 3 6" xfId="6406" xr:uid="{FAF2A0A8-F438-4560-B2EE-0EB66793FC0C}"/>
    <cellStyle name="Calculation 2 5 2 2 3 7" xfId="2383" xr:uid="{4A700315-0483-40C6-85DA-297591E20C88}"/>
    <cellStyle name="Calculation 2 5 2 2 4" xfId="1349" xr:uid="{70FEB393-B2BC-4CA4-8C5B-028BC73599D3}"/>
    <cellStyle name="Calculation 2 5 2 2 4 2" xfId="7120" xr:uid="{DF53C7EE-8F29-416F-A555-A2D027367CC1}"/>
    <cellStyle name="Calculation 2 5 2 2 4 3" xfId="9786" xr:uid="{379332CA-5DFA-4EEC-82EA-919121511CCE}"/>
    <cellStyle name="Calculation 2 5 2 2 4 4" xfId="4146" xr:uid="{F3C76AD9-DB27-463A-BB3C-233EF85FFD10}"/>
    <cellStyle name="Calculation 2 5 2 2 5" xfId="4886" xr:uid="{F5086F24-FA6C-4C1B-AD89-EB7842323974}"/>
    <cellStyle name="Calculation 2 5 2 2 5 2" xfId="7860" xr:uid="{AB3E55B7-4B84-4AC0-8F39-0D3EDEE424FD}"/>
    <cellStyle name="Calculation 2 5 2 2 6" xfId="5651" xr:uid="{47461522-C8C5-4158-8ED5-45B76EDCD4CB}"/>
    <cellStyle name="Calculation 2 5 2 2 6 2" xfId="8625" xr:uid="{D6D4E50C-1B4E-4AC1-AF00-DA18A1C7BA92}"/>
    <cellStyle name="Calculation 2 5 2 2 7" xfId="3421" xr:uid="{A26DDE0E-D631-40B2-AD28-5569A31E921B}"/>
    <cellStyle name="Calculation 2 5 2 2 8" xfId="6324" xr:uid="{0EA945FF-726A-473E-8149-1D249A313A7A}"/>
    <cellStyle name="Calculation 2 5 2 2 9" xfId="2301" xr:uid="{45891169-F564-45EB-953E-9050DEF6BA06}"/>
    <cellStyle name="Calculation 2 5 2 3" xfId="812" xr:uid="{0F796485-D63D-4C6D-8BED-F4F79DAFD41D}"/>
    <cellStyle name="Calculation 2 5 2 3 2" xfId="1617" xr:uid="{8ACBB313-AF02-462E-9764-D1A28EFAE082}"/>
    <cellStyle name="Calculation 2 5 2 3 2 2" xfId="7388" xr:uid="{8B150AE2-2F43-438D-ABC4-41A9DE8DAEE2}"/>
    <cellStyle name="Calculation 2 5 2 3 2 3" xfId="10054" xr:uid="{5A3D3D98-AE48-4F59-A5FD-28EA8DBFFA79}"/>
    <cellStyle name="Calculation 2 5 2 3 2 4" xfId="4414" xr:uid="{82B264C5-D5A8-4B38-8D70-80A206F5D3F3}"/>
    <cellStyle name="Calculation 2 5 2 3 3" xfId="5154" xr:uid="{1FCFAA44-A12C-43FA-9E40-CD6742B989D6}"/>
    <cellStyle name="Calculation 2 5 2 3 3 2" xfId="8128" xr:uid="{B9E1171D-9A27-4D59-A7D4-92B63D45D58D}"/>
    <cellStyle name="Calculation 2 5 2 3 4" xfId="5919" xr:uid="{9A2247DF-1C02-4B38-80E5-CD6C1C0515AD}"/>
    <cellStyle name="Calculation 2 5 2 3 4 2" xfId="8893" xr:uid="{6D5DC1CD-B473-4203-A22C-3EB54158E562}"/>
    <cellStyle name="Calculation 2 5 2 3 5" xfId="3646" xr:uid="{5649FF60-047E-423B-8F61-5A4174D8C1E0}"/>
    <cellStyle name="Calculation 2 5 2 3 6" xfId="6592" xr:uid="{0F1BBC73-144A-4BFA-AD5A-F4B168A5BA23}"/>
    <cellStyle name="Calculation 2 5 2 3 7" xfId="2569" xr:uid="{65DE1240-68BF-4FAA-B9B4-2BFEB45BA85B}"/>
    <cellStyle name="Calculation 2 5 2 4" xfId="1095" xr:uid="{025A0D2F-1A38-4DCE-8313-BE811E64B30D}"/>
    <cellStyle name="Calculation 2 5 2 4 2" xfId="1900" xr:uid="{137A93AF-8F59-4287-BE9F-D625057F9ACA}"/>
    <cellStyle name="Calculation 2 5 2 4 2 2" xfId="7671" xr:uid="{10669897-FF0C-40AB-88BB-9C5BF4615271}"/>
    <cellStyle name="Calculation 2 5 2 4 2 3" xfId="10337" xr:uid="{5542C770-B2BF-4E3D-BC09-B74F28695CE4}"/>
    <cellStyle name="Calculation 2 5 2 4 2 4" xfId="4697" xr:uid="{7328EA46-A36F-4646-A64A-FD81A08FAB56}"/>
    <cellStyle name="Calculation 2 5 2 4 3" xfId="5437" xr:uid="{ACA26DD7-D04F-4667-8480-0766E0ACA58D}"/>
    <cellStyle name="Calculation 2 5 2 4 3 2" xfId="8411" xr:uid="{49D80861-4BE5-405D-A824-3FFADDBC7402}"/>
    <cellStyle name="Calculation 2 5 2 4 4" xfId="6202" xr:uid="{989D80DD-71C0-4BC5-BAD9-D08C0E455F7D}"/>
    <cellStyle name="Calculation 2 5 2 4 4 2" xfId="9176" xr:uid="{40D085A6-57D3-4FB5-9732-8B57F31FADAD}"/>
    <cellStyle name="Calculation 2 5 2 4 5" xfId="3906" xr:uid="{B06C79F7-C605-4567-9E08-C5DC4D1341E3}"/>
    <cellStyle name="Calculation 2 5 2 4 6" xfId="6875" xr:uid="{7D297EF9-1F1E-4CF0-9FCC-9E7765376DA7}"/>
    <cellStyle name="Calculation 2 5 2 4 7" xfId="2852" xr:uid="{5D729481-99D7-46FA-B55C-26F8ADB1CA24}"/>
    <cellStyle name="Calculation 2 5 2 5" xfId="3240" xr:uid="{1DDD9914-F85F-4A4A-BDB5-DC684A4076B1}"/>
    <cellStyle name="Calculation 2 5 2 6" xfId="3108" xr:uid="{2634ED55-1A23-4517-B29E-51449A917E66}"/>
    <cellStyle name="Calculation 2 5 2 7" xfId="2139" xr:uid="{3E5006DC-67FE-459D-B7E1-ED3D18FB5D11}"/>
    <cellStyle name="Calculation 2 5 3" xfId="265" xr:uid="{F4901A30-0C5C-49E5-BDF4-213791DCD134}"/>
    <cellStyle name="Calculation 2 5 3 2" xfId="489" xr:uid="{152C8967-D0A8-4D18-980B-ED0CAECA7179}"/>
    <cellStyle name="Calculation 2 5 3 2 2" xfId="968" xr:uid="{30B208C2-1382-4EE5-8C4B-0989E49A7F86}"/>
    <cellStyle name="Calculation 2 5 3 2 2 2" xfId="1773" xr:uid="{89440E5B-6E1D-4320-8964-4824923B0C0F}"/>
    <cellStyle name="Calculation 2 5 3 2 2 2 2" xfId="7544" xr:uid="{A6B73CF9-E362-414A-854E-F405D9BD6E88}"/>
    <cellStyle name="Calculation 2 5 3 2 2 2 3" xfId="10210" xr:uid="{A8F28FD2-0199-43AE-9976-4F8891E04CB0}"/>
    <cellStyle name="Calculation 2 5 3 2 2 2 4" xfId="4570" xr:uid="{38CE0AB4-F0FD-4DAA-98D8-AF1141C7E272}"/>
    <cellStyle name="Calculation 2 5 3 2 2 3" xfId="5310" xr:uid="{3D26211C-E500-4B82-AB4F-95F7DA304CE8}"/>
    <cellStyle name="Calculation 2 5 3 2 2 3 2" xfId="8284" xr:uid="{001EC5A8-2EA4-4ABB-BF5C-0F325103F732}"/>
    <cellStyle name="Calculation 2 5 3 2 2 4" xfId="6075" xr:uid="{47845445-211A-41AE-B891-084EAD66D419}"/>
    <cellStyle name="Calculation 2 5 3 2 2 4 2" xfId="9049" xr:uid="{9CC82D68-9D4E-43C5-A9FA-2AD4A67152CF}"/>
    <cellStyle name="Calculation 2 5 3 2 2 5" xfId="3785" xr:uid="{926E98FE-EF78-4B49-BDEB-5F9A2B9AF4F7}"/>
    <cellStyle name="Calculation 2 5 3 2 2 6" xfId="6748" xr:uid="{551BB2F3-34CA-4C34-A7D8-A10233C871CE}"/>
    <cellStyle name="Calculation 2 5 3 2 2 7" xfId="2725" xr:uid="{D5BF7C4F-B854-4A61-9827-CF27B1591C70}"/>
    <cellStyle name="Calculation 2 5 3 2 3" xfId="1054" xr:uid="{14474D64-730B-4FB2-A374-FD584CD10007}"/>
    <cellStyle name="Calculation 2 5 3 2 3 2" xfId="1859" xr:uid="{202D9132-FF25-41F6-A0EA-83E6CCBC1050}"/>
    <cellStyle name="Calculation 2 5 3 2 3 2 2" xfId="7630" xr:uid="{025AE657-705B-48A4-BC6F-9513E85AC125}"/>
    <cellStyle name="Calculation 2 5 3 2 3 2 3" xfId="10296" xr:uid="{C1325943-5311-4ADA-A9FB-DF6792BC54E9}"/>
    <cellStyle name="Calculation 2 5 3 2 3 2 4" xfId="4656" xr:uid="{F6A7887C-5C9D-4B63-AD06-B74297FB2D1A}"/>
    <cellStyle name="Calculation 2 5 3 2 3 3" xfId="5396" xr:uid="{3FB74020-5034-4D05-A64E-39FABB6D7640}"/>
    <cellStyle name="Calculation 2 5 3 2 3 3 2" xfId="8370" xr:uid="{3D1EE6BA-637D-4737-8A24-ACB7A0E4C4C1}"/>
    <cellStyle name="Calculation 2 5 3 2 3 4" xfId="6161" xr:uid="{C2908DE5-A6B0-40CA-9486-78838D301BEA}"/>
    <cellStyle name="Calculation 2 5 3 2 3 4 2" xfId="9135" xr:uid="{72AEDA88-1474-4C4C-BC30-81D2A1BFF2B1}"/>
    <cellStyle name="Calculation 2 5 3 2 3 5" xfId="3871" xr:uid="{EA5256DB-5A11-417E-BA68-01343BEFD841}"/>
    <cellStyle name="Calculation 2 5 3 2 3 6" xfId="6834" xr:uid="{8B24D759-79CD-4979-8458-98A01B4211C5}"/>
    <cellStyle name="Calculation 2 5 3 2 3 7" xfId="2811" xr:uid="{A2C22A14-9FA4-4144-9D87-E63A8F627E33}"/>
    <cellStyle name="Calculation 2 5 3 2 4" xfId="1295" xr:uid="{146D8CDB-D6B0-4C9E-9662-8BDE1EEEACDC}"/>
    <cellStyle name="Calculation 2 5 3 2 4 2" xfId="7066" xr:uid="{EF7094BA-F69C-4159-8CBE-6D170F705AEA}"/>
    <cellStyle name="Calculation 2 5 3 2 4 3" xfId="9732" xr:uid="{B62408EA-5166-46E7-8104-50C46803443B}"/>
    <cellStyle name="Calculation 2 5 3 2 4 4" xfId="4092" xr:uid="{0C6BC166-D4D8-4A2D-AA1A-CFCF8E3F1596}"/>
    <cellStyle name="Calculation 2 5 3 2 5" xfId="4832" xr:uid="{12377966-102B-4F5E-A6A6-63BC71A6BD22}"/>
    <cellStyle name="Calculation 2 5 3 2 5 2" xfId="7806" xr:uid="{B02DA58A-715D-41A5-8BA6-C1CA954B8C60}"/>
    <cellStyle name="Calculation 2 5 3 2 6" xfId="5597" xr:uid="{EB6245AD-3F0A-4A56-AD19-F6C4EB47A964}"/>
    <cellStyle name="Calculation 2 5 3 2 6 2" xfId="8571" xr:uid="{1E989C4E-CCA8-4E45-838D-5A1FCFBA21A8}"/>
    <cellStyle name="Calculation 2 5 3 2 7" xfId="3383" xr:uid="{8A40F6CA-9C30-4006-A156-F1428B444456}"/>
    <cellStyle name="Calculation 2 5 3 2 8" xfId="3089" xr:uid="{D31219E3-1C3C-48F1-8729-3C848F983057}"/>
    <cellStyle name="Calculation 2 5 3 2 9" xfId="2247" xr:uid="{512C5E0D-E9A8-4B7A-B357-B2095264069E}"/>
    <cellStyle name="Calculation 2 5 3 3" xfId="757" xr:uid="{F2C76EC5-9AC4-4713-8DC5-065A941F7459}"/>
    <cellStyle name="Calculation 2 5 3 3 2" xfId="1562" xr:uid="{39ACFD2C-CBE8-404A-B25E-8456ABCB90B3}"/>
    <cellStyle name="Calculation 2 5 3 3 2 2" xfId="7333" xr:uid="{152E8EF2-DBC8-4EC2-86A2-E2B33480393E}"/>
    <cellStyle name="Calculation 2 5 3 3 2 3" xfId="9999" xr:uid="{EF995923-30AA-4B83-B413-C3832F6F7E3F}"/>
    <cellStyle name="Calculation 2 5 3 3 2 4" xfId="4359" xr:uid="{C5355B4A-4781-464D-9DFB-CAAC3C022670}"/>
    <cellStyle name="Calculation 2 5 3 3 3" xfId="5099" xr:uid="{C12241A5-FEE9-4637-B135-6E6AAF0A36B4}"/>
    <cellStyle name="Calculation 2 5 3 3 3 2" xfId="8073" xr:uid="{966B229B-7440-473E-8B9F-7F8A9D9A36A3}"/>
    <cellStyle name="Calculation 2 5 3 3 4" xfId="5864" xr:uid="{32910A2A-AA46-4623-8054-78D44E7F1B5D}"/>
    <cellStyle name="Calculation 2 5 3 3 4 2" xfId="8838" xr:uid="{0A7338EB-43EC-4F4A-8A1F-9933F0C5181B}"/>
    <cellStyle name="Calculation 2 5 3 3 5" xfId="3592" xr:uid="{A0DCBF07-BF89-4CB8-B423-6058530CB82A}"/>
    <cellStyle name="Calculation 2 5 3 3 6" xfId="6537" xr:uid="{DDE65923-01D7-415A-B6BD-EEF9498ABADA}"/>
    <cellStyle name="Calculation 2 5 3 3 7" xfId="2514" xr:uid="{F93DB740-FC21-43F6-9E31-30B3B3EC1935}"/>
    <cellStyle name="Calculation 2 5 3 4" xfId="1122" xr:uid="{2F574A08-A6D2-4742-9355-E1D96D5C21B8}"/>
    <cellStyle name="Calculation 2 5 3 4 2" xfId="1927" xr:uid="{92B41114-0B80-4094-A773-4B02279A5A59}"/>
    <cellStyle name="Calculation 2 5 3 4 2 2" xfId="7698" xr:uid="{076492B9-D216-4CB5-9190-9AEB9E8D1BFB}"/>
    <cellStyle name="Calculation 2 5 3 4 2 3" xfId="10364" xr:uid="{68285F1B-84EE-41A7-9865-C90F2B65CD28}"/>
    <cellStyle name="Calculation 2 5 3 4 2 4" xfId="4724" xr:uid="{333FD3C0-30B3-452D-AE00-A3BC6FE85E25}"/>
    <cellStyle name="Calculation 2 5 3 4 3" xfId="5464" xr:uid="{87E5EBB1-D8B2-4956-869A-4CD4C54A81A3}"/>
    <cellStyle name="Calculation 2 5 3 4 3 2" xfId="8438" xr:uid="{1BC462A9-557C-4B18-AF8C-C4B512286B36}"/>
    <cellStyle name="Calculation 2 5 3 4 4" xfId="6229" xr:uid="{615C018F-4C4C-4F91-B698-09CE6BA59249}"/>
    <cellStyle name="Calculation 2 5 3 4 4 2" xfId="9203" xr:uid="{79245E45-6F15-4FD3-BF0B-CEAC3B024F10}"/>
    <cellStyle name="Calculation 2 5 3 4 5" xfId="3925" xr:uid="{CE34705F-DAC3-43DF-A192-DFA825302B5F}"/>
    <cellStyle name="Calculation 2 5 3 4 6" xfId="6902" xr:uid="{D9AADE82-B1A8-4CE4-8742-5280889A035C}"/>
    <cellStyle name="Calculation 2 5 3 4 7" xfId="2879" xr:uid="{3213996B-3C78-4EF0-BEA8-1F65531CF1B2}"/>
    <cellStyle name="Calculation 2 5 3 5" xfId="3196" xr:uid="{9FD8A240-81EC-42F0-851A-56B800CDB647}"/>
    <cellStyle name="Calculation 2 5 3 6" xfId="3412" xr:uid="{BB188093-E859-4DD6-A9B3-9EC8C02F4C33}"/>
    <cellStyle name="Calculation 2 5 3 7" xfId="2082" xr:uid="{F46A6589-ABFD-4F74-B1B4-CC7C6B6A7B6C}"/>
    <cellStyle name="Calculation 2 5 4" xfId="441" xr:uid="{0FCFA5C0-6688-412F-9D48-054760CA51A2}"/>
    <cellStyle name="Calculation 2 5 4 2" xfId="920" xr:uid="{CA613844-B96A-4C51-8A76-3D018883EE7C}"/>
    <cellStyle name="Calculation 2 5 4 2 2" xfId="1725" xr:uid="{9052DE48-5373-4D25-A3AA-3E0E3CCDE980}"/>
    <cellStyle name="Calculation 2 5 4 2 2 2" xfId="7496" xr:uid="{8C7614D9-244B-4902-8DD5-8D19727D006B}"/>
    <cellStyle name="Calculation 2 5 4 2 2 3" xfId="10162" xr:uid="{0E06ADE0-D2D2-4F03-AAB3-C3EAC31299CF}"/>
    <cellStyle name="Calculation 2 5 4 2 2 4" xfId="4522" xr:uid="{DB31A1A5-A3E8-4A14-A716-E0DD0618D2A8}"/>
    <cellStyle name="Calculation 2 5 4 2 3" xfId="5262" xr:uid="{5B065008-8097-4090-8ABD-F39517C2C758}"/>
    <cellStyle name="Calculation 2 5 4 2 3 2" xfId="8236" xr:uid="{A82A67A2-0411-4FFC-8BE3-9CE210FB8C40}"/>
    <cellStyle name="Calculation 2 5 4 2 4" xfId="6027" xr:uid="{3765B834-8BEC-44B3-A8E2-1C5445592FE9}"/>
    <cellStyle name="Calculation 2 5 4 2 4 2" xfId="9001" xr:uid="{919337E2-E4EA-4FCF-98D7-CB922C3E8259}"/>
    <cellStyle name="Calculation 2 5 4 2 5" xfId="3737" xr:uid="{203A5FFD-C2D4-4FD6-98A2-1556AC84EC83}"/>
    <cellStyle name="Calculation 2 5 4 2 6" xfId="6700" xr:uid="{4FFDA817-CE60-47FE-A2A9-3FEA58D9F4DE}"/>
    <cellStyle name="Calculation 2 5 4 2 7" xfId="2677" xr:uid="{A885EAC8-3588-4D92-BECE-AD70B6D04D7E}"/>
    <cellStyle name="Calculation 2 5 4 3" xfId="879" xr:uid="{F1C9788A-06FF-4C3F-AACE-EB6BCD0632E4}"/>
    <cellStyle name="Calculation 2 5 4 3 2" xfId="1684" xr:uid="{9BE79706-704B-4871-BD2D-C2479113707D}"/>
    <cellStyle name="Calculation 2 5 4 3 2 2" xfId="7455" xr:uid="{52A8BFC6-23A3-4780-94B4-13904D8E0E83}"/>
    <cellStyle name="Calculation 2 5 4 3 2 3" xfId="10121" xr:uid="{B462B88A-F5F9-41FD-9368-53A36176FE76}"/>
    <cellStyle name="Calculation 2 5 4 3 2 4" xfId="4481" xr:uid="{211DD6B3-858B-4A3D-94B6-A43621A1FE45}"/>
    <cellStyle name="Calculation 2 5 4 3 3" xfId="5221" xr:uid="{68F48797-F597-4A50-8DE3-8569B23F2AAC}"/>
    <cellStyle name="Calculation 2 5 4 3 3 2" xfId="8195" xr:uid="{06ACF470-F184-4304-ABDA-D0A862D54C98}"/>
    <cellStyle name="Calculation 2 5 4 3 4" xfId="5986" xr:uid="{C8677E01-076E-47EC-887C-6AC77742A12A}"/>
    <cellStyle name="Calculation 2 5 4 3 4 2" xfId="8960" xr:uid="{EE37B9C2-E189-450F-91CF-87048CA6794F}"/>
    <cellStyle name="Calculation 2 5 4 3 5" xfId="3700" xr:uid="{A70D4ADF-9278-4125-B175-CB70C9C1B487}"/>
    <cellStyle name="Calculation 2 5 4 3 6" xfId="6659" xr:uid="{C49088EB-FBDE-46A1-B04B-AC1147F562ED}"/>
    <cellStyle name="Calculation 2 5 4 3 7" xfId="2636" xr:uid="{EE0FEF96-FA6A-43EA-AFD2-AD5C7399336E}"/>
    <cellStyle name="Calculation 2 5 4 4" xfId="1247" xr:uid="{CE81DC6B-9BE2-4E8D-AC01-89ECBBD0349C}"/>
    <cellStyle name="Calculation 2 5 4 4 2" xfId="7018" xr:uid="{CFEB840A-5234-4BC1-B164-1AD0581AE74F}"/>
    <cellStyle name="Calculation 2 5 4 4 3" xfId="9684" xr:uid="{17BBDEC6-3E8E-4940-B13B-88B9B5770EFA}"/>
    <cellStyle name="Calculation 2 5 4 4 4" xfId="4044" xr:uid="{C8B7012F-9C8B-434C-9D31-B92A2DC53A6F}"/>
    <cellStyle name="Calculation 2 5 4 5" xfId="3286" xr:uid="{B19BBF36-F40F-4E63-A904-86C3868D2432}"/>
    <cellStyle name="Calculation 2 5 4 5 2" xfId="2998" xr:uid="{263225A2-1F1E-4CAE-A582-A861FE074800}"/>
    <cellStyle name="Calculation 2 5 4 6" xfId="5549" xr:uid="{FAE89580-A021-4BA2-A1C9-DE5B7E6CAFF8}"/>
    <cellStyle name="Calculation 2 5 4 6 2" xfId="8523" xr:uid="{7E93CD21-6E3F-4BF0-9A6E-CB1E4F036E3F}"/>
    <cellStyle name="Calculation 2 5 4 7" xfId="3349" xr:uid="{F8804445-FD22-4225-8C39-004FAC942C16}"/>
    <cellStyle name="Calculation 2 5 4 8" xfId="3075" xr:uid="{14488308-6693-456D-BF70-384E1CAFFF7F}"/>
    <cellStyle name="Calculation 2 5 4 9" xfId="2199" xr:uid="{F16A8645-687A-4E65-8F8B-306EADCF9FF1}"/>
    <cellStyle name="Calculation 2 5 5" xfId="709" xr:uid="{3C719A30-CF3A-4847-8635-890AEB5D33CF}"/>
    <cellStyle name="Calculation 2 5 5 2" xfId="1514" xr:uid="{9732892F-CF00-4880-A6CA-80C20830FC59}"/>
    <cellStyle name="Calculation 2 5 5 2 2" xfId="7285" xr:uid="{BBD6919F-BD47-46FE-9D64-1FC68440A396}"/>
    <cellStyle name="Calculation 2 5 5 2 3" xfId="9951" xr:uid="{D956107C-F9C9-4689-AC4C-C9371EF9ED46}"/>
    <cellStyle name="Calculation 2 5 5 2 4" xfId="4311" xr:uid="{9277FB68-4FBD-441E-AAFF-667F1F23BAF8}"/>
    <cellStyle name="Calculation 2 5 5 3" xfId="5051" xr:uid="{8A7B5E91-7CC2-43C4-BBFE-A0FE30F424B4}"/>
    <cellStyle name="Calculation 2 5 5 3 2" xfId="8025" xr:uid="{A132CADA-1916-47F5-95FD-9D4E66BC1987}"/>
    <cellStyle name="Calculation 2 5 5 4" xfId="5816" xr:uid="{98764596-63A5-45D4-B58E-3D3250C64A8F}"/>
    <cellStyle name="Calculation 2 5 5 4 2" xfId="8790" xr:uid="{F8D02BB9-8826-4562-9FC2-0E4D92E54AA2}"/>
    <cellStyle name="Calculation 2 5 5 5" xfId="3544" xr:uid="{C9D041F0-F95F-468E-A6B0-715B2B6F1FA2}"/>
    <cellStyle name="Calculation 2 5 5 6" xfId="6489" xr:uid="{10492D61-3377-47C7-83DC-08214C429DA3}"/>
    <cellStyle name="Calculation 2 5 5 7" xfId="2466" xr:uid="{E3DCDDC5-DF22-402C-BB48-38178D3F2D48}"/>
    <cellStyle name="Calculation 2 5 6" xfId="604" xr:uid="{EFCC721B-1C26-432A-85FD-BDF744324F44}"/>
    <cellStyle name="Calculation 2 5 6 2" xfId="1409" xr:uid="{58CCAEB7-1079-4D6F-BEA2-9C82B7B70962}"/>
    <cellStyle name="Calculation 2 5 6 2 2" xfId="7180" xr:uid="{C850F0C9-9359-4F04-949E-F926D19827DC}"/>
    <cellStyle name="Calculation 2 5 6 2 3" xfId="9846" xr:uid="{C792DD7B-E318-45AE-A78F-23CAF798E6EE}"/>
    <cellStyle name="Calculation 2 5 6 2 4" xfId="4206" xr:uid="{02D6E3CC-753B-4D8C-A954-0D11D83635E4}"/>
    <cellStyle name="Calculation 2 5 6 3" xfId="4946" xr:uid="{04CF9C79-D649-4E35-8424-06FD26310426}"/>
    <cellStyle name="Calculation 2 5 6 3 2" xfId="7920" xr:uid="{2D6B0911-84B6-47CF-A87E-FB732D214299}"/>
    <cellStyle name="Calculation 2 5 6 4" xfId="5711" xr:uid="{198191DC-FE6E-4DD8-9CE1-56A58AFB3F66}"/>
    <cellStyle name="Calculation 2 5 6 4 2" xfId="8685" xr:uid="{CF148C15-5D2E-403E-93A3-FDC30D9A386B}"/>
    <cellStyle name="Calculation 2 5 6 5" xfId="3462" xr:uid="{5970C9D0-CD91-4DBE-93F6-16F8DB752952}"/>
    <cellStyle name="Calculation 2 5 6 6" xfId="6384" xr:uid="{305DA3F2-D827-4D4F-BCBB-C13FFA3763F1}"/>
    <cellStyle name="Calculation 2 5 6 7" xfId="2361" xr:uid="{406236CE-43B5-4EE6-92FF-4E30C7B30B4A}"/>
    <cellStyle name="Calculation 2 5 7" xfId="3153" xr:uid="{E8B137EE-B4B8-4F29-BC88-B9642D2EDDFE}"/>
    <cellStyle name="Calculation 2 5 8" xfId="3463" xr:uid="{75819A85-0C45-4FD4-8024-D208C49F311B}"/>
    <cellStyle name="Calculation 2 5 9" xfId="2032" xr:uid="{FAA88C5C-AEF1-4660-88BC-A9F3B6509412}"/>
    <cellStyle name="Calculation 2 6" xfId="223" xr:uid="{DEBBFDBC-5001-44A3-BD22-0DF1156B02EF}"/>
    <cellStyle name="Calculation 2 6 2" xfId="327" xr:uid="{05718FFB-42A0-40E1-9977-1EE40541C330}"/>
    <cellStyle name="Calculation 2 6 2 2" xfId="549" xr:uid="{FD3E82B8-367D-457A-BADC-156313E22442}"/>
    <cellStyle name="Calculation 2 6 2 2 2" xfId="1028" xr:uid="{FD3BB776-44B5-456A-AC35-63D37B32D163}"/>
    <cellStyle name="Calculation 2 6 2 2 2 2" xfId="1833" xr:uid="{D6C284F1-E421-4D7D-B83F-2B23B6336665}"/>
    <cellStyle name="Calculation 2 6 2 2 2 2 2" xfId="7604" xr:uid="{D86A6624-ABA4-4EAF-BEDC-C0B1369C8163}"/>
    <cellStyle name="Calculation 2 6 2 2 2 2 3" xfId="10270" xr:uid="{ED7953A8-5F1B-49C7-A4ED-B713F7CE53C2}"/>
    <cellStyle name="Calculation 2 6 2 2 2 2 4" xfId="4630" xr:uid="{4046C8A3-8C27-48E2-A7E9-89A413653368}"/>
    <cellStyle name="Calculation 2 6 2 2 2 3" xfId="5370" xr:uid="{31A95D26-5FE1-4E35-BF54-47E3B56A5D9F}"/>
    <cellStyle name="Calculation 2 6 2 2 2 3 2" xfId="8344" xr:uid="{4C527532-DBFC-4B7D-A617-ED608413CAA2}"/>
    <cellStyle name="Calculation 2 6 2 2 2 4" xfId="6135" xr:uid="{4DA947C8-4DF1-4730-93ED-6148F029C50C}"/>
    <cellStyle name="Calculation 2 6 2 2 2 4 2" xfId="9109" xr:uid="{8CDBEC53-E9FC-4101-B80F-D6D992C6872F}"/>
    <cellStyle name="Calculation 2 6 2 2 2 5" xfId="3845" xr:uid="{DF201DF3-16A9-44F9-91C8-F7CF89ECDC19}"/>
    <cellStyle name="Calculation 2 6 2 2 2 6" xfId="6808" xr:uid="{31D05C33-2107-41A5-B50E-98358C4D7864}"/>
    <cellStyle name="Calculation 2 6 2 2 2 7" xfId="2785" xr:uid="{707F307A-58D6-43AE-80C4-6D0A5E287157}"/>
    <cellStyle name="Calculation 2 6 2 2 3" xfId="852" xr:uid="{E40DC14F-A33A-48F1-B9ED-F485E9196CC1}"/>
    <cellStyle name="Calculation 2 6 2 2 3 2" xfId="1657" xr:uid="{0EFA9BEA-1A25-4FE6-9D0C-0507BBCA0E88}"/>
    <cellStyle name="Calculation 2 6 2 2 3 2 2" xfId="7428" xr:uid="{CADE5A94-C753-4F36-B3E2-20DDAEAB1E22}"/>
    <cellStyle name="Calculation 2 6 2 2 3 2 3" xfId="10094" xr:uid="{82E89623-1ED9-483C-9ADA-9AB9E0EA4C73}"/>
    <cellStyle name="Calculation 2 6 2 2 3 2 4" xfId="4454" xr:uid="{3902A04B-C527-442E-A3C5-977FCD4CEDAA}"/>
    <cellStyle name="Calculation 2 6 2 2 3 3" xfId="5194" xr:uid="{0A5977F9-EC47-48BC-8B00-F5BD9E69DEDA}"/>
    <cellStyle name="Calculation 2 6 2 2 3 3 2" xfId="8168" xr:uid="{427838FE-95CE-490B-A589-D3AD0F8D989E}"/>
    <cellStyle name="Calculation 2 6 2 2 3 4" xfId="5959" xr:uid="{AB169ADD-AD5E-4AA9-862D-CDCB081F0CFD}"/>
    <cellStyle name="Calculation 2 6 2 2 3 4 2" xfId="8933" xr:uid="{703D31D0-3B16-4A9D-B54E-95F1D298CD80}"/>
    <cellStyle name="Calculation 2 6 2 2 3 5" xfId="3680" xr:uid="{83786FB5-506B-4D88-A714-01AE1772B231}"/>
    <cellStyle name="Calculation 2 6 2 2 3 6" xfId="6632" xr:uid="{EB284BE7-1E72-487B-8F86-F2CD6CEEA8A8}"/>
    <cellStyle name="Calculation 2 6 2 2 3 7" xfId="2609" xr:uid="{682DD9F0-7D15-46FC-91D4-A1DCE59F3394}"/>
    <cellStyle name="Calculation 2 6 2 2 4" xfId="1355" xr:uid="{DD626E71-0965-45DC-889D-E2DF007B9547}"/>
    <cellStyle name="Calculation 2 6 2 2 4 2" xfId="7126" xr:uid="{2B7F7D36-19EF-4A6C-BE7D-7842CAF8EB37}"/>
    <cellStyle name="Calculation 2 6 2 2 4 3" xfId="9792" xr:uid="{CCA32DF5-875C-4670-95FD-BAF199ADF84D}"/>
    <cellStyle name="Calculation 2 6 2 2 4 4" xfId="4152" xr:uid="{28A3D6FA-0FE0-431E-A470-BB9A8A5E5663}"/>
    <cellStyle name="Calculation 2 6 2 2 5" xfId="4892" xr:uid="{44859B51-1C15-4CE0-9062-77FBB8A1ED25}"/>
    <cellStyle name="Calculation 2 6 2 2 5 2" xfId="7866" xr:uid="{50C0E4FE-66BB-404E-A2E2-38E03565B5A0}"/>
    <cellStyle name="Calculation 2 6 2 2 6" xfId="5657" xr:uid="{2373E7A0-0838-4D43-88E8-151B68A738C1}"/>
    <cellStyle name="Calculation 2 6 2 2 6 2" xfId="8631" xr:uid="{71487BA4-1BF6-4893-8345-D19373489E25}"/>
    <cellStyle name="Calculation 2 6 2 2 7" xfId="3425" xr:uid="{560B084E-8C43-4E3B-8804-780DBBC4CF95}"/>
    <cellStyle name="Calculation 2 6 2 2 8" xfId="6330" xr:uid="{A1268591-F28E-4167-A080-CED887F038F0}"/>
    <cellStyle name="Calculation 2 6 2 2 9" xfId="2307" xr:uid="{3D90E6DB-8D60-4B74-B0DE-B962D48DE5BD}"/>
    <cellStyle name="Calculation 2 6 2 3" xfId="818" xr:uid="{5FF88F27-F62B-4EB5-BCC7-A52A2489DD9F}"/>
    <cellStyle name="Calculation 2 6 2 3 2" xfId="1623" xr:uid="{D7C1DE0D-960E-44E5-870F-3110019E861D}"/>
    <cellStyle name="Calculation 2 6 2 3 2 2" xfId="7394" xr:uid="{E8E3A8E8-DDBD-414C-AC93-CC999036598A}"/>
    <cellStyle name="Calculation 2 6 2 3 2 3" xfId="10060" xr:uid="{C11E9F96-53F1-47AF-95BC-5BD2C28CB72B}"/>
    <cellStyle name="Calculation 2 6 2 3 2 4" xfId="4420" xr:uid="{F99838B8-D1F4-4152-A2D5-E53297D2CD61}"/>
    <cellStyle name="Calculation 2 6 2 3 3" xfId="5160" xr:uid="{82A503DE-63D0-45BF-BD99-682CE7A399AC}"/>
    <cellStyle name="Calculation 2 6 2 3 3 2" xfId="8134" xr:uid="{10D4D516-D0FB-40A0-840B-413B606DA91B}"/>
    <cellStyle name="Calculation 2 6 2 3 4" xfId="5925" xr:uid="{E69EFBCA-E29D-46CE-BBA4-037958AEB2C6}"/>
    <cellStyle name="Calculation 2 6 2 3 4 2" xfId="8899" xr:uid="{0A2E305E-F692-41FC-85DF-FA3B81248D94}"/>
    <cellStyle name="Calculation 2 6 2 3 5" xfId="3652" xr:uid="{5D80EE5B-00FA-427E-A312-4A03825F1F1A}"/>
    <cellStyle name="Calculation 2 6 2 3 6" xfId="6598" xr:uid="{6D6F4F37-64CC-4008-8B25-A2DF307B1C35}"/>
    <cellStyle name="Calculation 2 6 2 3 7" xfId="2575" xr:uid="{583D7EBA-E15D-4E31-9039-6D1FAB2EAE41}"/>
    <cellStyle name="Calculation 2 6 2 4" xfId="1091" xr:uid="{B41FE40D-D5AA-4B49-8A4E-C7972591BDD2}"/>
    <cellStyle name="Calculation 2 6 2 4 2" xfId="1896" xr:uid="{795E18D1-23D5-4E38-9ED8-B5C6D01F7307}"/>
    <cellStyle name="Calculation 2 6 2 4 2 2" xfId="7667" xr:uid="{25EDA48F-870E-44E1-A9D0-8A2882AFF34B}"/>
    <cellStyle name="Calculation 2 6 2 4 2 3" xfId="10333" xr:uid="{E2299DD7-CBC1-44D0-92F4-CCB69444E32F}"/>
    <cellStyle name="Calculation 2 6 2 4 2 4" xfId="4693" xr:uid="{3BA88F91-B3DC-4C7C-ABAB-E61CA62C8F73}"/>
    <cellStyle name="Calculation 2 6 2 4 3" xfId="5433" xr:uid="{C9B27BE0-E817-4969-B47E-CD59B0398922}"/>
    <cellStyle name="Calculation 2 6 2 4 3 2" xfId="8407" xr:uid="{E41B36AF-F337-48EB-8542-9E0BF81A68B9}"/>
    <cellStyle name="Calculation 2 6 2 4 4" xfId="6198" xr:uid="{6FD0C72E-9E86-4723-982C-743F8B8DDE67}"/>
    <cellStyle name="Calculation 2 6 2 4 4 2" xfId="9172" xr:uid="{F31E68F4-13B0-43C3-8DC2-2E5DAA77A354}"/>
    <cellStyle name="Calculation 2 6 2 4 5" xfId="3903" xr:uid="{5E7E636A-09C3-4C41-BEF9-E91B3AAD69DA}"/>
    <cellStyle name="Calculation 2 6 2 4 6" xfId="6871" xr:uid="{8A3F55D7-20EB-4898-B88C-F6B274A9E8ED}"/>
    <cellStyle name="Calculation 2 6 2 4 7" xfId="2848" xr:uid="{92BF84C2-86CE-449F-AFA8-E84E3D8590E0}"/>
    <cellStyle name="Calculation 2 6 2 5" xfId="3244" xr:uid="{6884316C-24E8-4347-98D4-28951108547D}"/>
    <cellStyle name="Calculation 2 6 2 6" xfId="3099" xr:uid="{3D6F186D-B4B8-4952-8370-3374F2E52FA5}"/>
    <cellStyle name="Calculation 2 6 2 7" xfId="2145" xr:uid="{FC2276E3-D655-4664-98F5-6E53FD13D8F4}"/>
    <cellStyle name="Calculation 2 6 3" xfId="271" xr:uid="{191587EB-A6F9-4239-85CB-32BA4B77702D}"/>
    <cellStyle name="Calculation 2 6 3 2" xfId="495" xr:uid="{799A6AB5-85F7-4E58-ACDE-8405F469FE67}"/>
    <cellStyle name="Calculation 2 6 3 2 2" xfId="974" xr:uid="{2B8724FA-3E1A-48D3-ACBB-8BE5F8EB1FD1}"/>
    <cellStyle name="Calculation 2 6 3 2 2 2" xfId="1779" xr:uid="{B3CF079F-5BAA-4CC7-AD12-B8F2F0D3910E}"/>
    <cellStyle name="Calculation 2 6 3 2 2 2 2" xfId="7550" xr:uid="{A2B76F77-C330-40D3-AF62-76FDBEE0E8BB}"/>
    <cellStyle name="Calculation 2 6 3 2 2 2 3" xfId="10216" xr:uid="{92007FB0-A9E9-491E-8134-6334EAD65268}"/>
    <cellStyle name="Calculation 2 6 3 2 2 2 4" xfId="4576" xr:uid="{1785CF98-C879-495D-9D8A-DAD1D6AF3323}"/>
    <cellStyle name="Calculation 2 6 3 2 2 3" xfId="5316" xr:uid="{B1D408F5-1983-4632-9027-9F9EC1C1BDF0}"/>
    <cellStyle name="Calculation 2 6 3 2 2 3 2" xfId="8290" xr:uid="{C60157F5-32EF-4EFF-B4D6-0F95A65FDB3E}"/>
    <cellStyle name="Calculation 2 6 3 2 2 4" xfId="6081" xr:uid="{0C215CA2-6459-41A2-85E0-9F3DC078CB91}"/>
    <cellStyle name="Calculation 2 6 3 2 2 4 2" xfId="9055" xr:uid="{D6FAA225-9FA3-48B2-B21F-9BD6A8B64D23}"/>
    <cellStyle name="Calculation 2 6 3 2 2 5" xfId="3791" xr:uid="{A9336465-8B8A-43D9-856F-C1FD67F0BC58}"/>
    <cellStyle name="Calculation 2 6 3 2 2 6" xfId="6754" xr:uid="{A9599CE6-7BFC-4AF3-9C9B-364CCBB21D3B}"/>
    <cellStyle name="Calculation 2 6 3 2 2 7" xfId="2731" xr:uid="{FB37C69D-7959-40FC-B05D-EC8BF9F4324D}"/>
    <cellStyle name="Calculation 2 6 3 2 3" xfId="1052" xr:uid="{008137E9-8929-4533-8A7E-EFA406C71193}"/>
    <cellStyle name="Calculation 2 6 3 2 3 2" xfId="1857" xr:uid="{3EEDE0FA-2E1E-4D33-AEF6-09826D8296F4}"/>
    <cellStyle name="Calculation 2 6 3 2 3 2 2" xfId="7628" xr:uid="{F0A5118F-97AE-48A8-A032-1C5871CE20C4}"/>
    <cellStyle name="Calculation 2 6 3 2 3 2 3" xfId="10294" xr:uid="{2B59ACA3-4E80-4FA4-9AB1-FC4AC939AAB4}"/>
    <cellStyle name="Calculation 2 6 3 2 3 2 4" xfId="4654" xr:uid="{5224CBB8-7948-4F4F-A4F3-A59016398296}"/>
    <cellStyle name="Calculation 2 6 3 2 3 3" xfId="5394" xr:uid="{613EF97C-FF50-4AF0-89AD-158C33369348}"/>
    <cellStyle name="Calculation 2 6 3 2 3 3 2" xfId="8368" xr:uid="{69B3901D-CC24-4328-BCAA-2A8A688CFD88}"/>
    <cellStyle name="Calculation 2 6 3 2 3 4" xfId="6159" xr:uid="{9118931A-6CAF-4D62-A8E2-573181B5F933}"/>
    <cellStyle name="Calculation 2 6 3 2 3 4 2" xfId="9133" xr:uid="{04186295-AA78-4176-A000-1089FF46217F}"/>
    <cellStyle name="Calculation 2 6 3 2 3 5" xfId="3869" xr:uid="{DF90A75D-049D-4A1A-852A-F9B888AEDCAF}"/>
    <cellStyle name="Calculation 2 6 3 2 3 6" xfId="6832" xr:uid="{48DBA863-24EF-4B97-8468-2595E3412DAC}"/>
    <cellStyle name="Calculation 2 6 3 2 3 7" xfId="2809" xr:uid="{8ABD8194-2EBF-44E3-B2FB-A777FDEC4B22}"/>
    <cellStyle name="Calculation 2 6 3 2 4" xfId="1301" xr:uid="{14F42861-A64F-4C4A-9A07-6DC84A17BEEE}"/>
    <cellStyle name="Calculation 2 6 3 2 4 2" xfId="7072" xr:uid="{738503F9-A4F8-4324-A169-7EBD552962C9}"/>
    <cellStyle name="Calculation 2 6 3 2 4 3" xfId="9738" xr:uid="{E7B45287-F8E2-4F06-A892-176E3411256B}"/>
    <cellStyle name="Calculation 2 6 3 2 4 4" xfId="4098" xr:uid="{1DFB5890-525C-42A7-A2C4-D30E788CE3B1}"/>
    <cellStyle name="Calculation 2 6 3 2 5" xfId="4838" xr:uid="{F9D9E455-B55E-48A0-9A7B-9A70B714E508}"/>
    <cellStyle name="Calculation 2 6 3 2 5 2" xfId="7812" xr:uid="{96511A45-BF45-4030-A62B-DBF07C90E4F7}"/>
    <cellStyle name="Calculation 2 6 3 2 6" xfId="5603" xr:uid="{2F6F64EC-933A-45A6-A35D-5E7DCFD5A485}"/>
    <cellStyle name="Calculation 2 6 3 2 6 2" xfId="8577" xr:uid="{D2FB74FD-E9C7-408A-AC08-0B5B845499AF}"/>
    <cellStyle name="Calculation 2 6 3 2 7" xfId="3387" xr:uid="{262DB6F7-282F-44C0-93FB-4553FAB2B3E4}"/>
    <cellStyle name="Calculation 2 6 3 2 8" xfId="3086" xr:uid="{5477D969-8AFB-42DD-9E38-9F615E04E067}"/>
    <cellStyle name="Calculation 2 6 3 2 9" xfId="2253" xr:uid="{B9899B5C-93F9-48B3-A5F5-78CB2A5A8953}"/>
    <cellStyle name="Calculation 2 6 3 3" xfId="763" xr:uid="{BBDE6A6C-AA10-457D-9A11-579A62E45630}"/>
    <cellStyle name="Calculation 2 6 3 3 2" xfId="1568" xr:uid="{64080270-92EC-402E-9768-06E766C4F8B1}"/>
    <cellStyle name="Calculation 2 6 3 3 2 2" xfId="7339" xr:uid="{63B8E5E4-E77D-4587-ABC1-382FBAF55ACC}"/>
    <cellStyle name="Calculation 2 6 3 3 2 3" xfId="10005" xr:uid="{19359682-7BA8-4A2C-A671-A049AC8883A0}"/>
    <cellStyle name="Calculation 2 6 3 3 2 4" xfId="4365" xr:uid="{B580F061-4D89-486B-B040-E264F5C84A59}"/>
    <cellStyle name="Calculation 2 6 3 3 3" xfId="5105" xr:uid="{A8256EA0-BF08-45BE-B664-E3291A184BE7}"/>
    <cellStyle name="Calculation 2 6 3 3 3 2" xfId="8079" xr:uid="{7B55062B-0926-4C96-9B96-10B8D33A59D4}"/>
    <cellStyle name="Calculation 2 6 3 3 4" xfId="5870" xr:uid="{FF4623B6-4920-4497-87B8-9F1F00AFF6B3}"/>
    <cellStyle name="Calculation 2 6 3 3 4 2" xfId="8844" xr:uid="{79F7ADCD-ADBA-45D1-9594-CE32AF11FCFB}"/>
    <cellStyle name="Calculation 2 6 3 3 5" xfId="3598" xr:uid="{C99B8950-9693-4668-9A2A-4ECBC7E6C245}"/>
    <cellStyle name="Calculation 2 6 3 3 6" xfId="6543" xr:uid="{C9F26A42-BEB0-4554-A374-B3B7506A03A5}"/>
    <cellStyle name="Calculation 2 6 3 3 7" xfId="2520" xr:uid="{7F88BDC1-0224-4D7A-8419-FA370B095957}"/>
    <cellStyle name="Calculation 2 6 3 4" xfId="1118" xr:uid="{F5997C16-5778-4019-B592-63C66F6C08CF}"/>
    <cellStyle name="Calculation 2 6 3 4 2" xfId="1923" xr:uid="{5EAA8328-8809-48FD-B16A-19C1B7839439}"/>
    <cellStyle name="Calculation 2 6 3 4 2 2" xfId="7694" xr:uid="{F7D469B4-C91A-4BE2-8F6A-6BD0FF869FAB}"/>
    <cellStyle name="Calculation 2 6 3 4 2 3" xfId="10360" xr:uid="{318DC276-A173-495F-9C43-BEBF919AF7A4}"/>
    <cellStyle name="Calculation 2 6 3 4 2 4" xfId="4720" xr:uid="{00938C74-548B-43C6-ABD4-92E232C0E387}"/>
    <cellStyle name="Calculation 2 6 3 4 3" xfId="5460" xr:uid="{99A09508-03DF-4226-B090-8D1000323860}"/>
    <cellStyle name="Calculation 2 6 3 4 3 2" xfId="8434" xr:uid="{EA725A75-616E-401B-9031-9F27275C9AA9}"/>
    <cellStyle name="Calculation 2 6 3 4 4" xfId="6225" xr:uid="{441D21A7-1CC0-4C57-AAF7-85D4BF336D71}"/>
    <cellStyle name="Calculation 2 6 3 4 4 2" xfId="9199" xr:uid="{B3B8FB1D-9E14-42F7-80D8-1A9A591DB158}"/>
    <cellStyle name="Calculation 2 6 3 4 5" xfId="3921" xr:uid="{AEDE0D14-93C2-4692-A27E-47ED2525DFBA}"/>
    <cellStyle name="Calculation 2 6 3 4 6" xfId="6898" xr:uid="{1234045C-42F8-45D8-9B02-1C0AA083B054}"/>
    <cellStyle name="Calculation 2 6 3 4 7" xfId="2875" xr:uid="{7A947E52-FA9A-49B1-BF04-9E47DBACB779}"/>
    <cellStyle name="Calculation 2 6 3 5" xfId="3200" xr:uid="{45C8BB81-ADE9-4C10-84A2-FF15A04B7ED8}"/>
    <cellStyle name="Calculation 2 6 3 6" xfId="3526" xr:uid="{B23706CA-9739-4521-A9CE-FC1053EFDB89}"/>
    <cellStyle name="Calculation 2 6 3 7" xfId="2088" xr:uid="{E0A7BC31-72EB-48CE-8F82-CFD0CA4D8803}"/>
    <cellStyle name="Calculation 2 6 4" xfId="447" xr:uid="{F56488F6-8143-426B-9055-9D1C85F27332}"/>
    <cellStyle name="Calculation 2 6 4 2" xfId="926" xr:uid="{8D3F7C90-135B-4E7E-93DD-A3D055B477A0}"/>
    <cellStyle name="Calculation 2 6 4 2 2" xfId="1731" xr:uid="{ED2A21C7-A22C-4075-9FB9-C670101DCFB5}"/>
    <cellStyle name="Calculation 2 6 4 2 2 2" xfId="7502" xr:uid="{CD9706AE-66EF-4A7A-BF4D-AD4E5B5AA6FE}"/>
    <cellStyle name="Calculation 2 6 4 2 2 3" xfId="10168" xr:uid="{CCEB9E17-15C6-4C0C-A3DA-54BF72C8285C}"/>
    <cellStyle name="Calculation 2 6 4 2 2 4" xfId="4528" xr:uid="{5E497989-D550-4A37-9810-A154B3096202}"/>
    <cellStyle name="Calculation 2 6 4 2 3" xfId="5268" xr:uid="{D9A7F844-2CB5-45A0-8267-2B772B3632EB}"/>
    <cellStyle name="Calculation 2 6 4 2 3 2" xfId="8242" xr:uid="{5CB24C43-BE35-4879-917A-083779BEBAC3}"/>
    <cellStyle name="Calculation 2 6 4 2 4" xfId="6033" xr:uid="{82B30B42-ADE6-437B-8410-0950FB40A830}"/>
    <cellStyle name="Calculation 2 6 4 2 4 2" xfId="9007" xr:uid="{73399DAA-E277-4FAD-9BC0-D118E81782D8}"/>
    <cellStyle name="Calculation 2 6 4 2 5" xfId="3743" xr:uid="{9A793F16-72B7-44ED-8E45-F3846D0080E5}"/>
    <cellStyle name="Calculation 2 6 4 2 6" xfId="6706" xr:uid="{E409EBBD-8678-45AA-94D1-0CBBF01A222B}"/>
    <cellStyle name="Calculation 2 6 4 2 7" xfId="2683" xr:uid="{D56ABC9C-903D-43B2-89D4-7C4B45D000F3}"/>
    <cellStyle name="Calculation 2 6 4 3" xfId="677" xr:uid="{E2FD8C35-9775-4D44-83AF-D45AD3C33703}"/>
    <cellStyle name="Calculation 2 6 4 3 2" xfId="1482" xr:uid="{2F5C7481-9294-4A6F-B4E0-B609F35301D0}"/>
    <cellStyle name="Calculation 2 6 4 3 2 2" xfId="7253" xr:uid="{F35EE084-4AFA-492E-BB00-B7DE78ECFD4E}"/>
    <cellStyle name="Calculation 2 6 4 3 2 3" xfId="9919" xr:uid="{6E3DE26E-400F-4E31-9747-47266B69D60C}"/>
    <cellStyle name="Calculation 2 6 4 3 2 4" xfId="4279" xr:uid="{512A2949-CD84-441E-BD60-178D1EC3D862}"/>
    <cellStyle name="Calculation 2 6 4 3 3" xfId="5019" xr:uid="{1D6F8809-B65F-4735-8938-1FB698ABBF0C}"/>
    <cellStyle name="Calculation 2 6 4 3 3 2" xfId="7993" xr:uid="{BD5C2732-2278-4F2F-B365-754BC11A9ADA}"/>
    <cellStyle name="Calculation 2 6 4 3 4" xfId="5784" xr:uid="{7014D69B-ED33-47D3-81A9-F4C5706A62B2}"/>
    <cellStyle name="Calculation 2 6 4 3 4 2" xfId="8758" xr:uid="{EA7653EF-5AF9-4E10-8CBF-4968F88F11C7}"/>
    <cellStyle name="Calculation 2 6 4 3 5" xfId="3513" xr:uid="{25219A68-5EB0-412F-9D45-DDFD3CC93F26}"/>
    <cellStyle name="Calculation 2 6 4 3 6" xfId="6457" xr:uid="{C85CEECE-7490-4524-AEC9-D18509BE3C32}"/>
    <cellStyle name="Calculation 2 6 4 3 7" xfId="2434" xr:uid="{7915E8DB-A258-46E7-99B9-E9030DC7E4AF}"/>
    <cellStyle name="Calculation 2 6 4 4" xfId="1253" xr:uid="{B12FE30C-6F67-4AEB-B4C0-0934B8FF8636}"/>
    <cellStyle name="Calculation 2 6 4 4 2" xfId="7024" xr:uid="{0CD7B636-3A99-4B49-88FC-645B0273FE55}"/>
    <cellStyle name="Calculation 2 6 4 4 3" xfId="9690" xr:uid="{60E073BD-40A2-446A-BEB7-38C28137E12F}"/>
    <cellStyle name="Calculation 2 6 4 4 4" xfId="4050" xr:uid="{45815BAB-0656-473B-933C-452DA70D8635}"/>
    <cellStyle name="Calculation 2 6 4 5" xfId="3257" xr:uid="{E3BB9F78-68E4-4BC5-9E5C-A6ABF24DB5B0}"/>
    <cellStyle name="Calculation 2 6 4 5 2" xfId="3008" xr:uid="{AA4C2ABA-C1E5-4DE2-A616-1DC7500BEF7C}"/>
    <cellStyle name="Calculation 2 6 4 6" xfId="5555" xr:uid="{79D1F9F6-AEBA-4D1D-82F8-B2F3444506C3}"/>
    <cellStyle name="Calculation 2 6 4 6 2" xfId="8529" xr:uid="{BA489E90-CFF3-46A5-8C2E-7B13C067F2F0}"/>
    <cellStyle name="Calculation 2 6 4 7" xfId="3354" xr:uid="{0C3CF2BE-6019-49BC-97AA-FE71475025BD}"/>
    <cellStyle name="Calculation 2 6 4 8" xfId="3302" xr:uid="{F13B1E0F-DDBC-47B8-820B-A9CA2AC64518}"/>
    <cellStyle name="Calculation 2 6 4 9" xfId="2205" xr:uid="{C1DDBC4B-68A7-459D-B4E1-45F816BB2344}"/>
    <cellStyle name="Calculation 2 6 5" xfId="715" xr:uid="{341D3B2D-3142-4580-B590-E9747915C097}"/>
    <cellStyle name="Calculation 2 6 5 2" xfId="1520" xr:uid="{4291FF85-E925-438E-BF60-4559F28BFCAF}"/>
    <cellStyle name="Calculation 2 6 5 2 2" xfId="7291" xr:uid="{9EEE4DC5-04AB-4B80-A8DA-AF2A4CB47417}"/>
    <cellStyle name="Calculation 2 6 5 2 3" xfId="9957" xr:uid="{A5A5EF9F-B80F-4DD4-B352-5A58E5014008}"/>
    <cellStyle name="Calculation 2 6 5 2 4" xfId="4317" xr:uid="{5C2AF953-E055-465B-8490-74615FDFE97E}"/>
    <cellStyle name="Calculation 2 6 5 3" xfId="5057" xr:uid="{6CE276EF-985F-4454-9576-46FA0B88FBFD}"/>
    <cellStyle name="Calculation 2 6 5 3 2" xfId="8031" xr:uid="{A260D9E4-EA87-4A4A-9BD9-D4520483EF2B}"/>
    <cellStyle name="Calculation 2 6 5 4" xfId="5822" xr:uid="{38BC3370-F310-4FAF-BC9F-3403199F4282}"/>
    <cellStyle name="Calculation 2 6 5 4 2" xfId="8796" xr:uid="{9D5F9EBE-A357-4E0D-96CA-7329149415D0}"/>
    <cellStyle name="Calculation 2 6 5 5" xfId="3550" xr:uid="{C7594AB4-896C-4D93-9202-6068C3C1BDD7}"/>
    <cellStyle name="Calculation 2 6 5 6" xfId="6495" xr:uid="{CA8C0018-E0FE-41FC-8AAB-3A4A9425C68E}"/>
    <cellStyle name="Calculation 2 6 5 7" xfId="2472" xr:uid="{EE583CE2-A9E9-466A-ACD9-66BFBACA8D9C}"/>
    <cellStyle name="Calculation 2 6 6" xfId="673" xr:uid="{D8CA08DE-B7CB-414B-B2A1-9B5E87B6B7F6}"/>
    <cellStyle name="Calculation 2 6 6 2" xfId="1478" xr:uid="{27B83925-32EF-4368-A27C-C54335B1C247}"/>
    <cellStyle name="Calculation 2 6 6 2 2" xfId="7249" xr:uid="{12E5CBC9-FF56-4BA2-B075-ACAA46B73A3D}"/>
    <cellStyle name="Calculation 2 6 6 2 3" xfId="9915" xr:uid="{830DF721-A0DE-4E64-8A2F-51D630E98746}"/>
    <cellStyle name="Calculation 2 6 6 2 4" xfId="4275" xr:uid="{78BED304-159D-4573-9DE7-4ED0562CB854}"/>
    <cellStyle name="Calculation 2 6 6 3" xfId="5015" xr:uid="{853A4FFB-00B6-44D3-AF98-DAAF4072F020}"/>
    <cellStyle name="Calculation 2 6 6 3 2" xfId="7989" xr:uid="{1B4A6147-094D-46A1-87CB-CE5969CC75CB}"/>
    <cellStyle name="Calculation 2 6 6 4" xfId="5780" xr:uid="{1A6BD111-1B72-42EF-894F-490BF24FC706}"/>
    <cellStyle name="Calculation 2 6 6 4 2" xfId="8754" xr:uid="{82941F05-C45B-4625-85A6-9AA7FC23DCF8}"/>
    <cellStyle name="Calculation 2 6 6 5" xfId="3509" xr:uid="{35A0B081-953B-4082-AFD3-AA2142389599}"/>
    <cellStyle name="Calculation 2 6 6 6" xfId="6453" xr:uid="{B2D2233B-A9E1-457C-85E9-C3EC2F76A0E3}"/>
    <cellStyle name="Calculation 2 6 6 7" xfId="2430" xr:uid="{69CFA6DB-7496-4B89-B914-67663A9D15BD}"/>
    <cellStyle name="Calculation 2 6 7" xfId="3157" xr:uid="{D95C248B-B546-4B15-93A9-A5E8F354052F}"/>
    <cellStyle name="Calculation 2 6 8" xfId="3203" xr:uid="{3E98C033-AA94-4938-B91B-932E864B587C}"/>
    <cellStyle name="Calculation 2 6 9" xfId="2038" xr:uid="{06AA4CDD-7F8B-4E20-AC38-31F9DDA0D8B5}"/>
    <cellStyle name="Calculation 2 7" xfId="229" xr:uid="{292DE667-54CD-4DEF-8595-B51B53DA60D7}"/>
    <cellStyle name="Calculation 2 7 2" xfId="333" xr:uid="{E9846099-1A86-45D5-9B87-98910682C44A}"/>
    <cellStyle name="Calculation 2 7 2 2" xfId="555" xr:uid="{D218ABBD-8F30-4070-9F09-031F8421930F}"/>
    <cellStyle name="Calculation 2 7 2 2 2" xfId="1034" xr:uid="{02618AEC-7863-4123-B235-11A13AF6496C}"/>
    <cellStyle name="Calculation 2 7 2 2 2 2" xfId="1839" xr:uid="{E59AE532-62A7-46A9-B1E2-0D9AB8FA5D9A}"/>
    <cellStyle name="Calculation 2 7 2 2 2 2 2" xfId="7610" xr:uid="{A35CA19A-8582-41CF-8470-44367EB4BF5F}"/>
    <cellStyle name="Calculation 2 7 2 2 2 2 3" xfId="10276" xr:uid="{75BFF943-C649-4208-BC08-CF5D569ACD9A}"/>
    <cellStyle name="Calculation 2 7 2 2 2 2 4" xfId="4636" xr:uid="{17303905-AC92-4319-B4F5-97461C2FBB15}"/>
    <cellStyle name="Calculation 2 7 2 2 2 3" xfId="5376" xr:uid="{DDF390F1-92D3-436B-9064-ACEE267CB27E}"/>
    <cellStyle name="Calculation 2 7 2 2 2 3 2" xfId="8350" xr:uid="{555DFC26-3E24-4F67-B469-7D4C54631AC9}"/>
    <cellStyle name="Calculation 2 7 2 2 2 4" xfId="6141" xr:uid="{36855820-BD10-443F-889F-55DA4BDF2D27}"/>
    <cellStyle name="Calculation 2 7 2 2 2 4 2" xfId="9115" xr:uid="{4838DA16-0EC0-4313-B6F1-0B5F884F8048}"/>
    <cellStyle name="Calculation 2 7 2 2 2 5" xfId="3851" xr:uid="{C5C98E31-A0FD-4D4E-9C9A-55F265CF7C9A}"/>
    <cellStyle name="Calculation 2 7 2 2 2 6" xfId="6814" xr:uid="{8481AE73-EBC9-4B13-BD98-B2BC9DF4D3CE}"/>
    <cellStyle name="Calculation 2 7 2 2 2 7" xfId="2791" xr:uid="{F60A1082-946C-4C8F-9003-63AF72089DF4}"/>
    <cellStyle name="Calculation 2 7 2 2 3" xfId="858" xr:uid="{A19E057D-19DD-4D0B-86E1-A7D756163FA7}"/>
    <cellStyle name="Calculation 2 7 2 2 3 2" xfId="1663" xr:uid="{BB70E591-A466-4E03-972C-D9F1E03AAD77}"/>
    <cellStyle name="Calculation 2 7 2 2 3 2 2" xfId="7434" xr:uid="{10ADDAF1-38DA-4F4F-BBD6-CCB6EDBEF238}"/>
    <cellStyle name="Calculation 2 7 2 2 3 2 3" xfId="10100" xr:uid="{CF7EBE23-B781-4FF0-AD2E-30C5D1A32956}"/>
    <cellStyle name="Calculation 2 7 2 2 3 2 4" xfId="4460" xr:uid="{98150A23-2BE3-451E-8D1D-45A600AE2D32}"/>
    <cellStyle name="Calculation 2 7 2 2 3 3" xfId="5200" xr:uid="{ACDE62F7-582B-4F10-BE62-94D37455859A}"/>
    <cellStyle name="Calculation 2 7 2 2 3 3 2" xfId="8174" xr:uid="{F9E29EE1-FD28-42C1-A0B4-2FB706A98ED9}"/>
    <cellStyle name="Calculation 2 7 2 2 3 4" xfId="5965" xr:uid="{8A090E1A-FB60-412F-8A66-6D3D507FF3CB}"/>
    <cellStyle name="Calculation 2 7 2 2 3 4 2" xfId="8939" xr:uid="{878E1708-4C12-4D37-9C46-75246E44F6B0}"/>
    <cellStyle name="Calculation 2 7 2 2 3 5" xfId="3685" xr:uid="{F05DDE8D-691B-4987-B115-1CCBDCA52DEF}"/>
    <cellStyle name="Calculation 2 7 2 2 3 6" xfId="6638" xr:uid="{33569085-D3AF-46BA-83E2-34AD4E3FD678}"/>
    <cellStyle name="Calculation 2 7 2 2 3 7" xfId="2615" xr:uid="{E00E32CB-45A2-429C-9CA2-16F858D1D1FC}"/>
    <cellStyle name="Calculation 2 7 2 2 4" xfId="1361" xr:uid="{3B816854-6A21-4AF8-A06F-00AE521CB6E3}"/>
    <cellStyle name="Calculation 2 7 2 2 4 2" xfId="7132" xr:uid="{02AA95AC-0B19-48EA-81E2-E3886C86815F}"/>
    <cellStyle name="Calculation 2 7 2 2 4 3" xfId="9798" xr:uid="{AC3F0E40-EA26-4C89-B869-3D0E1CCCEF98}"/>
    <cellStyle name="Calculation 2 7 2 2 4 4" xfId="4158" xr:uid="{26C63338-0A07-41CE-A955-5910A2A7E5B5}"/>
    <cellStyle name="Calculation 2 7 2 2 5" xfId="4898" xr:uid="{EF341734-93BC-4CC0-9FA7-D84B6FB3C718}"/>
    <cellStyle name="Calculation 2 7 2 2 5 2" xfId="7872" xr:uid="{D72C64D3-5A22-4570-A962-A00A8D3EC568}"/>
    <cellStyle name="Calculation 2 7 2 2 6" xfId="5663" xr:uid="{B12D282F-8B84-486C-B4A1-4758FA3B9E38}"/>
    <cellStyle name="Calculation 2 7 2 2 6 2" xfId="8637" xr:uid="{CC84847F-6A48-498C-BE6F-1F0642C8712E}"/>
    <cellStyle name="Calculation 2 7 2 2 7" xfId="3429" xr:uid="{FC9205A9-A084-46CA-887B-589421ACC8AE}"/>
    <cellStyle name="Calculation 2 7 2 2 8" xfId="6336" xr:uid="{5C97F406-F5DC-4F9B-88B8-ED0B738CB0B4}"/>
    <cellStyle name="Calculation 2 7 2 2 9" xfId="2313" xr:uid="{4E780FAF-EFE1-4729-A9E1-5261E35CF720}"/>
    <cellStyle name="Calculation 2 7 2 3" xfId="824" xr:uid="{9FEF47F8-8A60-49C1-873E-B9E71E374180}"/>
    <cellStyle name="Calculation 2 7 2 3 2" xfId="1629" xr:uid="{D0B49AF2-222D-485A-8B82-08C2EFE3D9BE}"/>
    <cellStyle name="Calculation 2 7 2 3 2 2" xfId="7400" xr:uid="{7A271EC0-2D4A-43D1-92E0-9D3BC60741D7}"/>
    <cellStyle name="Calculation 2 7 2 3 2 3" xfId="10066" xr:uid="{F11EDC79-A9B4-4E79-B916-DC16A11DBDB0}"/>
    <cellStyle name="Calculation 2 7 2 3 2 4" xfId="4426" xr:uid="{DA95C5AA-C04B-4468-A629-252FE37B084A}"/>
    <cellStyle name="Calculation 2 7 2 3 3" xfId="5166" xr:uid="{9E1A0209-B623-44CD-B3C8-D411E212814F}"/>
    <cellStyle name="Calculation 2 7 2 3 3 2" xfId="8140" xr:uid="{FCAF15F6-AF84-4E8B-BB42-D1D910042677}"/>
    <cellStyle name="Calculation 2 7 2 3 4" xfId="5931" xr:uid="{1ADAC497-7387-42F9-B63A-336777F60FF7}"/>
    <cellStyle name="Calculation 2 7 2 3 4 2" xfId="8905" xr:uid="{17025BEB-B5F2-45B7-813E-FE9CC9CB5DB4}"/>
    <cellStyle name="Calculation 2 7 2 3 5" xfId="3658" xr:uid="{38885EF9-31CC-4F27-9AE7-289E5223B4A5}"/>
    <cellStyle name="Calculation 2 7 2 3 6" xfId="6604" xr:uid="{72E63F3B-0395-4F1C-AB44-5453804D3D78}"/>
    <cellStyle name="Calculation 2 7 2 3 7" xfId="2581" xr:uid="{FAAA8A09-767B-4A4B-B25A-CBF5BBA253D7}"/>
    <cellStyle name="Calculation 2 7 2 4" xfId="1136" xr:uid="{41E0209E-EA87-475F-A95E-BD880871A5DC}"/>
    <cellStyle name="Calculation 2 7 2 4 2" xfId="1941" xr:uid="{2ECCEEC9-D91E-4F61-BC56-E306452ADE2A}"/>
    <cellStyle name="Calculation 2 7 2 4 2 2" xfId="7712" xr:uid="{24C28135-44AC-4930-AAF3-1AF50EB61756}"/>
    <cellStyle name="Calculation 2 7 2 4 2 3" xfId="10378" xr:uid="{E556DCD5-EBD7-4BF3-9325-D174223494FA}"/>
    <cellStyle name="Calculation 2 7 2 4 2 4" xfId="4738" xr:uid="{5F3E0B20-3F06-48FD-9E9E-F65E79EE22DA}"/>
    <cellStyle name="Calculation 2 7 2 4 3" xfId="5478" xr:uid="{AD9F9137-B6C3-417D-9859-A03F47EDA403}"/>
    <cellStyle name="Calculation 2 7 2 4 3 2" xfId="8452" xr:uid="{FEB0B77B-4860-4129-99EC-293AD9E6ADB8}"/>
    <cellStyle name="Calculation 2 7 2 4 4" xfId="6243" xr:uid="{FB66A2FD-B741-41F5-B5A1-1FAD95E35228}"/>
    <cellStyle name="Calculation 2 7 2 4 4 2" xfId="9217" xr:uid="{41343BE0-7515-4AE0-A85F-D90DC053DFAA}"/>
    <cellStyle name="Calculation 2 7 2 4 5" xfId="3935" xr:uid="{CE650488-D15F-4CDB-8DF7-03652EBC0C6A}"/>
    <cellStyle name="Calculation 2 7 2 4 6" xfId="6916" xr:uid="{3973ADD3-9420-4CD4-9CAF-2EBE4AB62937}"/>
    <cellStyle name="Calculation 2 7 2 4 7" xfId="2893" xr:uid="{60EB36EC-FFF5-4CF4-853C-C9267DE865BE}"/>
    <cellStyle name="Calculation 2 7 2 5" xfId="3248" xr:uid="{F65AE684-51CB-4DBD-B20F-49CE4675A631}"/>
    <cellStyle name="Calculation 2 7 2 6" xfId="2971" xr:uid="{F227C351-6EB6-44AA-9AE0-59EC3F477D88}"/>
    <cellStyle name="Calculation 2 7 2 7" xfId="2151" xr:uid="{20C8A8BB-F254-4979-BE09-892184156F87}"/>
    <cellStyle name="Calculation 2 7 3" xfId="277" xr:uid="{6A927E6E-D627-4D58-97A7-B5DBFAFB126D}"/>
    <cellStyle name="Calculation 2 7 3 2" xfId="501" xr:uid="{517F13A1-D728-4E2E-8C3B-6B189A56416B}"/>
    <cellStyle name="Calculation 2 7 3 2 2" xfId="980" xr:uid="{CFB46196-A9F7-4E9B-8BEC-E0DBF9806058}"/>
    <cellStyle name="Calculation 2 7 3 2 2 2" xfId="1785" xr:uid="{61CD25D0-BB25-4ED8-88BF-AB28CAEBFA55}"/>
    <cellStyle name="Calculation 2 7 3 2 2 2 2" xfId="7556" xr:uid="{3EF7341E-ED81-4A08-8B53-226CCEA8C430}"/>
    <cellStyle name="Calculation 2 7 3 2 2 2 3" xfId="10222" xr:uid="{7453DF69-4526-48C7-9F98-43080777813C}"/>
    <cellStyle name="Calculation 2 7 3 2 2 2 4" xfId="4582" xr:uid="{0FDBF445-BBBC-46A8-9EFA-461DFABBD400}"/>
    <cellStyle name="Calculation 2 7 3 2 2 3" xfId="5322" xr:uid="{2CF63C2B-DD4B-408F-8668-7FD32967631F}"/>
    <cellStyle name="Calculation 2 7 3 2 2 3 2" xfId="8296" xr:uid="{7677640B-8CB0-4961-8081-99DCC3BE282D}"/>
    <cellStyle name="Calculation 2 7 3 2 2 4" xfId="6087" xr:uid="{E7593F8B-DD3B-48AE-84F5-F8DD59264FD4}"/>
    <cellStyle name="Calculation 2 7 3 2 2 4 2" xfId="9061" xr:uid="{989D1B5F-36EA-4782-91A1-82309AF974CA}"/>
    <cellStyle name="Calculation 2 7 3 2 2 5" xfId="3797" xr:uid="{85F49A64-C59F-41A5-AE50-81E9C1C2A0FD}"/>
    <cellStyle name="Calculation 2 7 3 2 2 6" xfId="6760" xr:uid="{835D8B55-F502-4DFE-9C6B-389395713343}"/>
    <cellStyle name="Calculation 2 7 3 2 2 7" xfId="2737" xr:uid="{01C65F51-1A92-429C-991F-0E26C87CAB65}"/>
    <cellStyle name="Calculation 2 7 3 2 3" xfId="1051" xr:uid="{191F5AE5-5E7A-4ED7-A13C-D4C62A7E5DEB}"/>
    <cellStyle name="Calculation 2 7 3 2 3 2" xfId="1856" xr:uid="{CBD5E3AB-15EB-4B9E-905E-4ED90CF8DF12}"/>
    <cellStyle name="Calculation 2 7 3 2 3 2 2" xfId="7627" xr:uid="{40E72113-44F6-41A4-9CF4-50B8DC6076E1}"/>
    <cellStyle name="Calculation 2 7 3 2 3 2 3" xfId="10293" xr:uid="{72B87035-8B4D-4707-80A7-F0486B0E2AD1}"/>
    <cellStyle name="Calculation 2 7 3 2 3 2 4" xfId="4653" xr:uid="{790F6394-A6AA-4F56-9060-E63F08497C1E}"/>
    <cellStyle name="Calculation 2 7 3 2 3 3" xfId="5393" xr:uid="{A34BE283-47A1-41D6-8242-81152A1B5490}"/>
    <cellStyle name="Calculation 2 7 3 2 3 3 2" xfId="8367" xr:uid="{F8C1878A-EB6B-48E1-AFC6-121B4AA54ECC}"/>
    <cellStyle name="Calculation 2 7 3 2 3 4" xfId="6158" xr:uid="{F79298FC-C6C4-411B-89F7-91C2FE06503D}"/>
    <cellStyle name="Calculation 2 7 3 2 3 4 2" xfId="9132" xr:uid="{7B3A069F-E2B9-4BDB-872E-9BC57D48F1D2}"/>
    <cellStyle name="Calculation 2 7 3 2 3 5" xfId="3868" xr:uid="{748C9CA7-DA1C-4EB8-875B-41CEDE4C4352}"/>
    <cellStyle name="Calculation 2 7 3 2 3 6" xfId="6831" xr:uid="{51245075-8F81-4A64-B7C4-17E3EB15A7DE}"/>
    <cellStyle name="Calculation 2 7 3 2 3 7" xfId="2808" xr:uid="{D03F176B-5052-4ACF-82DC-D9BCCE6083FD}"/>
    <cellStyle name="Calculation 2 7 3 2 4" xfId="1307" xr:uid="{A700FE8C-E043-47C7-B35D-8074385113CE}"/>
    <cellStyle name="Calculation 2 7 3 2 4 2" xfId="7078" xr:uid="{EC41DEC3-2645-4728-BEBC-DD0AAAF67CAD}"/>
    <cellStyle name="Calculation 2 7 3 2 4 3" xfId="9744" xr:uid="{7865A62F-D8AF-465E-A247-D2D2D3FFCF83}"/>
    <cellStyle name="Calculation 2 7 3 2 4 4" xfId="4104" xr:uid="{160B9F01-2325-487A-BF1C-51C87ED9D45C}"/>
    <cellStyle name="Calculation 2 7 3 2 5" xfId="4844" xr:uid="{8B03EAC8-E0A5-40AB-9884-A79530CA01F7}"/>
    <cellStyle name="Calculation 2 7 3 2 5 2" xfId="7818" xr:uid="{EA2FEC44-360D-4A4D-881F-7C14C4BEA502}"/>
    <cellStyle name="Calculation 2 7 3 2 6" xfId="5609" xr:uid="{1A2CB5EB-2EE7-4A4B-859F-373C080AFD7F}"/>
    <cellStyle name="Calculation 2 7 3 2 6 2" xfId="8583" xr:uid="{EF1F2C74-EF04-4046-A608-4DE7F0E0C5E6}"/>
    <cellStyle name="Calculation 2 7 3 2 7" xfId="3391" xr:uid="{4360238C-8572-45B6-8B6E-5D74A51BCF69}"/>
    <cellStyle name="Calculation 2 7 3 2 8" xfId="3056" xr:uid="{41C183D7-4E3C-43A2-BD61-6894ADD7040F}"/>
    <cellStyle name="Calculation 2 7 3 2 9" xfId="2259" xr:uid="{CCC5E963-E9D7-4823-AB3D-52637DDA74FD}"/>
    <cellStyle name="Calculation 2 7 3 3" xfId="769" xr:uid="{2E224CE9-3DB2-436E-BD73-AF2F66D6C068}"/>
    <cellStyle name="Calculation 2 7 3 3 2" xfId="1574" xr:uid="{B5291062-87CA-4C62-82E7-A2FF4DE4FE7A}"/>
    <cellStyle name="Calculation 2 7 3 3 2 2" xfId="7345" xr:uid="{4608087A-0308-44FF-8DE1-CF10D710D897}"/>
    <cellStyle name="Calculation 2 7 3 3 2 3" xfId="10011" xr:uid="{CAFE5263-2BE7-4CB9-9A3B-AC4EED7833F6}"/>
    <cellStyle name="Calculation 2 7 3 3 2 4" xfId="4371" xr:uid="{8961C5AC-9EEC-4656-A5AA-06BE7EED41C3}"/>
    <cellStyle name="Calculation 2 7 3 3 3" xfId="5111" xr:uid="{9F7CF883-21D4-497D-94E9-F5C9A325AB69}"/>
    <cellStyle name="Calculation 2 7 3 3 3 2" xfId="8085" xr:uid="{F868A31C-0559-416D-ACBD-9440F10F98F3}"/>
    <cellStyle name="Calculation 2 7 3 3 4" xfId="5876" xr:uid="{158F6A36-F00C-473D-9984-774C55DF3594}"/>
    <cellStyle name="Calculation 2 7 3 3 4 2" xfId="8850" xr:uid="{1F8072FF-8BF8-402B-A8FE-50D0B8DCB4B6}"/>
    <cellStyle name="Calculation 2 7 3 3 5" xfId="3604" xr:uid="{7D6EDA76-BCAF-4CCF-A451-B6BA01E6A79A}"/>
    <cellStyle name="Calculation 2 7 3 3 6" xfId="6549" xr:uid="{68C032A3-2C0D-44DC-9860-DC75875EEB41}"/>
    <cellStyle name="Calculation 2 7 3 3 7" xfId="2526" xr:uid="{27EF2B95-991C-427A-83D6-54717BFD3817}"/>
    <cellStyle name="Calculation 2 7 3 4" xfId="575" xr:uid="{0D11CB74-02F9-4591-A4AC-86DF0B5FD5ED}"/>
    <cellStyle name="Calculation 2 7 3 4 2" xfId="1380" xr:uid="{5270F353-3C61-4CC9-8F1D-3DB516595D60}"/>
    <cellStyle name="Calculation 2 7 3 4 2 2" xfId="7151" xr:uid="{FE143576-11D4-45A0-AFFC-433C94591576}"/>
    <cellStyle name="Calculation 2 7 3 4 2 3" xfId="9817" xr:uid="{117D2815-5029-4FB6-B90C-87B17FC77765}"/>
    <cellStyle name="Calculation 2 7 3 4 2 4" xfId="4177" xr:uid="{5C586C60-6F18-4F44-8921-D789465264ED}"/>
    <cellStyle name="Calculation 2 7 3 4 3" xfId="4917" xr:uid="{62F93A8B-987A-4266-85B2-55775B75828A}"/>
    <cellStyle name="Calculation 2 7 3 4 3 2" xfId="7891" xr:uid="{526D7B42-4DB6-4FF4-8C75-9D465B468620}"/>
    <cellStyle name="Calculation 2 7 3 4 4" xfId="5682" xr:uid="{B2477825-B34B-4D51-8DE8-4E3FB52E5E7F}"/>
    <cellStyle name="Calculation 2 7 3 4 4 2" xfId="8656" xr:uid="{E1571A51-F16F-432B-B101-440C9627DC0A}"/>
    <cellStyle name="Calculation 2 7 3 4 5" xfId="3443" xr:uid="{38AEA3E3-F923-485D-A7E1-49D28A8C72F9}"/>
    <cellStyle name="Calculation 2 7 3 4 6" xfId="6355" xr:uid="{53FB06F9-8E15-4765-A4F6-D700557CD4F8}"/>
    <cellStyle name="Calculation 2 7 3 4 7" xfId="2332" xr:uid="{1D0B1DEA-2CE0-4645-9472-CFC9583F28D4}"/>
    <cellStyle name="Calculation 2 7 3 5" xfId="3204" xr:uid="{BC2E2083-53D0-473F-986A-664F338523B7}"/>
    <cellStyle name="Calculation 2 7 3 6" xfId="3402" xr:uid="{635E5A61-8CDF-46EB-8933-A6AAA6841190}"/>
    <cellStyle name="Calculation 2 7 3 7" xfId="2094" xr:uid="{1C242012-038A-4CBE-9480-7FFB19FB2954}"/>
    <cellStyle name="Calculation 2 7 4" xfId="453" xr:uid="{CD357285-6E7D-4E8D-BA87-0F5155A00647}"/>
    <cellStyle name="Calculation 2 7 4 2" xfId="932" xr:uid="{DCE0B4AC-8C94-4ACA-8BB1-0193DFF410BA}"/>
    <cellStyle name="Calculation 2 7 4 2 2" xfId="1737" xr:uid="{5413C593-8DA3-4534-9136-00557493569F}"/>
    <cellStyle name="Calculation 2 7 4 2 2 2" xfId="7508" xr:uid="{15A6ADEB-01E8-4F5B-BBE3-91A56BD40748}"/>
    <cellStyle name="Calculation 2 7 4 2 2 3" xfId="10174" xr:uid="{0F722E00-A6A7-4B9D-8CAD-22F84FC9410A}"/>
    <cellStyle name="Calculation 2 7 4 2 2 4" xfId="4534" xr:uid="{09F46419-49AD-44AA-A2F7-1431D2106574}"/>
    <cellStyle name="Calculation 2 7 4 2 3" xfId="5274" xr:uid="{32C4D575-E581-4F47-8450-AC82A93B2E06}"/>
    <cellStyle name="Calculation 2 7 4 2 3 2" xfId="8248" xr:uid="{D91CFCAA-F51B-4852-9C5D-A8DEA88F0C8E}"/>
    <cellStyle name="Calculation 2 7 4 2 4" xfId="6039" xr:uid="{0E258BE9-9363-44E0-A846-8E2995A0A704}"/>
    <cellStyle name="Calculation 2 7 4 2 4 2" xfId="9013" xr:uid="{571FED13-6BA9-48E9-B600-C4759A5A65E5}"/>
    <cellStyle name="Calculation 2 7 4 2 5" xfId="3749" xr:uid="{1FAB1C70-720F-457D-89AF-1D2F0824E381}"/>
    <cellStyle name="Calculation 2 7 4 2 6" xfId="6712" xr:uid="{BB116E1F-5B55-4542-B94C-2A46CB197E92}"/>
    <cellStyle name="Calculation 2 7 4 2 7" xfId="2689" xr:uid="{D54E79CF-7D3C-4C20-8081-006E2BBEC3C3}"/>
    <cellStyle name="Calculation 2 7 4 3" xfId="1083" xr:uid="{FC10AA9F-9BF3-48AA-92CA-3FBE1784BEB0}"/>
    <cellStyle name="Calculation 2 7 4 3 2" xfId="1888" xr:uid="{69FBBC8D-1A94-4626-A4FB-9FFBCE518EE2}"/>
    <cellStyle name="Calculation 2 7 4 3 2 2" xfId="7659" xr:uid="{4F785DF6-DEF9-4E1F-9735-2E98D24DB334}"/>
    <cellStyle name="Calculation 2 7 4 3 2 3" xfId="10325" xr:uid="{FBB63A71-1D69-4FF1-88E1-EC0625709C4F}"/>
    <cellStyle name="Calculation 2 7 4 3 2 4" xfId="4685" xr:uid="{3A1D117D-49AB-468D-885C-79F3D3887B9F}"/>
    <cellStyle name="Calculation 2 7 4 3 3" xfId="5425" xr:uid="{FCA36960-198A-4C23-AA66-B4992B5650B2}"/>
    <cellStyle name="Calculation 2 7 4 3 3 2" xfId="8399" xr:uid="{FF8BA782-9AF0-4ECD-9794-BCE769F3F2AC}"/>
    <cellStyle name="Calculation 2 7 4 3 4" xfId="6190" xr:uid="{5ECF1E81-C27E-41C6-8B38-2519E00E4030}"/>
    <cellStyle name="Calculation 2 7 4 3 4 2" xfId="9164" xr:uid="{F79F0D6E-6C64-4605-8551-9A6ED72A6D17}"/>
    <cellStyle name="Calculation 2 7 4 3 5" xfId="3897" xr:uid="{7A371F31-A522-4C9A-8D0A-007527BDD0A9}"/>
    <cellStyle name="Calculation 2 7 4 3 6" xfId="6863" xr:uid="{D768E552-2D0D-41A6-BF92-8D42370195FF}"/>
    <cellStyle name="Calculation 2 7 4 3 7" xfId="2840" xr:uid="{E2EFE426-33DE-4E82-A20D-635C15D842A6}"/>
    <cellStyle name="Calculation 2 7 4 4" xfId="1259" xr:uid="{BE302B40-CDFF-4022-B8AF-E7E9F6F475D1}"/>
    <cellStyle name="Calculation 2 7 4 4 2" xfId="7030" xr:uid="{0FEF475A-903F-4B63-9C5B-35338D938D88}"/>
    <cellStyle name="Calculation 2 7 4 4 3" xfId="9696" xr:uid="{161BE4F9-9401-41E5-9775-ED6D227A147D}"/>
    <cellStyle name="Calculation 2 7 4 4 4" xfId="4056" xr:uid="{E8F40839-B588-4870-821A-2C9B3E2CDCFE}"/>
    <cellStyle name="Calculation 2 7 4 5" xfId="4796" xr:uid="{D42371E8-CD65-4DA9-BFD2-B925293FB252}"/>
    <cellStyle name="Calculation 2 7 4 5 2" xfId="7770" xr:uid="{458D3D88-C290-4612-8C82-3FF50AB4C449}"/>
    <cellStyle name="Calculation 2 7 4 6" xfId="5561" xr:uid="{8729C8C1-C8E1-4EB9-A3ED-858CC95C83B7}"/>
    <cellStyle name="Calculation 2 7 4 6 2" xfId="8535" xr:uid="{B6C08781-476F-452C-BED0-A91F5200270C}"/>
    <cellStyle name="Calculation 2 7 4 7" xfId="3358" xr:uid="{E2E85199-135F-45AD-B294-CEE2A96A81BE}"/>
    <cellStyle name="Calculation 2 7 4 8" xfId="3301" xr:uid="{85792750-8988-4F55-850D-CA1FE7411E1E}"/>
    <cellStyle name="Calculation 2 7 4 9" xfId="2211" xr:uid="{CB93991A-14E4-4D1C-BF6B-C4D95567743F}"/>
    <cellStyle name="Calculation 2 7 5" xfId="721" xr:uid="{BB5F9FE1-2359-4F4B-B8F7-DA6878099BEF}"/>
    <cellStyle name="Calculation 2 7 5 2" xfId="1526" xr:uid="{42CF3558-8E2F-4EF2-BFBD-84D1CF55C932}"/>
    <cellStyle name="Calculation 2 7 5 2 2" xfId="7297" xr:uid="{2C0725D7-2D66-491C-84B1-B3C9AD8787B2}"/>
    <cellStyle name="Calculation 2 7 5 2 3" xfId="9963" xr:uid="{831E5D47-5024-42F7-94DE-F421DE2EB54B}"/>
    <cellStyle name="Calculation 2 7 5 2 4" xfId="4323" xr:uid="{3060208B-4EAB-4DB4-91C4-EF677AE545E2}"/>
    <cellStyle name="Calculation 2 7 5 3" xfId="5063" xr:uid="{ECFD4A9D-6A98-448B-A440-56766E6EAF2C}"/>
    <cellStyle name="Calculation 2 7 5 3 2" xfId="8037" xr:uid="{6F887BE4-7843-43CB-9B84-62B14325F680}"/>
    <cellStyle name="Calculation 2 7 5 4" xfId="5828" xr:uid="{34AFA136-D76D-43B7-A2AB-CE9C0BA145EB}"/>
    <cellStyle name="Calculation 2 7 5 4 2" xfId="8802" xr:uid="{E1CA522C-B8E8-4DD2-AB27-5C8C5C01CE7C}"/>
    <cellStyle name="Calculation 2 7 5 5" xfId="3556" xr:uid="{36A41EF8-349D-426A-9EB9-99279E8BC6CE}"/>
    <cellStyle name="Calculation 2 7 5 6" xfId="6501" xr:uid="{E78A1273-7415-4560-A7D0-66D7CCA3E33C}"/>
    <cellStyle name="Calculation 2 7 5 7" xfId="2478" xr:uid="{3283BC8F-54A8-4653-9FFA-8C54C8350A7B}"/>
    <cellStyle name="Calculation 2 7 6" xfId="594" xr:uid="{C21E0C99-AECC-4EB5-90C0-C277FE68CC1C}"/>
    <cellStyle name="Calculation 2 7 6 2" xfId="1399" xr:uid="{7413DD5A-A80D-46F1-A9A4-619A93A95AF7}"/>
    <cellStyle name="Calculation 2 7 6 2 2" xfId="7170" xr:uid="{A03D225D-8FA9-451B-8172-EBFEA3DCD7F7}"/>
    <cellStyle name="Calculation 2 7 6 2 3" xfId="9836" xr:uid="{AED52FDE-6C92-42A9-87A8-6D3A6CC6A455}"/>
    <cellStyle name="Calculation 2 7 6 2 4" xfId="4196" xr:uid="{A8CE46C2-8B8D-4369-B57A-DB0665194C1E}"/>
    <cellStyle name="Calculation 2 7 6 3" xfId="4936" xr:uid="{29D09CC1-B4BF-4E48-8938-380194B91B3C}"/>
    <cellStyle name="Calculation 2 7 6 3 2" xfId="7910" xr:uid="{ECCA944F-9B69-4CAA-8AB0-9D079AB36934}"/>
    <cellStyle name="Calculation 2 7 6 4" xfId="5701" xr:uid="{0C2238C8-E6EB-4EF3-B808-AF7AB7FD0494}"/>
    <cellStyle name="Calculation 2 7 6 4 2" xfId="8675" xr:uid="{BA2C96D4-3499-49BB-807A-D2E0DFFDD6C5}"/>
    <cellStyle name="Calculation 2 7 6 5" xfId="3457" xr:uid="{6B80267D-23F6-4FF8-9ED1-8A08FCD994D9}"/>
    <cellStyle name="Calculation 2 7 6 6" xfId="6374" xr:uid="{95625D6B-82F1-4C2A-9014-5D04FEA4BE80}"/>
    <cellStyle name="Calculation 2 7 6 7" xfId="2351" xr:uid="{0F707A02-9D37-41A4-A09C-E0C6624062A9}"/>
    <cellStyle name="Calculation 2 7 7" xfId="3162" xr:uid="{BAF5F493-DDC4-43E2-84C2-CA227EDA86F5}"/>
    <cellStyle name="Calculation 2 7 8" xfId="3929" xr:uid="{F6A9C44F-C339-4FFC-8773-A5C818852BBD}"/>
    <cellStyle name="Calculation 2 7 9" xfId="2044" xr:uid="{91EEA380-A73E-4C82-A5A8-AABF29D81B48}"/>
    <cellStyle name="Calculation 2 8" xfId="235" xr:uid="{F14621D0-884A-4306-A3CC-CA53C6B5F331}"/>
    <cellStyle name="Calculation 2 8 2" xfId="339" xr:uid="{4FA94FA9-7DE7-4E30-AECE-0C04143885A3}"/>
    <cellStyle name="Calculation 2 8 2 2" xfId="561" xr:uid="{EAC8C052-5C52-439A-8704-3B1180897421}"/>
    <cellStyle name="Calculation 2 8 2 2 2" xfId="1040" xr:uid="{43CB4F2C-34A5-494E-8FAD-AEF16BD7EFCA}"/>
    <cellStyle name="Calculation 2 8 2 2 2 2" xfId="1845" xr:uid="{9560954E-84FF-418F-8E5F-52A56A39F891}"/>
    <cellStyle name="Calculation 2 8 2 2 2 2 2" xfId="7616" xr:uid="{277CED0D-A74E-4C82-8DDB-3FDB7A6C3A82}"/>
    <cellStyle name="Calculation 2 8 2 2 2 2 3" xfId="10282" xr:uid="{B9389826-36D2-424B-B3D0-54921A7B64B9}"/>
    <cellStyle name="Calculation 2 8 2 2 2 2 4" xfId="4642" xr:uid="{8CB18ECF-E7D6-4FD1-B318-94D6AC9A62D8}"/>
    <cellStyle name="Calculation 2 8 2 2 2 3" xfId="5382" xr:uid="{48313A31-B2C8-4C73-983F-145D0AF918BB}"/>
    <cellStyle name="Calculation 2 8 2 2 2 3 2" xfId="8356" xr:uid="{7275D1A5-C395-41C4-AB1C-0D3ED6A14072}"/>
    <cellStyle name="Calculation 2 8 2 2 2 4" xfId="6147" xr:uid="{1C17FAB7-05FB-445C-A8A4-1A2577473E2B}"/>
    <cellStyle name="Calculation 2 8 2 2 2 4 2" xfId="9121" xr:uid="{F20A1FED-41DC-42D2-A62E-403C60EEB719}"/>
    <cellStyle name="Calculation 2 8 2 2 2 5" xfId="3857" xr:uid="{D5D1FB72-4546-46EA-92AD-EC8E339EAC54}"/>
    <cellStyle name="Calculation 2 8 2 2 2 6" xfId="6820" xr:uid="{3CF4DEE9-F948-4FDC-B497-6863EC45800E}"/>
    <cellStyle name="Calculation 2 8 2 2 2 7" xfId="2797" xr:uid="{23C6520F-7E49-484C-8F35-BEF7F3C99D60}"/>
    <cellStyle name="Calculation 2 8 2 2 3" xfId="864" xr:uid="{78D1DFD4-7D8E-40E5-B654-C5B508C8691B}"/>
    <cellStyle name="Calculation 2 8 2 2 3 2" xfId="1669" xr:uid="{3EE7B87C-77E4-4178-85F4-E8670D141345}"/>
    <cellStyle name="Calculation 2 8 2 2 3 2 2" xfId="7440" xr:uid="{AD7C9D26-C2BB-4F1F-902A-221066B0235B}"/>
    <cellStyle name="Calculation 2 8 2 2 3 2 3" xfId="10106" xr:uid="{FD77D206-55C5-4183-9CC5-E6442E6CF32D}"/>
    <cellStyle name="Calculation 2 8 2 2 3 2 4" xfId="4466" xr:uid="{B6B16471-D64C-48CE-BD6D-7EA2F4B4BD07}"/>
    <cellStyle name="Calculation 2 8 2 2 3 3" xfId="5206" xr:uid="{0F566DF7-5C11-4EE2-9262-E02AC27879FD}"/>
    <cellStyle name="Calculation 2 8 2 2 3 3 2" xfId="8180" xr:uid="{E47E57B5-C409-4708-8E63-4CC67E78729C}"/>
    <cellStyle name="Calculation 2 8 2 2 3 4" xfId="5971" xr:uid="{7B809F42-943A-4D2A-885B-5847B9302ABE}"/>
    <cellStyle name="Calculation 2 8 2 2 3 4 2" xfId="8945" xr:uid="{E9215BA6-E835-4105-85EF-55C83EC132C3}"/>
    <cellStyle name="Calculation 2 8 2 2 3 5" xfId="3689" xr:uid="{96F5A23F-8FD9-4121-AF9E-AAA5375A851B}"/>
    <cellStyle name="Calculation 2 8 2 2 3 6" xfId="6644" xr:uid="{271C78C1-779A-435D-A16C-14487C77545A}"/>
    <cellStyle name="Calculation 2 8 2 2 3 7" xfId="2621" xr:uid="{F3517B85-AA3A-4CCB-9C0D-2590E7492600}"/>
    <cellStyle name="Calculation 2 8 2 2 4" xfId="1367" xr:uid="{144DA0E1-735D-49D4-B335-DEDDAE8F9A2F}"/>
    <cellStyle name="Calculation 2 8 2 2 4 2" xfId="7138" xr:uid="{30CB5517-9162-4850-94C5-3BCDF3785E6D}"/>
    <cellStyle name="Calculation 2 8 2 2 4 3" xfId="9804" xr:uid="{1F7E94AD-F170-4F8F-8F6C-03248BAA80FE}"/>
    <cellStyle name="Calculation 2 8 2 2 4 4" xfId="4164" xr:uid="{470FF98E-0C68-4791-8E75-ACC602C37490}"/>
    <cellStyle name="Calculation 2 8 2 2 5" xfId="4904" xr:uid="{37FB9680-459E-4B3C-95E3-F56A4A8BB228}"/>
    <cellStyle name="Calculation 2 8 2 2 5 2" xfId="7878" xr:uid="{9449139C-0665-42EE-B601-1C9F14AD00AF}"/>
    <cellStyle name="Calculation 2 8 2 2 6" xfId="5669" xr:uid="{6D5DE143-B9D3-4DE5-93C2-DCBFAD276193}"/>
    <cellStyle name="Calculation 2 8 2 2 6 2" xfId="8643" xr:uid="{2B451F74-54BB-4F23-950D-08F39F0F6AA3}"/>
    <cellStyle name="Calculation 2 8 2 2 7" xfId="3433" xr:uid="{52D3704C-2E54-47B3-B9B5-117040E10727}"/>
    <cellStyle name="Calculation 2 8 2 2 8" xfId="6342" xr:uid="{2F8F3749-747C-4499-83EB-A779F3D2502D}"/>
    <cellStyle name="Calculation 2 8 2 2 9" xfId="2319" xr:uid="{0070B23E-9626-45F7-BD4D-5C1D5D6CADDB}"/>
    <cellStyle name="Calculation 2 8 2 3" xfId="830" xr:uid="{5606C109-5F6E-422F-BDDF-A1C72EFDCBD9}"/>
    <cellStyle name="Calculation 2 8 2 3 2" xfId="1635" xr:uid="{58462E73-0933-4850-821C-13BAD8C6B1DF}"/>
    <cellStyle name="Calculation 2 8 2 3 2 2" xfId="7406" xr:uid="{7A7AE033-4303-4FC1-9BD4-C2F95F4ECE37}"/>
    <cellStyle name="Calculation 2 8 2 3 2 3" xfId="10072" xr:uid="{DBA92CA3-90A3-41C6-B9B1-68F2DB2EF96E}"/>
    <cellStyle name="Calculation 2 8 2 3 2 4" xfId="4432" xr:uid="{DCFF2FE5-733C-4BCC-8214-530CCA172ABE}"/>
    <cellStyle name="Calculation 2 8 2 3 3" xfId="5172" xr:uid="{B46C8907-FB20-4BB8-A968-18293ED70F00}"/>
    <cellStyle name="Calculation 2 8 2 3 3 2" xfId="8146" xr:uid="{AACA6B60-6108-4FEF-8E59-F8C6EE890F26}"/>
    <cellStyle name="Calculation 2 8 2 3 4" xfId="5937" xr:uid="{FCB71C2C-BF31-44C3-B0D0-406563198B69}"/>
    <cellStyle name="Calculation 2 8 2 3 4 2" xfId="8911" xr:uid="{39FEB767-B129-4825-BC70-2D87DEBBCF01}"/>
    <cellStyle name="Calculation 2 8 2 3 5" xfId="3664" xr:uid="{D1EFB4DE-FCE8-49CB-A017-9601644F3E63}"/>
    <cellStyle name="Calculation 2 8 2 3 6" xfId="6610" xr:uid="{8DDDA6AB-C9DA-4BEA-A2EF-C940EF4E52E2}"/>
    <cellStyle name="Calculation 2 8 2 3 7" xfId="2587" xr:uid="{2CF7F4ED-BC1A-42B5-99A2-A7B8AEA6BD62}"/>
    <cellStyle name="Calculation 2 8 2 4" xfId="1087" xr:uid="{F70275F7-DC7B-4856-AD5B-8FC0B3E4D0C9}"/>
    <cellStyle name="Calculation 2 8 2 4 2" xfId="1892" xr:uid="{91919806-C032-4B8F-A5F6-43B1856254E3}"/>
    <cellStyle name="Calculation 2 8 2 4 2 2" xfId="7663" xr:uid="{2FD2A96B-E6E1-4032-8F58-056824FA0C3A}"/>
    <cellStyle name="Calculation 2 8 2 4 2 3" xfId="10329" xr:uid="{1B0BD391-D68E-49CB-92ED-8F7D9C270C53}"/>
    <cellStyle name="Calculation 2 8 2 4 2 4" xfId="4689" xr:uid="{B4A74F2B-B221-4223-B159-E548C4311AA4}"/>
    <cellStyle name="Calculation 2 8 2 4 3" xfId="5429" xr:uid="{AEF0D7F5-4788-4D5E-A657-B02E2218EDC0}"/>
    <cellStyle name="Calculation 2 8 2 4 3 2" xfId="8403" xr:uid="{EF231E50-5280-42B6-A162-0464720E166A}"/>
    <cellStyle name="Calculation 2 8 2 4 4" xfId="6194" xr:uid="{85753D58-BA98-4B43-8592-4478C13F912B}"/>
    <cellStyle name="Calculation 2 8 2 4 4 2" xfId="9168" xr:uid="{5E3DF99A-2EF7-45F3-9700-7528FFA99FA2}"/>
    <cellStyle name="Calculation 2 8 2 4 5" xfId="3900" xr:uid="{6063BA96-9776-4FF4-89F0-25625BB54508}"/>
    <cellStyle name="Calculation 2 8 2 4 6" xfId="6867" xr:uid="{0C73A3BE-D0E1-44BB-AD3C-9D6C4A85F5C6}"/>
    <cellStyle name="Calculation 2 8 2 4 7" xfId="2844" xr:uid="{19E7815D-6C80-40E5-AFFA-9AFB429E99CE}"/>
    <cellStyle name="Calculation 2 8 2 5" xfId="3252" xr:uid="{DC92F05B-8A77-46B4-A5FE-9CD655A7D62C}"/>
    <cellStyle name="Calculation 2 8 2 6" xfId="3037" xr:uid="{9C7CE407-2B34-4FA2-80ED-914A2324AD11}"/>
    <cellStyle name="Calculation 2 8 2 7" xfId="2157" xr:uid="{D533F9AB-A46B-4F1F-98E7-1AFDAAA19141}"/>
    <cellStyle name="Calculation 2 8 3" xfId="283" xr:uid="{4B3B3671-8F52-4F63-927A-FEB5660582BF}"/>
    <cellStyle name="Calculation 2 8 3 2" xfId="507" xr:uid="{616606A3-B2A4-4C45-9F2C-1217066C6CC0}"/>
    <cellStyle name="Calculation 2 8 3 2 2" xfId="986" xr:uid="{C1BD9F04-BDDF-4304-843F-9278F2CBE5E3}"/>
    <cellStyle name="Calculation 2 8 3 2 2 2" xfId="1791" xr:uid="{3DBD5E08-E0EF-4F56-A39B-59EC51FDEAA1}"/>
    <cellStyle name="Calculation 2 8 3 2 2 2 2" xfId="7562" xr:uid="{96ABC71B-3A3B-4CB7-A61E-CACBD90C29C1}"/>
    <cellStyle name="Calculation 2 8 3 2 2 2 3" xfId="10228" xr:uid="{B2AE7561-B116-472B-AC28-3BE4C474DA68}"/>
    <cellStyle name="Calculation 2 8 3 2 2 2 4" xfId="4588" xr:uid="{469C8962-1CB4-4B33-B3CC-8CB3C9067F00}"/>
    <cellStyle name="Calculation 2 8 3 2 2 3" xfId="5328" xr:uid="{5BF3094E-F316-4FD1-93AD-BA7EEA88FB6D}"/>
    <cellStyle name="Calculation 2 8 3 2 2 3 2" xfId="8302" xr:uid="{BF822959-6A73-43B2-855E-528FE0CEE95B}"/>
    <cellStyle name="Calculation 2 8 3 2 2 4" xfId="6093" xr:uid="{DF859F1B-4B72-4061-8895-C5C7D4C5DB7C}"/>
    <cellStyle name="Calculation 2 8 3 2 2 4 2" xfId="9067" xr:uid="{97AA7F4C-FA47-42D9-B9FC-ED0D7C108DEA}"/>
    <cellStyle name="Calculation 2 8 3 2 2 5" xfId="3803" xr:uid="{CB51215E-CAD1-474A-8244-AB6EF7332FF8}"/>
    <cellStyle name="Calculation 2 8 3 2 2 6" xfId="6766" xr:uid="{EEB2C2C1-6729-4448-AFED-EBDBD7C577B0}"/>
    <cellStyle name="Calculation 2 8 3 2 2 7" xfId="2743" xr:uid="{7320DF21-D9F8-4E0A-A35B-5D8795F4A3A0}"/>
    <cellStyle name="Calculation 2 8 3 2 3" xfId="1047" xr:uid="{66C5B536-7525-42B6-9831-E3BEA9355328}"/>
    <cellStyle name="Calculation 2 8 3 2 3 2" xfId="1852" xr:uid="{3729ECDA-1F8F-43D7-979C-D559EC0D71EE}"/>
    <cellStyle name="Calculation 2 8 3 2 3 2 2" xfId="7623" xr:uid="{FB0830D9-BD88-4410-AD2E-6233452A89B5}"/>
    <cellStyle name="Calculation 2 8 3 2 3 2 3" xfId="10289" xr:uid="{92F84420-F8A3-40F3-B2D7-F71D41160F6C}"/>
    <cellStyle name="Calculation 2 8 3 2 3 2 4" xfId="4649" xr:uid="{495A7B4E-9E6D-47EB-841A-49763B5F6F89}"/>
    <cellStyle name="Calculation 2 8 3 2 3 3" xfId="5389" xr:uid="{64F1DA38-55A5-49D0-91A7-5DCA943890B2}"/>
    <cellStyle name="Calculation 2 8 3 2 3 3 2" xfId="8363" xr:uid="{808F3369-1545-42D2-AE0B-4FF21E8A266C}"/>
    <cellStyle name="Calculation 2 8 3 2 3 4" xfId="6154" xr:uid="{3384AB9E-B7BA-4B9C-9405-7622E0407F11}"/>
    <cellStyle name="Calculation 2 8 3 2 3 4 2" xfId="9128" xr:uid="{17ACC562-B4AB-4E2D-9673-2AA1B17FFB8D}"/>
    <cellStyle name="Calculation 2 8 3 2 3 5" xfId="3864" xr:uid="{4FE71CB8-8727-4B7F-BB81-58B7D557C139}"/>
    <cellStyle name="Calculation 2 8 3 2 3 6" xfId="6827" xr:uid="{CF15B6A2-4BAB-42E5-9102-50E293063910}"/>
    <cellStyle name="Calculation 2 8 3 2 3 7" xfId="2804" xr:uid="{3F2C941D-776E-4FB2-9D3A-B8973970FDF9}"/>
    <cellStyle name="Calculation 2 8 3 2 4" xfId="1313" xr:uid="{F964C906-968B-41D0-AEF9-F5C39D1AB60A}"/>
    <cellStyle name="Calculation 2 8 3 2 4 2" xfId="7084" xr:uid="{07E7EF11-3671-4B03-808A-2FE0F3DC86C5}"/>
    <cellStyle name="Calculation 2 8 3 2 4 3" xfId="9750" xr:uid="{D35BC733-D71A-417E-8012-4D6FCCC7D868}"/>
    <cellStyle name="Calculation 2 8 3 2 4 4" xfId="4110" xr:uid="{E66D3066-2F78-40A4-BE7E-E71A836D1E12}"/>
    <cellStyle name="Calculation 2 8 3 2 5" xfId="4850" xr:uid="{BEB45AB8-3156-4528-B166-4F73A8D1702E}"/>
    <cellStyle name="Calculation 2 8 3 2 5 2" xfId="7824" xr:uid="{D84B9761-F1AB-4005-8867-D556D5ADE45E}"/>
    <cellStyle name="Calculation 2 8 3 2 6" xfId="5615" xr:uid="{74878B79-BA56-47FD-8772-672D8A77A3B5}"/>
    <cellStyle name="Calculation 2 8 3 2 6 2" xfId="8589" xr:uid="{F5510A0B-2979-44D5-9F28-32A235DF0352}"/>
    <cellStyle name="Calculation 2 8 3 2 7" xfId="3395" xr:uid="{9D89A2F7-9C90-42DB-958D-393FE719B6C5}"/>
    <cellStyle name="Calculation 2 8 3 2 8" xfId="3050" xr:uid="{88FB1489-29F5-4B4F-8924-8002E8045F5A}"/>
    <cellStyle name="Calculation 2 8 3 2 9" xfId="2265" xr:uid="{41737E71-7D5E-42B1-B50E-22C17DBFB04F}"/>
    <cellStyle name="Calculation 2 8 3 3" xfId="775" xr:uid="{C46A978D-F48D-41AE-955B-CA9A75457B3C}"/>
    <cellStyle name="Calculation 2 8 3 3 2" xfId="1580" xr:uid="{B5A52CB9-2DD7-45E2-98FE-CC20434E4D22}"/>
    <cellStyle name="Calculation 2 8 3 3 2 2" xfId="7351" xr:uid="{8EC7CB78-4EB8-401F-8EC9-ADBBE2C7BE47}"/>
    <cellStyle name="Calculation 2 8 3 3 2 3" xfId="10017" xr:uid="{E5A14C5D-97F4-4261-806B-AC763245EEB3}"/>
    <cellStyle name="Calculation 2 8 3 3 2 4" xfId="4377" xr:uid="{F45370EB-9A85-46E6-B835-2C0483ED2315}"/>
    <cellStyle name="Calculation 2 8 3 3 3" xfId="5117" xr:uid="{9DC0974A-6001-4509-98B6-F92FB7FD50CF}"/>
    <cellStyle name="Calculation 2 8 3 3 3 2" xfId="8091" xr:uid="{259C5A0F-8239-425B-99C9-2357598DB0F3}"/>
    <cellStyle name="Calculation 2 8 3 3 4" xfId="5882" xr:uid="{983E89A0-9EBC-4ECE-8D29-6A241647ABE5}"/>
    <cellStyle name="Calculation 2 8 3 3 4 2" xfId="8856" xr:uid="{7316D728-E475-4AA8-9984-3AD06E23C05A}"/>
    <cellStyle name="Calculation 2 8 3 3 5" xfId="3610" xr:uid="{7CBB4CA9-537D-4798-B829-9A46A1E7F82A}"/>
    <cellStyle name="Calculation 2 8 3 3 6" xfId="6555" xr:uid="{1465E708-3277-4EAB-A882-DD11F3B75A43}"/>
    <cellStyle name="Calculation 2 8 3 3 7" xfId="2532" xr:uid="{569879FE-8B8A-469D-9DDB-1F46596B9491}"/>
    <cellStyle name="Calculation 2 8 3 4" xfId="630" xr:uid="{A2A22E65-B7B8-40D8-B0E4-81EA3CF631CD}"/>
    <cellStyle name="Calculation 2 8 3 4 2" xfId="1435" xr:uid="{51093643-55E2-4727-B3D7-6647402A6B1F}"/>
    <cellStyle name="Calculation 2 8 3 4 2 2" xfId="7206" xr:uid="{4C77D320-3636-4B51-B8AB-E4214C46847C}"/>
    <cellStyle name="Calculation 2 8 3 4 2 3" xfId="9872" xr:uid="{A07276A4-A80C-4164-93A8-4055508A022B}"/>
    <cellStyle name="Calculation 2 8 3 4 2 4" xfId="4232" xr:uid="{AD4E3F3A-9590-459D-9845-C817FE15315B}"/>
    <cellStyle name="Calculation 2 8 3 4 3" xfId="4972" xr:uid="{52004232-AC85-4288-B71F-ACE9CA98D49C}"/>
    <cellStyle name="Calculation 2 8 3 4 3 2" xfId="7946" xr:uid="{52164D15-1964-4FB0-8F0C-E3A4EE1D2CEA}"/>
    <cellStyle name="Calculation 2 8 3 4 4" xfId="5737" xr:uid="{C32F9717-07D2-4C00-9A3F-2383BF3E7046}"/>
    <cellStyle name="Calculation 2 8 3 4 4 2" xfId="8711" xr:uid="{B7B995E3-C8F8-40F5-B0EE-E3FA6AD26DAD}"/>
    <cellStyle name="Calculation 2 8 3 4 5" xfId="3480" xr:uid="{81BDB3F4-5355-480E-9D03-AC67C3BC6077}"/>
    <cellStyle name="Calculation 2 8 3 4 6" xfId="6410" xr:uid="{F613B423-EC66-4C26-BD51-485A3FE23539}"/>
    <cellStyle name="Calculation 2 8 3 4 7" xfId="2387" xr:uid="{6AB7E715-C502-4042-B2D2-AFF4514785C2}"/>
    <cellStyle name="Calculation 2 8 3 5" xfId="3208" xr:uid="{93620BED-C108-444E-8C1D-1F32EB3570FE}"/>
    <cellStyle name="Calculation 2 8 3 6" xfId="2979" xr:uid="{25157D08-C6CF-47D1-875C-69110F18B9C6}"/>
    <cellStyle name="Calculation 2 8 3 7" xfId="2100" xr:uid="{384580E4-0BF4-4D8D-9D4A-C4D37C2F3A80}"/>
    <cellStyle name="Calculation 2 8 4" xfId="459" xr:uid="{CD216C9A-6A4F-4D9E-AC1F-265C2959DBBB}"/>
    <cellStyle name="Calculation 2 8 4 2" xfId="938" xr:uid="{A9CD82E8-C163-48B1-B7A8-23C5951A89A0}"/>
    <cellStyle name="Calculation 2 8 4 2 2" xfId="1743" xr:uid="{79270E8E-405E-49B0-80FF-6AA52854133E}"/>
    <cellStyle name="Calculation 2 8 4 2 2 2" xfId="7514" xr:uid="{439AB19C-A965-42FE-82A9-E26D717B83A7}"/>
    <cellStyle name="Calculation 2 8 4 2 2 3" xfId="10180" xr:uid="{FDD4DD52-F0ED-4479-B6AD-F714CFF5F422}"/>
    <cellStyle name="Calculation 2 8 4 2 2 4" xfId="4540" xr:uid="{C072F081-C1CF-4BC1-B498-86BC2DDA8038}"/>
    <cellStyle name="Calculation 2 8 4 2 3" xfId="5280" xr:uid="{1BDB3449-3150-4808-A53A-59CFDA852192}"/>
    <cellStyle name="Calculation 2 8 4 2 3 2" xfId="8254" xr:uid="{EF610D39-8D81-43F0-9D88-E01F5E7D9D8A}"/>
    <cellStyle name="Calculation 2 8 4 2 4" xfId="6045" xr:uid="{9BB7496E-9E0E-4168-A1A4-4722B6844E92}"/>
    <cellStyle name="Calculation 2 8 4 2 4 2" xfId="9019" xr:uid="{22F73DC8-4927-4534-B827-6E82C6BE6B40}"/>
    <cellStyle name="Calculation 2 8 4 2 5" xfId="3755" xr:uid="{4434CD22-AE90-49F8-8853-4A9DBBCD6EF7}"/>
    <cellStyle name="Calculation 2 8 4 2 6" xfId="6718" xr:uid="{C758D115-B70C-4DC1-AC82-15BD049E17B4}"/>
    <cellStyle name="Calculation 2 8 4 2 7" xfId="2695" xr:uid="{1715051C-07AF-4FB4-90A4-E22B282C31D0}"/>
    <cellStyle name="Calculation 2 8 4 3" xfId="671" xr:uid="{AC7B020D-8B34-4EF7-B75E-72DF931E0A9C}"/>
    <cellStyle name="Calculation 2 8 4 3 2" xfId="1476" xr:uid="{4E79B8A0-2A77-4525-94F1-EE2BA21450F5}"/>
    <cellStyle name="Calculation 2 8 4 3 2 2" xfId="7247" xr:uid="{2F2F3D4D-2263-47BD-8E97-663052B9E19B}"/>
    <cellStyle name="Calculation 2 8 4 3 2 3" xfId="9913" xr:uid="{18769397-DF95-499C-877D-BAE7499DB6B4}"/>
    <cellStyle name="Calculation 2 8 4 3 2 4" xfId="4273" xr:uid="{0969FD17-B928-4AE5-BA23-96497E03968F}"/>
    <cellStyle name="Calculation 2 8 4 3 3" xfId="5013" xr:uid="{68D06317-61C7-4337-ACB6-25B4465C2F5D}"/>
    <cellStyle name="Calculation 2 8 4 3 3 2" xfId="7987" xr:uid="{919D9F03-9DE6-4B68-B6C2-90120B8119E7}"/>
    <cellStyle name="Calculation 2 8 4 3 4" xfId="5778" xr:uid="{27E32A6A-96BF-4AC9-8912-3A9001149C78}"/>
    <cellStyle name="Calculation 2 8 4 3 4 2" xfId="8752" xr:uid="{4FBB805C-1821-4D95-A5CD-4A9404D82A97}"/>
    <cellStyle name="Calculation 2 8 4 3 5" xfId="3508" xr:uid="{49A530DA-FEBD-42FB-AF9A-0038FA59361E}"/>
    <cellStyle name="Calculation 2 8 4 3 6" xfId="6451" xr:uid="{933016B8-C890-49AF-8E2C-52236489CAE8}"/>
    <cellStyle name="Calculation 2 8 4 3 7" xfId="2428" xr:uid="{F4739570-DB24-4965-962E-32408720D8B6}"/>
    <cellStyle name="Calculation 2 8 4 4" xfId="1265" xr:uid="{A0F0FD85-6B65-474A-B142-CE133CAFA356}"/>
    <cellStyle name="Calculation 2 8 4 4 2" xfId="7036" xr:uid="{F33CCA28-D11A-468A-B45C-EAE9D7518C0F}"/>
    <cellStyle name="Calculation 2 8 4 4 3" xfId="9702" xr:uid="{C41E23DF-AFDE-4930-9601-A045D0450D0E}"/>
    <cellStyle name="Calculation 2 8 4 4 4" xfId="4062" xr:uid="{57B7357D-3193-46B2-8BA9-0F2B1FE747F8}"/>
    <cellStyle name="Calculation 2 8 4 5" xfId="4802" xr:uid="{EB6F5858-EA14-4107-A90C-894CDDB52987}"/>
    <cellStyle name="Calculation 2 8 4 5 2" xfId="7776" xr:uid="{BE05A2AA-8EB9-4F6F-86E1-675EF0A70890}"/>
    <cellStyle name="Calculation 2 8 4 6" xfId="5567" xr:uid="{867C1DAE-96BD-4579-A9A5-ADC0821BEF31}"/>
    <cellStyle name="Calculation 2 8 4 6 2" xfId="8541" xr:uid="{E4F8B018-140B-4070-89FE-C95822D19477}"/>
    <cellStyle name="Calculation 2 8 4 7" xfId="3362" xr:uid="{C29D6891-7F92-4081-A302-2E2632C02294}"/>
    <cellStyle name="Calculation 2 8 4 8" xfId="3028" xr:uid="{45E3D6DA-278D-4974-9EE5-5B1290DF929B}"/>
    <cellStyle name="Calculation 2 8 4 9" xfId="2217" xr:uid="{A12E8920-7579-43E2-92F2-03C1C08B75D6}"/>
    <cellStyle name="Calculation 2 8 5" xfId="727" xr:uid="{C0124C08-797E-4C9D-ADF0-98E0D60079AF}"/>
    <cellStyle name="Calculation 2 8 5 2" xfId="1532" xr:uid="{13913705-C4EB-4208-B177-B7ACD38E1F54}"/>
    <cellStyle name="Calculation 2 8 5 2 2" xfId="7303" xr:uid="{74C44F00-7C30-405F-BF82-258B9A337C79}"/>
    <cellStyle name="Calculation 2 8 5 2 3" xfId="9969" xr:uid="{F08733F8-3DA9-4D1E-B6CB-5C5F8F2356D3}"/>
    <cellStyle name="Calculation 2 8 5 2 4" xfId="4329" xr:uid="{F853D4F9-0524-4A1F-AB61-67DD2D7654F8}"/>
    <cellStyle name="Calculation 2 8 5 3" xfId="5069" xr:uid="{F45BB022-950B-47E0-A74F-7DC8402863F3}"/>
    <cellStyle name="Calculation 2 8 5 3 2" xfId="8043" xr:uid="{19D4CDCF-366C-4108-97A5-F9ADA1D3BA7E}"/>
    <cellStyle name="Calculation 2 8 5 4" xfId="5834" xr:uid="{710D8163-1DEA-4BBE-A171-1393E79C4945}"/>
    <cellStyle name="Calculation 2 8 5 4 2" xfId="8808" xr:uid="{449E1BEA-131C-4E6D-8943-2C520D40F6A2}"/>
    <cellStyle name="Calculation 2 8 5 5" xfId="3562" xr:uid="{6E482CFC-3364-4253-ADC7-4AB991851AE4}"/>
    <cellStyle name="Calculation 2 8 5 6" xfId="6507" xr:uid="{42C2BCA6-EF54-42BC-BE93-7F85F1FBC54C}"/>
    <cellStyle name="Calculation 2 8 5 7" xfId="2484" xr:uid="{FD731013-2B26-4BF3-93B0-32E2FC7992CA}"/>
    <cellStyle name="Calculation 2 8 6" xfId="568" xr:uid="{18C4C541-2AA5-49FD-9046-00A54D75594E}"/>
    <cellStyle name="Calculation 2 8 6 2" xfId="1373" xr:uid="{19E28874-464A-4E21-8871-2193C0BDF512}"/>
    <cellStyle name="Calculation 2 8 6 2 2" xfId="7144" xr:uid="{454265E3-CF40-4892-B385-54FE0BE22D9B}"/>
    <cellStyle name="Calculation 2 8 6 2 3" xfId="9810" xr:uid="{268716A1-BEE6-4FCE-8003-E76EAB1EF5A6}"/>
    <cellStyle name="Calculation 2 8 6 2 4" xfId="4170" xr:uid="{F745CDD5-CCA5-4C36-AE58-61EF3A9E74E3}"/>
    <cellStyle name="Calculation 2 8 6 3" xfId="4910" xr:uid="{1BAD7581-4860-4238-9806-BC63329A107D}"/>
    <cellStyle name="Calculation 2 8 6 3 2" xfId="7884" xr:uid="{0972FEEA-837F-4A01-91AF-72E2EC8F19EC}"/>
    <cellStyle name="Calculation 2 8 6 4" xfId="5675" xr:uid="{540CBFB2-1E7D-4306-A7A4-1BF32413606D}"/>
    <cellStyle name="Calculation 2 8 6 4 2" xfId="8649" xr:uid="{A784AA7D-3BE8-458E-B975-D19E0DE2560A}"/>
    <cellStyle name="Calculation 2 8 6 5" xfId="3437" xr:uid="{E90CDF5F-9B5E-45D4-918B-F10AB7B87C08}"/>
    <cellStyle name="Calculation 2 8 6 6" xfId="6348" xr:uid="{AC21D5D1-AF2A-4C31-A184-1012B4FBDFF7}"/>
    <cellStyle name="Calculation 2 8 6 7" xfId="2325" xr:uid="{90A434C0-0D65-461C-9B73-4C85F7B088FE}"/>
    <cellStyle name="Calculation 2 8 7" xfId="3166" xr:uid="{4CF78AE7-A1B4-47FC-9E22-89B3B0B31CCC}"/>
    <cellStyle name="Calculation 2 8 8" xfId="3199" xr:uid="{B08C7D6B-3E9F-4BBE-8C80-9B8E4B9DAA08}"/>
    <cellStyle name="Calculation 2 8 9" xfId="2050" xr:uid="{272A31B4-BA29-4061-9469-1926DAD845CA}"/>
    <cellStyle name="Calculation 2 9" xfId="297" xr:uid="{6F12435D-81B3-4A26-9EC5-2961C601331C}"/>
    <cellStyle name="Calculation 2 9 2" xfId="519" xr:uid="{A49E98E0-2180-4BEC-9DC1-9FE27D0BC137}"/>
    <cellStyle name="Calculation 2 9 2 2" xfId="998" xr:uid="{F494185F-0E45-4C64-AAD0-E40D2EDC2F03}"/>
    <cellStyle name="Calculation 2 9 2 2 2" xfId="1803" xr:uid="{16B8B45F-7867-4FE5-9B52-13F3B545B8D0}"/>
    <cellStyle name="Calculation 2 9 2 2 2 2" xfId="7574" xr:uid="{1F704DBD-E537-4FE0-9E8D-F914FB0276DF}"/>
    <cellStyle name="Calculation 2 9 2 2 2 3" xfId="10240" xr:uid="{472368CA-7A10-4AE6-982F-85B951ED8252}"/>
    <cellStyle name="Calculation 2 9 2 2 2 4" xfId="4600" xr:uid="{AED7C24E-EE7F-425D-A396-3234728CDC25}"/>
    <cellStyle name="Calculation 2 9 2 2 3" xfId="5340" xr:uid="{0572B89C-C4F9-409A-B364-4CC2A87B19C8}"/>
    <cellStyle name="Calculation 2 9 2 2 3 2" xfId="8314" xr:uid="{4089C6CF-A71B-4560-8DDD-7F583F3564F7}"/>
    <cellStyle name="Calculation 2 9 2 2 4" xfId="6105" xr:uid="{3836F69A-8BAD-4687-BC7F-8067F0304AD9}"/>
    <cellStyle name="Calculation 2 9 2 2 4 2" xfId="9079" xr:uid="{E71F1AA5-74B4-4525-862B-1EB0BD522211}"/>
    <cellStyle name="Calculation 2 9 2 2 5" xfId="3815" xr:uid="{E780E226-648A-4577-BD27-46EBF65A87A2}"/>
    <cellStyle name="Calculation 2 9 2 2 6" xfId="6778" xr:uid="{6800E8DA-B10C-47B9-97C7-C7896E6A6A33}"/>
    <cellStyle name="Calculation 2 9 2 2 7" xfId="2755" xr:uid="{242D5F58-3480-48A3-8A64-880642D99080}"/>
    <cellStyle name="Calculation 2 9 2 3" xfId="880" xr:uid="{D779B533-DC1C-4ABE-8483-E2D68BBACC29}"/>
    <cellStyle name="Calculation 2 9 2 3 2" xfId="1685" xr:uid="{95364642-F165-4BD2-A185-74CD01CE8DBD}"/>
    <cellStyle name="Calculation 2 9 2 3 2 2" xfId="7456" xr:uid="{A4010673-F6AE-4EB9-BA07-70CFBB8640D6}"/>
    <cellStyle name="Calculation 2 9 2 3 2 3" xfId="10122" xr:uid="{FE21F079-F860-4F37-95AC-7BE134088126}"/>
    <cellStyle name="Calculation 2 9 2 3 2 4" xfId="4482" xr:uid="{34DCF106-B25D-4B19-A210-6A232BB51982}"/>
    <cellStyle name="Calculation 2 9 2 3 3" xfId="5222" xr:uid="{C9FE3E4D-E529-4CD3-8227-C646064FE086}"/>
    <cellStyle name="Calculation 2 9 2 3 3 2" xfId="8196" xr:uid="{209974FB-7034-4F75-A9E4-4EDA3137C20E}"/>
    <cellStyle name="Calculation 2 9 2 3 4" xfId="5987" xr:uid="{C573072D-502D-49CB-B9F4-5BCD51CDD546}"/>
    <cellStyle name="Calculation 2 9 2 3 4 2" xfId="8961" xr:uid="{D680FB71-48BA-4FAB-8ADC-782E94C7ED3B}"/>
    <cellStyle name="Calculation 2 9 2 3 5" xfId="3701" xr:uid="{03010AB9-57A5-4FFB-B7CC-2C42116B8C1B}"/>
    <cellStyle name="Calculation 2 9 2 3 6" xfId="6660" xr:uid="{4D1AA805-3797-40A6-9E8E-00BD530AAB56}"/>
    <cellStyle name="Calculation 2 9 2 3 7" xfId="2637" xr:uid="{1745FC7F-AF4D-408A-A3BA-B7B35E7D6602}"/>
    <cellStyle name="Calculation 2 9 2 4" xfId="1325" xr:uid="{A61CA57B-114B-450E-BE82-B009FA6B5F6C}"/>
    <cellStyle name="Calculation 2 9 2 4 2" xfId="7096" xr:uid="{D7942A52-6003-42D8-9ADF-0CEEF5F1BDE6}"/>
    <cellStyle name="Calculation 2 9 2 4 3" xfId="9762" xr:uid="{8C6D2DCB-ED87-4AF0-9EEC-F86ECD2253D4}"/>
    <cellStyle name="Calculation 2 9 2 4 4" xfId="4122" xr:uid="{00E22E23-0AF5-45BE-AF95-2834939AEF47}"/>
    <cellStyle name="Calculation 2 9 2 5" xfId="4862" xr:uid="{BDD7BEDB-1C20-418D-A18B-A917DAD2301D}"/>
    <cellStyle name="Calculation 2 9 2 5 2" xfId="7836" xr:uid="{F54EB310-E6D1-4BBF-ADA9-6D336CD5CA5F}"/>
    <cellStyle name="Calculation 2 9 2 6" xfId="5627" xr:uid="{8F5F4B20-D83A-4E29-9A51-060D9321D757}"/>
    <cellStyle name="Calculation 2 9 2 6 2" xfId="8601" xr:uid="{BA1CAD26-2096-40C2-A570-A0C750FAB569}"/>
    <cellStyle name="Calculation 2 9 2 7" xfId="3404" xr:uid="{423BB930-D44B-4B0D-84D7-75F0F5E6E218}"/>
    <cellStyle name="Calculation 2 9 2 8" xfId="6300" xr:uid="{626A40BC-A64C-4CA9-85E2-4EF62AED1C54}"/>
    <cellStyle name="Calculation 2 9 2 9" xfId="2277" xr:uid="{44BFBE02-E822-40FB-BF23-D523433ACED1}"/>
    <cellStyle name="Calculation 2 9 3" xfId="788" xr:uid="{5CA87A79-976F-4387-A501-FFE0D22E0770}"/>
    <cellStyle name="Calculation 2 9 3 2" xfId="1593" xr:uid="{79D7E897-7A71-4AE4-B800-1A84547F69D4}"/>
    <cellStyle name="Calculation 2 9 3 2 2" xfId="7364" xr:uid="{D9FD3E2C-53C0-4E95-A453-01BB3EA914C1}"/>
    <cellStyle name="Calculation 2 9 3 2 3" xfId="10030" xr:uid="{4105D3B6-419A-49B5-A3CC-516B8D32E131}"/>
    <cellStyle name="Calculation 2 9 3 2 4" xfId="4390" xr:uid="{D0ED8704-8947-48E5-9F84-D4DA8A8C925E}"/>
    <cellStyle name="Calculation 2 9 3 3" xfId="5130" xr:uid="{7481E8FE-41A6-451A-BD03-4A257D5820C8}"/>
    <cellStyle name="Calculation 2 9 3 3 2" xfId="8104" xr:uid="{F89D2EF2-7C97-4F7B-BCC5-2DB3A6295ABB}"/>
    <cellStyle name="Calculation 2 9 3 4" xfId="5895" xr:uid="{1FA92493-9C43-4A57-8FA4-D29AC78DEAA1}"/>
    <cellStyle name="Calculation 2 9 3 4 2" xfId="8869" xr:uid="{FFC1DA9D-1F43-4303-A824-DE7129A98A5F}"/>
    <cellStyle name="Calculation 2 9 3 5" xfId="3622" xr:uid="{2A761FB5-188B-46E6-A2DD-D364A1F75F27}"/>
    <cellStyle name="Calculation 2 9 3 6" xfId="6568" xr:uid="{5CBD1CBE-6C02-428D-A899-780EDD771649}"/>
    <cellStyle name="Calculation 2 9 3 7" xfId="2545" xr:uid="{603BF58D-72B3-415B-A741-37225844FDCA}"/>
    <cellStyle name="Calculation 2 9 4" xfId="627" xr:uid="{0BF6C5AB-190E-4484-8B91-EFD47294EDC7}"/>
    <cellStyle name="Calculation 2 9 4 2" xfId="1432" xr:uid="{D7C129C3-0499-4C61-AAA3-E1542C4C3752}"/>
    <cellStyle name="Calculation 2 9 4 2 2" xfId="7203" xr:uid="{81C1F7A3-0F32-4663-BC60-E1192F07A650}"/>
    <cellStyle name="Calculation 2 9 4 2 3" xfId="9869" xr:uid="{1D2EA26C-0E55-4FF7-B3F0-1A80C737258E}"/>
    <cellStyle name="Calculation 2 9 4 2 4" xfId="4229" xr:uid="{7C721D9F-5611-4DDC-AEF9-4D3A33AA0F90}"/>
    <cellStyle name="Calculation 2 9 4 3" xfId="4969" xr:uid="{D86B9402-671C-4E1A-83AE-44F575723014}"/>
    <cellStyle name="Calculation 2 9 4 3 2" xfId="7943" xr:uid="{102A74F6-A236-47A3-8509-58918D4A2960}"/>
    <cellStyle name="Calculation 2 9 4 4" xfId="5734" xr:uid="{AED9BAB9-73FC-4302-B5DC-250AAD788776}"/>
    <cellStyle name="Calculation 2 9 4 4 2" xfId="8708" xr:uid="{CF623232-A063-477C-95AA-5EC7AA9FFCEE}"/>
    <cellStyle name="Calculation 2 9 4 5" xfId="3478" xr:uid="{19A5234B-86A9-466A-AEA0-E01EBBB67030}"/>
    <cellStyle name="Calculation 2 9 4 6" xfId="6407" xr:uid="{7BC7C157-B855-4C9B-AF2E-105B9D0754A1}"/>
    <cellStyle name="Calculation 2 9 4 7" xfId="2384" xr:uid="{931CF9F0-11C6-4189-B36D-B4769CA251C9}"/>
    <cellStyle name="Calculation 2 9 5" xfId="3224" xr:uid="{8C22435E-174E-4ECD-A663-A39B156B7981}"/>
    <cellStyle name="Calculation 2 9 6" xfId="3085" xr:uid="{8E33B09B-A953-419D-A5EA-6B2DE54D6DBE}"/>
    <cellStyle name="Calculation 2 9 7" xfId="2115" xr:uid="{40C80A35-D6BE-42FB-9402-C489C793556F}"/>
    <cellStyle name="Check Cell 2" xfId="126" xr:uid="{2513FD36-F15B-4474-A542-6B9996F82B38}"/>
    <cellStyle name="Comma 13" xfId="401" xr:uid="{3D3C806F-E783-4630-BE7D-E73FDA438433}"/>
    <cellStyle name="Comma 13 2" xfId="2166" xr:uid="{9E4DF185-F3EC-424F-BA6E-0EDFA6FE11ED}"/>
    <cellStyle name="Comma 2" xfId="7" xr:uid="{F1849530-F3C1-41C0-A878-9C33E389EB9C}"/>
    <cellStyle name="Comma 2 10" xfId="402" xr:uid="{0D4E7687-5AD4-47A3-A0C7-00276B526601}"/>
    <cellStyle name="Comma 2 10 2" xfId="9294" xr:uid="{2FCB5CCB-713C-4654-8831-399627C96AE2}"/>
    <cellStyle name="Comma 2 10 3" xfId="9295" xr:uid="{70C39F58-18C0-463E-873C-7F0658C20790}"/>
    <cellStyle name="Comma 2 10 4" xfId="9293" xr:uid="{8C50F8EA-70AC-4585-B11A-9D6AC2C7AF68}"/>
    <cellStyle name="Comma 2 10 5" xfId="2167" xr:uid="{060506D4-D9CF-4BA0-AB88-D3976297EA90}"/>
    <cellStyle name="Comma 2 11" xfId="9296" xr:uid="{15F50A9E-D060-4FE6-AECD-6567279C7D36}"/>
    <cellStyle name="Comma 2 11 2" xfId="9297" xr:uid="{BEAF67C5-6B7F-416E-9AE4-E4E07D2BA050}"/>
    <cellStyle name="Comma 2 11 3" xfId="9298" xr:uid="{3D5DED92-218C-45FB-8750-A6CD5D0501D8}"/>
    <cellStyle name="Comma 2 12" xfId="9299" xr:uid="{BA35B41C-6D65-4C76-B07A-F6761D51FFC2}"/>
    <cellStyle name="Comma 2 12 2" xfId="9300" xr:uid="{3D000F3E-B4C4-410D-A666-13529843F1CE}"/>
    <cellStyle name="Comma 2 12 3" xfId="9301" xr:uid="{0445DA65-F25D-4DAE-BCF8-5D08568A65CB}"/>
    <cellStyle name="Comma 2 13" xfId="9302" xr:uid="{AA7EA32D-C099-479B-8951-C7A1730F0A34}"/>
    <cellStyle name="Comma 2 13 2" xfId="9303" xr:uid="{582BF1AD-2098-4F20-9B76-F6E8446BC674}"/>
    <cellStyle name="Comma 2 13 3" xfId="9304" xr:uid="{3A40CB93-66A6-465D-BDC2-61D13136BB5A}"/>
    <cellStyle name="Comma 2 14" xfId="9305" xr:uid="{598BC917-DF38-41B3-B983-4FA2652728E3}"/>
    <cellStyle name="Comma 2 15" xfId="9306" xr:uid="{0DB19D5F-10AB-4531-B96F-88F9286CA817}"/>
    <cellStyle name="Comma 2 16" xfId="9292" xr:uid="{E0A09600-CE81-435D-91E3-CF7D2A9FF3F3}"/>
    <cellStyle name="Comma 2 2" xfId="154" xr:uid="{CBEE1EE5-3E8B-4E79-AE50-978E463BA063}"/>
    <cellStyle name="Comma 2 2 2" xfId="347" xr:uid="{D4872E07-E4A8-4F17-B8FA-FD2C11901D48}"/>
    <cellStyle name="Comma 2 2 2 2" xfId="348" xr:uid="{B7DF75D5-3973-4D7C-B80A-70D62546534A}"/>
    <cellStyle name="Comma 2 2 2 3" xfId="405" xr:uid="{02324862-52C8-4901-AC20-1C5934EF55C4}"/>
    <cellStyle name="Comma 2 2 2 4" xfId="9308" xr:uid="{EA2B46D0-B90F-4401-8060-B52A4A2C25E3}"/>
    <cellStyle name="Comma 2 2 2 5" xfId="2164" xr:uid="{84991E35-CA4C-474C-A489-AFBDA1D77CD8}"/>
    <cellStyle name="Comma 2 2 3" xfId="349" xr:uid="{A16C3A4D-EB8A-4738-B1E9-66F165B14FE3}"/>
    <cellStyle name="Comma 2 2 3 2" xfId="403" xr:uid="{E8EA758C-6337-431E-A50A-36E51CEEFE61}"/>
    <cellStyle name="Comma 2 2 3 3" xfId="9309" xr:uid="{55AB96DC-27BE-4083-9942-4AD7455CE3E9}"/>
    <cellStyle name="Comma 2 2 4" xfId="346" xr:uid="{7D4CD177-EB8D-45C5-BE6F-901D59EBD0DE}"/>
    <cellStyle name="Comma 2 2 4 2" xfId="2163" xr:uid="{16FE0DED-72AA-4C9C-81AC-20AF9786F695}"/>
    <cellStyle name="Comma 2 2 5" xfId="9283" xr:uid="{A47A2615-A1A5-43A9-9EE4-0AD7920FFD7B}"/>
    <cellStyle name="Comma 2 2 6" xfId="9307" xr:uid="{22FDC389-0F8A-459F-99BC-5BC8A6016CF9}"/>
    <cellStyle name="Comma 2 2 7" xfId="9648" xr:uid="{1CCAB07B-2E8E-49E1-88E5-06DF2A76035B}"/>
    <cellStyle name="Comma 2 3" xfId="180" xr:uid="{AB06D267-B01E-400C-AAB8-AF9730666713}"/>
    <cellStyle name="Comma 2 3 2" xfId="201" xr:uid="{AC4311EA-929F-4BB0-812E-4A58B1CBB332}"/>
    <cellStyle name="Comma 2 3 2 2" xfId="9311" xr:uid="{46D66B1B-9346-4893-A543-316533A6BE30}"/>
    <cellStyle name="Comma 2 3 2 3" xfId="2016" xr:uid="{1352736F-557D-4C1A-AA9B-1C47581EFB3F}"/>
    <cellStyle name="Comma 2 3 3" xfId="199" xr:uid="{367C9A4E-76F0-495B-A9F7-95A29D619B8D}"/>
    <cellStyle name="Comma 2 3 3 2" xfId="9312" xr:uid="{0221C51D-6BE5-4CC8-A8E0-1D091BA1C81D}"/>
    <cellStyle name="Comma 2 3 4" xfId="9310" xr:uid="{CA7237F4-BF87-4224-AC18-6E94984D75B5}"/>
    <cellStyle name="Comma 2 3 5" xfId="2005" xr:uid="{A952B8CB-FAA6-4DBE-B44D-FE45B5EB5115}"/>
    <cellStyle name="Comma 2 4" xfId="200" xr:uid="{0B40D2F8-FDF5-4AB5-BC58-7D7A73620829}"/>
    <cellStyle name="Comma 2 4 2" xfId="409" xr:uid="{2EEA30C3-C9C4-4126-A374-F7E6A9E5EF38}"/>
    <cellStyle name="Comma 2 4 2 2" xfId="9314" xr:uid="{4C130722-D189-4FD1-BCDB-CE7755C7E35B}"/>
    <cellStyle name="Comma 2 4 2 3" xfId="2168" xr:uid="{F0621143-6B04-420F-A8A9-BCBB49B2B10D}"/>
    <cellStyle name="Comma 2 4 3" xfId="9315" xr:uid="{DEE69647-EFE1-4A8C-84FB-F044CCBFBC51}"/>
    <cellStyle name="Comma 2 4 4" xfId="9313" xr:uid="{B07EA738-E621-4D9B-80D0-CE60E740C18A}"/>
    <cellStyle name="Comma 2 5" xfId="345" xr:uid="{B4E2B1F8-E64D-445A-A2EE-D1CA00C948EA}"/>
    <cellStyle name="Comma 2 5 2" xfId="406" xr:uid="{295A3A61-9B07-4BD8-9DA6-FA713FB52DB9}"/>
    <cellStyle name="Comma 2 5 2 2" xfId="9317" xr:uid="{852EDF4F-E073-457F-B11C-9959E9A36AA7}"/>
    <cellStyle name="Comma 2 5 3" xfId="9318" xr:uid="{E2EDB4D6-51E4-40BD-81B7-80693FA45F9A}"/>
    <cellStyle name="Comma 2 5 4" xfId="9316" xr:uid="{688E5949-CEC6-4DC6-839A-B71E250B27FF}"/>
    <cellStyle name="Comma 2 6" xfId="400" xr:uid="{AFD14D2A-09F0-4B84-A24F-F83C2E30370E}"/>
    <cellStyle name="Comma 2 6 2" xfId="9320" xr:uid="{2F788B42-CC98-425D-A153-88C045897414}"/>
    <cellStyle name="Comma 2 6 3" xfId="9321" xr:uid="{19C7F066-6B70-4D93-9229-BAFA827923E4}"/>
    <cellStyle name="Comma 2 6 4" xfId="9319" xr:uid="{D01BA78B-622D-438C-A4E8-42FBC4F4A55E}"/>
    <cellStyle name="Comma 2 6 5" xfId="2165" xr:uid="{4435521A-68BD-4CFA-B715-19F5C9A1F4F7}"/>
    <cellStyle name="Comma 2 7" xfId="5" xr:uid="{69E69508-747D-4D4D-B56A-0A75164A4025}"/>
    <cellStyle name="Comma 2 7 2" xfId="2958" xr:uid="{7A75E13A-3BCE-4EE6-85F6-FE48094724AE}"/>
    <cellStyle name="Comma 2 7 2 2" xfId="9323" xr:uid="{98D03A61-885E-4DFA-965C-A6A6A808A2F6}"/>
    <cellStyle name="Comma 2 7 2 2 2" xfId="9649" xr:uid="{5244EC8D-1D81-4AC1-81D8-8450BFDBDC33}"/>
    <cellStyle name="Comma 2 7 3" xfId="3966" xr:uid="{8B4F3438-B865-47EB-B5D0-0D70CEF94222}"/>
    <cellStyle name="Comma 2 7 3 2" xfId="9324" xr:uid="{5695BA19-9456-4D48-81B4-F70499165517}"/>
    <cellStyle name="Comma 2 7 4" xfId="9273" xr:uid="{F1FABB4D-9407-4325-B3A5-CBD7E7CAB095}"/>
    <cellStyle name="Comma 2 7 5" xfId="9322" xr:uid="{17AAB5C3-78E7-4A48-A268-5E5FEF93E1EF}"/>
    <cellStyle name="Comma 2 7 6" xfId="2949" xr:uid="{ED0A6601-400A-4C50-ADEA-B7EA4F00355E}"/>
    <cellStyle name="Comma 2 8" xfId="8" xr:uid="{D7157550-AF13-4492-8DEC-7E3085758AF1}"/>
    <cellStyle name="Comma 2 8 2" xfId="9326" xr:uid="{539C6792-CFBE-4037-A2D6-46DE369D7F79}"/>
    <cellStyle name="Comma 2 8 3" xfId="9327" xr:uid="{131658BB-704D-4765-81C6-B2F65D4E698C}"/>
    <cellStyle name="Comma 2 8 4" xfId="9325" xr:uid="{0E14017C-9DEF-476F-9ECD-1F11EC0F4696}"/>
    <cellStyle name="Comma 2 8 5" xfId="9653" xr:uid="{7E1BC1AD-27FE-47CF-8270-D5908FBFC29D}"/>
    <cellStyle name="Comma 2 8 6" xfId="9276" xr:uid="{0364CF5B-7809-4406-8AF2-3E936065EAC1}"/>
    <cellStyle name="Comma 2 9" xfId="9328" xr:uid="{DB6F1E69-414E-4C8F-8E4A-37CD17AC0372}"/>
    <cellStyle name="Comma 2 9 2" xfId="9329" xr:uid="{538E1349-2210-4A2C-8F91-B8D6C94A4825}"/>
    <cellStyle name="Comma 2 9 3" xfId="9330" xr:uid="{AC4A7496-E75C-4E9E-85D5-014515F60BE4}"/>
    <cellStyle name="Comma 3" xfId="19" xr:uid="{C2CD5FC2-C594-43E3-A609-380CF2047E88}"/>
    <cellStyle name="Comma 3 2" xfId="79" xr:uid="{EA466E7E-A535-45AA-A921-9BF860C9F977}"/>
    <cellStyle name="Comma 3 2 2" xfId="9647" xr:uid="{DBA8E6A6-5022-466C-9657-CA2D5462FD8B}"/>
    <cellStyle name="Comma 3 2 3" xfId="9652" xr:uid="{73895725-0609-43E2-AE74-9B920ED8B08F}"/>
    <cellStyle name="Comma 3 3" xfId="350" xr:uid="{94391A05-1D08-4B9A-857E-943B2728FD0A}"/>
    <cellStyle name="Comma 3 4" xfId="2954" xr:uid="{E8F77178-5D24-4404-839C-0FF3AAB0D0D5}"/>
    <cellStyle name="Comma 3 5" xfId="9287" xr:uid="{E0946BB0-7FBC-4D2B-BE30-51C48B7F0E7B}"/>
    <cellStyle name="Comma 3 6" xfId="9290" xr:uid="{84B037E4-D528-44EE-974A-B9809187F25C}"/>
    <cellStyle name="Comma 4" xfId="53" xr:uid="{9357A32D-290F-4F4C-8AB6-1E7A89B9BAA8}"/>
    <cellStyle name="Comma 4 2" xfId="351" xr:uid="{A4977A1C-2141-4455-900C-77081B3DA42E}"/>
    <cellStyle name="Comma 4 3" xfId="9651" xr:uid="{8E2FB4C5-509A-4BA7-8492-9F94F444376E}"/>
    <cellStyle name="Comma 5" xfId="179" xr:uid="{9FC6D5EC-71F5-45F3-8DD5-684A4B9FB8D7}"/>
    <cellStyle name="Comma 5 2" xfId="352" xr:uid="{B938492A-3BF0-4521-99AE-93EB97E47BE2}"/>
    <cellStyle name="Comma 5 3" xfId="2004" xr:uid="{C02960C3-33CB-4EA9-B472-777B965BD22E}"/>
    <cellStyle name="Comma 6" xfId="193" xr:uid="{53F69378-119A-429F-8587-B241E7B1105A}"/>
    <cellStyle name="Comma 7" xfId="4" xr:uid="{3F670A5D-A4DD-466A-A781-CDA74D3B8805}"/>
    <cellStyle name="Comma 7 2" xfId="2955" xr:uid="{66D6E5FF-3E61-4821-A669-DFE004B3B207}"/>
    <cellStyle name="Comma 7 2 2" xfId="9650" xr:uid="{2396E73D-5B80-4967-B8D6-8B709192C6AA}"/>
    <cellStyle name="Comma 7 3" xfId="3982" xr:uid="{D957B036-60CD-4813-8CDF-4F7CABCBD9FA}"/>
    <cellStyle name="Comma 7 4" xfId="2950" xr:uid="{AC3B961C-449B-4C70-9F0E-91501EC94406}"/>
    <cellStyle name="Comma 8" xfId="1214" xr:uid="{3A3A1A8C-6CD6-4983-AA86-50B51C07F676}"/>
    <cellStyle name="Comma 8 2" xfId="2951" xr:uid="{3AC3195B-4D94-48E4-A29F-3ECCC07C3114}"/>
    <cellStyle name="Comma 9" xfId="3325" xr:uid="{096631D1-BC26-4C9A-BC6F-EE90A0A12614}"/>
    <cellStyle name="Currency" xfId="1" builtinId="4"/>
    <cellStyle name="Currency 2" xfId="153" xr:uid="{B73FF94C-CD32-4ADC-9D48-7469B2DB8A0C}"/>
    <cellStyle name="Currency 2 2" xfId="353" xr:uid="{64CF15D5-87EF-40D3-A21C-AA57A34B23A1}"/>
    <cellStyle name="Currency 2 3" xfId="9331" xr:uid="{32A2591C-C3A4-450B-BE0F-37220A0A2556}"/>
    <cellStyle name="Currency 3" xfId="354" xr:uid="{930E1436-16F3-4AB8-9346-99B704EE14C7}"/>
    <cellStyle name="Currency 4" xfId="1997" xr:uid="{B71F93A1-D12E-49D4-80BB-0CDA921E916E}"/>
    <cellStyle name="Explanatory Text 2" xfId="127" xr:uid="{AD05C845-727D-4F88-9CA4-59D61CE78693}"/>
    <cellStyle name="Followed Hypdrlink" xfId="2056" hidden="1" xr:uid="{2F963C84-F955-4C6D-B74E-51544E74A530}"/>
    <cellStyle name="Followed Hyperlɩnk" xfId="2015" hidden="1" xr:uid="{B54D8881-B33B-497A-B6C5-28B65600BD83}"/>
    <cellStyle name="Followeɤ Hyperlink" xfId="2106" hidden="1" xr:uid="{2597E147-C994-44AB-A93A-B30F7F840CFB}"/>
    <cellStyle name="Good 2" xfId="128" xr:uid="{A3DEEEA8-C40E-4A5F-B61B-A3E34F0165BD}"/>
    <cellStyle name="Heading 1 2" xfId="129" xr:uid="{C49DAB5F-6C76-423F-893A-7520E38080C1}"/>
    <cellStyle name="Heading 2 2" xfId="130" xr:uid="{31EB4C7C-9AFE-435B-ACE8-3CA2E8898974}"/>
    <cellStyle name="Heading 3 2" xfId="131" xr:uid="{854D899E-163E-4B41-A563-35199CD5CE97}"/>
    <cellStyle name="Heading 4 2" xfId="132" xr:uid="{AE88876D-38A6-414B-8422-C471D51B3DE5}"/>
    <cellStyle name="Heading 4 2 2" xfId="9332" xr:uid="{CC4538D9-FCF2-4BB7-8B69-D586A9CB53D3}"/>
    <cellStyle name="Heading 4 3" xfId="9333" xr:uid="{D20A61F2-32E3-4347-9AA3-E40C58EF35CA}"/>
    <cellStyle name="Hyperliɮk" xfId="2057" hidden="1" xr:uid="{67593210-04D9-40ED-BF30-4F97410987D5}"/>
    <cellStyle name="Hyperliɮk" xfId="2108" hidden="1" xr:uid="{4D63A496-5964-4C48-B5AB-CDAFDCFA6F51}"/>
    <cellStyle name="Hyperlink" xfId="2107" hidden="1" xr:uid="{150F102E-AAC4-487C-A59D-CCC9EB602502}"/>
    <cellStyle name="Hyperlink 2" xfId="181" xr:uid="{87F18350-462A-43A5-AAB4-3AD7D20B8D3F}"/>
    <cellStyle name="Hyperlink 2 2" xfId="9335" xr:uid="{0526FC9F-B39E-4377-A828-52657A2445CC}"/>
    <cellStyle name="Hyperlink 2 3" xfId="9334" xr:uid="{7E6FA686-C6DA-44AA-94F4-B54F15F9DAC5}"/>
    <cellStyle name="Hyperlink 3" xfId="1211" xr:uid="{6252FB5A-08E0-4582-86CB-4E1A8B82AC3E}"/>
    <cellStyle name="Input 2" xfId="133" xr:uid="{0C35D8C8-AFF7-42EA-9525-600D66D8EE35}"/>
    <cellStyle name="Input 2 10" xfId="290" xr:uid="{A6EC03F7-23CA-44CA-8C07-5D4D35C9787C}"/>
    <cellStyle name="Input 2 10 2" xfId="514" xr:uid="{7D16701D-272D-4B28-9576-7450CA1D8906}"/>
    <cellStyle name="Input 2 10 2 2" xfId="993" xr:uid="{1A7A3B21-F46F-4332-8133-95625FAC314F}"/>
    <cellStyle name="Input 2 10 2 2 2" xfId="1798" xr:uid="{8FD8CEE4-70B2-472B-AF06-D24E1C15C95F}"/>
    <cellStyle name="Input 2 10 2 2 2 2" xfId="7569" xr:uid="{949281F2-084B-463E-AC26-BF5E71CA1454}"/>
    <cellStyle name="Input 2 10 2 2 2 3" xfId="10235" xr:uid="{9637DB0F-53B5-4A92-910B-DB00C6459F31}"/>
    <cellStyle name="Input 2 10 2 2 2 4" xfId="4595" xr:uid="{53C3338E-6298-4474-9887-922C84112894}"/>
    <cellStyle name="Input 2 10 2 2 3" xfId="5335" xr:uid="{3590A313-6577-482E-9353-CB55D0121BC0}"/>
    <cellStyle name="Input 2 10 2 2 3 2" xfId="8309" xr:uid="{FAFDA92D-3EF2-4ECD-B427-77B82B5C46FE}"/>
    <cellStyle name="Input 2 10 2 2 4" xfId="6100" xr:uid="{88C75296-2B36-492A-8F5F-59BDDF7AD88D}"/>
    <cellStyle name="Input 2 10 2 2 4 2" xfId="9074" xr:uid="{9FBE13F6-B267-48D0-B3FC-CEC72C9E3516}"/>
    <cellStyle name="Input 2 10 2 2 5" xfId="3810" xr:uid="{3E137D44-6FAB-428A-9D47-20B894C91643}"/>
    <cellStyle name="Input 2 10 2 2 6" xfId="6773" xr:uid="{41B4E312-A2A4-4E61-B026-ADD17D0EB41B}"/>
    <cellStyle name="Input 2 10 2 2 7" xfId="2750" xr:uid="{E45CF7DB-8AF1-4C44-8B4C-2301B4FAA10A}"/>
    <cellStyle name="Input 2 10 2 3" xfId="1181" xr:uid="{8F6E1551-F259-45BA-9251-66DA50A0BF9C}"/>
    <cellStyle name="Input 2 10 2 3 2" xfId="1986" xr:uid="{51372769-1C76-4E61-A51D-6D255D2E5B7B}"/>
    <cellStyle name="Input 2 10 2 3 2 2" xfId="7757" xr:uid="{2066B10C-85BB-454E-9198-ABD62D16BC9A}"/>
    <cellStyle name="Input 2 10 2 3 2 3" xfId="10423" xr:uid="{18E805CA-521E-4598-AD8C-29A75309F13F}"/>
    <cellStyle name="Input 2 10 2 3 2 4" xfId="4783" xr:uid="{D06EE125-70FC-4F9D-8882-0EFF0B5B2E53}"/>
    <cellStyle name="Input 2 10 2 3 3" xfId="5523" xr:uid="{C3CFAC02-8657-49AA-825F-55A91FD4D137}"/>
    <cellStyle name="Input 2 10 2 3 3 2" xfId="8497" xr:uid="{445C48E3-1BAD-4822-B2FC-93B8581C8A93}"/>
    <cellStyle name="Input 2 10 2 3 4" xfId="6288" xr:uid="{5815C1AA-F4ED-42A6-A7F7-6B4879DF4C85}"/>
    <cellStyle name="Input 2 10 2 3 4 2" xfId="9262" xr:uid="{FFB1F4A9-63DD-40EA-90B3-B4FA5DA8BBBB}"/>
    <cellStyle name="Input 2 10 2 3 5" xfId="3955" xr:uid="{3F08B877-520B-40D9-9882-F6A52E30F66A}"/>
    <cellStyle name="Input 2 10 2 3 6" xfId="6961" xr:uid="{0B96C090-5F8E-42B2-9425-62A189656C23}"/>
    <cellStyle name="Input 2 10 2 3 7" xfId="2938" xr:uid="{0FF4074F-A090-4375-B72D-AF7BA72C28FE}"/>
    <cellStyle name="Input 2 10 2 4" xfId="1320" xr:uid="{FACF3599-7A1E-4FC4-8168-F406A285E32A}"/>
    <cellStyle name="Input 2 10 2 4 2" xfId="7091" xr:uid="{41DC9DB3-6092-4865-A546-9C0B57370954}"/>
    <cellStyle name="Input 2 10 2 4 3" xfId="9757" xr:uid="{5E1BCBBD-6019-4618-85DE-945E68CBB99E}"/>
    <cellStyle name="Input 2 10 2 4 4" xfId="4117" xr:uid="{D2B31330-B3F6-40AE-BB0D-C83704069A75}"/>
    <cellStyle name="Input 2 10 2 5" xfId="4857" xr:uid="{7CFFDDAA-79F7-4DB9-B3A3-0F0A2DF924FB}"/>
    <cellStyle name="Input 2 10 2 5 2" xfId="7831" xr:uid="{41B96E08-C717-42B9-BB56-C995F6D2CDF2}"/>
    <cellStyle name="Input 2 10 2 6" xfId="5622" xr:uid="{3FA13509-4728-4C40-8786-C7138BA50E7C}"/>
    <cellStyle name="Input 2 10 2 6 2" xfId="8596" xr:uid="{D2173F79-0CDD-4557-B7F2-0DDF42F49050}"/>
    <cellStyle name="Input 2 10 2 7" xfId="3400" xr:uid="{DB16ACA7-64FF-4942-92B2-A05E404F9E41}"/>
    <cellStyle name="Input 2 10 2 8" xfId="3123" xr:uid="{5B12B265-2D9C-49BC-A42F-20C41F8910C2}"/>
    <cellStyle name="Input 2 10 2 9" xfId="2272" xr:uid="{83F7541E-6AC7-49F7-B42B-FF7C27D65941}"/>
    <cellStyle name="Input 2 10 3" xfId="782" xr:uid="{D8174196-378F-479D-9B85-88D9B9E6732C}"/>
    <cellStyle name="Input 2 10 3 2" xfId="1587" xr:uid="{58968F79-BF7B-4985-87A3-AA351406A291}"/>
    <cellStyle name="Input 2 10 3 2 2" xfId="7358" xr:uid="{3DEB2CEA-CD3F-4CFD-B17D-9D0221F326CA}"/>
    <cellStyle name="Input 2 10 3 2 3" xfId="10024" xr:uid="{2FF985AB-23C9-4A39-9AAF-4308437A4896}"/>
    <cellStyle name="Input 2 10 3 2 4" xfId="4384" xr:uid="{583FD56D-71BA-43F5-97D1-354DE8F33295}"/>
    <cellStyle name="Input 2 10 3 3" xfId="5124" xr:uid="{59C92019-B032-41A4-8516-F64F19133D7A}"/>
    <cellStyle name="Input 2 10 3 3 2" xfId="8098" xr:uid="{2627DFE1-49C9-48DC-B9B9-41B2C1D0D822}"/>
    <cellStyle name="Input 2 10 3 4" xfId="5889" xr:uid="{BBC00D62-8826-4356-A01F-D5D3191D071A}"/>
    <cellStyle name="Input 2 10 3 4 2" xfId="8863" xr:uid="{91EE38FA-E2E4-4347-8A24-3B24272C31FF}"/>
    <cellStyle name="Input 2 10 3 5" xfId="3617" xr:uid="{9A615181-81A0-4D03-827C-4E09860DB3C7}"/>
    <cellStyle name="Input 2 10 3 6" xfId="6562" xr:uid="{E409B30E-BFB9-4538-814B-EE0C6D8ABBA4}"/>
    <cellStyle name="Input 2 10 3 7" xfId="2539" xr:uid="{D00BF115-0801-4868-8496-4F8EBF5EE5E8}"/>
    <cellStyle name="Input 2 10 4" xfId="588" xr:uid="{56F1FD87-F364-43AA-B167-457291272CE3}"/>
    <cellStyle name="Input 2 10 4 2" xfId="1393" xr:uid="{63B6080C-82F9-4DBC-9738-F85FF9AC5317}"/>
    <cellStyle name="Input 2 10 4 2 2" xfId="7164" xr:uid="{A3244DB8-1EA2-468C-8F7C-AA5463C3CA8D}"/>
    <cellStyle name="Input 2 10 4 2 3" xfId="9830" xr:uid="{0BD39E88-A60C-4822-95A4-503CD2373169}"/>
    <cellStyle name="Input 2 10 4 2 4" xfId="4190" xr:uid="{50700895-A9F6-4891-A94D-33F35AA4D93C}"/>
    <cellStyle name="Input 2 10 4 3" xfId="4930" xr:uid="{BD3D492F-077D-4FF4-ABBB-BB1BDAE68C3C}"/>
    <cellStyle name="Input 2 10 4 3 2" xfId="7904" xr:uid="{CCAD5502-E5B4-4114-B26F-27072B8B7A96}"/>
    <cellStyle name="Input 2 10 4 4" xfId="5695" xr:uid="{6DC905D2-9966-4065-9E07-7AE09F2749F1}"/>
    <cellStyle name="Input 2 10 4 4 2" xfId="8669" xr:uid="{93FE9986-3D86-4936-9E67-0D9A241EE0D8}"/>
    <cellStyle name="Input 2 10 4 5" xfId="3451" xr:uid="{811539AE-5C07-48A6-9308-837760F6431B}"/>
    <cellStyle name="Input 2 10 4 6" xfId="6368" xr:uid="{386E140D-D59A-4E77-A3E7-7EA1E7A58337}"/>
    <cellStyle name="Input 2 10 4 7" xfId="2345" xr:uid="{71191DB4-B27C-4F26-AF6E-413642132DED}"/>
    <cellStyle name="Input 2 10 5" xfId="3219" xr:uid="{E436F684-BC69-4E9B-A27E-C7A3D229B97D}"/>
    <cellStyle name="Input 2 10 6" xfId="3981" xr:uid="{3FCB4F89-C467-449E-BB1C-A24D516801EB}"/>
    <cellStyle name="Input 2 10 7" xfId="2110" xr:uid="{0ECC63A4-3396-46EF-BFB4-96797F617B56}"/>
    <cellStyle name="Input 2 11" xfId="242" xr:uid="{48C76662-5FA5-460E-ADE0-76BF301FD551}"/>
    <cellStyle name="Input 2 11 2" xfId="466" xr:uid="{569D8AFD-8D2C-44E5-9842-BFE3A4C93EDD}"/>
    <cellStyle name="Input 2 11 2 2" xfId="945" xr:uid="{B1F66C2D-E339-448C-9974-CEBF131D9282}"/>
    <cellStyle name="Input 2 11 2 2 2" xfId="1750" xr:uid="{A25D423B-94E2-4CF8-87BC-7B870A2E2B17}"/>
    <cellStyle name="Input 2 11 2 2 2 2" xfId="7521" xr:uid="{18DE4637-FCE9-4958-9980-AB05E4CCBA52}"/>
    <cellStyle name="Input 2 11 2 2 2 3" xfId="10187" xr:uid="{9E07FCE6-4F3C-4386-A7BA-059BA9E33ACD}"/>
    <cellStyle name="Input 2 11 2 2 2 4" xfId="4547" xr:uid="{15709419-3DCD-41D4-BE9F-BE2C2B4E4CDA}"/>
    <cellStyle name="Input 2 11 2 2 3" xfId="5287" xr:uid="{983A4FAB-C823-4E75-B8F0-F9F62485ED3C}"/>
    <cellStyle name="Input 2 11 2 2 3 2" xfId="8261" xr:uid="{74656F22-BCCA-4944-9B8B-5DEC87F34096}"/>
    <cellStyle name="Input 2 11 2 2 4" xfId="6052" xr:uid="{F7F2E009-0CD7-4A1B-89C5-45F281FEC956}"/>
    <cellStyle name="Input 2 11 2 2 4 2" xfId="9026" xr:uid="{35BADC9E-1865-4F33-82F2-503B5987D1F9}"/>
    <cellStyle name="Input 2 11 2 2 5" xfId="3762" xr:uid="{F148356F-2122-4473-8619-11048B9EBE4D}"/>
    <cellStyle name="Input 2 11 2 2 6" xfId="6725" xr:uid="{EDC52859-B3C9-44E9-BD9C-3AB32223EDA5}"/>
    <cellStyle name="Input 2 11 2 2 7" xfId="2702" xr:uid="{0BC584C9-59EC-4249-97A0-FC215999A600}"/>
    <cellStyle name="Input 2 11 2 3" xfId="576" xr:uid="{B9FC7E73-35D7-422C-AA54-075D31ED256F}"/>
    <cellStyle name="Input 2 11 2 3 2" xfId="1381" xr:uid="{422CB0F3-01A2-48F2-9EBD-D5965EB1789D}"/>
    <cellStyle name="Input 2 11 2 3 2 2" xfId="7152" xr:uid="{0DBE6B86-005A-497C-A229-F89DFD5BD39C}"/>
    <cellStyle name="Input 2 11 2 3 2 3" xfId="9818" xr:uid="{FF789505-7C9B-41AD-A720-002D27CEF860}"/>
    <cellStyle name="Input 2 11 2 3 2 4" xfId="4178" xr:uid="{303D1139-EC33-402E-9768-5E377367BE67}"/>
    <cellStyle name="Input 2 11 2 3 3" xfId="4918" xr:uid="{2ECBC97F-5BDA-4BF4-90A4-864C693D06C4}"/>
    <cellStyle name="Input 2 11 2 3 3 2" xfId="7892" xr:uid="{3B5F1778-DF41-4481-A0FF-689D5969410D}"/>
    <cellStyle name="Input 2 11 2 3 4" xfId="5683" xr:uid="{83BD4AE2-DF0A-47D6-8246-EE3FD3B4919A}"/>
    <cellStyle name="Input 2 11 2 3 4 2" xfId="8657" xr:uid="{F5984FA8-3DEB-4560-B7CF-53BFF5DD73B1}"/>
    <cellStyle name="Input 2 11 2 3 5" xfId="3444" xr:uid="{F524FA59-6192-4758-A5B8-35CA1A7E8C51}"/>
    <cellStyle name="Input 2 11 2 3 6" xfId="6356" xr:uid="{E200112E-53C4-408D-B37E-B8E40B9686B3}"/>
    <cellStyle name="Input 2 11 2 3 7" xfId="2333" xr:uid="{958223EA-B18B-4511-966E-C933404A8496}"/>
    <cellStyle name="Input 2 11 2 4" xfId="1272" xr:uid="{EC8F119A-2686-46D2-856F-DC2B03D7DD93}"/>
    <cellStyle name="Input 2 11 2 4 2" xfId="7043" xr:uid="{AFFCF7E6-02BF-4CCC-85EB-EBF131E388FD}"/>
    <cellStyle name="Input 2 11 2 4 3" xfId="9709" xr:uid="{A4124F17-E685-42DD-BA19-56563713C4FC}"/>
    <cellStyle name="Input 2 11 2 4 4" xfId="4069" xr:uid="{1C23BECA-7218-44BB-92D3-445FF6999FBB}"/>
    <cellStyle name="Input 2 11 2 5" xfId="4809" xr:uid="{DCC9ED50-4D29-40A4-B812-0DECF492C90F}"/>
    <cellStyle name="Input 2 11 2 5 2" xfId="7783" xr:uid="{F2F74CBC-8D02-4146-9549-FBDBF4EB034A}"/>
    <cellStyle name="Input 2 11 2 6" xfId="5574" xr:uid="{9780CA75-C92B-453A-B657-E1C3724DAD9F}"/>
    <cellStyle name="Input 2 11 2 6 2" xfId="8548" xr:uid="{001E7C50-8E67-461B-A362-4FEB895635D2}"/>
    <cellStyle name="Input 2 11 2 7" xfId="3367" xr:uid="{05FCEB1D-DAF4-4B3E-A6D4-CD37FB6AFE9C}"/>
    <cellStyle name="Input 2 11 2 8" xfId="3323" xr:uid="{51E18DF5-D920-42C1-A31B-E7A8587B113D}"/>
    <cellStyle name="Input 2 11 2 9" xfId="2224" xr:uid="{C81E484B-AA70-45CF-84D0-702E2CDA700F}"/>
    <cellStyle name="Input 2 11 3" xfId="734" xr:uid="{275ACF72-AA1E-45CE-8075-10F066E92510}"/>
    <cellStyle name="Input 2 11 3 2" xfId="1539" xr:uid="{FA8D284F-6A01-4CCA-8589-4C3CF199DBCB}"/>
    <cellStyle name="Input 2 11 3 2 2" xfId="7310" xr:uid="{AF34178C-83C4-404B-88DF-859776A06A49}"/>
    <cellStyle name="Input 2 11 3 2 3" xfId="9976" xr:uid="{0EFEE8CF-8D56-4474-B525-0AE85296B7CB}"/>
    <cellStyle name="Input 2 11 3 2 4" xfId="4336" xr:uid="{FE0148EF-11C0-46AC-BB31-D4A78E6B2235}"/>
    <cellStyle name="Input 2 11 3 3" xfId="5076" xr:uid="{19488CE8-26C6-471A-A4BD-4E8C0EA35941}"/>
    <cellStyle name="Input 2 11 3 3 2" xfId="8050" xr:uid="{2B374D40-3D05-4AA5-BF47-7F8364F45EF0}"/>
    <cellStyle name="Input 2 11 3 4" xfId="5841" xr:uid="{59C21316-D021-4DB4-8A91-62E49DCA038D}"/>
    <cellStyle name="Input 2 11 3 4 2" xfId="8815" xr:uid="{798A56BA-66BB-4868-8362-4A8BCFCBE68F}"/>
    <cellStyle name="Input 2 11 3 5" xfId="3569" xr:uid="{A6557D2C-5A81-40CD-AD6F-1541967B2E02}"/>
    <cellStyle name="Input 2 11 3 6" xfId="6514" xr:uid="{E8DAE7FE-C176-4F10-89B9-EDB3BFEFDD8A}"/>
    <cellStyle name="Input 2 11 3 7" xfId="2491" xr:uid="{7098DFB4-5577-468F-890D-4ED48B0F3ED5}"/>
    <cellStyle name="Input 2 11 4" xfId="591" xr:uid="{3BD86008-83F9-4E5E-9E29-536AA3080932}"/>
    <cellStyle name="Input 2 11 4 2" xfId="1396" xr:uid="{ACD00C9C-6599-4BE2-B3F6-80FAD8E92802}"/>
    <cellStyle name="Input 2 11 4 2 2" xfId="7167" xr:uid="{1090509E-B3CE-4EB3-A540-523DF3C3E5A1}"/>
    <cellStyle name="Input 2 11 4 2 3" xfId="9833" xr:uid="{23A6EA66-B1A5-4066-90B4-D3BDA92103D5}"/>
    <cellStyle name="Input 2 11 4 2 4" xfId="4193" xr:uid="{BE02AF5B-CA5F-4FF8-B249-C6D574FC3676}"/>
    <cellStyle name="Input 2 11 4 3" xfId="4933" xr:uid="{BD7DA398-2B0B-43A8-AD84-1695F71414B1}"/>
    <cellStyle name="Input 2 11 4 3 2" xfId="7907" xr:uid="{5D97065B-A7AE-4C2F-95C4-AA656520432B}"/>
    <cellStyle name="Input 2 11 4 4" xfId="5698" xr:uid="{9C581845-A59A-4EF8-AB43-0DF4B663547A}"/>
    <cellStyle name="Input 2 11 4 4 2" xfId="8672" xr:uid="{CF5A8A4B-21BB-4906-8974-82F3D22A08C7}"/>
    <cellStyle name="Input 2 11 4 5" xfId="3454" xr:uid="{01AB744D-65E6-4443-B075-CC1DF2D06229}"/>
    <cellStyle name="Input 2 11 4 6" xfId="6371" xr:uid="{48C0F8C2-5AD6-4159-BE67-657EBF2D5924}"/>
    <cellStyle name="Input 2 11 4 7" xfId="2348" xr:uid="{57D9063C-8EAC-46CF-887C-23FC53F29013}"/>
    <cellStyle name="Input 2 11 5" xfId="3180" xr:uid="{9CB5B85A-651D-4BE9-A15F-53E197A5FE93}"/>
    <cellStyle name="Input 2 11 6" xfId="3239" xr:uid="{2B911CC6-F016-4743-A6A4-0C129DEA3C61}"/>
    <cellStyle name="Input 2 11 7" xfId="2059" xr:uid="{79705C1B-1DF2-4B4D-88B6-206AD56B8280}"/>
    <cellStyle name="Input 2 12" xfId="195" xr:uid="{233A06E1-AEF8-425A-8816-C72F4E4327B8}"/>
    <cellStyle name="Input 2 12 2" xfId="424" xr:uid="{87F1B347-71E0-4223-BCCC-56FA7862176A}"/>
    <cellStyle name="Input 2 12 2 2" xfId="903" xr:uid="{265CDBE1-DDB9-4C23-9D09-A966629EE7D7}"/>
    <cellStyle name="Input 2 12 2 2 2" xfId="1708" xr:uid="{6721F15E-2E07-4E7C-A31B-27E238060AD3}"/>
    <cellStyle name="Input 2 12 2 2 2 2" xfId="7479" xr:uid="{089F5294-AAD6-4D0A-B6E0-7335FBB82869}"/>
    <cellStyle name="Input 2 12 2 2 2 3" xfId="10145" xr:uid="{F0ED28C6-DC93-4A07-B48D-742D38FFBA92}"/>
    <cellStyle name="Input 2 12 2 2 2 4" xfId="4505" xr:uid="{026FB43D-09CF-478A-A8A0-E2442C84DC58}"/>
    <cellStyle name="Input 2 12 2 2 3" xfId="5245" xr:uid="{0A7EE525-920E-4A41-8D07-E83A32216B0C}"/>
    <cellStyle name="Input 2 12 2 2 3 2" xfId="8219" xr:uid="{96A73A6F-1273-42FC-98D3-5C2602507956}"/>
    <cellStyle name="Input 2 12 2 2 4" xfId="6010" xr:uid="{1606FDCD-B673-4ADD-8FE7-E4B06D6CAB3B}"/>
    <cellStyle name="Input 2 12 2 2 4 2" xfId="8984" xr:uid="{DDABBB54-1B85-4FEF-9EBC-5FB3C518449F}"/>
    <cellStyle name="Input 2 12 2 2 5" xfId="3720" xr:uid="{03C2A7D9-8C58-43DB-840A-6C576D3DB6C7}"/>
    <cellStyle name="Input 2 12 2 2 6" xfId="6683" xr:uid="{74F938B8-01F2-49B0-A5A6-C4BBEC789B21}"/>
    <cellStyle name="Input 2 12 2 2 7" xfId="2660" xr:uid="{8E974BF2-6F4A-4B93-A9B3-C0DBF54AA926}"/>
    <cellStyle name="Input 2 12 2 3" xfId="1064" xr:uid="{7470BEA1-7298-4B76-A4DF-3D522BB72BCA}"/>
    <cellStyle name="Input 2 12 2 3 2" xfId="1869" xr:uid="{CBAE50EE-BB6F-49C2-9616-C157FF948C16}"/>
    <cellStyle name="Input 2 12 2 3 2 2" xfId="7640" xr:uid="{81D1163A-3FDB-402A-B646-17F365AAD546}"/>
    <cellStyle name="Input 2 12 2 3 2 3" xfId="10306" xr:uid="{C4309A2F-03D3-46DD-AE3E-1CC8028A03BF}"/>
    <cellStyle name="Input 2 12 2 3 2 4" xfId="4666" xr:uid="{BBD15D80-5090-4FD5-B0B5-BE6E18ECE8CA}"/>
    <cellStyle name="Input 2 12 2 3 3" xfId="5406" xr:uid="{32EC4C31-4E24-41D5-A545-1CCB3F022370}"/>
    <cellStyle name="Input 2 12 2 3 3 2" xfId="8380" xr:uid="{3AF192CD-8CC2-4D1B-B713-D31FB936EF50}"/>
    <cellStyle name="Input 2 12 2 3 4" xfId="6171" xr:uid="{2DED3075-973A-4C28-B61A-171279E49657}"/>
    <cellStyle name="Input 2 12 2 3 4 2" xfId="9145" xr:uid="{E9129BBF-6A44-4812-AE0E-734C1A183D43}"/>
    <cellStyle name="Input 2 12 2 3 5" xfId="3880" xr:uid="{74574F20-7694-4910-9CA9-36805E5F68C7}"/>
    <cellStyle name="Input 2 12 2 3 6" xfId="6844" xr:uid="{EE12449F-56EC-42DE-81DA-E0116C0CE34D}"/>
    <cellStyle name="Input 2 12 2 3 7" xfId="2821" xr:uid="{1EE6BAAE-E695-4FF0-BFDF-24FD22B90E5E}"/>
    <cellStyle name="Input 2 12 2 4" xfId="1230" xr:uid="{E8232216-2129-43E4-98DF-428B7DED6B06}"/>
    <cellStyle name="Input 2 12 2 4 2" xfId="7001" xr:uid="{AD930108-41D4-4C0E-9575-DF4F452CAFDD}"/>
    <cellStyle name="Input 2 12 2 4 3" xfId="9667" xr:uid="{7BF3C64C-6659-40AA-A1F3-22A224C4E3A7}"/>
    <cellStyle name="Input 2 12 2 4 4" xfId="4027" xr:uid="{5929EDFF-8F66-4D6D-AD40-E58CAA62A76E}"/>
    <cellStyle name="Input 2 12 2 5" xfId="3262" xr:uid="{4408CB96-66C1-4A41-B3F7-868BF48872BB}"/>
    <cellStyle name="Input 2 12 2 5 2" xfId="3310" xr:uid="{AB6B5A35-3D1C-4600-A6F9-75A87E81CA72}"/>
    <cellStyle name="Input 2 12 2 6" xfId="4012" xr:uid="{EBF2E1D3-9809-4166-AF17-A82E77A5BD73}"/>
    <cellStyle name="Input 2 12 2 6 2" xfId="6986" xr:uid="{02C62640-12DE-490E-B1DA-3CF0D880976B}"/>
    <cellStyle name="Input 2 12 2 7" xfId="3336" xr:uid="{A9FF4F38-A4F9-4356-AAE8-784F64DFB1B2}"/>
    <cellStyle name="Input 2 12 2 8" xfId="3036" xr:uid="{187E5D26-5C0A-4B86-98AC-39364622F793}"/>
    <cellStyle name="Input 2 12 2 9" xfId="2182" xr:uid="{FEB55144-0968-46B7-BAFD-5D9FF9DF78EF}"/>
    <cellStyle name="Input 2 12 3" xfId="688" xr:uid="{05513ADB-929E-48E5-9B82-96EB35106895}"/>
    <cellStyle name="Input 2 12 3 2" xfId="1493" xr:uid="{521CB45B-39DB-40CF-84A6-8CDB0FEA7C9D}"/>
    <cellStyle name="Input 2 12 3 2 2" xfId="7264" xr:uid="{4F2855D7-62BD-40F6-AE50-2F5466998A38}"/>
    <cellStyle name="Input 2 12 3 2 3" xfId="9930" xr:uid="{92499814-A91A-4CAB-A284-2E4031112A2C}"/>
    <cellStyle name="Input 2 12 3 2 4" xfId="4290" xr:uid="{903BDDB4-E7B5-4B23-8809-5FDCFB85F974}"/>
    <cellStyle name="Input 2 12 3 3" xfId="5030" xr:uid="{2D6A5462-CE99-4156-8756-019E7C64115C}"/>
    <cellStyle name="Input 2 12 3 3 2" xfId="8004" xr:uid="{873DA6B6-050B-4740-AC19-D8880AA7F32E}"/>
    <cellStyle name="Input 2 12 3 4" xfId="5795" xr:uid="{7CE69389-7EE5-4BB2-B3F8-07EFECBE3C70}"/>
    <cellStyle name="Input 2 12 3 4 2" xfId="8769" xr:uid="{A65F5DFB-49C5-41F5-A546-56A709A4206D}"/>
    <cellStyle name="Input 2 12 3 5" xfId="3524" xr:uid="{412E1A30-10A2-4D35-A07F-14CC96ADDC46}"/>
    <cellStyle name="Input 2 12 3 6" xfId="6468" xr:uid="{6536F58D-FE82-47DF-9527-7B469753EAEC}"/>
    <cellStyle name="Input 2 12 3 7" xfId="2445" xr:uid="{401BC8AB-D6EF-4E49-94BA-D78D5815B1F0}"/>
    <cellStyle name="Input 2 12 4" xfId="1065" xr:uid="{1DCE76D8-D12C-48A1-AE23-CC981C0C2EEA}"/>
    <cellStyle name="Input 2 12 4 2" xfId="1870" xr:uid="{0F16BA7C-08AC-49D5-8B50-210E57EADA5C}"/>
    <cellStyle name="Input 2 12 4 2 2" xfId="7641" xr:uid="{B438588B-0572-44C4-8E22-7D1F1312D47C}"/>
    <cellStyle name="Input 2 12 4 2 3" xfId="10307" xr:uid="{FCED26C9-059C-4256-B12B-86024CB19149}"/>
    <cellStyle name="Input 2 12 4 2 4" xfId="4667" xr:uid="{36E357F0-F230-4BEE-9392-08FC7AEB2127}"/>
    <cellStyle name="Input 2 12 4 3" xfId="5407" xr:uid="{E29EEEF8-EC7E-43EF-9AF8-0ACC42ABC42E}"/>
    <cellStyle name="Input 2 12 4 3 2" xfId="8381" xr:uid="{93D8BD3B-E493-4205-8954-CBCB637FC91A}"/>
    <cellStyle name="Input 2 12 4 4" xfId="6172" xr:uid="{17E34E97-7C39-4687-BC24-23407C01CD37}"/>
    <cellStyle name="Input 2 12 4 4 2" xfId="9146" xr:uid="{E063DC91-091E-4FC1-B0D7-81FC7AEB7AAC}"/>
    <cellStyle name="Input 2 12 4 5" xfId="3881" xr:uid="{AC52713E-1B80-421A-BC0C-66AD78BA604A}"/>
    <cellStyle name="Input 2 12 4 6" xfId="6845" xr:uid="{03FA2477-4288-47A4-83B8-288274C63C5E}"/>
    <cellStyle name="Input 2 12 4 7" xfId="2822" xr:uid="{2850F7C2-99D9-44B5-A3A6-6BEB44C26B70}"/>
    <cellStyle name="Input 2 12 5" xfId="3126" xr:uid="{9328FDBC-1CCB-403D-B2E1-E6FF26C484CC}"/>
    <cellStyle name="Input 2 12 6" xfId="3222" xr:uid="{938AB032-5FE2-4B18-8CDE-1FA0ED30A152}"/>
    <cellStyle name="Input 2 12 7" xfId="2013" xr:uid="{E0306507-9A96-4C16-9AB3-E966B0CC86D4}"/>
    <cellStyle name="Input 2 13" xfId="412" xr:uid="{B9B325DD-8DDF-4108-A7F1-B3188BC14034}"/>
    <cellStyle name="Input 2 13 2" xfId="891" xr:uid="{054724F2-63DD-4B35-818C-0949EAD149CD}"/>
    <cellStyle name="Input 2 13 2 2" xfId="1696" xr:uid="{1C87BBE9-09A3-4FE7-A1F7-356A52A81430}"/>
    <cellStyle name="Input 2 13 2 2 2" xfId="7467" xr:uid="{50F4F7E4-54CB-4DD2-A770-AF31C9DCA4DC}"/>
    <cellStyle name="Input 2 13 2 2 3" xfId="10133" xr:uid="{434160AE-1033-4DCB-AA5D-522EE548E5D8}"/>
    <cellStyle name="Input 2 13 2 2 4" xfId="4493" xr:uid="{8D84EB19-44E8-4B6A-B1D3-F0D9449530E5}"/>
    <cellStyle name="Input 2 13 2 3" xfId="5233" xr:uid="{58C9EE44-076A-4808-A325-E0A9249B303F}"/>
    <cellStyle name="Input 2 13 2 3 2" xfId="8207" xr:uid="{33148B4C-F956-4861-867A-BC7FC4283082}"/>
    <cellStyle name="Input 2 13 2 4" xfId="5998" xr:uid="{E45B2ABE-AD77-4A72-9B9A-E1D3F066D8B3}"/>
    <cellStyle name="Input 2 13 2 4 2" xfId="8972" xr:uid="{F8B4674D-018A-4618-88DB-CFFB40D04005}"/>
    <cellStyle name="Input 2 13 2 5" xfId="3708" xr:uid="{3C028656-5893-48D0-990F-E385EBD2698E}"/>
    <cellStyle name="Input 2 13 2 6" xfId="6671" xr:uid="{4304EB94-AE23-4247-BBC4-4A1B21EDDCB3}"/>
    <cellStyle name="Input 2 13 2 7" xfId="2648" xr:uid="{C2221F61-B533-4284-9EE9-139F29846A06}"/>
    <cellStyle name="Input 2 13 3" xfId="1071" xr:uid="{9970A88A-0AAF-4BAE-990D-8CFB957D058F}"/>
    <cellStyle name="Input 2 13 3 2" xfId="1876" xr:uid="{6D9E22EF-71F0-49A5-BBF7-B668306F272A}"/>
    <cellStyle name="Input 2 13 3 2 2" xfId="7647" xr:uid="{CE2AB975-7CB8-4C29-97E3-2C3BB0306CA8}"/>
    <cellStyle name="Input 2 13 3 2 3" xfId="10313" xr:uid="{BD02E5E8-D0E8-45A7-9B63-2190486E03E5}"/>
    <cellStyle name="Input 2 13 3 2 4" xfId="4673" xr:uid="{A72E1140-9AF0-402B-BE42-9FAFD834CC0C}"/>
    <cellStyle name="Input 2 13 3 3" xfId="5413" xr:uid="{8FF3D903-77E0-4A26-9710-D4F4E957EA5C}"/>
    <cellStyle name="Input 2 13 3 4" xfId="6178" xr:uid="{263C053E-F35A-4022-A41B-9A5D8B0D5194}"/>
    <cellStyle name="Input 2 13 3 4 2" xfId="9152" xr:uid="{35EA053D-CA5E-4AA3-8449-B4AF6300385A}"/>
    <cellStyle name="Input 2 13 3 5" xfId="3886" xr:uid="{52281A83-E4BF-4081-BD66-FAB8B6B3DD65}"/>
    <cellStyle name="Input 2 13 3 6" xfId="6851" xr:uid="{DBD367E9-928D-47FC-9097-AC72AFBEE499}"/>
    <cellStyle name="Input 2 13 3 7" xfId="2828" xr:uid="{C65C67C5-4F98-4106-9187-A93B49C4CD6F}"/>
    <cellStyle name="Input 2 13 4" xfId="1218" xr:uid="{C3E86951-3532-4D1A-A04B-F2CFA9FC88CE}"/>
    <cellStyle name="Input 2 13 4 2" xfId="6989" xr:uid="{2A864F53-A5A9-4C7B-BE79-158F0F746213}"/>
    <cellStyle name="Input 2 13 4 3" xfId="9655" xr:uid="{9DA65A7B-F27C-4497-8D1A-FEA6C12D0556}"/>
    <cellStyle name="Input 2 13 4 4" xfId="4015" xr:uid="{68B8B91E-1318-4F90-BEE2-C2DBEDDFE741}"/>
    <cellStyle name="Input 2 13 5" xfId="3256" xr:uid="{2D0A7D27-C0A3-4307-8726-87DD9FE08C58}"/>
    <cellStyle name="Input 2 13 5 2" xfId="3016" xr:uid="{ED44D74F-0642-498A-BBBE-60D75E7B9C02}"/>
    <cellStyle name="Input 2 13 6" xfId="4002" xr:uid="{B85CA582-0439-405F-A949-8C37D6B7597D}"/>
    <cellStyle name="Input 2 13 6 2" xfId="6976" xr:uid="{5AAEFF8C-12CF-4FED-BE5D-80ED520186BB}"/>
    <cellStyle name="Input 2 13 7" xfId="3327" xr:uid="{656CAEA5-34CA-4F84-83DA-36D3B3651C9B}"/>
    <cellStyle name="Input 2 13 8" xfId="2983" xr:uid="{13D85A61-B982-4469-B4F1-60A19EF35D4F}"/>
    <cellStyle name="Input 2 13 9" xfId="2170" xr:uid="{5A40E5EE-6174-4420-8FFA-A528AB325EDD}"/>
    <cellStyle name="Input 2 14" xfId="647" xr:uid="{0BD7D246-AC49-4BB3-A038-FB1B5DB6E311}"/>
    <cellStyle name="Input 2 14 2" xfId="1452" xr:uid="{C11E66E8-E5AF-4481-8AAE-2427F0926224}"/>
    <cellStyle name="Input 2 14 2 2" xfId="7223" xr:uid="{1C8BD9D5-5201-4B2E-A315-19ED1B9731C8}"/>
    <cellStyle name="Input 2 14 2 3" xfId="9889" xr:uid="{E806C684-FA2C-43B0-BD98-45AC8D508B68}"/>
    <cellStyle name="Input 2 14 2 4" xfId="4249" xr:uid="{2032F599-0A6B-43E7-A020-59EF30123316}"/>
    <cellStyle name="Input 2 14 3" xfId="4989" xr:uid="{11BB36DF-0776-4EA0-80DB-1791ADABE542}"/>
    <cellStyle name="Input 2 14 3 2" xfId="7963" xr:uid="{4CE6D133-53FA-4833-9A4F-79D6A251C3CB}"/>
    <cellStyle name="Input 2 14 4" xfId="5754" xr:uid="{23F37F30-DE74-4F78-9604-CEB23B708A93}"/>
    <cellStyle name="Input 2 14 4 2" xfId="8728" xr:uid="{A3EC9EED-4E20-4CFC-B8CA-27B45E416EEC}"/>
    <cellStyle name="Input 2 14 5" xfId="3491" xr:uid="{B8E09BAE-8756-46F0-8A3A-AF10D6AF90E5}"/>
    <cellStyle name="Input 2 14 6" xfId="6427" xr:uid="{F9ED2A03-F2A5-4E35-8E23-1148183CD052}"/>
    <cellStyle name="Input 2 14 7" xfId="2404" xr:uid="{1A9B8FDE-617E-4985-AA01-E38DE8E8ECAC}"/>
    <cellStyle name="Input 2 15" xfId="1072" xr:uid="{7A5FE402-6A90-4446-A224-1C1B314A2FCC}"/>
    <cellStyle name="Input 2 15 2" xfId="1877" xr:uid="{81438E31-BE46-47BA-A184-25569AFF04BE}"/>
    <cellStyle name="Input 2 15 2 2" xfId="7648" xr:uid="{42517E52-8A98-43B9-87E1-BBCE2DC7F7CD}"/>
    <cellStyle name="Input 2 15 2 3" xfId="10314" xr:uid="{33B56B16-57A6-4447-9A7F-5E2D4AF4A8FE}"/>
    <cellStyle name="Input 2 15 2 4" xfId="4674" xr:uid="{BCB181EC-DC6C-4BDF-8EE8-03DEDF2A304D}"/>
    <cellStyle name="Input 2 15 3" xfId="5414" xr:uid="{05D5911A-93E5-408E-824D-3DC51EE2932A}"/>
    <cellStyle name="Input 2 15 3 2" xfId="8388" xr:uid="{B319A7A3-E44C-411C-BEBA-DD654DCA342C}"/>
    <cellStyle name="Input 2 15 4" xfId="6179" xr:uid="{7C9A1FD3-DC3D-425B-88E6-10618C0A0C15}"/>
    <cellStyle name="Input 2 15 4 2" xfId="9153" xr:uid="{3F66CA3E-201E-4B3E-93AB-FFF595A2A9BA}"/>
    <cellStyle name="Input 2 15 5" xfId="3887" xr:uid="{C02ADB71-A5C2-4152-A6E4-0CE45D52F7D3}"/>
    <cellStyle name="Input 2 15 6" xfId="6852" xr:uid="{BC5BF1FA-8418-4659-8EF1-FA066A8830FE}"/>
    <cellStyle name="Input 2 15 7" xfId="2829" xr:uid="{D3DF7800-ECCF-42AD-9F8C-3B784E68C20B}"/>
    <cellStyle name="Input 2 16" xfId="3077" xr:uid="{F6930F18-FC14-4C32-9271-512716D48FF2}"/>
    <cellStyle name="Input 2 17" xfId="3684" xr:uid="{007D6FB2-F329-4495-93A2-B5C6CADA0FC2}"/>
    <cellStyle name="Input 2 18" xfId="1999" xr:uid="{EC6CA0B8-E9A8-4685-A4BA-B5AB8DE30972}"/>
    <cellStyle name="Input 2 2" xfId="187" xr:uid="{A8999904-B0E7-4F00-B3B8-80F459BC5A74}"/>
    <cellStyle name="Input 2 2 10" xfId="2007" xr:uid="{736FA7F2-1679-451E-9E57-DECB43F96260}"/>
    <cellStyle name="Input 2 2 2" xfId="304" xr:uid="{CE24BC42-B2EF-45C2-A8AB-A6E6D3D868E5}"/>
    <cellStyle name="Input 2 2 2 2" xfId="526" xr:uid="{2B33823E-00C9-47B0-9353-22D53A5C5346}"/>
    <cellStyle name="Input 2 2 2 2 2" xfId="1005" xr:uid="{56AD7545-B780-4E2A-866A-D7AD602BE26F}"/>
    <cellStyle name="Input 2 2 2 2 2 2" xfId="1810" xr:uid="{D83FA596-6C27-443A-918A-5F2EBC100D65}"/>
    <cellStyle name="Input 2 2 2 2 2 2 2" xfId="7581" xr:uid="{66CAE233-9395-4EBD-BE66-7E1965027EEF}"/>
    <cellStyle name="Input 2 2 2 2 2 2 3" xfId="10247" xr:uid="{72DFB7F7-AFC3-4A64-A628-C7177DDF43C8}"/>
    <cellStyle name="Input 2 2 2 2 2 2 4" xfId="4607" xr:uid="{6794327E-C6D3-4806-B790-312B3CCEF1EA}"/>
    <cellStyle name="Input 2 2 2 2 2 3" xfId="5347" xr:uid="{E88438D1-C93D-4CA0-B1CD-D6C4BCB4157B}"/>
    <cellStyle name="Input 2 2 2 2 2 3 2" xfId="8321" xr:uid="{4340C3DC-4955-42F4-B0F3-62614E8B1E8D}"/>
    <cellStyle name="Input 2 2 2 2 2 4" xfId="6112" xr:uid="{21E811DA-863F-405B-963C-3D7AA3C82867}"/>
    <cellStyle name="Input 2 2 2 2 2 4 2" xfId="9086" xr:uid="{AACF5749-D72E-4170-BF60-87D0BEB99A77}"/>
    <cellStyle name="Input 2 2 2 2 2 5" xfId="3822" xr:uid="{F4AB0E4A-45E1-4070-9986-6CEE956698CC}"/>
    <cellStyle name="Input 2 2 2 2 2 6" xfId="6785" xr:uid="{8C2D322D-B724-4005-BE59-AA866CB3B51A}"/>
    <cellStyle name="Input 2 2 2 2 2 7" xfId="2762" xr:uid="{D9451032-EC94-42C0-ACE6-F27CACCA2114}"/>
    <cellStyle name="Input 2 2 2 2 3" xfId="1145" xr:uid="{EFEB1755-78BE-4C25-B5A1-C87BD894ACBA}"/>
    <cellStyle name="Input 2 2 2 2 3 2" xfId="1950" xr:uid="{9336A766-8A5F-46EE-840C-87AD4AA6F08A}"/>
    <cellStyle name="Input 2 2 2 2 3 2 2" xfId="7721" xr:uid="{F277D160-B047-4FE9-9D21-B2606FFDD566}"/>
    <cellStyle name="Input 2 2 2 2 3 2 3" xfId="10387" xr:uid="{6CBF3E99-C6E1-406A-A559-9B3C2A8ABC33}"/>
    <cellStyle name="Input 2 2 2 2 3 2 4" xfId="4747" xr:uid="{FA6EC5CF-A4A9-46EE-9656-E41524D2E16D}"/>
    <cellStyle name="Input 2 2 2 2 3 3" xfId="5487" xr:uid="{6D63921E-E23E-4C19-A3D0-416C997AB5D2}"/>
    <cellStyle name="Input 2 2 2 2 3 3 2" xfId="8461" xr:uid="{85920E57-249B-42AC-94A3-D8051D7633C3}"/>
    <cellStyle name="Input 2 2 2 2 3 4" xfId="6252" xr:uid="{86434EF8-32AC-4281-852C-6F4DE1B67182}"/>
    <cellStyle name="Input 2 2 2 2 3 4 2" xfId="9226" xr:uid="{A9E27F04-0986-4566-AD1E-12B6BA11E967}"/>
    <cellStyle name="Input 2 2 2 2 3 5" xfId="3939" xr:uid="{2ACA4E82-784A-4F93-B0EC-27FFA92D3DCF}"/>
    <cellStyle name="Input 2 2 2 2 3 6" xfId="6925" xr:uid="{56523CCC-4F4F-46D0-AF68-5C2542C22402}"/>
    <cellStyle name="Input 2 2 2 2 3 7" xfId="2902" xr:uid="{A1EADF79-39CB-401F-BCDA-81FAFB2D5DFD}"/>
    <cellStyle name="Input 2 2 2 2 4" xfId="1332" xr:uid="{A6162C60-4A3B-467E-BFF2-3404636EF036}"/>
    <cellStyle name="Input 2 2 2 2 4 2" xfId="7103" xr:uid="{ABE3A3BF-0347-4EF7-8F1D-0A54D6A71AAD}"/>
    <cellStyle name="Input 2 2 2 2 4 3" xfId="9769" xr:uid="{4DC1DE6F-3DB6-45DD-9C99-9570EF05114C}"/>
    <cellStyle name="Input 2 2 2 2 4 4" xfId="4129" xr:uid="{E46C6ABE-8EDE-40D5-93ED-8CD1F00985ED}"/>
    <cellStyle name="Input 2 2 2 2 5" xfId="4869" xr:uid="{AB1A6513-9607-4523-A667-ACB1E57AB9A1}"/>
    <cellStyle name="Input 2 2 2 2 5 2" xfId="7843" xr:uid="{AED39217-299E-4F9B-ADAC-0106163C82F8}"/>
    <cellStyle name="Input 2 2 2 2 6" xfId="5634" xr:uid="{819FADDD-0FF7-4B2C-9B69-E25CCDEB8398}"/>
    <cellStyle name="Input 2 2 2 2 6 2" xfId="8608" xr:uid="{40F03447-B653-43A5-9511-888D845FA77F}"/>
    <cellStyle name="Input 2 2 2 2 7" xfId="3410" xr:uid="{26526837-B849-4D16-BDDD-301A83341055}"/>
    <cellStyle name="Input 2 2 2 2 8" xfId="6307" xr:uid="{03FF040F-17FA-4642-8DD2-2AE59B180CBB}"/>
    <cellStyle name="Input 2 2 2 2 9" xfId="2284" xr:uid="{AA96B521-6762-4F06-892A-EAF930E1FCD2}"/>
    <cellStyle name="Input 2 2 2 3" xfId="795" xr:uid="{86DC1DF6-1C0F-4615-A334-928015FDB3F4}"/>
    <cellStyle name="Input 2 2 2 3 2" xfId="1600" xr:uid="{42FEC61D-94DD-49D5-B030-16690B71760B}"/>
    <cellStyle name="Input 2 2 2 3 2 2" xfId="7371" xr:uid="{A253A10F-BA77-4C28-A3C5-140C5BA27BD9}"/>
    <cellStyle name="Input 2 2 2 3 2 3" xfId="10037" xr:uid="{4CBBFA6D-28BE-45DE-8C14-FB3E939CB515}"/>
    <cellStyle name="Input 2 2 2 3 2 4" xfId="4397" xr:uid="{EC364459-0B45-475C-AB08-367DAD07BED6}"/>
    <cellStyle name="Input 2 2 2 3 3" xfId="5137" xr:uid="{BF692CF7-DF26-46A5-A29D-7B47E67D5B5C}"/>
    <cellStyle name="Input 2 2 2 3 3 2" xfId="8111" xr:uid="{FA1BF75F-C43D-4DC3-9C3E-FF9CA051B5B9}"/>
    <cellStyle name="Input 2 2 2 3 4" xfId="5902" xr:uid="{D05D3484-F5DD-425C-A6AE-2218A38885C5}"/>
    <cellStyle name="Input 2 2 2 3 4 2" xfId="8876" xr:uid="{9568A4A6-4158-4A6C-8400-53803D004446}"/>
    <cellStyle name="Input 2 2 2 3 5" xfId="3629" xr:uid="{4B9525B8-9CA4-47E5-822B-25DB51F83A6D}"/>
    <cellStyle name="Input 2 2 2 3 6" xfId="6575" xr:uid="{EA70728E-3E3D-4E88-B5DA-2108CDEBA993}"/>
    <cellStyle name="Input 2 2 2 3 7" xfId="2552" xr:uid="{C2CF4C5E-C45B-455F-81FC-658051600E7A}"/>
    <cellStyle name="Input 2 2 2 4" xfId="1112" xr:uid="{C5BD0DCB-9440-4960-9D5F-A8D27BBA49CE}"/>
    <cellStyle name="Input 2 2 2 4 2" xfId="1917" xr:uid="{188F400E-3FA7-4F67-B586-0200BFA1CD98}"/>
    <cellStyle name="Input 2 2 2 4 2 2" xfId="7688" xr:uid="{DFE7C619-2F07-4B45-AE32-50A1B7719FA7}"/>
    <cellStyle name="Input 2 2 2 4 2 3" xfId="10354" xr:uid="{B1FC7DBC-772E-4B3C-87F1-884C38208ACB}"/>
    <cellStyle name="Input 2 2 2 4 2 4" xfId="4714" xr:uid="{F5ABEBE5-E759-4E8B-9227-7E7F5AE4AC11}"/>
    <cellStyle name="Input 2 2 2 4 3" xfId="5454" xr:uid="{9942F903-9EEE-4497-972E-BA85B39B240D}"/>
    <cellStyle name="Input 2 2 2 4 3 2" xfId="8428" xr:uid="{5E1E6A10-5C9B-4923-BC78-83948B54584F}"/>
    <cellStyle name="Input 2 2 2 4 4" xfId="6219" xr:uid="{F75B2313-D5FF-41DF-9BA0-9E8BA67C7D86}"/>
    <cellStyle name="Input 2 2 2 4 4 2" xfId="9193" xr:uid="{BA295A1E-1A86-4750-9154-0E16E94B057E}"/>
    <cellStyle name="Input 2 2 2 4 5" xfId="3917" xr:uid="{C292DF33-6120-4EEA-BE89-0AD4D997CFFD}"/>
    <cellStyle name="Input 2 2 2 4 6" xfId="6892" xr:uid="{201C07FB-DB0B-482D-8B9E-D9108CCD7C32}"/>
    <cellStyle name="Input 2 2 2 4 7" xfId="2869" xr:uid="{D2B43D74-E8FA-4B08-9690-B4DD5ABD12FA}"/>
    <cellStyle name="Input 2 2 2 5" xfId="3229" xr:uid="{1AD93DC0-E804-488C-B481-A89138C237F1}"/>
    <cellStyle name="Input 2 2 2 6" xfId="3974" xr:uid="{20AD0383-E146-48D1-BF9E-C80D6DA3D329}"/>
    <cellStyle name="Input 2 2 2 7" xfId="2122" xr:uid="{755B597E-F7B0-4E73-8A5B-BF496A8D9DFB}"/>
    <cellStyle name="Input 2 2 3" xfId="248" xr:uid="{BEDEF0EA-67E9-4956-BCC8-1B100C535DE7}"/>
    <cellStyle name="Input 2 2 3 2" xfId="472" xr:uid="{1207A8FE-CA69-4B26-B43A-68479C26FBB3}"/>
    <cellStyle name="Input 2 2 3 2 2" xfId="951" xr:uid="{8001439F-5C26-4F16-9886-31DD6CDBEEE8}"/>
    <cellStyle name="Input 2 2 3 2 2 2" xfId="1756" xr:uid="{7B515111-C3F0-4C14-A5EA-8745C0B373DE}"/>
    <cellStyle name="Input 2 2 3 2 2 2 2" xfId="7527" xr:uid="{B74CB8D1-44D0-4ADA-835A-1524DEA5CBC9}"/>
    <cellStyle name="Input 2 2 3 2 2 2 3" xfId="10193" xr:uid="{4C5F5416-6535-425E-8196-F52FBCC24EB6}"/>
    <cellStyle name="Input 2 2 3 2 2 2 4" xfId="4553" xr:uid="{5C42E275-8DFA-470B-B915-E00DD25764DC}"/>
    <cellStyle name="Input 2 2 3 2 2 3" xfId="5293" xr:uid="{38D8DA45-C472-4ADF-BAA8-5F3E24AE8124}"/>
    <cellStyle name="Input 2 2 3 2 2 3 2" xfId="8267" xr:uid="{09F39BD7-C64C-44AD-8C35-3911689E37F1}"/>
    <cellStyle name="Input 2 2 3 2 2 4" xfId="6058" xr:uid="{CD321939-9A3A-41AE-A464-34690E670A7E}"/>
    <cellStyle name="Input 2 2 3 2 2 4 2" xfId="9032" xr:uid="{9B0770D4-44A8-4AB2-A5B0-52ED123F507C}"/>
    <cellStyle name="Input 2 2 3 2 2 5" xfId="3768" xr:uid="{322B9F62-DDAE-4581-BCF8-58B7DEFF9D96}"/>
    <cellStyle name="Input 2 2 3 2 2 6" xfId="6731" xr:uid="{2888583B-57D2-4C33-B9EA-8111E3CDA968}"/>
    <cellStyle name="Input 2 2 3 2 2 7" xfId="2708" xr:uid="{F6892DE3-DB02-4E44-9B0A-17F72D0055A2}"/>
    <cellStyle name="Input 2 2 3 2 3" xfId="1079" xr:uid="{E9A7ADB7-1B4D-4FF6-BF2C-8B61FEDA4214}"/>
    <cellStyle name="Input 2 2 3 2 3 2" xfId="1884" xr:uid="{3D623798-7593-4EB1-ACA5-7F7A8043AF37}"/>
    <cellStyle name="Input 2 2 3 2 3 2 2" xfId="7655" xr:uid="{A655DC78-AE37-4701-91F6-1813FF65DC79}"/>
    <cellStyle name="Input 2 2 3 2 3 2 3" xfId="10321" xr:uid="{F169D388-A0C8-4F3D-92A2-C0D0E367232F}"/>
    <cellStyle name="Input 2 2 3 2 3 2 4" xfId="4681" xr:uid="{DDDF4CD4-65F6-43AB-89DA-CCAC6795E967}"/>
    <cellStyle name="Input 2 2 3 2 3 3" xfId="5421" xr:uid="{9DF9ECAF-96E6-4427-9A76-066E42E53C81}"/>
    <cellStyle name="Input 2 2 3 2 3 3 2" xfId="8395" xr:uid="{43BB936E-2EAE-4635-93CA-74BCD58A9D21}"/>
    <cellStyle name="Input 2 2 3 2 3 4" xfId="6186" xr:uid="{51780E26-CFD5-4D20-A771-55622088FC3F}"/>
    <cellStyle name="Input 2 2 3 2 3 4 2" xfId="9160" xr:uid="{3B99A892-98CD-4515-B46E-804E70A32025}"/>
    <cellStyle name="Input 2 2 3 2 3 5" xfId="3894" xr:uid="{5473B4E6-A983-487A-BC35-1DD2A0902F86}"/>
    <cellStyle name="Input 2 2 3 2 3 6" xfId="6859" xr:uid="{9EB22161-AECB-4CBE-9E51-1C86D377055A}"/>
    <cellStyle name="Input 2 2 3 2 3 7" xfId="2836" xr:uid="{8A5DDF48-05C1-4E46-894B-83A0E7D52F4D}"/>
    <cellStyle name="Input 2 2 3 2 4" xfId="1278" xr:uid="{F3CCDC57-7912-4A27-A847-749BC14EC0B9}"/>
    <cellStyle name="Input 2 2 3 2 4 2" xfId="7049" xr:uid="{1301AC1F-C753-4C8B-9BF4-6587F64946B0}"/>
    <cellStyle name="Input 2 2 3 2 4 3" xfId="9715" xr:uid="{B6655FB9-6CFA-496F-B176-98976493A329}"/>
    <cellStyle name="Input 2 2 3 2 4 4" xfId="4075" xr:uid="{F53038FB-A7B8-4B2C-8575-59CC7376733B}"/>
    <cellStyle name="Input 2 2 3 2 5" xfId="4815" xr:uid="{B1A051A1-080D-4D2C-A0A5-E8757CF849BB}"/>
    <cellStyle name="Input 2 2 3 2 5 2" xfId="7789" xr:uid="{D603ADC9-A518-4FCB-A390-1EBCA4AA146C}"/>
    <cellStyle name="Input 2 2 3 2 6" xfId="5580" xr:uid="{A28A9ACA-17EE-4664-B2F9-C4BFFE48E7CE}"/>
    <cellStyle name="Input 2 2 3 2 6 2" xfId="8554" xr:uid="{CC6E9174-9D52-43A1-93F5-DC08B78B67BC}"/>
    <cellStyle name="Input 2 2 3 2 7" xfId="3372" xr:uid="{9A956251-E425-42BA-8A19-5B11718B3A52}"/>
    <cellStyle name="Input 2 2 3 2 8" xfId="3320" xr:uid="{6303958A-630E-4453-BCA3-A51B277BFF3F}"/>
    <cellStyle name="Input 2 2 3 2 9" xfId="2230" xr:uid="{08A1AF67-E523-4825-84D9-80EB46EEC4A4}"/>
    <cellStyle name="Input 2 2 3 3" xfId="740" xr:uid="{FF8674A9-1C0E-4DD5-81CF-90A6F6B5D2A5}"/>
    <cellStyle name="Input 2 2 3 3 2" xfId="1545" xr:uid="{BC1495A8-8C42-42DF-BE5F-2740FDC62904}"/>
    <cellStyle name="Input 2 2 3 3 2 2" xfId="7316" xr:uid="{F70A8AAB-6E0F-43D3-9803-970FA862EDC3}"/>
    <cellStyle name="Input 2 2 3 3 2 3" xfId="9982" xr:uid="{E79AE9B1-1C8D-400E-8283-79B39113574F}"/>
    <cellStyle name="Input 2 2 3 3 2 4" xfId="4342" xr:uid="{EDBB7765-9AD5-451E-899D-D8973925DB48}"/>
    <cellStyle name="Input 2 2 3 3 3" xfId="5082" xr:uid="{EE79429B-720B-4765-9DAD-C4D5EF09C012}"/>
    <cellStyle name="Input 2 2 3 3 3 2" xfId="8056" xr:uid="{C0A06AB8-6051-4BDE-B4E2-537617727414}"/>
    <cellStyle name="Input 2 2 3 3 4" xfId="5847" xr:uid="{4AA16879-E661-4AEE-8B8B-0D320BC09284}"/>
    <cellStyle name="Input 2 2 3 3 4 2" xfId="8821" xr:uid="{71590264-5D7F-487A-AF56-3F03072B2CDE}"/>
    <cellStyle name="Input 2 2 3 3 5" xfId="3575" xr:uid="{298C3352-B676-4DD7-BF08-200AD23A8AC4}"/>
    <cellStyle name="Input 2 2 3 3 6" xfId="6520" xr:uid="{89E52655-0943-4C94-BAB3-627F4C5F4785}"/>
    <cellStyle name="Input 2 2 3 3 7" xfId="2497" xr:uid="{34C709F9-DB73-4FE5-8E52-CB939E3114BA}"/>
    <cellStyle name="Input 2 2 3 4" xfId="664" xr:uid="{ED611864-B56A-4875-8363-77BAA2367968}"/>
    <cellStyle name="Input 2 2 3 4 2" xfId="1469" xr:uid="{72D3B0C7-4689-479B-8316-11F653AE97D7}"/>
    <cellStyle name="Input 2 2 3 4 2 2" xfId="7240" xr:uid="{2A27FB8C-29C8-4D3C-A3F0-B1B05A8D5468}"/>
    <cellStyle name="Input 2 2 3 4 2 3" xfId="9906" xr:uid="{03C8F0DF-556E-4A19-ABC1-6133224ECB1B}"/>
    <cellStyle name="Input 2 2 3 4 2 4" xfId="4266" xr:uid="{3EA3C5BC-222C-4AF3-BA2B-EB240EAA626B}"/>
    <cellStyle name="Input 2 2 3 4 3" xfId="5006" xr:uid="{9F0F30A6-D4B1-4833-9CA7-13411E81D71B}"/>
    <cellStyle name="Input 2 2 3 4 3 2" xfId="7980" xr:uid="{5FFB8796-53EA-41BE-A31B-90F97EE6CD6C}"/>
    <cellStyle name="Input 2 2 3 4 4" xfId="5771" xr:uid="{2D881464-8175-46CB-BABE-0C8A66494735}"/>
    <cellStyle name="Input 2 2 3 4 4 2" xfId="8745" xr:uid="{3785AD8F-DA21-4E55-BE3E-822E7008E311}"/>
    <cellStyle name="Input 2 2 3 4 5" xfId="3504" xr:uid="{77887DEB-0740-448C-B7BE-7C65B8717EBB}"/>
    <cellStyle name="Input 2 2 3 4 6" xfId="6444" xr:uid="{6B14977C-CDFF-46EC-8F11-DADA8547A4D1}"/>
    <cellStyle name="Input 2 2 3 4 7" xfId="2421" xr:uid="{2FD2B400-503D-4E7C-A27F-35DFE7444E86}"/>
    <cellStyle name="Input 2 2 3 5" xfId="3185" xr:uid="{B66F099B-665C-4085-8428-AAC2F35F7D75}"/>
    <cellStyle name="Input 2 2 3 6" xfId="3875" xr:uid="{1098EFA0-0583-4D83-8AD2-1D4C068B2307}"/>
    <cellStyle name="Input 2 2 3 7" xfId="2065" xr:uid="{4F820788-D8F0-4EC1-B2A2-3D4C36204E98}"/>
    <cellStyle name="Input 2 2 4" xfId="203" xr:uid="{2A6216D2-361D-4447-9BA9-46181AA26139}"/>
    <cellStyle name="Input 2 2 4 2" xfId="427" xr:uid="{A2AC6B69-35AB-4C5B-AC4C-A64FD9415390}"/>
    <cellStyle name="Input 2 2 4 2 2" xfId="906" xr:uid="{E6D989F9-B389-4E63-B5B4-F1D0A8F9AB15}"/>
    <cellStyle name="Input 2 2 4 2 2 2" xfId="1711" xr:uid="{FEAD612C-5677-49A7-8DCA-DA53031804DC}"/>
    <cellStyle name="Input 2 2 4 2 2 2 2" xfId="7482" xr:uid="{F8BD3CBF-2F2C-4C94-8F4F-F9C0F7D0A52A}"/>
    <cellStyle name="Input 2 2 4 2 2 2 3" xfId="10148" xr:uid="{13EFDDB3-DF78-4AE7-AACA-87A5EB372504}"/>
    <cellStyle name="Input 2 2 4 2 2 2 4" xfId="4508" xr:uid="{ED0BD7A3-944E-419C-A043-959C8A5CE03F}"/>
    <cellStyle name="Input 2 2 4 2 2 3" xfId="5248" xr:uid="{28085DE6-2874-4CA9-B6C7-734D31D7FE5F}"/>
    <cellStyle name="Input 2 2 4 2 2 3 2" xfId="8222" xr:uid="{90E55FC4-085B-4C84-85A2-9505E5293588}"/>
    <cellStyle name="Input 2 2 4 2 2 4" xfId="6013" xr:uid="{3A662FDE-41A6-4093-92C9-874E97AE3D87}"/>
    <cellStyle name="Input 2 2 4 2 2 4 2" xfId="8987" xr:uid="{5CC360D2-E907-43D4-A31D-F92D08EEACC7}"/>
    <cellStyle name="Input 2 2 4 2 2 5" xfId="3723" xr:uid="{B8D3C6E1-0F7D-4A32-9F51-F38BB64CF2D3}"/>
    <cellStyle name="Input 2 2 4 2 2 6" xfId="6686" xr:uid="{0B977B12-D1AE-4496-859D-2120AE61DF1F}"/>
    <cellStyle name="Input 2 2 4 2 2 7" xfId="2663" xr:uid="{1C39537A-0242-44B0-8A8E-A8B12A477DAC}"/>
    <cellStyle name="Input 2 2 4 2 3" xfId="1149" xr:uid="{2AACEAE3-B20D-45A1-9F7D-90FE504ADF06}"/>
    <cellStyle name="Input 2 2 4 2 3 2" xfId="1954" xr:uid="{A880D3BA-0C17-4F2D-B116-3BB4B01CD983}"/>
    <cellStyle name="Input 2 2 4 2 3 2 2" xfId="7725" xr:uid="{0BDF5C9A-FECF-4287-997B-0C7FFF085610}"/>
    <cellStyle name="Input 2 2 4 2 3 2 3" xfId="10391" xr:uid="{E33DEA02-425F-4AF5-95DA-B4BB3BDAD99B}"/>
    <cellStyle name="Input 2 2 4 2 3 2 4" xfId="4751" xr:uid="{29FFEF1F-6179-40FB-A317-8655484D6630}"/>
    <cellStyle name="Input 2 2 4 2 3 3" xfId="5491" xr:uid="{A92346A6-2B3D-45CC-B234-6C6D23330869}"/>
    <cellStyle name="Input 2 2 4 2 3 3 2" xfId="8465" xr:uid="{DA68A428-A0C7-4ABE-B502-CC6EA4B1D369}"/>
    <cellStyle name="Input 2 2 4 2 3 4" xfId="6256" xr:uid="{E690AF6B-AD18-45DE-8F6A-3C2D23EA1022}"/>
    <cellStyle name="Input 2 2 4 2 3 4 2" xfId="9230" xr:uid="{D23615DC-730B-43A7-BDAA-A1D1CA9B5CDC}"/>
    <cellStyle name="Input 2 2 4 2 3 5" xfId="3942" xr:uid="{C87CC8FB-06E5-4ECC-A299-FF070193C06E}"/>
    <cellStyle name="Input 2 2 4 2 3 6" xfId="6929" xr:uid="{237924CA-190D-4A76-9593-07986F96B984}"/>
    <cellStyle name="Input 2 2 4 2 3 7" xfId="2906" xr:uid="{B65D176F-957E-44D9-9AA4-D2BBE8CCFBD2}"/>
    <cellStyle name="Input 2 2 4 2 4" xfId="1233" xr:uid="{A1950B46-7430-4184-9D61-4C08A9AA419C}"/>
    <cellStyle name="Input 2 2 4 2 4 2" xfId="7004" xr:uid="{4CD3177F-039D-48DC-98B6-75C1C980B4B3}"/>
    <cellStyle name="Input 2 2 4 2 4 3" xfId="9670" xr:uid="{11D46D32-0D2B-4158-B3E5-5694FDA67F93}"/>
    <cellStyle name="Input 2 2 4 2 4 4" xfId="4030" xr:uid="{6574A37D-4C44-47FD-B000-D7EBEEECC24B}"/>
    <cellStyle name="Input 2 2 4 2 5" xfId="3273" xr:uid="{DE2B85CB-854E-41BE-953A-9FDD8A33E211}"/>
    <cellStyle name="Input 2 2 4 2 5 2" xfId="3985" xr:uid="{B2568D24-4A72-44E2-94E8-F1508BD1C385}"/>
    <cellStyle name="Input 2 2 4 2 6" xfId="5535" xr:uid="{0FCD425F-A441-4915-9D72-BDC979835DDE}"/>
    <cellStyle name="Input 2 2 4 2 6 2" xfId="8509" xr:uid="{8225E519-D484-48A4-9735-8BFC39AAC74B}"/>
    <cellStyle name="Input 2 2 4 2 7" xfId="3339" xr:uid="{6703598F-7DC2-4E3F-BF37-B221A96750AC}"/>
    <cellStyle name="Input 2 2 4 2 8" xfId="3030" xr:uid="{4AB00C4C-AC9C-44CA-8F2C-6B8C8E449964}"/>
    <cellStyle name="Input 2 2 4 2 9" xfId="2185" xr:uid="{63C575AC-0FFB-4847-8ABD-E17DA16F134F}"/>
    <cellStyle name="Input 2 2 4 3" xfId="695" xr:uid="{803FFE17-70EF-4245-A527-E5AE4C872253}"/>
    <cellStyle name="Input 2 2 4 3 2" xfId="1500" xr:uid="{4797FD46-C77F-40F3-B724-25D642056FEF}"/>
    <cellStyle name="Input 2 2 4 3 2 2" xfId="7271" xr:uid="{B261E985-A518-40B1-9726-CDAC8C4410B0}"/>
    <cellStyle name="Input 2 2 4 3 2 3" xfId="9937" xr:uid="{032670E1-6FFD-4045-A8DB-EBA67DEBD19B}"/>
    <cellStyle name="Input 2 2 4 3 2 4" xfId="4297" xr:uid="{FB98E8C8-EFB6-431D-A05C-2BF4F5A67734}"/>
    <cellStyle name="Input 2 2 4 3 3" xfId="5037" xr:uid="{F11DF94D-3BCE-4CE5-A6FF-5C902A09D16D}"/>
    <cellStyle name="Input 2 2 4 3 3 2" xfId="8011" xr:uid="{5DD8499D-CDC6-4C36-BEF8-14A3CC641BC7}"/>
    <cellStyle name="Input 2 2 4 3 4" xfId="5802" xr:uid="{A139D4FE-46E6-471A-8356-8D6A1525ABF0}"/>
    <cellStyle name="Input 2 2 4 3 4 2" xfId="8776" xr:uid="{66D88EB7-EF69-40CE-A51F-73602E30A2DF}"/>
    <cellStyle name="Input 2 2 4 3 5" xfId="3530" xr:uid="{EA0C18F6-4D62-4DF9-A537-82606B6669F7}"/>
    <cellStyle name="Input 2 2 4 3 6" xfId="6475" xr:uid="{275580D9-A8C9-4B6E-B3EC-C51830908F92}"/>
    <cellStyle name="Input 2 2 4 3 7" xfId="2452" xr:uid="{A9EF18F8-CA96-495F-8B23-980C4078DACC}"/>
    <cellStyle name="Input 2 2 4 4" xfId="1062" xr:uid="{7F7F70DB-2DA2-4F03-81EF-F0F4CCFFCC55}"/>
    <cellStyle name="Input 2 2 4 4 2" xfId="1867" xr:uid="{3865278D-5A5B-4106-A2B9-338EFC059341}"/>
    <cellStyle name="Input 2 2 4 4 2 2" xfId="7638" xr:uid="{EBE072DD-32C0-4D0B-BD07-330AE5515BE8}"/>
    <cellStyle name="Input 2 2 4 4 2 3" xfId="10304" xr:uid="{F6C32083-A7D3-4DB6-BD44-760E6C0D1BF9}"/>
    <cellStyle name="Input 2 2 4 4 2 4" xfId="4664" xr:uid="{72FB6594-6E92-460E-A716-6D45D74C12A0}"/>
    <cellStyle name="Input 2 2 4 4 3" xfId="5404" xr:uid="{B7FD8E2B-3045-4673-B74A-B57AB5D3371A}"/>
    <cellStyle name="Input 2 2 4 4 3 2" xfId="8378" xr:uid="{8E7ADAB4-65F0-4FEB-83B6-8AF37D6331D7}"/>
    <cellStyle name="Input 2 2 4 4 4" xfId="6169" xr:uid="{7F2539EE-D506-4D4E-92AA-84280404A8C7}"/>
    <cellStyle name="Input 2 2 4 4 4 2" xfId="9143" xr:uid="{5276A21D-E6D8-4DAB-A231-BE359E108002}"/>
    <cellStyle name="Input 2 2 4 4 5" xfId="3878" xr:uid="{A7FB7139-BFA4-495B-9591-6C82158E7F84}"/>
    <cellStyle name="Input 2 2 4 4 6" xfId="6842" xr:uid="{BF79F385-8B75-4E0E-AA42-9EAC69F6A873}"/>
    <cellStyle name="Input 2 2 4 4 7" xfId="2819" xr:uid="{C722A93C-4959-4CF9-A20B-916EFE69EFFD}"/>
    <cellStyle name="Input 2 2 4 5" xfId="3143" xr:uid="{832C7E46-2130-44E9-8715-E5499041F87B}"/>
    <cellStyle name="Input 2 2 4 6" xfId="3255" xr:uid="{143F53FF-1245-4A00-99A5-FB7A15F48FBD}"/>
    <cellStyle name="Input 2 2 4 7" xfId="2018" xr:uid="{670ED5D2-EF90-4E93-9E91-5E9ACF26493D}"/>
    <cellStyle name="Input 2 2 5" xfId="418" xr:uid="{22C109EE-0B35-4666-A5A2-6D1AC429D5EC}"/>
    <cellStyle name="Input 2 2 5 2" xfId="897" xr:uid="{4AE31A8E-90BC-4A7A-B872-C308E13DF62B}"/>
    <cellStyle name="Input 2 2 5 2 2" xfId="1702" xr:uid="{F708D52F-C4E1-4DE8-ADAC-6EBE51C114EA}"/>
    <cellStyle name="Input 2 2 5 2 2 2" xfId="7473" xr:uid="{90D49A14-9F54-43B5-B98F-A4A969A32E22}"/>
    <cellStyle name="Input 2 2 5 2 2 3" xfId="10139" xr:uid="{C664F133-FFCC-4ABA-988B-2A623FB2471F}"/>
    <cellStyle name="Input 2 2 5 2 2 4" xfId="4499" xr:uid="{7D84A26F-9EFE-4CEF-8202-929E47963F8B}"/>
    <cellStyle name="Input 2 2 5 2 3" xfId="5239" xr:uid="{4CDC7599-7D95-45F6-AB00-195E530AA052}"/>
    <cellStyle name="Input 2 2 5 2 3 2" xfId="8213" xr:uid="{D26759B2-E07C-42AE-93AA-BEBBF00E8415}"/>
    <cellStyle name="Input 2 2 5 2 4" xfId="6004" xr:uid="{922184EB-13C4-43EB-BE63-936730E8CC61}"/>
    <cellStyle name="Input 2 2 5 2 4 2" xfId="8978" xr:uid="{8717C503-5DA4-4A8D-BDCB-B14E0A4904C7}"/>
    <cellStyle name="Input 2 2 5 2 5" xfId="3714" xr:uid="{1EFB8FD0-AC4F-4CD3-9C16-324B56E85AB6}"/>
    <cellStyle name="Input 2 2 5 2 6" xfId="6677" xr:uid="{05C8D91D-6D6C-444C-B9CB-CC84518BCADD}"/>
    <cellStyle name="Input 2 2 5 2 7" xfId="2654" xr:uid="{C809D95C-689D-4F21-A7FA-5D5734F8187D}"/>
    <cellStyle name="Input 2 2 5 3" xfId="1067" xr:uid="{25E3F79B-C772-4CB8-B69E-5AEC79CDECCF}"/>
    <cellStyle name="Input 2 2 5 3 2" xfId="1872" xr:uid="{EEC13836-29EB-456D-9BC2-4475D7933A56}"/>
    <cellStyle name="Input 2 2 5 3 2 2" xfId="7643" xr:uid="{FB554ED7-8DDA-431B-8377-1799921825CD}"/>
    <cellStyle name="Input 2 2 5 3 2 3" xfId="10309" xr:uid="{1969CC72-852E-48D7-9179-503FC8091837}"/>
    <cellStyle name="Input 2 2 5 3 2 4" xfId="4669" xr:uid="{E00CB587-18BF-4520-8E35-CD9CD1B6D861}"/>
    <cellStyle name="Input 2 2 5 3 3" xfId="5409" xr:uid="{70712B55-DD47-40AD-9D66-3261C2CBBF5F}"/>
    <cellStyle name="Input 2 2 5 3 3 2" xfId="8383" xr:uid="{78843A47-3715-4806-9B39-6B345713D859}"/>
    <cellStyle name="Input 2 2 5 3 4" xfId="6174" xr:uid="{D06CB3E4-0CF9-455E-96C8-A13FD13AC41E}"/>
    <cellStyle name="Input 2 2 5 3 4 2" xfId="9148" xr:uid="{D4D09344-7858-47FD-B968-2935483837FF}"/>
    <cellStyle name="Input 2 2 5 3 5" xfId="3883" xr:uid="{8C5BA556-7A9D-46F0-A140-9B37B12BE34B}"/>
    <cellStyle name="Input 2 2 5 3 6" xfId="6847" xr:uid="{83AEA839-5501-41F9-AE3F-D142CCFBCB3B}"/>
    <cellStyle name="Input 2 2 5 3 7" xfId="2824" xr:uid="{F1BCAF83-5875-4A6A-9EC2-53F9073C6AFC}"/>
    <cellStyle name="Input 2 2 5 4" xfId="1224" xr:uid="{0AA8210B-1AB8-4DF3-89C0-A9A05A4F9C30}"/>
    <cellStyle name="Input 2 2 5 4 2" xfId="6995" xr:uid="{6D89B9D4-73AF-47F0-818B-C24500523872}"/>
    <cellStyle name="Input 2 2 5 4 3" xfId="9661" xr:uid="{BF97CFD4-4D7B-496E-8F9E-E31898329804}"/>
    <cellStyle name="Input 2 2 5 4 4" xfId="4021" xr:uid="{4DBA8A3E-975C-4832-B458-3BFAC2C99633}"/>
    <cellStyle name="Input 2 2 5 5" xfId="3259" xr:uid="{E08D7265-ECD5-4FF9-8700-106D9064C826}"/>
    <cellStyle name="Input 2 2 5 5 2" xfId="3967" xr:uid="{CAD67292-06C9-44EE-9FB9-EC06352A2933}"/>
    <cellStyle name="Input 2 2 5 6" xfId="4008" xr:uid="{F1BC5E8E-CD1E-406C-9CC4-D60CFFDCE267}"/>
    <cellStyle name="Input 2 2 5 6 2" xfId="6982" xr:uid="{E40DEB54-988C-40B6-9964-7D41633AA1C1}"/>
    <cellStyle name="Input 2 2 5 7" xfId="3332" xr:uid="{E3EC958E-FADB-4822-BA36-55AE29BA431B}"/>
    <cellStyle name="Input 2 2 5 8" xfId="2982" xr:uid="{FC525967-BA7A-4819-BF9C-B7D51725EBB6}"/>
    <cellStyle name="Input 2 2 5 9" xfId="2176" xr:uid="{FCEACB99-CF22-46BE-B6AB-7D79C153D13C}"/>
    <cellStyle name="Input 2 2 6" xfId="681" xr:uid="{9F7B37E2-ED58-44D4-975E-7785EA0FC471}"/>
    <cellStyle name="Input 2 2 6 2" xfId="1486" xr:uid="{DAB062FB-60BA-41C9-8DF5-81B88FF5551A}"/>
    <cellStyle name="Input 2 2 6 2 2" xfId="7257" xr:uid="{0C160AEF-0581-4D6A-AB9B-A1784818FCFA}"/>
    <cellStyle name="Input 2 2 6 2 3" xfId="9923" xr:uid="{B24D0175-75E8-4A26-9E3F-80A8C6921243}"/>
    <cellStyle name="Input 2 2 6 2 4" xfId="4283" xr:uid="{DDD69BA8-29FB-408D-8608-08C14DE74341}"/>
    <cellStyle name="Input 2 2 6 3" xfId="5023" xr:uid="{492507FE-870A-49D1-8DE2-7B46EC62D661}"/>
    <cellStyle name="Input 2 2 6 3 2" xfId="7997" xr:uid="{968BED59-A399-4D71-8F60-BE7DABB9778D}"/>
    <cellStyle name="Input 2 2 6 4" xfId="5788" xr:uid="{265EBC22-5071-4FC4-94A7-067EC2889E5F}"/>
    <cellStyle name="Input 2 2 6 4 2" xfId="8762" xr:uid="{363C901B-3631-4B96-A1EF-14F439A931A9}"/>
    <cellStyle name="Input 2 2 6 5" xfId="3517" xr:uid="{8FEF6104-2C92-49BA-84DE-FBC5FD3927AB}"/>
    <cellStyle name="Input 2 2 6 6" xfId="6461" xr:uid="{4CE73746-BE14-4A10-AE10-BC5D75C06D14}"/>
    <cellStyle name="Input 2 2 6 7" xfId="2438" xr:uid="{F86A0DC1-38B3-4063-B299-E8D8408CE998}"/>
    <cellStyle name="Input 2 2 7" xfId="1049" xr:uid="{A9AB22F6-F28A-42A0-9034-F7A975718742}"/>
    <cellStyle name="Input 2 2 7 2" xfId="1854" xr:uid="{7F85EFDC-A889-4872-80AB-AC70B37D694F}"/>
    <cellStyle name="Input 2 2 7 2 2" xfId="7625" xr:uid="{B8BDD18F-6912-4EB6-9EF6-79A36F93DDD7}"/>
    <cellStyle name="Input 2 2 7 2 3" xfId="10291" xr:uid="{82E19932-4105-4317-BF76-1E8A39A4BF7B}"/>
    <cellStyle name="Input 2 2 7 2 4" xfId="4651" xr:uid="{ACA969BD-F676-4531-AC11-02B4054AD927}"/>
    <cellStyle name="Input 2 2 7 3" xfId="5391" xr:uid="{151E3CAD-B80B-46F4-A851-F1494B5CFE96}"/>
    <cellStyle name="Input 2 2 7 3 2" xfId="8365" xr:uid="{431E5E82-7FF3-4D57-89D1-8230057941EE}"/>
    <cellStyle name="Input 2 2 7 4" xfId="6156" xr:uid="{6BE92751-8049-4EEB-A480-B3F3FCD6278D}"/>
    <cellStyle name="Input 2 2 7 4 2" xfId="9130" xr:uid="{EDA435D5-0290-4885-94D0-CBAB2E38457D}"/>
    <cellStyle name="Input 2 2 7 5" xfId="3866" xr:uid="{BA200600-357C-48DC-A8B6-216739393D68}"/>
    <cellStyle name="Input 2 2 7 6" xfId="6829" xr:uid="{84AD9E98-8214-45F1-8B4F-BD2E1F39A3A2}"/>
    <cellStyle name="Input 2 2 7 7" xfId="2806" xr:uid="{9DEF978F-0D02-433F-BCB7-B82FC231AF57}"/>
    <cellStyle name="Input 2 2 8" xfId="3120" xr:uid="{11FDC8BE-8213-4CF5-8790-27E66DDA690A}"/>
    <cellStyle name="Input 2 2 9" xfId="3330" xr:uid="{3A2B9B54-BB05-4C44-88E6-771263EC9490}"/>
    <cellStyle name="Input 2 3" xfId="206" xr:uid="{1AD117C1-B9A0-4678-8004-C3BCE333E5F2}"/>
    <cellStyle name="Input 2 3 2" xfId="310" xr:uid="{801EB405-F882-4DE1-A75A-E48F0696888C}"/>
    <cellStyle name="Input 2 3 2 2" xfId="532" xr:uid="{58CDC988-0461-4179-AD41-8565FBDDF278}"/>
    <cellStyle name="Input 2 3 2 2 2" xfId="1011" xr:uid="{6A58D609-B27F-4E1F-8F8B-84857B3D03F4}"/>
    <cellStyle name="Input 2 3 2 2 2 2" xfId="1816" xr:uid="{F09DEEEF-BFA3-4DBC-875C-692D7E195784}"/>
    <cellStyle name="Input 2 3 2 2 2 2 2" xfId="7587" xr:uid="{353516A6-6894-4C37-85D3-CC1AA0462DF5}"/>
    <cellStyle name="Input 2 3 2 2 2 2 3" xfId="10253" xr:uid="{8CAF6398-8C3A-41E0-8269-288407A2EDAC}"/>
    <cellStyle name="Input 2 3 2 2 2 2 4" xfId="4613" xr:uid="{1A950D6F-8661-4CE5-BC7F-39DDEB74F81B}"/>
    <cellStyle name="Input 2 3 2 2 2 3" xfId="5353" xr:uid="{673D7178-3D82-4BE8-9C88-BAE5EE02B059}"/>
    <cellStyle name="Input 2 3 2 2 2 3 2" xfId="8327" xr:uid="{196FA94D-0BFC-4BF9-B323-DDD91A95B912}"/>
    <cellStyle name="Input 2 3 2 2 2 4" xfId="6118" xr:uid="{B9BC0180-E1C6-4F64-ADAB-24074B0B2524}"/>
    <cellStyle name="Input 2 3 2 2 2 4 2" xfId="9092" xr:uid="{71B1C444-2523-4063-B33B-BED3355064C8}"/>
    <cellStyle name="Input 2 3 2 2 2 5" xfId="3828" xr:uid="{38400B5F-656D-4EFF-839D-755AF5C86897}"/>
    <cellStyle name="Input 2 3 2 2 2 6" xfId="6791" xr:uid="{8F609FA5-BD0E-48AF-AB09-822369A7EB17}"/>
    <cellStyle name="Input 2 3 2 2 2 7" xfId="2768" xr:uid="{64247BE0-1D3B-4AA6-8157-41A8859B8556}"/>
    <cellStyle name="Input 2 3 2 2 3" xfId="612" xr:uid="{C4036E0D-611B-4A64-820D-C938D400FE95}"/>
    <cellStyle name="Input 2 3 2 2 3 2" xfId="1417" xr:uid="{98A5CF18-EB8F-466C-8032-8BEB98D84B16}"/>
    <cellStyle name="Input 2 3 2 2 3 2 2" xfId="7188" xr:uid="{1ABC4711-4917-4E6E-B11E-E89C112FA910}"/>
    <cellStyle name="Input 2 3 2 2 3 2 3" xfId="9854" xr:uid="{CF16BE36-678C-46FD-96ED-5D04CD8C8406}"/>
    <cellStyle name="Input 2 3 2 2 3 2 4" xfId="4214" xr:uid="{D3F4421B-3EF4-41AB-83A7-DCFE79E4FCC1}"/>
    <cellStyle name="Input 2 3 2 2 3 3" xfId="4954" xr:uid="{294332C0-67FB-48F2-8BEA-68221B74BD79}"/>
    <cellStyle name="Input 2 3 2 2 3 3 2" xfId="7928" xr:uid="{751C583B-A593-496E-BC07-5FF92676FB0E}"/>
    <cellStyle name="Input 2 3 2 2 3 4" xfId="5719" xr:uid="{F9418464-FED3-490C-8259-0ADF854D5EB2}"/>
    <cellStyle name="Input 2 3 2 2 3 4 2" xfId="8693" xr:uid="{508154EE-0900-4314-B877-071BB3E5783F}"/>
    <cellStyle name="Input 2 3 2 2 3 5" xfId="3469" xr:uid="{E16BB9C1-CF77-41DF-839F-E6C1772AC449}"/>
    <cellStyle name="Input 2 3 2 2 3 6" xfId="6392" xr:uid="{C0E39033-9AC4-42AE-BCAB-B7D8ED468F32}"/>
    <cellStyle name="Input 2 3 2 2 3 7" xfId="2369" xr:uid="{64D3838E-0FF0-4216-8859-64CA5FDEEC30}"/>
    <cellStyle name="Input 2 3 2 2 4" xfId="1338" xr:uid="{42D39ABF-7217-4D39-A6D0-57A6EF07ABB3}"/>
    <cellStyle name="Input 2 3 2 2 4 2" xfId="7109" xr:uid="{DE28A999-76F0-445E-9421-92A5F6D2B672}"/>
    <cellStyle name="Input 2 3 2 2 4 3" xfId="9775" xr:uid="{8CF7A4D4-5533-448E-8D30-8596DC04B10E}"/>
    <cellStyle name="Input 2 3 2 2 4 4" xfId="4135" xr:uid="{16E85997-2434-470E-BECA-0527336CDB23}"/>
    <cellStyle name="Input 2 3 2 2 5" xfId="4875" xr:uid="{A0449FA4-0732-4713-812D-0DECE44E7428}"/>
    <cellStyle name="Input 2 3 2 2 5 2" xfId="7849" xr:uid="{E70E5650-6F3F-4A96-9E9E-ABC46BE09B28}"/>
    <cellStyle name="Input 2 3 2 2 6" xfId="5640" xr:uid="{E0642498-F824-4960-A9E5-982E7E8F9106}"/>
    <cellStyle name="Input 2 3 2 2 6 2" xfId="8614" xr:uid="{23B8B93A-37F6-4D15-9093-E014AE7B5456}"/>
    <cellStyle name="Input 2 3 2 2 7" xfId="3414" xr:uid="{1B8A000C-80F0-40C0-97FA-EED59ED31CEA}"/>
    <cellStyle name="Input 2 3 2 2 8" xfId="6313" xr:uid="{C5C6B501-D4C0-4249-B344-F6325489F946}"/>
    <cellStyle name="Input 2 3 2 2 9" xfId="2290" xr:uid="{506B4082-03B0-40B9-836F-165D0CDFDEB4}"/>
    <cellStyle name="Input 2 3 2 3" xfId="801" xr:uid="{342BFC91-4EC9-4877-8374-E029479DBCCF}"/>
    <cellStyle name="Input 2 3 2 3 2" xfId="1606" xr:uid="{E22F2ADF-6A7B-4EE2-BC48-C34FE270353C}"/>
    <cellStyle name="Input 2 3 2 3 2 2" xfId="7377" xr:uid="{4DA49BDD-12F9-4FC8-BB94-11316FCBD71C}"/>
    <cellStyle name="Input 2 3 2 3 2 3" xfId="10043" xr:uid="{8D8B080B-72A7-4BEA-8270-0302BF2C3EFC}"/>
    <cellStyle name="Input 2 3 2 3 2 4" xfId="4403" xr:uid="{13BC7D08-42A9-426F-82BC-FDFAC87C084F}"/>
    <cellStyle name="Input 2 3 2 3 3" xfId="5143" xr:uid="{4B3A85EA-EBAE-43D9-818F-A7EF291D30E6}"/>
    <cellStyle name="Input 2 3 2 3 3 2" xfId="8117" xr:uid="{3B4F6F49-DF62-4919-AAC0-BD9B61FE668B}"/>
    <cellStyle name="Input 2 3 2 3 4" xfId="5908" xr:uid="{556F6773-E313-4DD6-8C62-DF7CE1D88851}"/>
    <cellStyle name="Input 2 3 2 3 4 2" xfId="8882" xr:uid="{6939911F-E581-46B8-8F55-831F8C4764BD}"/>
    <cellStyle name="Input 2 3 2 3 5" xfId="3635" xr:uid="{0524509B-DCE5-4613-9387-AC8A03659563}"/>
    <cellStyle name="Input 2 3 2 3 6" xfId="6581" xr:uid="{37570E3C-4E4E-4B30-835A-BFDD6B5EC983}"/>
    <cellStyle name="Input 2 3 2 3 7" xfId="2558" xr:uid="{660B30FD-37AB-4D68-85D2-2165DBF38300}"/>
    <cellStyle name="Input 2 3 2 4" xfId="1106" xr:uid="{902D93B0-4E3C-47AB-80EF-607B8E541B01}"/>
    <cellStyle name="Input 2 3 2 4 2" xfId="1911" xr:uid="{310A2AE0-B75A-4F7F-B5F2-7EFFD4E3FFA5}"/>
    <cellStyle name="Input 2 3 2 4 2 2" xfId="7682" xr:uid="{DE00038C-7C04-4BB9-8AF2-A190DA8FB91D}"/>
    <cellStyle name="Input 2 3 2 4 2 3" xfId="10348" xr:uid="{66B72C04-EB89-4C1A-B1B4-863C95C679DA}"/>
    <cellStyle name="Input 2 3 2 4 2 4" xfId="4708" xr:uid="{3C626791-D820-43D5-89E3-A8EDC4E66B39}"/>
    <cellStyle name="Input 2 3 2 4 3" xfId="5448" xr:uid="{46C634F3-541A-4B21-A70B-30CEA83789CC}"/>
    <cellStyle name="Input 2 3 2 4 3 2" xfId="8422" xr:uid="{0F6EFC2E-5D3E-4FC8-91C8-3761C18F22CB}"/>
    <cellStyle name="Input 2 3 2 4 4" xfId="6213" xr:uid="{7622E76F-51F8-409E-A106-0D03E9B4A7B8}"/>
    <cellStyle name="Input 2 3 2 4 4 2" xfId="9187" xr:uid="{6A2C0FEE-5A5B-4039-BC9D-7DDDDD150420}"/>
    <cellStyle name="Input 2 3 2 4 5" xfId="3913" xr:uid="{1E31E779-4FF2-484F-816C-54C681CF62DC}"/>
    <cellStyle name="Input 2 3 2 4 6" xfId="6886" xr:uid="{AB143C45-A373-4FB1-AE99-6514F423C54E}"/>
    <cellStyle name="Input 2 3 2 4 7" xfId="2863" xr:uid="{D36ADBDC-ED12-46B3-B4DC-00C6FEC96532}"/>
    <cellStyle name="Input 2 3 2 5" xfId="3233" xr:uid="{D26A99B1-5BF3-4724-BF00-76BE493C6644}"/>
    <cellStyle name="Input 2 3 2 6" xfId="3968" xr:uid="{8468BCB2-0E0C-402B-A671-0FF4722AAE5A}"/>
    <cellStyle name="Input 2 3 2 7" xfId="2128" xr:uid="{31305595-23A1-483C-B4ED-1FB919F08C06}"/>
    <cellStyle name="Input 2 3 3" xfId="254" xr:uid="{D2568C2D-F201-4027-9B60-B824A537794F}"/>
    <cellStyle name="Input 2 3 3 2" xfId="478" xr:uid="{5486A0E8-EF3A-4CE4-B2BE-2D75F2DB6833}"/>
    <cellStyle name="Input 2 3 3 2 2" xfId="957" xr:uid="{DBA8A754-16EF-40F4-82E8-B1650D242BEA}"/>
    <cellStyle name="Input 2 3 3 2 2 2" xfId="1762" xr:uid="{BDA9D596-14C8-4F5A-81DD-32581E29FE26}"/>
    <cellStyle name="Input 2 3 3 2 2 2 2" xfId="7533" xr:uid="{47642CA7-B976-46C4-AB4E-C36A38B22C28}"/>
    <cellStyle name="Input 2 3 3 2 2 2 3" xfId="10199" xr:uid="{C234C83B-362F-481F-9A94-A4E47F3496CE}"/>
    <cellStyle name="Input 2 3 3 2 2 2 4" xfId="4559" xr:uid="{5A57B18F-D0F2-40D6-9114-379DAAED200F}"/>
    <cellStyle name="Input 2 3 3 2 2 3" xfId="5299" xr:uid="{E224FC5A-505A-469D-B37E-50A7275E20F7}"/>
    <cellStyle name="Input 2 3 3 2 2 3 2" xfId="8273" xr:uid="{9981151D-064D-4909-8EE3-F508DA625C14}"/>
    <cellStyle name="Input 2 3 3 2 2 4" xfId="6064" xr:uid="{09BC723E-B9DC-4787-959E-FE4EF353CF9F}"/>
    <cellStyle name="Input 2 3 3 2 2 4 2" xfId="9038" xr:uid="{7AD9E753-28AD-467E-85E0-22081F6B260B}"/>
    <cellStyle name="Input 2 3 3 2 2 5" xfId="3774" xr:uid="{B79017E3-714E-4681-8DB4-70DC45622B80}"/>
    <cellStyle name="Input 2 3 3 2 2 6" xfId="6737" xr:uid="{638F5524-B4E9-4CD8-8C21-5905631A030F}"/>
    <cellStyle name="Input 2 3 3 2 2 7" xfId="2714" xr:uid="{666B0277-2978-46CA-9234-16395E7F80FA}"/>
    <cellStyle name="Input 2 3 3 2 3" xfId="842" xr:uid="{9D59C0B7-4967-4CA3-BA54-CEB4F9EA85E5}"/>
    <cellStyle name="Input 2 3 3 2 3 2" xfId="1647" xr:uid="{0B016FE5-848C-447F-A76C-442778ADB33E}"/>
    <cellStyle name="Input 2 3 3 2 3 2 2" xfId="7418" xr:uid="{8C7A6D83-2536-4414-A895-5442882AFE9C}"/>
    <cellStyle name="Input 2 3 3 2 3 2 3" xfId="10084" xr:uid="{8382B21D-C4A5-4FD6-B708-4FED2D2BB3B5}"/>
    <cellStyle name="Input 2 3 3 2 3 2 4" xfId="4444" xr:uid="{A2904B75-5917-4B09-B125-ECC63F8BE749}"/>
    <cellStyle name="Input 2 3 3 2 3 3" xfId="5184" xr:uid="{C67D6E3C-A6EC-4F4B-A147-3DB72CE8E7FA}"/>
    <cellStyle name="Input 2 3 3 2 3 3 2" xfId="8158" xr:uid="{3F99F7DA-FF1E-4654-857F-545A82221439}"/>
    <cellStyle name="Input 2 3 3 2 3 4" xfId="5949" xr:uid="{F6D8F242-DDA7-450D-93D2-9DA64115ABA7}"/>
    <cellStyle name="Input 2 3 3 2 3 4 2" xfId="8923" xr:uid="{6A61EE59-E1DB-455D-BF2F-872B22CE3A9E}"/>
    <cellStyle name="Input 2 3 3 2 3 5" xfId="3674" xr:uid="{58579EBD-DBD1-421C-8A4F-581F989FCF01}"/>
    <cellStyle name="Input 2 3 3 2 3 6" xfId="6622" xr:uid="{0A50A194-B355-470E-91A4-FC2D2357A5A3}"/>
    <cellStyle name="Input 2 3 3 2 3 7" xfId="2599" xr:uid="{A8B643D5-081E-47F8-8A82-6AEBC2F6EF30}"/>
    <cellStyle name="Input 2 3 3 2 4" xfId="1284" xr:uid="{FC198BD4-2F74-42C0-9F30-FF3C07550A2C}"/>
    <cellStyle name="Input 2 3 3 2 4 2" xfId="7055" xr:uid="{82172C2C-DB5E-4135-A873-0B3AE566F08B}"/>
    <cellStyle name="Input 2 3 3 2 4 3" xfId="9721" xr:uid="{B5807244-984D-4D21-8957-B35168F80158}"/>
    <cellStyle name="Input 2 3 3 2 4 4" xfId="4081" xr:uid="{D68F09A7-7A9F-4B66-99FD-1160466AB525}"/>
    <cellStyle name="Input 2 3 3 2 5" xfId="4821" xr:uid="{CD7A4B74-265C-40E8-8E6D-442D1268DA5A}"/>
    <cellStyle name="Input 2 3 3 2 5 2" xfId="7795" xr:uid="{B23F2EF1-1F5E-4D22-96A2-B93407DE2ABF}"/>
    <cellStyle name="Input 2 3 3 2 6" xfId="5586" xr:uid="{9C156ADB-3371-4DC6-A58C-FD6D1F93B591}"/>
    <cellStyle name="Input 2 3 3 2 6 2" xfId="8560" xr:uid="{51AD87C6-91A5-4F73-9533-69B0C4E93F7D}"/>
    <cellStyle name="Input 2 3 3 2 7" xfId="3376" xr:uid="{39FE2905-32E5-4CE6-9023-172B225B2FA6}"/>
    <cellStyle name="Input 2 3 3 2 8" xfId="3319" xr:uid="{5C22F5EC-4FA0-4967-B148-0308891DAE3A}"/>
    <cellStyle name="Input 2 3 3 2 9" xfId="2236" xr:uid="{D2FB8F98-0A92-4D74-BEC4-982EED3E4646}"/>
    <cellStyle name="Input 2 3 3 3" xfId="746" xr:uid="{6C32A7B4-4985-469B-B241-5760A5EE1A47}"/>
    <cellStyle name="Input 2 3 3 3 2" xfId="1551" xr:uid="{46E5D5FE-83EC-4F6F-899A-987598CC6C9B}"/>
    <cellStyle name="Input 2 3 3 3 2 2" xfId="7322" xr:uid="{9933CB9D-FECE-479B-BFDF-4CD05A6EA4F0}"/>
    <cellStyle name="Input 2 3 3 3 2 3" xfId="9988" xr:uid="{1D46AE05-76AE-46BD-8D04-B5E28CD48F56}"/>
    <cellStyle name="Input 2 3 3 3 2 4" xfId="4348" xr:uid="{C603456F-B35C-4A20-B8A2-EE51E09766A8}"/>
    <cellStyle name="Input 2 3 3 3 3" xfId="5088" xr:uid="{FB90B7F9-D862-42E4-BC82-ED431B9A481C}"/>
    <cellStyle name="Input 2 3 3 3 3 2" xfId="8062" xr:uid="{922744DF-E43F-46CC-BA00-F75E156EC3DB}"/>
    <cellStyle name="Input 2 3 3 3 4" xfId="5853" xr:uid="{ECBBFF4B-BAC9-47B9-87DE-DD19D4033447}"/>
    <cellStyle name="Input 2 3 3 3 4 2" xfId="8827" xr:uid="{3CD0154F-159D-4B89-A514-611B6F496AC5}"/>
    <cellStyle name="Input 2 3 3 3 5" xfId="3581" xr:uid="{569CC8F5-566B-4127-8241-47BEF2E246EE}"/>
    <cellStyle name="Input 2 3 3 3 6" xfId="6526" xr:uid="{D97A705B-ECC6-46EC-A247-ACA6079DC1F0}"/>
    <cellStyle name="Input 2 3 3 3 7" xfId="2503" xr:uid="{4CF8D63A-D9A6-4E25-BC1C-5F86D2BF7044}"/>
    <cellStyle name="Input 2 3 3 4" xfId="589" xr:uid="{F9CE6998-C9DA-4E93-B27E-2CA0EDA66BA9}"/>
    <cellStyle name="Input 2 3 3 4 2" xfId="1394" xr:uid="{6A6E75DA-9E74-4134-A618-9D45E1F60F82}"/>
    <cellStyle name="Input 2 3 3 4 2 2" xfId="7165" xr:uid="{A71F1010-3671-4436-9AFC-62826CDDBC96}"/>
    <cellStyle name="Input 2 3 3 4 2 3" xfId="9831" xr:uid="{D478F2BC-79AF-48D2-A84B-C09028945765}"/>
    <cellStyle name="Input 2 3 3 4 2 4" xfId="4191" xr:uid="{B523C474-AE76-4784-B675-622E7ED81CD8}"/>
    <cellStyle name="Input 2 3 3 4 3" xfId="4931" xr:uid="{6B5EDB21-4CE8-4A56-8EAF-5A33CE59F80F}"/>
    <cellStyle name="Input 2 3 3 4 3 2" xfId="7905" xr:uid="{DBBF695D-EAF1-4A10-8D4B-51C94E31E32B}"/>
    <cellStyle name="Input 2 3 3 4 4" xfId="5696" xr:uid="{1C2AD987-0A68-4665-87D7-B2941B668245}"/>
    <cellStyle name="Input 2 3 3 4 4 2" xfId="8670" xr:uid="{EE860928-5414-4786-9980-0D71C3F1765D}"/>
    <cellStyle name="Input 2 3 3 4 5" xfId="3452" xr:uid="{BC9E5347-AA6E-4C57-8DB5-765FD7664791}"/>
    <cellStyle name="Input 2 3 3 4 6" xfId="6369" xr:uid="{85C9C863-2480-4F25-B042-DA8BCA091825}"/>
    <cellStyle name="Input 2 3 3 4 7" xfId="2346" xr:uid="{4E2F3B52-CA99-4A28-A97B-68731F2A7826}"/>
    <cellStyle name="Input 2 3 3 5" xfId="3189" xr:uid="{9DB69C22-1423-4E1E-97B7-B1782CCA7A63}"/>
    <cellStyle name="Input 2 3 3 6" xfId="3235" xr:uid="{8D1AF919-BCE1-4823-B59C-DDFC964FACBF}"/>
    <cellStyle name="Input 2 3 3 7" xfId="2071" xr:uid="{B5C6B8ED-6623-4512-A8D0-067D43ACF2D2}"/>
    <cellStyle name="Input 2 3 4" xfId="430" xr:uid="{96B7760B-99AD-47C9-B6E9-321224F1697B}"/>
    <cellStyle name="Input 2 3 4 2" xfId="909" xr:uid="{F36A3D6C-C911-45D3-8770-C3193826FE8D}"/>
    <cellStyle name="Input 2 3 4 2 2" xfId="1714" xr:uid="{B75170F9-F802-465E-AE87-EA21D14C6BD3}"/>
    <cellStyle name="Input 2 3 4 2 2 2" xfId="7485" xr:uid="{46274455-0213-4FB2-8349-A8C1290B71D8}"/>
    <cellStyle name="Input 2 3 4 2 2 3" xfId="10151" xr:uid="{B02B4846-D08B-4DEB-A98A-3ECCDA3F3867}"/>
    <cellStyle name="Input 2 3 4 2 2 4" xfId="4511" xr:uid="{8E6D8274-152C-4DFE-A27B-3B36FF3FB046}"/>
    <cellStyle name="Input 2 3 4 2 3" xfId="5251" xr:uid="{DC2A5EFA-A4B0-40BE-952C-A468F248A909}"/>
    <cellStyle name="Input 2 3 4 2 3 2" xfId="8225" xr:uid="{7D17E931-79BE-4582-A66E-2B1B9FD0EC89}"/>
    <cellStyle name="Input 2 3 4 2 4" xfId="6016" xr:uid="{2404D89B-09CF-407B-B2CA-863359CAD791}"/>
    <cellStyle name="Input 2 3 4 2 4 2" xfId="8990" xr:uid="{30FE1187-D2DF-43A8-A710-BB9203B6203C}"/>
    <cellStyle name="Input 2 3 4 2 5" xfId="3726" xr:uid="{95A30E2E-0D60-4029-882F-0A363349BFF9}"/>
    <cellStyle name="Input 2 3 4 2 6" xfId="6689" xr:uid="{1B9654F2-5BE0-409F-86F6-DA3FD6C90FF3}"/>
    <cellStyle name="Input 2 3 4 2 7" xfId="2666" xr:uid="{908E2216-F57D-4BB5-A9D2-1D259DC3DD21}"/>
    <cellStyle name="Input 2 3 4 3" xfId="635" xr:uid="{1ABEB8F6-DC39-4CF0-8C27-ECC655105627}"/>
    <cellStyle name="Input 2 3 4 3 2" xfId="1440" xr:uid="{AA2656A6-ACA9-45E7-AB70-E8511612CBEB}"/>
    <cellStyle name="Input 2 3 4 3 2 2" xfId="7211" xr:uid="{7F9310FD-6B96-4563-8D2C-E75F15939FA4}"/>
    <cellStyle name="Input 2 3 4 3 2 3" xfId="9877" xr:uid="{FF4C4804-C24D-40BA-B2BE-956472F77AD7}"/>
    <cellStyle name="Input 2 3 4 3 2 4" xfId="4237" xr:uid="{E33488AA-65BE-4C62-8820-280612FE2C4B}"/>
    <cellStyle name="Input 2 3 4 3 3" xfId="4977" xr:uid="{111D972D-0926-404D-A9E8-55B79BE07B50}"/>
    <cellStyle name="Input 2 3 4 3 3 2" xfId="7951" xr:uid="{0C54FAF5-C93D-47A8-AB3B-F1F3943C6774}"/>
    <cellStyle name="Input 2 3 4 3 4" xfId="5742" xr:uid="{C9192BF2-B72E-4A7A-8545-AA197EDAE2DF}"/>
    <cellStyle name="Input 2 3 4 3 4 2" xfId="8716" xr:uid="{1B442A41-E309-4975-AA46-848FC8D30CC5}"/>
    <cellStyle name="Input 2 3 4 3 5" xfId="3484" xr:uid="{1904EBAC-6AE9-4761-9ED5-727724145666}"/>
    <cellStyle name="Input 2 3 4 3 6" xfId="6415" xr:uid="{FEF2B150-1FF3-4F97-84A3-CF06D4D3AF02}"/>
    <cellStyle name="Input 2 3 4 3 7" xfId="2392" xr:uid="{52743A08-1929-416B-AEC8-49062BFC5533}"/>
    <cellStyle name="Input 2 3 4 4" xfId="1236" xr:uid="{1E2CF1FF-F88F-46CB-9F38-58F6C3CA45DF}"/>
    <cellStyle name="Input 2 3 4 4 2" xfId="7007" xr:uid="{4828092A-F375-43E5-8513-41A0A82D1823}"/>
    <cellStyle name="Input 2 3 4 4 3" xfId="9673" xr:uid="{F511A953-F928-4BA0-8B2D-5F55294D431D}"/>
    <cellStyle name="Input 2 3 4 4 4" xfId="4033" xr:uid="{4D270871-A00E-4ED1-BC70-F4F129D5BD7E}"/>
    <cellStyle name="Input 2 3 4 5" xfId="3275" xr:uid="{0BD2F755-6898-4698-B012-D1678C3791E2}"/>
    <cellStyle name="Input 2 3 4 5 2" xfId="2965" xr:uid="{A52F45D3-99D7-4F32-8B37-06F64BA006C6}"/>
    <cellStyle name="Input 2 3 4 6" xfId="5538" xr:uid="{6355B1FA-EBB2-41D0-B04F-3A1C04EFE40F}"/>
    <cellStyle name="Input 2 3 4 6 2" xfId="8512" xr:uid="{E3800085-C5F3-464D-B6F9-25932FFD873E}"/>
    <cellStyle name="Input 2 3 4 7" xfId="3342" xr:uid="{1E365BA0-A070-48FA-9935-0F066B3AFD48}"/>
    <cellStyle name="Input 2 3 4 8" xfId="2980" xr:uid="{48F5D183-A088-4642-A800-982D696591C9}"/>
    <cellStyle name="Input 2 3 4 9" xfId="2188" xr:uid="{32A4DE8F-62B1-47E1-BA38-DC14A60ADB05}"/>
    <cellStyle name="Input 2 3 5" xfId="698" xr:uid="{FA163422-7E78-45A0-B27F-FA66BE46F7D8}"/>
    <cellStyle name="Input 2 3 5 2" xfId="1503" xr:uid="{1D61154A-B704-43F0-8901-AE35C1CB589C}"/>
    <cellStyle name="Input 2 3 5 2 2" xfId="7274" xr:uid="{B230AAE0-0D3B-4E68-95C5-0117721980D5}"/>
    <cellStyle name="Input 2 3 5 2 3" xfId="9940" xr:uid="{96EE6AEF-9F10-4E6D-B33E-6B72F4C02A93}"/>
    <cellStyle name="Input 2 3 5 2 4" xfId="4300" xr:uid="{9BDF27F3-2457-4401-A1A8-FA77539F52F6}"/>
    <cellStyle name="Input 2 3 5 3" xfId="5040" xr:uid="{8D858C09-9D04-4178-BEFE-B2FED176ED49}"/>
    <cellStyle name="Input 2 3 5 3 2" xfId="8014" xr:uid="{AD99F5C5-8E0C-4884-9E4C-E084A970EB24}"/>
    <cellStyle name="Input 2 3 5 4" xfId="5805" xr:uid="{8C93311E-EF6D-4922-BFCB-35D65F261CA4}"/>
    <cellStyle name="Input 2 3 5 4 2" xfId="8779" xr:uid="{566394D8-10BE-493A-9FFA-4C6A2CCB1D5A}"/>
    <cellStyle name="Input 2 3 5 5" xfId="3533" xr:uid="{E197ACC3-9AC9-400B-8FB0-AFDE03C1440C}"/>
    <cellStyle name="Input 2 3 5 6" xfId="6478" xr:uid="{0313AB5F-5346-4FFB-86A4-5DBC79966233}"/>
    <cellStyle name="Input 2 3 5 7" xfId="2455" xr:uid="{77B97E46-CDD8-46EB-B642-4618BDDAD8C4}"/>
    <cellStyle name="Input 2 3 6" xfId="1147" xr:uid="{5A42D83E-349B-4ED3-B4E3-72523F7A7DE9}"/>
    <cellStyle name="Input 2 3 6 2" xfId="1952" xr:uid="{ADE732E9-95D8-4BCD-8221-3DC9300CAF44}"/>
    <cellStyle name="Input 2 3 6 2 2" xfId="7723" xr:uid="{7931B1C8-7803-47E1-BFF7-B1AB75C048F6}"/>
    <cellStyle name="Input 2 3 6 2 3" xfId="10389" xr:uid="{E8182775-881E-4FD7-A641-9A078CDCC092}"/>
    <cellStyle name="Input 2 3 6 2 4" xfId="4749" xr:uid="{A3453FB6-3039-4C3E-AEB4-04691240819A}"/>
    <cellStyle name="Input 2 3 6 3" xfId="5489" xr:uid="{AB48DB9A-9CF8-4A84-9FD4-13581541345D}"/>
    <cellStyle name="Input 2 3 6 3 2" xfId="8463" xr:uid="{AB96AF58-4832-45A4-904B-CCB33C2FB138}"/>
    <cellStyle name="Input 2 3 6 4" xfId="6254" xr:uid="{7A285596-30B9-40F4-A97A-E3187BA5B4BC}"/>
    <cellStyle name="Input 2 3 6 4 2" xfId="9228" xr:uid="{BE66A35C-BA7F-4E38-BD22-BFBD03F2386D}"/>
    <cellStyle name="Input 2 3 6 5" xfId="3941" xr:uid="{BB52AD35-822F-4FAD-80C3-8962064CB413}"/>
    <cellStyle name="Input 2 3 6 6" xfId="6927" xr:uid="{F3175017-B5DE-41A9-B2BE-FFE00525B834}"/>
    <cellStyle name="Input 2 3 6 7" xfId="2904" xr:uid="{178C2C56-BEB9-47BB-9281-75C33E3794A2}"/>
    <cellStyle name="Input 2 3 7" xfId="3146" xr:uid="{DE58AA32-2897-46BE-9EC3-05F2BFCF8086}"/>
    <cellStyle name="Input 2 3 8" xfId="3468" xr:uid="{1F0FEA80-1B16-426F-8446-69E7979CAD3B}"/>
    <cellStyle name="Input 2 3 9" xfId="2021" xr:uid="{35F9A2FF-E44C-47E4-8648-8EB92FD8E800}"/>
    <cellStyle name="Input 2 4" xfId="212" xr:uid="{EDC4D506-A244-41C1-B62F-C7A2A1B525DF}"/>
    <cellStyle name="Input 2 4 2" xfId="316" xr:uid="{9DAAC887-D801-4312-B7B3-0493BEA9E9B8}"/>
    <cellStyle name="Input 2 4 2 2" xfId="538" xr:uid="{1C05A9FB-3A50-4BB3-88BC-B81521126FC4}"/>
    <cellStyle name="Input 2 4 2 2 2" xfId="1017" xr:uid="{EA294E87-8273-49C2-AB88-E0FD8BC58F4F}"/>
    <cellStyle name="Input 2 4 2 2 2 2" xfId="1822" xr:uid="{6FB28E36-2046-4D5D-A358-5B1BE7E326E3}"/>
    <cellStyle name="Input 2 4 2 2 2 2 2" xfId="7593" xr:uid="{E3F63689-FAE1-4489-846C-1587403AD95E}"/>
    <cellStyle name="Input 2 4 2 2 2 2 3" xfId="10259" xr:uid="{770183B0-8111-4F2C-8113-F380B991D2A7}"/>
    <cellStyle name="Input 2 4 2 2 2 2 4" xfId="4619" xr:uid="{6435311A-EAC2-4698-B55C-599F7C4342F4}"/>
    <cellStyle name="Input 2 4 2 2 2 3" xfId="5359" xr:uid="{A957908A-5D0F-4A31-9016-98D409280FE6}"/>
    <cellStyle name="Input 2 4 2 2 2 3 2" xfId="8333" xr:uid="{12A8015F-DFF3-4584-B316-27B1C634A185}"/>
    <cellStyle name="Input 2 4 2 2 2 4" xfId="6124" xr:uid="{610E8317-A07D-4800-A5CA-B9D15A04E449}"/>
    <cellStyle name="Input 2 4 2 2 2 4 2" xfId="9098" xr:uid="{5C1831C8-200C-48D9-95E9-5BCF9197A3F7}"/>
    <cellStyle name="Input 2 4 2 2 2 5" xfId="3834" xr:uid="{9177F9D5-55E6-4127-8FC5-2308015E6DF2}"/>
    <cellStyle name="Input 2 4 2 2 2 6" xfId="6797" xr:uid="{5EFE8637-CD0A-4F17-83E7-5470D05810F7}"/>
    <cellStyle name="Input 2 4 2 2 2 7" xfId="2774" xr:uid="{1D378F66-1AD2-4D9D-8C01-37832B25952B}"/>
    <cellStyle name="Input 2 4 2 2 3" xfId="846" xr:uid="{4E45B745-6278-48AB-A0CB-483FE8997B98}"/>
    <cellStyle name="Input 2 4 2 2 3 2" xfId="1651" xr:uid="{170992D3-EEC4-4AF6-A25C-849E81229323}"/>
    <cellStyle name="Input 2 4 2 2 3 2 2" xfId="7422" xr:uid="{D67B5CC4-4652-49EA-812A-20FD99E1C5AE}"/>
    <cellStyle name="Input 2 4 2 2 3 2 3" xfId="10088" xr:uid="{00EF0118-2BB5-4E9B-B8CA-BD5689D06C7D}"/>
    <cellStyle name="Input 2 4 2 2 3 2 4" xfId="4448" xr:uid="{512DE96E-2D1F-4609-8244-0D5ED6F55360}"/>
    <cellStyle name="Input 2 4 2 2 3 3" xfId="5188" xr:uid="{7E46F4C0-8734-4724-9C20-BE8589744DD5}"/>
    <cellStyle name="Input 2 4 2 2 3 3 2" xfId="8162" xr:uid="{265213CC-2159-4C20-B984-4DC875940C3C}"/>
    <cellStyle name="Input 2 4 2 2 3 4" xfId="5953" xr:uid="{2148739B-9F51-4B9D-ADC4-95D902D96863}"/>
    <cellStyle name="Input 2 4 2 2 3 4 2" xfId="8927" xr:uid="{0F5C9972-7F15-4CE3-B648-03654C63EF12}"/>
    <cellStyle name="Input 2 4 2 2 3 5" xfId="3677" xr:uid="{59577D56-106A-4F93-85FE-50C6FF60428B}"/>
    <cellStyle name="Input 2 4 2 2 3 6" xfId="6626" xr:uid="{3FAE17E3-123B-463F-B99B-D3ACFCB6A934}"/>
    <cellStyle name="Input 2 4 2 2 3 7" xfId="2603" xr:uid="{C323E578-9CBD-4C59-A738-BC52973A2251}"/>
    <cellStyle name="Input 2 4 2 2 4" xfId="1344" xr:uid="{8E5ACC36-ACBF-4754-9200-E46D14FECE2C}"/>
    <cellStyle name="Input 2 4 2 2 4 2" xfId="7115" xr:uid="{E9D66679-0209-426B-9303-581E642A1934}"/>
    <cellStyle name="Input 2 4 2 2 4 3" xfId="9781" xr:uid="{0D7910A1-BE46-41D9-9281-357923C03B65}"/>
    <cellStyle name="Input 2 4 2 2 4 4" xfId="4141" xr:uid="{F0D32C66-57B0-4D78-8C07-A9E378FBDD39}"/>
    <cellStyle name="Input 2 4 2 2 5" xfId="4881" xr:uid="{EFD4BD92-DC78-4CDD-8778-7C73188CE6E1}"/>
    <cellStyle name="Input 2 4 2 2 5 2" xfId="7855" xr:uid="{FED45C7B-D91A-4DFC-B2E7-BA52F4FD171F}"/>
    <cellStyle name="Input 2 4 2 2 6" xfId="5646" xr:uid="{9DDA5410-45A9-4A85-A7A8-8F0832EE04D7}"/>
    <cellStyle name="Input 2 4 2 2 6 2" xfId="8620" xr:uid="{9FAF9535-5D17-4601-B54B-E2EF5A5C9DB8}"/>
    <cellStyle name="Input 2 4 2 2 7" xfId="3418" xr:uid="{8949E77D-30E5-4F0B-8549-CF635AC180DF}"/>
    <cellStyle name="Input 2 4 2 2 8" xfId="6319" xr:uid="{0D815327-53A1-4A70-A3EC-6B248C9F566F}"/>
    <cellStyle name="Input 2 4 2 2 9" xfId="2296" xr:uid="{1CB162C3-B9CF-4972-A916-207DD4290A9C}"/>
    <cellStyle name="Input 2 4 2 3" xfId="807" xr:uid="{187A87C3-0F8B-42C3-9C5D-13A828FA789C}"/>
    <cellStyle name="Input 2 4 2 3 2" xfId="1612" xr:uid="{5269AF50-0284-4C9B-AAC1-2D1BB0699C3A}"/>
    <cellStyle name="Input 2 4 2 3 2 2" xfId="7383" xr:uid="{595BE03A-A0C3-47BF-989F-70CD0B87800F}"/>
    <cellStyle name="Input 2 4 2 3 2 3" xfId="10049" xr:uid="{5621358F-97E1-482D-B5F2-4D9238CE6781}"/>
    <cellStyle name="Input 2 4 2 3 2 4" xfId="4409" xr:uid="{FBF4AA56-46CD-4C74-9FA2-B82FB4DA9CE0}"/>
    <cellStyle name="Input 2 4 2 3 3" xfId="5149" xr:uid="{9419BCE5-6539-47C9-A67D-BE811305465C}"/>
    <cellStyle name="Input 2 4 2 3 3 2" xfId="8123" xr:uid="{15799876-78D1-4CFD-A684-21559E18BE72}"/>
    <cellStyle name="Input 2 4 2 3 4" xfId="5914" xr:uid="{DB926DF5-BDA0-42AB-9649-EC4BA6FE8169}"/>
    <cellStyle name="Input 2 4 2 3 4 2" xfId="8888" xr:uid="{324F7F51-D613-45F7-879F-B6F813D8E3F1}"/>
    <cellStyle name="Input 2 4 2 3 5" xfId="3641" xr:uid="{9E4CC1BC-6E12-4B8F-8662-4A021692809F}"/>
    <cellStyle name="Input 2 4 2 3 6" xfId="6587" xr:uid="{08022640-F10E-4CBD-9A58-03001BC08564}"/>
    <cellStyle name="Input 2 4 2 3 7" xfId="2564" xr:uid="{F7A94878-6941-488E-8DFD-18B6BBFD738B}"/>
    <cellStyle name="Input 2 4 2 4" xfId="1100" xr:uid="{C1CB99CF-73BB-4EEC-8DCB-850405E9F559}"/>
    <cellStyle name="Input 2 4 2 4 2" xfId="1905" xr:uid="{6C1A7904-9006-4369-BEE0-A84A19EA7CBC}"/>
    <cellStyle name="Input 2 4 2 4 2 2" xfId="7676" xr:uid="{DE0F2766-07EC-4F5C-92AB-D3F46F531907}"/>
    <cellStyle name="Input 2 4 2 4 2 3" xfId="10342" xr:uid="{8D530572-8B9C-4D9C-B7D4-AFC5AB571169}"/>
    <cellStyle name="Input 2 4 2 4 2 4" xfId="4702" xr:uid="{6BC8F234-0DDC-455E-A8EB-BA1D19C3CF88}"/>
    <cellStyle name="Input 2 4 2 4 3" xfId="5442" xr:uid="{C1DDF9FC-0CAE-4BDC-AEED-BCD75391AFDB}"/>
    <cellStyle name="Input 2 4 2 4 3 2" xfId="8416" xr:uid="{9E7CBADA-48EC-4E7B-950D-EE31B51F8503}"/>
    <cellStyle name="Input 2 4 2 4 4" xfId="6207" xr:uid="{7BC170CC-A84A-4C3C-8F22-C982FAC81F94}"/>
    <cellStyle name="Input 2 4 2 4 4 2" xfId="9181" xr:uid="{DA3676B2-EB63-4418-8E95-34FBE0F54CFE}"/>
    <cellStyle name="Input 2 4 2 4 5" xfId="3909" xr:uid="{6529D51E-2943-4CF6-88A7-54ACFB4D0818}"/>
    <cellStyle name="Input 2 4 2 4 6" xfId="6880" xr:uid="{6C161A43-20EB-4EF0-92E6-7ACF797C952E}"/>
    <cellStyle name="Input 2 4 2 4 7" xfId="2857" xr:uid="{B747E20F-9C64-455E-B70E-877E760BC5DD}"/>
    <cellStyle name="Input 2 4 2 5" xfId="3237" xr:uid="{98A381E9-39F6-4C11-92D8-EE345E4FE778}"/>
    <cellStyle name="Input 2 4 2 6" xfId="2973" xr:uid="{8C42C16E-A14B-4144-831C-BE398853FD5A}"/>
    <cellStyle name="Input 2 4 2 7" xfId="2134" xr:uid="{AA9166C9-D382-4B40-BF54-0E120D248E99}"/>
    <cellStyle name="Input 2 4 3" xfId="260" xr:uid="{564DDDAE-C996-472A-9ED1-2353D811D6CF}"/>
    <cellStyle name="Input 2 4 3 2" xfId="484" xr:uid="{942B28DC-BDE6-4B51-B805-D1984027419A}"/>
    <cellStyle name="Input 2 4 3 2 2" xfId="963" xr:uid="{F63CE69F-D603-45AC-B0D9-B261FE4FF078}"/>
    <cellStyle name="Input 2 4 3 2 2 2" xfId="1768" xr:uid="{A8E177D6-AFC9-4B77-8AA9-47D7C1E7580C}"/>
    <cellStyle name="Input 2 4 3 2 2 2 2" xfId="7539" xr:uid="{F08C1BD5-F63F-41AA-8CB7-3D84D28097BA}"/>
    <cellStyle name="Input 2 4 3 2 2 2 3" xfId="10205" xr:uid="{04836268-7977-4141-A14E-459CACF34ED4}"/>
    <cellStyle name="Input 2 4 3 2 2 2 4" xfId="4565" xr:uid="{CF8D19BD-E0B2-4B29-AC61-9EE0F52D37D8}"/>
    <cellStyle name="Input 2 4 3 2 2 3" xfId="5305" xr:uid="{6C005D8C-A17F-4EA3-A906-E3C78E16F981}"/>
    <cellStyle name="Input 2 4 3 2 2 3 2" xfId="8279" xr:uid="{CF06A76D-B5A4-4AAD-80D5-17424D2CC2DC}"/>
    <cellStyle name="Input 2 4 3 2 2 4" xfId="6070" xr:uid="{782A3B17-28F0-471D-9E4F-CD7F56EC78DC}"/>
    <cellStyle name="Input 2 4 3 2 2 4 2" xfId="9044" xr:uid="{44E74891-6F3E-4D40-B91F-42835E45995B}"/>
    <cellStyle name="Input 2 4 3 2 2 5" xfId="3780" xr:uid="{CB65FF7D-DDF9-4EE5-91CA-D3AF6CC7F9D7}"/>
    <cellStyle name="Input 2 4 3 2 2 6" xfId="6743" xr:uid="{7A62D97B-05C6-4DBF-B3DB-6C62864A905C}"/>
    <cellStyle name="Input 2 4 3 2 2 7" xfId="2720" xr:uid="{C313CB34-9241-4DB7-A0C2-F6B27A2E980B}"/>
    <cellStyle name="Input 2 4 3 2 3" xfId="1191" xr:uid="{A449699B-06D8-45CF-9D07-05AA57749D9A}"/>
    <cellStyle name="Input 2 4 3 2 3 2" xfId="1996" xr:uid="{01DF05B1-0A63-423F-A0AA-F4E3ADAB84C6}"/>
    <cellStyle name="Input 2 4 3 2 3 2 2" xfId="7767" xr:uid="{D4F47054-86C2-4E61-A4EB-B7E179B7FFFD}"/>
    <cellStyle name="Input 2 4 3 2 3 2 3" xfId="10433" xr:uid="{661E15BF-9E08-4AD5-813D-8D55EC0D0DC4}"/>
    <cellStyle name="Input 2 4 3 2 3 2 4" xfId="4793" xr:uid="{A0885351-D487-4402-A68F-5E9A1FB6D6FE}"/>
    <cellStyle name="Input 2 4 3 2 3 3" xfId="5533" xr:uid="{96845D28-BC96-48DD-90B3-7E508BCFD2B2}"/>
    <cellStyle name="Input 2 4 3 2 3 3 2" xfId="8507" xr:uid="{7D1204FD-0232-4198-B4F8-149E3F1DB5DB}"/>
    <cellStyle name="Input 2 4 3 2 3 4" xfId="6298" xr:uid="{78562B39-46A0-4B81-8960-164AB8D2B10E}"/>
    <cellStyle name="Input 2 4 3 2 3 4 2" xfId="9272" xr:uid="{8E41085A-EFC9-450F-9BA1-2A14D7441928}"/>
    <cellStyle name="Input 2 4 3 2 3 5" xfId="3965" xr:uid="{D49EACDA-3BA8-4089-87AF-3DC413BE45CB}"/>
    <cellStyle name="Input 2 4 3 2 3 6" xfId="6971" xr:uid="{D0C3F4B5-F759-4CC6-B607-E27D1C2AC25C}"/>
    <cellStyle name="Input 2 4 3 2 3 7" xfId="2948" xr:uid="{6AA160C2-47B9-4EFE-9CD0-A4D75BC32ED5}"/>
    <cellStyle name="Input 2 4 3 2 4" xfId="1290" xr:uid="{0BD80AEC-696E-4AE5-907B-743527DB8458}"/>
    <cellStyle name="Input 2 4 3 2 4 2" xfId="7061" xr:uid="{946F76F7-0FF4-40AA-BC2A-DDA27FF26FAA}"/>
    <cellStyle name="Input 2 4 3 2 4 3" xfId="9727" xr:uid="{EA7E3B18-6AD2-4562-A79F-CB1240A3AB25}"/>
    <cellStyle name="Input 2 4 3 2 4 4" xfId="4087" xr:uid="{234CEEAC-43F7-4C82-B7D3-152C0EAFD988}"/>
    <cellStyle name="Input 2 4 3 2 5" xfId="4827" xr:uid="{731FBBFD-ECF5-4A68-AA27-5743644127BD}"/>
    <cellStyle name="Input 2 4 3 2 5 2" xfId="7801" xr:uid="{B310E9BA-8B46-438F-9B7A-78C111CC08EB}"/>
    <cellStyle name="Input 2 4 3 2 6" xfId="5592" xr:uid="{6D332BDA-E27C-4364-BA44-1AAE0CC8D2F1}"/>
    <cellStyle name="Input 2 4 3 2 6 2" xfId="8566" xr:uid="{FED9177A-02A1-49EB-8CDE-07FFA2C5E45C}"/>
    <cellStyle name="Input 2 4 3 2 7" xfId="3380" xr:uid="{7F9F1CC7-D55B-4E47-B15F-FA630ABD2FC5}"/>
    <cellStyle name="Input 2 4 3 2 8" xfId="3067" xr:uid="{3FD9FC52-12BD-4E88-8945-13F4954E68CA}"/>
    <cellStyle name="Input 2 4 3 2 9" xfId="2242" xr:uid="{2C05E89B-4215-4BC4-B31A-77CD707BEDBE}"/>
    <cellStyle name="Input 2 4 3 3" xfId="752" xr:uid="{AFF40772-3CF3-448C-AB3A-A47E8ACDBBE5}"/>
    <cellStyle name="Input 2 4 3 3 2" xfId="1557" xr:uid="{FF69A196-0FD9-4F59-9012-33986BBEE727}"/>
    <cellStyle name="Input 2 4 3 3 2 2" xfId="7328" xr:uid="{79D2C928-E2D6-49B9-89AE-51BBA08A5202}"/>
    <cellStyle name="Input 2 4 3 3 2 3" xfId="9994" xr:uid="{BF176571-61AC-4861-B1D3-AADBC107FE57}"/>
    <cellStyle name="Input 2 4 3 3 2 4" xfId="4354" xr:uid="{805123DF-53CA-418E-8135-CD2A5F006C5B}"/>
    <cellStyle name="Input 2 4 3 3 3" xfId="5094" xr:uid="{D04F9003-33B2-4644-8B52-C569D548C61B}"/>
    <cellStyle name="Input 2 4 3 3 3 2" xfId="8068" xr:uid="{37CC7DE6-B6E3-44EA-AA0E-3A3FDB57D632}"/>
    <cellStyle name="Input 2 4 3 3 4" xfId="5859" xr:uid="{A499C930-887F-4FCB-9CF7-BD56431D209E}"/>
    <cellStyle name="Input 2 4 3 3 4 2" xfId="8833" xr:uid="{3FF06FD6-4C0F-4430-B684-38E4F0E0592A}"/>
    <cellStyle name="Input 2 4 3 3 5" xfId="3587" xr:uid="{33FD1090-325E-45F0-9E1D-9A083D83C6BB}"/>
    <cellStyle name="Input 2 4 3 3 6" xfId="6532" xr:uid="{D784FC27-2E30-4805-8F89-9B369B5C4C71}"/>
    <cellStyle name="Input 2 4 3 3 7" xfId="2509" xr:uid="{439A1D37-56F1-48D5-8F28-FC9D5DB1EFD3}"/>
    <cellStyle name="Input 2 4 3 4" xfId="873" xr:uid="{F643302C-43F3-4555-9F64-8E4A36B01FF0}"/>
    <cellStyle name="Input 2 4 3 4 2" xfId="1678" xr:uid="{ECA0D428-E9E6-44E5-B5A3-2C00E06320BD}"/>
    <cellStyle name="Input 2 4 3 4 2 2" xfId="7449" xr:uid="{9896F923-2FBE-49ED-BC68-BD787CA1542E}"/>
    <cellStyle name="Input 2 4 3 4 2 3" xfId="10115" xr:uid="{319DE931-F661-4C71-8DF4-59BE583CEA1B}"/>
    <cellStyle name="Input 2 4 3 4 2 4" xfId="4475" xr:uid="{C133DC41-8AEB-4D5D-BCF2-00F870380CAF}"/>
    <cellStyle name="Input 2 4 3 4 3" xfId="5215" xr:uid="{8F76677F-1F1B-4CAB-939A-F63A4FF8E883}"/>
    <cellStyle name="Input 2 4 3 4 3 2" xfId="8189" xr:uid="{51F8A227-4FA8-43CB-8942-67B3FFD19431}"/>
    <cellStyle name="Input 2 4 3 4 4" xfId="5980" xr:uid="{4D7C24A3-3B13-4043-B2A4-D42E2C86583F}"/>
    <cellStyle name="Input 2 4 3 4 4 2" xfId="8954" xr:uid="{DF5D92BC-9D3C-40C5-9B02-F94A59F72A75}"/>
    <cellStyle name="Input 2 4 3 4 5" xfId="3696" xr:uid="{BA10BF69-EF82-4FF3-B9B8-F78073EC9804}"/>
    <cellStyle name="Input 2 4 3 4 6" xfId="6653" xr:uid="{46F7C1FB-CBA4-45F5-AB1C-09ACBBF509EF}"/>
    <cellStyle name="Input 2 4 3 4 7" xfId="2630" xr:uid="{1621CD6C-3419-4739-9FFA-388D827B720E}"/>
    <cellStyle name="Input 2 4 3 5" xfId="3193" xr:uid="{1CE6565E-5A64-4EB6-9282-C040637B567B}"/>
    <cellStyle name="Input 2 4 3 6" xfId="3476" xr:uid="{9C989605-A72C-4C70-BFD3-C8F7B1EDAB15}"/>
    <cellStyle name="Input 2 4 3 7" xfId="2077" xr:uid="{8C289E51-A3DE-48C7-9DF1-8B0231B1D1E9}"/>
    <cellStyle name="Input 2 4 4" xfId="436" xr:uid="{0A7908AC-D043-42B1-884E-AF031C4A2FDD}"/>
    <cellStyle name="Input 2 4 4 2" xfId="915" xr:uid="{1D0A79C4-8F50-4562-8A6F-621915437FE3}"/>
    <cellStyle name="Input 2 4 4 2 2" xfId="1720" xr:uid="{A6B536F8-9DC4-4479-83A5-884A92CE9DCF}"/>
    <cellStyle name="Input 2 4 4 2 2 2" xfId="7491" xr:uid="{CC0A010C-F381-4DC9-B84D-7CB121998520}"/>
    <cellStyle name="Input 2 4 4 2 2 3" xfId="10157" xr:uid="{0BC7DC64-D1F1-4AC1-B857-5318EAFC49B4}"/>
    <cellStyle name="Input 2 4 4 2 2 4" xfId="4517" xr:uid="{3F81CFBC-9DE4-4049-B17B-29C8C4B125D2}"/>
    <cellStyle name="Input 2 4 4 2 3" xfId="5257" xr:uid="{D44F5EE6-C045-4D54-896D-1B8EF103D609}"/>
    <cellStyle name="Input 2 4 4 2 3 2" xfId="8231" xr:uid="{81258374-8421-4199-9499-A927FDE3227E}"/>
    <cellStyle name="Input 2 4 4 2 4" xfId="6022" xr:uid="{F5CFCE7B-3123-4A1C-8A79-715E1A1BC425}"/>
    <cellStyle name="Input 2 4 4 2 4 2" xfId="8996" xr:uid="{6EBDAA78-851E-4580-ABB2-380D7656DA25}"/>
    <cellStyle name="Input 2 4 4 2 5" xfId="3732" xr:uid="{BBF5982D-BC7E-48F9-80F1-8A8DA05C423B}"/>
    <cellStyle name="Input 2 4 4 2 6" xfId="6695" xr:uid="{6BA0FE4A-F428-4EF5-BEDA-EF35AD32045A}"/>
    <cellStyle name="Input 2 4 4 2 7" xfId="2672" xr:uid="{7D5BB55E-6898-479D-BD80-3F0CD33095E0}"/>
    <cellStyle name="Input 2 4 4 3" xfId="838" xr:uid="{4E14CD70-F5C7-4542-982B-96644891A079}"/>
    <cellStyle name="Input 2 4 4 3 2" xfId="1643" xr:uid="{8622FF2B-B082-445E-85FB-F2C63F567711}"/>
    <cellStyle name="Input 2 4 4 3 2 2" xfId="7414" xr:uid="{29507CF4-3CB4-47AD-B7AA-696EE9166124}"/>
    <cellStyle name="Input 2 4 4 3 2 3" xfId="10080" xr:uid="{68B50B37-C6DA-458C-87B9-CF0CC1019B9F}"/>
    <cellStyle name="Input 2 4 4 3 2 4" xfId="4440" xr:uid="{228F8D43-EBB5-4962-A9AC-8949D4EB01BA}"/>
    <cellStyle name="Input 2 4 4 3 3" xfId="5180" xr:uid="{E105318D-6484-4D4C-9A16-529E035B0913}"/>
    <cellStyle name="Input 2 4 4 3 3 2" xfId="8154" xr:uid="{09B68CF0-1960-4A65-B930-784E0C2F4AF5}"/>
    <cellStyle name="Input 2 4 4 3 4" xfId="5945" xr:uid="{FB6E2DA9-34DC-4F8B-8764-9C4E6CA9506C}"/>
    <cellStyle name="Input 2 4 4 3 4 2" xfId="8919" xr:uid="{BC2005D7-FB31-4E73-84CB-BBA2F2DD1529}"/>
    <cellStyle name="Input 2 4 4 3 5" xfId="3672" xr:uid="{DE81A8B4-2D59-40DB-96E6-9805667A75E7}"/>
    <cellStyle name="Input 2 4 4 3 6" xfId="6618" xr:uid="{8FDB37C6-B33D-4533-B149-BF636028B43B}"/>
    <cellStyle name="Input 2 4 4 3 7" xfId="2595" xr:uid="{874A63D0-D43C-4EB4-9379-C6FB0EE44322}"/>
    <cellStyle name="Input 2 4 4 4" xfId="1242" xr:uid="{6D3BAFC5-56FE-47AB-AB1A-985147C74618}"/>
    <cellStyle name="Input 2 4 4 4 2" xfId="7013" xr:uid="{A72F9563-BEF1-4355-9014-2E1FF208029B}"/>
    <cellStyle name="Input 2 4 4 4 3" xfId="9679" xr:uid="{54CC3F0E-492C-40CD-B4A1-E67DF57D7C7B}"/>
    <cellStyle name="Input 2 4 4 4 4" xfId="4039" xr:uid="{F0E104D9-73FA-4888-9621-8A8755891465}"/>
    <cellStyle name="Input 2 4 4 5" xfId="3281" xr:uid="{75334902-9DFD-4457-BC11-6D5DBB7EA22A}"/>
    <cellStyle name="Input 2 4 4 5 2" xfId="3001" xr:uid="{050A018C-CDDC-4723-8F0C-1174BE9D308B}"/>
    <cellStyle name="Input 2 4 4 6" xfId="5544" xr:uid="{40E61543-C5E8-40F4-A951-E7A99E4B24FC}"/>
    <cellStyle name="Input 2 4 4 6 2" xfId="8518" xr:uid="{C999AEDD-1CD9-40DF-A404-DA7E8CF0EBAF}"/>
    <cellStyle name="Input 2 4 4 7" xfId="3346" xr:uid="{D941E7CC-BED2-4D7A-9084-E223E7166553}"/>
    <cellStyle name="Input 2 4 4 8" xfId="3004" xr:uid="{2AE27B0B-1F22-4E8C-9D0E-407FECB9526B}"/>
    <cellStyle name="Input 2 4 4 9" xfId="2194" xr:uid="{AB6701FE-21D9-48B2-B1F4-59E2D6E6DD52}"/>
    <cellStyle name="Input 2 4 5" xfId="704" xr:uid="{22FAB69C-42AA-40D4-BBFE-1B2186F2E639}"/>
    <cellStyle name="Input 2 4 5 2" xfId="1509" xr:uid="{0F0CA837-544A-4550-A373-C84F9884E426}"/>
    <cellStyle name="Input 2 4 5 2 2" xfId="7280" xr:uid="{6742F277-FF48-4928-B081-AD926926B58F}"/>
    <cellStyle name="Input 2 4 5 2 3" xfId="9946" xr:uid="{A2A81114-68C1-4AB5-8374-53EB60C17DD2}"/>
    <cellStyle name="Input 2 4 5 2 4" xfId="4306" xr:uid="{0AC10DD0-89EA-4FCE-947A-1DF8FB3A6267}"/>
    <cellStyle name="Input 2 4 5 3" xfId="5046" xr:uid="{231B4CD3-0367-4F06-91ED-5EA4F5761603}"/>
    <cellStyle name="Input 2 4 5 3 2" xfId="8020" xr:uid="{186C8E99-12D6-4F17-B557-9B516CBBB543}"/>
    <cellStyle name="Input 2 4 5 4" xfId="5811" xr:uid="{47773B14-3424-4A8A-9B37-AD9AFD99C34D}"/>
    <cellStyle name="Input 2 4 5 4 2" xfId="8785" xr:uid="{F8D0AA51-D006-4F00-9AC6-E77C3BA0CF9E}"/>
    <cellStyle name="Input 2 4 5 5" xfId="3539" xr:uid="{2C383EDE-F044-4D3C-AFAB-021B26C23984}"/>
    <cellStyle name="Input 2 4 5 6" xfId="6484" xr:uid="{B0914669-4CD7-492E-9A85-F3D8FC0DB17F}"/>
    <cellStyle name="Input 2 4 5 7" xfId="2461" xr:uid="{DFB984C0-7E6B-4A86-A2C5-0244BD5CC2F0}"/>
    <cellStyle name="Input 2 4 6" xfId="570" xr:uid="{787D25F6-74C5-4807-A935-CBBC2D9FF159}"/>
    <cellStyle name="Input 2 4 6 2" xfId="1375" xr:uid="{5B2500B5-B674-4CCD-B751-447ECC5D4A11}"/>
    <cellStyle name="Input 2 4 6 2 2" xfId="7146" xr:uid="{75E35CFD-1187-4DED-B9E2-BD7C96B0CE5D}"/>
    <cellStyle name="Input 2 4 6 2 3" xfId="9812" xr:uid="{BE5A69A7-33F1-49CA-A1C9-CD2C8EEF5944}"/>
    <cellStyle name="Input 2 4 6 2 4" xfId="4172" xr:uid="{64D84286-1902-4E39-B9E3-231A876A48AA}"/>
    <cellStyle name="Input 2 4 6 3" xfId="4912" xr:uid="{884BC1C4-AB7C-4758-8BEA-5812AC632117}"/>
    <cellStyle name="Input 2 4 6 3 2" xfId="7886" xr:uid="{7C733E10-3C1F-4732-8B03-153E554AA958}"/>
    <cellStyle name="Input 2 4 6 4" xfId="5677" xr:uid="{94AF58FB-9A49-4640-A3E3-18A86543D68A}"/>
    <cellStyle name="Input 2 4 6 4 2" xfId="8651" xr:uid="{A2BFF777-B8B8-49CD-B72E-9BD5798EB821}"/>
    <cellStyle name="Input 2 4 6 5" xfId="3439" xr:uid="{A625586D-BD97-4328-B2E4-9A6FA56D9056}"/>
    <cellStyle name="Input 2 4 6 6" xfId="6350" xr:uid="{B4FACB7E-8822-4B39-85AB-2DBC7FC319A0}"/>
    <cellStyle name="Input 2 4 6 7" xfId="2327" xr:uid="{034851A2-A967-447A-8927-B176FEC3F5F3}"/>
    <cellStyle name="Input 2 4 7" xfId="3150" xr:uid="{AB366E41-564A-4155-9A89-2F6DFFFF4A9E}"/>
    <cellStyle name="Input 2 4 8" xfId="3474" xr:uid="{42B32BF4-695A-4D63-B6F5-547769B96BE3}"/>
    <cellStyle name="Input 2 4 9" xfId="2027" xr:uid="{5FACE571-2254-49AF-A291-6FAEDABC9296}"/>
    <cellStyle name="Input 2 5" xfId="218" xr:uid="{20595E8A-42F7-4A65-B004-967D6BA667FD}"/>
    <cellStyle name="Input 2 5 2" xfId="322" xr:uid="{BFDE9099-A586-40BA-87B3-3DB70BC53B88}"/>
    <cellStyle name="Input 2 5 2 2" xfId="544" xr:uid="{C2B9A264-C8FF-4170-99FD-D60E416512C7}"/>
    <cellStyle name="Input 2 5 2 2 2" xfId="1023" xr:uid="{7888DB7E-1730-442A-8A14-55960FD747C3}"/>
    <cellStyle name="Input 2 5 2 2 2 2" xfId="1828" xr:uid="{9B15EDCB-8FFB-41E3-92DE-315DB95A9EAB}"/>
    <cellStyle name="Input 2 5 2 2 2 2 2" xfId="7599" xr:uid="{B4FB44D5-7F4D-4B88-9403-AB0A7A837160}"/>
    <cellStyle name="Input 2 5 2 2 2 2 3" xfId="10265" xr:uid="{334DF090-60F2-4209-89FC-848EFE03A667}"/>
    <cellStyle name="Input 2 5 2 2 2 2 4" xfId="4625" xr:uid="{9019CFE4-0987-4B71-84EF-8766AD7FAC10}"/>
    <cellStyle name="Input 2 5 2 2 2 3" xfId="5365" xr:uid="{F449A45F-4748-4A88-ADFB-B5844B30D5C7}"/>
    <cellStyle name="Input 2 5 2 2 2 3 2" xfId="8339" xr:uid="{B8298858-E86E-4544-9361-19E2CAA2CA1C}"/>
    <cellStyle name="Input 2 5 2 2 2 4" xfId="6130" xr:uid="{444623ED-D246-43CB-8F2A-BAB561392BF7}"/>
    <cellStyle name="Input 2 5 2 2 2 4 2" xfId="9104" xr:uid="{D64E3C9A-C4AE-415B-9F85-7351D2E6AADB}"/>
    <cellStyle name="Input 2 5 2 2 2 5" xfId="3840" xr:uid="{5A970219-16EF-47DB-8F89-5157DC9B4100}"/>
    <cellStyle name="Input 2 5 2 2 2 6" xfId="6803" xr:uid="{63E529C2-5052-4B10-B6B2-E277F6EE846D}"/>
    <cellStyle name="Input 2 5 2 2 2 7" xfId="2780" xr:uid="{7E3F5EB6-92E2-43E0-B313-04946C019C1F}"/>
    <cellStyle name="Input 2 5 2 2 3" xfId="848" xr:uid="{B50F7354-1D9C-4BC7-9712-1842139A24B6}"/>
    <cellStyle name="Input 2 5 2 2 3 2" xfId="1653" xr:uid="{0EC08019-FDEB-41A4-AA42-40DB3E73B0BD}"/>
    <cellStyle name="Input 2 5 2 2 3 2 2" xfId="7424" xr:uid="{2E757B91-2047-4CA2-A2AD-DEA390789132}"/>
    <cellStyle name="Input 2 5 2 2 3 2 3" xfId="10090" xr:uid="{8115A99B-1A65-4F70-812A-B9D5B39AAF52}"/>
    <cellStyle name="Input 2 5 2 2 3 2 4" xfId="4450" xr:uid="{71552445-D337-421E-9DBC-30AE5FF6A569}"/>
    <cellStyle name="Input 2 5 2 2 3 3" xfId="5190" xr:uid="{B2F2912F-8267-4783-BACD-8C756D9EC049}"/>
    <cellStyle name="Input 2 5 2 2 3 3 2" xfId="8164" xr:uid="{4F215BC9-EF60-41D9-A1E5-F02E628C2692}"/>
    <cellStyle name="Input 2 5 2 2 3 4" xfId="5955" xr:uid="{2ACC3182-DC2F-4BEF-A5C9-D310B58F0EB2}"/>
    <cellStyle name="Input 2 5 2 2 3 4 2" xfId="8929" xr:uid="{1B989DAE-5BC8-4943-9BFE-454745207C4A}"/>
    <cellStyle name="Input 2 5 2 2 3 5" xfId="3678" xr:uid="{B56D2847-4303-423B-8BCB-303D1C956C58}"/>
    <cellStyle name="Input 2 5 2 2 3 6" xfId="6628" xr:uid="{8BB30924-4527-467C-8EA3-7B03E473A51E}"/>
    <cellStyle name="Input 2 5 2 2 3 7" xfId="2605" xr:uid="{800F8B9D-308F-48CD-993B-FC13EFFE76A1}"/>
    <cellStyle name="Input 2 5 2 2 4" xfId="1350" xr:uid="{630594D6-E891-46B8-8E5C-906074679A42}"/>
    <cellStyle name="Input 2 5 2 2 4 2" xfId="7121" xr:uid="{BF234602-ECCC-4A12-849B-AEB6FE91F814}"/>
    <cellStyle name="Input 2 5 2 2 4 3" xfId="9787" xr:uid="{5878C5F6-5CF5-4325-86C6-24A75309FFB5}"/>
    <cellStyle name="Input 2 5 2 2 4 4" xfId="4147" xr:uid="{9B91BCB7-1F08-4CAB-AA05-25633A41FC0C}"/>
    <cellStyle name="Input 2 5 2 2 5" xfId="4887" xr:uid="{98D73FF4-FC13-435E-8987-2D0BDDF17D51}"/>
    <cellStyle name="Input 2 5 2 2 5 2" xfId="7861" xr:uid="{56C8DC9E-8308-4903-BB88-979D95F77FF7}"/>
    <cellStyle name="Input 2 5 2 2 6" xfId="5652" xr:uid="{16FF0795-C6A3-4E90-8F7C-5BB88C4D97B0}"/>
    <cellStyle name="Input 2 5 2 2 6 2" xfId="8626" xr:uid="{0CCD0A9D-1C02-4005-93F4-AA8026262027}"/>
    <cellStyle name="Input 2 5 2 2 7" xfId="3422" xr:uid="{EC0759BC-A830-472F-91E7-1CF069C2E92A}"/>
    <cellStyle name="Input 2 5 2 2 8" xfId="6325" xr:uid="{4CD5E4DF-B023-481C-B3FF-A646B20C3C6C}"/>
    <cellStyle name="Input 2 5 2 2 9" xfId="2302" xr:uid="{E8C73D4B-3792-4185-803E-1022D524C3CE}"/>
    <cellStyle name="Input 2 5 2 3" xfId="813" xr:uid="{9F46225E-D31D-4E9C-A9D0-F296E613725E}"/>
    <cellStyle name="Input 2 5 2 3 2" xfId="1618" xr:uid="{A80640F1-EC47-4AB0-8D86-5E491F7A67BD}"/>
    <cellStyle name="Input 2 5 2 3 2 2" xfId="7389" xr:uid="{2901E4C1-9FCA-4EAA-9741-628D79CC3139}"/>
    <cellStyle name="Input 2 5 2 3 2 3" xfId="10055" xr:uid="{D7AE29FA-C210-4B7E-8020-ED1FAFC5C126}"/>
    <cellStyle name="Input 2 5 2 3 2 4" xfId="4415" xr:uid="{2964D327-CA58-4FFA-A2CE-AD069D73150C}"/>
    <cellStyle name="Input 2 5 2 3 3" xfId="5155" xr:uid="{BAA5B247-4375-40A9-889F-26D7E9E105C7}"/>
    <cellStyle name="Input 2 5 2 3 3 2" xfId="8129" xr:uid="{B7F4946C-24FF-4EA5-A80E-98F32D3B0315}"/>
    <cellStyle name="Input 2 5 2 3 4" xfId="5920" xr:uid="{DB4BCC26-F6DF-4F18-A8EB-39720E4BF623}"/>
    <cellStyle name="Input 2 5 2 3 4 2" xfId="8894" xr:uid="{A1E8C6AB-10C5-4B21-9977-3F93E188470F}"/>
    <cellStyle name="Input 2 5 2 3 5" xfId="3647" xr:uid="{FD56B83C-12E9-449F-A74F-45288598C4D7}"/>
    <cellStyle name="Input 2 5 2 3 6" xfId="6593" xr:uid="{4D91B4F4-92CB-4AA0-82E1-1A99E2DF12E7}"/>
    <cellStyle name="Input 2 5 2 3 7" xfId="2570" xr:uid="{7EE5476E-C830-49C8-BACA-2A143030A000}"/>
    <cellStyle name="Input 2 5 2 4" xfId="1094" xr:uid="{EA025066-F578-4F31-8863-81F5BA0E2B1E}"/>
    <cellStyle name="Input 2 5 2 4 2" xfId="1899" xr:uid="{703C69AE-BCDA-4595-9581-925DA45F86F8}"/>
    <cellStyle name="Input 2 5 2 4 2 2" xfId="7670" xr:uid="{19DD3623-4AFE-415C-8CFF-2EAFD2FE140B}"/>
    <cellStyle name="Input 2 5 2 4 2 3" xfId="10336" xr:uid="{2DE4500B-6E33-43D1-8FB4-0B143F45B2BD}"/>
    <cellStyle name="Input 2 5 2 4 2 4" xfId="4696" xr:uid="{E2630123-4C3A-43B1-8EEE-B412AAFC83CB}"/>
    <cellStyle name="Input 2 5 2 4 3" xfId="5436" xr:uid="{930C3471-F103-4517-AAC7-78052D9DDA56}"/>
    <cellStyle name="Input 2 5 2 4 3 2" xfId="8410" xr:uid="{111D40FF-4D99-405E-8E39-FCE5B6300B68}"/>
    <cellStyle name="Input 2 5 2 4 4" xfId="6201" xr:uid="{FB77885D-2BAD-4AF2-88D1-131CE9A04053}"/>
    <cellStyle name="Input 2 5 2 4 4 2" xfId="9175" xr:uid="{2D21C485-3AC3-47D2-B009-3B91911C0355}"/>
    <cellStyle name="Input 2 5 2 4 5" xfId="3905" xr:uid="{E813AE65-786F-4293-9579-2C8D2A22BD2E}"/>
    <cellStyle name="Input 2 5 2 4 6" xfId="6874" xr:uid="{80CC0F34-2553-43EC-A327-566BF02E6639}"/>
    <cellStyle name="Input 2 5 2 4 7" xfId="2851" xr:uid="{69E502DA-0778-422C-8555-29642B1891BA}"/>
    <cellStyle name="Input 2 5 2 5" xfId="3241" xr:uid="{B0C6D313-E711-4221-8300-BCC756656B2C}"/>
    <cellStyle name="Input 2 5 2 6" xfId="3107" xr:uid="{78AF22B4-B417-4429-97F4-834ED27602C1}"/>
    <cellStyle name="Input 2 5 2 7" xfId="2140" xr:uid="{D8D2122D-FBC6-4610-A5A0-27D4FD0262EE}"/>
    <cellStyle name="Input 2 5 3" xfId="266" xr:uid="{B03B26A7-B92D-4FC3-AD34-06580D242D7D}"/>
    <cellStyle name="Input 2 5 3 2" xfId="490" xr:uid="{EE5C1B92-7DAD-4888-B237-3AC7E0A24881}"/>
    <cellStyle name="Input 2 5 3 2 2" xfId="969" xr:uid="{100F2FB1-60EE-4C8F-AE56-135A2576C327}"/>
    <cellStyle name="Input 2 5 3 2 2 2" xfId="1774" xr:uid="{AABE6F7E-9CBC-4B54-A92A-8EC2811D71D6}"/>
    <cellStyle name="Input 2 5 3 2 2 2 2" xfId="7545" xr:uid="{72C8BAA4-14A4-4348-B55B-8E1258D29744}"/>
    <cellStyle name="Input 2 5 3 2 2 2 3" xfId="10211" xr:uid="{B5C7DC34-1C19-491D-8C62-A84463FB1AEB}"/>
    <cellStyle name="Input 2 5 3 2 2 2 4" xfId="4571" xr:uid="{C575AC5B-91B5-4007-AE2A-6632D60FD83D}"/>
    <cellStyle name="Input 2 5 3 2 2 3" xfId="5311" xr:uid="{9AD8160A-5781-4FD1-9D83-CF6F6E6833E5}"/>
    <cellStyle name="Input 2 5 3 2 2 3 2" xfId="8285" xr:uid="{DE03D522-F2C6-43BC-89E2-A684F5395248}"/>
    <cellStyle name="Input 2 5 3 2 2 4" xfId="6076" xr:uid="{E7ED4F19-EE23-4C36-94A0-7652B28B6D67}"/>
    <cellStyle name="Input 2 5 3 2 2 4 2" xfId="9050" xr:uid="{438931E4-4A08-4BAC-A47E-4CFC2583ECB8}"/>
    <cellStyle name="Input 2 5 3 2 2 5" xfId="3786" xr:uid="{4EAF0230-F92C-4E05-AEBC-A3E9C72E5E43}"/>
    <cellStyle name="Input 2 5 3 2 2 6" xfId="6749" xr:uid="{8946D7FA-F243-4294-9BBF-295D2BC2B400}"/>
    <cellStyle name="Input 2 5 3 2 2 7" xfId="2726" xr:uid="{3CB15AB8-4CF7-47F1-B209-8EFF28863858}"/>
    <cellStyle name="Input 2 5 3 2 3" xfId="1190" xr:uid="{A1708DC1-83F4-4CB0-90F0-FDB75250ABE4}"/>
    <cellStyle name="Input 2 5 3 2 3 2" xfId="1995" xr:uid="{7B9347B8-94FB-4079-A4F4-34B19A6A6A7D}"/>
    <cellStyle name="Input 2 5 3 2 3 2 2" xfId="7766" xr:uid="{DD79AE0C-2579-4EE7-B3CF-881EFDBBEF29}"/>
    <cellStyle name="Input 2 5 3 2 3 2 3" xfId="10432" xr:uid="{54017076-9E7D-4A71-9E57-B8260A512D30}"/>
    <cellStyle name="Input 2 5 3 2 3 2 4" xfId="4792" xr:uid="{011F5DE3-A8FA-4EF5-82D4-27D2BFD9225F}"/>
    <cellStyle name="Input 2 5 3 2 3 3" xfId="5532" xr:uid="{CCEFDCEB-54D3-4FC7-80FC-6F8799503270}"/>
    <cellStyle name="Input 2 5 3 2 3 3 2" xfId="8506" xr:uid="{D7B1E6DA-4AF4-4544-9AE5-023B298FD6D2}"/>
    <cellStyle name="Input 2 5 3 2 3 4" xfId="6297" xr:uid="{AC861626-8A03-4982-94E3-B87C2AC71FE8}"/>
    <cellStyle name="Input 2 5 3 2 3 4 2" xfId="9271" xr:uid="{4A09DBDA-640B-4842-BEBD-1BBC15FBABCE}"/>
    <cellStyle name="Input 2 5 3 2 3 5" xfId="3964" xr:uid="{0D580B4E-E0AC-45C4-994A-5EB09812F639}"/>
    <cellStyle name="Input 2 5 3 2 3 6" xfId="6970" xr:uid="{C2DED43E-35F2-4D3A-8354-D1D65C469078}"/>
    <cellStyle name="Input 2 5 3 2 3 7" xfId="2947" xr:uid="{1F0BE709-8E7E-4F1A-BF8E-5DF12331162A}"/>
    <cellStyle name="Input 2 5 3 2 4" xfId="1296" xr:uid="{D8D0E1AA-BE1F-42E9-9190-C61A2FADE885}"/>
    <cellStyle name="Input 2 5 3 2 4 2" xfId="7067" xr:uid="{75139229-0E0B-4F6B-A3DB-B230180B75DF}"/>
    <cellStyle name="Input 2 5 3 2 4 3" xfId="9733" xr:uid="{FADE1CBD-BF44-4696-9A3B-BBE060D0538E}"/>
    <cellStyle name="Input 2 5 3 2 4 4" xfId="4093" xr:uid="{4A2422C2-A2CD-4ADD-8CBC-C91C87611ED3}"/>
    <cellStyle name="Input 2 5 3 2 5" xfId="4833" xr:uid="{CF774908-9027-451C-987F-A1485E1CD3BD}"/>
    <cellStyle name="Input 2 5 3 2 5 2" xfId="7807" xr:uid="{E3E20487-A9B5-4B23-92C8-80E6A1AD5C22}"/>
    <cellStyle name="Input 2 5 3 2 6" xfId="5598" xr:uid="{87BE4931-35F1-4F22-A498-92784838F68D}"/>
    <cellStyle name="Input 2 5 3 2 6 2" xfId="8572" xr:uid="{7EC10B06-B408-40E6-9125-EDC37482FF72}"/>
    <cellStyle name="Input 2 5 3 2 7" xfId="3384" xr:uid="{6749BE27-F9B1-4233-B06D-6A753ACCBFBF}"/>
    <cellStyle name="Input 2 5 3 2 8" xfId="3064" xr:uid="{67E6B5D3-144D-46E4-934B-36EFF81E9988}"/>
    <cellStyle name="Input 2 5 3 2 9" xfId="2248" xr:uid="{52BE5658-41A6-4AC4-9AC5-1B2FAC094EB8}"/>
    <cellStyle name="Input 2 5 3 3" xfId="758" xr:uid="{F96EBA52-3424-451E-AC21-EC1D5026C6FF}"/>
    <cellStyle name="Input 2 5 3 3 2" xfId="1563" xr:uid="{5C89CB22-65DE-4231-AFE1-9C0203ADB3FA}"/>
    <cellStyle name="Input 2 5 3 3 2 2" xfId="7334" xr:uid="{E7439E4A-0465-475E-A59E-544B1B7343EF}"/>
    <cellStyle name="Input 2 5 3 3 2 3" xfId="10000" xr:uid="{0B3CF1AF-8218-463E-84CC-679F6AFA10D8}"/>
    <cellStyle name="Input 2 5 3 3 2 4" xfId="4360" xr:uid="{41ADC34D-B00D-4C40-90F6-34D7430225E7}"/>
    <cellStyle name="Input 2 5 3 3 3" xfId="5100" xr:uid="{1593808A-E96A-4611-A0FA-C0A6969C22DC}"/>
    <cellStyle name="Input 2 5 3 3 3 2" xfId="8074" xr:uid="{334D3952-BB78-4B55-A5DD-22D59ACC4583}"/>
    <cellStyle name="Input 2 5 3 3 4" xfId="5865" xr:uid="{A8DC1108-9F38-45E6-94C9-8B901A9C26C7}"/>
    <cellStyle name="Input 2 5 3 3 4 2" xfId="8839" xr:uid="{3F8191D4-BDD7-4CCF-91CB-A5D3E1619CB4}"/>
    <cellStyle name="Input 2 5 3 3 5" xfId="3593" xr:uid="{A10DF150-FF2D-404F-A7DB-42E69882CFE0}"/>
    <cellStyle name="Input 2 5 3 3 6" xfId="6538" xr:uid="{CCEFE9AE-5958-4A22-AAC1-A92E5224C15F}"/>
    <cellStyle name="Input 2 5 3 3 7" xfId="2515" xr:uid="{D56A2FEE-534D-4F40-AC20-4E5AAD6B838E}"/>
    <cellStyle name="Input 2 5 3 4" xfId="1121" xr:uid="{D2B9EC18-38FE-4D89-B022-E0C7BBED9C01}"/>
    <cellStyle name="Input 2 5 3 4 2" xfId="1926" xr:uid="{64DFD016-F1AF-4257-B2B7-F4E4B599D711}"/>
    <cellStyle name="Input 2 5 3 4 2 2" xfId="7697" xr:uid="{0958A771-B3F0-4715-835F-6C34B2CFEB4F}"/>
    <cellStyle name="Input 2 5 3 4 2 3" xfId="10363" xr:uid="{C7946350-CE52-4997-B505-023556C070D9}"/>
    <cellStyle name="Input 2 5 3 4 2 4" xfId="4723" xr:uid="{113A578F-DD0B-461F-BF4C-EEBDF1252324}"/>
    <cellStyle name="Input 2 5 3 4 3" xfId="5463" xr:uid="{D035B82C-1DBD-4C6B-87A4-9D22006F25AC}"/>
    <cellStyle name="Input 2 5 3 4 3 2" xfId="8437" xr:uid="{F964149D-109B-4FCA-BD27-F4F53EC53ADD}"/>
    <cellStyle name="Input 2 5 3 4 4" xfId="6228" xr:uid="{D717A68A-7086-4AF4-9142-DE321A751BBE}"/>
    <cellStyle name="Input 2 5 3 4 4 2" xfId="9202" xr:uid="{4E80AB75-5E8C-4094-B61E-57A1EE1D6D55}"/>
    <cellStyle name="Input 2 5 3 4 5" xfId="3924" xr:uid="{1EFBF5A8-C0D4-41A0-A21B-D87DBB96ED61}"/>
    <cellStyle name="Input 2 5 3 4 6" xfId="6901" xr:uid="{AAF15B11-F699-4C53-B711-10BB4CAC8A07}"/>
    <cellStyle name="Input 2 5 3 4 7" xfId="2878" xr:uid="{742E17E1-85E6-4FAA-90B7-78DE55B804E7}"/>
    <cellStyle name="Input 2 5 3 5" xfId="3197" xr:uid="{F711F58D-C728-4D2B-A900-8E5459505D38}"/>
    <cellStyle name="Input 2 5 3 6" xfId="3231" xr:uid="{694A0DE7-3E7A-4543-B0AC-8C67F811FD80}"/>
    <cellStyle name="Input 2 5 3 7" xfId="2083" xr:uid="{1C1CAFCB-DB4C-49FA-A1BB-3512D4F9B4F6}"/>
    <cellStyle name="Input 2 5 4" xfId="442" xr:uid="{8BC39747-C50D-4B89-B33A-0F93B5276C15}"/>
    <cellStyle name="Input 2 5 4 2" xfId="921" xr:uid="{9B7795E9-974D-42DE-8BB3-DBACB46CE8C7}"/>
    <cellStyle name="Input 2 5 4 2 2" xfId="1726" xr:uid="{1D0C0D05-12ED-492A-92B8-10004483861F}"/>
    <cellStyle name="Input 2 5 4 2 2 2" xfId="7497" xr:uid="{5E43395A-F904-441C-AEF6-13C6F47E6E86}"/>
    <cellStyle name="Input 2 5 4 2 2 3" xfId="10163" xr:uid="{1F193EB1-F1C1-46EC-A68A-03E064C53A79}"/>
    <cellStyle name="Input 2 5 4 2 2 4" xfId="4523" xr:uid="{D372F967-BA41-4830-842D-C43B18507649}"/>
    <cellStyle name="Input 2 5 4 2 3" xfId="5263" xr:uid="{3CB08E13-8D6F-4CC1-A87E-1D42D606F600}"/>
    <cellStyle name="Input 2 5 4 2 3 2" xfId="8237" xr:uid="{A71702F0-E4C2-4C89-81A8-DBB489616F36}"/>
    <cellStyle name="Input 2 5 4 2 4" xfId="6028" xr:uid="{8A9500F9-D1F4-4DD7-BDD6-E555131F2C14}"/>
    <cellStyle name="Input 2 5 4 2 4 2" xfId="9002" xr:uid="{C174C1EF-CAAD-4F85-BAD4-22DA270ABA06}"/>
    <cellStyle name="Input 2 5 4 2 5" xfId="3738" xr:uid="{A90DD066-13DC-467C-BB2A-672C3057519D}"/>
    <cellStyle name="Input 2 5 4 2 6" xfId="6701" xr:uid="{BB6D978A-093A-4128-B5B7-1D3A70ADB300}"/>
    <cellStyle name="Input 2 5 4 2 7" xfId="2678" xr:uid="{72FDDC3F-9CB1-450B-8C4E-B77FE82E770A}"/>
    <cellStyle name="Input 2 5 4 3" xfId="655" xr:uid="{E688DE1F-474D-4777-9A78-71643C2DBC54}"/>
    <cellStyle name="Input 2 5 4 3 2" xfId="1460" xr:uid="{82707745-CBA6-47B7-9B65-EC4A333DE585}"/>
    <cellStyle name="Input 2 5 4 3 2 2" xfId="7231" xr:uid="{7A4B687F-4612-4D1C-94EB-4691FEBDC071}"/>
    <cellStyle name="Input 2 5 4 3 2 3" xfId="9897" xr:uid="{E9B99615-92BD-4CF1-8A04-E1E09E73430E}"/>
    <cellStyle name="Input 2 5 4 3 2 4" xfId="4257" xr:uid="{FFB89836-8FE2-471D-9AEA-09900FFD0B59}"/>
    <cellStyle name="Input 2 5 4 3 3" xfId="4997" xr:uid="{1BBE31E2-F6A8-4B0E-8EA0-5487FE84F083}"/>
    <cellStyle name="Input 2 5 4 3 3 2" xfId="7971" xr:uid="{357AB1A4-674E-4E61-B24E-9C2C2F37B2CD}"/>
    <cellStyle name="Input 2 5 4 3 4" xfId="5762" xr:uid="{32912955-B6D4-44AB-91D1-B21541357860}"/>
    <cellStyle name="Input 2 5 4 3 4 2" xfId="8736" xr:uid="{30AE7D67-4461-467D-8670-13C16D99F150}"/>
    <cellStyle name="Input 2 5 4 3 5" xfId="3497" xr:uid="{24BC7128-ABC7-450A-89E8-28144988655A}"/>
    <cellStyle name="Input 2 5 4 3 6" xfId="6435" xr:uid="{2AC51B56-8E12-4F93-B6FC-1E1BD25608D5}"/>
    <cellStyle name="Input 2 5 4 3 7" xfId="2412" xr:uid="{4E8B152B-6AB8-4461-BE1B-6DD453F67825}"/>
    <cellStyle name="Input 2 5 4 4" xfId="1248" xr:uid="{596D23D7-2400-4C52-A3B1-85553EBC18A8}"/>
    <cellStyle name="Input 2 5 4 4 2" xfId="7019" xr:uid="{72E17EB2-F0EF-46D7-9A8F-82ED0269DBC5}"/>
    <cellStyle name="Input 2 5 4 4 3" xfId="9685" xr:uid="{8F88A51C-57BD-46EE-B871-5B7BC93833D7}"/>
    <cellStyle name="Input 2 5 4 4 4" xfId="4045" xr:uid="{37C431ED-793F-4264-BAEC-51ACF18F1D24}"/>
    <cellStyle name="Input 2 5 4 5" xfId="3287" xr:uid="{299EFAE7-53FB-4BDC-B72E-A8D66A830691}"/>
    <cellStyle name="Input 2 5 4 5 2" xfId="3035" xr:uid="{3455B725-CFAF-48B0-A102-A9AD9B007FCB}"/>
    <cellStyle name="Input 2 5 4 6" xfId="5550" xr:uid="{9363274A-3A7F-478C-A12C-C5A583F39D12}"/>
    <cellStyle name="Input 2 5 4 6 2" xfId="8524" xr:uid="{D5BF0E88-336A-4EC7-924E-BB422F9658A1}"/>
    <cellStyle name="Input 2 5 4 7" xfId="3350" xr:uid="{E36EBFED-F921-4E9F-9654-D543732932A0}"/>
    <cellStyle name="Input 2 5 4 8" xfId="3074" xr:uid="{C8EAEEDB-EA93-4FFA-B6D8-8B6B7281DC43}"/>
    <cellStyle name="Input 2 5 4 9" xfId="2200" xr:uid="{5ADA6B9D-8200-4DF4-94A4-92073D693F59}"/>
    <cellStyle name="Input 2 5 5" xfId="710" xr:uid="{7D3CD975-FBCE-4029-B6D5-6387EDB01FD4}"/>
    <cellStyle name="Input 2 5 5 2" xfId="1515" xr:uid="{0C2046BF-4EF8-40EF-B740-D99483E4DFAC}"/>
    <cellStyle name="Input 2 5 5 2 2" xfId="7286" xr:uid="{E1A36A14-4D8F-469D-97EF-AE37225B5327}"/>
    <cellStyle name="Input 2 5 5 2 3" xfId="9952" xr:uid="{E9B4A88E-74AE-4F0E-B429-9B89BE9E7B39}"/>
    <cellStyle name="Input 2 5 5 2 4" xfId="4312" xr:uid="{25627B20-E748-47DE-9B1C-5FF10D05CB18}"/>
    <cellStyle name="Input 2 5 5 3" xfId="5052" xr:uid="{0BCBBE30-F13D-4C4C-98BC-BD7C174900FC}"/>
    <cellStyle name="Input 2 5 5 3 2" xfId="8026" xr:uid="{360B54B4-3A5F-4B8A-9B9F-FD2847494A45}"/>
    <cellStyle name="Input 2 5 5 4" xfId="5817" xr:uid="{9B39D4A3-7791-4531-8437-CD50326C81E8}"/>
    <cellStyle name="Input 2 5 5 4 2" xfId="8791" xr:uid="{1E615DFF-1733-4106-8955-A4C43B2FB5EB}"/>
    <cellStyle name="Input 2 5 5 5" xfId="3545" xr:uid="{97564CEC-7F58-4A73-9782-7919FA8795BE}"/>
    <cellStyle name="Input 2 5 5 6" xfId="6490" xr:uid="{8CDDB84B-540E-4B71-A1FF-E1DF0874D894}"/>
    <cellStyle name="Input 2 5 5 7" xfId="2467" xr:uid="{829797B1-58CC-44A0-A4A1-6C68C0F42DC8}"/>
    <cellStyle name="Input 2 5 6" xfId="573" xr:uid="{5BAD5A4C-3B9B-4F0A-BF0D-BF6E8736956E}"/>
    <cellStyle name="Input 2 5 6 2" xfId="1378" xr:uid="{F93B256E-46BA-4C29-BE49-937CB2042D04}"/>
    <cellStyle name="Input 2 5 6 2 2" xfId="7149" xr:uid="{77F96980-E861-485F-864A-69D1237B7A9B}"/>
    <cellStyle name="Input 2 5 6 2 3" xfId="9815" xr:uid="{B508E8D3-C638-41A4-9A54-7205F2057663}"/>
    <cellStyle name="Input 2 5 6 2 4" xfId="4175" xr:uid="{F5512393-9D4B-40B7-B07C-97F05B06B3BF}"/>
    <cellStyle name="Input 2 5 6 3" xfId="4915" xr:uid="{3B83AF6D-A762-4C0F-8D99-11F2E7D81BC9}"/>
    <cellStyle name="Input 2 5 6 3 2" xfId="7889" xr:uid="{F2997AD9-5ED6-48D9-99E5-D608AEF3CAF2}"/>
    <cellStyle name="Input 2 5 6 4" xfId="5680" xr:uid="{915FAF09-74EC-4A95-81E1-72FDAFA834A9}"/>
    <cellStyle name="Input 2 5 6 4 2" xfId="8654" xr:uid="{B3797C60-C5C5-4D79-8D77-CC9D2C3DD8D6}"/>
    <cellStyle name="Input 2 5 6 5" xfId="3442" xr:uid="{5DC9652D-FF5E-4C56-A99E-964CC4165262}"/>
    <cellStyle name="Input 2 5 6 6" xfId="6353" xr:uid="{363A406E-6431-4E2A-A795-67C067A66E93}"/>
    <cellStyle name="Input 2 5 6 7" xfId="2330" xr:uid="{636BAF59-2ABD-4323-96A7-D556807FAF05}"/>
    <cellStyle name="Input 2 5 7" xfId="3154" xr:uid="{CE2441A6-F916-4FAF-A88C-013BE8E247CB}"/>
    <cellStyle name="Input 2 5 8" xfId="3898" xr:uid="{9C63ADBD-C89A-4069-9409-D5541D6B1386}"/>
    <cellStyle name="Input 2 5 9" xfId="2033" xr:uid="{67114535-E8FA-43D4-89C8-BDB4949B3BA2}"/>
    <cellStyle name="Input 2 6" xfId="224" xr:uid="{306ECBA9-9393-4DBF-B9FE-D1871AAABAA5}"/>
    <cellStyle name="Input 2 6 2" xfId="328" xr:uid="{0E1FC1F0-A69A-4400-BC61-D4DCCD8026F0}"/>
    <cellStyle name="Input 2 6 2 2" xfId="550" xr:uid="{0D45C580-14FE-441F-B7A3-F74D51AF85C2}"/>
    <cellStyle name="Input 2 6 2 2 2" xfId="1029" xr:uid="{8EE60E48-2B57-42CA-93A3-E6FE95A8A0DD}"/>
    <cellStyle name="Input 2 6 2 2 2 2" xfId="1834" xr:uid="{1646CCA5-D44F-4F19-985A-5EBB5567A224}"/>
    <cellStyle name="Input 2 6 2 2 2 2 2" xfId="7605" xr:uid="{1A08A156-80B1-492C-9630-00B1F93EE139}"/>
    <cellStyle name="Input 2 6 2 2 2 2 3" xfId="10271" xr:uid="{86724729-0416-496B-AFBE-CAABBF9FFCD9}"/>
    <cellStyle name="Input 2 6 2 2 2 2 4" xfId="4631" xr:uid="{F8E9B208-05E5-4D54-8835-6E3610AE2900}"/>
    <cellStyle name="Input 2 6 2 2 2 3" xfId="5371" xr:uid="{30A6FB2C-85E9-4A8D-AD10-EA8F8F14F4EC}"/>
    <cellStyle name="Input 2 6 2 2 2 3 2" xfId="8345" xr:uid="{72585EA0-828D-4C44-899C-45FF156D754E}"/>
    <cellStyle name="Input 2 6 2 2 2 4" xfId="6136" xr:uid="{0638D444-85E0-456C-BB5C-E62B100B1000}"/>
    <cellStyle name="Input 2 6 2 2 2 4 2" xfId="9110" xr:uid="{3BDA3702-793E-4E78-8608-4BDEBBFD4F9E}"/>
    <cellStyle name="Input 2 6 2 2 2 5" xfId="3846" xr:uid="{E397F2AE-70DF-42C0-A684-EB7239E17C90}"/>
    <cellStyle name="Input 2 6 2 2 2 6" xfId="6809" xr:uid="{126E5094-6EDE-45ED-ADDE-174B83B5510C}"/>
    <cellStyle name="Input 2 6 2 2 2 7" xfId="2786" xr:uid="{ACFC1708-1E36-4ECD-B64B-7ECAC2714660}"/>
    <cellStyle name="Input 2 6 2 2 3" xfId="853" xr:uid="{1AC25B28-26E3-4CE0-809F-040C1ED589A3}"/>
    <cellStyle name="Input 2 6 2 2 3 2" xfId="1658" xr:uid="{8F069F1B-DF59-41CB-A514-F656D5BE865E}"/>
    <cellStyle name="Input 2 6 2 2 3 2 2" xfId="7429" xr:uid="{415797D6-FB3D-4D77-BA12-2EBACBE0F2D8}"/>
    <cellStyle name="Input 2 6 2 2 3 2 3" xfId="10095" xr:uid="{7F222479-B3A8-4ADC-AD27-22F26EFF7E51}"/>
    <cellStyle name="Input 2 6 2 2 3 2 4" xfId="4455" xr:uid="{9FAE9E72-1F2B-4FD5-A795-B11937150B9C}"/>
    <cellStyle name="Input 2 6 2 2 3 3" xfId="5195" xr:uid="{C395EF83-3BF9-4F43-B619-B4A0E2049899}"/>
    <cellStyle name="Input 2 6 2 2 3 3 2" xfId="8169" xr:uid="{360B5A2F-F496-4A43-B0F8-0599AC1E8550}"/>
    <cellStyle name="Input 2 6 2 2 3 4" xfId="5960" xr:uid="{91F2552C-8F4B-45F7-9502-443FAECBCBC3}"/>
    <cellStyle name="Input 2 6 2 2 3 4 2" xfId="8934" xr:uid="{8C7F0BFA-16CE-4E2D-8649-00FFAE5227B4}"/>
    <cellStyle name="Input 2 6 2 2 3 5" xfId="3681" xr:uid="{C35CAC72-6DFB-47FB-BCBB-DA9417E87F7C}"/>
    <cellStyle name="Input 2 6 2 2 3 6" xfId="6633" xr:uid="{3CCCC69E-46C9-4F57-B8FD-1F56DE7DC438}"/>
    <cellStyle name="Input 2 6 2 2 3 7" xfId="2610" xr:uid="{3E9ECF6C-3631-448F-B576-1876B516BB58}"/>
    <cellStyle name="Input 2 6 2 2 4" xfId="1356" xr:uid="{8177BB76-5596-4691-9008-DFB568FECA54}"/>
    <cellStyle name="Input 2 6 2 2 4 2" xfId="7127" xr:uid="{DB7F7A2C-8263-42FC-AAC9-C2AB62A91F66}"/>
    <cellStyle name="Input 2 6 2 2 4 3" xfId="9793" xr:uid="{5A2EFFF6-A481-4B75-A767-6A5D1C0F5058}"/>
    <cellStyle name="Input 2 6 2 2 4 4" xfId="4153" xr:uid="{E4437120-06FA-472E-A2F6-37AAC941A570}"/>
    <cellStyle name="Input 2 6 2 2 5" xfId="4893" xr:uid="{06ECFB09-5F77-49B3-BDB3-341E97EA3C8A}"/>
    <cellStyle name="Input 2 6 2 2 5 2" xfId="7867" xr:uid="{134D1373-534F-430F-9655-C89E1DB58406}"/>
    <cellStyle name="Input 2 6 2 2 6" xfId="5658" xr:uid="{21EAA2D7-E40C-40B5-8E19-18C8C638FEFF}"/>
    <cellStyle name="Input 2 6 2 2 6 2" xfId="8632" xr:uid="{798EC69E-A74F-40D0-A895-523D02DD8FE3}"/>
    <cellStyle name="Input 2 6 2 2 7" xfId="3426" xr:uid="{183EC548-BF50-482B-8094-8CBEAB4884B1}"/>
    <cellStyle name="Input 2 6 2 2 8" xfId="6331" xr:uid="{E90FA672-099D-4A66-A19C-060EB4B43307}"/>
    <cellStyle name="Input 2 6 2 2 9" xfId="2308" xr:uid="{961E4284-0905-4338-848A-6541A66C0A1D}"/>
    <cellStyle name="Input 2 6 2 3" xfId="819" xr:uid="{6459A1C2-5209-49CC-92B1-B57A72A583C5}"/>
    <cellStyle name="Input 2 6 2 3 2" xfId="1624" xr:uid="{C408BD5D-F468-43E3-81B0-D98D07F0832D}"/>
    <cellStyle name="Input 2 6 2 3 2 2" xfId="7395" xr:uid="{2C5BEB49-3316-4A44-BF48-D7E987E21E7B}"/>
    <cellStyle name="Input 2 6 2 3 2 3" xfId="10061" xr:uid="{515305DF-1647-4050-8C9C-F19872F6B590}"/>
    <cellStyle name="Input 2 6 2 3 2 4" xfId="4421" xr:uid="{E870D506-081D-4A44-93ED-EE3BD8AA64B2}"/>
    <cellStyle name="Input 2 6 2 3 3" xfId="5161" xr:uid="{9F191439-6703-4DD6-9125-57B809ED6028}"/>
    <cellStyle name="Input 2 6 2 3 3 2" xfId="8135" xr:uid="{5BDDCB38-9D2B-49FB-85A2-A739F304140B}"/>
    <cellStyle name="Input 2 6 2 3 4" xfId="5926" xr:uid="{4E9447AB-F857-479D-8A6D-E9EB6F9AB97C}"/>
    <cellStyle name="Input 2 6 2 3 4 2" xfId="8900" xr:uid="{734F0D16-AB8E-427A-8169-790F7A1F9BC7}"/>
    <cellStyle name="Input 2 6 2 3 5" xfId="3653" xr:uid="{4D358A45-A039-4C82-8C2D-1EEA2986C6E9}"/>
    <cellStyle name="Input 2 6 2 3 6" xfId="6599" xr:uid="{1BB08E7D-EDB9-4F8E-84D8-E6EB4A05C33B}"/>
    <cellStyle name="Input 2 6 2 3 7" xfId="2576" xr:uid="{B2B4DAFC-1E01-4384-9C6A-7C2219391817}"/>
    <cellStyle name="Input 2 6 2 4" xfId="676" xr:uid="{AEA8EB87-A105-479D-923A-BE59051FF45C}"/>
    <cellStyle name="Input 2 6 2 4 2" xfId="1481" xr:uid="{759F5CF4-1B0C-4A78-8E57-4C6372EF7233}"/>
    <cellStyle name="Input 2 6 2 4 2 2" xfId="7252" xr:uid="{53474855-C533-45D7-B720-1A79D82BE98D}"/>
    <cellStyle name="Input 2 6 2 4 2 3" xfId="9918" xr:uid="{E2191D3B-FD04-4E23-A102-7E605B6347A9}"/>
    <cellStyle name="Input 2 6 2 4 2 4" xfId="4278" xr:uid="{3FA785D5-FAE1-40AC-9C22-AF262CE3791A}"/>
    <cellStyle name="Input 2 6 2 4 3" xfId="5018" xr:uid="{BF71762F-B3FA-4D44-A9E5-FDB90A21CF1A}"/>
    <cellStyle name="Input 2 6 2 4 3 2" xfId="7992" xr:uid="{AFD98843-FF8C-47E8-B78B-666FC2027FDC}"/>
    <cellStyle name="Input 2 6 2 4 4" xfId="5783" xr:uid="{8C9E0382-4A85-4A3D-8A05-6C4DA5061EFD}"/>
    <cellStyle name="Input 2 6 2 4 4 2" xfId="8757" xr:uid="{9B26E6C7-524D-4CC0-96FD-C8A0800F184C}"/>
    <cellStyle name="Input 2 6 2 4 5" xfId="3512" xr:uid="{08311979-5BC7-463C-860F-44BA82C4729F}"/>
    <cellStyle name="Input 2 6 2 4 6" xfId="6456" xr:uid="{BFB02B6F-BEA1-47EB-9137-23CBE14D5273}"/>
    <cellStyle name="Input 2 6 2 4 7" xfId="2433" xr:uid="{C137E029-4539-456C-A4FB-714ABCCEEF87}"/>
    <cellStyle name="Input 2 6 2 5" xfId="3245" xr:uid="{A80E9096-1AE3-4C7C-85EF-82F9DC5CFA35}"/>
    <cellStyle name="Input 2 6 2 6" xfId="3994" xr:uid="{ECB03301-D5AE-46A5-A02C-72D65BCBF06C}"/>
    <cellStyle name="Input 2 6 2 7" xfId="2146" xr:uid="{C42F8D2D-C24A-417C-92A6-2A470B24D50D}"/>
    <cellStyle name="Input 2 6 3" xfId="272" xr:uid="{B9806218-CD2E-4B5A-B449-C07DF5BF8F31}"/>
    <cellStyle name="Input 2 6 3 2" xfId="496" xr:uid="{42D6FE91-216D-46F6-8FE0-FB685B5E2031}"/>
    <cellStyle name="Input 2 6 3 2 2" xfId="975" xr:uid="{70C56E40-05CE-4457-9AD5-D9CBB1310793}"/>
    <cellStyle name="Input 2 6 3 2 2 2" xfId="1780" xr:uid="{B3ADAF6D-2675-4940-B485-06B85EBDADFE}"/>
    <cellStyle name="Input 2 6 3 2 2 2 2" xfId="7551" xr:uid="{47C49E16-382E-4380-A760-4F56E3A4663D}"/>
    <cellStyle name="Input 2 6 3 2 2 2 3" xfId="10217" xr:uid="{5DECE97D-C9EA-4714-B5CD-E197F4094999}"/>
    <cellStyle name="Input 2 6 3 2 2 2 4" xfId="4577" xr:uid="{F368DAAA-2528-40FB-AEBC-7816CCBC9463}"/>
    <cellStyle name="Input 2 6 3 2 2 3" xfId="5317" xr:uid="{38395988-1363-4B26-AB7C-6FC3051199F5}"/>
    <cellStyle name="Input 2 6 3 2 2 3 2" xfId="8291" xr:uid="{332A2E93-4649-4373-A3EF-FD0F1785B46F}"/>
    <cellStyle name="Input 2 6 3 2 2 4" xfId="6082" xr:uid="{35BD745F-3C63-4FA1-914F-29D63E7CA89B}"/>
    <cellStyle name="Input 2 6 3 2 2 4 2" xfId="9056" xr:uid="{EDAA7804-A9FD-4975-AC88-F26B3B0977FF}"/>
    <cellStyle name="Input 2 6 3 2 2 5" xfId="3792" xr:uid="{91D65896-AF88-4063-9BEC-0461ECA30710}"/>
    <cellStyle name="Input 2 6 3 2 2 6" xfId="6755" xr:uid="{731AA211-A75F-4893-A94C-6C2126C64932}"/>
    <cellStyle name="Input 2 6 3 2 2 7" xfId="2732" xr:uid="{A490F429-E3B5-4572-BA62-87B38193CCC7}"/>
    <cellStyle name="Input 2 6 3 2 3" xfId="1189" xr:uid="{BE86B70B-A020-41E2-94F1-4DE5BC0935A0}"/>
    <cellStyle name="Input 2 6 3 2 3 2" xfId="1994" xr:uid="{A7D7C1A7-7EFC-40EB-B64A-6A5F41721ACF}"/>
    <cellStyle name="Input 2 6 3 2 3 2 2" xfId="7765" xr:uid="{06F99226-F951-4689-BA31-E4AF83BB1DDC}"/>
    <cellStyle name="Input 2 6 3 2 3 2 3" xfId="10431" xr:uid="{4D41ACD6-BD0E-4567-B786-C59D7E373559}"/>
    <cellStyle name="Input 2 6 3 2 3 2 4" xfId="4791" xr:uid="{0C2ADFEB-A35F-404C-8FAA-E0D853053390}"/>
    <cellStyle name="Input 2 6 3 2 3 3" xfId="5531" xr:uid="{D559320D-AF4D-4CAF-820A-BD3F92337B41}"/>
    <cellStyle name="Input 2 6 3 2 3 3 2" xfId="8505" xr:uid="{1CB43085-00FD-41C2-A317-75EDC0D3FB77}"/>
    <cellStyle name="Input 2 6 3 2 3 4" xfId="6296" xr:uid="{CAFB29F9-4D55-4189-AD73-9F6FEBA50C02}"/>
    <cellStyle name="Input 2 6 3 2 3 4 2" xfId="9270" xr:uid="{4293F7A0-A2DB-4D52-B3F7-040A73DC89D9}"/>
    <cellStyle name="Input 2 6 3 2 3 5" xfId="3963" xr:uid="{3C1CA99C-A0D2-4200-84DC-E9CE3E1818CD}"/>
    <cellStyle name="Input 2 6 3 2 3 6" xfId="6969" xr:uid="{D0CDF327-F597-4486-8805-600B6145A96F}"/>
    <cellStyle name="Input 2 6 3 2 3 7" xfId="2946" xr:uid="{A22EF585-64BC-4582-8986-8AEC6E38202D}"/>
    <cellStyle name="Input 2 6 3 2 4" xfId="1302" xr:uid="{C1266E0F-F91C-436D-BDA8-CD22AF0090FE}"/>
    <cellStyle name="Input 2 6 3 2 4 2" xfId="7073" xr:uid="{74D08FB9-2DBE-4FDB-9B7D-FC1FF3F992FE}"/>
    <cellStyle name="Input 2 6 3 2 4 3" xfId="9739" xr:uid="{174E77A9-BD6D-4AEE-BABB-6A1E469168B7}"/>
    <cellStyle name="Input 2 6 3 2 4 4" xfId="4099" xr:uid="{ACF25901-EE75-423A-B00A-E2E55ABEA145}"/>
    <cellStyle name="Input 2 6 3 2 5" xfId="4839" xr:uid="{016FEE22-AAC0-434E-9799-B2583AF83395}"/>
    <cellStyle name="Input 2 6 3 2 5 2" xfId="7813" xr:uid="{E2C4CC0B-2E83-4D6B-841E-9C3D94BC3EE8}"/>
    <cellStyle name="Input 2 6 3 2 6" xfId="5604" xr:uid="{896414E3-2233-4574-84E5-30A9207F5085}"/>
    <cellStyle name="Input 2 6 3 2 6 2" xfId="8578" xr:uid="{CE4D8CEF-5FDD-4220-9A09-EC59FF42542C}"/>
    <cellStyle name="Input 2 6 3 2 7" xfId="3388" xr:uid="{4F942FA9-4569-4BFE-B3CC-2E225BBA9884}"/>
    <cellStyle name="Input 2 6 3 2 8" xfId="3061" xr:uid="{98B17977-6131-422C-813A-7D71BDE539D5}"/>
    <cellStyle name="Input 2 6 3 2 9" xfId="2254" xr:uid="{9B121879-014F-4C13-A909-7F2B17D9B5A2}"/>
    <cellStyle name="Input 2 6 3 3" xfId="764" xr:uid="{A5BCDEC4-A8D4-489A-A97E-4404E2DA956C}"/>
    <cellStyle name="Input 2 6 3 3 2" xfId="1569" xr:uid="{84AEB832-60D6-4B4F-AB05-725F8E32E697}"/>
    <cellStyle name="Input 2 6 3 3 2 2" xfId="7340" xr:uid="{175EF31D-56F0-441C-9D1C-BB0E19804129}"/>
    <cellStyle name="Input 2 6 3 3 2 3" xfId="10006" xr:uid="{04675555-BDB5-4F01-B662-1AE75BE93664}"/>
    <cellStyle name="Input 2 6 3 3 2 4" xfId="4366" xr:uid="{C889BCCF-3983-4D48-B454-1D625E4D5708}"/>
    <cellStyle name="Input 2 6 3 3 3" xfId="5106" xr:uid="{E2C86E7D-429C-4E03-A7BF-EA3763AC9F59}"/>
    <cellStyle name="Input 2 6 3 3 3 2" xfId="8080" xr:uid="{E6C0FDFF-B22B-4995-8223-BBF43D372AAC}"/>
    <cellStyle name="Input 2 6 3 3 4" xfId="5871" xr:uid="{9EA7233C-2E40-4D62-B101-7E725410440D}"/>
    <cellStyle name="Input 2 6 3 3 4 2" xfId="8845" xr:uid="{EA026365-B04C-44D6-B3C0-B93C30114D2F}"/>
    <cellStyle name="Input 2 6 3 3 5" xfId="3599" xr:uid="{4647D457-AFC5-4816-A85F-F516261C0EB2}"/>
    <cellStyle name="Input 2 6 3 3 6" xfId="6544" xr:uid="{8BA45406-04EB-4060-9F23-9B20E066692B}"/>
    <cellStyle name="Input 2 6 3 3 7" xfId="2521" xr:uid="{5AE03D6F-1D92-4E6F-B7E8-C78AC3E29D25}"/>
    <cellStyle name="Input 2 6 3 4" xfId="666" xr:uid="{243B33AD-4381-4E16-839C-D804E0222817}"/>
    <cellStyle name="Input 2 6 3 4 2" xfId="1471" xr:uid="{7D1BFA2C-6456-4B4D-940F-3907EEC8F631}"/>
    <cellStyle name="Input 2 6 3 4 2 2" xfId="7242" xr:uid="{B9CEFD82-218D-4FD7-8898-8F8E9800107C}"/>
    <cellStyle name="Input 2 6 3 4 2 3" xfId="9908" xr:uid="{14791A70-BF1B-4D7B-ACA3-349EE76E71DD}"/>
    <cellStyle name="Input 2 6 3 4 2 4" xfId="4268" xr:uid="{541A8128-B9BB-412A-BCDE-EF41033B5266}"/>
    <cellStyle name="Input 2 6 3 4 3" xfId="5008" xr:uid="{EF5FA203-12D0-44F2-B543-755B55031F57}"/>
    <cellStyle name="Input 2 6 3 4 3 2" xfId="7982" xr:uid="{F51A3149-6F63-485D-BA4F-CC31EFAF2786}"/>
    <cellStyle name="Input 2 6 3 4 4" xfId="5773" xr:uid="{BD4A093D-E10A-4F64-996E-A15AD0A8FF96}"/>
    <cellStyle name="Input 2 6 3 4 4 2" xfId="8747" xr:uid="{CC95EF68-876C-4555-9C7B-8CC7F05CB4D4}"/>
    <cellStyle name="Input 2 6 3 4 5" xfId="3505" xr:uid="{965AE951-ABDB-4A6C-8822-6F070D7BADCB}"/>
    <cellStyle name="Input 2 6 3 4 6" xfId="6446" xr:uid="{9264BBB8-FD8D-4003-8A12-6668B29CE34A}"/>
    <cellStyle name="Input 2 6 3 4 7" xfId="2423" xr:uid="{838A04B6-0F29-4E6B-9F19-5B33FDCA0AB4}"/>
    <cellStyle name="Input 2 6 3 5" xfId="3201" xr:uid="{07D215C2-A56F-4A15-B453-8B79D1527C7F}"/>
    <cellStyle name="Input 2 6 3 6" xfId="3892" xr:uid="{C14E59FF-C1DF-4F98-A667-431D6AC9C980}"/>
    <cellStyle name="Input 2 6 3 7" xfId="2089" xr:uid="{E157AE07-02D3-4181-934C-B9C7BB35ED2C}"/>
    <cellStyle name="Input 2 6 4" xfId="448" xr:uid="{D6386DF9-893B-4E7A-9DF6-CE13279FBECF}"/>
    <cellStyle name="Input 2 6 4 2" xfId="927" xr:uid="{17BF157B-5AF5-4370-A620-6E6755F16898}"/>
    <cellStyle name="Input 2 6 4 2 2" xfId="1732" xr:uid="{FCFF0C4B-AC86-42E4-87C7-997932CB2944}"/>
    <cellStyle name="Input 2 6 4 2 2 2" xfId="7503" xr:uid="{37E4F883-883A-4086-8BC8-BD3AC8A105E9}"/>
    <cellStyle name="Input 2 6 4 2 2 3" xfId="10169" xr:uid="{9CFF052C-1725-4D1A-BD81-A9574EB764A9}"/>
    <cellStyle name="Input 2 6 4 2 2 4" xfId="4529" xr:uid="{4A0E28AD-3AD2-486F-B18C-45D9ADE4BDB3}"/>
    <cellStyle name="Input 2 6 4 2 3" xfId="5269" xr:uid="{C2EA6D2A-9F68-4B56-BA59-D3DF38449DD9}"/>
    <cellStyle name="Input 2 6 4 2 3 2" xfId="8243" xr:uid="{2C281780-7740-40CD-91AD-E4D35DD3618D}"/>
    <cellStyle name="Input 2 6 4 2 4" xfId="6034" xr:uid="{18BE2E45-B6E6-4DAC-9C42-727D8E642911}"/>
    <cellStyle name="Input 2 6 4 2 4 2" xfId="9008" xr:uid="{974FFE9A-98ED-460B-903C-4C44DFEA1E65}"/>
    <cellStyle name="Input 2 6 4 2 5" xfId="3744" xr:uid="{4B2E39CD-5C5F-4618-89EB-FA0FFF4A02B0}"/>
    <cellStyle name="Input 2 6 4 2 6" xfId="6707" xr:uid="{AA6FAA3D-D640-45BC-A777-51E186C4B9EA}"/>
    <cellStyle name="Input 2 6 4 2 7" xfId="2684" xr:uid="{331611C1-E57E-405C-856D-EEAD37C62D50}"/>
    <cellStyle name="Input 2 6 4 3" xfId="844" xr:uid="{B5F5B86C-80F3-46DF-8085-183363080719}"/>
    <cellStyle name="Input 2 6 4 3 2" xfId="1649" xr:uid="{BB72938A-D3CE-4EC6-85B1-8776FD59BF47}"/>
    <cellStyle name="Input 2 6 4 3 2 2" xfId="7420" xr:uid="{5B93ED1F-6293-403E-9186-BD6C701C9A5E}"/>
    <cellStyle name="Input 2 6 4 3 2 3" xfId="10086" xr:uid="{9F85051A-8329-42CE-933B-F1CA4FAE1669}"/>
    <cellStyle name="Input 2 6 4 3 2 4" xfId="4446" xr:uid="{14B2FA83-75FE-45F0-A69D-DAB41ADF753F}"/>
    <cellStyle name="Input 2 6 4 3 3" xfId="5186" xr:uid="{44F97D51-834E-49CB-BF5E-B3D105F4B4BC}"/>
    <cellStyle name="Input 2 6 4 3 3 2" xfId="8160" xr:uid="{CE746178-5B13-428C-90DA-FA6AFDEA67C6}"/>
    <cellStyle name="Input 2 6 4 3 4" xfId="5951" xr:uid="{A750D237-D47C-46C5-9B6A-3C05107DDCBC}"/>
    <cellStyle name="Input 2 6 4 3 4 2" xfId="8925" xr:uid="{10480369-CE45-4261-95D2-6215489E1C6B}"/>
    <cellStyle name="Input 2 6 4 3 5" xfId="3675" xr:uid="{322926CA-FFA9-470C-B508-8116ED57DDE4}"/>
    <cellStyle name="Input 2 6 4 3 6" xfId="6624" xr:uid="{D681301C-985A-439E-B8FE-8AACF90F52D6}"/>
    <cellStyle name="Input 2 6 4 3 7" xfId="2601" xr:uid="{4519212D-AA79-456F-BE77-2CF9FACE5F18}"/>
    <cellStyle name="Input 2 6 4 4" xfId="1254" xr:uid="{82EE3643-ADCB-4791-96F8-03438B082259}"/>
    <cellStyle name="Input 2 6 4 4 2" xfId="7025" xr:uid="{8B21978E-5AC3-47CA-967D-F5EDA25E4E09}"/>
    <cellStyle name="Input 2 6 4 4 3" xfId="9691" xr:uid="{D45BC1FE-BED6-43BA-920A-7C2BCE1D1813}"/>
    <cellStyle name="Input 2 6 4 4 4" xfId="4051" xr:uid="{90681FA5-C89D-4679-98E2-4905025C94FD}"/>
    <cellStyle name="Input 2 6 4 5" xfId="3265" xr:uid="{0FBFBA2E-268A-40B8-ADB4-F51C4991AF8D}"/>
    <cellStyle name="Input 2 6 4 5 2" xfId="3020" xr:uid="{A5E8F354-1143-4229-8993-8B88E37A23DA}"/>
    <cellStyle name="Input 2 6 4 6" xfId="5556" xr:uid="{2CD43292-8D9E-470C-A2E9-ECFDC624B318}"/>
    <cellStyle name="Input 2 6 4 6 2" xfId="8530" xr:uid="{624BA008-85CE-4004-A8D0-B8E3AED1444E}"/>
    <cellStyle name="Input 2 6 4 7" xfId="3355" xr:uid="{1D70F5A7-1551-4A66-A4AA-C1021CD782E3}"/>
    <cellStyle name="Input 2 6 4 8" xfId="3094" xr:uid="{FF95497B-1FBB-4096-A18D-3F7043F4C863}"/>
    <cellStyle name="Input 2 6 4 9" xfId="2206" xr:uid="{2C27A3F6-F3DC-4E63-8E6E-F78A4EB26AA4}"/>
    <cellStyle name="Input 2 6 5" xfId="716" xr:uid="{9CCBA98A-257D-4B17-B1D8-C54FE12AD0F6}"/>
    <cellStyle name="Input 2 6 5 2" xfId="1521" xr:uid="{BE2A84CF-062D-46B9-A522-B8C4509D6BB7}"/>
    <cellStyle name="Input 2 6 5 2 2" xfId="7292" xr:uid="{8C49F302-6F23-4CEF-84AF-DC7DF17411F0}"/>
    <cellStyle name="Input 2 6 5 2 3" xfId="9958" xr:uid="{8084070D-64D7-4DAE-96D9-8BFBC3482A41}"/>
    <cellStyle name="Input 2 6 5 2 4" xfId="4318" xr:uid="{4AE94303-A30A-4569-8CE8-A856BCB994A4}"/>
    <cellStyle name="Input 2 6 5 3" xfId="5058" xr:uid="{6D15B3F2-7252-4145-844D-683E578BA715}"/>
    <cellStyle name="Input 2 6 5 3 2" xfId="8032" xr:uid="{FB00CC33-E9DE-435D-939F-B7A4254AF133}"/>
    <cellStyle name="Input 2 6 5 4" xfId="5823" xr:uid="{C4701111-B077-4C92-91C0-DC3F8BDA0170}"/>
    <cellStyle name="Input 2 6 5 4 2" xfId="8797" xr:uid="{FDD90270-850B-4D56-8B5D-3BEF891FC51C}"/>
    <cellStyle name="Input 2 6 5 5" xfId="3551" xr:uid="{5FBC6486-5A97-4909-9EF6-6F6DCA7C100E}"/>
    <cellStyle name="Input 2 6 5 6" xfId="6496" xr:uid="{0CEF43E2-A766-4699-BA30-978B25A9C6D1}"/>
    <cellStyle name="Input 2 6 5 7" xfId="2473" xr:uid="{B906F501-8CD5-4ADA-AE2D-4AA49DBC030E}"/>
    <cellStyle name="Input 2 6 6" xfId="878" xr:uid="{135CE82D-19C2-4115-86E2-072B4E067961}"/>
    <cellStyle name="Input 2 6 6 2" xfId="1683" xr:uid="{51FE9C82-C491-485C-A34F-17279E380A5B}"/>
    <cellStyle name="Input 2 6 6 2 2" xfId="7454" xr:uid="{0C08A042-18BD-4C8C-9B51-1E2F81958954}"/>
    <cellStyle name="Input 2 6 6 2 3" xfId="10120" xr:uid="{FAE786F9-86AB-4BC4-91A4-26A8744553A0}"/>
    <cellStyle name="Input 2 6 6 2 4" xfId="4480" xr:uid="{84B51890-3593-4ADB-A201-9E3C8858A682}"/>
    <cellStyle name="Input 2 6 6 3" xfId="5220" xr:uid="{D6BC5311-8646-43C7-B291-3C5268F85AF1}"/>
    <cellStyle name="Input 2 6 6 3 2" xfId="8194" xr:uid="{2B68C753-7A23-41E1-B448-CA429E2970A8}"/>
    <cellStyle name="Input 2 6 6 4" xfId="5985" xr:uid="{16EDBC81-B506-4CD9-86D4-BA7230B9A77C}"/>
    <cellStyle name="Input 2 6 6 4 2" xfId="8959" xr:uid="{D6928FB9-990C-4581-BA56-341C7FC09C9F}"/>
    <cellStyle name="Input 2 6 6 5" xfId="3699" xr:uid="{6A380685-A3F9-497D-8929-D013869DA35C}"/>
    <cellStyle name="Input 2 6 6 6" xfId="6658" xr:uid="{15ECCD62-A7A2-4AF9-A7B1-FA2CE3BB2BD0}"/>
    <cellStyle name="Input 2 6 6 7" xfId="2635" xr:uid="{8B02A317-332E-4F30-801F-DEFE4BEB10CE}"/>
    <cellStyle name="Input 2 6 7" xfId="3158" xr:uid="{8FAB0746-CD33-4037-B816-EF2B0A0AC6D4}"/>
    <cellStyle name="Input 2 6 8" xfId="3901" xr:uid="{B9BB586F-9A7E-426F-B962-B66D520CD8CF}"/>
    <cellStyle name="Input 2 6 9" xfId="2039" xr:uid="{8FE1443F-A624-478D-AF46-41E51E1A1762}"/>
    <cellStyle name="Input 2 7" xfId="230" xr:uid="{1E1C79FA-4A37-4628-804B-559EBB71E930}"/>
    <cellStyle name="Input 2 7 2" xfId="334" xr:uid="{344DA4F4-53B4-4729-8828-8FC55EFDEC94}"/>
    <cellStyle name="Input 2 7 2 2" xfId="556" xr:uid="{FEAB3ECE-5606-4D6A-8ED8-21E5F0E9FBE7}"/>
    <cellStyle name="Input 2 7 2 2 2" xfId="1035" xr:uid="{4026D6D1-884A-4A81-8A79-DBA2B021DB61}"/>
    <cellStyle name="Input 2 7 2 2 2 2" xfId="1840" xr:uid="{8B9A53E8-D41A-4C1F-B700-812E06CABE76}"/>
    <cellStyle name="Input 2 7 2 2 2 2 2" xfId="7611" xr:uid="{F9AA0F14-273C-4DC7-A5A1-F5602103B97D}"/>
    <cellStyle name="Input 2 7 2 2 2 2 3" xfId="10277" xr:uid="{C468F59F-96A9-463F-BDAB-CD7ED131BCCB}"/>
    <cellStyle name="Input 2 7 2 2 2 2 4" xfId="4637" xr:uid="{55E0FAA4-8A9C-4BEB-B374-246245BAB0BA}"/>
    <cellStyle name="Input 2 7 2 2 2 3" xfId="5377" xr:uid="{5905ACFB-CC97-40CE-ACFC-411228DC9539}"/>
    <cellStyle name="Input 2 7 2 2 2 3 2" xfId="8351" xr:uid="{F60BE062-9557-47A9-8723-DD2E3313E548}"/>
    <cellStyle name="Input 2 7 2 2 2 4" xfId="6142" xr:uid="{E2DD4C72-324E-4D1B-AEEA-8BD8298E05A8}"/>
    <cellStyle name="Input 2 7 2 2 2 4 2" xfId="9116" xr:uid="{1FDC0F09-9DC1-4E31-BBEB-9C63B512DFC9}"/>
    <cellStyle name="Input 2 7 2 2 2 5" xfId="3852" xr:uid="{5CFA21E4-0C7B-4897-8E40-59AB896E53A2}"/>
    <cellStyle name="Input 2 7 2 2 2 6" xfId="6815" xr:uid="{4049E58C-23AA-420F-85F9-DFF7A66888F7}"/>
    <cellStyle name="Input 2 7 2 2 2 7" xfId="2792" xr:uid="{0BA3C8C3-AE51-4757-947A-6DAE055500AA}"/>
    <cellStyle name="Input 2 7 2 2 3" xfId="859" xr:uid="{65A550AB-C52E-44E9-92F2-D4672A1AC723}"/>
    <cellStyle name="Input 2 7 2 2 3 2" xfId="1664" xr:uid="{F5321EF0-1AD1-4A5F-9992-A8ACFE345151}"/>
    <cellStyle name="Input 2 7 2 2 3 2 2" xfId="7435" xr:uid="{26B5ED61-59D0-4D3A-AB1D-01E9976DA131}"/>
    <cellStyle name="Input 2 7 2 2 3 2 3" xfId="10101" xr:uid="{8D4BCE24-1D25-4D17-B9AF-F52F4D3FE3A3}"/>
    <cellStyle name="Input 2 7 2 2 3 2 4" xfId="4461" xr:uid="{052D9481-C3F4-4712-9A38-4BB3808CB398}"/>
    <cellStyle name="Input 2 7 2 2 3 3" xfId="5201" xr:uid="{AD6F0C32-2522-4E24-97C4-74595493C697}"/>
    <cellStyle name="Input 2 7 2 2 3 3 2" xfId="8175" xr:uid="{2E6C95D7-64BE-42FA-AB44-72F0A64E5E5E}"/>
    <cellStyle name="Input 2 7 2 2 3 4" xfId="5966" xr:uid="{6DE4C6DA-2B1B-4466-B066-396E29375A13}"/>
    <cellStyle name="Input 2 7 2 2 3 4 2" xfId="8940" xr:uid="{296AA8AD-8BAB-4364-A139-A799777912A1}"/>
    <cellStyle name="Input 2 7 2 2 3 5" xfId="3686" xr:uid="{8F873EB3-AD03-4596-AEAB-D650AD60D9D3}"/>
    <cellStyle name="Input 2 7 2 2 3 6" xfId="6639" xr:uid="{44FFEB29-6C80-4970-B0D4-F9DF26CCCE29}"/>
    <cellStyle name="Input 2 7 2 2 3 7" xfId="2616" xr:uid="{FA594C02-E757-49BF-888F-79E23A65D8C5}"/>
    <cellStyle name="Input 2 7 2 2 4" xfId="1362" xr:uid="{E033D87B-8AAB-4D62-9235-196FB0E4548D}"/>
    <cellStyle name="Input 2 7 2 2 4 2" xfId="7133" xr:uid="{60AB6D71-F934-4256-89BC-8D82677DE359}"/>
    <cellStyle name="Input 2 7 2 2 4 3" xfId="9799" xr:uid="{3A89ADD7-2829-4305-8DDC-18DD29DE2BC4}"/>
    <cellStyle name="Input 2 7 2 2 4 4" xfId="4159" xr:uid="{262E43D8-DC7D-46C7-9D2C-951E0EADF3CD}"/>
    <cellStyle name="Input 2 7 2 2 5" xfId="4899" xr:uid="{DF80044A-9745-424D-88A2-CA350AEDF8CE}"/>
    <cellStyle name="Input 2 7 2 2 5 2" xfId="7873" xr:uid="{3B5EA398-C15F-42E5-B735-67C12965E04E}"/>
    <cellStyle name="Input 2 7 2 2 6" xfId="5664" xr:uid="{FF543511-289F-40B6-84E4-F6DED4D59A36}"/>
    <cellStyle name="Input 2 7 2 2 6 2" xfId="8638" xr:uid="{FE0392C5-335A-4933-A05E-7A00FD3477EF}"/>
    <cellStyle name="Input 2 7 2 2 7" xfId="3430" xr:uid="{975618B9-8D0C-4CCE-854F-5686FF173199}"/>
    <cellStyle name="Input 2 7 2 2 8" xfId="6337" xr:uid="{AA80771E-F93B-48ED-B423-7CED6DE210F6}"/>
    <cellStyle name="Input 2 7 2 2 9" xfId="2314" xr:uid="{8E55C4A5-16C5-407B-9521-71F46726610C}"/>
    <cellStyle name="Input 2 7 2 3" xfId="825" xr:uid="{6A1EB9CB-5781-4314-9C7E-E6D12D17328D}"/>
    <cellStyle name="Input 2 7 2 3 2" xfId="1630" xr:uid="{0E160099-233B-4DBB-AB59-21688E9CCD2C}"/>
    <cellStyle name="Input 2 7 2 3 2 2" xfId="7401" xr:uid="{645CC7B1-A1AB-4B59-A21B-BB63FC3F6F79}"/>
    <cellStyle name="Input 2 7 2 3 2 3" xfId="10067" xr:uid="{AA0F3962-534D-4F96-92B0-7597A7BF2820}"/>
    <cellStyle name="Input 2 7 2 3 2 4" xfId="4427" xr:uid="{EEE1B3A6-389B-4FFD-86D7-B06AC612354F}"/>
    <cellStyle name="Input 2 7 2 3 3" xfId="5167" xr:uid="{5134A793-0A0A-488F-B8D8-3F52F79F0505}"/>
    <cellStyle name="Input 2 7 2 3 3 2" xfId="8141" xr:uid="{A965EE65-A7B0-480A-A119-54B5D3308103}"/>
    <cellStyle name="Input 2 7 2 3 4" xfId="5932" xr:uid="{21D525C5-70A3-482E-9C08-7189B47FF1A4}"/>
    <cellStyle name="Input 2 7 2 3 4 2" xfId="8906" xr:uid="{48B0CDE0-86C2-48B8-8C42-FD8CD71C871A}"/>
    <cellStyle name="Input 2 7 2 3 5" xfId="3659" xr:uid="{AEFC4212-90A0-41C6-BB1F-769811BA98FC}"/>
    <cellStyle name="Input 2 7 2 3 6" xfId="6605" xr:uid="{D8802126-6B5F-428B-BE90-A803993BC462}"/>
    <cellStyle name="Input 2 7 2 3 7" xfId="2582" xr:uid="{B513EC4A-7830-4492-B0C3-72C044916F99}"/>
    <cellStyle name="Input 2 7 2 4" xfId="1089" xr:uid="{6CE38655-1213-466C-811C-7A9A59939894}"/>
    <cellStyle name="Input 2 7 2 4 2" xfId="1894" xr:uid="{CCA07250-E2EA-4EA7-B4F8-FBACFF218A63}"/>
    <cellStyle name="Input 2 7 2 4 2 2" xfId="7665" xr:uid="{80E901D2-BBD9-4880-9E82-54FBA78ACB00}"/>
    <cellStyle name="Input 2 7 2 4 2 3" xfId="10331" xr:uid="{2D29D6BE-634B-4982-B5CF-0207DAD736DB}"/>
    <cellStyle name="Input 2 7 2 4 2 4" xfId="4691" xr:uid="{FA2AA804-81D0-4DC3-8617-9CE091D50E73}"/>
    <cellStyle name="Input 2 7 2 4 3" xfId="5431" xr:uid="{600161BD-6D6F-41D9-9825-8BEDBB628237}"/>
    <cellStyle name="Input 2 7 2 4 3 2" xfId="8405" xr:uid="{B41A62E0-F25E-4EBE-A9E0-95153870D600}"/>
    <cellStyle name="Input 2 7 2 4 4" xfId="6196" xr:uid="{C70F7DA0-CDBB-453A-867B-3452D3588AFB}"/>
    <cellStyle name="Input 2 7 2 4 4 2" xfId="9170" xr:uid="{30A00E22-B893-498D-8417-92D5C935DF07}"/>
    <cellStyle name="Input 2 7 2 4 5" xfId="3902" xr:uid="{8E52D241-2555-48C2-9AD9-781850A0248B}"/>
    <cellStyle name="Input 2 7 2 4 6" xfId="6869" xr:uid="{5F3835B1-FE32-4C8A-B28E-ADB84DFEE0F2}"/>
    <cellStyle name="Input 2 7 2 4 7" xfId="2846" xr:uid="{5E38728D-51BC-4713-80E7-7DD227308ADD}"/>
    <cellStyle name="Input 2 7 2 5" xfId="3249" xr:uid="{4D5A88CC-3230-4EC4-888C-C7EFE1BE1771}"/>
    <cellStyle name="Input 2 7 2 6" xfId="3098" xr:uid="{18982559-AC30-40FB-9790-EBB695AE7041}"/>
    <cellStyle name="Input 2 7 2 7" xfId="2152" xr:uid="{B7CBA381-E4B8-4DDD-A63A-D886B1455EF2}"/>
    <cellStyle name="Input 2 7 3" xfId="278" xr:uid="{AD69762A-F2AF-4643-9A87-3622CEFA35A3}"/>
    <cellStyle name="Input 2 7 3 2" xfId="502" xr:uid="{DFB2397B-C91A-4029-B359-F62A1DC9CE82}"/>
    <cellStyle name="Input 2 7 3 2 2" xfId="981" xr:uid="{7E50919F-A5CA-4352-8ADB-4F4D20C77478}"/>
    <cellStyle name="Input 2 7 3 2 2 2" xfId="1786" xr:uid="{1C221E77-E238-4EB4-B30C-B93793C6065F}"/>
    <cellStyle name="Input 2 7 3 2 2 2 2" xfId="7557" xr:uid="{A4DD5605-A033-4524-9E78-6636C6BCF7D6}"/>
    <cellStyle name="Input 2 7 3 2 2 2 3" xfId="10223" xr:uid="{B6A560E2-BCBD-4BD4-B208-D6746FB6E4FD}"/>
    <cellStyle name="Input 2 7 3 2 2 2 4" xfId="4583" xr:uid="{41FF1990-1751-4F77-8E32-3F12EBF0C977}"/>
    <cellStyle name="Input 2 7 3 2 2 3" xfId="5323" xr:uid="{B4E988CA-8690-402F-A4BB-5A0C22B2B85C}"/>
    <cellStyle name="Input 2 7 3 2 2 3 2" xfId="8297" xr:uid="{BA6D04BA-0973-422B-A0CE-9A8A46ED4261}"/>
    <cellStyle name="Input 2 7 3 2 2 4" xfId="6088" xr:uid="{EB2E5B95-E029-409B-AECB-3BD3209C7978}"/>
    <cellStyle name="Input 2 7 3 2 2 4 2" xfId="9062" xr:uid="{3B5EA3DA-5114-4DE7-9E68-DDF58FEBD3B6}"/>
    <cellStyle name="Input 2 7 3 2 2 5" xfId="3798" xr:uid="{8E2878B6-43DF-4995-B2C1-EC96C3A63689}"/>
    <cellStyle name="Input 2 7 3 2 2 6" xfId="6761" xr:uid="{46589CDD-A4F5-4DA1-A162-4ECB7FDE39C2}"/>
    <cellStyle name="Input 2 7 3 2 2 7" xfId="2738" xr:uid="{962366D8-7DF9-4659-BD01-ECC0CE703D55}"/>
    <cellStyle name="Input 2 7 3 2 3" xfId="1187" xr:uid="{E1488268-2782-4C8A-BCA1-D3D2CDE9538D}"/>
    <cellStyle name="Input 2 7 3 2 3 2" xfId="1992" xr:uid="{C848D411-CBD0-4F10-BFB9-C887240B7E5E}"/>
    <cellStyle name="Input 2 7 3 2 3 2 2" xfId="7763" xr:uid="{0EDD2602-C811-46AD-BD70-A4A68DBAD53C}"/>
    <cellStyle name="Input 2 7 3 2 3 2 3" xfId="10429" xr:uid="{F0B9CA54-939F-4312-9576-72342BFDE788}"/>
    <cellStyle name="Input 2 7 3 2 3 2 4" xfId="4789" xr:uid="{1679A42D-FDBA-41BE-B244-6D5AB363BFD0}"/>
    <cellStyle name="Input 2 7 3 2 3 3" xfId="5529" xr:uid="{781906E7-BD13-447D-AF2B-FD95B5EDA1B6}"/>
    <cellStyle name="Input 2 7 3 2 3 3 2" xfId="8503" xr:uid="{56E679C2-B17C-4AAF-BE39-1EA19572B839}"/>
    <cellStyle name="Input 2 7 3 2 3 4" xfId="6294" xr:uid="{6BE21747-7629-4AE0-85C7-2F5E3F468054}"/>
    <cellStyle name="Input 2 7 3 2 3 4 2" xfId="9268" xr:uid="{BCF8EC7A-8AC9-4E9D-A1C3-8876D2696E99}"/>
    <cellStyle name="Input 2 7 3 2 3 5" xfId="3961" xr:uid="{9B1DD920-53ED-454D-87A7-E052F55A249F}"/>
    <cellStyle name="Input 2 7 3 2 3 6" xfId="6967" xr:uid="{85AA9FA8-F54E-43A6-AE9E-871EFAD183C3}"/>
    <cellStyle name="Input 2 7 3 2 3 7" xfId="2944" xr:uid="{BB0FF8C3-9933-4C76-A13F-CF0B2136B09A}"/>
    <cellStyle name="Input 2 7 3 2 4" xfId="1308" xr:uid="{CF856EC7-E9B2-400F-B861-974421954EC9}"/>
    <cellStyle name="Input 2 7 3 2 4 2" xfId="7079" xr:uid="{523E611F-5712-4E6E-B164-D5E4CC25F329}"/>
    <cellStyle name="Input 2 7 3 2 4 3" xfId="9745" xr:uid="{3FEB67F7-2092-4A6E-9E9C-162362AB9AF6}"/>
    <cellStyle name="Input 2 7 3 2 4 4" xfId="4105" xr:uid="{1DA0F86A-28DB-4075-908C-1645BAD245B3}"/>
    <cellStyle name="Input 2 7 3 2 5" xfId="4845" xr:uid="{6F0AD1BA-5DCB-4E19-99FD-D19DE99FD21B}"/>
    <cellStyle name="Input 2 7 3 2 5 2" xfId="7819" xr:uid="{2547B278-3E50-440D-A739-6B0F23B912C1}"/>
    <cellStyle name="Input 2 7 3 2 6" xfId="5610" xr:uid="{9F4F0E4C-82F5-4CC0-929B-943BD95621B8}"/>
    <cellStyle name="Input 2 7 3 2 6 2" xfId="8584" xr:uid="{D78E653B-0D03-47A2-ABDF-9343BD92358F}"/>
    <cellStyle name="Input 2 7 3 2 7" xfId="3392" xr:uid="{2074D138-2AA1-49BC-A1E8-C021F28CF4ED}"/>
    <cellStyle name="Input 2 7 3 2 8" xfId="3055" xr:uid="{508A08A7-F1A8-421D-8B3A-E5B6E1FF76C8}"/>
    <cellStyle name="Input 2 7 3 2 9" xfId="2260" xr:uid="{8FC84622-3C30-4A6F-821F-6730122C8062}"/>
    <cellStyle name="Input 2 7 3 3" xfId="770" xr:uid="{CD5D39D7-DF8A-4EF5-B736-3E97805B07A5}"/>
    <cellStyle name="Input 2 7 3 3 2" xfId="1575" xr:uid="{DA9B36CC-C8DF-41A8-8E84-E1A7AA92B1AC}"/>
    <cellStyle name="Input 2 7 3 3 2 2" xfId="7346" xr:uid="{831A7D54-A2BF-4166-9983-8143A1AA0F22}"/>
    <cellStyle name="Input 2 7 3 3 2 3" xfId="10012" xr:uid="{63914E86-12F6-4059-96D3-9994CE220C73}"/>
    <cellStyle name="Input 2 7 3 3 2 4" xfId="4372" xr:uid="{0026EE42-256B-44D1-A9AA-D38FD4FE20B7}"/>
    <cellStyle name="Input 2 7 3 3 3" xfId="5112" xr:uid="{573D1882-7B97-4CBD-AFB2-1E22BD5566A7}"/>
    <cellStyle name="Input 2 7 3 3 3 2" xfId="8086" xr:uid="{DFD36DAA-05F6-4648-A692-1BF9D1DE0417}"/>
    <cellStyle name="Input 2 7 3 3 4" xfId="5877" xr:uid="{73D2E003-2D89-4008-A09F-F252A49AA76B}"/>
    <cellStyle name="Input 2 7 3 3 4 2" xfId="8851" xr:uid="{BE79E3E8-9B21-461D-A3C6-C88BAFCD90BA}"/>
    <cellStyle name="Input 2 7 3 3 5" xfId="3605" xr:uid="{5A9B842F-3A2E-4C8F-96A1-41AFF23E8153}"/>
    <cellStyle name="Input 2 7 3 3 6" xfId="6550" xr:uid="{8139B20C-6916-4FAC-A345-A619DEBADF1C}"/>
    <cellStyle name="Input 2 7 3 3 7" xfId="2527" xr:uid="{0FFAC624-2DAA-4218-88BD-B893BBBE772D}"/>
    <cellStyle name="Input 2 7 3 4" xfId="670" xr:uid="{C9681896-20CB-4A09-AB1D-EB0A8ED8015B}"/>
    <cellStyle name="Input 2 7 3 4 2" xfId="1475" xr:uid="{B7D879EF-8904-4801-9566-3BB9F37BA43B}"/>
    <cellStyle name="Input 2 7 3 4 2 2" xfId="7246" xr:uid="{F5BBF794-2FDC-4ADB-8BE4-6B9BCFDB34D0}"/>
    <cellStyle name="Input 2 7 3 4 2 3" xfId="9912" xr:uid="{E9F88F03-C1CE-4600-B423-38DB3D183E1E}"/>
    <cellStyle name="Input 2 7 3 4 2 4" xfId="4272" xr:uid="{65E99A8F-1F9E-4C46-A108-720A6B00790D}"/>
    <cellStyle name="Input 2 7 3 4 3" xfId="5012" xr:uid="{58669A8A-BE2D-4662-B9E1-BCE62F476226}"/>
    <cellStyle name="Input 2 7 3 4 3 2" xfId="7986" xr:uid="{17C02FF9-0946-4A5D-8D0D-7746FEFAE5C6}"/>
    <cellStyle name="Input 2 7 3 4 4" xfId="5777" xr:uid="{DCA9F2D9-84F0-4FB9-B20A-393E3ECC1BFB}"/>
    <cellStyle name="Input 2 7 3 4 4 2" xfId="8751" xr:uid="{BB54ACBE-6916-41B1-BA8B-82D99EA5CDBF}"/>
    <cellStyle name="Input 2 7 3 4 5" xfId="3507" xr:uid="{861B340D-83DE-48AE-B2F4-B833903E4E57}"/>
    <cellStyle name="Input 2 7 3 4 6" xfId="6450" xr:uid="{5631E933-83A2-4490-B66E-F54A292B6FC6}"/>
    <cellStyle name="Input 2 7 3 4 7" xfId="2427" xr:uid="{F9F22359-5F1C-4C9A-8A51-F7A34759C3EF}"/>
    <cellStyle name="Input 2 7 3 5" xfId="3205" xr:uid="{B416C53E-986F-4023-93FE-1E8399FD2535}"/>
    <cellStyle name="Input 2 7 3 6" xfId="3221" xr:uid="{3CA5FA7F-D9A0-407F-8054-AFF472390B40}"/>
    <cellStyle name="Input 2 7 3 7" xfId="2095" xr:uid="{38E6DAC7-ABB0-420D-93D2-757F80D883F6}"/>
    <cellStyle name="Input 2 7 4" xfId="454" xr:uid="{C267BD98-CDBF-480E-96AE-6EFC0C0835E5}"/>
    <cellStyle name="Input 2 7 4 2" xfId="933" xr:uid="{AE06DB71-7B62-4DDA-8CB1-16CECCC64F20}"/>
    <cellStyle name="Input 2 7 4 2 2" xfId="1738" xr:uid="{02C780BD-E4D7-4F31-A195-DD2B4B100D3A}"/>
    <cellStyle name="Input 2 7 4 2 2 2" xfId="7509" xr:uid="{1AD36877-7CFE-44F7-BC2F-70DA1EE4B054}"/>
    <cellStyle name="Input 2 7 4 2 2 3" xfId="10175" xr:uid="{BB9D334D-9F49-404A-8586-47DECB6C1DCC}"/>
    <cellStyle name="Input 2 7 4 2 2 4" xfId="4535" xr:uid="{6AAD82CE-ED0C-41A4-A141-D73EB5083F6E}"/>
    <cellStyle name="Input 2 7 4 2 3" xfId="5275" xr:uid="{2C19E590-5F5D-4979-A45A-8D00FE261849}"/>
    <cellStyle name="Input 2 7 4 2 3 2" xfId="8249" xr:uid="{E349D434-BBED-4A44-B7D1-78CF42D9276B}"/>
    <cellStyle name="Input 2 7 4 2 4" xfId="6040" xr:uid="{0FB5DE94-B824-470E-9151-7FCF69AEAC09}"/>
    <cellStyle name="Input 2 7 4 2 4 2" xfId="9014" xr:uid="{A7BF3319-2B82-49D0-BC7D-7E542858471A}"/>
    <cellStyle name="Input 2 7 4 2 5" xfId="3750" xr:uid="{A5887BF1-5D82-44B3-9E23-29990552764F}"/>
    <cellStyle name="Input 2 7 4 2 6" xfId="6713" xr:uid="{B6CAA999-82B8-425B-9A17-BEB8A0A051CF}"/>
    <cellStyle name="Input 2 7 4 2 7" xfId="2690" xr:uid="{D39ABCF9-1513-46DB-B40E-7F7166659BFA}"/>
    <cellStyle name="Input 2 7 4 3" xfId="608" xr:uid="{9F490154-D47E-4773-ACA6-87E43846A374}"/>
    <cellStyle name="Input 2 7 4 3 2" xfId="1413" xr:uid="{5C024E18-6951-441C-A834-38FF721CEDF1}"/>
    <cellStyle name="Input 2 7 4 3 2 2" xfId="7184" xr:uid="{0EF9484B-E357-46EC-8AE1-CECFF13504B3}"/>
    <cellStyle name="Input 2 7 4 3 2 3" xfId="9850" xr:uid="{7032EE49-8EBF-4373-ADF9-280CFC80361A}"/>
    <cellStyle name="Input 2 7 4 3 2 4" xfId="4210" xr:uid="{8D4112A2-D1F3-4102-B4FF-259AFC34BFDD}"/>
    <cellStyle name="Input 2 7 4 3 3" xfId="4950" xr:uid="{49F734EC-D399-4099-AB48-67881A910847}"/>
    <cellStyle name="Input 2 7 4 3 3 2" xfId="7924" xr:uid="{25ED6037-B663-4459-BD19-23C33D542CCC}"/>
    <cellStyle name="Input 2 7 4 3 4" xfId="5715" xr:uid="{4605B929-FD81-44AA-AA47-2032E044AACB}"/>
    <cellStyle name="Input 2 7 4 3 4 2" xfId="8689" xr:uid="{27B31BFC-345B-4E0F-A825-8A93CA48B150}"/>
    <cellStyle name="Input 2 7 4 3 5" xfId="3466" xr:uid="{935C2D32-A457-4797-A52B-1F91C8C5E88B}"/>
    <cellStyle name="Input 2 7 4 3 6" xfId="6388" xr:uid="{45E24E0B-E610-468D-A9F4-380AD654AF67}"/>
    <cellStyle name="Input 2 7 4 3 7" xfId="2365" xr:uid="{C75639F8-BE1C-4A99-BF47-DEBE4062547B}"/>
    <cellStyle name="Input 2 7 4 4" xfId="1260" xr:uid="{AFF2DF1C-A203-4120-A162-8F4C72823E37}"/>
    <cellStyle name="Input 2 7 4 4 2" xfId="7031" xr:uid="{C0390A51-3E0F-4DE1-B8C3-FBA3DBFC431E}"/>
    <cellStyle name="Input 2 7 4 4 3" xfId="9697" xr:uid="{221BD41C-DDB4-4D35-9618-827B1F2446AB}"/>
    <cellStyle name="Input 2 7 4 4 4" xfId="4057" xr:uid="{09B3714C-0290-4950-8670-6C67B7002D7C}"/>
    <cellStyle name="Input 2 7 4 5" xfId="4797" xr:uid="{307756DB-5D49-481C-8C29-F538FA0D9508}"/>
    <cellStyle name="Input 2 7 4 5 2" xfId="7771" xr:uid="{6250BBE5-CF67-4148-B72C-4D7363D27D13}"/>
    <cellStyle name="Input 2 7 4 6" xfId="5562" xr:uid="{1017EF67-D835-47B1-8BA3-72AD90191E0C}"/>
    <cellStyle name="Input 2 7 4 6 2" xfId="8536" xr:uid="{F0F97D0D-24B1-43E5-B89E-F0F6ACC9F8CA}"/>
    <cellStyle name="Input 2 7 4 7" xfId="3359" xr:uid="{F3E8761F-6BB2-4D1B-B05A-23FFF0B3418B}"/>
    <cellStyle name="Input 2 7 4 8" xfId="3115" xr:uid="{62F7521B-2C71-4ADE-B159-9C8A69CBEBCA}"/>
    <cellStyle name="Input 2 7 4 9" xfId="2212" xr:uid="{07F8EA19-D2A8-477E-96E2-0EAE36B3BD68}"/>
    <cellStyle name="Input 2 7 5" xfId="722" xr:uid="{F5289DCD-948C-4914-A369-2E4F0D1886FE}"/>
    <cellStyle name="Input 2 7 5 2" xfId="1527" xr:uid="{B5B489AE-26F1-4EA1-A929-B4C1202C1DA7}"/>
    <cellStyle name="Input 2 7 5 2 2" xfId="7298" xr:uid="{E1222E3A-6C1E-4370-837D-5FEE3BFC353E}"/>
    <cellStyle name="Input 2 7 5 2 3" xfId="9964" xr:uid="{2ADA9815-88CB-4658-82DB-CD2DED33B108}"/>
    <cellStyle name="Input 2 7 5 2 4" xfId="4324" xr:uid="{8F24BAD9-3C6C-41B6-96CB-2434A61885F8}"/>
    <cellStyle name="Input 2 7 5 3" xfId="5064" xr:uid="{F29F754C-1047-4757-AE8C-7D758D9E4945}"/>
    <cellStyle name="Input 2 7 5 3 2" xfId="8038" xr:uid="{708B7548-9904-4A72-BF19-72BC8B3523F1}"/>
    <cellStyle name="Input 2 7 5 4" xfId="5829" xr:uid="{413EDEB6-BF91-4068-931C-72131DDA9FBB}"/>
    <cellStyle name="Input 2 7 5 4 2" xfId="8803" xr:uid="{B7B6EE52-C9AE-4F10-87EB-F16D40EABD2E}"/>
    <cellStyle name="Input 2 7 5 5" xfId="3557" xr:uid="{E29C1ECE-CC3A-4BF8-8243-56E1B63311E8}"/>
    <cellStyle name="Input 2 7 5 6" xfId="6502" xr:uid="{FAE711F3-80B6-4138-8D2E-081A30A85D6C}"/>
    <cellStyle name="Input 2 7 5 7" xfId="2479" xr:uid="{EB081210-B35C-4608-9467-EED2375682F3}"/>
    <cellStyle name="Input 2 7 6" xfId="649" xr:uid="{AF954329-75E0-4A82-A6A6-A6EE3A7DEEF0}"/>
    <cellStyle name="Input 2 7 6 2" xfId="1454" xr:uid="{1F816143-4920-4E4F-B737-17FDA36EFBBB}"/>
    <cellStyle name="Input 2 7 6 2 2" xfId="7225" xr:uid="{19473794-6C03-4C21-807D-CE70408C1DC2}"/>
    <cellStyle name="Input 2 7 6 2 3" xfId="9891" xr:uid="{B44B138E-5BF2-4682-BFD9-09BA114621EA}"/>
    <cellStyle name="Input 2 7 6 2 4" xfId="4251" xr:uid="{EBA97CD4-84C4-44A2-8BE0-3BAF1A515D81}"/>
    <cellStyle name="Input 2 7 6 3" xfId="4991" xr:uid="{CFBDAED2-F292-42F5-BF0A-48BFA116D13D}"/>
    <cellStyle name="Input 2 7 6 3 2" xfId="7965" xr:uid="{4D8071F4-8613-40AB-B376-26E7B0DCF7EB}"/>
    <cellStyle name="Input 2 7 6 4" xfId="5756" xr:uid="{BC9EAC3B-80BE-4B31-811A-71EB955A6384}"/>
    <cellStyle name="Input 2 7 6 4 2" xfId="8730" xr:uid="{EF30FB8D-C1D6-4C61-8846-CE1B3A4575EA}"/>
    <cellStyle name="Input 2 7 6 5" xfId="3492" xr:uid="{592C66D6-47BC-456A-A2E4-561C191167C1}"/>
    <cellStyle name="Input 2 7 6 6" xfId="6429" xr:uid="{2C0BE460-4AEA-4837-957C-4860500B060F}"/>
    <cellStyle name="Input 2 7 6 7" xfId="2406" xr:uid="{EE7B005C-0510-44F4-B815-6FFAAF5E649C}"/>
    <cellStyle name="Input 2 7 7" xfId="3163" xr:uid="{393CDE4F-10F7-49FE-A83D-4CF3CBCF93F0}"/>
    <cellStyle name="Input 2 7 8" xfId="3470" xr:uid="{481C0279-5FE5-475A-AAAD-BA0CEE3B7D3D}"/>
    <cellStyle name="Input 2 7 9" xfId="2045" xr:uid="{F4BEEF96-CBEF-4FE6-BCB6-E2F1BD65EF5E}"/>
    <cellStyle name="Input 2 8" xfId="236" xr:uid="{14136D19-672C-4356-9E5B-C22E79ECA41A}"/>
    <cellStyle name="Input 2 8 2" xfId="340" xr:uid="{A67DF485-E931-4D58-A5AF-23633821118B}"/>
    <cellStyle name="Input 2 8 2 2" xfId="562" xr:uid="{0BFDE0C2-155C-48DF-B7CA-734B6EEF4374}"/>
    <cellStyle name="Input 2 8 2 2 2" xfId="1041" xr:uid="{5043F666-A203-4866-B161-AFA21E198F54}"/>
    <cellStyle name="Input 2 8 2 2 2 2" xfId="1846" xr:uid="{3117FB0F-6181-4316-B365-2A508A73B337}"/>
    <cellStyle name="Input 2 8 2 2 2 2 2" xfId="7617" xr:uid="{3DFDA8D5-7A5B-4B9C-A903-C0472D89B4B4}"/>
    <cellStyle name="Input 2 8 2 2 2 2 3" xfId="10283" xr:uid="{D29E12A0-A8D2-441A-BAA2-39527EAB974E}"/>
    <cellStyle name="Input 2 8 2 2 2 2 4" xfId="4643" xr:uid="{79D3F3E4-8916-4A5E-BE19-882DE7A97292}"/>
    <cellStyle name="Input 2 8 2 2 2 3" xfId="5383" xr:uid="{E7AC67CC-46D2-495D-8FCE-75644229669C}"/>
    <cellStyle name="Input 2 8 2 2 2 3 2" xfId="8357" xr:uid="{54558F14-BE32-4157-AFE3-147AFBEC527F}"/>
    <cellStyle name="Input 2 8 2 2 2 4" xfId="6148" xr:uid="{D440DC5B-2445-4BD8-97F7-C8D1EE08C71D}"/>
    <cellStyle name="Input 2 8 2 2 2 4 2" xfId="9122" xr:uid="{F5666AA7-55E0-4B9E-8186-047DCDA0FF36}"/>
    <cellStyle name="Input 2 8 2 2 2 5" xfId="3858" xr:uid="{C43E6AD4-57FE-4EC6-8296-91D658FA27E2}"/>
    <cellStyle name="Input 2 8 2 2 2 6" xfId="6821" xr:uid="{EB38C03E-E63F-4FB5-A5A2-20D52462BC6B}"/>
    <cellStyle name="Input 2 8 2 2 2 7" xfId="2798" xr:uid="{DB412EDD-871D-4A7E-8E3E-088391A6C0C4}"/>
    <cellStyle name="Input 2 8 2 2 3" xfId="866" xr:uid="{0A7934C5-6389-4DCA-928F-C80BA56EAF67}"/>
    <cellStyle name="Input 2 8 2 2 3 2" xfId="1671" xr:uid="{FF558A69-8E25-430A-A696-C3FAD53E2E36}"/>
    <cellStyle name="Input 2 8 2 2 3 2 2" xfId="7442" xr:uid="{2BC58108-DD48-4555-8B86-A3D888F39223}"/>
    <cellStyle name="Input 2 8 2 2 3 2 3" xfId="10108" xr:uid="{9BFD646E-E0D6-4B96-BC47-A792224E823D}"/>
    <cellStyle name="Input 2 8 2 2 3 2 4" xfId="4468" xr:uid="{EE82CFF9-FCD5-4B23-825E-BB21ECE30650}"/>
    <cellStyle name="Input 2 8 2 2 3 3" xfId="5208" xr:uid="{AE5AD693-180E-4E8C-A781-967F38F3F029}"/>
    <cellStyle name="Input 2 8 2 2 3 3 2" xfId="8182" xr:uid="{BBD19169-AE2B-4B96-A70D-ECBDB8A20C77}"/>
    <cellStyle name="Input 2 8 2 2 3 4" xfId="5973" xr:uid="{D8A3E877-4377-4DC6-9AE6-D4BB6F2095EF}"/>
    <cellStyle name="Input 2 8 2 2 3 4 2" xfId="8947" xr:uid="{D1404963-D563-4508-8D4D-2654ECBAB3D0}"/>
    <cellStyle name="Input 2 8 2 2 3 5" xfId="3691" xr:uid="{F57E9C4D-8043-4533-B786-BB4B6D00EEFD}"/>
    <cellStyle name="Input 2 8 2 2 3 6" xfId="6646" xr:uid="{4D7CFE09-3733-4B35-956E-7FC50B2EBC16}"/>
    <cellStyle name="Input 2 8 2 2 3 7" xfId="2623" xr:uid="{6F778BA2-5E5D-4ED5-BB0A-4FD806B02BD2}"/>
    <cellStyle name="Input 2 8 2 2 4" xfId="1368" xr:uid="{94BC417D-A60C-47BD-87C1-8F2CDF928E15}"/>
    <cellStyle name="Input 2 8 2 2 4 2" xfId="7139" xr:uid="{CC113CFB-57D6-49A8-A1B2-DCAA4A53206F}"/>
    <cellStyle name="Input 2 8 2 2 4 3" xfId="9805" xr:uid="{2C235B0C-0DA4-40E5-AE16-776DE17F203D}"/>
    <cellStyle name="Input 2 8 2 2 4 4" xfId="4165" xr:uid="{F34DCD0D-C01C-49AB-A833-ACD784947B16}"/>
    <cellStyle name="Input 2 8 2 2 5" xfId="4905" xr:uid="{D54E966A-BA75-40A7-A26F-34E945796179}"/>
    <cellStyle name="Input 2 8 2 2 5 2" xfId="7879" xr:uid="{B48F4C8F-EAE7-4CEE-9B26-E45A3B5FDF64}"/>
    <cellStyle name="Input 2 8 2 2 6" xfId="5670" xr:uid="{AA105B3B-1F7A-4F61-8977-FD353D068B28}"/>
    <cellStyle name="Input 2 8 2 2 6 2" xfId="8644" xr:uid="{6890ABEA-CB2E-4F2D-9B9C-C07B179A122C}"/>
    <cellStyle name="Input 2 8 2 2 7" xfId="3434" xr:uid="{F747132A-AFD2-4F6B-95AB-6313FCC3C964}"/>
    <cellStyle name="Input 2 8 2 2 8" xfId="6343" xr:uid="{710A6DC5-1DCF-4DCB-9A23-89549DE31B0E}"/>
    <cellStyle name="Input 2 8 2 2 9" xfId="2320" xr:uid="{329C8A63-705C-41DC-B740-62DC62E258E6}"/>
    <cellStyle name="Input 2 8 2 3" xfId="831" xr:uid="{A41D1ACE-6F37-4FA7-9F89-489942C25D8E}"/>
    <cellStyle name="Input 2 8 2 3 2" xfId="1636" xr:uid="{3239DC2A-3290-42E7-B8D0-EC9A9CFC0C54}"/>
    <cellStyle name="Input 2 8 2 3 2 2" xfId="7407" xr:uid="{9D09E2A2-B795-421F-9CDE-35EC6665FAC5}"/>
    <cellStyle name="Input 2 8 2 3 2 3" xfId="10073" xr:uid="{A4A482C2-A49C-48C7-9851-3CBA8515949D}"/>
    <cellStyle name="Input 2 8 2 3 2 4" xfId="4433" xr:uid="{D679B148-B50C-4F1B-936E-B77F9023A81E}"/>
    <cellStyle name="Input 2 8 2 3 3" xfId="5173" xr:uid="{C81C7BE4-C263-43FD-99FA-7B0F9EE1BCDD}"/>
    <cellStyle name="Input 2 8 2 3 3 2" xfId="8147" xr:uid="{460D82FB-59E8-4691-A384-DB0BC73BE6F3}"/>
    <cellStyle name="Input 2 8 2 3 4" xfId="5938" xr:uid="{08CEE866-88D8-4949-8FAC-6B23B2D19698}"/>
    <cellStyle name="Input 2 8 2 3 4 2" xfId="8912" xr:uid="{84E52ED6-D9A8-43A0-927C-F9E487EA1717}"/>
    <cellStyle name="Input 2 8 2 3 5" xfId="3665" xr:uid="{B34157D8-375F-4EBA-ABE9-980D057626C2}"/>
    <cellStyle name="Input 2 8 2 3 6" xfId="6611" xr:uid="{C814A43E-FF57-43EE-8211-332FEF6751A0}"/>
    <cellStyle name="Input 2 8 2 3 7" xfId="2588" xr:uid="{0DA0B432-A79B-4510-B7D1-D7A05E63C9F7}"/>
    <cellStyle name="Input 2 8 2 4" xfId="1046" xr:uid="{6CE2B27F-5F53-48AD-BA36-520259586720}"/>
    <cellStyle name="Input 2 8 2 4 2" xfId="1851" xr:uid="{A4BE5AF0-533A-4684-8915-0715A8AECDC2}"/>
    <cellStyle name="Input 2 8 2 4 2 2" xfId="7622" xr:uid="{5177FCD3-8BB3-4CFB-9FB9-2FF29940C54B}"/>
    <cellStyle name="Input 2 8 2 4 2 3" xfId="10288" xr:uid="{0A3FF4F0-9EB7-4443-B138-DED6A9949AE5}"/>
    <cellStyle name="Input 2 8 2 4 2 4" xfId="4648" xr:uid="{3C2A57F6-2BBF-4459-A2D4-C77BC43BD45C}"/>
    <cellStyle name="Input 2 8 2 4 3" xfId="5388" xr:uid="{88F2E35C-ACF0-4D0C-83DC-4FC398990401}"/>
    <cellStyle name="Input 2 8 2 4 3 2" xfId="8362" xr:uid="{EAD66A7F-4DE4-4203-8430-67A47A4F5784}"/>
    <cellStyle name="Input 2 8 2 4 4" xfId="6153" xr:uid="{35A159FB-61C0-4419-863C-7C4289B6DC6D}"/>
    <cellStyle name="Input 2 8 2 4 4 2" xfId="9127" xr:uid="{6BFB3AF9-6E52-49BF-A0A8-FE0F3274FD9A}"/>
    <cellStyle name="Input 2 8 2 4 5" xfId="3863" xr:uid="{C0FFC707-EAF3-4793-ABCF-BD9EEDA90440}"/>
    <cellStyle name="Input 2 8 2 4 6" xfId="6826" xr:uid="{379E2ADA-8DDF-49DA-AD00-CBF8865B4217}"/>
    <cellStyle name="Input 2 8 2 4 7" xfId="2803" xr:uid="{89144156-3241-4BA2-B669-DFAAABFED868}"/>
    <cellStyle name="Input 2 8 2 5" xfId="3253" xr:uid="{9AAFB5E2-37DB-4359-9D05-7DD995002C26}"/>
    <cellStyle name="Input 2 8 2 6" xfId="3019" xr:uid="{71EEB795-F570-49BF-B083-F234B18EBEE7}"/>
    <cellStyle name="Input 2 8 2 7" xfId="2158" xr:uid="{B2996B4F-CBB9-425D-B4FF-92DC682EF280}"/>
    <cellStyle name="Input 2 8 3" xfId="284" xr:uid="{EF555FAF-6F7C-4FC8-8879-CBE08F66CA38}"/>
    <cellStyle name="Input 2 8 3 2" xfId="508" xr:uid="{E6AC6B11-5F9F-4EFE-ACC3-3EB2245EBBEF}"/>
    <cellStyle name="Input 2 8 3 2 2" xfId="987" xr:uid="{084A73E0-7945-4F2C-9FB8-3D4718D653C1}"/>
    <cellStyle name="Input 2 8 3 2 2 2" xfId="1792" xr:uid="{7EEDAC39-3B7E-4A71-BE7D-D02C4E6BAFA1}"/>
    <cellStyle name="Input 2 8 3 2 2 2 2" xfId="7563" xr:uid="{DFFC4049-35E4-4C6A-AC05-5FB829695D65}"/>
    <cellStyle name="Input 2 8 3 2 2 2 3" xfId="10229" xr:uid="{42386549-09C6-42C8-8ED6-D1F1897A8C45}"/>
    <cellStyle name="Input 2 8 3 2 2 2 4" xfId="4589" xr:uid="{62AD0999-02EE-46C8-BA2A-083DC59AD1F2}"/>
    <cellStyle name="Input 2 8 3 2 2 3" xfId="5329" xr:uid="{2499305B-7329-4EEE-978A-EEE8B3175DF3}"/>
    <cellStyle name="Input 2 8 3 2 2 3 2" xfId="8303" xr:uid="{F9A69BC1-8A9A-4BA2-8B42-A17626FECB29}"/>
    <cellStyle name="Input 2 8 3 2 2 4" xfId="6094" xr:uid="{83D5DEBF-E090-48FE-BBFE-844677C67C98}"/>
    <cellStyle name="Input 2 8 3 2 2 4 2" xfId="9068" xr:uid="{3E95E115-AD83-476F-9CA3-8F0EA04E7286}"/>
    <cellStyle name="Input 2 8 3 2 2 5" xfId="3804" xr:uid="{F8C83C0A-FB97-460A-8716-33808452764E}"/>
    <cellStyle name="Input 2 8 3 2 2 6" xfId="6767" xr:uid="{F78492AA-68B0-4861-9155-7DA9F51AA088}"/>
    <cellStyle name="Input 2 8 3 2 2 7" xfId="2744" xr:uid="{01EE617D-7D88-481B-9B48-CEAABF675F3F}"/>
    <cellStyle name="Input 2 8 3 2 3" xfId="1184" xr:uid="{ABD54AEE-7069-4146-A0EC-EC50C3D87251}"/>
    <cellStyle name="Input 2 8 3 2 3 2" xfId="1989" xr:uid="{0FD5A93A-9A89-42D1-A4B8-9B199CF06474}"/>
    <cellStyle name="Input 2 8 3 2 3 2 2" xfId="7760" xr:uid="{8797B6AE-7D84-44FD-B771-7748524E2E31}"/>
    <cellStyle name="Input 2 8 3 2 3 2 3" xfId="10426" xr:uid="{D93C1BC2-1DEB-4809-AFAD-D9DB0AD6896E}"/>
    <cellStyle name="Input 2 8 3 2 3 2 4" xfId="4786" xr:uid="{E1691DC1-B03B-4F22-89B7-6BFB5C25B83B}"/>
    <cellStyle name="Input 2 8 3 2 3 3" xfId="5526" xr:uid="{B5D745ED-4036-49A4-971D-01D481FAB4C8}"/>
    <cellStyle name="Input 2 8 3 2 3 3 2" xfId="8500" xr:uid="{2CAB06D2-C79A-4DFF-AD6D-3B540142174A}"/>
    <cellStyle name="Input 2 8 3 2 3 4" xfId="6291" xr:uid="{75E1025F-CEBE-4870-A9BD-C5AD5BD9B3A4}"/>
    <cellStyle name="Input 2 8 3 2 3 4 2" xfId="9265" xr:uid="{C647AB80-F23A-4391-AB97-C323263FA5B0}"/>
    <cellStyle name="Input 2 8 3 2 3 5" xfId="3958" xr:uid="{145E9FC7-3958-48D1-A8D6-4B61C7536259}"/>
    <cellStyle name="Input 2 8 3 2 3 6" xfId="6964" xr:uid="{A5B2A52F-B580-4BEC-830A-FE9EA19391A1}"/>
    <cellStyle name="Input 2 8 3 2 3 7" xfId="2941" xr:uid="{DB73035D-8DFC-485D-AAA0-ACEEBBDA0233}"/>
    <cellStyle name="Input 2 8 3 2 4" xfId="1314" xr:uid="{8562A858-F052-468B-8526-EA31240E21B5}"/>
    <cellStyle name="Input 2 8 3 2 4 2" xfId="7085" xr:uid="{8A6C1319-1DB9-4A57-8F28-B4D7C599191B}"/>
    <cellStyle name="Input 2 8 3 2 4 3" xfId="9751" xr:uid="{A1B564AF-8C40-4103-BA47-4751ECB74DB8}"/>
    <cellStyle name="Input 2 8 3 2 4 4" xfId="4111" xr:uid="{D1925E5E-160B-43E8-AE83-ED92FFB93738}"/>
    <cellStyle name="Input 2 8 3 2 5" xfId="4851" xr:uid="{6242B5AA-B6B0-4FA4-92E4-05FA909F3C3C}"/>
    <cellStyle name="Input 2 8 3 2 5 2" xfId="7825" xr:uid="{1CDE7E28-A348-42FE-A484-37CD3B92CBC1}"/>
    <cellStyle name="Input 2 8 3 2 6" xfId="5616" xr:uid="{12A6D4FC-8963-4CCE-A8A6-1FAC3825390A}"/>
    <cellStyle name="Input 2 8 3 2 6 2" xfId="8590" xr:uid="{7EA9D9EE-F3C9-4DB1-8A37-2B97F12DE500}"/>
    <cellStyle name="Input 2 8 3 2 7" xfId="3396" xr:uid="{A58E8A45-B1D5-40F8-9B03-CF3B1FD9DE2E}"/>
    <cellStyle name="Input 2 8 3 2 8" xfId="3049" xr:uid="{9EC5C2EC-79A8-4C11-AC4F-D1D867AC8297}"/>
    <cellStyle name="Input 2 8 3 2 9" xfId="2266" xr:uid="{BD48EB3F-3307-4997-9E91-DE780501CC1E}"/>
    <cellStyle name="Input 2 8 3 3" xfId="776" xr:uid="{1835EA5D-19DB-42C8-ACF5-2A669ADD0447}"/>
    <cellStyle name="Input 2 8 3 3 2" xfId="1581" xr:uid="{B578881A-BAF6-43DE-B236-C8BE4BE9AA37}"/>
    <cellStyle name="Input 2 8 3 3 2 2" xfId="7352" xr:uid="{4435B676-7660-4391-AC78-0957A63B7C77}"/>
    <cellStyle name="Input 2 8 3 3 2 3" xfId="10018" xr:uid="{D34C7044-C12F-40ED-8E4B-25EA684632D5}"/>
    <cellStyle name="Input 2 8 3 3 2 4" xfId="4378" xr:uid="{E8CA2EDE-1BA3-46C9-AA31-6F417F40AB3E}"/>
    <cellStyle name="Input 2 8 3 3 3" xfId="5118" xr:uid="{B6256D0F-FFEB-4EAA-8B79-6A86C6700782}"/>
    <cellStyle name="Input 2 8 3 3 3 2" xfId="8092" xr:uid="{F1082320-16DE-4108-8F6B-D1C4DCD45E9E}"/>
    <cellStyle name="Input 2 8 3 3 4" xfId="5883" xr:uid="{9CD1DE56-1B30-43FA-8E1E-EB03D93D4458}"/>
    <cellStyle name="Input 2 8 3 3 4 2" xfId="8857" xr:uid="{89BFC69C-0692-4AE5-944F-B14937241E84}"/>
    <cellStyle name="Input 2 8 3 3 5" xfId="3611" xr:uid="{E40AED9D-8F01-4C5D-B601-D0A29C7BC9F4}"/>
    <cellStyle name="Input 2 8 3 3 6" xfId="6556" xr:uid="{7C509B72-EC22-48CF-ACF5-249916898CD1}"/>
    <cellStyle name="Input 2 8 3 3 7" xfId="2533" xr:uid="{E2956E3E-DB40-48C4-9B73-3B32D3D192C7}"/>
    <cellStyle name="Input 2 8 3 4" xfId="631" xr:uid="{55DA1EBA-4DB9-4A97-B35D-A91919152CEA}"/>
    <cellStyle name="Input 2 8 3 4 2" xfId="1436" xr:uid="{1DEA2B4E-3CA3-448E-A215-3DB9BD8DE1C7}"/>
    <cellStyle name="Input 2 8 3 4 2 2" xfId="7207" xr:uid="{AACE6381-69F9-4FD8-8FC0-DB45D69D8745}"/>
    <cellStyle name="Input 2 8 3 4 2 3" xfId="9873" xr:uid="{E5A6DA12-3971-449F-BB60-4A87F5E46CFA}"/>
    <cellStyle name="Input 2 8 3 4 2 4" xfId="4233" xr:uid="{F9B0F403-7122-4655-8271-7DC1C5F831D0}"/>
    <cellStyle name="Input 2 8 3 4 3" xfId="4973" xr:uid="{85EC52EA-502D-4054-939C-BADC4D29F240}"/>
    <cellStyle name="Input 2 8 3 4 3 2" xfId="7947" xr:uid="{97F330E7-9497-4DCC-9D86-3D5F1ADF40FB}"/>
    <cellStyle name="Input 2 8 3 4 4" xfId="5738" xr:uid="{0D86642C-354C-4B6D-B28C-FE7D9255DC53}"/>
    <cellStyle name="Input 2 8 3 4 4 2" xfId="8712" xr:uid="{6A57E9ED-C277-46B8-B954-883D2AF55F9F}"/>
    <cellStyle name="Input 2 8 3 4 5" xfId="3481" xr:uid="{C47819D0-392D-4B09-A112-31A82BE65DB2}"/>
    <cellStyle name="Input 2 8 3 4 6" xfId="6411" xr:uid="{530F86F9-86FE-4D04-BA4B-D0177CA0893E}"/>
    <cellStyle name="Input 2 8 3 4 7" xfId="2388" xr:uid="{5C65AF71-65ED-4294-A287-FE3DD4B4A111}"/>
    <cellStyle name="Input 2 8 3 5" xfId="3209" xr:uid="{2200929B-9FD0-48BA-B0ED-325B42AC894B}"/>
    <cellStyle name="Input 2 8 3 6" xfId="3027" xr:uid="{4AC34432-2009-4D93-BC7F-61A19505FEDF}"/>
    <cellStyle name="Input 2 8 3 7" xfId="2101" xr:uid="{4710E78E-BB11-4B2F-B4C5-DEBD3F6465CB}"/>
    <cellStyle name="Input 2 8 4" xfId="460" xr:uid="{045CF5B0-DD7A-4A28-8842-12973A25C009}"/>
    <cellStyle name="Input 2 8 4 2" xfId="939" xr:uid="{A2D60B4B-8ED7-4A6F-8C94-8E2A4E634857}"/>
    <cellStyle name="Input 2 8 4 2 2" xfId="1744" xr:uid="{BA8F7683-009F-4598-B4DF-5DE5D8A77833}"/>
    <cellStyle name="Input 2 8 4 2 2 2" xfId="7515" xr:uid="{9FC33059-052F-4565-BB62-0419620017E2}"/>
    <cellStyle name="Input 2 8 4 2 2 3" xfId="10181" xr:uid="{3188CF2B-A1F4-4BEE-875D-24BA8A5C0762}"/>
    <cellStyle name="Input 2 8 4 2 2 4" xfId="4541" xr:uid="{2B8A8D70-D029-4EE1-8618-C5F5A485EFA3}"/>
    <cellStyle name="Input 2 8 4 2 3" xfId="5281" xr:uid="{835BAF8E-92D7-4A74-A1E5-C43313E0CE23}"/>
    <cellStyle name="Input 2 8 4 2 3 2" xfId="8255" xr:uid="{3BFA58DF-C7EC-4560-817A-F10AF637EA87}"/>
    <cellStyle name="Input 2 8 4 2 4" xfId="6046" xr:uid="{BBB7574B-C7A3-489D-90CE-CC02F3FCB0D8}"/>
    <cellStyle name="Input 2 8 4 2 4 2" xfId="9020" xr:uid="{968DED73-ABA4-4348-A31F-4B2EFF9948AA}"/>
    <cellStyle name="Input 2 8 4 2 5" xfId="3756" xr:uid="{3917F2FC-5AF3-49D6-A288-197A8B0E2056}"/>
    <cellStyle name="Input 2 8 4 2 6" xfId="6719" xr:uid="{13C8521A-DA6A-4595-B016-37EC5FD65DE4}"/>
    <cellStyle name="Input 2 8 4 2 7" xfId="2696" xr:uid="{371D32CF-3A71-40D0-9547-3FDCC26C93E8}"/>
    <cellStyle name="Input 2 8 4 3" xfId="1129" xr:uid="{4205B3E6-42A5-4232-AAC0-BEFBE1D96C59}"/>
    <cellStyle name="Input 2 8 4 3 2" xfId="1934" xr:uid="{31EB1905-65BB-46D0-B8A3-AFDDD6D4E400}"/>
    <cellStyle name="Input 2 8 4 3 2 2" xfId="7705" xr:uid="{AB7CF1C5-7EBE-482F-8C42-01C4DB06D95A}"/>
    <cellStyle name="Input 2 8 4 3 2 3" xfId="10371" xr:uid="{B83D7BAA-F02D-4F56-A2EE-670304F4765B}"/>
    <cellStyle name="Input 2 8 4 3 2 4" xfId="4731" xr:uid="{6CFEE660-45F1-44F3-9970-96FBE7D91E00}"/>
    <cellStyle name="Input 2 8 4 3 3" xfId="5471" xr:uid="{B351832D-E0CD-4D96-825D-257E562CE5F3}"/>
    <cellStyle name="Input 2 8 4 3 3 2" xfId="8445" xr:uid="{C4497D14-D330-4471-97EC-E82A771946E7}"/>
    <cellStyle name="Input 2 8 4 3 4" xfId="6236" xr:uid="{4E5D5812-5540-4E08-B23E-4914DE4E7FFA}"/>
    <cellStyle name="Input 2 8 4 3 4 2" xfId="9210" xr:uid="{4667DF50-C749-4BF5-B343-0B5A6C641691}"/>
    <cellStyle name="Input 2 8 4 3 5" xfId="3930" xr:uid="{C2CBDB96-3320-49D9-8DB7-64E2924982AE}"/>
    <cellStyle name="Input 2 8 4 3 6" xfId="6909" xr:uid="{C841E7FA-86AD-4EA1-823E-3BBD155A2582}"/>
    <cellStyle name="Input 2 8 4 3 7" xfId="2886" xr:uid="{6A8FF516-C0E6-4E7C-9226-E21D37B94DF5}"/>
    <cellStyle name="Input 2 8 4 4" xfId="1266" xr:uid="{28E55DA3-F7A5-4508-A0A9-E61D4CC8D73D}"/>
    <cellStyle name="Input 2 8 4 4 2" xfId="7037" xr:uid="{BC054508-6331-477D-AE43-DC7BC9DA2318}"/>
    <cellStyle name="Input 2 8 4 4 3" xfId="9703" xr:uid="{6170695F-0FBD-4C1B-BA24-380238B3C04D}"/>
    <cellStyle name="Input 2 8 4 4 4" xfId="4063" xr:uid="{248822B1-8E72-4896-9F80-EE3794F7A368}"/>
    <cellStyle name="Input 2 8 4 5" xfId="4803" xr:uid="{327690C0-F955-4CF6-8F66-134D876D6C11}"/>
    <cellStyle name="Input 2 8 4 5 2" xfId="7777" xr:uid="{4E926F6D-163D-4743-9397-DA2E37AEF5D0}"/>
    <cellStyle name="Input 2 8 4 6" xfId="5568" xr:uid="{485809AD-8E31-488C-BAFF-C6F16F684F4A}"/>
    <cellStyle name="Input 2 8 4 6 2" xfId="8542" xr:uid="{F3734013-D0BA-415D-8E94-48C7A79F6953}"/>
    <cellStyle name="Input 2 8 4 7" xfId="3363" xr:uid="{90422B65-48AE-44A2-8B09-8C6C1CD182B6}"/>
    <cellStyle name="Input 2 8 4 8" xfId="2978" xr:uid="{0498DF3D-2727-48DC-8D64-1DB24D4DC380}"/>
    <cellStyle name="Input 2 8 4 9" xfId="2218" xr:uid="{D8A35570-85D3-4369-B90E-C0BCABAEF9B2}"/>
    <cellStyle name="Input 2 8 5" xfId="728" xr:uid="{CB81C0F7-B4A1-4A93-A4C8-F56AB87351EC}"/>
    <cellStyle name="Input 2 8 5 2" xfId="1533" xr:uid="{B0178A41-2EC0-425F-A214-93477F628B2D}"/>
    <cellStyle name="Input 2 8 5 2 2" xfId="7304" xr:uid="{0356EEF4-A21E-44B3-93ED-8EFB5402B718}"/>
    <cellStyle name="Input 2 8 5 2 3" xfId="9970" xr:uid="{DD819E39-0228-405D-9C6B-769BEBF7A249}"/>
    <cellStyle name="Input 2 8 5 2 4" xfId="4330" xr:uid="{7AC6171D-D4CD-4FBB-9F82-73A4BBC7BE7F}"/>
    <cellStyle name="Input 2 8 5 3" xfId="5070" xr:uid="{95A462C9-5756-4641-B292-5F6F761DADCF}"/>
    <cellStyle name="Input 2 8 5 3 2" xfId="8044" xr:uid="{49A541F9-CBD2-4E81-95B0-68A2E414FF3F}"/>
    <cellStyle name="Input 2 8 5 4" xfId="5835" xr:uid="{9DF67694-D8AE-4E43-A30D-605F7935390C}"/>
    <cellStyle name="Input 2 8 5 4 2" xfId="8809" xr:uid="{EF381322-B852-4F92-AB99-3106D6B2F42E}"/>
    <cellStyle name="Input 2 8 5 5" xfId="3563" xr:uid="{B82D56EF-EE95-4DE7-BD9D-47FCA18AFAAF}"/>
    <cellStyle name="Input 2 8 5 6" xfId="6508" xr:uid="{84BE50CE-A9B4-4056-861F-9909CAC0D8A7}"/>
    <cellStyle name="Input 2 8 5 7" xfId="2485" xr:uid="{8BFB3C55-56F0-4DBF-8709-BDAA49887990}"/>
    <cellStyle name="Input 2 8 6" xfId="577" xr:uid="{C29DD8E5-A5CC-49C9-9CF4-94C6CA17370E}"/>
    <cellStyle name="Input 2 8 6 2" xfId="1382" xr:uid="{18228987-A3B6-48C6-83D2-C546C5A0692C}"/>
    <cellStyle name="Input 2 8 6 2 2" xfId="7153" xr:uid="{9670A660-82BC-4B21-A988-60EE3CC72297}"/>
    <cellStyle name="Input 2 8 6 2 3" xfId="9819" xr:uid="{268A8AD0-E857-44B0-A028-A51E7034DB04}"/>
    <cellStyle name="Input 2 8 6 2 4" xfId="4179" xr:uid="{75347938-7081-49FA-BFD1-1840E113AED7}"/>
    <cellStyle name="Input 2 8 6 3" xfId="4919" xr:uid="{B5062C46-442A-4263-8A89-56EEC83F7507}"/>
    <cellStyle name="Input 2 8 6 3 2" xfId="7893" xr:uid="{D5896276-B7BF-403B-9C8A-41CFF9F19030}"/>
    <cellStyle name="Input 2 8 6 4" xfId="5684" xr:uid="{FDC2722E-3D64-41AF-AEC2-FB2645E0032B}"/>
    <cellStyle name="Input 2 8 6 4 2" xfId="8658" xr:uid="{D72A0401-2B41-4F8F-9C22-D530B9D1114D}"/>
    <cellStyle name="Input 2 8 6 5" xfId="3445" xr:uid="{DEF91E7D-0C1F-407C-A561-9BCC26C2CCA5}"/>
    <cellStyle name="Input 2 8 6 6" xfId="6357" xr:uid="{3F4833B4-4D65-40CA-86EF-1C9355943512}"/>
    <cellStyle name="Input 2 8 6 7" xfId="2334" xr:uid="{2973002F-D634-4507-831C-6BBC9B00B83C}"/>
    <cellStyle name="Input 2 8 7" xfId="3167" xr:uid="{4C1B5930-0FC1-447F-B96C-5F119BB78DD7}"/>
    <cellStyle name="Input 2 8 8" xfId="3932" xr:uid="{130FCB31-1094-4C9B-B3B4-9C13027DE73C}"/>
    <cellStyle name="Input 2 8 9" xfId="2051" xr:uid="{A994C19B-3B2E-4ACF-AD26-CC3ABECBAD14}"/>
    <cellStyle name="Input 2 9" xfId="298" xr:uid="{34FC2955-952E-45B1-B7B8-2E4CAB360411}"/>
    <cellStyle name="Input 2 9 2" xfId="520" xr:uid="{61554F67-6A05-498D-9F30-80F37756C4CC}"/>
    <cellStyle name="Input 2 9 2 2" xfId="999" xr:uid="{7A5ADAE6-0082-4C8D-88EA-D7771532A79F}"/>
    <cellStyle name="Input 2 9 2 2 2" xfId="1804" xr:uid="{01822E76-2A5B-4D1A-BF90-8F79FE6DA2A7}"/>
    <cellStyle name="Input 2 9 2 2 2 2" xfId="7575" xr:uid="{81FEB34D-1D7B-4DF1-ABE6-94043A5A051B}"/>
    <cellStyle name="Input 2 9 2 2 2 3" xfId="10241" xr:uid="{3C003B5E-4795-4CC3-8568-BFAF626FB1E3}"/>
    <cellStyle name="Input 2 9 2 2 2 4" xfId="4601" xr:uid="{4895C177-7F37-4279-8608-E95BD9279AC2}"/>
    <cellStyle name="Input 2 9 2 2 3" xfId="5341" xr:uid="{EB8B0E81-089F-45EE-9479-E9A107719674}"/>
    <cellStyle name="Input 2 9 2 2 3 2" xfId="8315" xr:uid="{6AF17864-294A-4528-A2D4-128B80E8EA69}"/>
    <cellStyle name="Input 2 9 2 2 4" xfId="6106" xr:uid="{B4F8D174-F770-47DB-9D85-F02FCAFFB38A}"/>
    <cellStyle name="Input 2 9 2 2 4 2" xfId="9080" xr:uid="{8D761381-32CE-43EF-892A-480F43FA9A57}"/>
    <cellStyle name="Input 2 9 2 2 5" xfId="3816" xr:uid="{1416C7E4-5E45-423A-9FB3-A18CD356F9E3}"/>
    <cellStyle name="Input 2 9 2 2 6" xfId="6779" xr:uid="{5D048643-79EF-46AA-B57B-D5C8B42BB6C3}"/>
    <cellStyle name="Input 2 9 2 2 7" xfId="2756" xr:uid="{0918BB7F-E718-4A93-927F-5A206F66E174}"/>
    <cellStyle name="Input 2 9 2 3" xfId="1162" xr:uid="{8F98AFB2-8BF1-4905-AF81-081561BC20A0}"/>
    <cellStyle name="Input 2 9 2 3 2" xfId="1967" xr:uid="{812BEBCC-BD2D-4756-B2D3-2EAFD2706FC5}"/>
    <cellStyle name="Input 2 9 2 3 2 2" xfId="7738" xr:uid="{253CD46E-F5DD-4C83-BB1A-F5937E7D304A}"/>
    <cellStyle name="Input 2 9 2 3 2 3" xfId="10404" xr:uid="{B775A26F-8200-4A45-80A4-F4C5E979A6AE}"/>
    <cellStyle name="Input 2 9 2 3 2 4" xfId="4764" xr:uid="{8C433196-C12D-47BB-99CF-066B954A9755}"/>
    <cellStyle name="Input 2 9 2 3 3" xfId="5504" xr:uid="{6447153F-B331-4DE2-B7A9-23360D520DFA}"/>
    <cellStyle name="Input 2 9 2 3 3 2" xfId="8478" xr:uid="{21AC965F-290D-4E74-8233-BEED4E68DD4B}"/>
    <cellStyle name="Input 2 9 2 3 4" xfId="6269" xr:uid="{DC8A47B4-0774-427C-ADD0-46554D77AFDA}"/>
    <cellStyle name="Input 2 9 2 3 4 2" xfId="9243" xr:uid="{35B7D0C8-AF1E-4E57-A63E-A9D027B08743}"/>
    <cellStyle name="Input 2 9 2 3 5" xfId="3948" xr:uid="{505120A4-E039-4640-9E3D-A19BAFB764D2}"/>
    <cellStyle name="Input 2 9 2 3 6" xfId="6942" xr:uid="{E73F0250-1662-4985-9AF8-3256D041E80A}"/>
    <cellStyle name="Input 2 9 2 3 7" xfId="2919" xr:uid="{E2ED1149-B778-4C69-88F1-B18AD2B1DB50}"/>
    <cellStyle name="Input 2 9 2 4" xfId="1326" xr:uid="{14C33B36-A5B1-4441-8A31-907B78FEE234}"/>
    <cellStyle name="Input 2 9 2 4 2" xfId="7097" xr:uid="{4858B07C-DF59-4EA0-865F-D5CCED850979}"/>
    <cellStyle name="Input 2 9 2 4 3" xfId="9763" xr:uid="{CAEF8460-921F-489F-9FBB-5E8740E481CD}"/>
    <cellStyle name="Input 2 9 2 4 4" xfId="4123" xr:uid="{6FAD35AF-F3B6-49C1-A535-4792FBD5672A}"/>
    <cellStyle name="Input 2 9 2 5" xfId="4863" xr:uid="{5E87E0E2-A85D-4B41-B160-FC806FED5FEA}"/>
    <cellStyle name="Input 2 9 2 5 2" xfId="7837" xr:uid="{41445810-D81E-439E-B7D2-481A3B3AB514}"/>
    <cellStyle name="Input 2 9 2 6" xfId="5628" xr:uid="{E21CE31B-ABE8-4A0E-95A6-549FFB2226D4}"/>
    <cellStyle name="Input 2 9 2 6 2" xfId="8602" xr:uid="{69054122-0601-4690-A51D-ECB438CC336A}"/>
    <cellStyle name="Input 2 9 2 7" xfId="3405" xr:uid="{DE805A45-DDE1-43EB-8698-D1A3A386F73D}"/>
    <cellStyle name="Input 2 9 2 8" xfId="6301" xr:uid="{85038A41-F9E4-4DE6-A564-D13B57484EC0}"/>
    <cellStyle name="Input 2 9 2 9" xfId="2278" xr:uid="{BB99CE21-9865-4932-90DF-9D16B484FD57}"/>
    <cellStyle name="Input 2 9 3" xfId="789" xr:uid="{D5C960E8-BA36-4804-903D-EB8F2E61A868}"/>
    <cellStyle name="Input 2 9 3 2" xfId="1594" xr:uid="{5602F556-7C74-4A2C-82CD-BAC8849F6018}"/>
    <cellStyle name="Input 2 9 3 2 2" xfId="7365" xr:uid="{5BD9BA0C-8BB3-4BCC-98F7-EEC901EFF16F}"/>
    <cellStyle name="Input 2 9 3 2 3" xfId="10031" xr:uid="{731768E1-B6DD-462C-A754-C9FA511180B8}"/>
    <cellStyle name="Input 2 9 3 2 4" xfId="4391" xr:uid="{0BBEC5BC-7A34-4D54-B6BA-67BD22EB3025}"/>
    <cellStyle name="Input 2 9 3 3" xfId="5131" xr:uid="{AB5CECEC-46D6-4B44-8ABF-5B72372008F1}"/>
    <cellStyle name="Input 2 9 3 3 2" xfId="8105" xr:uid="{DF4BB2DA-6CEC-4E2B-ABBA-37C03B84190E}"/>
    <cellStyle name="Input 2 9 3 4" xfId="5896" xr:uid="{4BC62D66-3CF2-4BC8-9161-65C67BC24B89}"/>
    <cellStyle name="Input 2 9 3 4 2" xfId="8870" xr:uid="{6CD9E10D-EA1F-4876-BC4B-046346621C01}"/>
    <cellStyle name="Input 2 9 3 5" xfId="3623" xr:uid="{2438D67B-8B73-4C4E-8F36-0C29FB92643D}"/>
    <cellStyle name="Input 2 9 3 6" xfId="6569" xr:uid="{FBBDE0DE-2257-46F1-A812-AE3013F3E1E8}"/>
    <cellStyle name="Input 2 9 3 7" xfId="2546" xr:uid="{7C65B427-6DBA-47D2-BF73-9B29B693ECE2}"/>
    <cellStyle name="Input 2 9 4" xfId="663" xr:uid="{52A545F5-F352-4972-BE77-6F9E3E6B3DF7}"/>
    <cellStyle name="Input 2 9 4 2" xfId="1468" xr:uid="{C8ADEE55-3C77-4292-82F7-16E16F1AAD87}"/>
    <cellStyle name="Input 2 9 4 2 2" xfId="7239" xr:uid="{61C2C8F6-898D-4EF4-BC20-321C6EB00CCD}"/>
    <cellStyle name="Input 2 9 4 2 3" xfId="9905" xr:uid="{D741760A-948F-4A99-869F-03525F742697}"/>
    <cellStyle name="Input 2 9 4 2 4" xfId="4265" xr:uid="{1E4127D1-6E20-44F7-94A5-D527CA9A0E61}"/>
    <cellStyle name="Input 2 9 4 3" xfId="5005" xr:uid="{C411AA24-5F50-4AC5-9992-A385A249721C}"/>
    <cellStyle name="Input 2 9 4 3 2" xfId="7979" xr:uid="{B1911FD2-3007-4829-9569-839A9B3DCCEE}"/>
    <cellStyle name="Input 2 9 4 4" xfId="5770" xr:uid="{F65A57E7-E8AD-4BF2-A34D-F56A9F3F68ED}"/>
    <cellStyle name="Input 2 9 4 4 2" xfId="8744" xr:uid="{9E8455C6-CD52-49BF-9989-DE79C3F9232D}"/>
    <cellStyle name="Input 2 9 4 5" xfId="3503" xr:uid="{32CD8EFF-85C0-4691-9804-3BE7104035B3}"/>
    <cellStyle name="Input 2 9 4 6" xfId="6443" xr:uid="{DDA9DE0C-C63D-4EF8-820E-EB63E94F3DCA}"/>
    <cellStyle name="Input 2 9 4 7" xfId="2420" xr:uid="{2A845435-6C0B-42C5-99BE-A83FDC69E181}"/>
    <cellStyle name="Input 2 9 5" xfId="3225" xr:uid="{969638B1-94A2-4743-ACA0-32263935FA4C}"/>
    <cellStyle name="Input 2 9 6" xfId="3024" xr:uid="{2E75FFC4-C887-4976-96CA-031307396866}"/>
    <cellStyle name="Input 2 9 7" xfId="2116" xr:uid="{233A3B59-4A9D-4389-91E5-62879AA7A45B}"/>
    <cellStyle name="Input 2Ƞ13 3 3 2" xfId="8387" xr:uid="{A43FB5DD-16DF-4B12-8C7B-451606C5A3DE}"/>
    <cellStyle name="Linked Cell 2" xfId="134" xr:uid="{49E95AFA-B3B1-409D-BB7E-1597B79D1AC9}"/>
    <cellStyle name="Milliers 2" xfId="54" xr:uid="{6F465041-F918-48B2-829C-751CF9BD70A4}"/>
    <cellStyle name="Milliers 2 2" xfId="142" xr:uid="{21FDCA71-5287-4B4B-8BF2-48A73E73ADC6}"/>
    <cellStyle name="Milliers 3" xfId="55" xr:uid="{B6B96395-1B71-424C-8345-37FB04B97B8A}"/>
    <cellStyle name="Milliers 4" xfId="65" xr:uid="{2D2A054D-93B2-4A00-9723-4ED5D03FEC73}"/>
    <cellStyle name="Milliers 4 2" xfId="151" xr:uid="{98EE386A-D29F-4549-9758-3C55C6754075}"/>
    <cellStyle name="Neutral 2" xfId="135" xr:uid="{3F206A4F-8969-4356-86E0-2A912A540D01}"/>
    <cellStyle name="Normal" xfId="0" builtinId="0"/>
    <cellStyle name="Normal 10" xfId="21" xr:uid="{C5746E83-14AB-4A5B-A5AF-A55322A25D5C}"/>
    <cellStyle name="Normal 10 2" xfId="37" xr:uid="{D094DF1A-FF31-41FE-BB8F-47E839A76249}"/>
    <cellStyle name="Normal 10 2 2" xfId="96" xr:uid="{A6359F56-A9F0-4022-B15C-5AD3CC85C7C8}"/>
    <cellStyle name="Normal 10 2 3" xfId="9337" xr:uid="{6D83F328-9C95-41E7-90F7-73DE254C73F7}"/>
    <cellStyle name="Normal 10 3" xfId="81" xr:uid="{7A247038-0B94-4930-99BE-2997B1C29235}"/>
    <cellStyle name="Normal 10 3 2" xfId="9338" xr:uid="{E179D897-28DF-4C72-8791-F3CBC96180CD}"/>
    <cellStyle name="Normal 10 4" xfId="355" xr:uid="{764020FF-0AD4-4CCA-A13F-DFEA3707238F}"/>
    <cellStyle name="Normal 10 5" xfId="9336" xr:uid="{1E996416-DA03-43E8-B6C8-7F21A69A5F20}"/>
    <cellStyle name="Normal 11" xfId="32" xr:uid="{E2CBF766-13CB-4A1A-8682-B04ED8FEF5B0}"/>
    <cellStyle name="Normal 11 2" xfId="92" xr:uid="{9F99711F-D289-433F-9E88-A01543C9DCC0}"/>
    <cellStyle name="Normal 11 2 2" xfId="9340" xr:uid="{A9E7654A-3EC0-4201-9CA8-29DE91EB9DD8}"/>
    <cellStyle name="Normal 11 3" xfId="356" xr:uid="{115342E4-3A4B-430E-B99D-26B5F0172D1E}"/>
    <cellStyle name="Normal 11 3 2" xfId="9341" xr:uid="{139BADC8-F46E-42C4-9441-D5DA799EF9D1}"/>
    <cellStyle name="Normal 11 4" xfId="9339" xr:uid="{27C74133-0469-4BF7-B02E-F1A890687F11}"/>
    <cellStyle name="Normal 12" xfId="29" xr:uid="{6DE56C81-611C-4152-8F09-2D40EA50516C}"/>
    <cellStyle name="Normal 12 2" xfId="89" xr:uid="{C2E04141-8C8B-4819-8FE5-50FF41D56FDD}"/>
    <cellStyle name="Normal 12 2 2" xfId="9343" xr:uid="{76DF6490-A453-4D75-BE15-A8F2A78D3FD7}"/>
    <cellStyle name="Normal 12 3" xfId="9344" xr:uid="{94242727-20E9-43D8-A45F-3D88C7CCAB08}"/>
    <cellStyle name="Normal 12 4" xfId="9342" xr:uid="{27CE0822-B748-4C9F-BED7-210D39DA3346}"/>
    <cellStyle name="Normal 13" xfId="33" xr:uid="{2CB8D37E-6648-4C1A-9779-A7258C774A61}"/>
    <cellStyle name="Normal 13 2" xfId="95" xr:uid="{838080CC-7F4F-48D5-8A95-102E56890019}"/>
    <cellStyle name="Normal 13 2 2" xfId="9346" xr:uid="{C768B01D-6980-47B8-9D66-F759BB626C69}"/>
    <cellStyle name="Normal 13 3" xfId="9347" xr:uid="{972E41A4-E3DA-44D6-9EE8-9079F0D016F5}"/>
    <cellStyle name="Normal 13 4" xfId="9345" xr:uid="{166452C6-F59A-4C89-A97E-8D40E5A485A8}"/>
    <cellStyle name="Normal 14" xfId="25" xr:uid="{792A2859-C7E4-4451-9194-EAB29E60DCC6}"/>
    <cellStyle name="Normal 14 2" xfId="41" xr:uid="{6CE0B8B1-7A7B-4B2D-882F-80762D97927D}"/>
    <cellStyle name="Normal 14 2 2" xfId="162" xr:uid="{F58240F6-3A3B-41B0-84F2-34D1FD9732A2}"/>
    <cellStyle name="Normal 14 2 3" xfId="9349" xr:uid="{84EEF620-956F-414F-91D9-30D379BF9000}"/>
    <cellStyle name="Normal 14 3" xfId="85" xr:uid="{3EE35789-16A2-4FFC-826B-4129DE355775}"/>
    <cellStyle name="Normal 14 3 2" xfId="9350" xr:uid="{40F0A63F-4B8D-4AB2-B48C-1868029850EB}"/>
    <cellStyle name="Normal 14 4" xfId="198" xr:uid="{4A83B097-C91A-4812-9450-0A83FD3FA734}"/>
    <cellStyle name="Normal 14 5" xfId="295" xr:uid="{849AA8EB-1945-47E7-A406-16D4CAA51D81}"/>
    <cellStyle name="Normal 14 6" xfId="9348" xr:uid="{534E55B5-7FAD-4389-8AC7-CAC742A000DE}"/>
    <cellStyle name="Normal 15" xfId="26" xr:uid="{D3D7D7A2-0C54-473D-A141-00258A94DDC9}"/>
    <cellStyle name="Normal 15 2" xfId="42" xr:uid="{3BCFB80C-32CC-4FBA-85D2-35BCD361B6A9}"/>
    <cellStyle name="Normal 15 2 2" xfId="164" xr:uid="{E1193BC3-6192-403D-BF11-273073B1E8D1}"/>
    <cellStyle name="Normal 15 2 3" xfId="9352" xr:uid="{489B453A-7E93-4102-8528-9A7EA7BF865A}"/>
    <cellStyle name="Normal 15 3" xfId="86" xr:uid="{6A116E28-2B43-4C56-9F42-026281519784}"/>
    <cellStyle name="Normal 15 3 2" xfId="9353" xr:uid="{98DA7A65-1097-4D08-8E1E-94584E9A1D22}"/>
    <cellStyle name="Normal 15 4" xfId="197" xr:uid="{35555E89-1459-40EC-93C2-A3AF3A5EEBEE}"/>
    <cellStyle name="Normal 15 5" xfId="296" xr:uid="{77625108-93DE-49CB-A3FE-AEDE0744EDE0}"/>
    <cellStyle name="Normal 15 6" xfId="9351" xr:uid="{ACBE9DC8-51E5-4721-8AB9-5CFD0F6BF3ED}"/>
    <cellStyle name="Normal 16" xfId="31" xr:uid="{542B63F6-2F55-42DD-9F95-983B26A68CCC}"/>
    <cellStyle name="Normal 16 2" xfId="91" xr:uid="{F5F2A304-3AFC-4BA3-BC17-EC2F68F1A561}"/>
    <cellStyle name="Normal 16 2 2" xfId="9355" xr:uid="{2FCBDD7F-986D-4B46-B8D2-4D2F96046AF3}"/>
    <cellStyle name="Normal 16 3" xfId="9356" xr:uid="{93025470-0A25-4FED-9B71-3C1EE1E1E4E7}"/>
    <cellStyle name="Normal 16 4" xfId="9354" xr:uid="{B41AA3AB-F550-448B-AD26-A7D60C809A28}"/>
    <cellStyle name="Normal 17" xfId="28" xr:uid="{081DBF74-9E7B-4E5C-A848-F9162D989285}"/>
    <cellStyle name="Normal 17 2" xfId="44" xr:uid="{D81BF41C-3E89-4664-8F06-665362D23877}"/>
    <cellStyle name="Normal 17 2 2" xfId="165" xr:uid="{2A5D28E2-96BB-43B8-8A3C-7A5700C7AB13}"/>
    <cellStyle name="Normal 17 2 3" xfId="9358" xr:uid="{0A7B8E4A-5AEC-4707-876E-B09BF1F3D604}"/>
    <cellStyle name="Normal 17 3" xfId="88" xr:uid="{AAAD7A45-B5F6-4ED1-A3A3-58FF3E16829C}"/>
    <cellStyle name="Normal 17 3 2" xfId="9359" xr:uid="{C79F00BF-FF04-47B0-B32C-FC8C4FAB1E34}"/>
    <cellStyle name="Normal 17 4" xfId="9357" xr:uid="{7BCB9828-0CC2-41FA-8A16-2B59D6A80746}"/>
    <cellStyle name="Normal 18" xfId="24" xr:uid="{CFE69B14-7FC4-4303-A22C-74CA5C6F28E1}"/>
    <cellStyle name="Normal 18 2" xfId="40" xr:uid="{C46B924D-7848-4D87-9E3F-E4FC7050B931}"/>
    <cellStyle name="Normal 18 2 2" xfId="163" xr:uid="{34208B64-E021-430E-8ED9-C626F5331199}"/>
    <cellStyle name="Normal 18 2 3" xfId="9361" xr:uid="{FE696977-63C5-452D-9851-860BA0348B01}"/>
    <cellStyle name="Normal 18 3" xfId="84" xr:uid="{F46D9BB3-06DB-4FCB-AF0B-E0DB35B67D4C}"/>
    <cellStyle name="Normal 18 3 2" xfId="9362" xr:uid="{E89BCEEC-67E8-4D85-9055-D2DB1D7C3BCF}"/>
    <cellStyle name="Normal 18 4" xfId="9360" xr:uid="{1F2E62EE-F6C0-435C-B056-DE4D2A9F55DB}"/>
    <cellStyle name="Normal 19" xfId="27" xr:uid="{ADBA65CD-AC2C-4E7C-9E61-405A97CFCFB2}"/>
    <cellStyle name="Normal 19 2" xfId="43" xr:uid="{FFDC3D89-7A1E-4DEA-B8B3-F6EEE88118DC}"/>
    <cellStyle name="Normal 19 2 2" xfId="161" xr:uid="{DBB9CFCA-AF19-4E2E-A820-47E4DDD8978C}"/>
    <cellStyle name="Normal 19 2 3" xfId="9364" xr:uid="{6AF35F51-C620-4721-9C59-24FF226E49E3}"/>
    <cellStyle name="Normal 19 3" xfId="87" xr:uid="{9995CA31-A7E6-46DC-82BB-9AA8F04A97C9}"/>
    <cellStyle name="Normal 19 3 2" xfId="9365" xr:uid="{2F29CB1F-1452-4038-AA43-8A2F0CDFA0B3}"/>
    <cellStyle name="Normal 19 4" xfId="9363" xr:uid="{D19F46C1-41E3-4E91-B314-8120B977FC44}"/>
    <cellStyle name="Normal 19_PIL LOADING REPORT " xfId="182" xr:uid="{5CE4942E-CDB2-43A0-92CE-718FDF2B26F7}"/>
    <cellStyle name="Normal 2" xfId="9" xr:uid="{A2DD07CF-DC4B-4771-A441-C80A377F0419}"/>
    <cellStyle name="Normal 2 10" xfId="358" xr:uid="{17BE0CCC-7E55-4F06-A725-48F40B683794}"/>
    <cellStyle name="Normal 2 10 2" xfId="9368" xr:uid="{07D0EC4C-14D5-40A6-98DB-9F38C23E6291}"/>
    <cellStyle name="Normal 2 10 3" xfId="9369" xr:uid="{DA79E718-07BC-4DCC-9350-826D73F3FA35}"/>
    <cellStyle name="Normal 2 10 4" xfId="9367" xr:uid="{1028FAEE-AF1D-4223-AF2C-2F77493B2A98}"/>
    <cellStyle name="Normal 2 11" xfId="357" xr:uid="{A0D5D643-A8BF-48C9-BD5D-8213DED92F5C}"/>
    <cellStyle name="Normal 2 11 2" xfId="9371" xr:uid="{4210B138-02B9-4AAB-82FA-6CA0CB9DFEE5}"/>
    <cellStyle name="Normal 2 11 3" xfId="9372" xr:uid="{A8873D9D-628D-4352-A9D6-2665DAD7975B}"/>
    <cellStyle name="Normal 2 11 4" xfId="9370" xr:uid="{4F206030-8990-4D1D-96A6-8072B1586CC5}"/>
    <cellStyle name="Normal 2 12" xfId="399" xr:uid="{4091A098-44F1-48CB-8D82-FFD55C12D021}"/>
    <cellStyle name="Normal 2 12 2" xfId="9374" xr:uid="{956C6399-416E-4152-9728-070D7F305676}"/>
    <cellStyle name="Normal 2 12 3" xfId="9375" xr:uid="{5F451FEE-272F-4B66-BD45-6DB3D84734B3}"/>
    <cellStyle name="Normal 2 12 4" xfId="9373" xr:uid="{CAD60891-68F7-48F5-A6EA-3A7F05F16F43}"/>
    <cellStyle name="Normal 2 13" xfId="1210" xr:uid="{F065D82F-B3B7-4CA4-8D30-96C6D7504F80}"/>
    <cellStyle name="Normal 2 13 2" xfId="9377" xr:uid="{595E991C-1EB6-4621-9789-6804AE0C9574}"/>
    <cellStyle name="Normal 2 13 3" xfId="9378" xr:uid="{BCBD741B-A389-4272-98D9-6D08BF51BF8E}"/>
    <cellStyle name="Normal 2 13 4" xfId="9376" xr:uid="{BE9BC802-5DE8-4C67-AECA-829C3A13E0E6}"/>
    <cellStyle name="Normal 2 14" xfId="1213" xr:uid="{81F34BE1-2EB7-4DFF-B8BA-741DD2A0E845}"/>
    <cellStyle name="Normal 2 14 2" xfId="9380" xr:uid="{8CC53DD3-3DB0-44B9-A477-E367054A4FB0}"/>
    <cellStyle name="Normal 2 14 3" xfId="9381" xr:uid="{2BAB9121-6F72-48C9-9A13-082D679CCBCD}"/>
    <cellStyle name="Normal 2 14 4" xfId="9379" xr:uid="{16D359D9-144F-4B4D-AF8F-B63FDDFEADC5}"/>
    <cellStyle name="Normal 2 15" xfId="2969" xr:uid="{FB4F1B62-FEF1-4C5C-9D33-42C7EBF59F68}"/>
    <cellStyle name="Normal 2 15 2" xfId="9383" xr:uid="{227A34CD-B27C-4092-84CA-A43508951D62}"/>
    <cellStyle name="Normal 2 15 3" xfId="9384" xr:uid="{C5393E00-2159-46FA-9676-A9B94F232B66}"/>
    <cellStyle name="Normal 2 15 4" xfId="9382" xr:uid="{A4CC50F8-2134-4C31-B0D7-E9E1134727C8}"/>
    <cellStyle name="Normal 2 16" xfId="9274" xr:uid="{ECBC631F-03A7-4C09-A39D-AAA14891C2AE}"/>
    <cellStyle name="Normal 2 16 2" xfId="9386" xr:uid="{D8FF1D91-76F8-43C2-8E22-316A7E4C2D03}"/>
    <cellStyle name="Normal 2 16 3" xfId="9387" xr:uid="{3D97F41B-95F7-4E35-ADFB-210B10A800D7}"/>
    <cellStyle name="Normal 2 16 4" xfId="9385" xr:uid="{07DE2A37-FC6E-4B42-BD2C-2332BEE3A7FB}"/>
    <cellStyle name="Normal 2 17" xfId="9285" xr:uid="{CE04F619-61C3-4AA6-8F05-F9BD65AF6627}"/>
    <cellStyle name="Normal 2 17 2" xfId="9389" xr:uid="{19103598-30B6-4DB4-9BE8-5F88C122152E}"/>
    <cellStyle name="Normal 2 17 3" xfId="9390" xr:uid="{0FC8DF51-2CEB-469B-B1AD-9E022463E694}"/>
    <cellStyle name="Normal 2 17 4" xfId="9388" xr:uid="{E8B1C998-B7CC-433D-ABFF-6870E7B966DE}"/>
    <cellStyle name="Normal 2 18" xfId="9391" xr:uid="{4F4A9F53-302B-4262-AD42-C14D968B9418}"/>
    <cellStyle name="Normal 2 18 2" xfId="9392" xr:uid="{D1E85D15-B216-4F06-B026-D33065993240}"/>
    <cellStyle name="Normal 2 18 3" xfId="9393" xr:uid="{37301117-EE22-4A11-8005-CA8219049165}"/>
    <cellStyle name="Normal 2 19" xfId="9394" xr:uid="{96375461-9A6B-4708-A8CE-BE4BA5C80C8E}"/>
    <cellStyle name="Normal 2 19 2" xfId="9395" xr:uid="{A6E3C186-5B61-4E81-B524-FCC47C43D1D4}"/>
    <cellStyle name="Normal 2 19 3" xfId="9396" xr:uid="{F0E146BF-DDA1-465E-8C3C-CEFF2F95DFFA}"/>
    <cellStyle name="Normal 2 2" xfId="10" xr:uid="{87E918FE-8E48-47D2-8ADE-28A1EF6CCB64}"/>
    <cellStyle name="Normal 2 2 2" xfId="71" xr:uid="{8FB912AD-AF3C-4D58-A0A6-AD5A1175B923}"/>
    <cellStyle name="Normal 2 2 2 2" xfId="360" xr:uid="{993C205D-AB4F-4238-98FC-79A12258A482}"/>
    <cellStyle name="Normal 2 2 2 2 2" xfId="9400" xr:uid="{1896E38B-72FD-4B79-96B9-643E01720458}"/>
    <cellStyle name="Normal 2 2 2 2 3" xfId="9401" xr:uid="{C408FA90-85F2-4E2C-AAE3-EFF273C3C601}"/>
    <cellStyle name="Normal 2 2 2 2 4" xfId="9399" xr:uid="{1F6F202C-E865-4942-BA81-C73869E9D61D}"/>
    <cellStyle name="Normal 2 2 2 3" xfId="407" xr:uid="{951D0E47-F445-45DD-86C6-305863551CF1}"/>
    <cellStyle name="Normal 2 2 2 3 2" xfId="9403" xr:uid="{6AE56FCF-27AA-43A0-98F9-4DB90680E3CF}"/>
    <cellStyle name="Normal 2 2 2 3 3" xfId="9404" xr:uid="{96B77CD0-274E-4B6B-9DAE-EE438718C0FD}"/>
    <cellStyle name="Normal 2 2 2 3 4" xfId="9402" xr:uid="{8FD6F598-E463-48E6-AC33-AE5AE5F57B62}"/>
    <cellStyle name="Normal 2 2 2 4" xfId="9405" xr:uid="{D58EFB40-3286-4D30-A6B5-D979A99BE1F1}"/>
    <cellStyle name="Normal 2 2 2 4 2" xfId="9406" xr:uid="{929E9C53-AB59-43A7-828D-E9C242D2CB59}"/>
    <cellStyle name="Normal 2 2 2 4 3" xfId="9407" xr:uid="{D7BBB3FA-3B77-4C79-822B-723E2481A9B2}"/>
    <cellStyle name="Normal 2 2 2 5" xfId="9408" xr:uid="{5F0A9B47-A216-46F5-AAD0-EDE7DAD71152}"/>
    <cellStyle name="Normal 2 2 2 5 2" xfId="9409" xr:uid="{80B903E9-F59D-44AC-B597-C6DE497AE415}"/>
    <cellStyle name="Normal 2 2 2 5 3" xfId="9410" xr:uid="{42AD082C-983E-42C3-883B-36C2FA388899}"/>
    <cellStyle name="Normal 2 2 2 6" xfId="9411" xr:uid="{2F5DEA54-A2D6-4191-86AC-B12F7E68F7CF}"/>
    <cellStyle name="Normal 2 2 2 7" xfId="9412" xr:uid="{2AD20756-593E-4AFE-89BE-9A0629BE1C50}"/>
    <cellStyle name="Normal 2 2 2 8" xfId="9398" xr:uid="{1421BE80-68D3-4A12-AD4B-1C2BC86E5552}"/>
    <cellStyle name="Normal 2 2 3" xfId="183" xr:uid="{08A1409F-9995-4718-9568-A8E2C086A030}"/>
    <cellStyle name="Normal 2 2 3 2" xfId="361" xr:uid="{992F135D-8599-419B-B236-73CF10690514}"/>
    <cellStyle name="Normal 2 2 3 3" xfId="9413" xr:uid="{EB113FDA-590C-498C-BF34-CBB5D63A4BB4}"/>
    <cellStyle name="Normal 2 2 4" xfId="359" xr:uid="{42BF1C87-DE93-4066-B7AA-7C59D55ABC97}"/>
    <cellStyle name="Normal 2 2 4 2" xfId="9414" xr:uid="{48C375D0-6321-4B00-AB23-A16EC8588D56}"/>
    <cellStyle name="Normal 2 2 5" xfId="1216" xr:uid="{F906F4DC-7660-4D4C-B22D-686DFDB16330}"/>
    <cellStyle name="Normal 2 2 6" xfId="2956" xr:uid="{0DEF5064-CD07-447D-83D6-6678AD4D5D80}"/>
    <cellStyle name="Normal 2 2 7" xfId="9277" xr:uid="{D819B28D-6220-47C3-B331-5C3AD2722D86}"/>
    <cellStyle name="Normal 2 2 8" xfId="9397" xr:uid="{5E49158D-9AE7-4B14-BAB9-4A19B629BCB3}"/>
    <cellStyle name="Normal 2 20" xfId="9415" xr:uid="{6466C482-167E-49E8-96E3-9B0D8D6023AF}"/>
    <cellStyle name="Normal 2 20 2" xfId="9416" xr:uid="{E486F055-C0B9-46D7-B604-5D300DB56645}"/>
    <cellStyle name="Normal 2 20 3" xfId="9417" xr:uid="{58DB5B64-E46E-4978-98A4-9E1A59FF8181}"/>
    <cellStyle name="Normal 2 21" xfId="9418" xr:uid="{7FCE8E4E-E3A0-44C7-8757-8E93778B1B94}"/>
    <cellStyle name="Normal 2 21 2" xfId="9419" xr:uid="{2347B61B-772C-4D29-BC7D-175C62545DAD}"/>
    <cellStyle name="Normal 2 21 3" xfId="9420" xr:uid="{285C21EE-5BD3-4B92-897B-505BD0F93BD8}"/>
    <cellStyle name="Normal 2 22" xfId="9421" xr:uid="{59F20091-B5E9-4B23-8E4E-40042000E7A8}"/>
    <cellStyle name="Normal 2 22 2" xfId="9422" xr:uid="{816D5A43-99C7-4EDC-B439-D60E8E0ECDF9}"/>
    <cellStyle name="Normal 2 22 3" xfId="9423" xr:uid="{6C37AF47-33F7-4611-BCD9-B3A9079FCA9F}"/>
    <cellStyle name="Normal 2 23" xfId="9424" xr:uid="{C9B4E6F1-AD20-4B2F-9200-D39D1A948B97}"/>
    <cellStyle name="Normal 2 23 2" xfId="9425" xr:uid="{441298CB-A2F6-4B51-A55C-83889C9872BC}"/>
    <cellStyle name="Normal 2 23 3" xfId="9426" xr:uid="{0FD37174-0B3E-4AFD-ACAC-EE63CA83BAB4}"/>
    <cellStyle name="Normal 2 24" xfId="9427" xr:uid="{394F4089-1593-4F17-B486-0CEAD2971FA8}"/>
    <cellStyle name="Normal 2 25" xfId="9428" xr:uid="{ABB088DC-9F73-4486-BB54-CF0CEDB710F4}"/>
    <cellStyle name="Normal 2 26" xfId="9366" xr:uid="{9E81D767-29E9-4349-A8EF-7A4064E7B1DF}"/>
    <cellStyle name="Normal 2 3" xfId="70" xr:uid="{14C93685-20E5-4ED0-88CA-935F562BC70B}"/>
    <cellStyle name="Normal 2 3 2" xfId="184" xr:uid="{A8A6B4BB-999F-4114-BF21-6044F7438430}"/>
    <cellStyle name="Normal 2 3 2 2" xfId="9430" xr:uid="{CB165FC8-5A2C-45E3-9249-F3969C3DA2AD}"/>
    <cellStyle name="Normal 2 3 3" xfId="362" xr:uid="{9CCEDD17-1149-477F-884D-2D913AC1033B}"/>
    <cellStyle name="Normal 2 3 3 2" xfId="9431" xr:uid="{22DEF7EE-6DF6-4DF3-A2B0-31E4E9DB1894}"/>
    <cellStyle name="Normal 2 3 4" xfId="408" xr:uid="{AF3BFDE4-ED96-41A1-BF83-FB8744B242E3}"/>
    <cellStyle name="Normal 2 3 5" xfId="9288" xr:uid="{A2422214-F6C0-4614-BB1D-84E7E5A0C91E}"/>
    <cellStyle name="Normal 2 3 6" xfId="9429" xr:uid="{C25D4BD6-2BF1-44E2-82EF-1347867A3361}"/>
    <cellStyle name="Normal 2 4" xfId="363" xr:uid="{4513B2DB-2DAD-49A6-B28A-0756528DCE95}"/>
    <cellStyle name="Normal 2 4 2" xfId="404" xr:uid="{8ECB3057-D2BF-4494-913F-20CDAC35502A}"/>
    <cellStyle name="Normal 2 4 2 2" xfId="9433" xr:uid="{9C4BBD1A-8B3A-4A87-A7E2-5F9C9AE24F3B}"/>
    <cellStyle name="Normal 2 4 3" xfId="9434" xr:uid="{EBFCF6EC-ADA5-4D03-B566-CD9E96F6C43C}"/>
    <cellStyle name="Normal 2 4 4" xfId="9432" xr:uid="{FA4D6FFD-D9B9-488A-BBC8-268B67F06DB6}"/>
    <cellStyle name="Normal 2 5" xfId="364" xr:uid="{B28AB7A9-3AD1-42C4-8A38-CACD247D57F1}"/>
    <cellStyle name="Normal 2 5 2" xfId="365" xr:uid="{D2BCA083-976C-45C4-B28D-AAF6AE72C49A}"/>
    <cellStyle name="Normal 2 5 2 2" xfId="366" xr:uid="{A3CB91D4-F6C6-40BB-BA95-638343ACE38D}"/>
    <cellStyle name="Normal 2 5 2 2 3" xfId="367" xr:uid="{AE21F32A-3EBD-489B-AE23-BD4D95A72A82}"/>
    <cellStyle name="Normal 2 5 2 2 3 2" xfId="368" xr:uid="{4A4A81A2-E226-49E4-8173-4C11998B43D3}"/>
    <cellStyle name="Normal 2 5 2 3" xfId="369" xr:uid="{2E1D23A5-671C-434B-986A-DF7AB1523B76}"/>
    <cellStyle name="Normal 2 5 2 3 2" xfId="370" xr:uid="{BB63EC4C-34EF-4E03-B73F-FF330E6DC549}"/>
    <cellStyle name="Normal 2 5 2 3 3" xfId="371" xr:uid="{B6D99DF9-130B-499F-A47D-C857BC228775}"/>
    <cellStyle name="Normal 2 5 2 4" xfId="372" xr:uid="{FAC51D9B-5208-41D5-8BF9-861F8371B896}"/>
    <cellStyle name="Normal 2 5 2 5" xfId="373" xr:uid="{AEF6FC76-2927-4725-AB3A-61D57434727D}"/>
    <cellStyle name="Normal 2 5 2 6" xfId="9436" xr:uid="{9D8FC40F-D908-477D-B346-A6B2A1C73DA8}"/>
    <cellStyle name="Normal 2 5 3" xfId="374" xr:uid="{AD156B32-DEAF-4878-91D5-73BA16314D99}"/>
    <cellStyle name="Normal 2 5 3 2" xfId="375" xr:uid="{0AAFF4D8-8BC4-406C-AA11-CD0731F90C8B}"/>
    <cellStyle name="Normal 2 5 3 2 2" xfId="376" xr:uid="{BE3BD087-4F83-42F0-9D50-4E253331F3F7}"/>
    <cellStyle name="Normal 2 5 3 2 2 2" xfId="377" xr:uid="{19B0D35A-DB2D-484F-AA45-6C9BA93AD69E}"/>
    <cellStyle name="Normal 2 5 3 2 3" xfId="378" xr:uid="{A8FF19C7-FB1D-4FAC-AB0F-183AF6144AE7}"/>
    <cellStyle name="Normal 2 5 3 2 4" xfId="379" xr:uid="{DE13A73A-A340-439B-B9CE-902BA20E1AA5}"/>
    <cellStyle name="Normal 2 5 3 3" xfId="380" xr:uid="{8DB071D9-0148-4ECC-856F-316FB2E6F5CE}"/>
    <cellStyle name="Normal 2 5 3 4" xfId="381" xr:uid="{4A3A595D-B632-4CEE-85FA-3CF005EFA6D5}"/>
    <cellStyle name="Normal 2 5 3 5" xfId="382" xr:uid="{02E83C94-9394-4FA9-BD31-B11BE79C7DA4}"/>
    <cellStyle name="Normal 2 5 3 6" xfId="383" xr:uid="{B0765547-27C3-4B33-ADC1-F0AC16998018}"/>
    <cellStyle name="Normal 2 5 3 7" xfId="9437" xr:uid="{56639510-AB64-4F1F-84ED-769932DDB060}"/>
    <cellStyle name="Normal 2 5 4" xfId="9435" xr:uid="{B0D9FE51-CCE4-4007-9413-582B12E958BD}"/>
    <cellStyle name="Normal 2 6" xfId="384" xr:uid="{9CEE8676-5DB6-4514-AE9B-5F8F64E509C5}"/>
    <cellStyle name="Normal 2 6 2" xfId="9439" xr:uid="{898F12EB-3177-4150-A9D3-6F7CD23A8477}"/>
    <cellStyle name="Normal 2 6 3" xfId="9440" xr:uid="{A4FE57B9-D2AE-470B-A67F-FCADB9703123}"/>
    <cellStyle name="Normal 2 6 4" xfId="9438" xr:uid="{0CA7CFA4-9667-47A8-B0BA-C072D580F70F}"/>
    <cellStyle name="Normal 2 7" xfId="385" xr:uid="{65C84C42-27C9-42D4-82F7-FC5FA5C12D34}"/>
    <cellStyle name="Normal 2 7 2" xfId="9442" xr:uid="{C9317617-6F70-490B-8A62-158A2EBA4CC0}"/>
    <cellStyle name="Normal 2 7 3" xfId="9443" xr:uid="{7C4EEC88-8A64-4227-AE58-F9F2EDB422FD}"/>
    <cellStyle name="Normal 2 7 4" xfId="9441" xr:uid="{C46E4DF4-FF17-460A-A52A-1F77AAEC2BFD}"/>
    <cellStyle name="Normal 2 8" xfId="386" xr:uid="{EF80223E-298B-46F2-83F4-F3A227E7EAE4}"/>
    <cellStyle name="Normal 2 8 2" xfId="9445" xr:uid="{50EF9400-9CCC-4395-ABE7-080F56F376EE}"/>
    <cellStyle name="Normal 2 8 3" xfId="9446" xr:uid="{A81465E7-9079-40AA-AC41-8D5E1F801905}"/>
    <cellStyle name="Normal 2 8 4" xfId="9444" xr:uid="{8D98D227-DE2B-40CC-A9D9-FAD189969715}"/>
    <cellStyle name="Normal 2 9" xfId="387" xr:uid="{8A3ED6CD-0443-4303-82EE-D081E5643FD5}"/>
    <cellStyle name="Normal 2 9 2" xfId="9448" xr:uid="{0D9B5287-7D7A-428E-A7DA-3D73D7776A56}"/>
    <cellStyle name="Normal 2 9 3" xfId="9449" xr:uid="{1CDDF29D-4F70-4268-9DDD-627612B8B178}"/>
    <cellStyle name="Normal 2 9 4" xfId="9447" xr:uid="{B1B23F86-30E4-49CD-BC7C-9ADE5C1905C2}"/>
    <cellStyle name="Normal 20" xfId="23" xr:uid="{1FE79D44-211D-42F9-B950-A9922999E82A}"/>
    <cellStyle name="Normal 20 2" xfId="39" xr:uid="{0A59F585-D795-4547-9840-B239AFCFAB18}"/>
    <cellStyle name="Normal 20 2 2" xfId="166" xr:uid="{1F1F8622-D1AA-4388-B4F0-FF7CD060355F}"/>
    <cellStyle name="Normal 20 2 3" xfId="9451" xr:uid="{27878979-67DF-4EFE-92D6-D7221468A5B3}"/>
    <cellStyle name="Normal 20 3" xfId="83" xr:uid="{4FA37620-24B6-4C91-AB93-937CB2376A63}"/>
    <cellStyle name="Normal 20 3 2" xfId="9452" xr:uid="{45CA1EDA-0A72-481E-95C1-531060916059}"/>
    <cellStyle name="Normal 20 4" xfId="9450" xr:uid="{504129FF-77C2-4536-8512-C433DF91851A}"/>
    <cellStyle name="Normal 21" xfId="22" xr:uid="{EA2A6E16-337B-456D-8492-203235FA9C0F}"/>
    <cellStyle name="Normal 21 2" xfId="38" xr:uid="{FD129DE9-9055-4EE0-8712-AC73EA7C7BE0}"/>
    <cellStyle name="Normal 21 2 2" xfId="167" xr:uid="{2E8AD785-A609-4F59-AABD-DC9C3368EF34}"/>
    <cellStyle name="Normal 21 2 3" xfId="9454" xr:uid="{5E1BA500-C024-4ACE-A76C-464FE6ABDEDA}"/>
    <cellStyle name="Normal 21 3" xfId="82" xr:uid="{EBE3C999-37AF-42BE-A805-557998ED6CA0}"/>
    <cellStyle name="Normal 21 3 2" xfId="9455" xr:uid="{B908BBBF-DDC3-4C5A-B9A9-637A3909CCCE}"/>
    <cellStyle name="Normal 21 4" xfId="9453" xr:uid="{94C3E4A4-DC28-4299-A8B4-5073079D08D0}"/>
    <cellStyle name="Normal 22" xfId="30" xr:uid="{BD2E168D-CF0A-47B9-8398-E09ED824DDA6}"/>
    <cellStyle name="Normal 22 2" xfId="90" xr:uid="{F1734E06-9406-427E-8CB5-D375D54B4871}"/>
    <cellStyle name="Normal 22 2 2" xfId="9457" xr:uid="{BA6824E4-EE07-4BB4-AA40-3865D6960D3A}"/>
    <cellStyle name="Normal 22 3" xfId="9458" xr:uid="{2F01B681-4B9B-466D-B458-8799851B1495}"/>
    <cellStyle name="Normal 22 4" xfId="9456" xr:uid="{141E63E2-0D55-4164-B74A-851B531C20F4}"/>
    <cellStyle name="Normal 23" xfId="48" xr:uid="{A869121C-6A91-47F8-BA9A-8B01F10E9565}"/>
    <cellStyle name="Normal 23 2" xfId="59" xr:uid="{A4E5F6B4-BAFD-4089-BD4B-E6FFACC3E4CF}"/>
    <cellStyle name="Normal 23 2 2" xfId="9460" xr:uid="{90C187A7-0085-405A-9DA4-2EA7BD4AC1E4}"/>
    <cellStyle name="Normal 23 3" xfId="9461" xr:uid="{D27B917D-B4A0-45CD-B3BF-62CC625D73D7}"/>
    <cellStyle name="Normal 23 4" xfId="9459" xr:uid="{6C15162E-8B28-4513-B280-42BC34A6E7D0}"/>
    <cellStyle name="Normal 24" xfId="49" xr:uid="{4DD2C137-67A6-4891-A1F9-90A94566B139}"/>
    <cellStyle name="Normal 24 2" xfId="9463" xr:uid="{EBF80B04-A3B1-41DE-8367-5BC8FB871EAB}"/>
    <cellStyle name="Normal 24 3" xfId="9464" xr:uid="{C3896F6A-B92D-44E6-B22C-D40D72A94485}"/>
    <cellStyle name="Normal 24 4" xfId="9462" xr:uid="{4E0D3F67-8556-4BE6-8F0C-1E83A05C5C1B}"/>
    <cellStyle name="Normal 25" xfId="50" xr:uid="{4D9326F0-250C-461D-9477-B72221AC693D}"/>
    <cellStyle name="Normal 25 2" xfId="60" xr:uid="{E03FFCC8-8F24-4FB7-8DFC-DCFD308D81BE}"/>
    <cellStyle name="Normal 25 2 2" xfId="9466" xr:uid="{7FDF2188-2AA4-4BA1-B6C2-3268B36CE87B}"/>
    <cellStyle name="Normal 25 3" xfId="9467" xr:uid="{5B9B226A-DF83-462D-A26B-6A45EC50ECA0}"/>
    <cellStyle name="Normal 25 4" xfId="9465" xr:uid="{D2AE9A29-148B-4032-8C3D-E4F26DC523D6}"/>
    <cellStyle name="Normal 26" xfId="51" xr:uid="{6CA32085-78F4-4C9B-AB0A-76FC8F73E251}"/>
    <cellStyle name="Normal 26 2" xfId="9468" xr:uid="{9C6D4DC8-C673-4429-AC1D-C89C1A3CC3A9}"/>
    <cellStyle name="Normal 27" xfId="52" xr:uid="{B4B92C9C-5A60-4F06-8BA3-EEE8003FFB32}"/>
    <cellStyle name="Normal 27 2" xfId="61" xr:uid="{525E2685-9884-4718-A96C-614B701DBCC2}"/>
    <cellStyle name="Normal 27 3" xfId="9469" xr:uid="{0FEF5920-2D64-4C48-9C5F-109AC2240BF1}"/>
    <cellStyle name="Normal 28" xfId="56" xr:uid="{CF6A6AB1-3FFE-45F2-B7AC-A2AC454C0FF0}"/>
    <cellStyle name="Normal 28 2" xfId="9470" xr:uid="{798F98B5-FB21-47B4-A8FE-11711537F174}"/>
    <cellStyle name="Normal 29" xfId="57" xr:uid="{1460AC45-F6D7-435E-9B10-CC663DA23526}"/>
    <cellStyle name="Normal 29 2" xfId="62" xr:uid="{9B54FF0C-ED17-4D52-B289-18B101C5285F}"/>
    <cellStyle name="Normal 29 3" xfId="9471" xr:uid="{949737AB-FABD-4CEE-8B7C-EA3E212797A2}"/>
    <cellStyle name="Normal 3" xfId="11" xr:uid="{A2CEF770-51B4-4D3A-83A3-C430A90FD8A2}"/>
    <cellStyle name="Normal 3 10" xfId="9473" xr:uid="{2E5D40C2-BD7B-4C13-BA38-D146BCB7E783}"/>
    <cellStyle name="Normal 3 10 2" xfId="9474" xr:uid="{09F15809-08CB-4F53-8D33-C80F217A9A61}"/>
    <cellStyle name="Normal 3 10 3" xfId="9475" xr:uid="{769AEBD0-BCD6-40B5-A395-4A13DDD9868E}"/>
    <cellStyle name="Normal 3 11" xfId="9476" xr:uid="{4ED12B58-1C50-49FC-A9B8-92AA6BDB39D8}"/>
    <cellStyle name="Normal 3 11 2" xfId="9477" xr:uid="{7257568F-60AE-4FBC-9F93-6A40A8DBF1DC}"/>
    <cellStyle name="Normal 3 11 3" xfId="9478" xr:uid="{CBA9461D-EBE7-4535-9377-2F8F9D4DA849}"/>
    <cellStyle name="Normal 3 12" xfId="9479" xr:uid="{CFAA3E4E-816F-454E-9124-81FCDCEE86F9}"/>
    <cellStyle name="Normal 3 12 2" xfId="9480" xr:uid="{990239DE-F1AC-498F-B6BA-85371728CFF1}"/>
    <cellStyle name="Normal 3 12 3" xfId="9481" xr:uid="{406AFC3B-7ECB-4AC7-9FD8-6395DDD8AD68}"/>
    <cellStyle name="Normal 3 13" xfId="9482" xr:uid="{1BBB6999-44FA-4754-8FEB-6E3EC09F4E74}"/>
    <cellStyle name="Normal 3 13 2" xfId="9483" xr:uid="{0C166474-4BA3-41C6-90A9-C3E5B31D7109}"/>
    <cellStyle name="Normal 3 13 3" xfId="9484" xr:uid="{66FDA651-CAD1-4DBD-8CA2-E1221570CA40}"/>
    <cellStyle name="Normal 3 14" xfId="9485" xr:uid="{805266FD-C567-426E-9934-EAC07478CB9A}"/>
    <cellStyle name="Normal 3 14 2" xfId="9486" xr:uid="{C329D37A-5CF1-4B7A-8C6C-BDCA3578102D}"/>
    <cellStyle name="Normal 3 14 3" xfId="9487" xr:uid="{7FC7ADEC-FD2E-4C49-975F-AD80661B86FF}"/>
    <cellStyle name="Normal 3 15" xfId="9488" xr:uid="{D10E4DEF-7884-473F-ABD1-050E46DEC9DB}"/>
    <cellStyle name="Normal 3 16" xfId="9489" xr:uid="{A597EA3D-1348-46B3-B65E-8BA37CDF4409}"/>
    <cellStyle name="Normal 3 17" xfId="9472" xr:uid="{A48893DF-759A-4A6A-9886-66F550679D75}"/>
    <cellStyle name="Normal 3 2" xfId="16" xr:uid="{2C2E0BB0-F473-4141-9861-83AA6CE3CB23}"/>
    <cellStyle name="Normal 3 2 10" xfId="1212" xr:uid="{B5E710F1-8AB0-4755-8E96-6971EAB58E7C}"/>
    <cellStyle name="Normal 3 2 2" xfId="76" xr:uid="{26F0499A-934B-4902-ABC7-FDDB2ED40B8A}"/>
    <cellStyle name="Normal 3 2 2 2" xfId="410" xr:uid="{39769B65-1080-4FAD-B4F5-794492E5013B}"/>
    <cellStyle name="Normal 3 2 2 3" xfId="9491" xr:uid="{DADC8208-5537-414C-B3A8-5F73B521E7D6}"/>
    <cellStyle name="Normal 3 2 3" xfId="185" xr:uid="{3504C390-84E0-4215-B413-D0D65956AB70}"/>
    <cellStyle name="Normal 3 2 3 2" xfId="9492" xr:uid="{131E8AE9-2FB7-4EEC-B466-9B1D0AB580FE}"/>
    <cellStyle name="Normal 3 2 4" xfId="9490" xr:uid="{883B84FC-AF29-48B4-9950-DA4E59177EE3}"/>
    <cellStyle name="Normal 3 3" xfId="64" xr:uid="{08DCAF4F-8305-4706-84A7-41660ED2B5B2}"/>
    <cellStyle name="Normal 3 3 2" xfId="143" xr:uid="{80934D2E-74BE-4C2F-A24B-D356283E6565}"/>
    <cellStyle name="Normal 3 3 2 2" xfId="389" xr:uid="{AE711902-6417-43FE-94DA-456374770C74}"/>
    <cellStyle name="Normal 3 3 2 3" xfId="9494" xr:uid="{24D52846-32E8-4AB0-8B6D-E23A314E8ADC}"/>
    <cellStyle name="Normal 3 3 3" xfId="388" xr:uid="{FA109623-F5E1-4AE5-92D1-2EF025972AA8}"/>
    <cellStyle name="Normal 3 3 3 2" xfId="9495" xr:uid="{0E2332D5-5226-48FE-B311-FA7067C868D6}"/>
    <cellStyle name="Normal 3 3 4" xfId="9493" xr:uid="{21B21C50-B59D-4179-AAB0-0220C576EC94}"/>
    <cellStyle name="Normal 3 4" xfId="72" xr:uid="{61F6DC60-1EFE-4250-88C9-265C5CEE2F6A}"/>
    <cellStyle name="Normal 3 4 2" xfId="390" xr:uid="{597C996E-2D00-417D-87BE-85806972BF3C}"/>
    <cellStyle name="Normal 3 4 2 2" xfId="9497" xr:uid="{57C27E39-FA50-4742-9840-38017E7EF06D}"/>
    <cellStyle name="Normal 3 4 3" xfId="9498" xr:uid="{C10165BD-FD4D-4B77-A176-8A4111E4761B}"/>
    <cellStyle name="Normal 3 4 4" xfId="9496" xr:uid="{68EFCBAC-AF82-4E1A-805B-1A092051A9D3}"/>
    <cellStyle name="Normal 3 5" xfId="391" xr:uid="{BA41E9E9-8794-46CA-9128-6F97D007B937}"/>
    <cellStyle name="Normal 3 5 2" xfId="392" xr:uid="{2E2EB9A3-9040-40C5-A724-CEE19D3595CF}"/>
    <cellStyle name="Normal 3 5 2 2" xfId="393" xr:uid="{F74A8325-D710-4DC4-8091-63B05FDE36D9}"/>
    <cellStyle name="Normal 3 5 2 3" xfId="9500" xr:uid="{40206B38-8F56-4FD8-B0A5-B907C56B94E9}"/>
    <cellStyle name="Normal 3 5 3" xfId="394" xr:uid="{61CC7C13-8511-40F8-8FD9-F5E8EAFC9DB9}"/>
    <cellStyle name="Normal 3 5 3 2" xfId="9501" xr:uid="{BB36798B-80FC-4F3F-9277-8505A92D8654}"/>
    <cellStyle name="Normal 3 5 4" xfId="9499" xr:uid="{C4FF3588-AEC4-480D-9CBA-2AF207CC56DA}"/>
    <cellStyle name="Normal 3 6" xfId="1192" xr:uid="{DBBE50EC-F4AF-4028-A3B9-4763596DC422}"/>
    <cellStyle name="Normal 3 6 2" xfId="9503" xr:uid="{689A2A2F-66B2-4D5A-AE74-CA1642946851}"/>
    <cellStyle name="Normal 3 6 3" xfId="9504" xr:uid="{AA79A058-5EC7-4E0B-A2D1-BFE94029069E}"/>
    <cellStyle name="Normal 3 6 4" xfId="9502" xr:uid="{036972FF-3A90-411D-96EF-C2C4FBAEBABB}"/>
    <cellStyle name="Normal 3 7" xfId="2970" xr:uid="{1407366B-F930-4CE2-85E0-E8E51C32A7AA}"/>
    <cellStyle name="Normal 3 7 2" xfId="9506" xr:uid="{19C475A3-194A-4E96-9132-D12FDDDEA2E2}"/>
    <cellStyle name="Normal 3 7 3" xfId="9507" xr:uid="{D27610C0-E8A9-4C3F-8689-8DA82660F228}"/>
    <cellStyle name="Normal 3 7 4" xfId="9505" xr:uid="{5CEAA4CF-3FA2-4843-BFBA-E4A6E92DC73F}"/>
    <cellStyle name="Normal 3 8" xfId="9275" xr:uid="{C8EB7567-0BFC-4F2B-A9E4-3457D4CD5BAA}"/>
    <cellStyle name="Normal 3 8 2" xfId="9509" xr:uid="{6D0740E1-AB68-436B-AC5F-B2B95689C404}"/>
    <cellStyle name="Normal 3 8 3" xfId="9510" xr:uid="{6B6E8537-DB7B-4A9B-8DFC-594EFBCC28F2}"/>
    <cellStyle name="Normal 3 8 4" xfId="9508" xr:uid="{E959B38E-B88F-4ADC-A4C4-6991C1D5041A}"/>
    <cellStyle name="Normal 3 9" xfId="9284" xr:uid="{F0041336-08D8-43AC-A3EB-51640344F888}"/>
    <cellStyle name="Normal 3 9 2" xfId="9512" xr:uid="{E63DCBA9-4F51-4D3D-A2A4-746051A5222B}"/>
    <cellStyle name="Normal 3 9 3" xfId="9513" xr:uid="{F6894B74-70A3-49A9-BCC3-9A8EE3F85D69}"/>
    <cellStyle name="Normal 3 9 4" xfId="9511" xr:uid="{A8DFD7F9-82A6-4B14-892E-67C5341CF370}"/>
    <cellStyle name="Normal 3_Copy of Inv_Format  JULY 2011" xfId="395" xr:uid="{BD0D19AA-86AC-400C-9883-8455FE67E860}"/>
    <cellStyle name="Normal 30" xfId="58" xr:uid="{886F4322-5002-455A-B709-34FBDA1176D1}"/>
    <cellStyle name="Normal 30 2" xfId="66" xr:uid="{453EB4D9-308B-44FA-B0A4-9A7AB7060D62}"/>
    <cellStyle name="Normal 30 3" xfId="9514" xr:uid="{E1DE2B72-519F-4343-9483-5E3C7EB5EE07}"/>
    <cellStyle name="Normal 31" xfId="63" xr:uid="{9D66E997-30FF-434D-BD03-C98B98C79463}"/>
    <cellStyle name="Normal 31 10" xfId="9516" xr:uid="{9AD1CA9F-99BD-4DD3-993D-0A061365FB24}"/>
    <cellStyle name="Normal 31 10 2" xfId="9517" xr:uid="{F3E2D2E2-3EBA-44CC-948D-CC86A791B869}"/>
    <cellStyle name="Normal 31 10 3" xfId="9518" xr:uid="{A8E4C84F-F898-4A93-877E-57A4178FEACB}"/>
    <cellStyle name="Normal 31 11" xfId="9519" xr:uid="{2E27C34B-D2E4-4B53-91C1-582354D850CC}"/>
    <cellStyle name="Normal 31 11 2" xfId="9520" xr:uid="{F6277E65-2176-4ABC-88C7-0AF8BE86F9EE}"/>
    <cellStyle name="Normal 31 11 3" xfId="9521" xr:uid="{26E7C40A-4816-4F14-9151-4B92209759D8}"/>
    <cellStyle name="Normal 31 12" xfId="9522" xr:uid="{13EC0EA0-6D23-40F0-A5CD-0500CBEBF0E9}"/>
    <cellStyle name="Normal 31 12 2" xfId="9523" xr:uid="{6887FC22-DA05-4E50-8BA0-5040431BD385}"/>
    <cellStyle name="Normal 31 12 3" xfId="9524" xr:uid="{04C3AF57-1DC5-4772-A939-107F9C8FB033}"/>
    <cellStyle name="Normal 31 13" xfId="9525" xr:uid="{B3616D0B-C4AA-4261-8CF6-243C41B28317}"/>
    <cellStyle name="Normal 31 13 2" xfId="9526" xr:uid="{A830E8A3-CBDC-4BA8-92BB-B2481F96C1EF}"/>
    <cellStyle name="Normal 31 13 3" xfId="9527" xr:uid="{496C6167-827F-49E5-B5CD-150FFE194767}"/>
    <cellStyle name="Normal 31 14" xfId="9528" xr:uid="{116ED7DE-3BDE-466E-A204-27A09D72C5B2}"/>
    <cellStyle name="Normal 31 15" xfId="9529" xr:uid="{4B77C187-7683-49DC-96D1-FB9BFBAF0A0B}"/>
    <cellStyle name="Normal 31 16" xfId="9515" xr:uid="{6D8E4AB6-A3D8-4726-A80E-5B73D408A9E3}"/>
    <cellStyle name="Normal 31 2" xfId="9530" xr:uid="{3392D6EC-4AE2-4ECF-A66F-B33A195D0931}"/>
    <cellStyle name="Normal 31 2 2" xfId="9531" xr:uid="{70844E78-57B2-4A32-9948-9A24C0FCA27D}"/>
    <cellStyle name="Normal 31 2 3" xfId="9532" xr:uid="{07C4FFB1-B838-44F9-86BB-1041628A531D}"/>
    <cellStyle name="Normal 31 3" xfId="9533" xr:uid="{12D9C2D4-19E5-4F29-9019-B7BFB7577E61}"/>
    <cellStyle name="Normal 31 3 2" xfId="9534" xr:uid="{AFEBEA09-C0E4-44BC-9690-BE2DDA4768C2}"/>
    <cellStyle name="Normal 31 3 3" xfId="9535" xr:uid="{B7F314FE-1F88-45DC-A208-0234FBCA19F7}"/>
    <cellStyle name="Normal 31 4" xfId="9536" xr:uid="{8C8CC1DC-FD7A-4437-B678-5CDEE73519E0}"/>
    <cellStyle name="Normal 31 4 2" xfId="9537" xr:uid="{C4E66E02-1277-485C-B59F-BD5679C90589}"/>
    <cellStyle name="Normal 31 4 3" xfId="9538" xr:uid="{0FA5D4AD-26E1-4692-B63B-B42BFE6C51D1}"/>
    <cellStyle name="Normal 31 5" xfId="9539" xr:uid="{71AECAB0-4931-447B-8158-346DA05C159B}"/>
    <cellStyle name="Normal 31 5 2" xfId="9540" xr:uid="{1D5A1FBA-0EC7-43BE-80E3-4D00A58674D6}"/>
    <cellStyle name="Normal 31 5 3" xfId="9541" xr:uid="{C0FCBFFA-BE2B-47E5-BDA0-81968F924356}"/>
    <cellStyle name="Normal 31 6" xfId="9542" xr:uid="{7642E299-32B5-40CB-8113-065882F3F187}"/>
    <cellStyle name="Normal 31 6 2" xfId="9543" xr:uid="{24677D62-C431-4A19-8D49-16E4587C4D34}"/>
    <cellStyle name="Normal 31 6 3" xfId="9544" xr:uid="{9074478D-265C-4F26-AE77-C89E7394856B}"/>
    <cellStyle name="Normal 31 7" xfId="9545" xr:uid="{45A5254A-69D6-4AA7-9BC8-566D75BFD3AE}"/>
    <cellStyle name="Normal 31 7 2" xfId="9546" xr:uid="{382796AB-27B3-4D89-A651-9684709EF27C}"/>
    <cellStyle name="Normal 31 7 3" xfId="9547" xr:uid="{1D304FB9-20C7-460A-B5DD-AFA247477808}"/>
    <cellStyle name="Normal 31 8" xfId="9548" xr:uid="{644B7A5D-1D90-41CB-A168-443764A02368}"/>
    <cellStyle name="Normal 31 8 2" xfId="9549" xr:uid="{BEB64D8D-0C74-4098-91DA-AB1D4A5127A9}"/>
    <cellStyle name="Normal 31 8 3" xfId="9550" xr:uid="{20771B22-03F2-4F27-BB58-CED0F2F32949}"/>
    <cellStyle name="Normal 31 9" xfId="9551" xr:uid="{DF4EECEF-287D-4442-BE0C-D8EE5C417AF7}"/>
    <cellStyle name="Normal 31 9 2" xfId="9552" xr:uid="{9080E56E-AAE6-4E4F-AEB8-4A544B0A9C52}"/>
    <cellStyle name="Normal 31 9 3" xfId="9553" xr:uid="{D3422DA7-10CA-43BC-9CCE-43A3294902F9}"/>
    <cellStyle name="Normal 32" xfId="67" xr:uid="{89E0E674-E85D-4CD7-98D7-FE5E2060EEA5}"/>
    <cellStyle name="Normal 32 2" xfId="99" xr:uid="{C39C8956-E646-44E1-991C-F99F06D58D43}"/>
    <cellStyle name="Normal 32 3" xfId="178" xr:uid="{8F75A096-A44C-4A9D-9596-C38205929228}"/>
    <cellStyle name="Normal 33" xfId="69" xr:uid="{3BE21132-148A-4CF8-A9B4-0A9766BCBDE1}"/>
    <cellStyle name="Normal 34" xfId="93" xr:uid="{D01F7F4A-19B1-475F-B2CF-634D69C9AFBB}"/>
    <cellStyle name="Normal 35" xfId="94" xr:uid="{6BCD68E3-E6FA-4B79-B0FB-865F244A03CF}"/>
    <cellStyle name="Normal 36" xfId="98" xr:uid="{8E765D70-16AF-444A-B401-CF4F51483953}"/>
    <cellStyle name="Normal 37" xfId="97" xr:uid="{BB005F21-474A-481D-8387-6190AF8E283C}"/>
    <cellStyle name="Normal 38" xfId="155" xr:uid="{31453609-8330-4181-A66F-364B5AA31C3A}"/>
    <cellStyle name="Normal 39" xfId="157" xr:uid="{8921BF45-873C-4150-AF53-235B6373F03E}"/>
    <cellStyle name="Normal 4" xfId="12" xr:uid="{2B6C2FCD-0D20-4E38-8E5C-B03293BDECB6}"/>
    <cellStyle name="Normal 4 2" xfId="47" xr:uid="{069489F8-4410-415C-A4F8-94F5324EB3DF}"/>
    <cellStyle name="Normal 4 2 2" xfId="9555" xr:uid="{A399ECEC-5258-4901-8542-FEF65F261C00}"/>
    <cellStyle name="Normal 4 3" xfId="68" xr:uid="{D3583EE1-3B64-47C6-981C-86544A886277}"/>
    <cellStyle name="Normal 4 3 2" xfId="9289" xr:uid="{A1168712-D802-46AD-80F1-C8BBEDF99C8A}"/>
    <cellStyle name="Normal 4 3 3" xfId="9556" xr:uid="{93CAFA9E-902C-484E-A82C-05330523D7E1}"/>
    <cellStyle name="Normal 4 4" xfId="2" xr:uid="{00000000-0005-0000-0000-000002000000}"/>
    <cellStyle name="Normal 4 5" xfId="1215" xr:uid="{569D81E3-790A-4E7B-99DD-CF11E76F1873}"/>
    <cellStyle name="Normal 4 6" xfId="2957" xr:uid="{BE40B56C-D331-4637-9CAB-E745355D7FD3}"/>
    <cellStyle name="Normal 4 7" xfId="9554" xr:uid="{E834CFC8-2C94-4C28-9152-1072F9589875}"/>
    <cellStyle name="Normal 40" xfId="158" xr:uid="{D22E11FA-A458-46C3-93A8-C9A25B21FA6F}"/>
    <cellStyle name="Normal 41" xfId="159" xr:uid="{E6FC1EE2-19F2-4C2B-BB0F-FE2B0BD17EB1}"/>
    <cellStyle name="Normal 42" xfId="160" xr:uid="{2CCABB92-5C47-4FB0-B697-D2DFBD3BCB06}"/>
    <cellStyle name="Normal 43" xfId="156" xr:uid="{83A6D739-C52A-4183-88B4-B02BE1CE9E35}"/>
    <cellStyle name="Normal 43 2" xfId="396" xr:uid="{2F66E000-B0E0-457A-A9F3-9FFE15E5AA7A}"/>
    <cellStyle name="Normal 44" xfId="171" xr:uid="{609AE8ED-DEDA-4945-90A2-6EA2F977675E}"/>
    <cellStyle name="Normal 45" xfId="172" xr:uid="{12D00F56-CE61-4F01-AFB7-6DDFC791C4D8}"/>
    <cellStyle name="Normal 46" xfId="173" xr:uid="{1B4DCC1E-DD1D-46BC-A925-68B4C692A1C5}"/>
    <cellStyle name="Normal 47" xfId="174" xr:uid="{D0190F55-CDE5-4B6B-BCE6-567A275CDACD}"/>
    <cellStyle name="Normal 48" xfId="175" xr:uid="{07277809-A4C3-49B8-B712-7936ED8B6300}"/>
    <cellStyle name="Normal 49" xfId="176" xr:uid="{7133FECB-7222-4D73-AA21-AFC48AEF68AB}"/>
    <cellStyle name="Normal 5" xfId="14" xr:uid="{03EBE482-4167-44B4-9F61-9AF43F7F028B}"/>
    <cellStyle name="Normal 5 2" xfId="45" xr:uid="{7E317BF9-E562-48C8-A697-E468BFDB9D37}"/>
    <cellStyle name="Normal 5 2 2" xfId="9559" xr:uid="{794AE440-A148-4B39-BF88-25F7FDB8FA70}"/>
    <cellStyle name="Normal 5 2 3" xfId="9560" xr:uid="{CFE314F0-35AD-4072-A315-01722B635A6F}"/>
    <cellStyle name="Normal 5 2 4" xfId="9558" xr:uid="{986A0F62-F4C9-45DE-8996-62A31C0799E2}"/>
    <cellStyle name="Normal 5 3" xfId="74" xr:uid="{5683C1EF-B2E0-4CA1-AF78-340BCFCD2409}"/>
    <cellStyle name="Normal 5 3 2" xfId="9562" xr:uid="{08C2F185-94C3-476F-9404-57944435978B}"/>
    <cellStyle name="Normal 5 3 3" xfId="9563" xr:uid="{63510F80-0602-4D92-AD66-D43A98B509AF}"/>
    <cellStyle name="Normal 5 3 4" xfId="9561" xr:uid="{CBA9E475-B296-4EE2-BD75-675F7134C9EE}"/>
    <cellStyle name="Normal 5 4" xfId="397" xr:uid="{A3F47C01-3B18-4307-9EEA-BAF1310DEE7A}"/>
    <cellStyle name="Normal 5 4 2" xfId="9565" xr:uid="{17EB54A1-A746-4A5B-B7F8-A97EDAA4DB1D}"/>
    <cellStyle name="Normal 5 4 3" xfId="9566" xr:uid="{1A6ECA5C-3614-486A-9A4D-917757E49C84}"/>
    <cellStyle name="Normal 5 4 4" xfId="9564" xr:uid="{2F31A0C1-DEAC-42CD-A7E1-17A291187561}"/>
    <cellStyle name="Normal 5 5" xfId="2953" xr:uid="{B6CD970B-013E-44D8-B828-4C0FD93AE2B4}"/>
    <cellStyle name="Normal 5 5 2" xfId="9568" xr:uid="{25A2DF61-FB3C-4C42-A1C2-77B5291FE5DD}"/>
    <cellStyle name="Normal 5 5 3" xfId="9569" xr:uid="{AF4C0FE0-5A7E-41CD-930C-864621246102}"/>
    <cellStyle name="Normal 5 5 4" xfId="9567" xr:uid="{2E149ABD-0ADE-432C-8CF3-788DAC76AF35}"/>
    <cellStyle name="Normal 5 6" xfId="9570" xr:uid="{B88382B6-8DE6-404F-9979-7667CF0CB635}"/>
    <cellStyle name="Normal 5 7" xfId="9571" xr:uid="{5D83FBC9-AF5B-4968-89F3-E5A0B6556CA3}"/>
    <cellStyle name="Normal 5 8" xfId="9557" xr:uid="{DF362381-9582-400B-831F-9C669D36B3EF}"/>
    <cellStyle name="Normal 50" xfId="177" xr:uid="{99117B83-BD13-4B3E-997D-078BF5E158E4}"/>
    <cellStyle name="Normal 51" xfId="1193" xr:uid="{F9445CCB-9265-4AC2-85B7-271F4F216797}"/>
    <cellStyle name="Normal 52" xfId="1194" xr:uid="{A3E8C457-AF6E-4C06-BC2C-BD9DC0E6DAD9}"/>
    <cellStyle name="Normal 53" xfId="1195" xr:uid="{B905D6FB-D216-4406-92AD-49D1D590AB8B}"/>
    <cellStyle name="Normal 54" xfId="1196" xr:uid="{A9A8265B-5F5B-412D-9AE2-AE8A5F567258}"/>
    <cellStyle name="Normal 55" xfId="1197" xr:uid="{7BDF1CF8-D0B8-47F3-BB8A-2DF24D78C5A7}"/>
    <cellStyle name="Normal 56" xfId="1198" xr:uid="{0CBAC996-CE54-494A-A826-64CEA51BD51E}"/>
    <cellStyle name="Normal 57" xfId="1199" xr:uid="{5E996CDE-C416-4D88-9CA5-0435C49B4D75}"/>
    <cellStyle name="Normal 58" xfId="1200" xr:uid="{C967771E-5C6F-4EE7-9D1F-A9DF63115334}"/>
    <cellStyle name="Normal 59" xfId="1201" xr:uid="{BD2ECCEA-0671-410A-82EE-0225A90E8754}"/>
    <cellStyle name="Normal 6" xfId="15" xr:uid="{743AEED0-F91C-4315-AF9D-8A731DAEEBE0}"/>
    <cellStyle name="Normal 6 2" xfId="34" xr:uid="{0BD01767-CE09-43A3-B529-AEF475C4F1CD}"/>
    <cellStyle name="Normal 6 2 2" xfId="170" xr:uid="{8D2F482F-3B78-4635-984A-5D26037650F8}"/>
    <cellStyle name="Normal 6 2 2 2" xfId="9574" xr:uid="{AC2AC02C-669F-40A5-8DFD-BB44CC5542A0}"/>
    <cellStyle name="Normal 6 2 3" xfId="9575" xr:uid="{66877690-81AA-4D37-BF07-3A9453314B27}"/>
    <cellStyle name="Normal 6 2 4" xfId="9573" xr:uid="{0333153F-11BC-459E-ACD7-82FCA55D97CF}"/>
    <cellStyle name="Normal 6 3" xfId="75" xr:uid="{55064BD5-5497-4EE6-BF00-059B13F1C62F}"/>
    <cellStyle name="Normal 6 3 2" xfId="9577" xr:uid="{78546385-7B62-461D-9114-94214AD861F4}"/>
    <cellStyle name="Normal 6 3 3" xfId="9578" xr:uid="{80D7ECDC-0C6B-4EB3-8D6E-9C74B5223629}"/>
    <cellStyle name="Normal 6 3 4" xfId="9576" xr:uid="{6732EC6A-6F69-450E-A365-6CDE451E2C4A}"/>
    <cellStyle name="Normal 6 4" xfId="144" xr:uid="{CBAB3823-CBC0-4FD0-9EF2-72A9AE8F9BB9}"/>
    <cellStyle name="Normal 6 4 2" xfId="9580" xr:uid="{952FEA6A-62C7-45AF-BB53-44358A785E32}"/>
    <cellStyle name="Normal 6 4 3" xfId="9581" xr:uid="{05C063AD-FBB6-48DD-9A27-06F2C4F67230}"/>
    <cellStyle name="Normal 6 4 4" xfId="9579" xr:uid="{BA1A764A-08EC-40F6-9F62-0CF908AB89C3}"/>
    <cellStyle name="Normal 6 5" xfId="2974" xr:uid="{CAAEF4E2-5216-45A4-9BC1-EA2AB4224C63}"/>
    <cellStyle name="Normal 6 5 2" xfId="9583" xr:uid="{135427D8-E98E-4369-8DD0-1EFD4BC30549}"/>
    <cellStyle name="Normal 6 5 3" xfId="9584" xr:uid="{2069C4DB-FC5D-4B44-B64A-166AF3F0C5AA}"/>
    <cellStyle name="Normal 6 5 4" xfId="9582" xr:uid="{321AD1B4-642A-43DB-A25E-A2648A2DC43E}"/>
    <cellStyle name="Normal 6 6" xfId="9585" xr:uid="{D608C59C-6E8C-4525-A05D-D72B04E7E621}"/>
    <cellStyle name="Normal 6 7" xfId="9586" xr:uid="{326FBD54-8E0A-4960-84E2-ED4100DE037E}"/>
    <cellStyle name="Normal 6 8" xfId="9572" xr:uid="{8ED0374D-2276-45D5-9637-5817B6FF71C0}"/>
    <cellStyle name="Normal 60" xfId="1202" xr:uid="{FAEDE329-E54C-4F71-B4F9-2173183C5ABF}"/>
    <cellStyle name="Normal 61" xfId="1203" xr:uid="{D023513D-0141-424E-A1B2-D7CC3D9E3973}"/>
    <cellStyle name="Normal 62" xfId="1204" xr:uid="{73A5BC33-D03B-4303-9C67-BFA396FFA3FD}"/>
    <cellStyle name="Normal 63" xfId="1205" xr:uid="{368E2C43-A149-4F37-A91E-3ADDA8CD91BF}"/>
    <cellStyle name="Normal 64" xfId="1206" xr:uid="{8C2ACCAA-7C92-4684-8D3C-D8B88602F0F2}"/>
    <cellStyle name="Normal 65" xfId="1207" xr:uid="{EC309173-6339-44DE-A040-A97078237FF3}"/>
    <cellStyle name="Normal 66" xfId="1208" xr:uid="{545FC1FA-51B5-4D9C-B95E-DBDE7A346F94}"/>
    <cellStyle name="Normal 67" xfId="1209" xr:uid="{7CF59FE5-EB9D-427C-BE99-3D55F838941B}"/>
    <cellStyle name="Normal 67 2" xfId="3983" xr:uid="{FC60EE21-91F7-457A-9188-0D868BEB8DB3}"/>
    <cellStyle name="Normal 68" xfId="6" xr:uid="{7E42E264-DB50-4C00-8C8D-DD2A2F0F5916}"/>
    <cellStyle name="Normal 69" xfId="3" xr:uid="{00000000-0005-0000-0000-000003000000}"/>
    <cellStyle name="Normal 7" xfId="17" xr:uid="{B0FBA6E3-A793-42C0-8D02-69D7B4533A0A}"/>
    <cellStyle name="Normal 7 2" xfId="35" xr:uid="{C59DC183-2E81-4A0A-A177-867AE2BAF0F2}"/>
    <cellStyle name="Normal 7 2 2" xfId="169" xr:uid="{0999DA5C-C8FC-4E3C-99E1-EE287F330F53}"/>
    <cellStyle name="Normal 7 2 3" xfId="9588" xr:uid="{89D96697-421E-409F-862B-4C5BD3EDFC37}"/>
    <cellStyle name="Normal 7 3" xfId="77" xr:uid="{E91BC673-14D3-4742-8460-D36C4B81B364}"/>
    <cellStyle name="Normal 7 3 2" xfId="9589" xr:uid="{5649441D-6E7A-4700-BB15-B4DBEB3D2F85}"/>
    <cellStyle name="Normal 7 4" xfId="398" xr:uid="{1416C952-3FCF-49AD-BC13-57BA69858E8D}"/>
    <cellStyle name="Normal 7 5" xfId="9286" xr:uid="{F70D0CD2-7493-4753-BB76-53A841D5CDED}"/>
    <cellStyle name="Normal 7 6" xfId="9587" xr:uid="{824385D1-2E77-49DF-92F6-A8116BFF27D0}"/>
    <cellStyle name="Normal 70" xfId="2952" xr:uid="{FBDC5B91-3297-4DDE-8918-092D9A93D6A7}"/>
    <cellStyle name="Normal 71" xfId="2959" xr:uid="{A05E0C16-5AB2-4510-AF15-88918123BC90}"/>
    <cellStyle name="Normal 72" xfId="2960" xr:uid="{2D55868D-63C6-4121-8CC0-BAAF85E742C1}"/>
    <cellStyle name="Normal 73" xfId="2967" xr:uid="{40554C9F-E219-4B53-8C21-2ACEAFC93C0F}"/>
    <cellStyle name="Normal 74" xfId="2961" xr:uid="{28C07FB5-D3E1-41F6-8EF0-6CC112D045BF}"/>
    <cellStyle name="Normal 75" xfId="3406" xr:uid="{ADDA46F5-17FD-42E5-BCA5-AA74E1500A4C}"/>
    <cellStyle name="Normal 76" xfId="9278" xr:uid="{2F7BF089-0374-4D97-869A-EA91DA3D411E}"/>
    <cellStyle name="Normal 77" xfId="9281" xr:uid="{6C050564-5939-4DFC-96D7-AB0750A9E87D}"/>
    <cellStyle name="Normal 78" xfId="9280" xr:uid="{78BE35AB-53A9-4A29-B05D-4305BBE500CB}"/>
    <cellStyle name="Normal 79" xfId="9279" xr:uid="{40C49CCA-C0A6-414D-8CDF-1FBF1AD796A2}"/>
    <cellStyle name="Normal 8" xfId="18" xr:uid="{11CFFBC4-043D-4499-B0CA-C42E1C246434}"/>
    <cellStyle name="Normal 8 2" xfId="46" xr:uid="{432577C0-CAE4-416E-8DEC-F21705D9B714}"/>
    <cellStyle name="Normal 8 2 2" xfId="9591" xr:uid="{52FC94F8-893B-45DB-8811-3B838E100966}"/>
    <cellStyle name="Normal 8 3" xfId="78" xr:uid="{5CFC42F5-D0B4-42B9-BB69-89AF92765CBF}"/>
    <cellStyle name="Normal 8 3 2" xfId="9592" xr:uid="{53B22D8B-52FE-4AEF-A536-19D5F4FB71B3}"/>
    <cellStyle name="Normal 8 4" xfId="9590" xr:uid="{336EEA33-929E-41E7-9C8E-C3667087C7B8}"/>
    <cellStyle name="Normal 80" xfId="9282" xr:uid="{B1EA11EC-34D7-446F-A330-F5D5892739CB}"/>
    <cellStyle name="Normal 81" xfId="9291" xr:uid="{C50A8BF3-5C1D-4E9E-AD37-D44F7CDB89F5}"/>
    <cellStyle name="Normal 9" xfId="20" xr:uid="{BA948B1D-B662-4D3F-A053-F96A78C54E45}"/>
    <cellStyle name="Normal 9 2" xfId="36" xr:uid="{D26218EB-712E-47CC-8C13-7459B2A44423}"/>
    <cellStyle name="Normal 9 2 2" xfId="168" xr:uid="{A9273C5A-F0A3-493E-8C17-417420B2FF18}"/>
    <cellStyle name="Normal 9 2 3" xfId="9594" xr:uid="{4F579DD3-D2A2-45D5-9564-8E6D37B14C51}"/>
    <cellStyle name="Normal 9 3" xfId="80" xr:uid="{044735F1-517C-4A6F-8622-31711E65B385}"/>
    <cellStyle name="Normal 9 3 2" xfId="9595" xr:uid="{F114DBF0-FCAC-477D-BCDA-03E51A14DBB2}"/>
    <cellStyle name="Normal 9 4" xfId="9593" xr:uid="{D363DF6D-FD66-40A1-B967-5A735106702D}"/>
    <cellStyle name="Note 2" xfId="136" xr:uid="{76957DBF-F9B7-41DC-800F-E482D884771A}"/>
    <cellStyle name="Note 2 10" xfId="291" xr:uid="{6435FD0E-C9D3-4B88-B70D-EBF351C1E321}"/>
    <cellStyle name="Note 2 10 2" xfId="515" xr:uid="{1D0811FA-836D-49CE-86AE-D55672E9E965}"/>
    <cellStyle name="Note 2 10 2 2" xfId="994" xr:uid="{5BC1FBD4-FC4A-49B0-8201-54E52AE8C7A8}"/>
    <cellStyle name="Note 2 10 2 2 2" xfId="1799" xr:uid="{1E08947D-C249-4157-BC17-4D76BFDCF6BF}"/>
    <cellStyle name="Note 2 10 2 2 2 2" xfId="7570" xr:uid="{DC9E1179-3E69-4327-BE63-7CCA11FC46D9}"/>
    <cellStyle name="Note 2 10 2 2 2 3" xfId="10236" xr:uid="{5E87F8E0-C95D-45D3-BFDB-3A72706652DA}"/>
    <cellStyle name="Note 2 10 2 2 2 4" xfId="4596" xr:uid="{28E66EB9-B415-43E3-ABEA-0447D294BDDC}"/>
    <cellStyle name="Note 2 10 2 2 3" xfId="5336" xr:uid="{68FEBBC9-DFE7-4049-8F21-6C2D80BFB75C}"/>
    <cellStyle name="Note 2 10 2 2 3 2" xfId="8310" xr:uid="{9D34612D-CCB7-490C-B340-F00CE5A01320}"/>
    <cellStyle name="Note 2 10 2 2 4" xfId="6101" xr:uid="{2CBCA4B3-5634-40D7-BB55-765E2A0C1245}"/>
    <cellStyle name="Note 2 10 2 2 4 2" xfId="9075" xr:uid="{840C47E3-3D58-45CA-AD9B-F8F77D48DB53}"/>
    <cellStyle name="Note 2 10 2 2 5" xfId="3811" xr:uid="{2AFECDFD-700E-4370-A503-E62F7E75441A}"/>
    <cellStyle name="Note 2 10 2 2 6" xfId="6774" xr:uid="{169AAB0F-246B-4111-B3BD-AA675A476EEB}"/>
    <cellStyle name="Note 2 10 2 2 7" xfId="2751" xr:uid="{19368FDD-AD61-414B-A350-951F132AA639}"/>
    <cellStyle name="Note 2 10 2 3" xfId="1063" xr:uid="{70732BBF-DD4F-41BE-8F17-6B2BB1BB7686}"/>
    <cellStyle name="Note 2 10 2 3 2" xfId="1868" xr:uid="{ABB3FEBD-623F-40B8-BEFF-2ADD975B7F09}"/>
    <cellStyle name="Note 2 10 2 3 2 2" xfId="7639" xr:uid="{F445F5B7-0883-4D9D-AE42-7A32BD1C251F}"/>
    <cellStyle name="Note 2 10 2 3 2 3" xfId="10305" xr:uid="{9D85FD53-64FA-40BB-A22D-1AC192A9E175}"/>
    <cellStyle name="Note 2 10 2 3 2 4" xfId="4665" xr:uid="{B8170216-6CA2-4C26-BF30-C9EC817E2F86}"/>
    <cellStyle name="Note 2 10 2 3 3" xfId="5405" xr:uid="{2902FBC8-D0FB-4A90-B3FD-3E7C574AC9F9}"/>
    <cellStyle name="Note 2 10 2 3 3 2" xfId="8379" xr:uid="{D3563DEE-E4E7-408E-B845-A33FCE0C56F1}"/>
    <cellStyle name="Note 2 10 2 3 4" xfId="6170" xr:uid="{A3895241-BFE0-4DD3-94C3-0CA58BB69735}"/>
    <cellStyle name="Note 2 10 2 3 4 2" xfId="9144" xr:uid="{18366DB6-C7C2-42B9-82AB-A9BAEE7D6528}"/>
    <cellStyle name="Note 2 10 2 3 5" xfId="3879" xr:uid="{F106C1B8-2029-4A06-BB96-C468DF294424}"/>
    <cellStyle name="Note 2 10 2 3 6" xfId="6843" xr:uid="{1ADD8866-D109-4C78-933F-8198433AD06C}"/>
    <cellStyle name="Note 2 10 2 3 7" xfId="2820" xr:uid="{F2402EB8-75BC-4261-85C6-DC18E4610685}"/>
    <cellStyle name="Note 2 10 2 4" xfId="1321" xr:uid="{C14094B0-2F0C-4AE7-8719-0097503F426A}"/>
    <cellStyle name="Note 2 10 2 4 2" xfId="7092" xr:uid="{86F9BD2C-B5F1-4D5C-B4D4-B6EB5B75D9A1}"/>
    <cellStyle name="Note 2 10 2 4 3" xfId="9758" xr:uid="{6BE3F9D9-EA9C-4162-A2FB-7A168599B1DB}"/>
    <cellStyle name="Note 2 10 2 4 4" xfId="4118" xr:uid="{1F888291-37BD-4D15-B116-ABE9BCD1571F}"/>
    <cellStyle name="Note 2 10 2 5" xfId="4858" xr:uid="{13CC5DFB-FA38-484A-852F-EEC4225A079D}"/>
    <cellStyle name="Note 2 10 2 5 2" xfId="7832" xr:uid="{2134543D-D398-474C-A350-F9B1FABF2AB6}"/>
    <cellStyle name="Note 2 10 2 6" xfId="5623" xr:uid="{58D95913-4D05-44CA-B33C-8A2349AA3DB8}"/>
    <cellStyle name="Note 2 10 2 6 2" xfId="8597" xr:uid="{5A14AA30-4A28-4B28-8E34-5769892FB18D}"/>
    <cellStyle name="Note 2 10 2 7" xfId="3401" xr:uid="{A3724C06-3ACB-4705-BDB2-6BA4EDA4B635}"/>
    <cellStyle name="Note 2 10 2 8" xfId="3082" xr:uid="{DE7A6995-21B9-4173-93B5-F3CF1624480F}"/>
    <cellStyle name="Note 2 10 2 9" xfId="2273" xr:uid="{4A5B53B3-8DBF-4C61-8C4F-44E42A0EAFCD}"/>
    <cellStyle name="Note 2 10 3" xfId="783" xr:uid="{29704274-BF4E-449B-8BD7-3BEB01490034}"/>
    <cellStyle name="Note 2 10 3 2" xfId="1588" xr:uid="{DCCB351C-0993-4819-AC42-FE23BF67CF1B}"/>
    <cellStyle name="Note 2 10 3 2 2" xfId="7359" xr:uid="{9DEF82E3-09D9-4CE2-B249-BBA165EAF4EB}"/>
    <cellStyle name="Note 2 10 3 2 3" xfId="10025" xr:uid="{8500612F-1BB8-4DA9-932D-A55434463531}"/>
    <cellStyle name="Note 2 10 3 2 4" xfId="4385" xr:uid="{40E6FA5D-DAF1-4709-958A-570828187A78}"/>
    <cellStyle name="Note 2 10 3 3" xfId="5125" xr:uid="{B1319434-3715-4B66-9137-4276AC1EF6FB}"/>
    <cellStyle name="Note 2 10 3 3 2" xfId="8099" xr:uid="{8CE2792B-475A-43F5-A3D8-5DA9FB3A756E}"/>
    <cellStyle name="Note 2 10 3 4" xfId="5890" xr:uid="{262A1169-C78D-4586-AC7E-5D8E8FB50096}"/>
    <cellStyle name="Note 2 10 3 4 2" xfId="8864" xr:uid="{7BCFAE3E-52C3-47BF-ADCC-0A520BD61FFF}"/>
    <cellStyle name="Note 2 10 3 5" xfId="3618" xr:uid="{A917526A-B64B-4F94-937C-7A6C489C560D}"/>
    <cellStyle name="Note 2 10 3 6" xfId="6563" xr:uid="{1285032A-060F-443C-8B04-AC7B9DFB6E11}"/>
    <cellStyle name="Note 2 10 3 7" xfId="2540" xr:uid="{28FBA76F-5520-40BE-98FF-3B924073DAFA}"/>
    <cellStyle name="Note 2 10 4" xfId="593" xr:uid="{C295F8CF-44E6-4F86-B987-D99019E5EA50}"/>
    <cellStyle name="Note 2 10 4 2" xfId="1398" xr:uid="{6A59D369-D339-4706-8601-4F32F7E1BA6E}"/>
    <cellStyle name="Note 2 10 4 2 2" xfId="7169" xr:uid="{AD4BF19A-018D-4E97-BE70-0A928ED7885B}"/>
    <cellStyle name="Note 2 10 4 2 3" xfId="9835" xr:uid="{050C211A-6F4A-4045-9901-D65B072736B0}"/>
    <cellStyle name="Note 2 10 4 2 4" xfId="4195" xr:uid="{530EFE5C-F767-4B51-BCA5-DDA7A84BA4F1}"/>
    <cellStyle name="Note 2 10 4 3" xfId="4935" xr:uid="{17CEB87F-0D4D-4395-A1C0-3A77D26A7E9F}"/>
    <cellStyle name="Note 2 10 4 3 2" xfId="7909" xr:uid="{6EE4D503-05E9-4231-8055-1F1C5C431CF4}"/>
    <cellStyle name="Note 2 10 4 4" xfId="5700" xr:uid="{287D388A-AD66-4371-BA1E-4434C8B20073}"/>
    <cellStyle name="Note 2 10 4 4 2" xfId="8674" xr:uid="{335D2674-EE0B-47C4-A789-585C97AC3E71}"/>
    <cellStyle name="Note 2 10 4 5" xfId="3456" xr:uid="{9A151CAC-6546-44E7-B2A0-1C940048B0E3}"/>
    <cellStyle name="Note 2 10 4 6" xfId="6373" xr:uid="{9437AE91-BA10-4691-898F-E72833A96BEF}"/>
    <cellStyle name="Note 2 10 4 7" xfId="2350" xr:uid="{81F44761-7879-4970-970C-613649D173D0}"/>
    <cellStyle name="Note 2 10 5" xfId="3138" xr:uid="{319A48C1-7DDE-4113-A608-C46809CF6834}"/>
    <cellStyle name="Note 2 10 5 2" xfId="3398" xr:uid="{8E857F32-B453-4B75-B041-818087E4E557}"/>
    <cellStyle name="Note 2 10 6" xfId="3220" xr:uid="{973EDCA3-E429-4650-A609-B7B71406C4D6}"/>
    <cellStyle name="Note 2 10 7" xfId="3980" xr:uid="{0DED6FE6-8477-4889-B256-F1DAD985CF49}"/>
    <cellStyle name="Note 2 10 8" xfId="2111" xr:uid="{7582B1C2-0225-4597-BE44-38F9851D970C}"/>
    <cellStyle name="Note 2 11" xfId="243" xr:uid="{D87D95AA-ABEA-4C3C-8074-D179D884010D}"/>
    <cellStyle name="Note 2 11 2" xfId="467" xr:uid="{80FF763C-EA4A-4212-B832-C3741A296B73}"/>
    <cellStyle name="Note 2 11 2 2" xfId="946" xr:uid="{21B4DA74-DE8F-4AB7-BC5D-AB1A312ADB46}"/>
    <cellStyle name="Note 2 11 2 2 2" xfId="1751" xr:uid="{6836D9BD-F925-4F4C-804B-830337C4BBF9}"/>
    <cellStyle name="Note 2 11 2 2 2 2" xfId="7522" xr:uid="{6506CB0E-556C-409A-A9F1-4A074875A566}"/>
    <cellStyle name="Note 2 11 2 2 2 3" xfId="10188" xr:uid="{A65EE4E9-8CED-49FB-9AD3-05BBBF4C4155}"/>
    <cellStyle name="Note 2 11 2 2 2 4" xfId="4548" xr:uid="{BC874181-E138-4B16-A95C-C515E051D348}"/>
    <cellStyle name="Note 2 11 2 2 3" xfId="5288" xr:uid="{7F1EEC9D-F754-4DFC-B1BD-574666C36226}"/>
    <cellStyle name="Note 2 11 2 2 3 2" xfId="8262" xr:uid="{89E5BFDD-89C9-440E-8782-DEB69CE54AFD}"/>
    <cellStyle name="Note 2 11 2 2 4" xfId="6053" xr:uid="{6CB89CE9-8DD4-4F3F-BB9F-555C9F33EF88}"/>
    <cellStyle name="Note 2 11 2 2 4 2" xfId="9027" xr:uid="{566CE050-936A-4034-BB7E-AD72F8E1D13A}"/>
    <cellStyle name="Note 2 11 2 2 5" xfId="3763" xr:uid="{BDD70441-8ED1-49E1-8147-3943CFE0D1A7}"/>
    <cellStyle name="Note 2 11 2 2 6" xfId="6726" xr:uid="{A7C0BBE9-D5E6-4D6B-8E5D-3850E6F8B7FE}"/>
    <cellStyle name="Note 2 11 2 2 7" xfId="2703" xr:uid="{D723D61F-4481-4A95-8512-5C358C2961DE}"/>
    <cellStyle name="Note 2 11 2 3" xfId="600" xr:uid="{05E70F89-F0BE-4AB3-BFEB-31EFB6D61A65}"/>
    <cellStyle name="Note 2 11 2 3 2" xfId="1405" xr:uid="{D0144683-14AE-4F4B-BF53-E6C94245E630}"/>
    <cellStyle name="Note 2 11 2 3 2 2" xfId="7176" xr:uid="{0D75CE23-0B00-4673-B527-BB3BD168C989}"/>
    <cellStyle name="Note 2 11 2 3 2 3" xfId="9842" xr:uid="{1C89CFA3-22AA-410E-854F-A658B8326F16}"/>
    <cellStyle name="Note 2 11 2 3 2 4" xfId="4202" xr:uid="{166D2506-DF97-4643-B641-D515DF873FD7}"/>
    <cellStyle name="Note 2 11 2 3 3" xfId="4942" xr:uid="{702A3C81-378F-4401-8322-74D23672F951}"/>
    <cellStyle name="Note 2 11 2 3 3 2" xfId="7916" xr:uid="{A8354109-02C6-4B8D-A61A-FF4FE37AD6AD}"/>
    <cellStyle name="Note 2 11 2 3 4" xfId="5707" xr:uid="{32FD4A1B-98D6-4F14-AA90-00173821B591}"/>
    <cellStyle name="Note 2 11 2 3 4 2" xfId="8681" xr:uid="{DC872346-368A-4BE2-88FF-C471DEA989DF}"/>
    <cellStyle name="Note 2 11 2 3 5" xfId="3461" xr:uid="{97557388-DECA-4BEF-8FE3-0898355F81B5}"/>
    <cellStyle name="Note 2 11 2 3 6" xfId="6380" xr:uid="{67C28BE2-4850-4A19-AF51-C8AAF2FD2AA1}"/>
    <cellStyle name="Note 2 11 2 3 7" xfId="2357" xr:uid="{FAB5A912-2322-48EA-A95F-C02852343E15}"/>
    <cellStyle name="Note 2 11 2 4" xfId="1273" xr:uid="{B05AE6CC-7585-455E-AD77-6930A17BF741}"/>
    <cellStyle name="Note 2 11 2 4 2" xfId="7044" xr:uid="{554F05BF-82FF-4004-8B74-253EBEFD7A12}"/>
    <cellStyle name="Note 2 11 2 4 3" xfId="9710" xr:uid="{DE154FB9-3774-44D3-90E5-720D929CA878}"/>
    <cellStyle name="Note 2 11 2 4 4" xfId="4070" xr:uid="{1243EA25-04C7-432F-B8D2-66FD26A3F1B7}"/>
    <cellStyle name="Note 2 11 2 5" xfId="4810" xr:uid="{543F34C2-27F5-45B5-9EF7-6DD2AF593902}"/>
    <cellStyle name="Note 2 11 2 5 2" xfId="7784" xr:uid="{B0F7A0D6-C754-4477-B4D8-FBB5E445CACC}"/>
    <cellStyle name="Note 2 11 2 6" xfId="5575" xr:uid="{91766A73-2B13-4752-8EC9-EDB39EDACC9B}"/>
    <cellStyle name="Note 2 11 2 6 2" xfId="8549" xr:uid="{3E7C891C-17BF-4F25-9D72-35C3D7502C40}"/>
    <cellStyle name="Note 2 11 2 7" xfId="3368" xr:uid="{496ED845-DA99-4072-BCF8-240DDF97792E}"/>
    <cellStyle name="Note 2 11 2 8" xfId="3140" xr:uid="{83205BB8-A14D-47E5-B03A-7ECF92CDA4E8}"/>
    <cellStyle name="Note 2 11 2 9" xfId="2225" xr:uid="{E01A6D62-BBAA-4F3A-B87A-C5093E91E229}"/>
    <cellStyle name="Note 2 11 3" xfId="735" xr:uid="{165AE747-66E2-436D-A865-9EF9A108625E}"/>
    <cellStyle name="Note 2 11 3 2" xfId="1540" xr:uid="{242DB681-BFA8-46E3-87EC-EBA8F0FB4E1F}"/>
    <cellStyle name="Note 2 11 3 2 2" xfId="7311" xr:uid="{77659E41-E8C3-48F3-8AA2-3A80CA2CACD1}"/>
    <cellStyle name="Note 2 11 3 2 3" xfId="9977" xr:uid="{D573D326-AF9D-4D80-89DF-E9583D05A4A6}"/>
    <cellStyle name="Note 2 11 3 2 4" xfId="4337" xr:uid="{F362D845-4C24-4CDB-B2E9-3CF77C1FC4EA}"/>
    <cellStyle name="Note 2 11 3 3" xfId="5077" xr:uid="{1B2B4498-2EBA-4E21-9B02-E16D567DA13B}"/>
    <cellStyle name="Note 2 11 3 3 2" xfId="8051" xr:uid="{ABA6D755-3388-4622-886A-0B7EEA8654DE}"/>
    <cellStyle name="Note 2 11 3 4" xfId="5842" xr:uid="{B7608C38-A3E7-46CE-A00E-76CFE97FE310}"/>
    <cellStyle name="Note 2 11 3 4 2" xfId="8816" xr:uid="{3F9613D1-F4A0-484C-A601-3B4E66219B59}"/>
    <cellStyle name="Note 2 11 3 5" xfId="3570" xr:uid="{49B903C0-07EA-4ABD-A777-0AD74D861F0F}"/>
    <cellStyle name="Note 2 11 3 6" xfId="6515" xr:uid="{9FD67016-2E2B-439B-8DDC-ADFD5BEB1EC5}"/>
    <cellStyle name="Note 2 11 3 7" xfId="2492" xr:uid="{97FC911D-1FFB-460E-AC6F-7EDDB6C18F4F}"/>
    <cellStyle name="Note 2 11 4" xfId="624" xr:uid="{64BA9C86-DCF4-4C27-82C1-DC60A01BB7B3}"/>
    <cellStyle name="Note 2 11 4 2" xfId="1429" xr:uid="{B229B73E-3C60-4B96-B276-FDBBED3BF58B}"/>
    <cellStyle name="Note 2 11 4 2 2" xfId="7200" xr:uid="{4343EE2E-ABAC-4CBF-9148-97C02735DBE6}"/>
    <cellStyle name="Note 2 11 4 2 3" xfId="9866" xr:uid="{9CBAADBF-C160-4A9F-8182-F59A35786FE8}"/>
    <cellStyle name="Note 2 11 4 2 4" xfId="4226" xr:uid="{F1EF6577-F2C5-4929-8205-332C9C31CBDD}"/>
    <cellStyle name="Note 2 11 4 3" xfId="4966" xr:uid="{9060F40C-DD8F-4D19-82B5-BD86755CE130}"/>
    <cellStyle name="Note 2 11 4 3 2" xfId="7940" xr:uid="{32CABA6C-8274-4071-B8B3-FB87339162B3}"/>
    <cellStyle name="Note 2 11 4 4" xfId="5731" xr:uid="{210D66A5-F7CC-4297-A4D9-8EA10FE41442}"/>
    <cellStyle name="Note 2 11 4 4 2" xfId="8705" xr:uid="{ACD25D15-51F2-4A89-BBA3-DD3D1D24D6EE}"/>
    <cellStyle name="Note 2 11 4 5" xfId="3475" xr:uid="{7ABD601C-31CC-42DC-9C67-630D71549CA6}"/>
    <cellStyle name="Note 2 11 4 6" xfId="6404" xr:uid="{9F849633-D30B-4B6B-A60E-B940E395B5BA}"/>
    <cellStyle name="Note 2 11 4 7" xfId="2381" xr:uid="{CAD15175-3D72-4C71-AF12-90F975B38780}"/>
    <cellStyle name="Note 2 11 5" xfId="3178" xr:uid="{0460F550-57EB-41FD-A8AE-7D0A89AAF9C1}"/>
    <cellStyle name="Note 2 11 5 2" xfId="3704" xr:uid="{09930D66-EADD-4F23-93DE-3009FD45451F}"/>
    <cellStyle name="Note 2 11 6" xfId="3181" xr:uid="{FF3DABAD-9B3A-42CD-9DC7-236731F0BEAF}"/>
    <cellStyle name="Note 2 11 7" xfId="3152" xr:uid="{E23F1F6E-8FCA-4509-A340-5E6C16529090}"/>
    <cellStyle name="Note 2 11 8" xfId="2060" xr:uid="{42322722-7809-4EC1-B353-D0FDFB24C856}"/>
    <cellStyle name="Note 2 12" xfId="196" xr:uid="{54072B33-6BAB-47A2-BEEA-1D5CEF4F878A}"/>
    <cellStyle name="Note 2 12 2" xfId="425" xr:uid="{B885E6D2-C105-4151-81D0-85A33EFA3617}"/>
    <cellStyle name="Note 2 12 2 2" xfId="904" xr:uid="{EF2C6611-A2DF-4555-9A82-737ABF693804}"/>
    <cellStyle name="Note 2 12 2 2 2" xfId="1709" xr:uid="{24214883-77D8-477D-B2AA-CD9E686BE9AB}"/>
    <cellStyle name="Note 2 12 2 2 2 2" xfId="7480" xr:uid="{35FE7C3E-4B4C-469E-8575-C8D468138D19}"/>
    <cellStyle name="Note 2 12 2 2 2 3" xfId="10146" xr:uid="{0AF7E7C5-74EC-40F3-9A98-143AFA5E05D2}"/>
    <cellStyle name="Note 2 12 2 2 2 4" xfId="4506" xr:uid="{80423066-4AAF-4213-B4A0-D2832685630D}"/>
    <cellStyle name="Note 2 12 2 2 3" xfId="5246" xr:uid="{7231EB4E-EBF0-415D-9B69-7C8FC47617AB}"/>
    <cellStyle name="Note 2 12 2 2 3 2" xfId="8220" xr:uid="{22A44A28-CDB5-4369-8FF1-DA498A243C65}"/>
    <cellStyle name="Note 2 12 2 2 4" xfId="6011" xr:uid="{497285B3-6719-4E2D-8CB2-C53D5FDC1178}"/>
    <cellStyle name="Note 2 12 2 2 4 2" xfId="8985" xr:uid="{6402F59C-A7C2-46BC-A20E-C1CFF90C748B}"/>
    <cellStyle name="Note 2 12 2 2 5" xfId="3721" xr:uid="{1171D4F4-1779-4715-92AF-8B55E880D2FE}"/>
    <cellStyle name="Note 2 12 2 2 6" xfId="6684" xr:uid="{02DFFE58-C2E6-41F4-B944-2B34E60AFD19}"/>
    <cellStyle name="Note 2 12 2 2 7" xfId="2661" xr:uid="{68C11A2A-1479-4FFA-AFF6-99E8BAEAEE07}"/>
    <cellStyle name="Note 2 12 2 3" xfId="693" xr:uid="{7F39A28D-A975-4489-9499-D9E40B457CA5}"/>
    <cellStyle name="Note 2 12 2 3 2" xfId="1498" xr:uid="{704A8EEB-2ADC-4FC4-B0E5-8E3471F6A04C}"/>
    <cellStyle name="Note 2 12 2 3 2 2" xfId="7269" xr:uid="{8B8DB25C-6841-4702-9166-711FBBDED512}"/>
    <cellStyle name="Note 2 12 2 3 2 3" xfId="9935" xr:uid="{141FD7F1-6671-4E2C-995C-6B4B314FA658}"/>
    <cellStyle name="Note 2 12 2 3 2 4" xfId="4295" xr:uid="{67B053F3-EA4F-4573-A7A8-80E54EAB5BE3}"/>
    <cellStyle name="Note 2 12 2 3 3" xfId="5035" xr:uid="{C7A3D3AA-4DA9-4795-928A-551DA762D1AE}"/>
    <cellStyle name="Note 2 12 2 3 3 2" xfId="8009" xr:uid="{A8A80240-5B5A-4E87-9B04-2213E160DC29}"/>
    <cellStyle name="Note 2 12 2 3 4" xfId="5800" xr:uid="{FA418614-EA10-44F7-845C-B9F25FAA0EDD}"/>
    <cellStyle name="Note 2 12 2 3 4 2" xfId="8774" xr:uid="{D2D81A09-536E-41E9-B797-A1D2927B0E1B}"/>
    <cellStyle name="Note 2 12 2 3 5" xfId="3528" xr:uid="{D6744FCD-BE9E-4DF7-B8EA-C1624214B1F1}"/>
    <cellStyle name="Note 2 12 2 3 6" xfId="6473" xr:uid="{9BE1F96A-685F-4EED-9407-DDA844EB09DB}"/>
    <cellStyle name="Note 2 12 2 3 7" xfId="2450" xr:uid="{ADB33391-AE75-4070-9D94-6C530859544D}"/>
    <cellStyle name="Note 2 12 2 4" xfId="1231" xr:uid="{9BE9DF8E-8A08-413A-B0FF-8E647D907C97}"/>
    <cellStyle name="Note 2 12 2 4 2" xfId="7002" xr:uid="{47E3747D-F29E-4272-9BE3-5535DB8344B9}"/>
    <cellStyle name="Note 2 12 2 4 3" xfId="9668" xr:uid="{22B860BE-D91A-4088-9A1B-E168BB8DF31C}"/>
    <cellStyle name="Note 2 12 2 4 4" xfId="4028" xr:uid="{D063B34F-78AE-4F73-AFAE-E6F054CC6BBC}"/>
    <cellStyle name="Note 2 12 2 5" xfId="3272" xr:uid="{CEE2A51E-5A8E-4B77-82EC-50B751B6F574}"/>
    <cellStyle name="Note 2 12 2 5 2" xfId="3025" xr:uid="{4E81ED31-D817-476F-8D48-C4A0B5D275F5}"/>
    <cellStyle name="Note 2 12 2 6" xfId="4013" xr:uid="{FB40D436-A5D1-4CDA-B684-0DBACD2861E6}"/>
    <cellStyle name="Note 2 12 2 6 2" xfId="6987" xr:uid="{8A7DF4EC-4020-474E-A4FA-5D92A7181B6F}"/>
    <cellStyle name="Note 2 12 2 7" xfId="3337" xr:uid="{2D1FF178-0946-4BB4-A616-3EAEA6500D53}"/>
    <cellStyle name="Note 2 12 2 8" xfId="2986" xr:uid="{70F5F219-0FD1-4038-8769-78C47DC145A6}"/>
    <cellStyle name="Note 2 12 2 9" xfId="2183" xr:uid="{9FFE4843-AFFD-4B95-8DBD-5AFCEBCA036F}"/>
    <cellStyle name="Note 2 12 3" xfId="689" xr:uid="{75340A4A-8D74-49CE-A6ED-1B889E2A589D}"/>
    <cellStyle name="Note 2 12 3 2" xfId="1494" xr:uid="{15AC9715-1B4A-40D8-84B4-901A77A0D8C9}"/>
    <cellStyle name="Note 2 12 3 2 2" xfId="7265" xr:uid="{E5E56BE3-923A-49D7-97C6-A2E0AA9AA350}"/>
    <cellStyle name="Note 2 12 3 2 3" xfId="9931" xr:uid="{10710F5F-E3E8-4FAF-BD9E-851625ACEFB0}"/>
    <cellStyle name="Note 2 12 3 2 4" xfId="4291" xr:uid="{6C6597F7-26DE-454C-847E-2E5A9D4C3D68}"/>
    <cellStyle name="Note 2 12 3 3" xfId="5031" xr:uid="{AFA064BB-4113-4D8E-B8C0-E25D5829FBDD}"/>
    <cellStyle name="Note 2 12 3 3 2" xfId="8005" xr:uid="{737A103E-7314-4457-AD3C-B765A9FD60A5}"/>
    <cellStyle name="Note 2 12 3 4" xfId="5796" xr:uid="{199B8937-99DB-4363-A492-AEBF3924271C}"/>
    <cellStyle name="Note 2 12 3 4 2" xfId="8770" xr:uid="{2000838C-F0E8-409C-B7CD-D22F85FE7920}"/>
    <cellStyle name="Note 2 12 3 5" xfId="3525" xr:uid="{CB5D67A9-34F8-45E8-90D3-10B4C8ED6CAD}"/>
    <cellStyle name="Note 2 12 3 6" xfId="6469" xr:uid="{29FE923C-0A72-4947-B055-AEB7FA446763}"/>
    <cellStyle name="Note 2 12 3 7" xfId="2446" xr:uid="{6A213BBB-3E95-4F39-A8DC-CE7EF7ACF34E}"/>
    <cellStyle name="Note 2 12 4" xfId="692" xr:uid="{17C884AB-91E0-4431-9C72-246767054FCC}"/>
    <cellStyle name="Note 2 12 4 2" xfId="1497" xr:uid="{890870CC-24D3-4D43-B224-01FC2CABCEF3}"/>
    <cellStyle name="Note 2 12 4 2 2" xfId="7268" xr:uid="{1261FF71-F739-4E1B-8EA1-0E100959934F}"/>
    <cellStyle name="Note 2 12 4 2 3" xfId="9934" xr:uid="{C0E4F11D-5B9D-4E96-9C51-24C4E42C6CE1}"/>
    <cellStyle name="Note 2 12 4 2 4" xfId="4294" xr:uid="{893180F3-C77C-4D0E-BFAC-907E266B6755}"/>
    <cellStyle name="Note 2 12 4 3" xfId="5034" xr:uid="{A2064743-1876-4C8F-BF6F-41F214F2764F}"/>
    <cellStyle name="Note 2 12 4 3 2" xfId="8008" xr:uid="{EE1DC286-01E8-47A8-AB1C-158ACB9727C8}"/>
    <cellStyle name="Note 2 12 4 4" xfId="5799" xr:uid="{9F8E6928-06B4-4AE9-8BA1-9F18CE56F798}"/>
    <cellStyle name="Note 2 12 4 4 2" xfId="8773" xr:uid="{C1DE8986-EE02-469B-A4C4-0DC1CF4EE5F9}"/>
    <cellStyle name="Note 2 12 4 5" xfId="3527" xr:uid="{1FCCFB82-F4B8-4E1F-8ADB-919DE24CEDCC}"/>
    <cellStyle name="Note 2 12 4 6" xfId="6472" xr:uid="{E67026B0-B5C0-4AC7-9554-88BD39A04F52}"/>
    <cellStyle name="Note 2 12 4 7" xfId="2449" xr:uid="{6E4B04E4-DE2B-4818-8DFE-74A54D8BF835}"/>
    <cellStyle name="Note 2 12 5" xfId="3998" xr:uid="{AF67E01E-2568-4629-B26D-299870DC1ACE}"/>
    <cellStyle name="Note 2 12 5 2" xfId="6972" xr:uid="{B80FBFDD-7654-4121-8F32-1BF7316CC3A9}"/>
    <cellStyle name="Note 2 12 6" xfId="3127" xr:uid="{45B9CDC8-DF8A-45DE-8F8E-92E31872614E}"/>
    <cellStyle name="Note 2 12 7" xfId="3093" xr:uid="{52E3D6EC-AD32-440B-B3CF-F0A2BF59FF39}"/>
    <cellStyle name="Note 2 12 8" xfId="2014" xr:uid="{23B9B696-7BBE-458D-A4D4-3EC179A101C1}"/>
    <cellStyle name="Note 2 13" xfId="413" xr:uid="{760665C3-8EAD-4662-8F6D-41CA3E7BE29C}"/>
    <cellStyle name="Note 2 13 2" xfId="892" xr:uid="{061039F2-6287-4EAD-9980-B15AA923214D}"/>
    <cellStyle name="Note 2 13 2 2" xfId="1697" xr:uid="{D2E42142-0DE2-4F27-AA43-DFA770DF7E97}"/>
    <cellStyle name="Note 2 13 2 2 2" xfId="7468" xr:uid="{AF471DB6-B518-4151-AD02-C1F5E8AA79F6}"/>
    <cellStyle name="Note 2 13 2 2 3" xfId="10134" xr:uid="{EECF4335-18B2-45E1-9FC8-D315B33E3D3A}"/>
    <cellStyle name="Note 2 13 2 2 4" xfId="4494" xr:uid="{4F0C7697-D077-4AE8-912D-F1F01B6D2889}"/>
    <cellStyle name="Note 2 13 2 3" xfId="5234" xr:uid="{861D034E-9F80-492C-BA11-421B46E3D0A1}"/>
    <cellStyle name="Note 2 13 2 3 2" xfId="8208" xr:uid="{544E114C-A7B5-45E1-822C-93608C09ABD0}"/>
    <cellStyle name="Note 2 13 2 4" xfId="5999" xr:uid="{5644734A-CDD8-4AD5-BBB8-FB35F4BD1EE2}"/>
    <cellStyle name="Note 2 13 2 4 2" xfId="8973" xr:uid="{4F7C047D-D073-4299-8E0F-2BE692E8BF0D}"/>
    <cellStyle name="Note 2 13 2 5" xfId="3709" xr:uid="{2FFC3A04-E2D9-4A74-8630-8E8F3AD7448E}"/>
    <cellStyle name="Note 2 13 2 6" xfId="6672" xr:uid="{706A24A1-89DC-415E-98F4-00A35B4CAEAE}"/>
    <cellStyle name="Note 2 13 2 7" xfId="2649" xr:uid="{A7F39933-1270-418C-9278-82FE7B9AE663}"/>
    <cellStyle name="Note 2 13 3" xfId="569" xr:uid="{4AA1261B-348F-49BB-B0BF-474424E2768C}"/>
    <cellStyle name="Note 2 13 3 2" xfId="1374" xr:uid="{D5ECBD26-B20E-4149-99F0-D08ACDE18C26}"/>
    <cellStyle name="Note 2 13 3 2 2" xfId="7145" xr:uid="{5584247B-66EE-4170-901C-853B4C5C1B51}"/>
    <cellStyle name="Note 2 13 3 2 3" xfId="9811" xr:uid="{FEEAB22F-8A1C-49F1-9457-98B277051EB0}"/>
    <cellStyle name="Note 2 13 3 2 4" xfId="4171" xr:uid="{5FDBA106-6882-40E1-B838-19C66491EEF3}"/>
    <cellStyle name="Note 2 13 3 3" xfId="4911" xr:uid="{5B0C6C7A-8A66-4B62-842D-41990D4B2463}"/>
    <cellStyle name="Note 2 13 3 3 2" xfId="7885" xr:uid="{E00DD2E8-36CB-4C3F-9704-6143BAFF6CB8}"/>
    <cellStyle name="Note 2 13 3 4" xfId="5676" xr:uid="{5E9CE6A5-2E46-42FB-8DA0-9616E6F9C393}"/>
    <cellStyle name="Note 2 13 3 4 2" xfId="8650" xr:uid="{B56D7F68-0C67-4277-8AEF-8C317EBD6C3F}"/>
    <cellStyle name="Note 2 13 3 5" xfId="3438" xr:uid="{AF33316E-D2CD-4ABF-A380-1CE8103E0E59}"/>
    <cellStyle name="Note 2 13 3 6" xfId="6349" xr:uid="{7C938BBE-A9C6-4A36-9D97-6A2E3BF9378A}"/>
    <cellStyle name="Note 2 13 3 7" xfId="2326" xr:uid="{C2BAFBD6-4DD0-4455-975E-1775BF93054C}"/>
    <cellStyle name="Note 2 13 4" xfId="1219" xr:uid="{465E5B86-4A42-4824-A189-B811F5C73D5D}"/>
    <cellStyle name="Note 2 13 4 2" xfId="6990" xr:uid="{AF95DF0F-63B6-4FF3-8767-54DE7C777F94}"/>
    <cellStyle name="Note 2 13 4 3" xfId="9656" xr:uid="{013A656D-3FD9-45B3-BD01-1BDF92312AAF}"/>
    <cellStyle name="Note 2 13 4 4" xfId="4016" xr:uid="{C749B289-6E17-438C-B3B3-ADF6D9F935AE}"/>
    <cellStyle name="Note 2 13 5" xfId="3177" xr:uid="{F8BCF879-CB61-4D51-9A2C-F67E8204FF91}"/>
    <cellStyle name="Note 2 13 5 2" xfId="3907" xr:uid="{8C6BEF6F-8A87-41C1-99B1-5FFE5F3A236B}"/>
    <cellStyle name="Note 2 13 6" xfId="4003" xr:uid="{03349940-5E0F-457C-9A2A-A7EABBB07FD2}"/>
    <cellStyle name="Note 2 13 6 2" xfId="6977" xr:uid="{DE39E206-9A71-433D-B6BA-11C1C7A38F11}"/>
    <cellStyle name="Note 2 13 7" xfId="3328" xr:uid="{90926A09-4D23-4E01-88F6-7BF62B38F0DA}"/>
    <cellStyle name="Note 2 13 8" xfId="3223" xr:uid="{99EAC87E-A1FD-47CE-BCD2-689F55AF14E0}"/>
    <cellStyle name="Note 2 13 9" xfId="2171" xr:uid="{034B3A7A-9DD6-458E-ABD2-7AC05FB8F557}"/>
    <cellStyle name="Note 2 14" xfId="650" xr:uid="{2046F96C-DD16-47A1-9730-04878C079EA3}"/>
    <cellStyle name="Note 2 14 2" xfId="1455" xr:uid="{FC45DE80-9F72-4C8E-A2CF-0689CD572D0C}"/>
    <cellStyle name="Note 2 14 2 2" xfId="7226" xr:uid="{AB74E30E-FF68-4D1D-8A95-045C0F380C06}"/>
    <cellStyle name="Note 2 14 2 3" xfId="9892" xr:uid="{BA72DCB6-5968-4FA9-8424-D495A8E6348B}"/>
    <cellStyle name="Note 2 14 2 4" xfId="4252" xr:uid="{AA500912-3B69-42B0-A15E-7BC588503A4B}"/>
    <cellStyle name="Note 2 14 3" xfId="4992" xr:uid="{6B0F1D41-1849-406A-BB56-41E6B6B91157}"/>
    <cellStyle name="Note 2 14 3 2" xfId="7966" xr:uid="{D9D146A0-959B-41FC-AD6A-0DC671F36731}"/>
    <cellStyle name="Note 2 14 4" xfId="5757" xr:uid="{24F62664-C224-4495-831B-5AA314FDB981}"/>
    <cellStyle name="Note 2 14 4 2" xfId="8731" xr:uid="{1CFC8F10-A346-46F5-B219-0BE8E752E7F1}"/>
    <cellStyle name="Note 2 14 5" xfId="3493" xr:uid="{DE37BED1-F923-430E-931E-6B8AEAC84668}"/>
    <cellStyle name="Note 2 14 6" xfId="6430" xr:uid="{EFAABC51-4D15-4319-9EDC-EFD2345CC8A0}"/>
    <cellStyle name="Note 2 14 7" xfId="2407" xr:uid="{5D77DD66-ACCC-413E-BF82-F2AB8109A21F}"/>
    <cellStyle name="Note 2 15" xfId="1169" xr:uid="{3DB7BB6B-7203-4B14-979A-C342C9AE3E5A}"/>
    <cellStyle name="Note 2 15 2" xfId="1974" xr:uid="{47D39DB6-D83B-411D-BDCF-A6B1819C81F1}"/>
    <cellStyle name="Note 2 15 2 2" xfId="7745" xr:uid="{084877E2-70C4-4D5D-A66F-C53F7EE9C11D}"/>
    <cellStyle name="Note 2 15 2 3" xfId="10411" xr:uid="{F61FA86D-9C80-49C0-8E17-9B1B59CE53F2}"/>
    <cellStyle name="Note 2 15 2 4" xfId="4771" xr:uid="{DD5683CB-BDFA-4E64-BFBF-F5437C3884AA}"/>
    <cellStyle name="Note 2 15 3" xfId="5511" xr:uid="{9BDF6412-E6D9-4D07-B256-E32F52B791A2}"/>
    <cellStyle name="Note 2 15 3 2" xfId="8485" xr:uid="{C1C7DF52-4EEC-4485-B005-67A987A34E2F}"/>
    <cellStyle name="Note 2 15 4" xfId="6276" xr:uid="{CE3843F0-E1A7-4396-B6C1-53460DF8A8DF}"/>
    <cellStyle name="Note 2 15 4 2" xfId="9250" xr:uid="{0F2C7A0F-A448-40DA-B9BB-F232A4540B36}"/>
    <cellStyle name="Note 2 15 5" xfId="3951" xr:uid="{6CD74D64-8351-44B3-B794-7F5EFF1EB67A}"/>
    <cellStyle name="Note 2 15 6" xfId="6949" xr:uid="{2F581FE9-5FE8-4655-8A9D-62D9CE225B95}"/>
    <cellStyle name="Note 2 15 7" xfId="2926" xr:uid="{FDCCB553-3A9D-42D6-92C6-36E044281EF8}"/>
    <cellStyle name="Note 2 16" xfId="3080" xr:uid="{88B71EE7-DA95-43D4-9DA1-56994CE9AC34}"/>
    <cellStyle name="Note 2 17" xfId="3161" xr:uid="{17647783-6A9A-4F9B-BE57-E44164E574C0}"/>
    <cellStyle name="Note 2 18" xfId="2000" xr:uid="{21D9118C-0649-46A8-9E13-95478605B1AA}"/>
    <cellStyle name="Note 2 2" xfId="188" xr:uid="{CE54FC19-90E1-4BEA-A6A6-7A82D25513AE}"/>
    <cellStyle name="Note 2 2 10" xfId="2008" xr:uid="{30571A05-BEFF-4191-8552-B85F1742BA07}"/>
    <cellStyle name="Note 2 2 2" xfId="305" xr:uid="{ACBA6051-FADA-455B-83CF-1E5C08F21666}"/>
    <cellStyle name="Note 2 2 2 2" xfId="527" xr:uid="{26E48034-465F-4506-B463-11FF84CFA98B}"/>
    <cellStyle name="Note 2 2 2 2 2" xfId="1006" xr:uid="{59BB9D3E-62E5-4E49-8408-8306AA290AE5}"/>
    <cellStyle name="Note 2 2 2 2 2 2" xfId="1811" xr:uid="{DBD896B6-5222-4185-89D6-245FC2D7EDC1}"/>
    <cellStyle name="Note 2 2 2 2 2 2 2" xfId="7582" xr:uid="{57178870-9433-4778-BC5E-B432C9FC10C9}"/>
    <cellStyle name="Note 2 2 2 2 2 2 3" xfId="10248" xr:uid="{C0BF241D-5A32-413D-A33F-F9FE90C11489}"/>
    <cellStyle name="Note 2 2 2 2 2 2 4" xfId="4608" xr:uid="{FE24FE58-E7D4-4758-919E-675007D086A0}"/>
    <cellStyle name="Note 2 2 2 2 2 3" xfId="5348" xr:uid="{1F059936-90E8-4F09-B01F-45CD43ECB0EA}"/>
    <cellStyle name="Note 2 2 2 2 2 3 2" xfId="8322" xr:uid="{55061AAB-DCB1-4E3E-8ED5-892FD9D9271D}"/>
    <cellStyle name="Note 2 2 2 2 2 4" xfId="6113" xr:uid="{CD79AC8B-9BF4-4246-869E-2158D299D33D}"/>
    <cellStyle name="Note 2 2 2 2 2 4 2" xfId="9087" xr:uid="{2534CC19-D341-486B-9739-EB5593CBFC7F}"/>
    <cellStyle name="Note 2 2 2 2 2 5" xfId="3823" xr:uid="{420B5A9B-3008-4D8E-AA22-BC5889D52CCA}"/>
    <cellStyle name="Note 2 2 2 2 2 6" xfId="6786" xr:uid="{CA6234FA-4EDF-48AA-BFEA-F046CFC2599D}"/>
    <cellStyle name="Note 2 2 2 2 2 7" xfId="2763" xr:uid="{0E6CF72E-7FCE-4AA9-A7C5-97EF60C976F6}"/>
    <cellStyle name="Note 2 2 2 2 3" xfId="686" xr:uid="{D85AC707-17E5-48EC-B4ED-394836010F49}"/>
    <cellStyle name="Note 2 2 2 2 3 2" xfId="1491" xr:uid="{4B39C9E5-F472-4279-AAD6-F7EF1F6D76B0}"/>
    <cellStyle name="Note 2 2 2 2 3 2 2" xfId="7262" xr:uid="{A413847A-A7D8-45BD-90BE-29456F3888EE}"/>
    <cellStyle name="Note 2 2 2 2 3 2 3" xfId="9928" xr:uid="{EFD4B4E2-D0C0-49E5-B05B-A4623965F74B}"/>
    <cellStyle name="Note 2 2 2 2 3 2 4" xfId="4288" xr:uid="{998CECE7-3C02-4AAA-827D-8C501093A411}"/>
    <cellStyle name="Note 2 2 2 2 3 3" xfId="5028" xr:uid="{2B900E1D-5F15-4A59-85F7-742B21B64D65}"/>
    <cellStyle name="Note 2 2 2 2 3 3 2" xfId="8002" xr:uid="{F9CFBB90-2D0C-4BD7-B843-B2D131468CA5}"/>
    <cellStyle name="Note 2 2 2 2 3 4" xfId="5793" xr:uid="{DCFB14D9-ED0F-4E99-B647-F7F9AAF5218E}"/>
    <cellStyle name="Note 2 2 2 2 3 4 2" xfId="8767" xr:uid="{404E62F9-B7B6-4348-9B7A-D971E9B92657}"/>
    <cellStyle name="Note 2 2 2 2 3 5" xfId="3522" xr:uid="{A3B3997C-0E06-4489-99BA-8A8A9FF9C02E}"/>
    <cellStyle name="Note 2 2 2 2 3 6" xfId="6466" xr:uid="{24D9F76C-C400-4B42-B112-54E6090F677F}"/>
    <cellStyle name="Note 2 2 2 2 3 7" xfId="2443" xr:uid="{F321ED4B-2200-4D37-A56A-E10E7D87ACFD}"/>
    <cellStyle name="Note 2 2 2 2 4" xfId="1333" xr:uid="{CA1A32A9-C659-49E6-B7E2-A020FD69C5D9}"/>
    <cellStyle name="Note 2 2 2 2 4 2" xfId="7104" xr:uid="{DF56CDCF-4372-4BF4-80CA-D2EE79305762}"/>
    <cellStyle name="Note 2 2 2 2 4 3" xfId="9770" xr:uid="{EDAA1921-6430-4B33-9ACB-A1D911024D57}"/>
    <cellStyle name="Note 2 2 2 2 4 4" xfId="4130" xr:uid="{AD2F1445-E291-4B8A-A61F-A352EB2C8DB7}"/>
    <cellStyle name="Note 2 2 2 2 5" xfId="4870" xr:uid="{9F9B02D8-7D8F-4E1C-87F8-24239BBEFE88}"/>
    <cellStyle name="Note 2 2 2 2 5 2" xfId="7844" xr:uid="{C59C918A-8964-42CC-B429-BC51096F0E1D}"/>
    <cellStyle name="Note 2 2 2 2 6" xfId="5635" xr:uid="{3CA8B3CE-8B7A-4B45-8CB4-01DA107D19FA}"/>
    <cellStyle name="Note 2 2 2 2 6 2" xfId="8609" xr:uid="{7AA935CC-27F7-4431-A449-07B14219426A}"/>
    <cellStyle name="Note 2 2 2 2 7" xfId="3411" xr:uid="{A62249EB-A2E9-467B-95AD-BC9A26030D5B}"/>
    <cellStyle name="Note 2 2 2 2 8" xfId="6308" xr:uid="{DD1F8B29-60E6-45A1-818D-94E6AD4BC167}"/>
    <cellStyle name="Note 2 2 2 2 9" xfId="2285" xr:uid="{F776E483-BC64-4D6E-AA9A-D0BA50F582D3}"/>
    <cellStyle name="Note 2 2 2 3" xfId="796" xr:uid="{8F7AFB9E-8F17-4B1F-8066-E0E5A8D0AE0B}"/>
    <cellStyle name="Note 2 2 2 3 2" xfId="1601" xr:uid="{C1EB67BD-5B75-4AF0-987C-9A570B264A2D}"/>
    <cellStyle name="Note 2 2 2 3 2 2" xfId="7372" xr:uid="{FE020416-6A53-4A3D-9E83-AC7A80C40C2B}"/>
    <cellStyle name="Note 2 2 2 3 2 3" xfId="10038" xr:uid="{65C698DB-224C-430C-894E-1E9C0914706C}"/>
    <cellStyle name="Note 2 2 2 3 2 4" xfId="4398" xr:uid="{7A97C19C-3CB3-4678-9C91-7A568842FBF2}"/>
    <cellStyle name="Note 2 2 2 3 3" xfId="5138" xr:uid="{42AD07F3-B3B8-4A5B-A7C7-437AB66C6EB5}"/>
    <cellStyle name="Note 2 2 2 3 3 2" xfId="8112" xr:uid="{7B8A3040-748C-4AD0-BD68-0D5279DF988F}"/>
    <cellStyle name="Note 2 2 2 3 4" xfId="5903" xr:uid="{7803EEA8-D137-43C0-910E-B401B07BDE6E}"/>
    <cellStyle name="Note 2 2 2 3 4 2" xfId="8877" xr:uid="{2B759A5E-53A1-4260-9B0D-65AC59AA00D6}"/>
    <cellStyle name="Note 2 2 2 3 5" xfId="3630" xr:uid="{1ED87FFD-69C8-49F4-AA0B-5CF762C3285F}"/>
    <cellStyle name="Note 2 2 2 3 6" xfId="6576" xr:uid="{2AEDB9DB-F8DF-428C-8608-5B66E6FDB216}"/>
    <cellStyle name="Note 2 2 2 3 7" xfId="2553" xr:uid="{4171C806-8755-4090-986C-261B8AD46A52}"/>
    <cellStyle name="Note 2 2 2 4" xfId="1111" xr:uid="{965680B7-796C-42B1-AA64-563395ECEC27}"/>
    <cellStyle name="Note 2 2 2 4 2" xfId="1916" xr:uid="{0C34C49D-55B1-4E66-9EFA-391E53A83618}"/>
    <cellStyle name="Note 2 2 2 4 2 2" xfId="7687" xr:uid="{4C0236B1-3F23-44BA-8089-68972BB45C83}"/>
    <cellStyle name="Note 2 2 2 4 2 3" xfId="10353" xr:uid="{C66FB3DD-534D-4808-A5C9-B613AB8E6945}"/>
    <cellStyle name="Note 2 2 2 4 2 4" xfId="4713" xr:uid="{5E6C17FF-03CA-4D43-97AA-5809A526E704}"/>
    <cellStyle name="Note 2 2 2 4 3" xfId="5453" xr:uid="{8C9E9DC6-30C3-455E-A4E3-322934773009}"/>
    <cellStyle name="Note 2 2 2 4 3 2" xfId="8427" xr:uid="{BCA8A718-A3D9-4CA0-9954-FAFD6441A5DF}"/>
    <cellStyle name="Note 2 2 2 4 4" xfId="6218" xr:uid="{63A0977B-2BFD-4842-BD17-EDD52BB710D5}"/>
    <cellStyle name="Note 2 2 2 4 4 2" xfId="9192" xr:uid="{B64F0A6A-7012-420C-A6F4-7829CBB9CEDA}"/>
    <cellStyle name="Note 2 2 2 4 5" xfId="3916" xr:uid="{A6681D8C-DC10-4A50-A6E3-436BC2F5C345}"/>
    <cellStyle name="Note 2 2 2 4 6" xfId="6891" xr:uid="{1CB21F75-3D2F-4623-9A1A-56D639B9F8E9}"/>
    <cellStyle name="Note 2 2 2 4 7" xfId="2868" xr:uid="{129E555D-FECD-401A-836D-D537AF69E9C7}"/>
    <cellStyle name="Note 2 2 2 5" xfId="3135" xr:uid="{7B87C7D5-778F-42A8-BDBF-3D20E039C85D}"/>
    <cellStyle name="Note 2 2 2 5 2" xfId="3365" xr:uid="{C7E166F6-2DA6-4B3B-8266-9E9349DE387D}"/>
    <cellStyle name="Note 2 2 2 6" xfId="3230" xr:uid="{DD72887B-961B-442B-A7BB-8720D2ECD872}"/>
    <cellStyle name="Note 2 2 2 7" xfId="3973" xr:uid="{F8159D07-3A5D-4E31-B8E0-3485FA11E6DF}"/>
    <cellStyle name="Note 2 2 2 8" xfId="2123" xr:uid="{355C7E47-F724-4B0E-96F4-FD59CCA014C7}"/>
    <cellStyle name="Note 2 2 3" xfId="249" xr:uid="{74FE51B8-3811-4C3D-9F8F-E7682A21CEAD}"/>
    <cellStyle name="Note 2 2 3 2" xfId="473" xr:uid="{73B31FE6-84CB-4EE2-BEA2-3B3EED631CA7}"/>
    <cellStyle name="Note 2 2 3 2 2" xfId="952" xr:uid="{97093FF9-08D7-46E3-A000-E1E058584E78}"/>
    <cellStyle name="Note 2 2 3 2 2 2" xfId="1757" xr:uid="{610CCA27-99CF-47F8-8FDE-3D6C4659F152}"/>
    <cellStyle name="Note 2 2 3 2 2 2 2" xfId="7528" xr:uid="{BD20FBAA-98F6-4B95-82EA-612582C4DBB3}"/>
    <cellStyle name="Note 2 2 3 2 2 2 3" xfId="10194" xr:uid="{6777293D-89C7-4995-8E37-031D03C63C70}"/>
    <cellStyle name="Note 2 2 3 2 2 2 4" xfId="4554" xr:uid="{BC77A9CF-B725-46C0-B174-8BCADDB98BBF}"/>
    <cellStyle name="Note 2 2 3 2 2 3" xfId="5294" xr:uid="{7B68FA54-FDBA-48F1-B1B7-205CDED57AB2}"/>
    <cellStyle name="Note 2 2 3 2 2 3 2" xfId="8268" xr:uid="{0AF1AD6D-C72D-4CCF-B6C3-0CF02F8447CF}"/>
    <cellStyle name="Note 2 2 3 2 2 4" xfId="6059" xr:uid="{C595C65B-D040-4CF8-BC55-57B5E0ABE351}"/>
    <cellStyle name="Note 2 2 3 2 2 4 2" xfId="9033" xr:uid="{9A51B6CB-093B-4028-871F-9DA8756338F0}"/>
    <cellStyle name="Note 2 2 3 2 2 5" xfId="3769" xr:uid="{72B73EA1-3D77-4611-855D-B546E5385CF4}"/>
    <cellStyle name="Note 2 2 3 2 2 6" xfId="6732" xr:uid="{BEE6D902-C661-4710-A694-13AB63AB6287}"/>
    <cellStyle name="Note 2 2 3 2 2 7" xfId="2709" xr:uid="{894E7F13-0CE2-4690-BD5F-36E7325E99C6}"/>
    <cellStyle name="Note 2 2 3 2 3" xfId="1078" xr:uid="{67755A99-6F8A-4124-9CEC-DD5BBE14AA9F}"/>
    <cellStyle name="Note 2 2 3 2 3 2" xfId="1883" xr:uid="{79F579DB-D8F7-4CC9-8007-E55740295FC7}"/>
    <cellStyle name="Note 2 2 3 2 3 2 2" xfId="7654" xr:uid="{2D9F0A84-2961-4A0C-8B21-FAA4393AC5CB}"/>
    <cellStyle name="Note 2 2 3 2 3 2 3" xfId="10320" xr:uid="{AFCE36A8-F257-4A2B-A2D5-84BD342F7DEB}"/>
    <cellStyle name="Note 2 2 3 2 3 2 4" xfId="4680" xr:uid="{BD5A7F66-D3D5-4F34-BA1E-40006FF315E3}"/>
    <cellStyle name="Note 2 2 3 2 3 3" xfId="5420" xr:uid="{5716DFF7-A194-4523-BDB0-464972B2092B}"/>
    <cellStyle name="Note 2 2 3 2 3 3 2" xfId="8394" xr:uid="{134E5AEE-4532-4CF4-8735-96FDB97312B6}"/>
    <cellStyle name="Note 2 2 3 2 3 4" xfId="6185" xr:uid="{BE110E98-033D-4F59-8A18-15967FF0611F}"/>
    <cellStyle name="Note 2 2 3 2 3 4 2" xfId="9159" xr:uid="{B84DE418-5C1D-43D0-ACBB-F0E073481378}"/>
    <cellStyle name="Note 2 2 3 2 3 5" xfId="3893" xr:uid="{9DA2BD09-AF43-4887-ABFB-0AFA035201CA}"/>
    <cellStyle name="Note 2 2 3 2 3 6" xfId="6858" xr:uid="{6FB5488F-6871-4863-9FAE-FBFF326C8605}"/>
    <cellStyle name="Note 2 2 3 2 3 7" xfId="2835" xr:uid="{1DA4B28F-D3E1-49B7-874B-BDF39CFCF283}"/>
    <cellStyle name="Note 2 2 3 2 4" xfId="1279" xr:uid="{BA2E6D4A-6274-4B20-BBF9-A7043A295211}"/>
    <cellStyle name="Note 2 2 3 2 4 2" xfId="7050" xr:uid="{0671A888-C526-4A0D-985C-EEF94D0A78A1}"/>
    <cellStyle name="Note 2 2 3 2 4 3" xfId="9716" xr:uid="{C6A66E5D-AD25-4A0C-BEEF-8CBD7B49BA7E}"/>
    <cellStyle name="Note 2 2 3 2 4 4" xfId="4076" xr:uid="{7A6F753E-6A99-4BEC-AEEC-249D0172990A}"/>
    <cellStyle name="Note 2 2 3 2 5" xfId="4816" xr:uid="{8EF3868E-220B-4577-9B64-662DE44A6699}"/>
    <cellStyle name="Note 2 2 3 2 5 2" xfId="7790" xr:uid="{1ACA5267-B8AA-4B9B-BE82-28EF8354B1D4}"/>
    <cellStyle name="Note 2 2 3 2 6" xfId="5581" xr:uid="{857FF3E2-CADA-49DA-8495-AE4348DCC413}"/>
    <cellStyle name="Note 2 2 3 2 6 2" xfId="8555" xr:uid="{8B332A5A-F3E9-418D-80A2-F578D45EA5EF}"/>
    <cellStyle name="Note 2 2 3 2 7" xfId="3373" xr:uid="{DA0D37DD-1ABD-40C1-A4F3-B51033B63877}"/>
    <cellStyle name="Note 2 2 3 2 8" xfId="3298" xr:uid="{D3AAB883-2718-4131-BCF3-33DA1B02684D}"/>
    <cellStyle name="Note 2 2 3 2 9" xfId="2231" xr:uid="{6FDF5511-CEF2-42AE-AFB1-8570743D5E42}"/>
    <cellStyle name="Note 2 2 3 3" xfId="741" xr:uid="{2417548F-940D-47BE-8284-A199393BD428}"/>
    <cellStyle name="Note 2 2 3 3 2" xfId="1546" xr:uid="{472BE20C-E9F6-451A-9404-2C4A7935CE50}"/>
    <cellStyle name="Note 2 2 3 3 2 2" xfId="7317" xr:uid="{E848DCED-EA2C-4585-9B1B-329068C00FDD}"/>
    <cellStyle name="Note 2 2 3 3 2 3" xfId="9983" xr:uid="{CE889E8E-5477-46E4-8A4B-4EE91565D80C}"/>
    <cellStyle name="Note 2 2 3 3 2 4" xfId="4343" xr:uid="{A34D27A7-1A34-4E0B-A296-D629F89E882B}"/>
    <cellStyle name="Note 2 2 3 3 3" xfId="5083" xr:uid="{4DE8B512-7698-433A-8F4A-47CF6FC37DA5}"/>
    <cellStyle name="Note 2 2 3 3 3 2" xfId="8057" xr:uid="{4591471D-046F-4DAA-AC87-EA6C635804B3}"/>
    <cellStyle name="Note 2 2 3 3 4" xfId="5848" xr:uid="{387CD9A1-9381-46EA-87A5-38547A829316}"/>
    <cellStyle name="Note 2 2 3 3 4 2" xfId="8822" xr:uid="{8B1F2954-5683-4B64-BA31-E9D149DAB05C}"/>
    <cellStyle name="Note 2 2 3 3 5" xfId="3576" xr:uid="{17C832F9-2172-4112-9FB3-5F0E3CE54DE5}"/>
    <cellStyle name="Note 2 2 3 3 6" xfId="6521" xr:uid="{62B9C9FB-1F25-410B-99E4-920E653085C7}"/>
    <cellStyle name="Note 2 2 3 3 7" xfId="2498" xr:uid="{76246098-8F22-4471-9D8C-FBB03C70FE45}"/>
    <cellStyle name="Note 2 2 3 4" xfId="586" xr:uid="{CFAB2C61-9519-4FEB-9BDC-9351E4FEAB6A}"/>
    <cellStyle name="Note 2 2 3 4 2" xfId="1391" xr:uid="{F8ED366F-A75B-4972-9731-F67FDEB655EE}"/>
    <cellStyle name="Note 2 2 3 4 2 2" xfId="7162" xr:uid="{9761A1F7-A17E-46E0-98D5-D3866378089B}"/>
    <cellStyle name="Note 2 2 3 4 2 3" xfId="9828" xr:uid="{0A2B10C4-8278-4240-95EA-31E9439C1733}"/>
    <cellStyle name="Note 2 2 3 4 2 4" xfId="4188" xr:uid="{CB43938E-2320-4EC3-B76B-7982EABD687E}"/>
    <cellStyle name="Note 2 2 3 4 3" xfId="4928" xr:uid="{0E09B646-86F7-4600-8F56-82E28C1FAC9B}"/>
    <cellStyle name="Note 2 2 3 4 3 2" xfId="7902" xr:uid="{1753CF9B-8502-477D-9C15-827AF40CEF46}"/>
    <cellStyle name="Note 2 2 3 4 4" xfId="5693" xr:uid="{907863EF-B1A3-448C-9A0E-C0BF9BA29B8E}"/>
    <cellStyle name="Note 2 2 3 4 4 2" xfId="8667" xr:uid="{BC9E5A30-0AD3-4CCD-ABB5-805533A86DA0}"/>
    <cellStyle name="Note 2 2 3 4 5" xfId="3449" xr:uid="{8DA77419-2BD3-4AD2-97DC-900A3D6BF84D}"/>
    <cellStyle name="Note 2 2 3 4 6" xfId="6366" xr:uid="{E652B9F8-8F18-4DF6-BF85-86B2E9DAC4F6}"/>
    <cellStyle name="Note 2 2 3 4 7" xfId="2343" xr:uid="{7FB1B825-8E43-4320-850B-1855FED02558}"/>
    <cellStyle name="Note 2 2 3 5" xfId="3176" xr:uid="{406B6757-4A07-44C4-94A0-96F56693ED0F}"/>
    <cellStyle name="Note 2 2 3 5 2" xfId="3195" xr:uid="{509ED441-2FDB-49D8-9E04-72190E1A0A52}"/>
    <cellStyle name="Note 2 2 3 6" xfId="3186" xr:uid="{6434370E-3CDC-4EC7-8BE3-7A55D0A62B7C}"/>
    <cellStyle name="Note 2 2 3 7" xfId="3378" xr:uid="{216C1548-85DE-4B16-A0A9-1D37DE15C579}"/>
    <cellStyle name="Note 2 2 3 8" xfId="2066" xr:uid="{6936C7D7-630C-4876-95AE-14B26E6AE7D4}"/>
    <cellStyle name="Note 2 2 4" xfId="204" xr:uid="{E272204B-EE84-406A-BEEE-5B39910FC6D7}"/>
    <cellStyle name="Note 2 2 4 2" xfId="428" xr:uid="{158F5444-13D3-4C7C-9A0B-FB1B9DF10F84}"/>
    <cellStyle name="Note 2 2 4 2 2" xfId="907" xr:uid="{8556576D-ACE7-4870-8E29-47E0ADD44BE0}"/>
    <cellStyle name="Note 2 2 4 2 2 2" xfId="1712" xr:uid="{5346081F-8943-4433-94E7-3AC6C078961A}"/>
    <cellStyle name="Note 2 2 4 2 2 2 2" xfId="7483" xr:uid="{811A6DBB-A9EF-4035-956B-FFBD2BD9E1D0}"/>
    <cellStyle name="Note 2 2 4 2 2 2 3" xfId="10149" xr:uid="{42E4C680-BE86-4F1B-8B53-F9022F322DF3}"/>
    <cellStyle name="Note 2 2 4 2 2 2 4" xfId="4509" xr:uid="{50596249-F288-488A-89F4-6E217150385A}"/>
    <cellStyle name="Note 2 2 4 2 2 3" xfId="5249" xr:uid="{E6FD8329-310B-4365-B471-31A789B45557}"/>
    <cellStyle name="Note 2 2 4 2 2 3 2" xfId="8223" xr:uid="{3B5B1EC6-4B79-4BC4-A2F9-E51CFD9C3C9A}"/>
    <cellStyle name="Note 2 2 4 2 2 4" xfId="6014" xr:uid="{42830B84-D4E5-4A25-A7A7-927985F00EA9}"/>
    <cellStyle name="Note 2 2 4 2 2 4 2" xfId="8988" xr:uid="{1B64EB44-C490-4C9E-BB7F-3DD3003DD245}"/>
    <cellStyle name="Note 2 2 4 2 2 5" xfId="3724" xr:uid="{D09CBCA6-D7E0-4F47-878F-2E2B2F70F743}"/>
    <cellStyle name="Note 2 2 4 2 2 6" xfId="6687" xr:uid="{09E129CE-7E21-4962-AFE6-B96A9DBC4306}"/>
    <cellStyle name="Note 2 2 4 2 2 7" xfId="2664" xr:uid="{BB909EE3-FC31-486D-B0C1-7E7884632E26}"/>
    <cellStyle name="Note 2 2 4 2 3" xfId="885" xr:uid="{B0E1E2C3-086A-417C-AA34-7E352694424D}"/>
    <cellStyle name="Note 2 2 4 2 3 2" xfId="1690" xr:uid="{236907F4-ADD4-4E6E-A88C-56504AE21251}"/>
    <cellStyle name="Note 2 2 4 2 3 2 2" xfId="7461" xr:uid="{0F91C92B-9468-4A9C-9071-CEAAC128BA80}"/>
    <cellStyle name="Note 2 2 4 2 3 2 3" xfId="10127" xr:uid="{3D4D40BB-CD9A-4B07-8769-616C44D0BF80}"/>
    <cellStyle name="Note 2 2 4 2 3 2 4" xfId="4487" xr:uid="{84D4375F-64D2-489C-A13B-B710C02EFB78}"/>
    <cellStyle name="Note 2 2 4 2 3 3" xfId="5227" xr:uid="{6F9E038F-B1E5-497C-A725-CC638EAF8F51}"/>
    <cellStyle name="Note 2 2 4 2 3 3 2" xfId="8201" xr:uid="{D98F5523-AC49-4807-B7F7-AE37A478A3D7}"/>
    <cellStyle name="Note 2 2 4 2 3 4" xfId="5992" xr:uid="{190333DD-09E4-440F-A413-F20514F36CAD}"/>
    <cellStyle name="Note 2 2 4 2 3 4 2" xfId="8966" xr:uid="{1A2605E1-3205-4FF3-92F7-7E8958859630}"/>
    <cellStyle name="Note 2 2 4 2 3 5" xfId="3705" xr:uid="{4022C46B-332C-4E91-9E4A-AE7577A8B006}"/>
    <cellStyle name="Note 2 2 4 2 3 6" xfId="6665" xr:uid="{4C052F06-6AB9-48E3-9EF4-79DB85AEC0D5}"/>
    <cellStyle name="Note 2 2 4 2 3 7" xfId="2642" xr:uid="{25D21A75-E36D-4B60-90DD-77C74B5C083C}"/>
    <cellStyle name="Note 2 2 4 2 4" xfId="1234" xr:uid="{4D70EA56-A797-47AD-AE5B-8C198B7930B1}"/>
    <cellStyle name="Note 2 2 4 2 4 2" xfId="7005" xr:uid="{606AAD40-A3C1-436C-811A-DE77493E921C}"/>
    <cellStyle name="Note 2 2 4 2 4 3" xfId="9671" xr:uid="{73C2D20F-2F5A-4748-8AB6-0628D8973B91}"/>
    <cellStyle name="Note 2 2 4 2 4 4" xfId="4031" xr:uid="{9CDD9BE0-6A07-4B4D-9D6A-1F6D70196BE4}"/>
    <cellStyle name="Note 2 2 4 2 5" xfId="3264" xr:uid="{87E29E3A-3FB0-408E-8F53-8515D198D448}"/>
    <cellStyle name="Note 2 2 4 2 5 2" xfId="3308" xr:uid="{C30C00B8-66CE-4D9B-929E-E3CB5E2B7C42}"/>
    <cellStyle name="Note 2 2 4 2 6" xfId="5536" xr:uid="{8EB9BCEF-3061-4CD9-A973-E57572E8B382}"/>
    <cellStyle name="Note 2 2 4 2 6 2" xfId="8510" xr:uid="{B2F2D2B7-8980-4DFE-98C0-ADD9571561BA}"/>
    <cellStyle name="Note 2 2 4 2 7" xfId="3340" xr:uid="{DC102B2E-98E5-448E-8CBF-034F5D9B4537}"/>
    <cellStyle name="Note 2 2 4 2 8" xfId="3040" xr:uid="{48745E37-C8D3-46FB-9B17-702DF6BE329E}"/>
    <cellStyle name="Note 2 2 4 2 9" xfId="2186" xr:uid="{244F53C5-B509-4210-8435-B791E3BB0BE2}"/>
    <cellStyle name="Note 2 2 4 3" xfId="696" xr:uid="{EEFBFB2B-D8BE-4CFB-8E62-10E729D56739}"/>
    <cellStyle name="Note 2 2 4 3 2" xfId="1501" xr:uid="{CCB19B87-4658-4823-BA13-457CD5B29249}"/>
    <cellStyle name="Note 2 2 4 3 2 2" xfId="7272" xr:uid="{7B229968-2C7C-4365-BDDF-2424168D54B2}"/>
    <cellStyle name="Note 2 2 4 3 2 3" xfId="9938" xr:uid="{7034A1A7-9B25-401A-BC60-36EC1C3A5A5C}"/>
    <cellStyle name="Note 2 2 4 3 2 4" xfId="4298" xr:uid="{52ECE24D-A521-4E50-AB5C-6AC54A5B72AF}"/>
    <cellStyle name="Note 2 2 4 3 3" xfId="5038" xr:uid="{0BCC7B4D-DC88-4589-B7BA-7F3E2FB73AA9}"/>
    <cellStyle name="Note 2 2 4 3 3 2" xfId="8012" xr:uid="{92F6C25B-9AB0-4136-9936-403916BB468E}"/>
    <cellStyle name="Note 2 2 4 3 4" xfId="5803" xr:uid="{7153DCA1-18AA-4F9D-AA11-35615409484D}"/>
    <cellStyle name="Note 2 2 4 3 4 2" xfId="8777" xr:uid="{B9DFF0A8-8CDD-4375-A062-A026C944EA8E}"/>
    <cellStyle name="Note 2 2 4 3 5" xfId="3531" xr:uid="{F4586A1C-277D-4F9F-AA58-91519322DC7E}"/>
    <cellStyle name="Note 2 2 4 3 6" xfId="6476" xr:uid="{AED00AA2-3C08-4132-A16E-7F6E619F42F4}"/>
    <cellStyle name="Note 2 2 4 3 7" xfId="2453" xr:uid="{64F1498A-3285-478D-983A-0BDDB3BF1085}"/>
    <cellStyle name="Note 2 2 4 4" xfId="643" xr:uid="{5925D8A2-A703-4D36-9503-BC784412806D}"/>
    <cellStyle name="Note 2 2 4 4 2" xfId="1448" xr:uid="{02AB8EB7-4AF3-43C6-B339-22F795DE47F6}"/>
    <cellStyle name="Note 2 2 4 4 2 2" xfId="7219" xr:uid="{806909CA-49F8-4265-A5C2-284F6CD447FE}"/>
    <cellStyle name="Note 2 2 4 4 2 3" xfId="9885" xr:uid="{4ABAB00E-B870-4BE7-A66F-DD0432B1B68B}"/>
    <cellStyle name="Note 2 2 4 4 2 4" xfId="4245" xr:uid="{5B736DB7-6CE0-4F10-B353-F35CE280210C}"/>
    <cellStyle name="Note 2 2 4 4 3" xfId="4985" xr:uid="{CBC5D9F6-FC03-42C5-A452-3F9FB885DC67}"/>
    <cellStyle name="Note 2 2 4 4 3 2" xfId="7959" xr:uid="{802345F5-6EE2-4FA3-93BD-87D57A9BF451}"/>
    <cellStyle name="Note 2 2 4 4 4" xfId="5750" xr:uid="{347066A5-B810-4DAD-A609-19190B0CE9CC}"/>
    <cellStyle name="Note 2 2 4 4 4 2" xfId="8724" xr:uid="{8C940710-C6F1-43ED-8C6D-2D8DE53E29CC}"/>
    <cellStyle name="Note 2 2 4 4 5" xfId="3488" xr:uid="{D0D6904F-9162-4987-9B7D-9E2BFD8A66AF}"/>
    <cellStyle name="Note 2 2 4 4 6" xfId="6423" xr:uid="{2AE56DDD-CB78-44FE-B571-C87D7AC6EF1B}"/>
    <cellStyle name="Note 2 2 4 4 7" xfId="2400" xr:uid="{7DB4A8FB-8A0C-4244-A0E4-390592F71AD5}"/>
    <cellStyle name="Note 2 2 4 5" xfId="3217" xr:uid="{925D9284-755B-4412-9CEF-E1EAB932C1FB}"/>
    <cellStyle name="Note 2 2 4 5 2" xfId="3989" xr:uid="{0AE5C1CD-E302-425B-8A36-EF5944764167}"/>
    <cellStyle name="Note 2 2 4 6" xfId="3144" xr:uid="{06BE81FB-9475-463C-B488-A42637CCFCB6}"/>
    <cellStyle name="Note 2 2 4 7" xfId="3169" xr:uid="{506F81D4-A04C-468F-9266-1E73CF6862E8}"/>
    <cellStyle name="Note 2 2 4 8" xfId="2019" xr:uid="{69D84D49-3871-4984-A634-D2E9674F437A}"/>
    <cellStyle name="Note 2 2 5" xfId="419" xr:uid="{876428B4-C26A-48A1-AC9E-AAD9ED0AE90C}"/>
    <cellStyle name="Note 2 2 5 2" xfId="898" xr:uid="{A797BC7B-8061-4EC8-9721-8F5A1CEF2ABD}"/>
    <cellStyle name="Note 2 2 5 2 2" xfId="1703" xr:uid="{6F3CF870-9B98-4212-936F-60342E311264}"/>
    <cellStyle name="Note 2 2 5 2 2 2" xfId="7474" xr:uid="{FFB489A1-6935-47E1-B5AB-88450402B5BB}"/>
    <cellStyle name="Note 2 2 5 2 2 3" xfId="10140" xr:uid="{2B3E2477-EA72-4F0E-A5A1-72B706B95497}"/>
    <cellStyle name="Note 2 2 5 2 2 4" xfId="4500" xr:uid="{0F954428-A653-4119-AFC2-7D66567B366D}"/>
    <cellStyle name="Note 2 2 5 2 3" xfId="5240" xr:uid="{56771E77-9E41-47D8-9329-A583584729C5}"/>
    <cellStyle name="Note 2 2 5 2 3 2" xfId="8214" xr:uid="{F6E805A5-E940-49BA-B0DF-6AA0B8EB59A1}"/>
    <cellStyle name="Note 2 2 5 2 4" xfId="6005" xr:uid="{52338FBF-486B-4823-800E-4137A0CB6F27}"/>
    <cellStyle name="Note 2 2 5 2 4 2" xfId="8979" xr:uid="{0D3AE657-EF6B-41AB-94DB-C2EDEBE1BD0C}"/>
    <cellStyle name="Note 2 2 5 2 5" xfId="3715" xr:uid="{84B84679-A9F2-4100-8221-FA567DFF63BE}"/>
    <cellStyle name="Note 2 2 5 2 6" xfId="6678" xr:uid="{434B4E40-FC38-4185-A3F1-9D2E44188B5C}"/>
    <cellStyle name="Note 2 2 5 2 7" xfId="2655" xr:uid="{978B8DFE-CC2C-4797-8753-2C5E629BE494}"/>
    <cellStyle name="Note 2 2 5 3" xfId="836" xr:uid="{A278D256-A400-4AC4-B5A2-E1F62002E4AA}"/>
    <cellStyle name="Note 2 2 5 3 2" xfId="1641" xr:uid="{14CB8F11-391B-412A-9AE8-17D0251FC7C4}"/>
    <cellStyle name="Note 2 2 5 3 2 2" xfId="7412" xr:uid="{291ED00E-E444-4F9D-BFBE-D60C29C13665}"/>
    <cellStyle name="Note 2 2 5 3 2 3" xfId="10078" xr:uid="{23347640-5C75-434D-938B-8A14A4DA0FCB}"/>
    <cellStyle name="Note 2 2 5 3 2 4" xfId="4438" xr:uid="{59F9B9CB-1E5A-47DA-861A-5BA6AA7E391E}"/>
    <cellStyle name="Note 2 2 5 3 3" xfId="5178" xr:uid="{ECC0CA3F-B64B-4A77-9CE6-07B519615C32}"/>
    <cellStyle name="Note 2 2 5 3 3 2" xfId="8152" xr:uid="{E84F6851-0068-4673-BD73-717E7BE62106}"/>
    <cellStyle name="Note 2 2 5 3 4" xfId="5943" xr:uid="{92E34819-7119-418C-BC2D-F42B8AD34FBB}"/>
    <cellStyle name="Note 2 2 5 3 4 2" xfId="8917" xr:uid="{1237E7E2-8234-481D-9239-882813786C71}"/>
    <cellStyle name="Note 2 2 5 3 5" xfId="3670" xr:uid="{BBE58C4A-C527-4431-89A5-7326E610DA14}"/>
    <cellStyle name="Note 2 2 5 3 6" xfId="6616" xr:uid="{A749D522-9BD1-4792-8B58-B96F8BC01CB5}"/>
    <cellStyle name="Note 2 2 5 3 7" xfId="2593" xr:uid="{DA71C3D4-23ED-4A7B-81BB-E4F57AE1B279}"/>
    <cellStyle name="Note 2 2 5 4" xfId="1225" xr:uid="{96B8FC0D-C077-4E19-A539-5287DC42E576}"/>
    <cellStyle name="Note 2 2 5 4 2" xfId="6996" xr:uid="{CD11A0C3-93C7-4DA7-A87C-03A681C24A34}"/>
    <cellStyle name="Note 2 2 5 4 3" xfId="9662" xr:uid="{3EBCF10E-6E0D-4FDC-9639-740E07F9E180}"/>
    <cellStyle name="Note 2 2 5 4 4" xfId="4022" xr:uid="{31C527B8-8BF3-474F-96F1-603EE8929E4B}"/>
    <cellStyle name="Note 2 2 5 5" xfId="3269" xr:uid="{B6639595-4CB2-407E-886F-3A9B77CC6518}"/>
    <cellStyle name="Note 2 2 5 5 2" xfId="3014" xr:uid="{8DFCA33C-B42F-4DB3-824C-B4F1909F9E04}"/>
    <cellStyle name="Note 2 2 5 6" xfId="4009" xr:uid="{6CFAE4E3-EAC2-462F-A2E1-4BC57B400247}"/>
    <cellStyle name="Note 2 2 5 6 2" xfId="6983" xr:uid="{23A619B2-387F-4028-A061-4C82EABC2F29}"/>
    <cellStyle name="Note 2 2 5 7" xfId="3333" xr:uid="{7FE05490-51B5-4207-B714-EC7D21861DAD}"/>
    <cellStyle name="Note 2 2 5 8" xfId="3039" xr:uid="{7A49222C-6B0D-400E-B18E-47E2C2B65458}"/>
    <cellStyle name="Note 2 2 5 9" xfId="2177" xr:uid="{B1724A9E-CDF5-4E70-BCF3-DF4330FBBA87}"/>
    <cellStyle name="Note 2 2 6" xfId="682" xr:uid="{A5394D78-A95B-486A-8A3C-8B331B8AF99C}"/>
    <cellStyle name="Note 2 2 6 2" xfId="1487" xr:uid="{6DF7AFFC-B80E-435C-A84B-5AFCAA5B924B}"/>
    <cellStyle name="Note 2 2 6 2 2" xfId="7258" xr:uid="{AB111E0B-D7B3-47A0-9252-F2B5620FEFAA}"/>
    <cellStyle name="Note 2 2 6 2 3" xfId="9924" xr:uid="{106DF824-4E0B-469F-A8D3-43488ED46C3E}"/>
    <cellStyle name="Note 2 2 6 2 4" xfId="4284" xr:uid="{72012FD8-A9F0-4766-A3DE-FCE3B3B64D63}"/>
    <cellStyle name="Note 2 2 6 3" xfId="5024" xr:uid="{F7A9D0ED-1B94-4C85-9CC4-8B0B4523C555}"/>
    <cellStyle name="Note 2 2 6 3 2" xfId="7998" xr:uid="{F155407C-EF0A-4C0B-B901-901ACE7A97B6}"/>
    <cellStyle name="Note 2 2 6 4" xfId="5789" xr:uid="{5C965892-C1FE-4D0E-A110-CF7513985DC6}"/>
    <cellStyle name="Note 2 2 6 4 2" xfId="8763" xr:uid="{CD51ACA4-B480-468B-8146-EFF8CCB74B14}"/>
    <cellStyle name="Note 2 2 6 5" xfId="3518" xr:uid="{41CF89B5-00BF-4D8D-8145-6F17AF9913C1}"/>
    <cellStyle name="Note 2 2 6 6" xfId="6462" xr:uid="{35FECA0D-1AC6-4BF6-B830-BD9D37237BE4}"/>
    <cellStyle name="Note 2 2 6 7" xfId="2439" xr:uid="{AFFC1F40-FA70-43F2-93A4-21E738BBF429}"/>
    <cellStyle name="Note 2 2 7" xfId="1186" xr:uid="{CA8AE24E-C341-4804-BBE4-4C98EA71465E}"/>
    <cellStyle name="Note 2 2 7 2" xfId="1991" xr:uid="{1D275215-6451-4724-8CC5-4C63EF62C30B}"/>
    <cellStyle name="Note 2 2 7 2 2" xfId="7762" xr:uid="{6E2DB154-5957-43DE-88F6-2547E1B0A77A}"/>
    <cellStyle name="Note 2 2 7 2 3" xfId="10428" xr:uid="{E025980A-FE16-4D69-AB3F-75252E155E42}"/>
    <cellStyle name="Note 2 2 7 2 4" xfId="4788" xr:uid="{BCF20FB6-0B0A-42CA-A1E3-3D7E5E03D188}"/>
    <cellStyle name="Note 2 2 7 3" xfId="5528" xr:uid="{3F65EA7E-CB36-4CB9-B21A-C24CD71ED7F8}"/>
    <cellStyle name="Note 2 2 7 3 2" xfId="8502" xr:uid="{02101283-B62E-4614-98A2-805CF03DBD36}"/>
    <cellStyle name="Note 2 2 7 4" xfId="6293" xr:uid="{F25CA030-4A74-486B-9D4C-0A4D8B6379AD}"/>
    <cellStyle name="Note 2 2 7 4 2" xfId="9267" xr:uid="{6C9486F3-228D-4C48-9D8D-FC2C1559D4E2}"/>
    <cellStyle name="Note 2 2 7 5" xfId="3960" xr:uid="{FCDE8636-8A4A-4BA3-BC8A-61B503931F47}"/>
    <cellStyle name="Note 2 2 7 6" xfId="6966" xr:uid="{1147D05A-5C70-4B02-B85D-3191957A411A}"/>
    <cellStyle name="Note 2 2 7 7" xfId="2943" xr:uid="{CAB1AE30-C22B-4396-B554-614969019511}"/>
    <cellStyle name="Note 2 2 8" xfId="3121" xr:uid="{5D1BD5D8-D3FF-421C-AF30-44D99E21D34E}"/>
    <cellStyle name="Note 2 2 9" xfId="3472" xr:uid="{DD22596B-7797-4499-8056-167552F04014}"/>
    <cellStyle name="Note 2 3" xfId="207" xr:uid="{3E2A5E56-A474-449E-9619-BDD073A4C706}"/>
    <cellStyle name="Note 2 3 10" xfId="2022" xr:uid="{39BE98FB-F337-4F51-B512-38EFE5ADB03D}"/>
    <cellStyle name="Note 2 3 2" xfId="311" xr:uid="{FD91BCDF-9654-4DCE-B555-B0F59CD49B74}"/>
    <cellStyle name="Note 2 3 2 2" xfId="533" xr:uid="{47466ADB-8672-4805-BD41-2EC2F533E740}"/>
    <cellStyle name="Note 2 3 2 2 2" xfId="1012" xr:uid="{182D3CBE-C002-4A9F-BA0E-D89CD697CE10}"/>
    <cellStyle name="Note 2 3 2 2 2 2" xfId="1817" xr:uid="{1F7E2AA9-E323-4EBA-BCFE-019C907B6A95}"/>
    <cellStyle name="Note 2 3 2 2 2 2 2" xfId="7588" xr:uid="{D248742E-3382-4A11-8820-0E0A6E60FA5D}"/>
    <cellStyle name="Note 2 3 2 2 2 2 3" xfId="10254" xr:uid="{6FCA1BC3-BFF3-4B79-9708-B1BAF1969104}"/>
    <cellStyle name="Note 2 3 2 2 2 2 4" xfId="4614" xr:uid="{043519CC-73B4-4807-B20C-F96EFC93F908}"/>
    <cellStyle name="Note 2 3 2 2 2 3" xfId="5354" xr:uid="{93B52B91-6494-4761-931C-27C4C92FC817}"/>
    <cellStyle name="Note 2 3 2 2 2 3 2" xfId="8328" xr:uid="{AF6945CE-B395-41F6-95BD-B0B91CA4D6DD}"/>
    <cellStyle name="Note 2 3 2 2 2 4" xfId="6119" xr:uid="{EC9CE575-BB24-445C-8637-B65E9213F9DA}"/>
    <cellStyle name="Note 2 3 2 2 2 4 2" xfId="9093" xr:uid="{8CD545FA-F758-4D4D-9CC7-EE76BF8EDC28}"/>
    <cellStyle name="Note 2 3 2 2 2 5" xfId="3829" xr:uid="{8E15BA18-3729-4CE3-8DB9-FF0D6E28D443}"/>
    <cellStyle name="Note 2 3 2 2 2 6" xfId="6792" xr:uid="{DBE516EE-6E9B-4ED8-9891-B971DCDA694E}"/>
    <cellStyle name="Note 2 3 2 2 2 7" xfId="2769" xr:uid="{637672CF-DB55-40ED-8711-39755EC542CC}"/>
    <cellStyle name="Note 2 3 2 2 3" xfId="678" xr:uid="{E887FEFB-CCB0-40B8-B26E-572E1E2C3091}"/>
    <cellStyle name="Note 2 3 2 2 3 2" xfId="1483" xr:uid="{AF31AF0D-D41A-464F-8933-7D79DDCC2B82}"/>
    <cellStyle name="Note 2 3 2 2 3 2 2" xfId="7254" xr:uid="{A884128B-919C-4445-A2B5-B3A13E504B27}"/>
    <cellStyle name="Note 2 3 2 2 3 2 3" xfId="9920" xr:uid="{70CF9BB5-813F-41CA-80C7-3E1F18366C37}"/>
    <cellStyle name="Note 2 3 2 2 3 2 4" xfId="4280" xr:uid="{D4F49C2F-4B9B-4795-B78E-4A8A4EC60355}"/>
    <cellStyle name="Note 2 3 2 2 3 3" xfId="5020" xr:uid="{C180787E-66A5-465D-BD7A-698FB4F9044B}"/>
    <cellStyle name="Note 2 3 2 2 3 3 2" xfId="7994" xr:uid="{B451D2CB-946F-4365-AE4B-78A1D54AA680}"/>
    <cellStyle name="Note 2 3 2 2 3 4" xfId="5785" xr:uid="{FB70940E-06A6-4AFF-87AA-E46BD77F6548}"/>
    <cellStyle name="Note 2 3 2 2 3 4 2" xfId="8759" xr:uid="{927B34DA-0C7B-4446-972B-6FB02C73BF04}"/>
    <cellStyle name="Note 2 3 2 2 3 5" xfId="3514" xr:uid="{C008C841-0780-4641-A473-D57F545DBB9F}"/>
    <cellStyle name="Note 2 3 2 2 3 6" xfId="6458" xr:uid="{DF9C8D9C-E645-482F-87B6-DB2D69306E70}"/>
    <cellStyle name="Note 2 3 2 2 3 7" xfId="2435" xr:uid="{61984321-427B-4715-9565-DA0E75AABC7F}"/>
    <cellStyle name="Note 2 3 2 2 4" xfId="1339" xr:uid="{376F52C9-0EEA-48E8-BBC4-BDF712AF1C11}"/>
    <cellStyle name="Note 2 3 2 2 4 2" xfId="7110" xr:uid="{F7105ACD-B022-463D-8CCC-6496DC85E011}"/>
    <cellStyle name="Note 2 3 2 2 4 3" xfId="9776" xr:uid="{EFF9A8C5-7CE3-4CD4-8A07-D6631E8AD883}"/>
    <cellStyle name="Note 2 3 2 2 4 4" xfId="4136" xr:uid="{BA471B79-8C29-40DA-B77B-75F92B3B259F}"/>
    <cellStyle name="Note 2 3 2 2 5" xfId="4876" xr:uid="{2A3D6A85-B83B-430A-B59E-C3882EA10655}"/>
    <cellStyle name="Note 2 3 2 2 5 2" xfId="7850" xr:uid="{7F120DF9-E14C-4910-9755-370A4FBD27F8}"/>
    <cellStyle name="Note 2 3 2 2 6" xfId="5641" xr:uid="{A26D9D06-3C28-478E-AB27-ADA7910E25BD}"/>
    <cellStyle name="Note 2 3 2 2 6 2" xfId="8615" xr:uid="{66E7D86A-9AE8-4220-A173-BB0477F4EDDD}"/>
    <cellStyle name="Note 2 3 2 2 7" xfId="3415" xr:uid="{823E132B-7003-41F2-BDD0-D3063A53531C}"/>
    <cellStyle name="Note 2 3 2 2 8" xfId="6314" xr:uid="{32AA76E2-07D4-4195-A32A-362979698D7D}"/>
    <cellStyle name="Note 2 3 2 2 9" xfId="2291" xr:uid="{C8DD2543-21E8-4CE9-B6C7-4E65F94F3717}"/>
    <cellStyle name="Note 2 3 2 3" xfId="802" xr:uid="{EA8A1651-CD4D-4DB9-B170-27617891451D}"/>
    <cellStyle name="Note 2 3 2 3 2" xfId="1607" xr:uid="{0487EFE4-A31C-46B5-8097-8709B4593791}"/>
    <cellStyle name="Note 2 3 2 3 2 2" xfId="7378" xr:uid="{A1E4F63B-C0D1-4394-BF5E-5A1AD52205CC}"/>
    <cellStyle name="Note 2 3 2 3 2 3" xfId="10044" xr:uid="{1F4A3628-2C61-497F-B153-501314675392}"/>
    <cellStyle name="Note 2 3 2 3 2 4" xfId="4404" xr:uid="{615F31E0-983A-467E-8A9F-A37B984DC1A7}"/>
    <cellStyle name="Note 2 3 2 3 3" xfId="5144" xr:uid="{46D3A485-954A-42DC-B36F-0A607FFCE8C3}"/>
    <cellStyle name="Note 2 3 2 3 3 2" xfId="8118" xr:uid="{D52E9D05-0AD7-465D-88A0-3B6990A89E22}"/>
    <cellStyle name="Note 2 3 2 3 4" xfId="5909" xr:uid="{F69607A4-0F14-4AE9-99CB-C225B27F0CC5}"/>
    <cellStyle name="Note 2 3 2 3 4 2" xfId="8883" xr:uid="{68C6F5F0-AD88-4BBC-AEDA-CB07A5B4671E}"/>
    <cellStyle name="Note 2 3 2 3 5" xfId="3636" xr:uid="{12E0A1D8-48E8-4E37-88C4-47FA8C70BC2F}"/>
    <cellStyle name="Note 2 3 2 3 6" xfId="6582" xr:uid="{C774ABF0-3FE7-454B-BFBE-72E52CB9E8B6}"/>
    <cellStyle name="Note 2 3 2 3 7" xfId="2559" xr:uid="{711E3520-D6DC-443E-B393-EAFFA40F1600}"/>
    <cellStyle name="Note 2 3 2 4" xfId="1105" xr:uid="{5D839B74-208D-41B8-AF20-9958D19D843D}"/>
    <cellStyle name="Note 2 3 2 4 2" xfId="1910" xr:uid="{A0E1FD5F-1CA2-4BE0-9420-6E8911E73402}"/>
    <cellStyle name="Note 2 3 2 4 2 2" xfId="7681" xr:uid="{F3D9D3C6-3C67-4083-863C-E330735884B4}"/>
    <cellStyle name="Note 2 3 2 4 2 3" xfId="10347" xr:uid="{015EDC5E-0ED0-4CB0-9BE8-32C58C425470}"/>
    <cellStyle name="Note 2 3 2 4 2 4" xfId="4707" xr:uid="{ADE13922-DC0C-4BD4-AC3B-95BC98D6440C}"/>
    <cellStyle name="Note 2 3 2 4 3" xfId="5447" xr:uid="{E2E3F7D6-182D-4AB4-BE09-3613B5FF459E}"/>
    <cellStyle name="Note 2 3 2 4 3 2" xfId="8421" xr:uid="{11AC6A63-6EB8-4087-B721-47793D946CC9}"/>
    <cellStyle name="Note 2 3 2 4 4" xfId="6212" xr:uid="{5BC087AA-2C6B-48B1-B1F4-E3B8EDEB37E8}"/>
    <cellStyle name="Note 2 3 2 4 4 2" xfId="9186" xr:uid="{3E1AC59C-618E-4F63-B64B-C5084575388A}"/>
    <cellStyle name="Note 2 3 2 4 5" xfId="3912" xr:uid="{33E25EEF-B6CB-4B21-8CC5-84F40A1DB4F4}"/>
    <cellStyle name="Note 2 3 2 4 6" xfId="6885" xr:uid="{60CE6815-F5CE-4734-BA37-98B80B6C7218}"/>
    <cellStyle name="Note 2 3 2 4 7" xfId="2862" xr:uid="{706C256F-3925-487C-813D-EF36E59C9070}"/>
    <cellStyle name="Note 2 3 2 5" xfId="3134" xr:uid="{66CD1A91-D28A-4347-AEAE-4DF4850D2FF5}"/>
    <cellStyle name="Note 2 3 2 5 2" xfId="3891" xr:uid="{3F5DB489-4820-4A15-9ACE-34379471F00F}"/>
    <cellStyle name="Note 2 3 2 6" xfId="3234" xr:uid="{56E3046D-6226-40BB-832C-EDFDA1D89225}"/>
    <cellStyle name="Note 2 3 2 7" xfId="3113" xr:uid="{44E4671F-F954-4EEF-8EA1-24593E770C31}"/>
    <cellStyle name="Note 2 3 2 8" xfId="2129" xr:uid="{F5646A5C-07B1-4670-961F-E93031CAB3E7}"/>
    <cellStyle name="Note 2 3 3" xfId="255" xr:uid="{CF38D295-B724-412B-8E7F-29F2C698D9AF}"/>
    <cellStyle name="Note 2 3 3 2" xfId="479" xr:uid="{C3C9EFF8-B8A2-4D26-8B59-5DAAFC61F4AB}"/>
    <cellStyle name="Note 2 3 3 2 2" xfId="958" xr:uid="{2A808B2E-2E80-4DE8-B833-68916CF3EC5C}"/>
    <cellStyle name="Note 2 3 3 2 2 2" xfId="1763" xr:uid="{06D9D142-C858-47AB-AEAB-22695D3C3791}"/>
    <cellStyle name="Note 2 3 3 2 2 2 2" xfId="7534" xr:uid="{1102A338-D1EE-4E1E-92F5-3F38CE6B1344}"/>
    <cellStyle name="Note 2 3 3 2 2 2 3" xfId="10200" xr:uid="{609E7414-94D8-40E3-8036-166752E0AD51}"/>
    <cellStyle name="Note 2 3 3 2 2 2 4" xfId="4560" xr:uid="{BB6730A5-6133-4D15-B80C-1DDEA61D7392}"/>
    <cellStyle name="Note 2 3 3 2 2 3" xfId="5300" xr:uid="{59BD722A-4248-4E9B-9772-EED08F45FBF0}"/>
    <cellStyle name="Note 2 3 3 2 2 3 2" xfId="8274" xr:uid="{BBAB262C-7853-4E97-8D3A-B10CAF7BEEDD}"/>
    <cellStyle name="Note 2 3 3 2 2 4" xfId="6065" xr:uid="{601303B1-D310-437B-B835-513410E7CAF1}"/>
    <cellStyle name="Note 2 3 3 2 2 4 2" xfId="9039" xr:uid="{4BF57F25-4D37-43F9-AD92-13A77D5544E4}"/>
    <cellStyle name="Note 2 3 3 2 2 5" xfId="3775" xr:uid="{9C974AD6-07BE-413C-B982-B78BD2D5FC45}"/>
    <cellStyle name="Note 2 3 3 2 2 6" xfId="6738" xr:uid="{A4BCADEA-C16A-4995-8607-F549F0977049}"/>
    <cellStyle name="Note 2 3 3 2 2 7" xfId="2715" xr:uid="{EFB7EB0C-7116-4EF0-83B9-2F4330FA90F4}"/>
    <cellStyle name="Note 2 3 3 2 3" xfId="1177" xr:uid="{23E66AF1-07E1-4BBA-8A39-EF272740449A}"/>
    <cellStyle name="Note 2 3 3 2 3 2" xfId="1982" xr:uid="{78C679D9-85F0-41F2-B72C-D4C6DF1394C3}"/>
    <cellStyle name="Note 2 3 3 2 3 2 2" xfId="7753" xr:uid="{22E9CA58-160B-40E6-B3FF-CF3BB3693321}"/>
    <cellStyle name="Note 2 3 3 2 3 2 3" xfId="10419" xr:uid="{ACA95FA3-3E07-4FD3-A3B1-243E2D5A8B71}"/>
    <cellStyle name="Note 2 3 3 2 3 2 4" xfId="4779" xr:uid="{2445B2C1-0330-4F50-96E8-7A5068BC42FB}"/>
    <cellStyle name="Note 2 3 3 2 3 3" xfId="5519" xr:uid="{3BD4C753-D18B-4210-B17C-F3B2491F080F}"/>
    <cellStyle name="Note 2 3 3 2 3 3 2" xfId="8493" xr:uid="{2938D674-0B8A-427A-945E-792B65CF6F5C}"/>
    <cellStyle name="Note 2 3 3 2 3 4" xfId="6284" xr:uid="{8559B5B8-A9D1-41FE-B887-1806DBBF0420}"/>
    <cellStyle name="Note 2 3 3 2 3 4 2" xfId="9258" xr:uid="{1C83119F-1C48-414E-A45F-706376FB8CAC}"/>
    <cellStyle name="Note 2 3 3 2 3 5" xfId="3952" xr:uid="{8E04076C-8B2D-42F4-B136-073C466BB83B}"/>
    <cellStyle name="Note 2 3 3 2 3 6" xfId="6957" xr:uid="{187D4D0D-85D0-46F1-A346-62014695381B}"/>
    <cellStyle name="Note 2 3 3 2 3 7" xfId="2934" xr:uid="{C025657D-A9FA-469E-9FEB-7CFF9BBF92C4}"/>
    <cellStyle name="Note 2 3 3 2 4" xfId="1285" xr:uid="{521C2378-B1D7-414F-AFBD-51FD58E0913A}"/>
    <cellStyle name="Note 2 3 3 2 4 2" xfId="7056" xr:uid="{BE0C4A2F-048B-4D6A-873F-5338D842AC83}"/>
    <cellStyle name="Note 2 3 3 2 4 3" xfId="9722" xr:uid="{3B19ADE7-796D-4769-B69B-DA32110EA376}"/>
    <cellStyle name="Note 2 3 3 2 4 4" xfId="4082" xr:uid="{D9F1778E-A7DC-47F4-818C-F90949990A03}"/>
    <cellStyle name="Note 2 3 3 2 5" xfId="4822" xr:uid="{A2712F6B-94A8-4CD2-8211-998DA8B9397B}"/>
    <cellStyle name="Note 2 3 3 2 5 2" xfId="7796" xr:uid="{99340DC1-4A4E-4C47-91D6-C9C827BD7239}"/>
    <cellStyle name="Note 2 3 3 2 6" xfId="5587" xr:uid="{47786791-394C-48EC-993A-83B5FCD6778B}"/>
    <cellStyle name="Note 2 3 3 2 6 2" xfId="8561" xr:uid="{4B6442B9-A630-4D7C-92F5-DB3CA2B568AA}"/>
    <cellStyle name="Note 2 3 3 2 7" xfId="3377" xr:uid="{D442E653-A00C-4165-AEF8-AA0C0D523C94}"/>
    <cellStyle name="Note 2 3 3 2 8" xfId="2968" xr:uid="{EF65E0B1-6F22-4A15-8A19-C797A089366C}"/>
    <cellStyle name="Note 2 3 3 2 9" xfId="2237" xr:uid="{0F191680-4709-4879-B8AF-7119198B73A4}"/>
    <cellStyle name="Note 2 3 3 3" xfId="747" xr:uid="{4D3747F2-9CA3-40B6-9EBB-60438B6B876B}"/>
    <cellStyle name="Note 2 3 3 3 2" xfId="1552" xr:uid="{D4E3C7B1-5411-4D4E-AD74-79C1BF888A59}"/>
    <cellStyle name="Note 2 3 3 3 2 2" xfId="7323" xr:uid="{434C4781-F712-4663-9A91-36F0A600AF4A}"/>
    <cellStyle name="Note 2 3 3 3 2 3" xfId="9989" xr:uid="{E5E7B04C-E42C-44FB-9137-4B4080C17B45}"/>
    <cellStyle name="Note 2 3 3 3 2 4" xfId="4349" xr:uid="{C9813D95-DBDF-450F-A1B5-22A0030C454E}"/>
    <cellStyle name="Note 2 3 3 3 3" xfId="5089" xr:uid="{E5A87362-535A-4A4C-B644-484CC98B972D}"/>
    <cellStyle name="Note 2 3 3 3 3 2" xfId="8063" xr:uid="{7B6C4BB6-0DF0-4561-A6C9-5C057FE70C16}"/>
    <cellStyle name="Note 2 3 3 3 4" xfId="5854" xr:uid="{0AE5F3D2-6525-4433-8550-645240235C5C}"/>
    <cellStyle name="Note 2 3 3 3 4 2" xfId="8828" xr:uid="{D9DF210A-8D90-41B4-A11E-AF889C7BFBA6}"/>
    <cellStyle name="Note 2 3 3 3 5" xfId="3582" xr:uid="{6980A1E5-0DEA-4B20-96FF-049B7617E1A8}"/>
    <cellStyle name="Note 2 3 3 3 6" xfId="6527" xr:uid="{7DEE12CA-3C08-4D83-A12C-EB90F33D6B96}"/>
    <cellStyle name="Note 2 3 3 3 7" xfId="2504" xr:uid="{49B9CCD4-12E1-4182-94A3-7B51490474AD}"/>
    <cellStyle name="Note 2 3 3 4" xfId="669" xr:uid="{5137B6A6-0A3B-46E7-861F-7A661D9B9F82}"/>
    <cellStyle name="Note 2 3 3 4 2" xfId="1474" xr:uid="{B7D2658B-9BE4-4BAB-ADB7-A27E63AEFA3E}"/>
    <cellStyle name="Note 2 3 3 4 2 2" xfId="7245" xr:uid="{0C071160-E4FA-45B4-B9D4-8186A6B85E66}"/>
    <cellStyle name="Note 2 3 3 4 2 3" xfId="9911" xr:uid="{521B253A-DE5F-4EA4-BB40-C35CFAC7D951}"/>
    <cellStyle name="Note 2 3 3 4 2 4" xfId="4271" xr:uid="{8FBC94D6-1787-40A4-B1A9-C7399ACA1A4A}"/>
    <cellStyle name="Note 2 3 3 4 3" xfId="5011" xr:uid="{7EAAD242-554D-4ACC-8E02-D57CEA9B3B2D}"/>
    <cellStyle name="Note 2 3 3 4 3 2" xfId="7985" xr:uid="{44325EF2-3DA1-48D5-BC31-AB47C50618A6}"/>
    <cellStyle name="Note 2 3 3 4 4" xfId="5776" xr:uid="{AC0C02C9-E25A-4797-B107-D9EC95B7C387}"/>
    <cellStyle name="Note 2 3 3 4 4 2" xfId="8750" xr:uid="{408C1126-543F-44DE-B3FB-7D4F839041AF}"/>
    <cellStyle name="Note 2 3 3 4 5" xfId="3506" xr:uid="{BDE45EB9-C7F1-4E1D-A394-3DFEA78B6619}"/>
    <cellStyle name="Note 2 3 3 4 6" xfId="6449" xr:uid="{2659FE1E-F2D4-416F-A3F5-3985122DEA6D}"/>
    <cellStyle name="Note 2 3 3 4 7" xfId="2426" xr:uid="{166A60A3-8446-41D9-A0B9-70BB7D87F85C}"/>
    <cellStyle name="Note 2 3 3 5" xfId="3175" xr:uid="{1CF75932-654D-490D-BB23-FE3EA77C7685}"/>
    <cellStyle name="Note 2 3 3 5 2" xfId="3382" xr:uid="{5DC36C7D-057B-427A-90E5-C36839AE292E}"/>
    <cellStyle name="Note 2 3 3 6" xfId="3190" xr:uid="{A1D90E9D-D5A7-4138-9CC0-D41CD6100CC2}"/>
    <cellStyle name="Note 2 3 3 7" xfId="3148" xr:uid="{499513ED-C90D-407C-AD24-0B0DA40A4066}"/>
    <cellStyle name="Note 2 3 3 8" xfId="2072" xr:uid="{86878AF6-9439-4361-A5E8-2DF9622C7C79}"/>
    <cellStyle name="Note 2 3 4" xfId="431" xr:uid="{08FBDB3A-9F80-4D62-BBAB-48C4DAAD3CF9}"/>
    <cellStyle name="Note 2 3 4 2" xfId="910" xr:uid="{037171D4-825A-4491-9EBA-F0E2CE2D6B57}"/>
    <cellStyle name="Note 2 3 4 2 2" xfId="1715" xr:uid="{B4B2D903-F71A-4077-845E-5990846B7BDE}"/>
    <cellStyle name="Note 2 3 4 2 2 2" xfId="7486" xr:uid="{08526A25-D8AF-4B14-8358-7E762D74FBA3}"/>
    <cellStyle name="Note 2 3 4 2 2 3" xfId="10152" xr:uid="{097B4093-DF73-4CEE-8070-A99445BB8CCC}"/>
    <cellStyle name="Note 2 3 4 2 2 4" xfId="4512" xr:uid="{C287C13D-EA1A-4AF9-B8BB-003D298CE4A7}"/>
    <cellStyle name="Note 2 3 4 2 3" xfId="5252" xr:uid="{4F291D47-2731-41BE-8EBF-A9CCADC0AD9C}"/>
    <cellStyle name="Note 2 3 4 2 3 2" xfId="8226" xr:uid="{0206B271-0E57-42FC-BD67-2B5D9F48E49D}"/>
    <cellStyle name="Note 2 3 4 2 4" xfId="6017" xr:uid="{D0F3FC6C-64C8-4EC0-BB64-DD64384849E9}"/>
    <cellStyle name="Note 2 3 4 2 4 2" xfId="8991" xr:uid="{98322AEB-5566-48B0-8909-6881C8453EA7}"/>
    <cellStyle name="Note 2 3 4 2 5" xfId="3727" xr:uid="{52067591-DC9E-4892-A8EE-82B33449464E}"/>
    <cellStyle name="Note 2 3 4 2 6" xfId="6690" xr:uid="{DA3103C5-6684-4F79-815A-FA957E291611}"/>
    <cellStyle name="Note 2 3 4 2 7" xfId="2667" xr:uid="{D8EA6495-595A-44E0-8E94-45351F9C84C5}"/>
    <cellStyle name="Note 2 3 4 3" xfId="1179" xr:uid="{C34FB8BE-8934-4559-B6F7-59C367D1F98F}"/>
    <cellStyle name="Note 2 3 4 3 2" xfId="1984" xr:uid="{B99ADB75-8648-40DD-9013-D048495CD7BC}"/>
    <cellStyle name="Note 2 3 4 3 2 2" xfId="7755" xr:uid="{A610B28A-77AA-43A9-883F-1FEC00E8C71E}"/>
    <cellStyle name="Note 2 3 4 3 2 3" xfId="10421" xr:uid="{E8219FD4-1BBE-4669-B198-2DABBA49A1FD}"/>
    <cellStyle name="Note 2 3 4 3 2 4" xfId="4781" xr:uid="{8A45F716-F70D-458B-986E-BBB46F44D90A}"/>
    <cellStyle name="Note 2 3 4 3 3" xfId="5521" xr:uid="{E1AC7604-1775-4381-972D-B75C4ECC583A}"/>
    <cellStyle name="Note 2 3 4 3 3 2" xfId="8495" xr:uid="{AB87CDAA-784D-468D-8DF2-0F891720AE35}"/>
    <cellStyle name="Note 2 3 4 3 4" xfId="6286" xr:uid="{F85C67C4-44D5-4A44-B877-F85CB6DD8707}"/>
    <cellStyle name="Note 2 3 4 3 4 2" xfId="9260" xr:uid="{39C38595-9EFF-4FB2-93E6-BC86F64E57B8}"/>
    <cellStyle name="Note 2 3 4 3 5" xfId="3953" xr:uid="{43DBB2B6-3100-4E0E-8146-F447B44138F8}"/>
    <cellStyle name="Note 2 3 4 3 6" xfId="6959" xr:uid="{CC7AB6B6-DE04-490E-BC31-E50CB35F3478}"/>
    <cellStyle name="Note 2 3 4 3 7" xfId="2936" xr:uid="{C6D9E9A6-A3B2-4CE2-B531-F458599EFA43}"/>
    <cellStyle name="Note 2 3 4 4" xfId="1237" xr:uid="{8D518F7F-C391-4E18-8A32-E5E9193A36FD}"/>
    <cellStyle name="Note 2 3 4 4 2" xfId="7008" xr:uid="{82A236F3-EA92-4E78-A37D-2B288AEBCA4F}"/>
    <cellStyle name="Note 2 3 4 4 3" xfId="9674" xr:uid="{E079ABAD-5E0A-4176-BC9D-90D88CD347B7}"/>
    <cellStyle name="Note 2 3 4 4 4" xfId="4034" xr:uid="{E99C2770-8A61-4C0C-A5D2-26C50DDA4385}"/>
    <cellStyle name="Note 2 3 4 5" xfId="3276" xr:uid="{92B019B0-F3E0-4505-AB2E-1A955520F92B}"/>
    <cellStyle name="Note 2 3 4 5 2" xfId="3012" xr:uid="{31148D74-A728-4F28-8735-AA82B9487890}"/>
    <cellStyle name="Note 2 3 4 6" xfId="5539" xr:uid="{7D6775A0-0023-465B-8368-13C0631DE2E9}"/>
    <cellStyle name="Note 2 3 4 6 2" xfId="8513" xr:uid="{8CA988E3-9096-44B8-9277-F439EBFDF22D}"/>
    <cellStyle name="Note 2 3 4 7" xfId="3343" xr:uid="{656AA1B3-1D67-44E8-8C5E-02ACDEAEE984}"/>
    <cellStyle name="Note 2 3 4 8" xfId="3079" xr:uid="{BED1D949-073E-4329-942F-278F4AF761F5}"/>
    <cellStyle name="Note 2 3 4 9" xfId="2189" xr:uid="{955F690A-9775-4B01-915E-B68F4B3CA849}"/>
    <cellStyle name="Note 2 3 5" xfId="699" xr:uid="{2463D6AB-FC00-45A6-A8DE-C8F4E62894C2}"/>
    <cellStyle name="Note 2 3 5 2" xfId="1504" xr:uid="{D3DF9AC0-B933-4B35-B322-AFB42B5C5EBA}"/>
    <cellStyle name="Note 2 3 5 2 2" xfId="7275" xr:uid="{E588D6F5-8546-4662-8C16-80F96D69792A}"/>
    <cellStyle name="Note 2 3 5 2 3" xfId="9941" xr:uid="{A65DC316-1CE1-4308-8150-2E6D9A503537}"/>
    <cellStyle name="Note 2 3 5 2 4" xfId="4301" xr:uid="{C1B4BAA9-709F-4A95-BD32-6CABFA7A049E}"/>
    <cellStyle name="Note 2 3 5 3" xfId="5041" xr:uid="{0FCF3D93-9882-4DFE-9173-5023A2AE4373}"/>
    <cellStyle name="Note 2 3 5 3 2" xfId="8015" xr:uid="{388C067E-EF33-4327-90D2-3AF62FF60D07}"/>
    <cellStyle name="Note 2 3 5 4" xfId="5806" xr:uid="{AE7A45C2-DBFD-4FCA-ABB1-0D98163E5017}"/>
    <cellStyle name="Note 2 3 5 4 2" xfId="8780" xr:uid="{312C8126-B2D9-49EF-883C-D2F52CFF1A1C}"/>
    <cellStyle name="Note 2 3 5 5" xfId="3534" xr:uid="{DD7297D4-E631-4D1B-900F-EB42A8934F33}"/>
    <cellStyle name="Note 2 3 5 6" xfId="6479" xr:uid="{3061EA69-E7FA-4DA6-8412-C1994F84F648}"/>
    <cellStyle name="Note 2 3 5 7" xfId="2456" xr:uid="{CC14DB0E-D322-4EED-9E4D-E21A7D824F1B}"/>
    <cellStyle name="Note 2 3 6" xfId="675" xr:uid="{92756152-4328-42DF-969D-B0C39DCD70E4}"/>
    <cellStyle name="Note 2 3 6 2" xfId="1480" xr:uid="{220DC80C-E5A1-47A9-8D09-03832452FB41}"/>
    <cellStyle name="Note 2 3 6 2 2" xfId="7251" xr:uid="{092C4C77-852D-4867-A912-7B95C4B7CA3F}"/>
    <cellStyle name="Note 2 3 6 2 3" xfId="9917" xr:uid="{88B4DD9A-81B1-49D2-A5C9-AF8586D10214}"/>
    <cellStyle name="Note 2 3 6 2 4" xfId="4277" xr:uid="{21FC0D1D-A51F-4796-A6F1-2CDEBABF84BC}"/>
    <cellStyle name="Note 2 3 6 3" xfId="5017" xr:uid="{21294E9D-FF17-446A-9C2E-48911B4F20D2}"/>
    <cellStyle name="Note 2 3 6 3 2" xfId="7991" xr:uid="{53F03335-4AED-4F6E-A02B-2480F2DDA980}"/>
    <cellStyle name="Note 2 3 6 4" xfId="5782" xr:uid="{50377CFF-D321-42E1-B68D-BC8167F17E6E}"/>
    <cellStyle name="Note 2 3 6 4 2" xfId="8756" xr:uid="{7E384D5C-A5B1-46A4-A884-605A95A3C4CC}"/>
    <cellStyle name="Note 2 3 6 5" xfId="3511" xr:uid="{FA393049-A997-49FA-8923-88351265184F}"/>
    <cellStyle name="Note 2 3 6 6" xfId="6455" xr:uid="{C74BBDB6-8DA7-45BD-A4DB-8E1B906F3593}"/>
    <cellStyle name="Note 2 3 6 7" xfId="2432" xr:uid="{7CE4FBAA-318D-4F91-8BF9-332596166E55}"/>
    <cellStyle name="Note 2 3 7" xfId="3216" xr:uid="{12F649D9-F48B-4F2D-A723-1CDCCCF2C85D}"/>
    <cellStyle name="Note 2 3 7 2" xfId="2976" xr:uid="{DB61EB5B-E391-48DE-BAE8-A4AC75D2F072}"/>
    <cellStyle name="Note 2 3 8" xfId="3147" xr:uid="{6B833EEF-BDAD-41CA-AC19-F8E94EB7E2D8}"/>
    <cellStyle name="Note 2 3 9" xfId="3361" xr:uid="{88380EA5-2219-46B5-BF23-134F323B60BD}"/>
    <cellStyle name="Note 2 4" xfId="213" xr:uid="{C131D5F7-CEA8-49FB-824F-BE51B9FFA518}"/>
    <cellStyle name="Note 2 4 10" xfId="2028" xr:uid="{51A1BBB3-754F-4A0D-AC3A-09EE804EE59E}"/>
    <cellStyle name="Note 2 4 2" xfId="317" xr:uid="{F6454809-246E-44D7-AF61-D4A14FE7074D}"/>
    <cellStyle name="Note 2 4 2 2" xfId="539" xr:uid="{A043C710-7CD4-45DE-A8CA-3E76BEACF42F}"/>
    <cellStyle name="Note 2 4 2 2 2" xfId="1018" xr:uid="{2A7B934E-22D7-4BC1-BE2C-387F44F95BCE}"/>
    <cellStyle name="Note 2 4 2 2 2 2" xfId="1823" xr:uid="{E6ABD222-DEE7-4B9C-B325-9617637A4983}"/>
    <cellStyle name="Note 2 4 2 2 2 2 2" xfId="7594" xr:uid="{0B4C3C74-E9BB-4CB7-A638-A241D0DA957E}"/>
    <cellStyle name="Note 2 4 2 2 2 2 3" xfId="10260" xr:uid="{4E7CA10F-CD77-4366-9FE3-2AC0FF7389A8}"/>
    <cellStyle name="Note 2 4 2 2 2 2 4" xfId="4620" xr:uid="{384E53C3-76FC-4D1F-9295-60424774EEA5}"/>
    <cellStyle name="Note 2 4 2 2 2 3" xfId="5360" xr:uid="{DCB19CF5-8C98-45B1-8036-407C95A88775}"/>
    <cellStyle name="Note 2 4 2 2 2 3 2" xfId="8334" xr:uid="{490781E4-3645-4853-ADA3-5F4B21EAABF3}"/>
    <cellStyle name="Note 2 4 2 2 2 4" xfId="6125" xr:uid="{355ABEEA-D185-42B8-8255-38CF0D853A34}"/>
    <cellStyle name="Note 2 4 2 2 2 4 2" xfId="9099" xr:uid="{5CD0B885-8AEC-4A67-A66D-39605981308E}"/>
    <cellStyle name="Note 2 4 2 2 2 5" xfId="3835" xr:uid="{CBCFA872-1E91-45F2-B658-3ADF700086CD}"/>
    <cellStyle name="Note 2 4 2 2 2 6" xfId="6798" xr:uid="{406B32F9-849D-4167-A697-D9B14DCC94DA}"/>
    <cellStyle name="Note 2 4 2 2 2 7" xfId="2775" xr:uid="{AEFC2211-603D-4090-B36F-A757D4256ADD}"/>
    <cellStyle name="Note 2 4 2 2 3" xfId="592" xr:uid="{4D1B37EA-8E3D-4FC0-95AD-3AFFECC13272}"/>
    <cellStyle name="Note 2 4 2 2 3 2" xfId="1397" xr:uid="{659331FA-145B-4FF6-937D-FC3B87DCFF13}"/>
    <cellStyle name="Note 2 4 2 2 3 2 2" xfId="7168" xr:uid="{A449F2F4-9EA8-43FE-949B-7E46FC69A4F0}"/>
    <cellStyle name="Note 2 4 2 2 3 2 3" xfId="9834" xr:uid="{1F439BCE-F6FA-4A43-85EA-DC4377ECC94B}"/>
    <cellStyle name="Note 2 4 2 2 3 2 4" xfId="4194" xr:uid="{986E658B-75D3-45DF-8877-BC462D03369C}"/>
    <cellStyle name="Note 2 4 2 2 3 3" xfId="4934" xr:uid="{A0FD94CB-CF9C-4615-9D7E-10A12CF4B5EC}"/>
    <cellStyle name="Note 2 4 2 2 3 3 2" xfId="7908" xr:uid="{D058641E-5AF4-4994-A41D-B5D1FD5AEB15}"/>
    <cellStyle name="Note 2 4 2 2 3 4" xfId="5699" xr:uid="{09C44733-0AC9-4480-8938-83EA98E3DAB0}"/>
    <cellStyle name="Note 2 4 2 2 3 4 2" xfId="8673" xr:uid="{D090F6B6-1404-46EE-B76A-209BE2D52836}"/>
    <cellStyle name="Note 2 4 2 2 3 5" xfId="3455" xr:uid="{8C37FA35-27F6-44C5-8157-20B81DFE7A54}"/>
    <cellStyle name="Note 2 4 2 2 3 6" xfId="6372" xr:uid="{683D4FAF-237C-4796-9B3B-E383A5FA7309}"/>
    <cellStyle name="Note 2 4 2 2 3 7" xfId="2349" xr:uid="{228CC24A-4832-4FC2-AB86-E416687DAEA5}"/>
    <cellStyle name="Note 2 4 2 2 4" xfId="1345" xr:uid="{C15B5094-250E-477F-A0C3-6E0AE358D818}"/>
    <cellStyle name="Note 2 4 2 2 4 2" xfId="7116" xr:uid="{2A85FA97-0566-4E35-9BBD-350E2FD3C81B}"/>
    <cellStyle name="Note 2 4 2 2 4 3" xfId="9782" xr:uid="{34980306-47FD-43FE-9F75-2507EFD0DA6D}"/>
    <cellStyle name="Note 2 4 2 2 4 4" xfId="4142" xr:uid="{40E63A87-7F67-47AC-A463-4BA3EBA40695}"/>
    <cellStyle name="Note 2 4 2 2 5" xfId="4882" xr:uid="{D0346830-B61E-4157-B237-D223DD81FBA3}"/>
    <cellStyle name="Note 2 4 2 2 5 2" xfId="7856" xr:uid="{BC0A0AB3-2341-40D8-8761-06FBB4DAB676}"/>
    <cellStyle name="Note 2 4 2 2 6" xfId="5647" xr:uid="{1409F48F-78A4-4042-8210-E37BC7C6137E}"/>
    <cellStyle name="Note 2 4 2 2 6 2" xfId="8621" xr:uid="{7861BD14-D724-42E5-BA2D-F2FA77A200FD}"/>
    <cellStyle name="Note 2 4 2 2 7" xfId="3419" xr:uid="{3ECC1728-97D9-48FF-8340-94DFDD9194E6}"/>
    <cellStyle name="Note 2 4 2 2 8" xfId="6320" xr:uid="{38E815E0-FC94-400A-9343-5053FF0599FD}"/>
    <cellStyle name="Note 2 4 2 2 9" xfId="2297" xr:uid="{67B0024E-AE0D-4F01-B6FC-F630847EB323}"/>
    <cellStyle name="Note 2 4 2 3" xfId="808" xr:uid="{EAEE32CF-5F08-4CBD-9A92-AFB5DB8FF869}"/>
    <cellStyle name="Note 2 4 2 3 2" xfId="1613" xr:uid="{9029993C-D12B-4A0D-8781-EB0ACF4EAF87}"/>
    <cellStyle name="Note 2 4 2 3 2 2" xfId="7384" xr:uid="{64FBFC1C-D6FF-440B-8C86-F4157CF58D5F}"/>
    <cellStyle name="Note 2 4 2 3 2 3" xfId="10050" xr:uid="{C3EF0543-D6D8-4D55-BF56-493AFE52BAE5}"/>
    <cellStyle name="Note 2 4 2 3 2 4" xfId="4410" xr:uid="{522AF5F9-3521-4A5F-B81F-5E715E3D48FD}"/>
    <cellStyle name="Note 2 4 2 3 3" xfId="5150" xr:uid="{1D2738E6-CC4D-4594-AAB5-84292F5B27E4}"/>
    <cellStyle name="Note 2 4 2 3 3 2" xfId="8124" xr:uid="{06ECD1A3-ECFF-4A70-BBED-911138F2CECA}"/>
    <cellStyle name="Note 2 4 2 3 4" xfId="5915" xr:uid="{EA87516F-7595-4286-8003-B5495846F71B}"/>
    <cellStyle name="Note 2 4 2 3 4 2" xfId="8889" xr:uid="{0C0F2553-FFA0-4EDE-867D-CB11461DA311}"/>
    <cellStyle name="Note 2 4 2 3 5" xfId="3642" xr:uid="{5B60FC8E-2F77-409F-81A5-AF19D5FEF952}"/>
    <cellStyle name="Note 2 4 2 3 6" xfId="6588" xr:uid="{EA4552F1-F4E9-412B-8F09-A5589A817E91}"/>
    <cellStyle name="Note 2 4 2 3 7" xfId="2565" xr:uid="{AE214972-72FA-4EC4-B2FF-02F1C4773BCF}"/>
    <cellStyle name="Note 2 4 2 4" xfId="1099" xr:uid="{5E687BC7-5B32-4CE9-82B9-4A3583831715}"/>
    <cellStyle name="Note 2 4 2 4 2" xfId="1904" xr:uid="{D5BD5C62-894C-4686-9B6A-D8F23237D204}"/>
    <cellStyle name="Note 2 4 2 4 2 2" xfId="7675" xr:uid="{1AE070C9-3126-4440-A88E-B4B26AC6431C}"/>
    <cellStyle name="Note 2 4 2 4 2 3" xfId="10341" xr:uid="{5C7ADA71-8EC4-4FBA-B451-BEC5AE24CB47}"/>
    <cellStyle name="Note 2 4 2 4 2 4" xfId="4701" xr:uid="{98F5CDB2-6329-4B79-91DA-B3F7B80643CA}"/>
    <cellStyle name="Note 2 4 2 4 3" xfId="5441" xr:uid="{34CE9272-4C02-48CC-824D-F687D3CF67FC}"/>
    <cellStyle name="Note 2 4 2 4 3 2" xfId="8415" xr:uid="{D2E5F486-5B5D-49DC-9049-B2E4ED93D010}"/>
    <cellStyle name="Note 2 4 2 4 4" xfId="6206" xr:uid="{71855A82-0504-46AB-9ADF-D5DE67681111}"/>
    <cellStyle name="Note 2 4 2 4 4 2" xfId="9180" xr:uid="{41F90459-0557-46C9-8BCE-058D7CF690B7}"/>
    <cellStyle name="Note 2 4 2 4 5" xfId="3908" xr:uid="{FCA9C571-FD87-4D1D-9F3F-CA871DD02F75}"/>
    <cellStyle name="Note 2 4 2 4 6" xfId="6879" xr:uid="{3A384EAC-6EE0-491C-AC71-6CD170416EA1}"/>
    <cellStyle name="Note 2 4 2 4 7" xfId="2856" xr:uid="{358EAAE4-BA62-4174-9570-D91F80AE061B}"/>
    <cellStyle name="Note 2 4 2 5" xfId="3133" xr:uid="{E54579B7-C937-4564-B2D2-7E2C1E46F6B3}"/>
    <cellStyle name="Note 2 4 2 5 2" xfId="3482" xr:uid="{A6D040DC-2D4E-41BA-B889-357AE5C2D694}"/>
    <cellStyle name="Note 2 4 2 6" xfId="3238" xr:uid="{1202B99A-CB59-4661-BD5C-F54BFBA9D189}"/>
    <cellStyle name="Note 2 4 2 7" xfId="3112" xr:uid="{32BFC636-6212-4525-B82F-958DDA8CDC02}"/>
    <cellStyle name="Note 2 4 2 8" xfId="2135" xr:uid="{C1930F35-2AE0-428D-92BA-2C6B0D67E024}"/>
    <cellStyle name="Note 2 4 3" xfId="261" xr:uid="{D9D0272E-6F7D-481B-A278-FE5D2246E424}"/>
    <cellStyle name="Note 2 4 3 2" xfId="485" xr:uid="{404C7E57-0C2F-4F08-97A9-3C07C9326100}"/>
    <cellStyle name="Note 2 4 3 2 2" xfId="964" xr:uid="{DB8DF462-8073-44DE-896B-00341EA9E799}"/>
    <cellStyle name="Note 2 4 3 2 2 2" xfId="1769" xr:uid="{41E53215-EBA5-40D0-98B7-AF2DA98DFCF2}"/>
    <cellStyle name="Note 2 4 3 2 2 2 2" xfId="7540" xr:uid="{3B64A8FC-1E71-422B-B419-401D69AB640F}"/>
    <cellStyle name="Note 2 4 3 2 2 2 3" xfId="10206" xr:uid="{76CAB888-AB33-4E6E-82C9-6DF035D86E4E}"/>
    <cellStyle name="Note 2 4 3 2 2 2 4" xfId="4566" xr:uid="{6807DBB8-837B-42C8-BD90-389F98A9E657}"/>
    <cellStyle name="Note 2 4 3 2 2 3" xfId="5306" xr:uid="{CE6A7ACC-DC8B-43DC-81C1-23C1E213AB9E}"/>
    <cellStyle name="Note 2 4 3 2 2 3 2" xfId="8280" xr:uid="{C051B16E-810D-49B7-BBE2-84EE96C9780A}"/>
    <cellStyle name="Note 2 4 3 2 2 4" xfId="6071" xr:uid="{15076AEA-7355-446A-B02C-3802B470E3D7}"/>
    <cellStyle name="Note 2 4 3 2 2 4 2" xfId="9045" xr:uid="{4B9373A2-4B77-433C-9989-C1C08F1CA37B}"/>
    <cellStyle name="Note 2 4 3 2 2 5" xfId="3781" xr:uid="{DB3BF67F-8A62-4D83-A7F8-891A17FD5EAA}"/>
    <cellStyle name="Note 2 4 3 2 2 6" xfId="6744" xr:uid="{5AC2AE01-C68C-4016-9942-58B207834991}"/>
    <cellStyle name="Note 2 4 3 2 2 7" xfId="2721" xr:uid="{EC2721F2-2E81-4EC0-9027-0D4E4126B804}"/>
    <cellStyle name="Note 2 4 3 2 3" xfId="1075" xr:uid="{22551E3D-059F-4315-9935-C1648216A31F}"/>
    <cellStyle name="Note 2 4 3 2 3 2" xfId="1880" xr:uid="{A3214EE6-0526-462B-8D7A-994FE1D761E1}"/>
    <cellStyle name="Note 2 4 3 2 3 2 2" xfId="7651" xr:uid="{D5878667-FA2D-4206-B1A9-EC25975E8E48}"/>
    <cellStyle name="Note 2 4 3 2 3 2 3" xfId="10317" xr:uid="{81396554-E088-4C07-99B6-00CD4ABA7C80}"/>
    <cellStyle name="Note 2 4 3 2 3 2 4" xfId="4677" xr:uid="{4B5E60FE-17EC-4C0D-8408-918F2E6FB089}"/>
    <cellStyle name="Note 2 4 3 2 3 3" xfId="5417" xr:uid="{71DD703B-0B4D-4776-8F0B-69671E07EB44}"/>
    <cellStyle name="Note 2 4 3 2 3 3 2" xfId="8391" xr:uid="{AEA486A7-37A5-4F30-8552-7C04152A2D58}"/>
    <cellStyle name="Note 2 4 3 2 3 4" xfId="6182" xr:uid="{9F1CF0D5-4C84-48AD-B246-4E8FB3C3A035}"/>
    <cellStyle name="Note 2 4 3 2 3 4 2" xfId="9156" xr:uid="{50ADF54A-8EA3-471E-9CDE-6E0CDEA39779}"/>
    <cellStyle name="Note 2 4 3 2 3 5" xfId="3890" xr:uid="{54888A99-55EB-4C04-B97C-BFEE705428DD}"/>
    <cellStyle name="Note 2 4 3 2 3 6" xfId="6855" xr:uid="{2D7F0039-1B4C-4924-B6D6-23EFEE82DA22}"/>
    <cellStyle name="Note 2 4 3 2 3 7" xfId="2832" xr:uid="{A395EA57-5446-4CC9-8079-E2BF935A6849}"/>
    <cellStyle name="Note 2 4 3 2 4" xfId="1291" xr:uid="{A60C886B-5EA2-4B05-9F03-65E8B7F2BDAF}"/>
    <cellStyle name="Note 2 4 3 2 4 2" xfId="7062" xr:uid="{578105AF-E3FB-43F7-80F0-94D668FE92C3}"/>
    <cellStyle name="Note 2 4 3 2 4 3" xfId="9728" xr:uid="{58E1A5B8-6C25-4F1C-A417-CFD17A41E8BB}"/>
    <cellStyle name="Note 2 4 3 2 4 4" xfId="4088" xr:uid="{7518448B-DD73-41D0-804B-822ABC33CCAE}"/>
    <cellStyle name="Note 2 4 3 2 5" xfId="4828" xr:uid="{2A6753B8-9B5A-49BE-AEE8-54D2ACA32FCE}"/>
    <cellStyle name="Note 2 4 3 2 5 2" xfId="7802" xr:uid="{96FB690C-E6B0-4A64-A478-8953CBE6CBD5}"/>
    <cellStyle name="Note 2 4 3 2 6" xfId="5593" xr:uid="{0227A30D-EAE7-4985-BFAC-8A0A46EF4D38}"/>
    <cellStyle name="Note 2 4 3 2 6 2" xfId="8567" xr:uid="{D4A08014-D25D-44D1-934C-B30D9C872B89}"/>
    <cellStyle name="Note 2 4 3 2 7" xfId="3381" xr:uid="{26C1DF72-3CE2-4307-BFF6-19811D757A65}"/>
    <cellStyle name="Note 2 4 3 2 8" xfId="3091" xr:uid="{2C0AA766-91B4-47B7-A9CD-2D638EFDAA12}"/>
    <cellStyle name="Note 2 4 3 2 9" xfId="2243" xr:uid="{79A29B33-82D8-48E4-ACBF-DDFC70A6980B}"/>
    <cellStyle name="Note 2 4 3 3" xfId="753" xr:uid="{AD0A48AF-5D8C-4066-8480-BAA25D8C8261}"/>
    <cellStyle name="Note 2 4 3 3 2" xfId="1558" xr:uid="{852CACD2-B4ED-4A32-AD22-543F619CCE45}"/>
    <cellStyle name="Note 2 4 3 3 2 2" xfId="7329" xr:uid="{2DAB5E1A-8EA4-42C7-B660-BC75075638DB}"/>
    <cellStyle name="Note 2 4 3 3 2 3" xfId="9995" xr:uid="{4FC256CF-635F-43A7-A2AE-3327BCE702E4}"/>
    <cellStyle name="Note 2 4 3 3 2 4" xfId="4355" xr:uid="{87CB6780-5E48-4EFF-B7A4-B0AF2892111F}"/>
    <cellStyle name="Note 2 4 3 3 3" xfId="5095" xr:uid="{F0E29598-6D52-4BF8-822C-18218EF002A5}"/>
    <cellStyle name="Note 2 4 3 3 3 2" xfId="8069" xr:uid="{CB9DDCF5-57AB-442E-8D9D-5E931AECC650}"/>
    <cellStyle name="Note 2 4 3 3 4" xfId="5860" xr:uid="{584AF962-D0D3-4E66-9DBA-4C04D29667C8}"/>
    <cellStyle name="Note 2 4 3 3 4 2" xfId="8834" xr:uid="{777159C9-6E68-4AB0-850F-C094D9A6E9F8}"/>
    <cellStyle name="Note 2 4 3 3 5" xfId="3588" xr:uid="{5CFEC775-32A5-422E-A084-C65A1D2D2956}"/>
    <cellStyle name="Note 2 4 3 3 6" xfId="6533" xr:uid="{8CAE905B-CF40-43AF-81B8-489AB2899A1A}"/>
    <cellStyle name="Note 2 4 3 3 7" xfId="2510" xr:uid="{B979E955-9B59-4325-B9C4-09B6F9089526}"/>
    <cellStyle name="Note 2 4 3 4" xfId="614" xr:uid="{E6FA0EB8-F995-4DF7-A128-AF63B9EEB0EA}"/>
    <cellStyle name="Note 2 4 3 4 2" xfId="1419" xr:uid="{7A024792-A891-4D13-BD0A-1BF1CAC26C77}"/>
    <cellStyle name="Note 2 4 3 4 2 2" xfId="7190" xr:uid="{373B67F8-A072-4F54-B4EC-0F500E391C42}"/>
    <cellStyle name="Note 2 4 3 4 2 3" xfId="9856" xr:uid="{BF2EB226-7D9A-4885-8E7D-3096B76FDB57}"/>
    <cellStyle name="Note 2 4 3 4 2 4" xfId="4216" xr:uid="{B0340044-6A6A-485D-A722-822750EFACE7}"/>
    <cellStyle name="Note 2 4 3 4 3" xfId="4956" xr:uid="{87755C2B-A8A2-4450-8BD1-64F9C470F0D7}"/>
    <cellStyle name="Note 2 4 3 4 3 2" xfId="7930" xr:uid="{C5BBDF53-F16F-4E6A-907F-114B0DD4339A}"/>
    <cellStyle name="Note 2 4 3 4 4" xfId="5721" xr:uid="{0E4D0DBE-BA6B-43AF-A581-8140F06E3E60}"/>
    <cellStyle name="Note 2 4 3 4 4 2" xfId="8695" xr:uid="{35DA9599-294A-444D-BB36-55D92DEDBF41}"/>
    <cellStyle name="Note 2 4 3 4 5" xfId="3471" xr:uid="{E639EBF2-A04C-499E-B346-A3C612E241FB}"/>
    <cellStyle name="Note 2 4 3 4 6" xfId="6394" xr:uid="{3E49CDE4-0865-4B5F-A36A-03C357B618EF}"/>
    <cellStyle name="Note 2 4 3 4 7" xfId="2371" xr:uid="{9AB600B9-8843-43CC-84B5-6F82A9C1C25F}"/>
    <cellStyle name="Note 2 4 3 5" xfId="3174" xr:uid="{2C26A40E-4E57-4C3C-AF3A-CEA312E3E69F}"/>
    <cellStyle name="Note 2 4 3 5 2" xfId="3486" xr:uid="{85DB7D28-5490-467A-A6F7-BFE61412283A}"/>
    <cellStyle name="Note 2 4 3 6" xfId="3194" xr:uid="{0D7B6D60-D27F-4030-8233-A3E664474E92}"/>
    <cellStyle name="Note 2 4 3 7" xfId="3374" xr:uid="{B18AAF56-74EE-4AFD-80EC-389A36DE1D84}"/>
    <cellStyle name="Note 2 4 3 8" xfId="2078" xr:uid="{B8D65FE8-2E27-4F32-9B28-7D81A3FDF7C7}"/>
    <cellStyle name="Note 2 4 4" xfId="437" xr:uid="{CE4535D9-DAE8-429E-BEDD-EF3AE75CE83F}"/>
    <cellStyle name="Note 2 4 4 2" xfId="916" xr:uid="{D16E528E-74D1-4EF4-B657-098433ED0376}"/>
    <cellStyle name="Note 2 4 4 2 2" xfId="1721" xr:uid="{15ECCEF8-412B-4551-8B67-66186E601A53}"/>
    <cellStyle name="Note 2 4 4 2 2 2" xfId="7492" xr:uid="{1C5A8B51-4D9F-4728-BA7D-09D33BEF317D}"/>
    <cellStyle name="Note 2 4 4 2 2 3" xfId="10158" xr:uid="{99AC07CF-B7B8-4E05-ABFE-0AF8CA417C3E}"/>
    <cellStyle name="Note 2 4 4 2 2 4" xfId="4518" xr:uid="{C13156C3-B38A-4C83-B285-D42C9E018B8D}"/>
    <cellStyle name="Note 2 4 4 2 3" xfId="5258" xr:uid="{C89BED78-245E-49D9-8015-AD766C0E35E6}"/>
    <cellStyle name="Note 2 4 4 2 3 2" xfId="8232" xr:uid="{F1D125C1-4B23-4247-AB80-F30FC4D29480}"/>
    <cellStyle name="Note 2 4 4 2 4" xfId="6023" xr:uid="{B25FA726-321C-4319-9AF5-410F8BB860FD}"/>
    <cellStyle name="Note 2 4 4 2 4 2" xfId="8997" xr:uid="{7DD7F2BC-618F-4332-BFD1-D5A64B3EDAFA}"/>
    <cellStyle name="Note 2 4 4 2 5" xfId="3733" xr:uid="{BB8A5473-2BA9-487A-9D51-CD52751774DF}"/>
    <cellStyle name="Note 2 4 4 2 6" xfId="6696" xr:uid="{AB91BBD9-8937-4D55-A44B-00CDA1010DB7}"/>
    <cellStyle name="Note 2 4 4 2 7" xfId="2673" xr:uid="{176ACAFF-3430-427E-BB5E-E62875721DD2}"/>
    <cellStyle name="Note 2 4 4 3" xfId="1160" xr:uid="{0626392E-2AED-4186-A4C9-9FDBF0292D96}"/>
    <cellStyle name="Note 2 4 4 3 2" xfId="1965" xr:uid="{51AA8C95-197B-404C-BEAE-D2A67A3925AC}"/>
    <cellStyle name="Note 2 4 4 3 2 2" xfId="7736" xr:uid="{4C500C92-B1C8-4DFF-888D-25438F2D0A7B}"/>
    <cellStyle name="Note 2 4 4 3 2 3" xfId="10402" xr:uid="{3B058814-865A-488D-B6F0-EC4ABE895944}"/>
    <cellStyle name="Note 2 4 4 3 2 4" xfId="4762" xr:uid="{28E0A457-C687-4ACD-976E-C99ED0D94E87}"/>
    <cellStyle name="Note 2 4 4 3 3" xfId="5502" xr:uid="{62D1818B-10AB-40DC-96D6-C5EB91121486}"/>
    <cellStyle name="Note 2 4 4 3 3 2" xfId="8476" xr:uid="{4E16A69B-282C-41A4-8480-42AA95DB2FDD}"/>
    <cellStyle name="Note 2 4 4 3 4" xfId="6267" xr:uid="{A83E83B9-BF59-472A-AF38-BC1BE56C440B}"/>
    <cellStyle name="Note 2 4 4 3 4 2" xfId="9241" xr:uid="{5248037F-7FFA-4D23-811D-8B49951564FF}"/>
    <cellStyle name="Note 2 4 4 3 5" xfId="3946" xr:uid="{B283F970-BFFD-47DE-A4AB-EFDF76113F01}"/>
    <cellStyle name="Note 2 4 4 3 6" xfId="6940" xr:uid="{05B1A1F4-0CB7-4030-A640-E0EF2F29A612}"/>
    <cellStyle name="Note 2 4 4 3 7" xfId="2917" xr:uid="{433EA83A-5B8F-4E69-896C-601E1A3870BD}"/>
    <cellStyle name="Note 2 4 4 4" xfId="1243" xr:uid="{403E576F-7034-47DD-A1D4-31E357062F1F}"/>
    <cellStyle name="Note 2 4 4 4 2" xfId="7014" xr:uid="{82E43E99-3B0F-4098-96C2-51D02ED36DAA}"/>
    <cellStyle name="Note 2 4 4 4 3" xfId="9680" xr:uid="{2CA40BF8-8702-4D54-906D-3D1223C8C0E2}"/>
    <cellStyle name="Note 2 4 4 4 4" xfId="4040" xr:uid="{5E8F67B0-ABA1-4362-9404-C6EC366F2546}"/>
    <cellStyle name="Note 2 4 4 5" xfId="3282" xr:uid="{77C956A4-A074-44C7-9DF5-80B045527EE9}"/>
    <cellStyle name="Note 2 4 4 5 2" xfId="3010" xr:uid="{73012E56-CC78-491C-94DD-03728EEDBAC4}"/>
    <cellStyle name="Note 2 4 4 6" xfId="5545" xr:uid="{26EBD520-A148-4064-BEC8-3E7B852EACE7}"/>
    <cellStyle name="Note 2 4 4 6 2" xfId="8519" xr:uid="{F5B4AEB9-66E6-445C-AAA8-D79B7690B920}"/>
    <cellStyle name="Note 2 4 4 7" xfId="3347" xr:uid="{F394C616-679D-48F6-9CB9-98E0DBB20E1D}"/>
    <cellStyle name="Note 2 4 4 8" xfId="3078" xr:uid="{59C82F8B-124D-4335-8691-E1A654315127}"/>
    <cellStyle name="Note 2 4 4 9" xfId="2195" xr:uid="{4D6C8F41-AA0F-4798-8A8C-AAB204600C45}"/>
    <cellStyle name="Note 2 4 5" xfId="705" xr:uid="{4B746196-D4BE-4EB9-A6D5-843658A2F425}"/>
    <cellStyle name="Note 2 4 5 2" xfId="1510" xr:uid="{640C3287-C21E-48CC-B023-4B40C3936E20}"/>
    <cellStyle name="Note 2 4 5 2 2" xfId="7281" xr:uid="{9484FD55-5B15-490B-9AAD-6DF7A0FAE75A}"/>
    <cellStyle name="Note 2 4 5 2 3" xfId="9947" xr:uid="{4F1DF87A-D941-40F8-B385-90E2FE75A766}"/>
    <cellStyle name="Note 2 4 5 2 4" xfId="4307" xr:uid="{AEFA1BE1-0B1B-41BD-B02A-0C03B301980C}"/>
    <cellStyle name="Note 2 4 5 3" xfId="5047" xr:uid="{5481F765-5880-47CA-BC7D-99FCBE7376D2}"/>
    <cellStyle name="Note 2 4 5 3 2" xfId="8021" xr:uid="{251E6E74-1C7F-4F08-93BE-B486223DFE02}"/>
    <cellStyle name="Note 2 4 5 4" xfId="5812" xr:uid="{14BD817C-2CF3-4E74-BBDF-7080192F31AE}"/>
    <cellStyle name="Note 2 4 5 4 2" xfId="8786" xr:uid="{3846DBF9-3996-429C-99F1-0090680152EC}"/>
    <cellStyle name="Note 2 4 5 5" xfId="3540" xr:uid="{2DE27BC4-FEBD-4D49-BE93-57D9B139A632}"/>
    <cellStyle name="Note 2 4 5 6" xfId="6485" xr:uid="{2BD10676-B942-4C68-AAF6-C1CC6B4918AC}"/>
    <cellStyle name="Note 2 4 5 7" xfId="2462" xr:uid="{4E26242F-3D40-4782-8030-FB5B1BD8E1CB}"/>
    <cellStyle name="Note 2 4 6" xfId="597" xr:uid="{D03DFC7B-D6CC-4A29-878F-B341E2B13CFB}"/>
    <cellStyle name="Note 2 4 6 2" xfId="1402" xr:uid="{9FC8B2B6-CCE3-4D69-9B40-0DCAA6CC3638}"/>
    <cellStyle name="Note 2 4 6 2 2" xfId="7173" xr:uid="{119F15E3-8365-4AD0-9D95-99853D1933FB}"/>
    <cellStyle name="Note 2 4 6 2 3" xfId="9839" xr:uid="{9999CFC3-BF64-4456-B889-7D27FC36D51D}"/>
    <cellStyle name="Note 2 4 6 2 4" xfId="4199" xr:uid="{CDB5A094-21AA-4325-A6FA-79B73E2F915C}"/>
    <cellStyle name="Note 2 4 6 3" xfId="4939" xr:uid="{410D70BF-DFD1-4A27-B690-084ECDB47098}"/>
    <cellStyle name="Note 2 4 6 3 2" xfId="7913" xr:uid="{B9C7ABE8-4294-468C-84A8-7F1DA4B8AB45}"/>
    <cellStyle name="Note 2 4 6 4" xfId="5704" xr:uid="{6D8DDA34-1849-4227-B45D-A1B57DFC9E53}"/>
    <cellStyle name="Note 2 4 6 4 2" xfId="8678" xr:uid="{885F88B6-9C03-4A3A-A245-C7B84F503C12}"/>
    <cellStyle name="Note 2 4 6 5" xfId="3459" xr:uid="{572348CA-FEAE-4232-9C5C-F3A96C5CAF7C}"/>
    <cellStyle name="Note 2 4 6 6" xfId="6377" xr:uid="{2C7C09D8-66DF-4C03-BE0B-3682A4EF6A37}"/>
    <cellStyle name="Note 2 4 6 7" xfId="2354" xr:uid="{B1939BDA-534D-468D-8BE5-A557DB8B1975}"/>
    <cellStyle name="Note 2 4 7" xfId="3215" xr:uid="{F3DD0B8D-EC7A-4601-B264-D02EC72E4994}"/>
    <cellStyle name="Note 2 4 7 2" xfId="2989" xr:uid="{D2549053-E015-4679-BA7A-F034962F5FA1}"/>
    <cellStyle name="Note 2 4 8" xfId="3151" xr:uid="{8ED60E6C-9FA6-46E0-990D-EE746A4DD49E}"/>
    <cellStyle name="Note 2 4 9" xfId="3688" xr:uid="{0888E08B-8BCE-4F58-A7DD-9F7DFE0A8351}"/>
    <cellStyle name="Note 2 5" xfId="219" xr:uid="{71F587AF-F2FE-449A-A955-415BAA1B4F07}"/>
    <cellStyle name="Note 2 5 10" xfId="2034" xr:uid="{F25035EF-5C31-49A5-A5C9-575C4719DD36}"/>
    <cellStyle name="Note 2 5 2" xfId="323" xr:uid="{D558C0DF-CC6D-4CBB-BB49-C77FB468F46C}"/>
    <cellStyle name="Note 2 5 2 2" xfId="545" xr:uid="{BD42D0B1-C473-4149-9B4A-00D015C28208}"/>
    <cellStyle name="Note 2 5 2 2 2" xfId="1024" xr:uid="{97D7BD66-5B6C-48B6-AC49-7E66262E2ECA}"/>
    <cellStyle name="Note 2 5 2 2 2 2" xfId="1829" xr:uid="{4AADB8E6-F1C8-470C-A250-00548D28BF7D}"/>
    <cellStyle name="Note 2 5 2 2 2 2 2" xfId="7600" xr:uid="{8D6B73D7-A145-4710-BBDD-30CD1CAE7E89}"/>
    <cellStyle name="Note 2 5 2 2 2 2 3" xfId="10266" xr:uid="{ABC90527-A0B1-46CF-B197-0DFCE4F15E08}"/>
    <cellStyle name="Note 2 5 2 2 2 2 4" xfId="4626" xr:uid="{B0184A3F-CAE8-4051-ADB7-62B7C1594FF3}"/>
    <cellStyle name="Note 2 5 2 2 2 3" xfId="5366" xr:uid="{A93C60B4-A59E-405B-BA4E-F654ECA7AEB2}"/>
    <cellStyle name="Note 2 5 2 2 2 3 2" xfId="8340" xr:uid="{574CADD9-EAB0-4B57-B4C2-C34D8F9B1A87}"/>
    <cellStyle name="Note 2 5 2 2 2 4" xfId="6131" xr:uid="{55573AF3-DBE2-4391-AB46-D47386A376EB}"/>
    <cellStyle name="Note 2 5 2 2 2 4 2" xfId="9105" xr:uid="{6931070A-C55C-49B6-9803-DCDEDB2A77D1}"/>
    <cellStyle name="Note 2 5 2 2 2 5" xfId="3841" xr:uid="{7529016E-7BB0-4DFD-83BB-9CBA633A486C}"/>
    <cellStyle name="Note 2 5 2 2 2 6" xfId="6804" xr:uid="{38D5491C-C9B6-486B-8106-C534D35F9DC4}"/>
    <cellStyle name="Note 2 5 2 2 2 7" xfId="2781" xr:uid="{38F17AC6-1B52-406A-BB31-BDE68117B2F2}"/>
    <cellStyle name="Note 2 5 2 2 3" xfId="578" xr:uid="{2536EAF5-AE6F-4BFB-94C1-41F5630FDEFF}"/>
    <cellStyle name="Note 2 5 2 2 3 2" xfId="1383" xr:uid="{27C2FEF4-5578-4C0E-AF6B-8407C0074CE9}"/>
    <cellStyle name="Note 2 5 2 2 3 2 2" xfId="7154" xr:uid="{F91C9624-4173-417B-B917-12A6ED128E3D}"/>
    <cellStyle name="Note 2 5 2 2 3 2 3" xfId="9820" xr:uid="{2B544974-5B60-4404-8A52-98BAD0B333C2}"/>
    <cellStyle name="Note 2 5 2 2 3 2 4" xfId="4180" xr:uid="{D81C8A97-2D85-4989-B16E-91FBD673584E}"/>
    <cellStyle name="Note 2 5 2 2 3 3" xfId="4920" xr:uid="{0EC3FA30-EFE5-4859-8621-BC2E351BA5C2}"/>
    <cellStyle name="Note 2 5 2 2 3 3 2" xfId="7894" xr:uid="{EB547828-54A7-44EF-9D78-05D2DF66814C}"/>
    <cellStyle name="Note 2 5 2 2 3 4" xfId="5685" xr:uid="{4B30CDE7-B9B9-4211-B2DD-ED339151EA9F}"/>
    <cellStyle name="Note 2 5 2 2 3 4 2" xfId="8659" xr:uid="{30861040-614A-432B-8600-0EABAE329B3C}"/>
    <cellStyle name="Note 2 5 2 2 3 5" xfId="3446" xr:uid="{E2964327-EF5D-4B4D-9563-5E6ED6C332EC}"/>
    <cellStyle name="Note 2 5 2 2 3 6" xfId="6358" xr:uid="{5BC63D97-6447-4451-89A9-702938F168B1}"/>
    <cellStyle name="Note 2 5 2 2 3 7" xfId="2335" xr:uid="{4153E0F2-04FB-479D-9686-151869A991B2}"/>
    <cellStyle name="Note 2 5 2 2 4" xfId="1351" xr:uid="{5E1D8897-1B7E-4343-A98B-C6D3F8FFA2C8}"/>
    <cellStyle name="Note 2 5 2 2 4 2" xfId="7122" xr:uid="{66887A55-799F-489A-8747-5EF121F57D73}"/>
    <cellStyle name="Note 2 5 2 2 4 3" xfId="9788" xr:uid="{39124EB7-C21F-470C-B956-567C27A3C4C6}"/>
    <cellStyle name="Note 2 5 2 2 4 4" xfId="4148" xr:uid="{05837BBF-A126-4589-B224-820E30123EF7}"/>
    <cellStyle name="Note 2 5 2 2 5" xfId="4888" xr:uid="{8B36C4AE-E8A0-4BBE-836D-547F992BF698}"/>
    <cellStyle name="Note 2 5 2 2 5 2" xfId="7862" xr:uid="{07CA1E0A-F4E8-4E75-B143-5D69383F4D7F}"/>
    <cellStyle name="Note 2 5 2 2 6" xfId="5653" xr:uid="{660C5CBD-30DB-48A4-BAE2-FBEF84DBEE51}"/>
    <cellStyle name="Note 2 5 2 2 6 2" xfId="8627" xr:uid="{70476563-0BC0-4071-87A8-487E12138C6F}"/>
    <cellStyle name="Note 2 5 2 2 7" xfId="3423" xr:uid="{27E6EDEC-8166-447B-AD47-E820002EB165}"/>
    <cellStyle name="Note 2 5 2 2 8" xfId="6326" xr:uid="{BF28F140-BA82-4875-B446-B8EC37E4A4FB}"/>
    <cellStyle name="Note 2 5 2 2 9" xfId="2303" xr:uid="{0DEB866B-4BB3-40B6-9F7E-BBE29C4C5539}"/>
    <cellStyle name="Note 2 5 2 3" xfId="814" xr:uid="{46BAF450-64B1-41D7-8A61-D31E213698BA}"/>
    <cellStyle name="Note 2 5 2 3 2" xfId="1619" xr:uid="{D68BBFE8-78C3-4B38-8C7C-C0267AE8C297}"/>
    <cellStyle name="Note 2 5 2 3 2 2" xfId="7390" xr:uid="{C355C103-E23A-4E51-AEAB-8FB7A4FAD3AA}"/>
    <cellStyle name="Note 2 5 2 3 2 3" xfId="10056" xr:uid="{C459707C-2991-4772-A6AC-FCE4ABA28594}"/>
    <cellStyle name="Note 2 5 2 3 2 4" xfId="4416" xr:uid="{5427ADB8-8663-4E39-A834-D7AFCD5E0D1F}"/>
    <cellStyle name="Note 2 5 2 3 3" xfId="5156" xr:uid="{1ABA63B0-48BD-4877-8C08-442DED7320B9}"/>
    <cellStyle name="Note 2 5 2 3 3 2" xfId="8130" xr:uid="{14513D4E-39E2-4266-8DA3-49150BA080BD}"/>
    <cellStyle name="Note 2 5 2 3 4" xfId="5921" xr:uid="{E74EADCA-9F2B-490B-BC5E-8DA940CADBE9}"/>
    <cellStyle name="Note 2 5 2 3 4 2" xfId="8895" xr:uid="{F1A485A5-90C9-4E38-A11A-AB35D6C59173}"/>
    <cellStyle name="Note 2 5 2 3 5" xfId="3648" xr:uid="{C8A0B77B-CBBA-4805-AF0B-43E4330E8429}"/>
    <cellStyle name="Note 2 5 2 3 6" xfId="6594" xr:uid="{0D6D6B33-1607-4B23-B59F-191ED75ACB70}"/>
    <cellStyle name="Note 2 5 2 3 7" xfId="2571" xr:uid="{C0558F4D-19BE-41AD-8A7A-E9D6C35C37F3}"/>
    <cellStyle name="Note 2 5 2 4" xfId="1093" xr:uid="{56102122-8EED-4195-B3E2-65D31D26EF4B}"/>
    <cellStyle name="Note 2 5 2 4 2" xfId="1898" xr:uid="{B80F1974-5FCC-4584-9E40-8D95C7E16DA5}"/>
    <cellStyle name="Note 2 5 2 4 2 2" xfId="7669" xr:uid="{FD79A2C9-0F23-410C-B2CB-1AA6B6E0B123}"/>
    <cellStyle name="Note 2 5 2 4 2 3" xfId="10335" xr:uid="{7E8D24B5-0347-4E05-9273-6A514A986F77}"/>
    <cellStyle name="Note 2 5 2 4 2 4" xfId="4695" xr:uid="{1CBC61B1-121C-4229-91C6-BFF3741196D0}"/>
    <cellStyle name="Note 2 5 2 4 3" xfId="5435" xr:uid="{1AB7A255-F154-4558-9A5A-2EBDD82454FE}"/>
    <cellStyle name="Note 2 5 2 4 3 2" xfId="8409" xr:uid="{50FD0249-5E14-467B-88A2-B8742D2FCC37}"/>
    <cellStyle name="Note 2 5 2 4 4" xfId="6200" xr:uid="{59E41ED0-39E0-491E-828F-CBBEE5ABB681}"/>
    <cellStyle name="Note 2 5 2 4 4 2" xfId="9174" xr:uid="{BE23A391-3593-4118-91AA-ED2C9B8DACEA}"/>
    <cellStyle name="Note 2 5 2 4 5" xfId="3904" xr:uid="{FA049344-24B8-4C64-9C34-6FA3F32666F2}"/>
    <cellStyle name="Note 2 5 2 4 6" xfId="6873" xr:uid="{9FC7B2E4-65AC-4BB4-A340-2C943A38ED40}"/>
    <cellStyle name="Note 2 5 2 4 7" xfId="2850" xr:uid="{D8C4E3D3-FC3A-4125-8EE5-DCF153F7224F}"/>
    <cellStyle name="Note 2 5 2 5" xfId="3132" xr:uid="{7A8474F8-B6A1-4AA5-8DB3-E1D3B3AFEC96}"/>
    <cellStyle name="Note 2 5 2 5 2" xfId="3226" xr:uid="{5DD271E7-805B-4AA8-8E59-21D629F58573}"/>
    <cellStyle name="Note 2 5 2 6" xfId="3242" xr:uid="{5DFAFDE3-90D2-4A21-853F-2CF626315317}"/>
    <cellStyle name="Note 2 5 2 7" xfId="3314" xr:uid="{37C96AEA-12F9-4EC6-BCC6-1CEDCBC3CFAD}"/>
    <cellStyle name="Note 2 5 2 8" xfId="2141" xr:uid="{D019B386-792B-4912-BE01-4667A0AE3A7A}"/>
    <cellStyle name="Note 2 5 3" xfId="267" xr:uid="{4C3DEA63-F99B-454E-8A15-C516D35FB323}"/>
    <cellStyle name="Note 2 5 3 2" xfId="491" xr:uid="{E45CCF58-90BD-4026-AFCE-93C7F6E2BD47}"/>
    <cellStyle name="Note 2 5 3 2 2" xfId="970" xr:uid="{679F39C6-FFE1-410C-B0B7-4DB6C15D8546}"/>
    <cellStyle name="Note 2 5 3 2 2 2" xfId="1775" xr:uid="{27465179-9FDB-42D5-B7AE-C5CEA00FB21B}"/>
    <cellStyle name="Note 2 5 3 2 2 2 2" xfId="7546" xr:uid="{AB7C3B3A-CCFA-498B-A184-656B087E3E51}"/>
    <cellStyle name="Note 2 5 3 2 2 2 3" xfId="10212" xr:uid="{DADABBB8-D438-4D56-B4C1-05F736E61150}"/>
    <cellStyle name="Note 2 5 3 2 2 2 4" xfId="4572" xr:uid="{C4E53790-7920-4EA1-907A-6686B3C0EE29}"/>
    <cellStyle name="Note 2 5 3 2 2 3" xfId="5312" xr:uid="{518184DF-2EAA-4A3F-AA88-81A74B2CA612}"/>
    <cellStyle name="Note 2 5 3 2 2 3 2" xfId="8286" xr:uid="{C1E51A82-B418-4A38-B0E9-EB670C254861}"/>
    <cellStyle name="Note 2 5 3 2 2 4" xfId="6077" xr:uid="{4C472BD4-F1C9-4E7B-AF90-923D1232276F}"/>
    <cellStyle name="Note 2 5 3 2 2 4 2" xfId="9051" xr:uid="{2576F9E2-ACBC-4020-878C-DE702B4A6FCA}"/>
    <cellStyle name="Note 2 5 3 2 2 5" xfId="3787" xr:uid="{5EF22843-5C40-44A3-863C-BB567A80754F}"/>
    <cellStyle name="Note 2 5 3 2 2 6" xfId="6750" xr:uid="{1ED906FE-0D8F-4507-99EE-F29B15C35BCA}"/>
    <cellStyle name="Note 2 5 3 2 2 7" xfId="2727" xr:uid="{33D689B4-7C76-42E3-A677-DEC2D821E8C2}"/>
    <cellStyle name="Note 2 5 3 2 3" xfId="1074" xr:uid="{38329A32-75F9-4EC0-A596-171A1352222D}"/>
    <cellStyle name="Note 2 5 3 2 3 2" xfId="1879" xr:uid="{56D0CFDF-43FC-4D84-9CBE-EC15E46C39DD}"/>
    <cellStyle name="Note 2 5 3 2 3 2 2" xfId="7650" xr:uid="{498C05E0-81BE-4CE0-AC32-448F7129830B}"/>
    <cellStyle name="Note 2 5 3 2 3 2 3" xfId="10316" xr:uid="{F4589DC9-9A04-404D-9F1D-4B7F2C87C151}"/>
    <cellStyle name="Note 2 5 3 2 3 2 4" xfId="4676" xr:uid="{0AEA44DA-8B28-481E-846D-B54BA5F7373D}"/>
    <cellStyle name="Note 2 5 3 2 3 3" xfId="5416" xr:uid="{FACC0B1A-A835-4AEF-A4FF-6A15C6954DB1}"/>
    <cellStyle name="Note 2 5 3 2 3 3 2" xfId="8390" xr:uid="{14BC5318-EDF0-4AF5-95AE-5EE63B21DE70}"/>
    <cellStyle name="Note 2 5 3 2 3 4" xfId="6181" xr:uid="{416C694D-FD0E-4590-A9B0-6112AFD89C5D}"/>
    <cellStyle name="Note 2 5 3 2 3 4 2" xfId="9155" xr:uid="{F1C2BFF4-1B84-47F6-91E6-6CE9B043B9A1}"/>
    <cellStyle name="Note 2 5 3 2 3 5" xfId="3889" xr:uid="{C9D2DE5E-E7BE-4DA9-A651-16AFDE60E4CA}"/>
    <cellStyle name="Note 2 5 3 2 3 6" xfId="6854" xr:uid="{3EC1C9A2-6602-46B2-8094-C4099FD09A38}"/>
    <cellStyle name="Note 2 5 3 2 3 7" xfId="2831" xr:uid="{DB9DB9E8-2895-4066-88EB-C045EF6086CC}"/>
    <cellStyle name="Note 2 5 3 2 4" xfId="1297" xr:uid="{0B8D2BF1-529F-42AB-B82C-F17337C8B2DE}"/>
    <cellStyle name="Note 2 5 3 2 4 2" xfId="7068" xr:uid="{FDB4293C-A3B7-40FF-97E1-0D9B8AB78E2D}"/>
    <cellStyle name="Note 2 5 3 2 4 3" xfId="9734" xr:uid="{2E6A1832-BFA3-4826-8CFE-75FD2D536D89}"/>
    <cellStyle name="Note 2 5 3 2 4 4" xfId="4094" xr:uid="{33410072-0F51-47E6-A099-C847E6A3C214}"/>
    <cellStyle name="Note 2 5 3 2 5" xfId="4834" xr:uid="{F7E143FB-8E1F-4336-A53B-4F9A73BA3E8B}"/>
    <cellStyle name="Note 2 5 3 2 5 2" xfId="7808" xr:uid="{0EC27222-DF3F-4D38-81AB-AB95B3BE1BEE}"/>
    <cellStyle name="Note 2 5 3 2 6" xfId="5599" xr:uid="{F9E7C791-9760-4088-B2B9-B084C0A163FC}"/>
    <cellStyle name="Note 2 5 3 2 6 2" xfId="8573" xr:uid="{35559452-FE6D-43BE-BB49-1FB988AAB7D5}"/>
    <cellStyle name="Note 2 5 3 2 7" xfId="3385" xr:uid="{8D258EE1-99FD-4549-88F4-4BA45B631BE4}"/>
    <cellStyle name="Note 2 5 3 2 8" xfId="3088" xr:uid="{33FDE63C-ED74-4D13-BC8A-DFDA751DCC86}"/>
    <cellStyle name="Note 2 5 3 2 9" xfId="2249" xr:uid="{29FF999B-C8C0-49B7-A37C-3C18231A5E6C}"/>
    <cellStyle name="Note 2 5 3 3" xfId="759" xr:uid="{43FF0A8E-353D-46A1-A96F-89B286AA22B5}"/>
    <cellStyle name="Note 2 5 3 3 2" xfId="1564" xr:uid="{9A9424FD-2905-48BA-BC31-A3E2016F4766}"/>
    <cellStyle name="Note 2 5 3 3 2 2" xfId="7335" xr:uid="{938D6EF3-5940-4E39-9760-1C4AE3167E4E}"/>
    <cellStyle name="Note 2 5 3 3 2 3" xfId="10001" xr:uid="{EC15FB9F-5212-4EB1-ADA6-7F6BCA5DF229}"/>
    <cellStyle name="Note 2 5 3 3 2 4" xfId="4361" xr:uid="{541A680D-A5B4-4CBD-90C8-2505C46055FB}"/>
    <cellStyle name="Note 2 5 3 3 3" xfId="5101" xr:uid="{ECC73D2A-559C-4950-8524-491FF2DA64E9}"/>
    <cellStyle name="Note 2 5 3 3 3 2" xfId="8075" xr:uid="{1833A045-070E-4A3F-8887-0539157BBEF2}"/>
    <cellStyle name="Note 2 5 3 3 4" xfId="5866" xr:uid="{39ED4749-1A99-45A9-A670-2358BA2045FC}"/>
    <cellStyle name="Note 2 5 3 3 4 2" xfId="8840" xr:uid="{9785C3DA-9D3C-4DD1-895D-59AD1B9F5721}"/>
    <cellStyle name="Note 2 5 3 3 5" xfId="3594" xr:uid="{E9B6FFA6-D69F-4F94-8514-60B3F1692DC1}"/>
    <cellStyle name="Note 2 5 3 3 6" xfId="6539" xr:uid="{9EA9E61F-BD40-4A9D-8705-945DE17BE9D6}"/>
    <cellStyle name="Note 2 5 3 3 7" xfId="2516" xr:uid="{A5D4AEA6-9F1C-4F60-8F4C-4C10768F79B9}"/>
    <cellStyle name="Note 2 5 3 4" xfId="1120" xr:uid="{815442DA-3249-4BD6-B26B-7CE09D32D0C8}"/>
    <cellStyle name="Note 2 5 3 4 2" xfId="1925" xr:uid="{989044F1-1226-4A18-BD30-E201DCEA29F2}"/>
    <cellStyle name="Note 2 5 3 4 2 2" xfId="7696" xr:uid="{12E79B71-624D-4B6B-BCFB-30BEEEAD2CCF}"/>
    <cellStyle name="Note 2 5 3 4 2 3" xfId="10362" xr:uid="{7DB748EE-5D2A-4F2B-95D2-FA474A31CB4C}"/>
    <cellStyle name="Note 2 5 3 4 2 4" xfId="4722" xr:uid="{65D44870-907F-4ECA-95AB-EE892EB49577}"/>
    <cellStyle name="Note 2 5 3 4 3" xfId="5462" xr:uid="{7227B5B4-8A69-4DDD-80B3-12F0D8A586FA}"/>
    <cellStyle name="Note 2 5 3 4 3 2" xfId="8436" xr:uid="{B43626AD-5650-4251-9F40-D0A8F6EDA4E6}"/>
    <cellStyle name="Note 2 5 3 4 4" xfId="6227" xr:uid="{7D7DA232-E60E-47CA-8A1C-B5A4B92128A0}"/>
    <cellStyle name="Note 2 5 3 4 4 2" xfId="9201" xr:uid="{C6CC61A3-8821-466F-AAEB-46D05113F3B9}"/>
    <cellStyle name="Note 2 5 3 4 5" xfId="3923" xr:uid="{76B7BFED-692C-44AA-9C98-D74E6D26CB58}"/>
    <cellStyle name="Note 2 5 3 4 6" xfId="6900" xr:uid="{77FB224D-959A-43ED-96B1-4C7325C3D353}"/>
    <cellStyle name="Note 2 5 3 4 7" xfId="2877" xr:uid="{947EE88E-A686-435D-A467-880BFE2745B2}"/>
    <cellStyle name="Note 2 5 3 5" xfId="3173" xr:uid="{F48862AA-3613-4DE2-BA75-3856254FCAC8}"/>
    <cellStyle name="Note 2 5 3 5 2" xfId="3467" xr:uid="{ED2376C7-CF5F-41E7-BAB5-D2416A53668D}"/>
    <cellStyle name="Note 2 5 3 6" xfId="3198" xr:uid="{273FED85-2590-4712-BF08-4B961F5A8C7E}"/>
    <cellStyle name="Note 2 5 3 7" xfId="3122" xr:uid="{D1B5A744-407F-4C3E-B6E4-C8028E83F8EE}"/>
    <cellStyle name="Note 2 5 3 8" xfId="2084" xr:uid="{4C3FBF58-64F1-481E-AE10-86CC7496F12E}"/>
    <cellStyle name="Note 2 5 4" xfId="443" xr:uid="{B627B46A-1137-47AD-9E4B-6EE29EF9D265}"/>
    <cellStyle name="Note 2 5 4 2" xfId="922" xr:uid="{5137F51C-9488-46C4-9243-415D745F4578}"/>
    <cellStyle name="Note 2 5 4 2 2" xfId="1727" xr:uid="{161130A2-2CB6-47A4-8929-E94C1AD05707}"/>
    <cellStyle name="Note 2 5 4 2 2 2" xfId="7498" xr:uid="{76A647BE-E927-44C8-A0AE-A705EC583691}"/>
    <cellStyle name="Note 2 5 4 2 2 3" xfId="10164" xr:uid="{EDB5B475-95D3-41E5-A822-CC9160BE6B92}"/>
    <cellStyle name="Note 2 5 4 2 2 4" xfId="4524" xr:uid="{3069CEA7-702F-4600-A213-7587DB3FF09A}"/>
    <cellStyle name="Note 2 5 4 2 3" xfId="5264" xr:uid="{11620BD6-2F58-49BA-A6B1-05C9E7EBA0D5}"/>
    <cellStyle name="Note 2 5 4 2 3 2" xfId="8238" xr:uid="{DF241233-6C58-44BF-984E-AA956B3FE66A}"/>
    <cellStyle name="Note 2 5 4 2 4" xfId="6029" xr:uid="{9B021B76-4582-43FC-9FD1-666A4CE65337}"/>
    <cellStyle name="Note 2 5 4 2 4 2" xfId="9003" xr:uid="{799356D4-09CB-4895-94C1-02F35CCB1D3D}"/>
    <cellStyle name="Note 2 5 4 2 5" xfId="3739" xr:uid="{5DC0E501-FE6F-43EB-911C-901AE809F980}"/>
    <cellStyle name="Note 2 5 4 2 6" xfId="6702" xr:uid="{3DE821E1-8193-4C89-877A-482DFF59DEB8}"/>
    <cellStyle name="Note 2 5 4 2 7" xfId="2679" xr:uid="{C4E25A94-EDD8-4D56-AE91-07659030687E}"/>
    <cellStyle name="Note 2 5 4 3" xfId="571" xr:uid="{48B8E2EA-16B6-42C8-8D2B-AEE3E9EABCC4}"/>
    <cellStyle name="Note 2 5 4 3 2" xfId="1376" xr:uid="{51B9B6C4-1DCE-4481-A8DE-49A62209F747}"/>
    <cellStyle name="Note 2 5 4 3 2 2" xfId="7147" xr:uid="{9E80E242-0950-4182-B474-03B10FFF117C}"/>
    <cellStyle name="Note 2 5 4 3 2 3" xfId="9813" xr:uid="{A3E261F5-92FD-45A0-9373-2A7955A19319}"/>
    <cellStyle name="Note 2 5 4 3 2 4" xfId="4173" xr:uid="{387F3BA3-0E1B-4FF0-884A-46633166310B}"/>
    <cellStyle name="Note 2 5 4 3 3" xfId="4913" xr:uid="{1C98E155-5425-4DDD-8320-43B2105B2A31}"/>
    <cellStyle name="Note 2 5 4 3 3 2" xfId="7887" xr:uid="{F9E07637-C43D-4E1B-981C-40068D371DB2}"/>
    <cellStyle name="Note 2 5 4 3 4" xfId="5678" xr:uid="{A7EA445D-7E01-4DCB-B051-F210B3C8E82C}"/>
    <cellStyle name="Note 2 5 4 3 4 2" xfId="8652" xr:uid="{2007A769-FA6A-47A2-AA17-D4E425F528C4}"/>
    <cellStyle name="Note 2 5 4 3 5" xfId="3440" xr:uid="{1FC01122-537D-411E-AE58-B80E80DEAFB5}"/>
    <cellStyle name="Note 2 5 4 3 6" xfId="6351" xr:uid="{36DB19B3-6BE7-4CD3-BF4C-07532BA60556}"/>
    <cellStyle name="Note 2 5 4 3 7" xfId="2328" xr:uid="{35F90276-5D9A-44E8-95AE-A54126DA5484}"/>
    <cellStyle name="Note 2 5 4 4" xfId="1249" xr:uid="{B9D9E287-6D45-4B5C-96E6-C07C15005BB4}"/>
    <cellStyle name="Note 2 5 4 4 2" xfId="7020" xr:uid="{032D3E74-4868-4040-98AC-27268890BC81}"/>
    <cellStyle name="Note 2 5 4 4 3" xfId="9686" xr:uid="{46D62EA0-F8AE-443A-841F-FDF7D6198087}"/>
    <cellStyle name="Note 2 5 4 4 4" xfId="4046" xr:uid="{C07232A5-C2C4-4F7D-AC99-ED679856450A}"/>
    <cellStyle name="Note 2 5 4 5" xfId="3288" xr:uid="{2C9BE8AC-CA9F-4E50-82F1-0948F5F58185}"/>
    <cellStyle name="Note 2 5 4 5 2" xfId="2985" xr:uid="{79C3E0CE-4822-4182-9DF0-3E6E9710D2FA}"/>
    <cellStyle name="Note 2 5 4 6" xfId="5551" xr:uid="{8CF20403-D435-4669-ACA6-749E5BB7F073}"/>
    <cellStyle name="Note 2 5 4 6 2" xfId="8525" xr:uid="{F6A8828D-741F-41F1-A12E-8852242D6081}"/>
    <cellStyle name="Note 2 5 4 7" xfId="3351" xr:uid="{65F87D80-D268-4C75-89B7-64E0859D6255}"/>
    <cellStyle name="Note 2 5 4 8" xfId="3073" xr:uid="{6AFD54C8-5248-40CA-B5DF-66CBF71291EF}"/>
    <cellStyle name="Note 2 5 4 9" xfId="2201" xr:uid="{DBCA40A0-4F20-40BF-9E51-5456A08F52E8}"/>
    <cellStyle name="Note 2 5 5" xfId="711" xr:uid="{343B309C-390D-4844-9158-73B0B8D74B87}"/>
    <cellStyle name="Note 2 5 5 2" xfId="1516" xr:uid="{7830FD53-B428-44E6-987A-7CC2461A0211}"/>
    <cellStyle name="Note 2 5 5 2 2" xfId="7287" xr:uid="{824DB073-282E-453E-9818-7EE6B5520B1A}"/>
    <cellStyle name="Note 2 5 5 2 3" xfId="9953" xr:uid="{8DD990F2-040B-46B4-A828-A75C839244FF}"/>
    <cellStyle name="Note 2 5 5 2 4" xfId="4313" xr:uid="{D6FE3D10-BF7D-4F77-AD60-3A758324D97F}"/>
    <cellStyle name="Note 2 5 5 3" xfId="5053" xr:uid="{12A0EE68-7BC5-4249-87E6-70F53352EFE2}"/>
    <cellStyle name="Note 2 5 5 3 2" xfId="8027" xr:uid="{5386155B-8D9A-44CB-A062-2AB2DEB8C4E2}"/>
    <cellStyle name="Note 2 5 5 4" xfId="5818" xr:uid="{87A44C76-86CB-4AD5-B6B7-05EB745E8288}"/>
    <cellStyle name="Note 2 5 5 4 2" xfId="8792" xr:uid="{EB2ABCD6-145A-4C80-8A35-872F09F85992}"/>
    <cellStyle name="Note 2 5 5 5" xfId="3546" xr:uid="{F05595C2-5884-4174-B5D7-4F92B820A430}"/>
    <cellStyle name="Note 2 5 5 6" xfId="6491" xr:uid="{A71C0283-4628-443C-B846-413EA62A9227}"/>
    <cellStyle name="Note 2 5 5 7" xfId="2468" xr:uid="{B87A941B-7F12-4E3C-8ACF-22117353062A}"/>
    <cellStyle name="Note 2 5 6" xfId="619" xr:uid="{DD5943FE-9F23-4F7C-8E80-D197CB94FDD4}"/>
    <cellStyle name="Note 2 5 6 2" xfId="1424" xr:uid="{74A98221-F6A9-45AD-AB1B-5B6423FE8C8D}"/>
    <cellStyle name="Note 2 5 6 2 2" xfId="7195" xr:uid="{74A860C9-1EA7-4686-B3BF-70BB236F03AE}"/>
    <cellStyle name="Note 2 5 6 2 3" xfId="9861" xr:uid="{B7C6949E-A3E4-4FB7-88C7-AE64C1070F5F}"/>
    <cellStyle name="Note 2 5 6 2 4" xfId="4221" xr:uid="{341B30EE-8453-4FE1-9728-7288578F4AA3}"/>
    <cellStyle name="Note 2 5 6 3" xfId="4961" xr:uid="{21244186-99F3-4701-B855-B0A31E14DA13}"/>
    <cellStyle name="Note 2 5 6 3 2" xfId="7935" xr:uid="{E8036942-AD4E-4494-82DC-7C6BF76A75BE}"/>
    <cellStyle name="Note 2 5 6 4" xfId="5726" xr:uid="{ED3D259B-D39B-42FD-BEFC-6B9BF1490556}"/>
    <cellStyle name="Note 2 5 6 4 2" xfId="8700" xr:uid="{21CBF301-6805-4B4E-9F8A-1E75F51018E8}"/>
    <cellStyle name="Note 2 5 6 5" xfId="3473" xr:uid="{D56444D3-6FAB-40E8-AA7B-8859AEB9C982}"/>
    <cellStyle name="Note 2 5 6 6" xfId="6399" xr:uid="{60FF6D38-7BFE-4802-9659-5D1BE2EABC4D}"/>
    <cellStyle name="Note 2 5 6 7" xfId="2376" xr:uid="{7B1818D2-A979-4775-9BFA-163D7A1DEC71}"/>
    <cellStyle name="Note 2 5 7" xfId="3214" xr:uid="{92276771-A70D-4390-B9CF-8A70E63937CE}"/>
    <cellStyle name="Note 2 5 7 2" xfId="3105" xr:uid="{B919EEFF-C37A-486A-BEF6-F43328019430}"/>
    <cellStyle name="Note 2 5 8" xfId="3155" xr:uid="{169A0847-D5F8-425D-B183-EB64CA94905C}"/>
    <cellStyle name="Note 2 5 9" xfId="3357" xr:uid="{174BA023-4008-476A-8B57-907BB643973B}"/>
    <cellStyle name="Note 2 6" xfId="225" xr:uid="{F143C1C5-2457-4288-AC1C-751CD68D4203}"/>
    <cellStyle name="Note 2 6 10" xfId="2040" xr:uid="{46A24943-0A4E-443F-8FE0-D91A97BF69B8}"/>
    <cellStyle name="Note 2 6 2" xfId="329" xr:uid="{3F4F6CC7-4276-4F79-9ECD-E225B2A962C2}"/>
    <cellStyle name="Note 2 6 2 2" xfId="551" xr:uid="{125DF7BA-31C3-45BF-8D0D-12CA9E0A4925}"/>
    <cellStyle name="Note 2 6 2 2 2" xfId="1030" xr:uid="{1A53CA99-3F90-4F60-9989-EA2FC81AB517}"/>
    <cellStyle name="Note 2 6 2 2 2 2" xfId="1835" xr:uid="{55A24E30-9113-4EA5-8456-F0A7E33EBB94}"/>
    <cellStyle name="Note 2 6 2 2 2 2 2" xfId="7606" xr:uid="{42063B3C-182C-4E12-8219-104054892D6C}"/>
    <cellStyle name="Note 2 6 2 2 2 2 3" xfId="10272" xr:uid="{F040B1E9-F71F-48CB-BAB7-5AFC9ED424E9}"/>
    <cellStyle name="Note 2 6 2 2 2 2 4" xfId="4632" xr:uid="{64D437CE-0FEB-468D-812F-7B290EC60CF8}"/>
    <cellStyle name="Note 2 6 2 2 2 3" xfId="5372" xr:uid="{15473393-16DF-4EB3-A45B-69F8BD0FAE5A}"/>
    <cellStyle name="Note 2 6 2 2 2 3 2" xfId="8346" xr:uid="{9158D559-858D-4BF1-97CE-ADBB01323F50}"/>
    <cellStyle name="Note 2 6 2 2 2 4" xfId="6137" xr:uid="{DFFC5432-8197-4047-B982-668F48772FE3}"/>
    <cellStyle name="Note 2 6 2 2 2 4 2" xfId="9111" xr:uid="{288DE8EC-75DD-4CC7-B4D8-0201A978F041}"/>
    <cellStyle name="Note 2 6 2 2 2 5" xfId="3847" xr:uid="{612ABCA0-8078-482B-B840-A9F846A642D3}"/>
    <cellStyle name="Note 2 6 2 2 2 6" xfId="6810" xr:uid="{48690973-703A-43A0-B7C5-D9571FE98748}"/>
    <cellStyle name="Note 2 6 2 2 2 7" xfId="2787" xr:uid="{9BEFEE55-27C3-40BB-94B5-B01F6B678A66}"/>
    <cellStyle name="Note 2 6 2 2 3" xfId="854" xr:uid="{426247C9-6155-4F20-97E7-5CC8C9F5D039}"/>
    <cellStyle name="Note 2 6 2 2 3 2" xfId="1659" xr:uid="{0718C668-71D8-449B-A276-916975EC07E6}"/>
    <cellStyle name="Note 2 6 2 2 3 2 2" xfId="7430" xr:uid="{E67B854E-262F-4D29-9315-1FD86ACCC041}"/>
    <cellStyle name="Note 2 6 2 2 3 2 3" xfId="10096" xr:uid="{D83F21C8-F7C2-4308-BCCB-2546A3121E9A}"/>
    <cellStyle name="Note 2 6 2 2 3 2 4" xfId="4456" xr:uid="{C0775653-EDEB-409D-85D2-B9DD571DFEB8}"/>
    <cellStyle name="Note 2 6 2 2 3 3" xfId="5196" xr:uid="{7D20C483-3E6A-4911-BF1D-16BB3B951856}"/>
    <cellStyle name="Note 2 6 2 2 3 3 2" xfId="8170" xr:uid="{5BAADF0B-7401-4ACE-A723-FCC48A1B4B57}"/>
    <cellStyle name="Note 2 6 2 2 3 4" xfId="5961" xr:uid="{F21347B3-7992-406D-A013-7C8B3F634321}"/>
    <cellStyle name="Note 2 6 2 2 3 4 2" xfId="8935" xr:uid="{5D332A78-B535-46DE-AFB9-3C2B45F305D7}"/>
    <cellStyle name="Note 2 6 2 2 3 5" xfId="3682" xr:uid="{6ABF9B2E-CFAE-4BC2-A200-CFBAC54E5030}"/>
    <cellStyle name="Note 2 6 2 2 3 6" xfId="6634" xr:uid="{21108251-AA5F-404D-8E9E-E8A5E16BA63C}"/>
    <cellStyle name="Note 2 6 2 2 3 7" xfId="2611" xr:uid="{D6A2ABD5-8EAF-4D85-B4D6-BF4E636A13C9}"/>
    <cellStyle name="Note 2 6 2 2 4" xfId="1357" xr:uid="{6369E175-9C27-402B-A37B-84F4DD31A9B6}"/>
    <cellStyle name="Note 2 6 2 2 4 2" xfId="7128" xr:uid="{246F1B6F-428F-4D90-B3E1-D4ACDE22A439}"/>
    <cellStyle name="Note 2 6 2 2 4 3" xfId="9794" xr:uid="{22B534C3-644B-488A-A3DC-147171B6963E}"/>
    <cellStyle name="Note 2 6 2 2 4 4" xfId="4154" xr:uid="{74AF9BF3-1F8A-46C6-899B-DB39FC68575F}"/>
    <cellStyle name="Note 2 6 2 2 5" xfId="4894" xr:uid="{9B5CF268-39C3-4FDA-B994-3CC5254D68D7}"/>
    <cellStyle name="Note 2 6 2 2 5 2" xfId="7868" xr:uid="{BDF3574D-8623-4B92-B23B-C9A7A7754D82}"/>
    <cellStyle name="Note 2 6 2 2 6" xfId="5659" xr:uid="{B2978402-4036-48A0-A846-8C70BBFD3EAB}"/>
    <cellStyle name="Note 2 6 2 2 6 2" xfId="8633" xr:uid="{36F9636F-2E7F-421A-8149-48307CD97D1E}"/>
    <cellStyle name="Note 2 6 2 2 7" xfId="3427" xr:uid="{860E492D-5B86-4EF9-A666-9A9904DF140E}"/>
    <cellStyle name="Note 2 6 2 2 8" xfId="6332" xr:uid="{79F352F2-1023-4D39-822D-AEA334BEBEDD}"/>
    <cellStyle name="Note 2 6 2 2 9" xfId="2309" xr:uid="{8A16785C-B601-45DF-AC7A-FBBC73E8869A}"/>
    <cellStyle name="Note 2 6 2 3" xfId="820" xr:uid="{381DC8E3-C3F2-4146-A553-558BB12CF9DB}"/>
    <cellStyle name="Note 2 6 2 3 2" xfId="1625" xr:uid="{1A537444-5C6B-448A-9300-3DFBEA530C60}"/>
    <cellStyle name="Note 2 6 2 3 2 2" xfId="7396" xr:uid="{DC523059-5D29-435D-B3E9-00C3349F8531}"/>
    <cellStyle name="Note 2 6 2 3 2 3" xfId="10062" xr:uid="{4BEB5628-4500-4831-A3B5-524156EFB4FB}"/>
    <cellStyle name="Note 2 6 2 3 2 4" xfId="4422" xr:uid="{C55F251D-670B-46A3-B3F4-9E20EF9F9DF0}"/>
    <cellStyle name="Note 2 6 2 3 3" xfId="5162" xr:uid="{1D7D14AA-20B8-48DC-9697-F702CD1B294A}"/>
    <cellStyle name="Note 2 6 2 3 3 2" xfId="8136" xr:uid="{216F2B80-01A8-4515-BBBB-8B6AFDA1F98E}"/>
    <cellStyle name="Note 2 6 2 3 4" xfId="5927" xr:uid="{A2459C67-0CD6-439B-8623-0919F44577CA}"/>
    <cellStyle name="Note 2 6 2 3 4 2" xfId="8901" xr:uid="{2610735F-96C7-4501-91C8-BAF7540D02BA}"/>
    <cellStyle name="Note 2 6 2 3 5" xfId="3654" xr:uid="{43C01C57-64C4-49A4-B925-FE5D8280E944}"/>
    <cellStyle name="Note 2 6 2 3 6" xfId="6600" xr:uid="{52E0F073-749D-47D4-BE18-58FEF1C23194}"/>
    <cellStyle name="Note 2 6 2 3 7" xfId="2577" xr:uid="{75D7F9D2-38C3-4D6B-9B85-1321AA901B9F}"/>
    <cellStyle name="Note 2 6 2 4" xfId="607" xr:uid="{2ACBECF7-75F8-469D-92C9-2259CC8BAE72}"/>
    <cellStyle name="Note 2 6 2 4 2" xfId="1412" xr:uid="{8BA98A53-4EA6-407D-8B48-CB128D6908F2}"/>
    <cellStyle name="Note 2 6 2 4 2 2" xfId="7183" xr:uid="{87E3F5DA-9434-4404-98A5-B4DA054E5AFA}"/>
    <cellStyle name="Note 2 6 2 4 2 3" xfId="9849" xr:uid="{38CE9A01-CDFE-4511-96FD-C1B3F8805458}"/>
    <cellStyle name="Note 2 6 2 4 2 4" xfId="4209" xr:uid="{54207E57-417C-45CB-B824-613EF0B7A683}"/>
    <cellStyle name="Note 2 6 2 4 3" xfId="4949" xr:uid="{AF892292-121A-4489-8C62-05CC0B8D1F41}"/>
    <cellStyle name="Note 2 6 2 4 3 2" xfId="7923" xr:uid="{B24F13B8-7C30-455C-B759-C23AF123786B}"/>
    <cellStyle name="Note 2 6 2 4 4" xfId="5714" xr:uid="{747D710A-EB55-43FD-B4F6-98E3E049B459}"/>
    <cellStyle name="Note 2 6 2 4 4 2" xfId="8688" xr:uid="{1A21FC3A-AEC4-49B9-8FBC-325D93D33C14}"/>
    <cellStyle name="Note 2 6 2 4 5" xfId="3465" xr:uid="{C0B6D1DB-F48F-41C4-90E7-422446915FAD}"/>
    <cellStyle name="Note 2 6 2 4 6" xfId="6387" xr:uid="{D683A6AF-3711-4760-B8B1-A0EBB4D62434}"/>
    <cellStyle name="Note 2 6 2 4 7" xfId="2364" xr:uid="{57861FCA-1126-4937-8742-71E01594D5E5}"/>
    <cellStyle name="Note 2 6 2 5" xfId="3131" xr:uid="{AA8047A8-63E0-4747-8D5C-0E33EBBECE6E}"/>
    <cellStyle name="Note 2 6 2 5 2" xfId="3407" xr:uid="{D182EE5B-FF80-436D-ACA0-054B64CB53B9}"/>
    <cellStyle name="Note 2 6 2 6" xfId="3246" xr:uid="{9BAB2FB2-4CF4-42F4-8623-CBC50B530210}"/>
    <cellStyle name="Note 2 6 2 7" xfId="3988" xr:uid="{41553253-DD7B-4A8D-B773-2353D64409B2}"/>
    <cellStyle name="Note 2 6 2 8" xfId="2147" xr:uid="{1C04430F-F399-4901-9570-4EE8256941C1}"/>
    <cellStyle name="Note 2 6 3" xfId="273" xr:uid="{4690D97A-C777-4E7B-9A1F-EB7771068D99}"/>
    <cellStyle name="Note 2 6 3 2" xfId="497" xr:uid="{1D4C20CB-4190-42DA-818C-86000C29B027}"/>
    <cellStyle name="Note 2 6 3 2 2" xfId="976" xr:uid="{C0258C92-CB0C-428C-895A-C29C36310B9B}"/>
    <cellStyle name="Note 2 6 3 2 2 2" xfId="1781" xr:uid="{D45919C2-137F-4367-A315-6805D05AF265}"/>
    <cellStyle name="Note 2 6 3 2 2 2 2" xfId="7552" xr:uid="{00875EBE-7E45-474D-B942-9A7824FD2EB8}"/>
    <cellStyle name="Note 2 6 3 2 2 2 3" xfId="10218" xr:uid="{5F3938EC-A146-43C4-AFB1-F003F1BE9ABA}"/>
    <cellStyle name="Note 2 6 3 2 2 2 4" xfId="4578" xr:uid="{0BCD48C9-B5E2-4E6F-8313-CD1B1E32EB2E}"/>
    <cellStyle name="Note 2 6 3 2 2 3" xfId="5318" xr:uid="{5AB62688-67BE-4487-B8BC-83065ED77A3D}"/>
    <cellStyle name="Note 2 6 3 2 2 3 2" xfId="8292" xr:uid="{F1C5B526-0F43-4A86-87B9-60D2D4E6B0D8}"/>
    <cellStyle name="Note 2 6 3 2 2 4" xfId="6083" xr:uid="{21BC66B1-668B-48F5-9A6B-5D60A9FA8387}"/>
    <cellStyle name="Note 2 6 3 2 2 4 2" xfId="9057" xr:uid="{C3F9218C-4ED0-40E0-A503-2A48B5CC09A0}"/>
    <cellStyle name="Note 2 6 3 2 2 5" xfId="3793" xr:uid="{9C49FAF1-8723-457A-BBA3-3127F2D5F7E3}"/>
    <cellStyle name="Note 2 6 3 2 2 6" xfId="6756" xr:uid="{939CD0B8-7105-4FDA-862E-41BE63D1BC00}"/>
    <cellStyle name="Note 2 6 3 2 2 7" xfId="2733" xr:uid="{C0218552-00BA-48E3-A8F6-6D1A498C998F}"/>
    <cellStyle name="Note 2 6 3 2 3" xfId="1073" xr:uid="{ACF72E64-C5C8-44A6-BC14-802C491AF225}"/>
    <cellStyle name="Note 2 6 3 2 3 2" xfId="1878" xr:uid="{3F9462A1-2AB9-425D-9950-0422A6D12409}"/>
    <cellStyle name="Note 2 6 3 2 3 2 2" xfId="7649" xr:uid="{5D5337B1-FF1F-4172-88B7-68E9F2431A6F}"/>
    <cellStyle name="Note 2 6 3 2 3 2 3" xfId="10315" xr:uid="{B7F295A1-ADFF-41CC-90BC-7F2C63625A2D}"/>
    <cellStyle name="Note 2 6 3 2 3 2 4" xfId="4675" xr:uid="{759330B1-56CB-4846-A505-FD0291C7339C}"/>
    <cellStyle name="Note 2 6 3 2 3 3" xfId="5415" xr:uid="{626CF3A9-FD48-4382-9606-91E9AD223471}"/>
    <cellStyle name="Note 2 6 3 2 3 3 2" xfId="8389" xr:uid="{D71281C5-72A9-4AA8-8826-0AB223775117}"/>
    <cellStyle name="Note 2 6 3 2 3 4" xfId="6180" xr:uid="{0BD38369-75C8-4DB6-9BF0-5AD24ECD2716}"/>
    <cellStyle name="Note 2 6 3 2 3 4 2" xfId="9154" xr:uid="{3A2CC55D-7245-444A-87A9-AEB9E3E4BD87}"/>
    <cellStyle name="Note 2 6 3 2 3 5" xfId="3888" xr:uid="{6BBD8C55-EF98-4BD9-9AB8-1DBEFE83CE29}"/>
    <cellStyle name="Note 2 6 3 2 3 6" xfId="6853" xr:uid="{144AD64A-28C3-4D8D-9335-8A078FEBB617}"/>
    <cellStyle name="Note 2 6 3 2 3 7" xfId="2830" xr:uid="{8B1F914B-1D4F-4823-9A5B-8A80F7098CE2}"/>
    <cellStyle name="Note 2 6 3 2 4" xfId="1303" xr:uid="{49F2BCA0-8091-4CF6-81EF-26E1E5BAF350}"/>
    <cellStyle name="Note 2 6 3 2 4 2" xfId="7074" xr:uid="{B09CA653-4B55-415A-960E-7B8198187BD6}"/>
    <cellStyle name="Note 2 6 3 2 4 3" xfId="9740" xr:uid="{FB8E11A4-C506-4FDC-BDD8-B5A1DE50A463}"/>
    <cellStyle name="Note 2 6 3 2 4 4" xfId="4100" xr:uid="{7AC176FE-D135-4D90-853E-5B2BDEB97B0D}"/>
    <cellStyle name="Note 2 6 3 2 5" xfId="4840" xr:uid="{4923D232-7DF5-4E42-9C36-80A89BCC8F88}"/>
    <cellStyle name="Note 2 6 3 2 5 2" xfId="7814" xr:uid="{ACD69AE9-E81B-4535-AE19-03ADA4619B26}"/>
    <cellStyle name="Note 2 6 3 2 6" xfId="5605" xr:uid="{BAA7B76E-FCB8-4CAC-A5DD-3A9C9437B91A}"/>
    <cellStyle name="Note 2 6 3 2 6 2" xfId="8579" xr:uid="{E53C85FD-614D-4B4C-8F0B-8CBBD981B0F3}"/>
    <cellStyle name="Note 2 6 3 2 7" xfId="3389" xr:uid="{5FABCB37-1301-4369-8127-9D7E1F0EAF01}"/>
    <cellStyle name="Note 2 6 3 2 8" xfId="3060" xr:uid="{BC858803-76B3-4CB2-ADCF-2EE4C38D651E}"/>
    <cellStyle name="Note 2 6 3 2 9" xfId="2255" xr:uid="{A115AE43-3B1A-4FCE-A8B6-291FF9D65A1F}"/>
    <cellStyle name="Note 2 6 3 3" xfId="765" xr:uid="{99416341-767B-4F95-8549-FCD27A3D841E}"/>
    <cellStyle name="Note 2 6 3 3 2" xfId="1570" xr:uid="{32177104-A767-49BD-BF6D-24134E3A9096}"/>
    <cellStyle name="Note 2 6 3 3 2 2" xfId="7341" xr:uid="{3A1D61E2-7562-4136-8D56-7D6C20B0BA8B}"/>
    <cellStyle name="Note 2 6 3 3 2 3" xfId="10007" xr:uid="{FC2D0D8F-4B1D-4BE9-880D-560E5E2D7B48}"/>
    <cellStyle name="Note 2 6 3 3 2 4" xfId="4367" xr:uid="{5D5BECAA-487B-4038-BEFB-7DF5C9A2978E}"/>
    <cellStyle name="Note 2 6 3 3 3" xfId="5107" xr:uid="{05E57C18-0E2D-45C9-93ED-2F1DA5BA0A61}"/>
    <cellStyle name="Note 2 6 3 3 3 2" xfId="8081" xr:uid="{FA1DED9E-74F1-451D-9173-2C332CF7A424}"/>
    <cellStyle name="Note 2 6 3 3 4" xfId="5872" xr:uid="{D03C2D8C-64CA-46A8-832A-1C1A83E6394E}"/>
    <cellStyle name="Note 2 6 3 3 4 2" xfId="8846" xr:uid="{BD69DE2B-3437-4162-8985-C1069E953078}"/>
    <cellStyle name="Note 2 6 3 3 5" xfId="3600" xr:uid="{BDC6B217-48E5-4F1E-8C8E-DE58F1F10A7B}"/>
    <cellStyle name="Note 2 6 3 3 6" xfId="6545" xr:uid="{C4E206EB-E0C4-429D-AC9D-8AE46F2924F6}"/>
    <cellStyle name="Note 2 6 3 3 7" xfId="2522" xr:uid="{04E2ABB4-CC3E-4C98-83F7-B0CA3C22A83D}"/>
    <cellStyle name="Note 2 6 3 4" xfId="872" xr:uid="{1C0B1030-D733-4C97-9D57-17C1A92BD862}"/>
    <cellStyle name="Note 2 6 3 4 2" xfId="1677" xr:uid="{BDB37E4B-0442-4BB5-B12F-A91B8E3334EE}"/>
    <cellStyle name="Note 2 6 3 4 2 2" xfId="7448" xr:uid="{69E0E414-F5C2-4594-A64D-C585BE2A7E94}"/>
    <cellStyle name="Note 2 6 3 4 2 3" xfId="10114" xr:uid="{E579155F-23CF-4647-9830-79630A4CFE58}"/>
    <cellStyle name="Note 2 6 3 4 2 4" xfId="4474" xr:uid="{C6B5F8EF-1B7D-493A-955F-07DE7B98CF88}"/>
    <cellStyle name="Note 2 6 3 4 3" xfId="5214" xr:uid="{E2681DBE-CCA7-4BFA-B502-E42FD40AE348}"/>
    <cellStyle name="Note 2 6 3 4 3 2" xfId="8188" xr:uid="{1832FE7F-C69A-4FAE-BD81-5061E87FBB94}"/>
    <cellStyle name="Note 2 6 3 4 4" xfId="5979" xr:uid="{8868C54C-3141-460F-A7D7-046F9D8883CD}"/>
    <cellStyle name="Note 2 6 3 4 4 2" xfId="8953" xr:uid="{BFB56614-7A2E-4E40-8697-5D32D78CD8E6}"/>
    <cellStyle name="Note 2 6 3 4 5" xfId="3695" xr:uid="{F0694EA7-5B61-431A-980F-80DEEA52BBCE}"/>
    <cellStyle name="Note 2 6 3 4 6" xfId="6652" xr:uid="{43D3BEA0-35A3-42B7-AD0E-6818F1F24D12}"/>
    <cellStyle name="Note 2 6 3 4 7" xfId="2629" xr:uid="{9E6D26C6-05B3-4372-A6A8-E70708D7A6D0}"/>
    <cellStyle name="Note 2 6 3 5" xfId="3172" xr:uid="{7F6B659E-2ECD-45D8-8C65-76B488ACB86B}"/>
    <cellStyle name="Note 2 6 3 5 2" xfId="3348" xr:uid="{9D51EC8B-61B0-4A57-8D32-A287A9742B07}"/>
    <cellStyle name="Note 2 6 3 6" xfId="3202" xr:uid="{1721EBA6-A061-4B87-B6D8-6E2D03373F30}"/>
    <cellStyle name="Note 2 6 3 7" xfId="3369" xr:uid="{B24486C1-9BA2-44A8-920C-99631761C4CE}"/>
    <cellStyle name="Note 2 6 3 8" xfId="2090" xr:uid="{54092123-9615-4C1F-B952-5CFC1804A4A1}"/>
    <cellStyle name="Note 2 6 4" xfId="449" xr:uid="{5D9ACD12-6B55-474F-875C-3E162D912B4F}"/>
    <cellStyle name="Note 2 6 4 2" xfId="928" xr:uid="{A20B0846-BFCF-40E4-B10E-DD4AAE4675FF}"/>
    <cellStyle name="Note 2 6 4 2 2" xfId="1733" xr:uid="{773A0594-6BED-48F3-91FA-95696CD5E0A5}"/>
    <cellStyle name="Note 2 6 4 2 2 2" xfId="7504" xr:uid="{72CDC4FE-71A8-4F60-B74E-774A92267E10}"/>
    <cellStyle name="Note 2 6 4 2 2 3" xfId="10170" xr:uid="{8B870CE7-2775-4A57-A12F-15DE0BD57A5C}"/>
    <cellStyle name="Note 2 6 4 2 2 4" xfId="4530" xr:uid="{A7C2ADA9-F65F-4E9A-8EE1-9F1170FD7CBD}"/>
    <cellStyle name="Note 2 6 4 2 3" xfId="5270" xr:uid="{89EFFF40-1507-4CE6-BFCB-E6960D131582}"/>
    <cellStyle name="Note 2 6 4 2 3 2" xfId="8244" xr:uid="{8DAC4540-B2B8-4B2C-897B-D47008A5AE61}"/>
    <cellStyle name="Note 2 6 4 2 4" xfId="6035" xr:uid="{6F72DB9B-EC7C-4548-830D-DECF9A9B445D}"/>
    <cellStyle name="Note 2 6 4 2 4 2" xfId="9009" xr:uid="{18460873-0630-4A19-876A-F60672BEADFF}"/>
    <cellStyle name="Note 2 6 4 2 5" xfId="3745" xr:uid="{8B574FBB-9076-43BD-9714-DD804CDCE7EA}"/>
    <cellStyle name="Note 2 6 4 2 6" xfId="6708" xr:uid="{02ED6256-757C-4779-A52B-BA9C4C71263B}"/>
    <cellStyle name="Note 2 6 4 2 7" xfId="2685" xr:uid="{0E7541B2-0E94-4B36-AB8F-F72027BE2AD8}"/>
    <cellStyle name="Note 2 6 4 3" xfId="1085" xr:uid="{CC525970-3121-417B-821E-03298F2515B2}"/>
    <cellStyle name="Note 2 6 4 3 2" xfId="1890" xr:uid="{890E76AC-16F6-44E8-99AD-E03BFFBEA5C5}"/>
    <cellStyle name="Note 2 6 4 3 2 2" xfId="7661" xr:uid="{8E6CF5C5-1E71-4BC1-B2B2-5E32AE315819}"/>
    <cellStyle name="Note 2 6 4 3 2 3" xfId="10327" xr:uid="{DC7D360E-5E0B-47CE-A49B-4583649073EC}"/>
    <cellStyle name="Note 2 6 4 3 2 4" xfId="4687" xr:uid="{9A640D41-DE28-47D3-BEC8-67B2F79EEEE1}"/>
    <cellStyle name="Note 2 6 4 3 3" xfId="5427" xr:uid="{06409421-91C7-4D5F-BA08-3714AD2320FC}"/>
    <cellStyle name="Note 2 6 4 3 3 2" xfId="8401" xr:uid="{CABEC9AD-3BA5-4CFD-99A1-5F8C380B4093}"/>
    <cellStyle name="Note 2 6 4 3 4" xfId="6192" xr:uid="{B5C96274-638B-4C87-BAA0-0AA42B8B05E5}"/>
    <cellStyle name="Note 2 6 4 3 4 2" xfId="9166" xr:uid="{C2892AFA-7E00-4936-BC52-7610BF5B8B0E}"/>
    <cellStyle name="Note 2 6 4 3 5" xfId="3899" xr:uid="{BF7E85D9-D3C2-4E73-B330-056EF3FE6C16}"/>
    <cellStyle name="Note 2 6 4 3 6" xfId="6865" xr:uid="{F9FC194E-884F-471D-960D-0056C7D765F9}"/>
    <cellStyle name="Note 2 6 4 3 7" xfId="2842" xr:uid="{677A828C-22D8-4A87-A173-3B5751CF1E25}"/>
    <cellStyle name="Note 2 6 4 4" xfId="1255" xr:uid="{6071B407-C93E-4B49-B2ED-76EEC2FA025D}"/>
    <cellStyle name="Note 2 6 4 4 2" xfId="7026" xr:uid="{CE6A991D-546A-4A34-A227-3385F216C0E5}"/>
    <cellStyle name="Note 2 6 4 4 3" xfId="9692" xr:uid="{DD6F0DE2-D039-40DA-821A-21DC387E2228}"/>
    <cellStyle name="Note 2 6 4 4 4" xfId="4052" xr:uid="{87FCA9AE-46B3-460B-83DC-E94678F2A525}"/>
    <cellStyle name="Note 2 6 4 5" xfId="3292" xr:uid="{334FC582-32C5-4A2C-91D6-4C1B6097393A}"/>
    <cellStyle name="Note 2 6 4 5 2" xfId="2981" xr:uid="{2D48AF15-BECC-4810-AF7E-346E649E5497}"/>
    <cellStyle name="Note 2 6 4 6" xfId="5557" xr:uid="{F7677D38-4B12-458B-ACE1-94701F05C033}"/>
    <cellStyle name="Note 2 6 4 6 2" xfId="8531" xr:uid="{C7EF0459-D14D-4ABA-9DA2-D2F47370C044}"/>
    <cellStyle name="Note 2 6 4 7" xfId="3356" xr:uid="{0983F7B6-FA6E-4B00-846E-CFA01AB444EC}"/>
    <cellStyle name="Note 2 6 4 8" xfId="3987" xr:uid="{D58A5915-7664-4D5A-B2FF-54DAFB6EDB60}"/>
    <cellStyle name="Note 2 6 4 9" xfId="2207" xr:uid="{C6925399-A284-4068-B450-31385954A3C6}"/>
    <cellStyle name="Note 2 6 5" xfId="717" xr:uid="{ABF1BB64-1511-4AA5-A157-7DC861FB5D64}"/>
    <cellStyle name="Note 2 6 5 2" xfId="1522" xr:uid="{2C0D4CF1-684A-4EDD-86FB-29F35C83C315}"/>
    <cellStyle name="Note 2 6 5 2 2" xfId="7293" xr:uid="{032B1140-1B7E-4667-9574-897C08089D83}"/>
    <cellStyle name="Note 2 6 5 2 3" xfId="9959" xr:uid="{4C87C346-507A-4678-929F-3117FC2A9708}"/>
    <cellStyle name="Note 2 6 5 2 4" xfId="4319" xr:uid="{27A6E865-DCA0-4826-80C8-307ED4C8EF36}"/>
    <cellStyle name="Note 2 6 5 3" xfId="5059" xr:uid="{F17E63B6-18D9-4E13-9064-F93D08B75406}"/>
    <cellStyle name="Note 2 6 5 3 2" xfId="8033" xr:uid="{E70461C4-ADFF-4355-A1AD-1D539FCCDEE8}"/>
    <cellStyle name="Note 2 6 5 4" xfId="5824" xr:uid="{1E55AFA8-8ABA-4866-8EB8-6CB5EB1DA799}"/>
    <cellStyle name="Note 2 6 5 4 2" xfId="8798" xr:uid="{C28177A7-A9CF-4384-BE21-F7D68E1B4117}"/>
    <cellStyle name="Note 2 6 5 5" xfId="3552" xr:uid="{3D68D5EE-5D77-4A68-A1C7-DDF7BDEE1702}"/>
    <cellStyle name="Note 2 6 5 6" xfId="6497" xr:uid="{EFDCC3AC-1557-4354-874B-15E677529A43}"/>
    <cellStyle name="Note 2 6 5 7" xfId="2474" xr:uid="{70B8B465-C109-47FF-87AC-2B2692FF13D3}"/>
    <cellStyle name="Note 2 6 6" xfId="590" xr:uid="{1A39BD78-D4E6-4681-8D3E-130C1EE876E0}"/>
    <cellStyle name="Note 2 6 6 2" xfId="1395" xr:uid="{583D91F3-B12D-477B-9F05-39C00565FFC2}"/>
    <cellStyle name="Note 2 6 6 2 2" xfId="7166" xr:uid="{25593BB2-E0C3-4018-9DE9-DCB97F198486}"/>
    <cellStyle name="Note 2 6 6 2 3" xfId="9832" xr:uid="{4BD64F2E-AA44-47F9-8283-512EBC5EEB4C}"/>
    <cellStyle name="Note 2 6 6 2 4" xfId="4192" xr:uid="{3D53E3CC-7561-4BFA-9598-268CBF55F180}"/>
    <cellStyle name="Note 2 6 6 3" xfId="4932" xr:uid="{3D1D6A4B-2324-429B-A7E5-B964386A118E}"/>
    <cellStyle name="Note 2 6 6 3 2" xfId="7906" xr:uid="{F3F90424-24CC-4978-BCFE-1FFD8E7B6F7B}"/>
    <cellStyle name="Note 2 6 6 4" xfId="5697" xr:uid="{89A2B6AB-C570-43F8-A72F-F5469530DCE5}"/>
    <cellStyle name="Note 2 6 6 4 2" xfId="8671" xr:uid="{D92D7BDC-EA80-4F9C-8123-18C43CF0C73A}"/>
    <cellStyle name="Note 2 6 6 5" xfId="3453" xr:uid="{EC7F4AEC-153C-45EE-82DC-F6FF25F96521}"/>
    <cellStyle name="Note 2 6 6 6" xfId="6370" xr:uid="{50A332CD-4E4C-4625-B06A-FD20327AC9B6}"/>
    <cellStyle name="Note 2 6 6 7" xfId="2347" xr:uid="{7B70B29F-8B0A-4BF6-9696-99BC0DCE842E}"/>
    <cellStyle name="Note 2 6 7" xfId="3213" xr:uid="{19DECC28-750C-4097-B2F7-CD33CA12C8D8}"/>
    <cellStyle name="Note 2 6 7 2" xfId="3026" xr:uid="{A0370B76-50FC-45D6-8B22-C7E9AC74A48E}"/>
    <cellStyle name="Note 2 6 8" xfId="3159" xr:uid="{E6AC7C8D-AD21-4A77-8087-265F3D4214B7}"/>
    <cellStyle name="Note 2 6 9" xfId="3683" xr:uid="{C9026642-6A62-4E98-9BC0-CBB35E69710C}"/>
    <cellStyle name="Note 2 7" xfId="231" xr:uid="{7C256680-93B1-4426-9F57-DE632C965213}"/>
    <cellStyle name="Note 2 7 10" xfId="2046" xr:uid="{A46F8170-B044-4878-B6C2-9E1E3D2FE0F3}"/>
    <cellStyle name="Note 2 7 2" xfId="335" xr:uid="{626E285D-4201-4F7B-A840-AB7B2AB63409}"/>
    <cellStyle name="Note 2 7 2 2" xfId="557" xr:uid="{184D1B50-9E07-4228-91E1-C61CA161B4CB}"/>
    <cellStyle name="Note 2 7 2 2 2" xfId="1036" xr:uid="{252C8BE7-86E3-47F4-9E83-935C983CE763}"/>
    <cellStyle name="Note 2 7 2 2 2 2" xfId="1841" xr:uid="{3C380465-B74F-4D34-AF91-9F64B8917032}"/>
    <cellStyle name="Note 2 7 2 2 2 2 2" xfId="7612" xr:uid="{25C1ED2B-950E-42D6-86D6-EFDB2BF23482}"/>
    <cellStyle name="Note 2 7 2 2 2 2 3" xfId="10278" xr:uid="{1F54DB0A-B4B4-4F2D-A784-5FB7B39821D5}"/>
    <cellStyle name="Note 2 7 2 2 2 2 4" xfId="4638" xr:uid="{F48CCE76-61DF-4F9A-BEE8-FA27192B5D25}"/>
    <cellStyle name="Note 2 7 2 2 2 3" xfId="5378" xr:uid="{F7E3768D-CC68-4163-AC1D-64CF80E67AB0}"/>
    <cellStyle name="Note 2 7 2 2 2 3 2" xfId="8352" xr:uid="{4DFE2555-77B7-4F3C-8009-B478E59AD0E7}"/>
    <cellStyle name="Note 2 7 2 2 2 4" xfId="6143" xr:uid="{D53E56F3-33EE-4C36-BFC5-ABC3A35D9498}"/>
    <cellStyle name="Note 2 7 2 2 2 4 2" xfId="9117" xr:uid="{A3140D35-7DFE-4BAA-B74B-DC1FC172504A}"/>
    <cellStyle name="Note 2 7 2 2 2 5" xfId="3853" xr:uid="{966B48FE-1A77-47A7-A967-69BE2B6441C2}"/>
    <cellStyle name="Note 2 7 2 2 2 6" xfId="6816" xr:uid="{1010B17A-A461-4704-B6FF-F7A952148432}"/>
    <cellStyle name="Note 2 7 2 2 2 7" xfId="2793" xr:uid="{94D11620-2D44-4C5F-895B-DF06BE72A19C}"/>
    <cellStyle name="Note 2 7 2 2 3" xfId="860" xr:uid="{97705B66-45C2-4CD7-B19D-C3966194F6B2}"/>
    <cellStyle name="Note 2 7 2 2 3 2" xfId="1665" xr:uid="{AEE832D2-74A1-4B11-A9EC-6F84E9BCB122}"/>
    <cellStyle name="Note 2 7 2 2 3 2 2" xfId="7436" xr:uid="{1C0591AB-35D8-4CEA-A2BE-54A8AE73682E}"/>
    <cellStyle name="Note 2 7 2 2 3 2 3" xfId="10102" xr:uid="{866A8D08-BBC5-46A4-93C5-FE5001310591}"/>
    <cellStyle name="Note 2 7 2 2 3 2 4" xfId="4462" xr:uid="{FF7B9DDD-838A-4A7D-907A-1D970752811C}"/>
    <cellStyle name="Note 2 7 2 2 3 3" xfId="5202" xr:uid="{506016B7-BC70-44E5-AA07-C187776190EC}"/>
    <cellStyle name="Note 2 7 2 2 3 3 2" xfId="8176" xr:uid="{46291BAE-86AA-4740-85BE-459E3EE81221}"/>
    <cellStyle name="Note 2 7 2 2 3 4" xfId="5967" xr:uid="{8D6BAE4F-FDE4-4BB9-84A4-1049C643079B}"/>
    <cellStyle name="Note 2 7 2 2 3 4 2" xfId="8941" xr:uid="{D7788F3E-C312-4EA8-8959-B31BA1ECC4A5}"/>
    <cellStyle name="Note 2 7 2 2 3 5" xfId="3687" xr:uid="{61651093-2F5E-4979-8C63-AF24F1A01376}"/>
    <cellStyle name="Note 2 7 2 2 3 6" xfId="6640" xr:uid="{7365D427-C2B4-43BA-9EFF-F884F7312E1B}"/>
    <cellStyle name="Note 2 7 2 2 3 7" xfId="2617" xr:uid="{E4B1E05D-A040-4C36-9454-C1A7139FA4F7}"/>
    <cellStyle name="Note 2 7 2 2 4" xfId="1363" xr:uid="{3FE84C14-73A9-4B9E-8D56-7BFCF3DBDF0B}"/>
    <cellStyle name="Note 2 7 2 2 4 2" xfId="7134" xr:uid="{A382D64C-E0A6-48FD-87C3-35CFBC36B366}"/>
    <cellStyle name="Note 2 7 2 2 4 3" xfId="9800" xr:uid="{E44702D9-F736-42FB-9690-8A451ADB293B}"/>
    <cellStyle name="Note 2 7 2 2 4 4" xfId="4160" xr:uid="{D30F7336-B579-45A3-BF57-4D391347C7BB}"/>
    <cellStyle name="Note 2 7 2 2 5" xfId="4900" xr:uid="{A0FB68FD-5F88-46F6-8560-0D8EC26AB1BA}"/>
    <cellStyle name="Note 2 7 2 2 5 2" xfId="7874" xr:uid="{127D1EE6-F8C1-439A-97C8-8220C34B4187}"/>
    <cellStyle name="Note 2 7 2 2 6" xfId="5665" xr:uid="{4C24F522-81AC-4E05-A099-3465F53E06F0}"/>
    <cellStyle name="Note 2 7 2 2 6 2" xfId="8639" xr:uid="{67A913BE-CB36-45A1-AD4C-B12BF5B7ABC7}"/>
    <cellStyle name="Note 2 7 2 2 7" xfId="3431" xr:uid="{6CA13575-6B6C-4094-94E9-AA52A9265F62}"/>
    <cellStyle name="Note 2 7 2 2 8" xfId="6338" xr:uid="{8444B5EF-D5AB-4EBB-A754-A5B7721E1B16}"/>
    <cellStyle name="Note 2 7 2 2 9" xfId="2315" xr:uid="{1E51CDBD-D9B3-490A-A98A-A4C503B833D5}"/>
    <cellStyle name="Note 2 7 2 3" xfId="826" xr:uid="{6EA6392C-B09F-4FE7-A13B-C8233DBFC012}"/>
    <cellStyle name="Note 2 7 2 3 2" xfId="1631" xr:uid="{902EEE00-05B6-465D-8108-65B4F3C0F79A}"/>
    <cellStyle name="Note 2 7 2 3 2 2" xfId="7402" xr:uid="{ABAD3821-4A33-4945-81DD-3E53DEA031DC}"/>
    <cellStyle name="Note 2 7 2 3 2 3" xfId="10068" xr:uid="{B923D6B5-B7A7-4C51-88BB-FA1A8C6AF797}"/>
    <cellStyle name="Note 2 7 2 3 2 4" xfId="4428" xr:uid="{065CB6A3-0B64-4475-B284-6236FDD9F35F}"/>
    <cellStyle name="Note 2 7 2 3 3" xfId="5168" xr:uid="{2FFAFBBD-166A-4D24-A2D4-C432D15CCD63}"/>
    <cellStyle name="Note 2 7 2 3 3 2" xfId="8142" xr:uid="{57BCE992-997B-4791-AE18-EEFDBD16B604}"/>
    <cellStyle name="Note 2 7 2 3 4" xfId="5933" xr:uid="{74303F55-4F2B-4198-9C8D-782DE7FD55B4}"/>
    <cellStyle name="Note 2 7 2 3 4 2" xfId="8907" xr:uid="{6B9D312B-3C0F-40F3-94E3-FF7AA4857134}"/>
    <cellStyle name="Note 2 7 2 3 5" xfId="3660" xr:uid="{9A4F60A1-85D2-400C-A21D-C001BA9C9788}"/>
    <cellStyle name="Note 2 7 2 3 6" xfId="6606" xr:uid="{69D016BE-0245-4147-9981-6906DFD6CE19}"/>
    <cellStyle name="Note 2 7 2 3 7" xfId="2583" xr:uid="{781B9ABD-61F4-40BB-8AD0-6EC762EBBC5E}"/>
    <cellStyle name="Note 2 7 2 4" xfId="679" xr:uid="{5E564E5B-BE76-4ED7-8D9B-38A70B1C6244}"/>
    <cellStyle name="Note 2 7 2 4 2" xfId="1484" xr:uid="{14B4CE4D-AEC0-4FCE-9DAA-00F854686E8E}"/>
    <cellStyle name="Note 2 7 2 4 2 2" xfId="7255" xr:uid="{F7A3D1D8-A17D-4510-A4CE-03B46BCF9B5F}"/>
    <cellStyle name="Note 2 7 2 4 2 3" xfId="9921" xr:uid="{CDF8962C-393D-4ABE-8365-D7C8C2E47744}"/>
    <cellStyle name="Note 2 7 2 4 2 4" xfId="4281" xr:uid="{CD350829-DEA0-4B77-9540-9EF2A762E035}"/>
    <cellStyle name="Note 2 7 2 4 3" xfId="5021" xr:uid="{B8CA3960-8C50-46D1-B321-69F8CF6D1FE3}"/>
    <cellStyle name="Note 2 7 2 4 3 2" xfId="7995" xr:uid="{2EF2248E-9299-425D-9951-326992316570}"/>
    <cellStyle name="Note 2 7 2 4 4" xfId="5786" xr:uid="{A2276C96-46BF-49F8-983E-C288080E3F63}"/>
    <cellStyle name="Note 2 7 2 4 4 2" xfId="8760" xr:uid="{2BC7B476-64CC-4918-BAC4-024AFA8D576D}"/>
    <cellStyle name="Note 2 7 2 4 5" xfId="3515" xr:uid="{66E559FC-525C-45B5-A94A-0B731B9ECFAF}"/>
    <cellStyle name="Note 2 7 2 4 6" xfId="6459" xr:uid="{4ABE7D76-F3DB-40AF-AE82-79326ABC00CB}"/>
    <cellStyle name="Note 2 7 2 4 7" xfId="2436" xr:uid="{68CF0DFA-AAB8-4987-929D-F53424AE8C02}"/>
    <cellStyle name="Note 2 7 2 5" xfId="3130" xr:uid="{3E454201-C74E-4CF2-97FD-D4B399602075}"/>
    <cellStyle name="Note 2 7 2 5 2" xfId="3876" xr:uid="{C8428438-A7CE-4E31-A5CE-F18308AECF03}"/>
    <cellStyle name="Note 2 7 2 6" xfId="3250" xr:uid="{5ED3FEAF-49B0-431F-9F4D-50AD645A6608}"/>
    <cellStyle name="Note 2 7 2 7" xfId="3096" xr:uid="{F319D6A8-C2D7-4CCE-9889-5686E3F54B99}"/>
    <cellStyle name="Note 2 7 2 8" xfId="2153" xr:uid="{0B1B7088-1B91-4DEF-B41A-C8E0CD91D943}"/>
    <cellStyle name="Note 2 7 3" xfId="279" xr:uid="{E2D5B9FA-65D1-4DDC-8D78-DBD2D85F94AA}"/>
    <cellStyle name="Note 2 7 3 2" xfId="503" xr:uid="{E6E15697-D8C4-4E54-9914-8F8C5AC1899A}"/>
    <cellStyle name="Note 2 7 3 2 2" xfId="982" xr:uid="{826A422D-B961-436D-944F-BF146B776CF1}"/>
    <cellStyle name="Note 2 7 3 2 2 2" xfId="1787" xr:uid="{08982FF6-B8F2-4278-BC05-F77B766AB074}"/>
    <cellStyle name="Note 2 7 3 2 2 2 2" xfId="7558" xr:uid="{27910527-B9F3-494F-8CA2-0DFC9B190403}"/>
    <cellStyle name="Note 2 7 3 2 2 2 3" xfId="10224" xr:uid="{9FA0CC4B-CBF6-4E13-AD66-A25436842E85}"/>
    <cellStyle name="Note 2 7 3 2 2 2 4" xfId="4584" xr:uid="{65FC405F-F0B0-419B-B6F6-F88FAD4F8435}"/>
    <cellStyle name="Note 2 7 3 2 2 3" xfId="5324" xr:uid="{AA38B910-8B98-46F2-BA25-3B186384D538}"/>
    <cellStyle name="Note 2 7 3 2 2 3 2" xfId="8298" xr:uid="{A1988E54-CBF6-4D5B-814A-B8A6046F1778}"/>
    <cellStyle name="Note 2 7 3 2 2 4" xfId="6089" xr:uid="{40E3BE1B-5582-4206-AAE6-3D746AA58256}"/>
    <cellStyle name="Note 2 7 3 2 2 4 2" xfId="9063" xr:uid="{4B53ADB5-BDF0-4699-969B-229EE9BC9AB7}"/>
    <cellStyle name="Note 2 7 3 2 2 5" xfId="3799" xr:uid="{7A48CC8B-7D4F-4C2F-8400-B5A8BAA3443F}"/>
    <cellStyle name="Note 2 7 3 2 2 6" xfId="6762" xr:uid="{F4F955A2-114A-48E1-B524-660027F645DF}"/>
    <cellStyle name="Note 2 7 3 2 2 7" xfId="2739" xr:uid="{D89A2605-1733-4949-85A3-3F2B0D8875E1}"/>
    <cellStyle name="Note 2 7 3 2 3" xfId="1070" xr:uid="{09D239C5-FB0C-409E-9FC9-B61EB872ECA2}"/>
    <cellStyle name="Note 2 7 3 2 3 2" xfId="1875" xr:uid="{B92994F4-7912-4D01-A96E-68C6D4DF232C}"/>
    <cellStyle name="Note 2 7 3 2 3 2 2" xfId="7646" xr:uid="{410B0FB7-2471-4815-AB07-EB792792FE10}"/>
    <cellStyle name="Note 2 7 3 2 3 2 3" xfId="10312" xr:uid="{5CD36C09-62D7-4D26-AEF3-47104BF38F35}"/>
    <cellStyle name="Note 2 7 3 2 3 2 4" xfId="4672" xr:uid="{815C4BEF-BF61-4685-BE35-ADB4266C1B26}"/>
    <cellStyle name="Note 2 7 3 2 3 3" xfId="5412" xr:uid="{CB05F200-C0B7-42FE-9B46-B8EA3EDF3844}"/>
    <cellStyle name="Note 2 7 3 2 3 3 2" xfId="8386" xr:uid="{60E9E05C-42DB-4253-AE01-E90BF64BBB66}"/>
    <cellStyle name="Note 2 7 3 2 3 4" xfId="6177" xr:uid="{673FC415-6706-4708-AA2A-358E8D69B6D4}"/>
    <cellStyle name="Note 2 7 3 2 3 4 2" xfId="9151" xr:uid="{2B7BD45D-7C44-40D3-8F20-4A4DAA4F468E}"/>
    <cellStyle name="Note 2 7 3 2 3 5" xfId="3885" xr:uid="{BBC990C8-95F7-44EA-A423-DCF9A94872F4}"/>
    <cellStyle name="Note 2 7 3 2 3 6" xfId="6850" xr:uid="{434CA298-4A40-49E3-9973-D0AF4F52269E}"/>
    <cellStyle name="Note 2 7 3 2 3 7" xfId="2827" xr:uid="{D22AC062-D193-4652-B1A9-84B8318EA838}"/>
    <cellStyle name="Note 2 7 3 2 4" xfId="1309" xr:uid="{852C16B6-7A8A-4DEE-8929-99A6DA24A1F1}"/>
    <cellStyle name="Note 2 7 3 2 4 2" xfId="7080" xr:uid="{328B1A9E-F9A5-4B56-8FA1-54B9B92CC3E6}"/>
    <cellStyle name="Note 2 7 3 2 4 3" xfId="9746" xr:uid="{02D3E932-8001-48A3-B8F7-632D7CE14789}"/>
    <cellStyle name="Note 2 7 3 2 4 4" xfId="4106" xr:uid="{BA03EBFD-AFC2-46B5-BB5C-41D1CE8ADAAF}"/>
    <cellStyle name="Note 2 7 3 2 5" xfId="4846" xr:uid="{C5300684-5A90-43BE-BF4A-C6334CF67061}"/>
    <cellStyle name="Note 2 7 3 2 5 2" xfId="7820" xr:uid="{FDE9BAF4-7B6C-4C3D-814C-C88A158A47F7}"/>
    <cellStyle name="Note 2 7 3 2 6" xfId="5611" xr:uid="{BBF7E24F-C8DA-466F-AB83-81AB2BF8E5E5}"/>
    <cellStyle name="Note 2 7 3 2 6 2" xfId="8585" xr:uid="{559D72E2-1D9C-485F-B206-38BA11FC2F7A}"/>
    <cellStyle name="Note 2 7 3 2 7" xfId="3393" xr:uid="{589C20FD-2568-43F5-BAD7-B59210A140DF}"/>
    <cellStyle name="Note 2 7 3 2 8" xfId="3054" xr:uid="{74A3906A-F4CB-4499-ACAF-D5A93D5ABBE9}"/>
    <cellStyle name="Note 2 7 3 2 9" xfId="2261" xr:uid="{F2D714D6-7854-489F-907F-06DA54EB11D2}"/>
    <cellStyle name="Note 2 7 3 3" xfId="771" xr:uid="{97B01350-C20D-4F34-B23D-8CAF7D31F5E8}"/>
    <cellStyle name="Note 2 7 3 3 2" xfId="1576" xr:uid="{2911E470-0A03-48BA-8975-4C7069F65402}"/>
    <cellStyle name="Note 2 7 3 3 2 2" xfId="7347" xr:uid="{0DBD7B6E-E9F7-4D57-804D-4F2B8EEDF59D}"/>
    <cellStyle name="Note 2 7 3 3 2 3" xfId="10013" xr:uid="{5D7BFF26-B2A7-434E-B5E3-CCD00791C3DA}"/>
    <cellStyle name="Note 2 7 3 3 2 4" xfId="4373" xr:uid="{6AB33AE5-827A-4814-8318-A2666FF07A99}"/>
    <cellStyle name="Note 2 7 3 3 3" xfId="5113" xr:uid="{60E7C879-45A6-44DC-95EA-E35952273B94}"/>
    <cellStyle name="Note 2 7 3 3 3 2" xfId="8087" xr:uid="{7B009947-CEDA-45BB-AD0F-9007F0F58604}"/>
    <cellStyle name="Note 2 7 3 3 4" xfId="5878" xr:uid="{E3AEFF60-2702-49DB-AF85-C81885B184CC}"/>
    <cellStyle name="Note 2 7 3 3 4 2" xfId="8852" xr:uid="{4EA6A9B4-2D1E-4D36-8842-AE98A839B9AC}"/>
    <cellStyle name="Note 2 7 3 3 5" xfId="3606" xr:uid="{9A9BBF63-DFED-47D3-AF85-597881BD09B0}"/>
    <cellStyle name="Note 2 7 3 3 6" xfId="6551" xr:uid="{45FF25C9-ED59-40B4-8943-8538E532EC77}"/>
    <cellStyle name="Note 2 7 3 3 7" xfId="2528" xr:uid="{C3AA0706-D5FA-4822-803C-7B7F56193F3E}"/>
    <cellStyle name="Note 2 7 3 4" xfId="874" xr:uid="{CAEE57B1-2FBF-489B-A4FB-89ABD526F6FC}"/>
    <cellStyle name="Note 2 7 3 4 2" xfId="1679" xr:uid="{586C9969-479E-4C79-8F0E-3E1302137C18}"/>
    <cellStyle name="Note 2 7 3 4 2 2" xfId="7450" xr:uid="{05653345-99DC-4F5A-8EAE-A39C64BDE11A}"/>
    <cellStyle name="Note 2 7 3 4 2 3" xfId="10116" xr:uid="{BD356917-BF2B-4370-A0AA-7264C3BC3DAA}"/>
    <cellStyle name="Note 2 7 3 4 2 4" xfId="4476" xr:uid="{5892C3B7-509F-42CD-BA68-562E117825D5}"/>
    <cellStyle name="Note 2 7 3 4 3" xfId="5216" xr:uid="{4C1CB4D2-67AB-4839-90A9-2D28DBDD7E8E}"/>
    <cellStyle name="Note 2 7 3 4 3 2" xfId="8190" xr:uid="{0FB6FD5B-7422-46B2-83A6-F25FE5746AE9}"/>
    <cellStyle name="Note 2 7 3 4 4" xfId="5981" xr:uid="{D8F615C1-BD5E-48B1-8806-D98C8E5BCFE1}"/>
    <cellStyle name="Note 2 7 3 4 4 2" xfId="8955" xr:uid="{5D3E6DE8-9438-4E0A-9C84-C3B901B274F8}"/>
    <cellStyle name="Note 2 7 3 4 5" xfId="3697" xr:uid="{4C8802FD-CA32-47BF-843C-343C1C982F38}"/>
    <cellStyle name="Note 2 7 3 4 6" xfId="6654" xr:uid="{A0D8DF50-A842-4B23-80B5-265CCD1AC98B}"/>
    <cellStyle name="Note 2 7 3 4 7" xfId="2631" xr:uid="{6F3A09F5-B949-433A-85E4-BDFC4F1226A2}"/>
    <cellStyle name="Note 2 7 3 5" xfId="3171" xr:uid="{AB5D0FED-8609-4886-828E-D7CB4D0818BE}"/>
    <cellStyle name="Note 2 7 3 5 2" xfId="3485" xr:uid="{268799B8-1C9B-462A-8578-904417600093}"/>
    <cellStyle name="Note 2 7 3 6" xfId="3206" xr:uid="{3051B3EF-88B1-4683-B218-689155C4524B}"/>
    <cellStyle name="Note 2 7 3 7" xfId="3081" xr:uid="{4278ECF4-C965-4681-AAC7-8AD19E9BCE35}"/>
    <cellStyle name="Note 2 7 3 8" xfId="2096" xr:uid="{EAD7A8FB-1D21-4E2E-BB58-A2F223DB1896}"/>
    <cellStyle name="Note 2 7 4" xfId="455" xr:uid="{3D78ED1F-A369-4770-9EBF-86DBC6B65C9D}"/>
    <cellStyle name="Note 2 7 4 2" xfId="934" xr:uid="{3851E4B6-3B97-4E9A-8CE1-4441B5D3970B}"/>
    <cellStyle name="Note 2 7 4 2 2" xfId="1739" xr:uid="{A18B8E6F-ABE7-4D05-BCDD-697B4E56F1DB}"/>
    <cellStyle name="Note 2 7 4 2 2 2" xfId="7510" xr:uid="{0D263FDA-BB7A-4CA4-B063-6BB3D8E9B217}"/>
    <cellStyle name="Note 2 7 4 2 2 3" xfId="10176" xr:uid="{024EB112-7C89-4CE7-B098-3B728451841C}"/>
    <cellStyle name="Note 2 7 4 2 2 4" xfId="4536" xr:uid="{FA119B83-FFCE-4A18-94EA-750A127103E1}"/>
    <cellStyle name="Note 2 7 4 2 3" xfId="5276" xr:uid="{4B1CC24C-D310-432B-B964-6707103FF278}"/>
    <cellStyle name="Note 2 7 4 2 3 2" xfId="8250" xr:uid="{0CD5CC41-B7D4-4331-9363-8C5CB7440D51}"/>
    <cellStyle name="Note 2 7 4 2 4" xfId="6041" xr:uid="{893BCEEC-7F27-4FD4-ACE6-015C7A0530D6}"/>
    <cellStyle name="Note 2 7 4 2 4 2" xfId="9015" xr:uid="{C0271CE6-E940-4F2E-B00F-AD24C872C7A1}"/>
    <cellStyle name="Note 2 7 4 2 5" xfId="3751" xr:uid="{BC9FD4F0-81AD-46B6-89F2-D1E30F5F14FB}"/>
    <cellStyle name="Note 2 7 4 2 6" xfId="6714" xr:uid="{0A6D583F-484D-4BF2-BCE9-F1C96B3E7FE2}"/>
    <cellStyle name="Note 2 7 4 2 7" xfId="2691" xr:uid="{49159D08-6DEA-4739-83FE-6D837DCB35AE}"/>
    <cellStyle name="Note 2 7 4 3" xfId="1082" xr:uid="{827CD4B7-65CC-42F8-BD0E-17F8C2908353}"/>
    <cellStyle name="Note 2 7 4 3 2" xfId="1887" xr:uid="{92BB5CD7-A9BB-48D9-B5B0-8B3119383B87}"/>
    <cellStyle name="Note 2 7 4 3 2 2" xfId="7658" xr:uid="{B1B92645-D0E4-4AC2-B680-D215AE3690FB}"/>
    <cellStyle name="Note 2 7 4 3 2 3" xfId="10324" xr:uid="{75309164-2F57-4454-8C75-DD2C869FCDA8}"/>
    <cellStyle name="Note 2 7 4 3 2 4" xfId="4684" xr:uid="{EC4C3982-F9B8-4BAC-9FA0-CE04CEF6FA5F}"/>
    <cellStyle name="Note 2 7 4 3 3" xfId="5424" xr:uid="{096594D2-1041-4105-99DC-D8A77A3EA0B0}"/>
    <cellStyle name="Note 2 7 4 3 3 2" xfId="8398" xr:uid="{4E05A79C-ED83-4763-870B-577F765F6FB5}"/>
    <cellStyle name="Note 2 7 4 3 4" xfId="6189" xr:uid="{03F1DDFF-C5F9-48BA-9658-EF787FE2A67C}"/>
    <cellStyle name="Note 2 7 4 3 4 2" xfId="9163" xr:uid="{6760B229-0FCA-4F09-8574-C1C2FA209616}"/>
    <cellStyle name="Note 2 7 4 3 5" xfId="3896" xr:uid="{3552040E-7EA4-4059-8FAC-B4C5FE51828E}"/>
    <cellStyle name="Note 2 7 4 3 6" xfId="6862" xr:uid="{03DD26BD-2398-4272-A7A1-D056B0435A89}"/>
    <cellStyle name="Note 2 7 4 3 7" xfId="2839" xr:uid="{F6B87073-B15D-463C-A2F0-F2E497D7AD1F}"/>
    <cellStyle name="Note 2 7 4 4" xfId="1261" xr:uid="{2C40ABF5-8D3A-47D8-9E10-D7FB9A43BBBB}"/>
    <cellStyle name="Note 2 7 4 4 2" xfId="7032" xr:uid="{8C099974-DDFC-4996-9F1E-8AF0A722D52E}"/>
    <cellStyle name="Note 2 7 4 4 3" xfId="9698" xr:uid="{825E3521-09C8-45C1-AFDA-106BB711DEAB}"/>
    <cellStyle name="Note 2 7 4 4 4" xfId="4058" xr:uid="{7700049C-02FE-481D-9E15-45F80CA24115}"/>
    <cellStyle name="Note 2 7 4 5" xfId="4798" xr:uid="{BF175080-7235-40EF-9F47-F2CB71C2C6F5}"/>
    <cellStyle name="Note 2 7 4 5 2" xfId="7772" xr:uid="{A75BF7FE-1A95-4110-B7CD-E21FD62C5B5D}"/>
    <cellStyle name="Note 2 7 4 6" xfId="5563" xr:uid="{262EA09D-E4BA-4F56-8EF9-50CB512E63AB}"/>
    <cellStyle name="Note 2 7 4 6 2" xfId="8537" xr:uid="{5B4395B6-1458-4AC9-BDE5-B9B01D3AF910}"/>
    <cellStyle name="Note 2 7 4 7" xfId="3360" xr:uid="{7E5868F4-1B12-41D6-8542-E6859E4C55E9}"/>
    <cellStyle name="Note 2 7 4 8" xfId="3300" xr:uid="{D75EF61C-3CDB-4053-86B6-87487B361B1B}"/>
    <cellStyle name="Note 2 7 4 9" xfId="2213" xr:uid="{3D4EE5A4-3817-4EBC-BFC1-BE3CF1293515}"/>
    <cellStyle name="Note 2 7 5" xfId="723" xr:uid="{12FE733C-2C09-4EA4-AD64-1313B6DFA908}"/>
    <cellStyle name="Note 2 7 5 2" xfId="1528" xr:uid="{191BAA8D-9DBF-4949-B06A-B31957D5BB4F}"/>
    <cellStyle name="Note 2 7 5 2 2" xfId="7299" xr:uid="{7FF62626-F6E3-4537-87A2-E689E17830DD}"/>
    <cellStyle name="Note 2 7 5 2 3" xfId="9965" xr:uid="{6C00F4A4-179F-4272-AFDD-5D585A3A51ED}"/>
    <cellStyle name="Note 2 7 5 2 4" xfId="4325" xr:uid="{A6118352-A379-4614-A5D3-D76CEE474AC2}"/>
    <cellStyle name="Note 2 7 5 3" xfId="5065" xr:uid="{1D0740DA-F590-4DFD-89E2-B622E2CC5952}"/>
    <cellStyle name="Note 2 7 5 3 2" xfId="8039" xr:uid="{F2F48BF2-CC55-429D-B9D6-AA704DE81E44}"/>
    <cellStyle name="Note 2 7 5 4" xfId="5830" xr:uid="{615C5024-DFB9-435A-B5E6-A2A715C10FD5}"/>
    <cellStyle name="Note 2 7 5 4 2" xfId="8804" xr:uid="{BFCA459D-B17F-4566-AC48-3EC34CEEA1C4}"/>
    <cellStyle name="Note 2 7 5 5" xfId="3558" xr:uid="{DBEF7FC8-4731-4C8C-9945-3A66696C64DE}"/>
    <cellStyle name="Note 2 7 5 6" xfId="6503" xr:uid="{3C1692A1-B486-4219-9CDA-54DBB561AD77}"/>
    <cellStyle name="Note 2 7 5 7" xfId="2480" xr:uid="{A6D24F95-A28D-4A9B-9052-CB33583517C5}"/>
    <cellStyle name="Note 2 7 6" xfId="1126" xr:uid="{6205ABC9-3264-4254-9AB2-BC6B15296C6B}"/>
    <cellStyle name="Note 2 7 6 2" xfId="1931" xr:uid="{CC2BFEDE-62BF-40E1-BB97-2A1A43EAE307}"/>
    <cellStyle name="Note 2 7 6 2 2" xfId="7702" xr:uid="{99A6878F-EF20-4C6F-8196-2D72FB3E7301}"/>
    <cellStyle name="Note 2 7 6 2 3" xfId="10368" xr:uid="{2426B691-E343-414B-927F-BE5598DDE76C}"/>
    <cellStyle name="Note 2 7 6 2 4" xfId="4728" xr:uid="{F48338C0-E84B-45B8-88F1-7F696AEFB9BA}"/>
    <cellStyle name="Note 2 7 6 3" xfId="5468" xr:uid="{477CE315-797C-4AD9-90BB-5E262A4E94DF}"/>
    <cellStyle name="Note 2 7 6 3 2" xfId="8442" xr:uid="{13706641-7B39-4F03-8A3F-6132FCC30BF1}"/>
    <cellStyle name="Note 2 7 6 4" xfId="6233" xr:uid="{07E07A50-B3A1-443F-9FF0-6C0C31E61830}"/>
    <cellStyle name="Note 2 7 6 4 2" xfId="9207" xr:uid="{97633978-36C1-40A6-9769-2BFE584B4154}"/>
    <cellStyle name="Note 2 7 6 5" xfId="3928" xr:uid="{B17E8C89-EB12-48C0-A38A-33ECAEED6581}"/>
    <cellStyle name="Note 2 7 6 6" xfId="6906" xr:uid="{07CF8EC8-4725-4E3E-B6FC-8DC66D0CDA32}"/>
    <cellStyle name="Note 2 7 6 7" xfId="2883" xr:uid="{4800E926-51A1-4031-BD51-330FB5F8F12E}"/>
    <cellStyle name="Note 2 7 7" xfId="3212" xr:uid="{2BF6FA85-3C0A-46A6-97E9-B37F4932E60F}"/>
    <cellStyle name="Note 2 7 7 2" xfId="3316" xr:uid="{0AB31C9A-69ED-4F8A-8B2B-BC6E2CD47D6C}"/>
    <cellStyle name="Note 2 7 8" xfId="3164" xr:uid="{4B3C7897-498C-4790-9BB3-2413757B6F08}"/>
    <cellStyle name="Note 2 7 9" xfId="3352" xr:uid="{1E5F9C3E-FD24-49F2-BF6A-D5C25BCD1145}"/>
    <cellStyle name="Note 2 8" xfId="237" xr:uid="{C99DB7F7-7098-4A47-8C3A-2D0D063D5B3E}"/>
    <cellStyle name="Note 2 8 10" xfId="2052" xr:uid="{E3147142-43AE-4703-B6DE-F7B438CB50A7}"/>
    <cellStyle name="Note 2 8 2" xfId="341" xr:uid="{3C8DB1B3-65C8-4DA0-8B29-A73914E722FB}"/>
    <cellStyle name="Note 2 8 2 2" xfId="563" xr:uid="{C6D4591F-D9EA-4BBD-8425-D07E6A928A19}"/>
    <cellStyle name="Note 2 8 2 2 2" xfId="1042" xr:uid="{6510516E-D560-439D-9A9D-489142F6D2B4}"/>
    <cellStyle name="Note 2 8 2 2 2 2" xfId="1847" xr:uid="{74640650-FB62-4A48-846A-2F8A9AF24A75}"/>
    <cellStyle name="Note 2 8 2 2 2 2 2" xfId="7618" xr:uid="{99EEFF6B-01DF-4395-B3A6-E98BD2229D3C}"/>
    <cellStyle name="Note 2 8 2 2 2 2 3" xfId="10284" xr:uid="{BE17C873-2198-4630-8842-F1E952171180}"/>
    <cellStyle name="Note 2 8 2 2 2 2 4" xfId="4644" xr:uid="{C3029521-DF46-4256-9EB8-9A26FE0E8316}"/>
    <cellStyle name="Note 2 8 2 2 2 3" xfId="5384" xr:uid="{3D9E6ECB-F7FD-4C06-85FD-FB2B14C04B4D}"/>
    <cellStyle name="Note 2 8 2 2 2 3 2" xfId="8358" xr:uid="{27FB906C-8681-4B2B-8E8A-2AF43F545D55}"/>
    <cellStyle name="Note 2 8 2 2 2 4" xfId="6149" xr:uid="{300C3986-F3A9-4CEF-8EE9-4E053F26E820}"/>
    <cellStyle name="Note 2 8 2 2 2 4 2" xfId="9123" xr:uid="{0A21E236-8D91-4B83-9E1D-92B9E342DF87}"/>
    <cellStyle name="Note 2 8 2 2 2 5" xfId="3859" xr:uid="{8CB08F80-3569-43DD-A32D-A519A65B5BD2}"/>
    <cellStyle name="Note 2 8 2 2 2 6" xfId="6822" xr:uid="{BC93F303-3033-4F7E-8D32-58454AD30B59}"/>
    <cellStyle name="Note 2 8 2 2 2 7" xfId="2799" xr:uid="{114DCEEE-2A67-4B36-98FB-2E496067710A}"/>
    <cellStyle name="Note 2 8 2 2 3" xfId="865" xr:uid="{E4FB1B02-7033-4754-B4BF-ECE77F3D83B6}"/>
    <cellStyle name="Note 2 8 2 2 3 2" xfId="1670" xr:uid="{F5197AE1-7713-4DAA-B5BF-2313B8BBD9ED}"/>
    <cellStyle name="Note 2 8 2 2 3 2 2" xfId="7441" xr:uid="{7D353DB7-6623-46F6-B629-51DE5E1C5604}"/>
    <cellStyle name="Note 2 8 2 2 3 2 3" xfId="10107" xr:uid="{12ADBC33-1441-4E53-BF28-FA4DA579BD9E}"/>
    <cellStyle name="Note 2 8 2 2 3 2 4" xfId="4467" xr:uid="{02728112-7AFB-4E7C-ADF8-F37699DC215C}"/>
    <cellStyle name="Note 2 8 2 2 3 3" xfId="5207" xr:uid="{93E3BAFD-578F-4995-ACE8-D60AEB87D352}"/>
    <cellStyle name="Note 2 8 2 2 3 3 2" xfId="8181" xr:uid="{FE906969-688A-4173-8D69-14D1A0C44408}"/>
    <cellStyle name="Note 2 8 2 2 3 4" xfId="5972" xr:uid="{5F14F43D-5327-4568-AE36-E698CB276043}"/>
    <cellStyle name="Note 2 8 2 2 3 4 2" xfId="8946" xr:uid="{75C804C0-F268-4BBF-A99D-E3179A3161B8}"/>
    <cellStyle name="Note 2 8 2 2 3 5" xfId="3690" xr:uid="{63879DA9-3037-43A8-B876-879AF0CB1AD6}"/>
    <cellStyle name="Note 2 8 2 2 3 6" xfId="6645" xr:uid="{2A168B93-F056-44A1-9707-215F28D122DB}"/>
    <cellStyle name="Note 2 8 2 2 3 7" xfId="2622" xr:uid="{22D2CF1F-1C9A-49C6-8FCF-25F3A481018D}"/>
    <cellStyle name="Note 2 8 2 2 4" xfId="1369" xr:uid="{0ED5DB98-8691-4418-BBF9-6C24E6FB6F28}"/>
    <cellStyle name="Note 2 8 2 2 4 2" xfId="7140" xr:uid="{D2851E97-31CA-4A56-85D6-379241DCA0CB}"/>
    <cellStyle name="Note 2 8 2 2 4 3" xfId="9806" xr:uid="{0F1CACCD-75F1-4B70-904E-603E65E1B6F5}"/>
    <cellStyle name="Note 2 8 2 2 4 4" xfId="4166" xr:uid="{C3743B0F-367D-441B-85CE-FF166324470A}"/>
    <cellStyle name="Note 2 8 2 2 5" xfId="4906" xr:uid="{43DB30B2-D9DF-4F20-9856-E13E3C7F77C9}"/>
    <cellStyle name="Note 2 8 2 2 5 2" xfId="7880" xr:uid="{183DB347-CA2E-4A19-92F8-D5C9EA8CE288}"/>
    <cellStyle name="Note 2 8 2 2 6" xfId="5671" xr:uid="{BA5E4C93-B2F3-4615-8B23-8B31313A5BF6}"/>
    <cellStyle name="Note 2 8 2 2 6 2" xfId="8645" xr:uid="{A81F99B3-16F8-4BE2-AD74-18067BC7156E}"/>
    <cellStyle name="Note 2 8 2 2 7" xfId="3435" xr:uid="{320AA53A-32B3-4BD1-A6E0-4875CB6CAD17}"/>
    <cellStyle name="Note 2 8 2 2 8" xfId="6344" xr:uid="{F8E51FA8-51DB-4649-B43C-82296C8AC01F}"/>
    <cellStyle name="Note 2 8 2 2 9" xfId="2321" xr:uid="{DF92B312-CD9F-4306-8CA8-FF5A4F835BA2}"/>
    <cellStyle name="Note 2 8 2 3" xfId="832" xr:uid="{922F2D95-5F56-4B36-96D7-5734C98ACA83}"/>
    <cellStyle name="Note 2 8 2 3 2" xfId="1637" xr:uid="{94A7AB24-4D84-44ED-9575-DF720F6C86D8}"/>
    <cellStyle name="Note 2 8 2 3 2 2" xfId="7408" xr:uid="{DD575C1C-79F4-4B23-AB0B-F9F686C33CC0}"/>
    <cellStyle name="Note 2 8 2 3 2 3" xfId="10074" xr:uid="{7DA655A5-46F1-410B-9CFF-B7E29476893F}"/>
    <cellStyle name="Note 2 8 2 3 2 4" xfId="4434" xr:uid="{2A2CC80E-4DF2-4B83-A72F-A9036AB4723A}"/>
    <cellStyle name="Note 2 8 2 3 3" xfId="5174" xr:uid="{36CD5403-D0BD-4418-B3B4-60A9CFE8CFC2}"/>
    <cellStyle name="Note 2 8 2 3 3 2" xfId="8148" xr:uid="{FBC39D35-E334-4126-946C-577B70227B48}"/>
    <cellStyle name="Note 2 8 2 3 4" xfId="5939" xr:uid="{0C699AD0-151F-4676-8A38-F97F08EE77C9}"/>
    <cellStyle name="Note 2 8 2 3 4 2" xfId="8913" xr:uid="{912BE15F-F157-40E2-BF49-680097B9E1D8}"/>
    <cellStyle name="Note 2 8 2 3 5" xfId="3666" xr:uid="{9E3A6AD1-2410-4C0D-B8E2-AC32B2C116C8}"/>
    <cellStyle name="Note 2 8 2 3 6" xfId="6612" xr:uid="{E9A326E1-4E72-4505-89A9-DD6BEBCCD24A}"/>
    <cellStyle name="Note 2 8 2 3 7" xfId="2589" xr:uid="{C88F776D-E9A6-4196-B2AD-8E57F2FB040B}"/>
    <cellStyle name="Note 2 8 2 4" xfId="599" xr:uid="{5F90FACF-0D8B-4907-8072-855770C2E189}"/>
    <cellStyle name="Note 2 8 2 4 2" xfId="1404" xr:uid="{0FA27BE8-4545-4314-B2CF-F8E7F261C737}"/>
    <cellStyle name="Note 2 8 2 4 2 2" xfId="7175" xr:uid="{E9061549-CA6D-4EE4-ACFD-EC69F8E0A648}"/>
    <cellStyle name="Note 2 8 2 4 2 3" xfId="9841" xr:uid="{5DF424D9-53A6-431D-8FC5-0D0250DB6E78}"/>
    <cellStyle name="Note 2 8 2 4 2 4" xfId="4201" xr:uid="{BC2D53A4-34D6-4720-8E7B-2415A84E35FE}"/>
    <cellStyle name="Note 2 8 2 4 3" xfId="4941" xr:uid="{1B813B48-B679-4792-A4D9-EF13AE74A05C}"/>
    <cellStyle name="Note 2 8 2 4 3 2" xfId="7915" xr:uid="{ED5469E9-A7FE-457F-94AF-BA1172FA84EE}"/>
    <cellStyle name="Note 2 8 2 4 4" xfId="5706" xr:uid="{5AF29FDF-120E-49D2-8C7B-E2B062E61A51}"/>
    <cellStyle name="Note 2 8 2 4 4 2" xfId="8680" xr:uid="{4FD4C8F4-F5EE-48EB-9F42-F14BD189BA1F}"/>
    <cellStyle name="Note 2 8 2 4 5" xfId="3460" xr:uid="{1A737173-A051-438C-83AE-AE28485E5B4F}"/>
    <cellStyle name="Note 2 8 2 4 6" xfId="6379" xr:uid="{68C400AB-8695-40E6-B065-658194B2D2AC}"/>
    <cellStyle name="Note 2 8 2 4 7" xfId="2356" xr:uid="{3C004BC0-143A-473F-8CC5-104159E0F2D8}"/>
    <cellStyle name="Note 2 8 2 5" xfId="3129" xr:uid="{9AD5333A-3DDE-4B8C-9AA3-C3823459B040}"/>
    <cellStyle name="Note 2 8 2 5 2" xfId="3920" xr:uid="{C31FF7D5-E448-4B78-AD8E-F137F3EC4307}"/>
    <cellStyle name="Note 2 8 2 6" xfId="3254" xr:uid="{1596FEB3-0ACD-4EE8-A39B-E34995D702A5}"/>
    <cellStyle name="Note 2 8 2 7" xfId="3114" xr:uid="{8188DFAF-EF5E-4B01-94E8-3A7305A29E89}"/>
    <cellStyle name="Note 2 8 2 8" xfId="2159" xr:uid="{B084AB45-4ED2-4C57-9599-D1EE05D3D8E5}"/>
    <cellStyle name="Note 2 8 3" xfId="285" xr:uid="{E37C6A97-B155-4734-8CF1-5759463E81B1}"/>
    <cellStyle name="Note 2 8 3 2" xfId="509" xr:uid="{C5B29AC2-AB62-4FDD-B4E0-8077BB36D7E7}"/>
    <cellStyle name="Note 2 8 3 2 2" xfId="988" xr:uid="{38BC9CA1-CAB5-4D88-BC1E-E75F7E0E311E}"/>
    <cellStyle name="Note 2 8 3 2 2 2" xfId="1793" xr:uid="{0D1DC288-161A-48DB-9781-1DC7BDE375D6}"/>
    <cellStyle name="Note 2 8 3 2 2 2 2" xfId="7564" xr:uid="{C61EAA2D-EA03-453F-9D4B-52B13B17AF79}"/>
    <cellStyle name="Note 2 8 3 2 2 2 3" xfId="10230" xr:uid="{0D230B82-71C1-4BCC-A735-3973B779AEEE}"/>
    <cellStyle name="Note 2 8 3 2 2 2 4" xfId="4590" xr:uid="{D9E97083-C9BD-4E61-A605-3F1DAB255C2D}"/>
    <cellStyle name="Note 2 8 3 2 2 3" xfId="5330" xr:uid="{ACD1F03F-EB3E-42E1-BDB9-5BFE22EFEEA3}"/>
    <cellStyle name="Note 2 8 3 2 2 3 2" xfId="8304" xr:uid="{4C6E76FC-63D3-4C9C-86D7-18E36D43BEFF}"/>
    <cellStyle name="Note 2 8 3 2 2 4" xfId="6095" xr:uid="{AF445990-5E66-4C06-AB89-62D88C6553C1}"/>
    <cellStyle name="Note 2 8 3 2 2 4 2" xfId="9069" xr:uid="{559A7712-8DAC-4DC6-95D6-984022A6F897}"/>
    <cellStyle name="Note 2 8 3 2 2 5" xfId="3805" xr:uid="{34883A1C-B34B-4F6A-91D5-91C29C4BBDD9}"/>
    <cellStyle name="Note 2 8 3 2 2 6" xfId="6768" xr:uid="{02987FCC-47DA-4757-976B-51847308CC5F}"/>
    <cellStyle name="Note 2 8 3 2 2 7" xfId="2745" xr:uid="{952984AB-2452-4F16-8BA7-6F92A7174FAE}"/>
    <cellStyle name="Note 2 8 3 2 3" xfId="1066" xr:uid="{CF6BE3DF-44FE-45E7-8618-D6B1C920B47E}"/>
    <cellStyle name="Note 2 8 3 2 3 2" xfId="1871" xr:uid="{7862FA4B-D448-4524-9CD5-3D38445F84A5}"/>
    <cellStyle name="Note 2 8 3 2 3 2 2" xfId="7642" xr:uid="{CA7DCE70-B3B8-40B0-B39E-778954034FEE}"/>
    <cellStyle name="Note 2 8 3 2 3 2 3" xfId="10308" xr:uid="{1A5560DC-E12B-4653-AA62-2E478007C32B}"/>
    <cellStyle name="Note 2 8 3 2 3 2 4" xfId="4668" xr:uid="{7FC77AF9-43CD-4681-8013-063886D309A4}"/>
    <cellStyle name="Note 2 8 3 2 3 3" xfId="5408" xr:uid="{7FA70110-A2E8-4770-9BA5-D8C35FDEE5D1}"/>
    <cellStyle name="Note 2 8 3 2 3 3 2" xfId="8382" xr:uid="{4E33BF41-B834-484A-9761-D643AE695C45}"/>
    <cellStyle name="Note 2 8 3 2 3 4" xfId="6173" xr:uid="{D69D1E7C-4740-4C8D-A679-2AEC80584C60}"/>
    <cellStyle name="Note 2 8 3 2 3 4 2" xfId="9147" xr:uid="{144CEDB5-E4EA-4512-9B9F-E4B29C49FE88}"/>
    <cellStyle name="Note 2 8 3 2 3 5" xfId="3882" xr:uid="{0ABF29AE-1B1F-4FAB-B72C-47F39F40C6C1}"/>
    <cellStyle name="Note 2 8 3 2 3 6" xfId="6846" xr:uid="{432E3EDE-7636-435A-9BEE-5EC1F335DCB5}"/>
    <cellStyle name="Note 2 8 3 2 3 7" xfId="2823" xr:uid="{A2120EAC-A718-4CA8-94E2-FEF18B831B81}"/>
    <cellStyle name="Note 2 8 3 2 4" xfId="1315" xr:uid="{4F6F7D07-E6E9-45C5-B8D6-860EC0CC3896}"/>
    <cellStyle name="Note 2 8 3 2 4 2" xfId="7086" xr:uid="{9FF8F01A-8741-4F24-A782-2DA40BF3F042}"/>
    <cellStyle name="Note 2 8 3 2 4 3" xfId="9752" xr:uid="{FA4C90B8-0A28-41E3-9C09-7410DD520383}"/>
    <cellStyle name="Note 2 8 3 2 4 4" xfId="4112" xr:uid="{E96E82DA-EA05-40C5-90F8-7B46B1671FD3}"/>
    <cellStyle name="Note 2 8 3 2 5" xfId="4852" xr:uid="{B3B8E149-4173-4FBA-AD36-1118E4645696}"/>
    <cellStyle name="Note 2 8 3 2 5 2" xfId="7826" xr:uid="{69B961C1-ACA3-404A-BA2D-194274F22AF3}"/>
    <cellStyle name="Note 2 8 3 2 6" xfId="5617" xr:uid="{866DB969-149B-4BCD-B2AA-68E8E462894B}"/>
    <cellStyle name="Note 2 8 3 2 6 2" xfId="8591" xr:uid="{3329DB42-8367-4D40-94AD-2601A8CB92B0}"/>
    <cellStyle name="Note 2 8 3 2 7" xfId="3397" xr:uid="{1B2D179F-C4A9-4115-9435-634ADACEE3E6}"/>
    <cellStyle name="Note 2 8 3 2 8" xfId="3048" xr:uid="{9D4366E9-4DA7-40B7-B833-2F48F71E06FE}"/>
    <cellStyle name="Note 2 8 3 2 9" xfId="2267" xr:uid="{4B369A69-7F41-4DFC-909A-6A889C0686B8}"/>
    <cellStyle name="Note 2 8 3 3" xfId="777" xr:uid="{C66D3967-5439-450B-874E-9C5CB63E36A9}"/>
    <cellStyle name="Note 2 8 3 3 2" xfId="1582" xr:uid="{34B91B2A-C5EE-4818-8CCE-FAA771AE90E0}"/>
    <cellStyle name="Note 2 8 3 3 2 2" xfId="7353" xr:uid="{357E5C5B-1E65-48FC-93BF-ABD250BC88DB}"/>
    <cellStyle name="Note 2 8 3 3 2 3" xfId="10019" xr:uid="{1BC8E166-3D51-4C87-BB10-5FA5CD8AFBB2}"/>
    <cellStyle name="Note 2 8 3 3 2 4" xfId="4379" xr:uid="{92794776-F946-46C5-99D3-BB2C0985F8AB}"/>
    <cellStyle name="Note 2 8 3 3 3" xfId="5119" xr:uid="{1797D618-05AA-4E28-8CB0-7738A78CEE62}"/>
    <cellStyle name="Note 2 8 3 3 3 2" xfId="8093" xr:uid="{D7523F41-DA12-4747-9B29-668465E6A6DB}"/>
    <cellStyle name="Note 2 8 3 3 4" xfId="5884" xr:uid="{6880DC78-60E7-4EFD-A052-30EE66FE41CA}"/>
    <cellStyle name="Note 2 8 3 3 4 2" xfId="8858" xr:uid="{A7F7507B-CEC7-45A3-AEF8-F810658E8DDF}"/>
    <cellStyle name="Note 2 8 3 3 5" xfId="3612" xr:uid="{F7178CC0-1DAC-42E4-AC96-B28D933FA3C3}"/>
    <cellStyle name="Note 2 8 3 3 6" xfId="6557" xr:uid="{D575F157-DF14-4E7B-871E-1562AA175341}"/>
    <cellStyle name="Note 2 8 3 3 7" xfId="2534" xr:uid="{789A0B85-5285-4FC9-A695-D93C49CDF278}"/>
    <cellStyle name="Note 2 8 3 4" xfId="876" xr:uid="{DB179D72-DB5C-4B27-9B43-6F4749C8D058}"/>
    <cellStyle name="Note 2 8 3 4 2" xfId="1681" xr:uid="{466E0429-C244-483E-AE9C-74FF1B20E6BE}"/>
    <cellStyle name="Note 2 8 3 4 2 2" xfId="7452" xr:uid="{5F9EEE5F-16B9-4ACB-8222-F9A0A7CDC4BD}"/>
    <cellStyle name="Note 2 8 3 4 2 3" xfId="10118" xr:uid="{185EC43F-67F7-401B-B57F-F3C83430B210}"/>
    <cellStyle name="Note 2 8 3 4 2 4" xfId="4478" xr:uid="{9AA9A635-94E6-4479-9A9B-0F54324D8C8C}"/>
    <cellStyle name="Note 2 8 3 4 3" xfId="5218" xr:uid="{371CF880-FACA-4E26-B01C-43D4AB439EC6}"/>
    <cellStyle name="Note 2 8 3 4 3 2" xfId="8192" xr:uid="{B4714538-1DC8-4233-98A6-DBCD8B438C0F}"/>
    <cellStyle name="Note 2 8 3 4 4" xfId="5983" xr:uid="{AFFE08CE-6C55-409D-ACE1-A63134CE4587}"/>
    <cellStyle name="Note 2 8 3 4 4 2" xfId="8957" xr:uid="{4871B30A-DEFC-4029-BD7F-A92519D4CE60}"/>
    <cellStyle name="Note 2 8 3 4 5" xfId="3698" xr:uid="{26C8B037-E810-4766-98E4-7B834823E83E}"/>
    <cellStyle name="Note 2 8 3 4 6" xfId="6656" xr:uid="{0CCD5D07-E1B4-4D70-A391-A3F9C9C42939}"/>
    <cellStyle name="Note 2 8 3 4 7" xfId="2633" xr:uid="{D9252AF8-E633-4E72-BBCC-0ED13C8AD2A5}"/>
    <cellStyle name="Note 2 8 3 5" xfId="3170" xr:uid="{81EAC51C-6C5A-4647-9178-639E6495FFB4}"/>
    <cellStyle name="Note 2 8 3 5 2" xfId="3673" xr:uid="{A75E1323-CBA4-411E-8DE6-A726544AFBD3}"/>
    <cellStyle name="Note 2 8 3 6" xfId="3210" xr:uid="{0EA5B840-9709-4EFA-93D2-D38DF2E8081F}"/>
    <cellStyle name="Note 2 8 3 7" xfId="2996" xr:uid="{48119A53-5423-4FB2-A451-7567F9B5E236}"/>
    <cellStyle name="Note 2 8 3 8" xfId="2102" xr:uid="{FA790BFE-5674-4517-A66F-1F7F63B570FD}"/>
    <cellStyle name="Note 2 8 4" xfId="461" xr:uid="{6530A24F-F3AE-4797-8F2B-E2512758C98F}"/>
    <cellStyle name="Note 2 8 4 2" xfId="940" xr:uid="{2A26A724-E3F4-4CD7-9589-CD68A5A41D1C}"/>
    <cellStyle name="Note 2 8 4 2 2" xfId="1745" xr:uid="{9E6763CC-8976-467C-82DB-75F789A127C7}"/>
    <cellStyle name="Note 2 8 4 2 2 2" xfId="7516" xr:uid="{F7B41691-00AB-4D7A-BA85-CDD90B1BD7F6}"/>
    <cellStyle name="Note 2 8 4 2 2 3" xfId="10182" xr:uid="{49DEF608-91F9-4526-B947-07F3764FA5A9}"/>
    <cellStyle name="Note 2 8 4 2 2 4" xfId="4542" xr:uid="{776A9FD6-83A5-4B51-9702-542F30D4C4CB}"/>
    <cellStyle name="Note 2 8 4 2 3" xfId="5282" xr:uid="{F18E6B7B-B58D-4D4B-9BDD-36FAB0B52EB0}"/>
    <cellStyle name="Note 2 8 4 2 3 2" xfId="8256" xr:uid="{A004B561-CA8E-4D75-99B4-2F15057A73F6}"/>
    <cellStyle name="Note 2 8 4 2 4" xfId="6047" xr:uid="{6D68DBAF-1C09-4A7C-81DC-F06E1D2C24F1}"/>
    <cellStyle name="Note 2 8 4 2 4 2" xfId="9021" xr:uid="{C01124E9-C8EC-4589-AF13-FA835BEF7DA5}"/>
    <cellStyle name="Note 2 8 4 2 5" xfId="3757" xr:uid="{431389EC-1253-4821-AF29-26BC856AD1D1}"/>
    <cellStyle name="Note 2 8 4 2 6" xfId="6720" xr:uid="{7B91865F-D5FE-4455-AFB2-AD7272A430CE}"/>
    <cellStyle name="Note 2 8 4 2 7" xfId="2697" xr:uid="{942561AA-9D37-476B-ACDE-4C5F2066B521}"/>
    <cellStyle name="Note 2 8 4 3" xfId="1135" xr:uid="{C19606AF-3B16-48C1-A4A3-2DF78D8D6D0D}"/>
    <cellStyle name="Note 2 8 4 3 2" xfId="1940" xr:uid="{1946507F-5529-40A4-9AAD-2DF3C5D7112D}"/>
    <cellStyle name="Note 2 8 4 3 2 2" xfId="7711" xr:uid="{CA434CA1-F81D-4F24-B6F5-4B91DF7B21B7}"/>
    <cellStyle name="Note 2 8 4 3 2 3" xfId="10377" xr:uid="{D99DC203-DB98-47BF-908B-085CF763BE62}"/>
    <cellStyle name="Note 2 8 4 3 2 4" xfId="4737" xr:uid="{47DCB932-6F79-4C5B-93D3-CFA0DF9E55FC}"/>
    <cellStyle name="Note 2 8 4 3 3" xfId="5477" xr:uid="{8EC63768-2A07-4991-8303-9A5C5A48189E}"/>
    <cellStyle name="Note 2 8 4 3 3 2" xfId="8451" xr:uid="{287A2575-3FE7-4E9F-B3E9-9244F13B817D}"/>
    <cellStyle name="Note 2 8 4 3 4" xfId="6242" xr:uid="{77863242-735F-43E7-8E52-569319CC611A}"/>
    <cellStyle name="Note 2 8 4 3 4 2" xfId="9216" xr:uid="{22F49A59-FDC3-4E8B-8F9F-9CFEE411A8AE}"/>
    <cellStyle name="Note 2 8 4 3 5" xfId="3934" xr:uid="{787DE132-0341-4A1C-90CF-443E3175A035}"/>
    <cellStyle name="Note 2 8 4 3 6" xfId="6915" xr:uid="{3D6D3908-09A9-4FB1-939D-2530B15C770F}"/>
    <cellStyle name="Note 2 8 4 3 7" xfId="2892" xr:uid="{2D06E27C-9666-4442-BFFF-D968706990BB}"/>
    <cellStyle name="Note 2 8 4 4" xfId="1267" xr:uid="{3DF307F5-D8CD-4F74-B305-D8B38B85BF04}"/>
    <cellStyle name="Note 2 8 4 4 2" xfId="7038" xr:uid="{952E512C-4397-4AB7-AE3D-A36E2A314477}"/>
    <cellStyle name="Note 2 8 4 4 3" xfId="9704" xr:uid="{1CF0125B-58FE-4577-8546-0C7391B23C1F}"/>
    <cellStyle name="Note 2 8 4 4 4" xfId="4064" xr:uid="{668FDF2C-6BDC-4094-88FD-39A7D64092F7}"/>
    <cellStyle name="Note 2 8 4 5" xfId="4804" xr:uid="{A4834001-5F6B-4D42-ACB7-F74A326BA205}"/>
    <cellStyle name="Note 2 8 4 5 2" xfId="7778" xr:uid="{B3B8DF54-4A40-4503-9BFE-BE3ABEA2C59E}"/>
    <cellStyle name="Note 2 8 4 6" xfId="5569" xr:uid="{CC30BBEB-EC3C-4312-8FB2-7A4C5664FB52}"/>
    <cellStyle name="Note 2 8 4 6 2" xfId="8543" xr:uid="{31704B00-3C6E-4FE7-B7FC-4CEB2B1A15D6}"/>
    <cellStyle name="Note 2 8 4 7" xfId="3364" xr:uid="{FEE8F9C8-C8F2-43B3-BAD2-3BFBAE851863}"/>
    <cellStyle name="Note 2 8 4 8" xfId="3995" xr:uid="{1662542A-0FC6-4C21-AD12-42EA74AB9ACE}"/>
    <cellStyle name="Note 2 8 4 9" xfId="2219" xr:uid="{515CCCD3-DC56-4059-8E52-F47BE9F1D0C3}"/>
    <cellStyle name="Note 2 8 5" xfId="729" xr:uid="{023D7303-B589-4D1B-9813-BD427B6EDB0A}"/>
    <cellStyle name="Note 2 8 5 2" xfId="1534" xr:uid="{DEC4295D-9A40-4BCA-B8C3-D8AFE28AA2B6}"/>
    <cellStyle name="Note 2 8 5 2 2" xfId="7305" xr:uid="{EE3F5130-4CBF-4E91-A1FF-35C0F56571B9}"/>
    <cellStyle name="Note 2 8 5 2 3" xfId="9971" xr:uid="{2DACA8D4-BE25-42AD-BC6A-B8F9EC7921F2}"/>
    <cellStyle name="Note 2 8 5 2 4" xfId="4331" xr:uid="{6E893083-C9D0-4DC0-A2AB-01AF9283C599}"/>
    <cellStyle name="Note 2 8 5 3" xfId="5071" xr:uid="{2367C2E8-23BB-48E9-AC1D-E03865EB8B03}"/>
    <cellStyle name="Note 2 8 5 3 2" xfId="8045" xr:uid="{A3A29007-C47C-48A7-86AF-6FFD78DC4F48}"/>
    <cellStyle name="Note 2 8 5 4" xfId="5836" xr:uid="{3F1CFE96-C9EB-4D46-B23D-D86797DFB0B2}"/>
    <cellStyle name="Note 2 8 5 4 2" xfId="8810" xr:uid="{D5894969-F2B6-43AB-9571-A0C3E6E28458}"/>
    <cellStyle name="Note 2 8 5 5" xfId="3564" xr:uid="{16D8DDE9-6A7D-46BF-8D18-2CFC532860FA}"/>
    <cellStyle name="Note 2 8 5 6" xfId="6509" xr:uid="{057F8059-03F7-4E96-9E45-0250CA00CCEC}"/>
    <cellStyle name="Note 2 8 5 7" xfId="2486" xr:uid="{8C7B10BD-FCDB-4105-A437-E86967E786D1}"/>
    <cellStyle name="Note 2 8 6" xfId="587" xr:uid="{93F677E4-32D9-4B79-BF1E-EC609A4ED924}"/>
    <cellStyle name="Note 2 8 6 2" xfId="1392" xr:uid="{8E2B4818-0693-47AA-BAEB-777AE544A046}"/>
    <cellStyle name="Note 2 8 6 2 2" xfId="7163" xr:uid="{D169F85A-8FD1-451C-A505-B94C4983E684}"/>
    <cellStyle name="Note 2 8 6 2 3" xfId="9829" xr:uid="{85C3B9D4-71E8-4431-A90D-68F66C6BB557}"/>
    <cellStyle name="Note 2 8 6 2 4" xfId="4189" xr:uid="{424857DA-9B6E-49E0-B026-1267565D29CB}"/>
    <cellStyle name="Note 2 8 6 3" xfId="4929" xr:uid="{A5FB482A-A0D8-4527-8C7F-BE47C3B4401B}"/>
    <cellStyle name="Note 2 8 6 3 2" xfId="7903" xr:uid="{85354E22-583F-4341-9F93-21D8301E7FEF}"/>
    <cellStyle name="Note 2 8 6 4" xfId="5694" xr:uid="{08910E98-9055-478B-9CE5-A129197F1536}"/>
    <cellStyle name="Note 2 8 6 4 2" xfId="8668" xr:uid="{9E1C44E0-6794-4CD4-A271-81F169222697}"/>
    <cellStyle name="Note 2 8 6 5" xfId="3450" xr:uid="{0586BA63-15D3-4726-A231-6508D465B849}"/>
    <cellStyle name="Note 2 8 6 6" xfId="6367" xr:uid="{F877BBA4-43F8-4CB1-8CDC-080D7CBD8CC9}"/>
    <cellStyle name="Note 2 8 6 7" xfId="2344" xr:uid="{7DB78B64-11A4-4CAD-988F-8220981C5171}"/>
    <cellStyle name="Note 2 8 7" xfId="3211" xr:uid="{0B7EB9D7-3E8D-4894-B1EC-BF21F8FAA114}"/>
    <cellStyle name="Note 2 8 7 2" xfId="3990" xr:uid="{783D341E-7723-4313-9351-E262D4226A54}"/>
    <cellStyle name="Note 2 8 8" xfId="3168" xr:uid="{4D892941-C9E7-4729-BBF3-CE9841954D4B}"/>
    <cellStyle name="Note 2 8 9" xfId="3679" xr:uid="{63B8FFCD-6140-40E9-94B6-74111FB177BB}"/>
    <cellStyle name="Note 2 9" xfId="302" xr:uid="{44D16ADC-D15C-47A3-BA8D-4E87EC242E7D}"/>
    <cellStyle name="Note 2 9 2" xfId="524" xr:uid="{084B6F95-989B-4565-A6BA-F51617DAF149}"/>
    <cellStyle name="Note 2 9 2 2" xfId="1003" xr:uid="{99466D75-B691-42F7-9CE1-BB722C819AB1}"/>
    <cellStyle name="Note 2 9 2 2 2" xfId="1808" xr:uid="{132DF096-E1E6-4349-B4A9-1344CDAB09C0}"/>
    <cellStyle name="Note 2 9 2 2 2 2" xfId="7579" xr:uid="{C742DA05-5585-4FD1-9FBF-45AF15E26A47}"/>
    <cellStyle name="Note 2 9 2 2 2 3" xfId="10245" xr:uid="{FE347ACE-7493-44D3-AC3D-6E63F19D034F}"/>
    <cellStyle name="Note 2 9 2 2 2 4" xfId="4605" xr:uid="{10B3CFE5-7A1A-4B11-A5CA-685599263623}"/>
    <cellStyle name="Note 2 9 2 2 3" xfId="5345" xr:uid="{DF0F571E-6DA3-4B58-AFE9-8965859914F1}"/>
    <cellStyle name="Note 2 9 2 2 3 2" xfId="8319" xr:uid="{BDDD91C7-A344-4D33-8602-306058681766}"/>
    <cellStyle name="Note 2 9 2 2 4" xfId="6110" xr:uid="{DAC63347-0EA4-43D8-A367-104C800AEA4E}"/>
    <cellStyle name="Note 2 9 2 2 4 2" xfId="9084" xr:uid="{FFFB2F22-14BA-4220-8957-0A01DB74C1EB}"/>
    <cellStyle name="Note 2 9 2 2 5" xfId="3820" xr:uid="{7A75C521-98FD-4FCF-956D-7ABAEA38D8EB}"/>
    <cellStyle name="Note 2 9 2 2 6" xfId="6783" xr:uid="{495AF66D-99DF-4DD1-934F-7A7516C63FAB}"/>
    <cellStyle name="Note 2 9 2 2 7" xfId="2760" xr:uid="{82CBA638-61B4-45D9-82D1-4C3A3DA3228C}"/>
    <cellStyle name="Note 2 9 2 3" xfId="645" xr:uid="{BEDC2A67-566E-4EC4-93DE-572AD32A3041}"/>
    <cellStyle name="Note 2 9 2 3 2" xfId="1450" xr:uid="{F71D9CCD-105F-4D37-B49B-041E19078C68}"/>
    <cellStyle name="Note 2 9 2 3 2 2" xfId="7221" xr:uid="{87E60EE3-F484-40EF-95FB-2160C3000204}"/>
    <cellStyle name="Note 2 9 2 3 2 3" xfId="9887" xr:uid="{506AFB86-75E7-43B9-9F60-A603ED924054}"/>
    <cellStyle name="Note 2 9 2 3 2 4" xfId="4247" xr:uid="{6B5E7592-6A51-4EEC-BD74-E026AEE16E9D}"/>
    <cellStyle name="Note 2 9 2 3 3" xfId="4987" xr:uid="{3B911886-FCFF-4199-AB36-0EEDF10E759C}"/>
    <cellStyle name="Note 2 9 2 3 3 2" xfId="7961" xr:uid="{E6906FF0-B1E1-4337-B197-113F021F86D6}"/>
    <cellStyle name="Note 2 9 2 3 4" xfId="5752" xr:uid="{0F8B6653-33F3-41AE-9F9E-C448DE36C3D9}"/>
    <cellStyle name="Note 2 9 2 3 4 2" xfId="8726" xr:uid="{50EE719F-5DE5-4604-8A21-07343854B753}"/>
    <cellStyle name="Note 2 9 2 3 5" xfId="3489" xr:uid="{596336C2-2743-4FEE-88AE-F30F29DB1242}"/>
    <cellStyle name="Note 2 9 2 3 6" xfId="6425" xr:uid="{C0432F85-5DE8-451A-9C0B-9F6D5A232CC9}"/>
    <cellStyle name="Note 2 9 2 3 7" xfId="2402" xr:uid="{0A16BBE5-4499-4904-ADDE-2CC2E414407D}"/>
    <cellStyle name="Note 2 9 2 4" xfId="1330" xr:uid="{E6475411-2D17-4437-BBF5-B8A0F1F4CBCF}"/>
    <cellStyle name="Note 2 9 2 4 2" xfId="7101" xr:uid="{0E4ADADE-9A81-4475-8EB8-8CEB8859B1E1}"/>
    <cellStyle name="Note 2 9 2 4 3" xfId="9767" xr:uid="{7E69F3F1-177D-4C92-ACD0-EF18BF7D2D09}"/>
    <cellStyle name="Note 2 9 2 4 4" xfId="4127" xr:uid="{1F929FBC-2655-44EA-B8D1-3D1771096124}"/>
    <cellStyle name="Note 2 9 2 5" xfId="4867" xr:uid="{BA3BBB94-BEC5-40ED-9397-5F304F3E69C5}"/>
    <cellStyle name="Note 2 9 2 5 2" xfId="7841" xr:uid="{7F533C00-92A4-470C-A10C-5D1097244064}"/>
    <cellStyle name="Note 2 9 2 6" xfId="5632" xr:uid="{A7DFB9DC-0028-4748-B641-929F57E58AAB}"/>
    <cellStyle name="Note 2 9 2 6 2" xfId="8606" xr:uid="{D65FE891-3070-43B5-AEA6-43BC9A1B04B7}"/>
    <cellStyle name="Note 2 9 2 7" xfId="3408" xr:uid="{D3E5B54D-376C-4F2C-8E17-18AC3423422B}"/>
    <cellStyle name="Note 2 9 2 8" xfId="6305" xr:uid="{81343FDE-55E4-46F3-92A4-988667A1589D}"/>
    <cellStyle name="Note 2 9 2 9" xfId="2282" xr:uid="{372FECA0-E60A-43BE-9A54-F50D4579A260}"/>
    <cellStyle name="Note 2 9 3" xfId="793" xr:uid="{6F48FEAC-F6C0-448E-9031-8251A9FBA40D}"/>
    <cellStyle name="Note 2 9 3 2" xfId="1598" xr:uid="{37F3305E-99F5-49DA-81D6-D44DA32DF3F4}"/>
    <cellStyle name="Note 2 9 3 2 2" xfId="7369" xr:uid="{597D3E76-0927-4AC9-89D0-16E833CB2B41}"/>
    <cellStyle name="Note 2 9 3 2 3" xfId="10035" xr:uid="{1CD0886F-8978-4803-8727-BB73D2C591D7}"/>
    <cellStyle name="Note 2 9 3 2 4" xfId="4395" xr:uid="{7B190D4C-4159-4C51-A610-D04B3F8693D9}"/>
    <cellStyle name="Note 2 9 3 3" xfId="5135" xr:uid="{741509AF-106F-4A60-B100-31B0AC666286}"/>
    <cellStyle name="Note 2 9 3 3 2" xfId="8109" xr:uid="{87E992A2-28BF-47F1-BD8A-3B70B0C79D1F}"/>
    <cellStyle name="Note 2 9 3 4" xfId="5900" xr:uid="{9A163727-1445-4D96-AE81-535BA051231B}"/>
    <cellStyle name="Note 2 9 3 4 2" xfId="8874" xr:uid="{8EB698C1-1B4E-41D2-992A-A2E1E54D3BE6}"/>
    <cellStyle name="Note 2 9 3 5" xfId="3627" xr:uid="{B7EFDF17-9AA0-4BDC-ACA5-78EF450102AF}"/>
    <cellStyle name="Note 2 9 3 6" xfId="6573" xr:uid="{EEB08354-60E4-4105-A2A4-DB9E1EA605ED}"/>
    <cellStyle name="Note 2 9 3 7" xfId="2550" xr:uid="{1952DDEF-0C20-40A3-95E4-7A4A8860CEDB}"/>
    <cellStyle name="Note 2 9 4" xfId="1114" xr:uid="{9CD7D2FD-33B2-4AE8-ACE3-C6F48DEA66A2}"/>
    <cellStyle name="Note 2 9 4 2" xfId="1919" xr:uid="{EF78E09D-CF55-4393-93F9-5E213C468F2E}"/>
    <cellStyle name="Note 2 9 4 2 2" xfId="7690" xr:uid="{27770C6B-B9C4-40D0-AEB8-58F710B1ABB2}"/>
    <cellStyle name="Note 2 9 4 2 3" xfId="10356" xr:uid="{FEB645F5-3997-4BCB-85C9-67022B098786}"/>
    <cellStyle name="Note 2 9 4 2 4" xfId="4716" xr:uid="{1635C62C-99E7-49C2-A6BC-A20A15041214}"/>
    <cellStyle name="Note 2 9 4 3" xfId="5456" xr:uid="{B8DB86A6-C9A1-4FF6-8381-EC84D0B73937}"/>
    <cellStyle name="Note 2 9 4 3 2" xfId="8430" xr:uid="{F664562A-0EBB-485C-BD74-32B13464E51E}"/>
    <cellStyle name="Note 2 9 4 4" xfId="6221" xr:uid="{317BD9A2-3A36-4E44-AE07-E1030F713335}"/>
    <cellStyle name="Note 2 9 4 4 2" xfId="9195" xr:uid="{F3C3A7B8-35DA-4122-A73E-2723B1D72305}"/>
    <cellStyle name="Note 2 9 4 5" xfId="3919" xr:uid="{8BDDD8F0-4467-451C-8265-B6C40CA959AD}"/>
    <cellStyle name="Note 2 9 4 6" xfId="6894" xr:uid="{5FA94DF6-5361-4157-92F4-8CD2980E9707}"/>
    <cellStyle name="Note 2 9 4 7" xfId="2871" xr:uid="{86892C61-0874-4A0A-B2DC-3B21F6339642}"/>
    <cellStyle name="Note 2 9 5" xfId="3136" xr:uid="{A8138711-C23F-4C11-BCE9-6E81DE08E9DB}"/>
    <cellStyle name="Note 2 9 5 2" xfId="3483" xr:uid="{131BD654-9798-49A4-A377-E87D8919C13F}"/>
    <cellStyle name="Note 2 9 6" xfId="3227" xr:uid="{A58F3F70-05C2-4A2C-B4D1-5BE5AF98F96A}"/>
    <cellStyle name="Note 2 9 7" xfId="3976" xr:uid="{6A1C9A58-EEF8-4963-8E0E-4803F8394584}"/>
    <cellStyle name="Note 2 9 8" xfId="2120" xr:uid="{EB199076-7283-49D3-8475-F84AE255004A}"/>
    <cellStyle name="Output 2" xfId="137" xr:uid="{B9980A1F-8DC3-4358-9728-42B6CAB3194B}"/>
    <cellStyle name="Output 2 10" xfId="292" xr:uid="{416AE6E0-51BD-425D-AEE7-6BF1B3697A58}"/>
    <cellStyle name="Output 2 10 2" xfId="516" xr:uid="{3AF442F2-44E3-49CB-9D19-B341CA53DA10}"/>
    <cellStyle name="Output 2 10 2 2" xfId="995" xr:uid="{3D459F3A-E2F5-4EFF-9FB4-F5840703D1B1}"/>
    <cellStyle name="Output 2 10 2 2 2" xfId="1800" xr:uid="{4460736D-DE9A-473A-A8A6-49A9CA6A2ABF}"/>
    <cellStyle name="Output 2 10 2 2 2 2" xfId="7571" xr:uid="{16589AF4-94B5-4C36-8EE6-4C6D2F31DAC1}"/>
    <cellStyle name="Output 2 10 2 2 2 3" xfId="10237" xr:uid="{3AE011FC-635B-47A6-AB73-6C5D9F26C6B3}"/>
    <cellStyle name="Output 2 10 2 2 2 4" xfId="4597" xr:uid="{74F7D1C7-0564-40D0-B633-F0F6D6E34A1B}"/>
    <cellStyle name="Output 2 10 2 2 3" xfId="5337" xr:uid="{4E15DD9F-7387-4A48-BC46-6529A7B56D95}"/>
    <cellStyle name="Output 2 10 2 2 3 2" xfId="8311" xr:uid="{2434BDDA-676E-485D-BA3C-09CA6302FF45}"/>
    <cellStyle name="Output 2 10 2 2 4" xfId="6102" xr:uid="{167D6C2A-8108-4162-901C-7024DE6BA60B}"/>
    <cellStyle name="Output 2 10 2 2 4 2" xfId="9076" xr:uid="{9D4D33DA-5444-4B93-B7AC-0053D0B1D454}"/>
    <cellStyle name="Output 2 10 2 2 5" xfId="3812" xr:uid="{94853650-EBFF-47E6-91D8-B0BCA83505EA}"/>
    <cellStyle name="Output 2 10 2 2 6" xfId="6775" xr:uid="{79CEA70D-8AD2-4FBC-B2B9-0EF0B627B809}"/>
    <cellStyle name="Output 2 10 2 2 7" xfId="2752" xr:uid="{288787B6-5770-457A-9A0A-AB6673FAED2E}"/>
    <cellStyle name="Output 2 10 2 3" xfId="888" xr:uid="{ACE0DF3A-A334-4124-AD60-BD9F9B5B1D6E}"/>
    <cellStyle name="Output 2 10 2 3 2" xfId="1693" xr:uid="{5B5F2B7A-D786-4E3F-A6DD-AD801A698DBE}"/>
    <cellStyle name="Output 2 10 2 3 2 2" xfId="7464" xr:uid="{C86E9EBB-5079-4848-B700-79D5C49F5CC0}"/>
    <cellStyle name="Output 2 10 2 3 2 3" xfId="10130" xr:uid="{5AD81B9F-BEB9-4012-95E3-E36E94273068}"/>
    <cellStyle name="Output 2 10 2 3 2 4" xfId="4490" xr:uid="{CCD9DF71-3DF7-460F-BCF6-D1FEFD7FCD15}"/>
    <cellStyle name="Output 2 10 2 3 3" xfId="5230" xr:uid="{D484B84F-1C67-4A29-8C56-C165F156CD39}"/>
    <cellStyle name="Output 2 10 2 3 3 2" xfId="8204" xr:uid="{99FFE6A1-8428-407F-A17F-8E58EDD49F84}"/>
    <cellStyle name="Output 2 10 2 3 4" xfId="5995" xr:uid="{A6C235C0-D7FB-4CF0-9CB8-F8400573BCBD}"/>
    <cellStyle name="Output 2 10 2 3 4 2" xfId="8969" xr:uid="{B4553681-5D2E-417C-808C-D3250D383570}"/>
    <cellStyle name="Output 2 10 2 3 5" xfId="6668" xr:uid="{D6320D4D-C1F6-4835-BAC8-FFBD3B5F7908}"/>
    <cellStyle name="Output 2 10 2 3 6" xfId="2645" xr:uid="{9A47D14B-BCB1-4E7F-8F6D-3AADD4C10DBA}"/>
    <cellStyle name="Output 2 10 2 4" xfId="1322" xr:uid="{C741C626-B4F3-4930-ADB0-1E575E748A0C}"/>
    <cellStyle name="Output 2 10 2 4 2" xfId="7093" xr:uid="{4F5BCD4C-3A3C-4BEE-ADCA-72B099D9F707}"/>
    <cellStyle name="Output 2 10 2 4 3" xfId="9759" xr:uid="{84DE31A3-D361-434C-95D2-57901E75BAF8}"/>
    <cellStyle name="Output 2 10 2 4 4" xfId="4119" xr:uid="{11BC1ADB-CDE1-4898-8DEC-C0183241EB15}"/>
    <cellStyle name="Output 2 10 2 5" xfId="4859" xr:uid="{DD3E4992-0D8D-4D6A-B690-4BEE0FE60905}"/>
    <cellStyle name="Output 2 10 2 5 2" xfId="7833" xr:uid="{7895C4F4-314C-4884-9981-5C79B931B480}"/>
    <cellStyle name="Output 2 10 2 6" xfId="5624" xr:uid="{2D94A3F3-7518-4F21-8220-86562D1F9D55}"/>
    <cellStyle name="Output 2 10 2 6 2" xfId="8598" xr:uid="{8DBB5C49-2766-4BC5-985D-AD03232FE361}"/>
    <cellStyle name="Output 2 10 2 7" xfId="3022" xr:uid="{3304CDB0-0935-4204-9480-4887ABEB0676}"/>
    <cellStyle name="Output 2 10 2 8" xfId="2274" xr:uid="{2BD09AF0-11C0-4A9D-8F86-2C70CC2B9D7C}"/>
    <cellStyle name="Output 2 10 3" xfId="784" xr:uid="{20C61540-5A3B-46E6-AE7C-A4FD52501A55}"/>
    <cellStyle name="Output 2 10 3 2" xfId="1589" xr:uid="{24DE87C0-63B3-4F37-B240-F6426B5EB41B}"/>
    <cellStyle name="Output 2 10 3 2 2" xfId="7360" xr:uid="{6143512F-89FC-4E64-BBBF-0F9E2DD98425}"/>
    <cellStyle name="Output 2 10 3 2 3" xfId="10026" xr:uid="{333944D8-E40E-4349-91B5-45AAC3F219BB}"/>
    <cellStyle name="Output 2 10 3 2 4" xfId="4386" xr:uid="{55B244FC-E141-4F93-93AF-96D839C3ECA0}"/>
    <cellStyle name="Output 2 10 3 3" xfId="5126" xr:uid="{911DBAE4-BDCF-4F9C-B152-4C075505A4A2}"/>
    <cellStyle name="Output 2 10 3 3 2" xfId="8100" xr:uid="{1C25D16C-CC09-422E-BDC4-33EFB88FC1BB}"/>
    <cellStyle name="Output 2 10 3 4" xfId="5891" xr:uid="{0033D6DB-AAD4-42AB-983F-EDE5E2C5A4D2}"/>
    <cellStyle name="Output 2 10 3 4 2" xfId="8865" xr:uid="{46AEB8F3-160C-496C-9073-E412E13275B0}"/>
    <cellStyle name="Output 2 10 3 5" xfId="3619" xr:uid="{A3A5C9FC-6853-4704-89BF-844F7647F7FE}"/>
    <cellStyle name="Output 2 10 3 6" xfId="6564" xr:uid="{D9C6DECC-5F94-4BED-9234-2149FF03CAAB}"/>
    <cellStyle name="Output 2 10 3 7" xfId="2541" xr:uid="{CC1814A1-A7AA-4349-8142-7EDBFC0722E5}"/>
    <cellStyle name="Output 2 10 4" xfId="596" xr:uid="{83630AE8-0619-420A-A3D8-5FBE3B83DC68}"/>
    <cellStyle name="Output 2 10 4 2" xfId="1401" xr:uid="{D433D75E-7097-4E81-A3B2-AFFBC3540F85}"/>
    <cellStyle name="Output 2 10 4 2 2" xfId="7172" xr:uid="{C353E0AC-06DD-4204-83C7-CD4ABDB8BE99}"/>
    <cellStyle name="Output 2 10 4 2 3" xfId="9838" xr:uid="{AAFF8EF7-BBC2-4C9F-8EA7-1C546FA716D6}"/>
    <cellStyle name="Output 2 10 4 2 4" xfId="4198" xr:uid="{9E996506-EA07-4541-94D2-24DCCF378ED5}"/>
    <cellStyle name="Output 2 10 4 3" xfId="4938" xr:uid="{415EF8B4-1DC3-44D0-8A10-6151C9173F51}"/>
    <cellStyle name="Output 2 10 4 3 2" xfId="7912" xr:uid="{08528A44-F562-4264-95D9-333986C7224E}"/>
    <cellStyle name="Output 2 10 4 4" xfId="5703" xr:uid="{6BA86E66-B984-4D4A-966D-36B828C84881}"/>
    <cellStyle name="Output 2 10 4 4 2" xfId="8677" xr:uid="{F3DE6C0E-7D48-4512-B051-D1C92B6DB059}"/>
    <cellStyle name="Output 2 10 4 5" xfId="6376" xr:uid="{FCE34E84-8328-477C-855A-2D2BDE05FF7E}"/>
    <cellStyle name="Output 2 10 4 6" xfId="2353" xr:uid="{86AADF20-F1B0-45D1-A1B2-C956D23142DE}"/>
    <cellStyle name="Output 2 10 5" xfId="3979" xr:uid="{62FB14F9-0BFA-4570-9B3C-4C0FAF5BA586}"/>
    <cellStyle name="Output 2 10 6" xfId="2112" xr:uid="{D12E0733-F960-4107-908A-EF1AAEB39EA6}"/>
    <cellStyle name="Output 2 11" xfId="244" xr:uid="{67FD092E-062A-4D62-816F-BB0D8722C5C0}"/>
    <cellStyle name="Output 2 11 2" xfId="468" xr:uid="{6FB3A747-E256-4056-981B-C5405C9FA680}"/>
    <cellStyle name="Output 2 11 2 2" xfId="947" xr:uid="{368239C8-29EA-4994-B136-6BDB5C9C59AE}"/>
    <cellStyle name="Output 2 11 2 2 2" xfId="1752" xr:uid="{E0F04DFB-E003-4103-8B87-E23656475D15}"/>
    <cellStyle name="Output 2 11 2 2 2 2" xfId="7523" xr:uid="{CF903FA0-9747-4CFC-9676-F07740B94D79}"/>
    <cellStyle name="Output 2 11 2 2 2 3" xfId="10189" xr:uid="{EA6F440F-C282-42BE-8DBD-10C368F53F54}"/>
    <cellStyle name="Output 2 11 2 2 2 4" xfId="4549" xr:uid="{BA76786C-F26E-4350-8EB5-B37E3D159986}"/>
    <cellStyle name="Output 2 11 2 2 3" xfId="5289" xr:uid="{7D16706F-6DDC-4092-B021-3F1A43F72CF5}"/>
    <cellStyle name="Output 2 11 2 2 3 2" xfId="8263" xr:uid="{6E5F4B77-BCFE-4198-A911-D3875D3A52F2}"/>
    <cellStyle name="Output 2 11 2 2 4" xfId="6054" xr:uid="{C416774A-4463-4DF1-82FB-DBB7F07F210A}"/>
    <cellStyle name="Output 2 11 2 2 4 2" xfId="9028" xr:uid="{27EBDD7C-DDE6-4278-A2A2-B3BDC3746553}"/>
    <cellStyle name="Output 2 11 2 2 5" xfId="3764" xr:uid="{F891D499-BEF1-4453-9524-6FA537647CAB}"/>
    <cellStyle name="Output 2 11 2 2 6" xfId="6727" xr:uid="{785329E8-8A72-4B19-AD6A-C3551DCA617E}"/>
    <cellStyle name="Output 2 11 2 2 7" xfId="2704" xr:uid="{04E1BCCE-097A-4F54-8C51-256153DA636F}"/>
    <cellStyle name="Output 2 11 2 3" xfId="1077" xr:uid="{5D0095C9-5C7E-44C6-B52D-EC3523149424}"/>
    <cellStyle name="Output 2 11 2 3 2" xfId="1882" xr:uid="{FC22A8CB-2942-4FF1-A7CB-BE0CC501407D}"/>
    <cellStyle name="Output 2 11 2 3 2 2" xfId="7653" xr:uid="{5DA5A1AF-1B00-471F-8316-E9905A4C0613}"/>
    <cellStyle name="Output 2 11 2 3 2 3" xfId="10319" xr:uid="{2107049F-ECDF-4F2D-ACB6-800ABB043243}"/>
    <cellStyle name="Output 2 11 2 3 2 4" xfId="4679" xr:uid="{2971D84D-FC02-4AE7-855B-1A0F108F3C17}"/>
    <cellStyle name="Output 2 11 2 3 3" xfId="5419" xr:uid="{F73C6CC5-54E0-4559-8850-7CDBC8F6391C}"/>
    <cellStyle name="Output 2 11 2 3 3 2" xfId="8393" xr:uid="{1132790B-17C2-4D77-97AF-CFC93263270C}"/>
    <cellStyle name="Output 2 11 2 3 4" xfId="6184" xr:uid="{8CF7FFEC-1D2A-4F7D-9D79-6D649B203B38}"/>
    <cellStyle name="Output 2 11 2 3 4 2" xfId="9158" xr:uid="{AD633B7E-7E4A-41E4-91D0-72CE2127EEF3}"/>
    <cellStyle name="Output 2 11 2 3 5" xfId="6857" xr:uid="{8F981C6B-D393-40E7-BD21-67F5C97273CE}"/>
    <cellStyle name="Output 2 11 2 3 6" xfId="2834" xr:uid="{579833C7-096E-4587-A8D4-21136C873435}"/>
    <cellStyle name="Output 2 11 2 4" xfId="1274" xr:uid="{4BAF2187-DFCE-4C1A-9FB1-0042017E4CBE}"/>
    <cellStyle name="Output 2 11 2 4 2" xfId="7045" xr:uid="{A700D4C7-B77F-47DE-A717-A7C770BF8C9B}"/>
    <cellStyle name="Output 2 11 2 4 3" xfId="9711" xr:uid="{D1E7B136-DBA9-41E9-A7DD-E4E149109888}"/>
    <cellStyle name="Output 2 11 2 4 4" xfId="4071" xr:uid="{BE4BE1CD-62CF-49EB-A9E3-F521563C6814}"/>
    <cellStyle name="Output 2 11 2 5" xfId="4811" xr:uid="{E233D54D-9B79-42F2-AF6F-0D2FB47523B5}"/>
    <cellStyle name="Output 2 11 2 5 2" xfId="7785" xr:uid="{BE872D2A-BA44-484A-BEAA-54BE59305E01}"/>
    <cellStyle name="Output 2 11 2 6" xfId="5576" xr:uid="{0694804C-8287-444B-AF50-08967108961D}"/>
    <cellStyle name="Output 2 11 2 6 2" xfId="8550" xr:uid="{72171517-1C10-4B0D-B799-202B6EF59532}"/>
    <cellStyle name="Output 2 11 2 7" xfId="3139" xr:uid="{AD3484D3-6547-4644-94F5-D73ADF73B405}"/>
    <cellStyle name="Output 2 11 2 8" xfId="2226" xr:uid="{D17271E9-001A-42A5-B9FD-F61FD11CB8DC}"/>
    <cellStyle name="Output 2 11 3" xfId="736" xr:uid="{1038ABBA-FAB0-446F-A421-72C2BF5DD4D1}"/>
    <cellStyle name="Output 2 11 3 2" xfId="1541" xr:uid="{5A72F2B4-7232-498D-BF9D-FEEDACE9F4E6}"/>
    <cellStyle name="Output 2 11 3 2 2" xfId="7312" xr:uid="{2D489D05-4BDE-4865-90DA-FF34037A2602}"/>
    <cellStyle name="Output 2 11 3 2 3" xfId="9978" xr:uid="{1A786E8F-D3CB-4E48-8AE2-17C455578116}"/>
    <cellStyle name="Output 2 11 3 2 4" xfId="4338" xr:uid="{C2CDB252-BF1A-4040-90B7-03853DC75955}"/>
    <cellStyle name="Output 2 11 3 3" xfId="5078" xr:uid="{9F9D90A9-D2E3-4241-82DC-88C30AA1D23B}"/>
    <cellStyle name="Output 2 11 3 3 2" xfId="8052" xr:uid="{2563CC6A-2A90-4F85-B775-BCBFDE4F8FD2}"/>
    <cellStyle name="Output 2 11 3 4" xfId="5843" xr:uid="{F4E567AB-A120-4FB1-B82A-A1390E57407B}"/>
    <cellStyle name="Output 2 11 3 4 2" xfId="8817" xr:uid="{4E653894-BF83-4E00-88E1-CFE19A508EEA}"/>
    <cellStyle name="Output 2 11 3 5" xfId="3571" xr:uid="{145055B4-FF43-4D5C-BCCA-17AEC89AF4A5}"/>
    <cellStyle name="Output 2 11 3 6" xfId="6516" xr:uid="{DB6411A0-4AE4-40FC-9888-006CB66AB479}"/>
    <cellStyle name="Output 2 11 3 7" xfId="2493" xr:uid="{9BD37380-0422-46D1-BFFE-B55B1652BC77}"/>
    <cellStyle name="Output 2 11 4" xfId="691" xr:uid="{48D66DB9-A8D0-4352-99DB-9561E5D3DCF8}"/>
    <cellStyle name="Output 2 11 4 2" xfId="1496" xr:uid="{F047B3B4-620D-469F-97C4-F30B602B00AC}"/>
    <cellStyle name="Output 2 11 4 2 2" xfId="7267" xr:uid="{B0126455-4E18-4F4A-8AC7-F968311D862B}"/>
    <cellStyle name="Output 2 11 4 2 3" xfId="9933" xr:uid="{815B68BA-FF0C-44B1-86D5-754B503A7D5E}"/>
    <cellStyle name="Output 2 11 4 2 4" xfId="4293" xr:uid="{E4BB81A5-D52E-4098-A436-1D8BC1AC4E0D}"/>
    <cellStyle name="Output 2 11 4 3" xfId="5033" xr:uid="{90C25933-A1E9-4B4B-9427-B2733D504735}"/>
    <cellStyle name="Output 2 11 4 3 2" xfId="8007" xr:uid="{E2FF75EE-3FB0-4EEE-8DA1-3FC59CD4C921}"/>
    <cellStyle name="Output 2 11 4 4" xfId="5798" xr:uid="{A33585B0-AC20-4C60-9146-18A52ABF3E95}"/>
    <cellStyle name="Output 2 11 4 4 2" xfId="8772" xr:uid="{12FC7A99-23E7-4806-BA2B-60C9088E0B4C}"/>
    <cellStyle name="Output 2 11 4 5" xfId="6471" xr:uid="{CFA897E7-7AE1-4C06-A1C3-306E03F53B43}"/>
    <cellStyle name="Output 2 11 4 6" xfId="2448" xr:uid="{80CA64E7-E47A-4D10-BBA1-A754F7269102}"/>
    <cellStyle name="Output 2 11 5" xfId="3947" xr:uid="{90A98C2C-4FC8-4F57-B937-38280FC21BF1}"/>
    <cellStyle name="Output 2 11 6" xfId="2061" xr:uid="{A35E984D-2851-40B4-A6AA-A590B964882D}"/>
    <cellStyle name="Output 2 12" xfId="414" xr:uid="{A97731D7-F925-4186-B0AA-830E342F1E4D}"/>
    <cellStyle name="Output 2 12 2" xfId="893" xr:uid="{F2B17119-DEAA-43E0-9F2A-78483FD65F5E}"/>
    <cellStyle name="Output 2 12 2 2" xfId="1698" xr:uid="{0D21C309-13DD-4335-B1FF-8D07D2D3DEB4}"/>
    <cellStyle name="Output 2 12 2 2 2" xfId="7469" xr:uid="{638F89E9-5CD1-4216-85D5-BC58FAC861F8}"/>
    <cellStyle name="Output 2 12 2 2 3" xfId="10135" xr:uid="{2A94A8AE-B90C-49F9-975B-63D4F57C32A1}"/>
    <cellStyle name="Output 2 12 2 2 4" xfId="4495" xr:uid="{8B6338AD-7126-41A1-83A4-DD346B7C425A}"/>
    <cellStyle name="Output 2 12 2 3" xfId="5235" xr:uid="{4A2633BF-B187-4785-B48C-114DA7B95F9F}"/>
    <cellStyle name="Output 2 12 2 3 2" xfId="8209" xr:uid="{D77A7656-BD3F-4B3B-876A-18D60112F08A}"/>
    <cellStyle name="Output 2 12 2 4" xfId="6000" xr:uid="{AA556CA1-9E47-4D63-895C-08C6916099A6}"/>
    <cellStyle name="Output 2 12 2 4 2" xfId="8974" xr:uid="{A0254AA2-9C2E-4638-A944-0E1A3DFF9F8A}"/>
    <cellStyle name="Output 2 12 2 5" xfId="3710" xr:uid="{558616E2-FC25-446B-BFA7-1943F938E2AC}"/>
    <cellStyle name="Output 2 12 2 6" xfId="6673" xr:uid="{AFC29A67-546A-4600-B2AC-9B9A4C0D6619}"/>
    <cellStyle name="Output 2 12 2 7" xfId="2650" xr:uid="{9A6263D3-510D-48A8-9727-D4BCB4CBA49D}"/>
    <cellStyle name="Output 2 12 3" xfId="1154" xr:uid="{632B3A34-38E4-4FC7-9A61-97B4C1E5A1D8}"/>
    <cellStyle name="Output 2 12 3 2" xfId="1959" xr:uid="{91616A19-CD74-4C66-9523-5134D03844F7}"/>
    <cellStyle name="Output 2 12 3 2 2" xfId="7730" xr:uid="{52735D0B-0188-496F-B7AB-5B976DFB4803}"/>
    <cellStyle name="Output 2 12 3 2 3" xfId="10396" xr:uid="{7AAD7483-DE16-486C-BBE1-7B5920752AA3}"/>
    <cellStyle name="Output 2 12 3 2 4" xfId="4756" xr:uid="{9F94C361-9200-44A9-AFEC-A441720F62AC}"/>
    <cellStyle name="Output 2 12 3 3" xfId="5496" xr:uid="{811E95C7-80CD-4837-8C53-CD57A26DA56F}"/>
    <cellStyle name="Output 2 12 3 3 2" xfId="8470" xr:uid="{28EF7146-2E7B-4F58-A87A-5D470BE537C5}"/>
    <cellStyle name="Output 2 12 3 4" xfId="6261" xr:uid="{D9B868AB-36FE-4FC7-A81E-A94DF2AE1820}"/>
    <cellStyle name="Output 2 12 3 4 2" xfId="9235" xr:uid="{0C63DCC7-F830-4117-9143-44C2AE0F077D}"/>
    <cellStyle name="Output 2 12 3 5" xfId="6934" xr:uid="{F911D04B-407E-4396-8DE5-C29B726EAFA9}"/>
    <cellStyle name="Output 2 12 3 6" xfId="2911" xr:uid="{814102F3-20C5-426A-9913-DFC5766D006B}"/>
    <cellStyle name="Output 2 12 4" xfId="1220" xr:uid="{45EC72C6-D40A-4E93-A116-4F4DDEA29E39}"/>
    <cellStyle name="Output 2 12 4 2" xfId="6991" xr:uid="{2E83F435-343F-405B-B0E1-670341C24479}"/>
    <cellStyle name="Output 2 12 4 3" xfId="9657" xr:uid="{90A6CF92-01AE-4520-B6F7-79F94351DFF5}"/>
    <cellStyle name="Output 2 12 4 4" xfId="4017" xr:uid="{5891D33F-25E7-4A62-9100-876580484AB7}"/>
    <cellStyle name="Output 2 12 5" xfId="3137" xr:uid="{FCC31FAE-B925-4287-B7E7-CE98A8B88D70}"/>
    <cellStyle name="Output 2 12 5 2" xfId="3703" xr:uid="{053FF43B-04FB-436A-A95B-0474C9A6A181}"/>
    <cellStyle name="Output 2 12 6" xfId="4004" xr:uid="{C083996D-5C76-4B45-9659-A0BCB15B637C}"/>
    <cellStyle name="Output 2 12 6 2" xfId="6978" xr:uid="{5A2EC8A5-7807-4785-8165-4F53C2605FF0}"/>
    <cellStyle name="Output 2 12 7" xfId="3128" xr:uid="{DB1D8842-E959-429E-A3CE-5E0AE38B14ED}"/>
    <cellStyle name="Output 2 12 8" xfId="2172" xr:uid="{F0B06AAE-20AB-44C8-9E0E-D3FB2B61CF9C}"/>
    <cellStyle name="Output 2 13" xfId="651" xr:uid="{3DFAA1C3-9EF4-4AA9-BBF8-F8A012F1D39F}"/>
    <cellStyle name="Output 2 13 2" xfId="1456" xr:uid="{0B9E36C7-41C4-4F8C-9665-4372A5256A8B}"/>
    <cellStyle name="Output 2 13 2 2" xfId="7227" xr:uid="{DD566836-EDFC-415A-91BF-D0F331359788}"/>
    <cellStyle name="Output 2 13 2 3" xfId="9893" xr:uid="{56654555-09BE-460B-B1AD-B9B8E79033C5}"/>
    <cellStyle name="Output 2 13 2 4" xfId="4253" xr:uid="{CB5FDF08-EE6F-4236-B756-8B92C42FC916}"/>
    <cellStyle name="Output 2 13 3" xfId="4993" xr:uid="{00D706A1-3B46-4850-8521-14602DA163D2}"/>
    <cellStyle name="Output 2 13 3 2" xfId="7967" xr:uid="{282C07DF-53E6-4634-A575-D3DC67AD6ADD}"/>
    <cellStyle name="Output 2 13 4" xfId="5758" xr:uid="{5B328D48-CEA7-49F5-8BE7-8E4E3F572915}"/>
    <cellStyle name="Output 2 13 4 2" xfId="8732" xr:uid="{0D1F4357-5010-481B-B0C2-605B6A42B8BF}"/>
    <cellStyle name="Output 2 13 5" xfId="3494" xr:uid="{A8FEBED9-AFB8-48FE-A3E5-F58CF8EE489A}"/>
    <cellStyle name="Output 2 13 6" xfId="6431" xr:uid="{DF74D4BF-D111-49F0-8FD2-773F79E78762}"/>
    <cellStyle name="Output 2 13 7" xfId="2408" xr:uid="{A48CD8CC-B99E-4E69-B0C5-26A665B37831}"/>
    <cellStyle name="Output 2 14" xfId="1050" xr:uid="{75F832CA-F29D-411C-A799-05EDF60A210C}"/>
    <cellStyle name="Output 2 14 2" xfId="1855" xr:uid="{A5AB28DE-0C72-41B5-B488-C5CB5DF29FA4}"/>
    <cellStyle name="Output 2 14 2 2" xfId="7626" xr:uid="{85BEF5AC-4DF7-4687-9B7C-17252ABFF9D5}"/>
    <cellStyle name="Output 2 14 2 3" xfId="10292" xr:uid="{1EDC709C-DD39-4E27-8674-C745FE485924}"/>
    <cellStyle name="Output 2 14 2 4" xfId="4652" xr:uid="{DB4EF000-4D24-48F5-B2DE-6461028245D4}"/>
    <cellStyle name="Output 2 14 3" xfId="5392" xr:uid="{949B9502-A427-459D-A374-9367BE050C37}"/>
    <cellStyle name="Output 2 14 3 2" xfId="8366" xr:uid="{AB996D99-C270-4F05-B87C-5952B95FE175}"/>
    <cellStyle name="Output 2 14 4" xfId="6157" xr:uid="{42253987-0A3A-493C-AE42-8FED164B5F95}"/>
    <cellStyle name="Output 2 14 4 2" xfId="9131" xr:uid="{B3B8A410-AA0D-4101-9FBC-CCDA75992AD1}"/>
    <cellStyle name="Output 2 14 5" xfId="6830" xr:uid="{BB356ABB-B78E-44E3-88EC-E26C053607AD}"/>
    <cellStyle name="Output 2 14 6" xfId="2807" xr:uid="{EB8FBD84-A1F6-485D-851B-0AEFB583E190}"/>
    <cellStyle name="Output 2 15" xfId="3479" xr:uid="{96158739-1D22-45BD-91B7-A4CCCD89CF0F}"/>
    <cellStyle name="Output 2 16" xfId="2001" xr:uid="{EF453763-D060-4610-894B-D52B6255DBE4}"/>
    <cellStyle name="Output 2 2" xfId="189" xr:uid="{2C46CC11-54C7-4537-BA57-FDF82DEB6C90}"/>
    <cellStyle name="Output 2 2 2" xfId="306" xr:uid="{84E68820-DE04-43A8-B4BA-87AA7BD19E2A}"/>
    <cellStyle name="Output 2 2 2 2" xfId="528" xr:uid="{FC86DF62-2189-4405-A4C3-4D979C98B7BF}"/>
    <cellStyle name="Output 2 2 2 2 2" xfId="1007" xr:uid="{FF06D6CD-E36F-49DA-90D2-AE9C2A0BD880}"/>
    <cellStyle name="Output 2 2 2 2 2 2" xfId="1812" xr:uid="{EA0D395F-CCD3-4D47-81C4-565D3B620BBF}"/>
    <cellStyle name="Output 2 2 2 2 2 2 2" xfId="7583" xr:uid="{9F2A0DFA-610B-4862-B82E-729F65097B0D}"/>
    <cellStyle name="Output 2 2 2 2 2 2 3" xfId="10249" xr:uid="{3CFD8278-3A78-4B6E-8F75-A8B556CA1CB6}"/>
    <cellStyle name="Output 2 2 2 2 2 2 4" xfId="4609" xr:uid="{17AFA2D6-F76E-4729-AE8F-63BA9DFA0BCD}"/>
    <cellStyle name="Output 2 2 2 2 2 3" xfId="5349" xr:uid="{49453773-A337-4063-8287-F921E373A077}"/>
    <cellStyle name="Output 2 2 2 2 2 3 2" xfId="8323" xr:uid="{5D376414-206C-4399-BA20-2F20E3E46B97}"/>
    <cellStyle name="Output 2 2 2 2 2 4" xfId="6114" xr:uid="{78210702-C167-492C-863D-76B607AF97E0}"/>
    <cellStyle name="Output 2 2 2 2 2 4 2" xfId="9088" xr:uid="{34A4D42F-0936-41B8-A8BA-4C88AF80CC78}"/>
    <cellStyle name="Output 2 2 2 2 2 5" xfId="3824" xr:uid="{4ACCFE31-95B4-4791-A165-0C128E040CFB}"/>
    <cellStyle name="Output 2 2 2 2 2 6" xfId="6787" xr:uid="{46AA85C9-CCBF-422A-9B67-5F20B964E021}"/>
    <cellStyle name="Output 2 2 2 2 2 7" xfId="2764" xr:uid="{BD95487B-F566-4630-8CD2-99ADE57AAD46}"/>
    <cellStyle name="Output 2 2 2 2 3" xfId="1159" xr:uid="{549C519F-D4E1-40C5-B47D-003AAB0AB128}"/>
    <cellStyle name="Output 2 2 2 2 3 2" xfId="1964" xr:uid="{06FDFE39-1B93-485B-BF47-7F25EFD8575D}"/>
    <cellStyle name="Output 2 2 2 2 3 2 2" xfId="7735" xr:uid="{2AC1A30E-5FAF-4C6F-AB8C-214C9C99B198}"/>
    <cellStyle name="Output 2 2 2 2 3 2 3" xfId="10401" xr:uid="{7BC1D976-E090-407E-AB59-655BF59F31F8}"/>
    <cellStyle name="Output 2 2 2 2 3 2 4" xfId="4761" xr:uid="{A6506F7C-DE45-403E-B477-C3E498E41A16}"/>
    <cellStyle name="Output 2 2 2 2 3 3" xfId="5501" xr:uid="{C0F75265-F7E7-4C7C-A4D1-D06CA85FDDA6}"/>
    <cellStyle name="Output 2 2 2 2 3 3 2" xfId="8475" xr:uid="{EFCBB055-F94D-44A6-9AC3-BC5D8894BDD1}"/>
    <cellStyle name="Output 2 2 2 2 3 4" xfId="6266" xr:uid="{12952D15-B1E2-4BB5-A05B-6FF0A86618FF}"/>
    <cellStyle name="Output 2 2 2 2 3 4 2" xfId="9240" xr:uid="{A813F3E5-6A03-424F-8207-27CF48599C59}"/>
    <cellStyle name="Output 2 2 2 2 3 5" xfId="6939" xr:uid="{00CC7F7C-F7E1-41D0-935E-4B743E09A9AB}"/>
    <cellStyle name="Output 2 2 2 2 3 6" xfId="2916" xr:uid="{5CACCC00-2BF1-45EE-9826-E4652B28FA6C}"/>
    <cellStyle name="Output 2 2 2 2 4" xfId="1334" xr:uid="{9B612D04-492A-4338-B8B3-F0E8A8BDE502}"/>
    <cellStyle name="Output 2 2 2 2 4 2" xfId="7105" xr:uid="{A9B52672-692C-4C5E-A6CA-E57B9694C71D}"/>
    <cellStyle name="Output 2 2 2 2 4 3" xfId="9771" xr:uid="{D2B8A17F-AF33-435F-99B3-41B1A13F1387}"/>
    <cellStyle name="Output 2 2 2 2 4 4" xfId="4131" xr:uid="{6B300F61-CADE-40B6-BC75-AFA7CAB7ACBC}"/>
    <cellStyle name="Output 2 2 2 2 5" xfId="4871" xr:uid="{4572F7AF-308B-4579-A14F-4024199EC943}"/>
    <cellStyle name="Output 2 2 2 2 5 2" xfId="7845" xr:uid="{2B3AD066-AF9A-4855-9902-D02443185E46}"/>
    <cellStyle name="Output 2 2 2 2 6" xfId="5636" xr:uid="{E81466B6-C326-4932-A775-AB9E93A2FC3E}"/>
    <cellStyle name="Output 2 2 2 2 6 2" xfId="8610" xr:uid="{31363383-3030-4AC7-BFF8-5442005A38F0}"/>
    <cellStyle name="Output 2 2 2 2 7" xfId="6309" xr:uid="{ECE8B8A8-A15A-477B-8BF0-AE0144084253}"/>
    <cellStyle name="Output 2 2 2 2 8" xfId="2286" xr:uid="{3A6578B1-78D0-4A08-8861-ABB16A7D532D}"/>
    <cellStyle name="Output 2 2 2 3" xfId="797" xr:uid="{C042A92F-C541-4C4A-B3E7-6C1F2070BFCE}"/>
    <cellStyle name="Output 2 2 2 3 2" xfId="1602" xr:uid="{18E421D9-6C64-4481-91D5-BCB37E2028CC}"/>
    <cellStyle name="Output 2 2 2 3 2 2" xfId="7373" xr:uid="{078B4883-44EB-4962-8DBB-34AD26F37456}"/>
    <cellStyle name="Output 2 2 2 3 2 3" xfId="10039" xr:uid="{5314C52E-FF25-462D-8F1E-2BD82C4C5E7F}"/>
    <cellStyle name="Output 2 2 2 3 2 4" xfId="4399" xr:uid="{6CDC5BCC-651A-46F8-930A-7EB0889FB9CC}"/>
    <cellStyle name="Output 2 2 2 3 3" xfId="5139" xr:uid="{9DA11A0E-3240-487D-BD75-B893B9B359D5}"/>
    <cellStyle name="Output 2 2 2 3 3 2" xfId="8113" xr:uid="{A2A1B500-7D60-48BF-978B-D61153994C75}"/>
    <cellStyle name="Output 2 2 2 3 4" xfId="5904" xr:uid="{AA89153E-F7B8-4EC6-8627-097A22412936}"/>
    <cellStyle name="Output 2 2 2 3 4 2" xfId="8878" xr:uid="{5A568C69-E2AE-4952-BD48-3FFCE60AC5A8}"/>
    <cellStyle name="Output 2 2 2 3 5" xfId="3631" xr:uid="{661298E6-8E3A-4C5C-AEA6-A83DCF846CD6}"/>
    <cellStyle name="Output 2 2 2 3 6" xfId="6577" xr:uid="{452BEE81-5A9B-4603-B07A-20A02EB34F04}"/>
    <cellStyle name="Output 2 2 2 3 7" xfId="2554" xr:uid="{AB4AC045-0EE3-45BB-819B-4788D7C9D318}"/>
    <cellStyle name="Output 2 2 2 4" xfId="1110" xr:uid="{4E930788-65D9-4554-BD40-3E030829503D}"/>
    <cellStyle name="Output 2 2 2 4 2" xfId="1915" xr:uid="{C2B13DF9-A85F-4D95-8161-9421E0EF6BE1}"/>
    <cellStyle name="Output 2 2 2 4 2 2" xfId="7686" xr:uid="{C53526B9-D66C-491A-8203-BC949741BB65}"/>
    <cellStyle name="Output 2 2 2 4 2 3" xfId="10352" xr:uid="{A2D4E169-EF94-4E3C-8802-ECA2A115D549}"/>
    <cellStyle name="Output 2 2 2 4 2 4" xfId="4712" xr:uid="{7F4514B5-F184-449E-B6FE-EFAF6D645606}"/>
    <cellStyle name="Output 2 2 2 4 3" xfId="5452" xr:uid="{85E0AD1D-29A9-4C26-BDFF-37367B2F4F9E}"/>
    <cellStyle name="Output 2 2 2 4 3 2" xfId="8426" xr:uid="{BE45B0C7-6EB7-4FAE-803B-2728E5864F9A}"/>
    <cellStyle name="Output 2 2 2 4 4" xfId="6217" xr:uid="{8B2394C2-AD06-41E9-8445-5763455CD620}"/>
    <cellStyle name="Output 2 2 2 4 4 2" xfId="9191" xr:uid="{5CD2052B-F718-4280-AB2F-6C87F937AA1E}"/>
    <cellStyle name="Output 2 2 2 4 5" xfId="6890" xr:uid="{2CC43770-0DF5-40A3-B52D-CB3D2BF79805}"/>
    <cellStyle name="Output 2 2 2 4 6" xfId="2867" xr:uid="{D2FF8027-9905-4932-9467-26E13332D56F}"/>
    <cellStyle name="Output 2 2 2 5" xfId="3972" xr:uid="{D323D0F6-4448-4E33-82AD-0954B8D7DEF3}"/>
    <cellStyle name="Output 2 2 2 6" xfId="2124" xr:uid="{59489276-325C-4A11-A008-0D99314FC170}"/>
    <cellStyle name="Output 2 2 3" xfId="250" xr:uid="{FFEDE08F-7486-46B1-BA24-A419B7B8162D}"/>
    <cellStyle name="Output 2 2 3 2" xfId="474" xr:uid="{6F66FAE7-A90E-4975-BB70-067FB51A5441}"/>
    <cellStyle name="Output 2 2 3 2 2" xfId="953" xr:uid="{CE090633-325C-42BC-B93A-B5BE1FBB2A19}"/>
    <cellStyle name="Output 2 2 3 2 2 2" xfId="1758" xr:uid="{74C6D12B-846A-48F5-A7E9-5026AFB7B452}"/>
    <cellStyle name="Output 2 2 3 2 2 2 2" xfId="7529" xr:uid="{33AECFEE-34AD-4438-BF47-5F43F91DB856}"/>
    <cellStyle name="Output 2 2 3 2 2 2 3" xfId="10195" xr:uid="{B4EFE6E6-D940-445E-9FA7-643A476E8CA1}"/>
    <cellStyle name="Output 2 2 3 2 2 2 4" xfId="4555" xr:uid="{99599E55-4CB8-44B0-A59A-F9E46923446E}"/>
    <cellStyle name="Output 2 2 3 2 2 3" xfId="5295" xr:uid="{A25BA66E-AB09-4E9C-95CB-4102BD2E2206}"/>
    <cellStyle name="Output 2 2 3 2 2 3 2" xfId="8269" xr:uid="{F258D2EC-E12F-47E9-ABDC-9B52B636284B}"/>
    <cellStyle name="Output 2 2 3 2 2 4" xfId="6060" xr:uid="{30A5B27F-3207-4AB8-9B3B-4B49EDEAEA34}"/>
    <cellStyle name="Output 2 2 3 2 2 4 2" xfId="9034" xr:uid="{8C994018-6933-46F4-94D9-5D36131F90FE}"/>
    <cellStyle name="Output 2 2 3 2 2 5" xfId="3770" xr:uid="{D3E8AE6C-BC2C-4241-9D48-CF856A9F3F16}"/>
    <cellStyle name="Output 2 2 3 2 2 6" xfId="6733" xr:uid="{2EFA6DF0-5F4A-41C3-A21A-1058C4806547}"/>
    <cellStyle name="Output 2 2 3 2 2 7" xfId="2710" xr:uid="{CD2A21F2-ACA0-4C60-965D-2BA90F19756B}"/>
    <cellStyle name="Output 2 2 3 2 3" xfId="625" xr:uid="{B4EACEBC-21FF-4AB7-9DB8-66456A35E026}"/>
    <cellStyle name="Output 2 2 3 2 3 2" xfId="1430" xr:uid="{EEEFF831-A7E5-413E-8231-167B2D1E0AFC}"/>
    <cellStyle name="Output 2 2 3 2 3 2 2" xfId="7201" xr:uid="{BF3486FA-0704-4E86-93D2-743D98DF2F73}"/>
    <cellStyle name="Output 2 2 3 2 3 2 3" xfId="9867" xr:uid="{61119C23-5D7F-4CB8-95C9-CEE9B812A1CD}"/>
    <cellStyle name="Output 2 2 3 2 3 2 4" xfId="4227" xr:uid="{68238442-1D11-47AA-BCDA-24F6037A2ABC}"/>
    <cellStyle name="Output 2 2 3 2 3 3" xfId="4967" xr:uid="{3CA09830-B9EE-4B14-B133-E3F950D25090}"/>
    <cellStyle name="Output 2 2 3 2 3 3 2" xfId="7941" xr:uid="{5653B73A-0FFE-4B08-BB2C-2DB84A45EF3F}"/>
    <cellStyle name="Output 2 2 3 2 3 4" xfId="5732" xr:uid="{7E929396-D454-44A4-834C-6BDD9F05ADCE}"/>
    <cellStyle name="Output 2 2 3 2 3 4 2" xfId="8706" xr:uid="{045711DC-4473-4F40-A4CB-402B539520AB}"/>
    <cellStyle name="Output 2 2 3 2 3 5" xfId="6405" xr:uid="{1A74B45E-0F3A-425F-BDED-07AA15A52CDC}"/>
    <cellStyle name="Output 2 2 3 2 3 6" xfId="2382" xr:uid="{975AB3E7-BFF4-49B9-9867-C76457D828E3}"/>
    <cellStyle name="Output 2 2 3 2 4" xfId="1280" xr:uid="{C5C33595-8E26-459E-9C06-4B36CA82358E}"/>
    <cellStyle name="Output 2 2 3 2 4 2" xfId="7051" xr:uid="{4F1ED8A3-948B-4289-A120-D6E749F258D1}"/>
    <cellStyle name="Output 2 2 3 2 4 3" xfId="9717" xr:uid="{E21193B3-39EF-44FB-85C9-FA64C864983C}"/>
    <cellStyle name="Output 2 2 3 2 4 4" xfId="4077" xr:uid="{FB94514E-3585-4F96-8FEA-403CB9EAEF56}"/>
    <cellStyle name="Output 2 2 3 2 5" xfId="4817" xr:uid="{61845221-9DCE-4E63-8D5F-9146ABAA65AC}"/>
    <cellStyle name="Output 2 2 3 2 5 2" xfId="7791" xr:uid="{F7B1C1EC-A54D-4011-9388-ABC236E5ED01}"/>
    <cellStyle name="Output 2 2 3 2 6" xfId="5582" xr:uid="{70B778DB-5E08-4F2B-8231-696C9AA0E95A}"/>
    <cellStyle name="Output 2 2 3 2 6 2" xfId="8556" xr:uid="{9001689C-69C3-4A51-8AEE-2BC4E4664D92}"/>
    <cellStyle name="Output 2 2 3 2 7" xfId="3321" xr:uid="{12834154-6BA2-425C-A367-FED000CD5474}"/>
    <cellStyle name="Output 2 2 3 2 8" xfId="2232" xr:uid="{C4FD5016-286A-4C00-B991-7634A685D9E5}"/>
    <cellStyle name="Output 2 2 3 3" xfId="742" xr:uid="{6AA47A70-DEF8-4F37-A8C5-D4DC0AD6E942}"/>
    <cellStyle name="Output 2 2 3 3 2" xfId="1547" xr:uid="{8B3F0F78-F20A-4438-844F-587AB556CDF4}"/>
    <cellStyle name="Output 2 2 3 3 2 2" xfId="7318" xr:uid="{F213F775-E189-44DA-A827-43F95918EE4C}"/>
    <cellStyle name="Output 2 2 3 3 2 3" xfId="9984" xr:uid="{52DC476B-62D2-4D2D-B81A-6851272979D3}"/>
    <cellStyle name="Output 2 2 3 3 2 4" xfId="4344" xr:uid="{C1B5B91C-21EE-4B3C-B2D2-E5D69495016B}"/>
    <cellStyle name="Output 2 2 3 3 3" xfId="5084" xr:uid="{1F92F746-8552-4B8A-A2BC-A78D9E1FB251}"/>
    <cellStyle name="Output 2 2 3 3 3 2" xfId="8058" xr:uid="{89293086-A6E0-404F-9A33-F71CAAC9B5BC}"/>
    <cellStyle name="Output 2 2 3 3 4" xfId="5849" xr:uid="{3E222E51-6560-44ED-B95C-36FB2556B8AD}"/>
    <cellStyle name="Output 2 2 3 3 4 2" xfId="8823" xr:uid="{279859E2-A380-4042-B7FE-05AEFCFE0248}"/>
    <cellStyle name="Output 2 2 3 3 5" xfId="3577" xr:uid="{829C0066-063F-4AB7-A145-83F45511E50D}"/>
    <cellStyle name="Output 2 2 3 3 6" xfId="6522" xr:uid="{3BB1B505-CA0B-4CAF-9882-445100027B20}"/>
    <cellStyle name="Output 2 2 3 3 7" xfId="2499" xr:uid="{1C4A9ED3-19A7-4A4F-87DE-D4983DD1DD02}"/>
    <cellStyle name="Output 2 2 3 4" xfId="579" xr:uid="{4BDDF091-409F-400F-AFE6-92C3D66A7ECE}"/>
    <cellStyle name="Output 2 2 3 4 2" xfId="1384" xr:uid="{AA7EEADF-0F07-4327-B7F3-6CB8CEF74603}"/>
    <cellStyle name="Output 2 2 3 4 2 2" xfId="7155" xr:uid="{F26A4FE7-82BC-4EC9-A09E-F83F7EDE0F15}"/>
    <cellStyle name="Output 2 2 3 4 2 3" xfId="9821" xr:uid="{6E9DA6A2-9FFF-4634-BC29-93A7218EFF1D}"/>
    <cellStyle name="Output 2 2 3 4 2 4" xfId="4181" xr:uid="{41B06060-5E32-4A81-9347-FF367B8E2735}"/>
    <cellStyle name="Output 2 2 3 4 3" xfId="4921" xr:uid="{87BACFDF-7960-4403-8309-05F74C48F9D7}"/>
    <cellStyle name="Output 2 2 3 4 3 2" xfId="7895" xr:uid="{223DCD53-9A4F-4B7C-BB11-67BB280901B3}"/>
    <cellStyle name="Output 2 2 3 4 4" xfId="5686" xr:uid="{860A2BD2-5844-40C3-B3A8-CA5A7E8ECA0E}"/>
    <cellStyle name="Output 2 2 3 4 4 2" xfId="8660" xr:uid="{0DCC3804-B011-4E58-9F32-9FA645BD3192}"/>
    <cellStyle name="Output 2 2 3 4 5" xfId="6359" xr:uid="{378D7F09-2D10-4D9F-9139-8355B2CD916F}"/>
    <cellStyle name="Output 2 2 3 4 6" xfId="2336" xr:uid="{E71F3340-2AE3-40FF-B4F8-DE7E0FBCBD7E}"/>
    <cellStyle name="Output 2 2 3 5" xfId="3191" xr:uid="{687B0456-8589-42B6-95AE-C1181DC549EC}"/>
    <cellStyle name="Output 2 2 3 6" xfId="2067" xr:uid="{5BA8B869-336D-4B95-ADDD-68BACC3719B4}"/>
    <cellStyle name="Output 2 2 4" xfId="420" xr:uid="{3F47AEF7-42C9-4413-86C1-A74295DA8F60}"/>
    <cellStyle name="Output 2 2 4 2" xfId="899" xr:uid="{2528623A-6924-4701-A52B-940E1F52BA15}"/>
    <cellStyle name="Output 2 2 4 2 2" xfId="1704" xr:uid="{96B0D1C9-C602-4D0C-8AF6-B0F7113B01DB}"/>
    <cellStyle name="Output 2 2 4 2 2 2" xfId="7475" xr:uid="{88B2E235-B340-4339-94C3-A31350938925}"/>
    <cellStyle name="Output 2 2 4 2 2 3" xfId="10141" xr:uid="{176612D3-2839-4CE0-B00F-EC31E09F6200}"/>
    <cellStyle name="Output 2 2 4 2 2 4" xfId="4501" xr:uid="{A3E57049-A520-44FA-8962-F1070843523E}"/>
    <cellStyle name="Output 2 2 4 2 3" xfId="5241" xr:uid="{02AC17CF-6D88-4557-8444-80C3A93AD1C4}"/>
    <cellStyle name="Output 2 2 4 2 3 2" xfId="8215" xr:uid="{E5FF91D8-421A-4ED4-8579-7DE6E29BE0D0}"/>
    <cellStyle name="Output 2 2 4 2 4" xfId="6006" xr:uid="{D3457124-284E-4093-9C1D-A1415D4D88E2}"/>
    <cellStyle name="Output 2 2 4 2 4 2" xfId="8980" xr:uid="{D731F096-57FD-46E4-A5E1-A27CE772E3C0}"/>
    <cellStyle name="Output 2 2 4 2 5" xfId="3716" xr:uid="{9B0FDF18-5EAB-4764-B622-5005A276ACB3}"/>
    <cellStyle name="Output 2 2 4 2 6" xfId="6679" xr:uid="{7659E9E4-20A3-4B23-9A02-3208CDD2B87D}"/>
    <cellStyle name="Output 2 2 4 2 7" xfId="2656" xr:uid="{6B3D9C30-A8BB-49BA-A855-059BA3B8156E}"/>
    <cellStyle name="Output 2 2 4 3" xfId="1151" xr:uid="{56FE601D-8527-4FB4-9080-7B5434037F3B}"/>
    <cellStyle name="Output 2 2 4 3 2" xfId="1956" xr:uid="{970E0D04-A361-484F-A1F5-176D9F763922}"/>
    <cellStyle name="Output 2 2 4 3 2 2" xfId="7727" xr:uid="{47F8FCDE-6B2C-43FD-A47A-89C3ED916900}"/>
    <cellStyle name="Output 2 2 4 3 2 3" xfId="10393" xr:uid="{1A865D7F-EC6E-424D-838F-C8D17C72480A}"/>
    <cellStyle name="Output 2 2 4 3 2 4" xfId="4753" xr:uid="{F1868750-55C4-4FDB-9C49-C846E97F7F68}"/>
    <cellStyle name="Output 2 2 4 3 3" xfId="5493" xr:uid="{D856B7A9-30AD-434A-AF49-23D5F2A8C6D5}"/>
    <cellStyle name="Output 2 2 4 3 3 2" xfId="8467" xr:uid="{B83329B6-9051-45C8-B309-409289600E8F}"/>
    <cellStyle name="Output 2 2 4 3 4" xfId="6258" xr:uid="{BBB0B7C5-8338-4775-B962-1D4DBB6E1DF0}"/>
    <cellStyle name="Output 2 2 4 3 4 2" xfId="9232" xr:uid="{2417D6D5-B24B-4C4C-9440-7830725A2C89}"/>
    <cellStyle name="Output 2 2 4 3 5" xfId="6931" xr:uid="{9415880D-1549-4667-9F1B-B0B1F2162C2C}"/>
    <cellStyle name="Output 2 2 4 3 6" xfId="2908" xr:uid="{CD442EAB-804B-4228-A6C0-7D3CB6DEBD8B}"/>
    <cellStyle name="Output 2 2 4 4" xfId="1226" xr:uid="{0CF225E3-9E44-4665-96B6-58135172F3A5}"/>
    <cellStyle name="Output 2 2 4 4 2" xfId="6997" xr:uid="{0EE07E8C-7CD4-4DB8-8D54-79F85AF59C34}"/>
    <cellStyle name="Output 2 2 4 4 3" xfId="9663" xr:uid="{2C05109A-8AF1-4D73-A692-9554D64719DD}"/>
    <cellStyle name="Output 2 2 4 4 4" xfId="4023" xr:uid="{9BEBAB4C-987F-43C1-98EB-8AF098954298}"/>
    <cellStyle name="Output 2 2 4 5" xfId="3260" xr:uid="{28243BA1-BC6A-4B77-B8E7-125098DABCCF}"/>
    <cellStyle name="Output 2 2 4 5 2" xfId="3312" xr:uid="{2254A000-B98A-4517-AEB3-4A0E51B58693}"/>
    <cellStyle name="Output 2 2 4 6" xfId="4011" xr:uid="{49867528-B7A5-4203-99E4-5FE2C4E87D58}"/>
    <cellStyle name="Output 2 2 4 6 2" xfId="6985" xr:uid="{CA893230-320C-4467-AFA7-43C577104481}"/>
    <cellStyle name="Output 2 2 4 7" xfId="2987" xr:uid="{DA3DE67A-A86E-40DC-B795-10F5AAB5FBCF}"/>
    <cellStyle name="Output 2 2 4 8" xfId="2178" xr:uid="{C7B69D38-0CC8-4C71-BEFC-638AD903EF17}"/>
    <cellStyle name="Output 2 2 5" xfId="683" xr:uid="{751CB8F2-4BFD-4F82-BA88-85C87B5EEED7}"/>
    <cellStyle name="Output 2 2 5 2" xfId="1488" xr:uid="{59B54028-6696-467B-809D-BEB34F1F31A3}"/>
    <cellStyle name="Output 2 2 5 2 2" xfId="7259" xr:uid="{A1AB1F11-68DC-48C5-921E-E3DF52ED0285}"/>
    <cellStyle name="Output 2 2 5 2 3" xfId="9925" xr:uid="{9624FE5B-7916-47E6-9D3A-D0EBA6879EFB}"/>
    <cellStyle name="Output 2 2 5 2 4" xfId="4285" xr:uid="{5E1DE91A-9037-406B-A0B6-AA40B5978058}"/>
    <cellStyle name="Output 2 2 5 3" xfId="5025" xr:uid="{B495860C-13DD-4389-B1A1-8C05855B0CB1}"/>
    <cellStyle name="Output 2 2 5 3 2" xfId="7999" xr:uid="{A683E6D2-D9EB-4EC3-BF6A-B2CAC98B09D5}"/>
    <cellStyle name="Output 2 2 5 4" xfId="5790" xr:uid="{3DF34B80-6585-4082-A220-0A3868697740}"/>
    <cellStyle name="Output 2 2 5 4 2" xfId="8764" xr:uid="{5CDB5B11-1CB9-429D-80CE-A308DBB8A212}"/>
    <cellStyle name="Output 2 2 5 5" xfId="3519" xr:uid="{3E49181C-E5B2-4FAE-9B46-79656C5A505A}"/>
    <cellStyle name="Output 2 2 5 6" xfId="6463" xr:uid="{14D28700-669E-4F9B-9322-06830A283032}"/>
    <cellStyle name="Output 2 2 5 7" xfId="2440" xr:uid="{2DFA530E-E064-4761-AF98-BF6ED522F5B3}"/>
    <cellStyle name="Output 2 2 6" xfId="1068" xr:uid="{9B041447-B636-4E54-A168-2D6C0E566D1F}"/>
    <cellStyle name="Output 2 2 6 2" xfId="1873" xr:uid="{D4724ACC-2DB8-463D-9D1A-DC640D078B9A}"/>
    <cellStyle name="Output 2 2 6 2 2" xfId="7644" xr:uid="{A1208283-64FD-404A-B1BB-4B20216163DB}"/>
    <cellStyle name="Output 2 2 6 2 3" xfId="10310" xr:uid="{AD2FC78C-6808-4DE1-BAEE-CEE86D20CC2E}"/>
    <cellStyle name="Output 2 2 6 2 4" xfId="4670" xr:uid="{56E2CE6B-78DE-4DF8-94F5-2E163CB3D967}"/>
    <cellStyle name="Output 2 2 6 3" xfId="5410" xr:uid="{79336569-7664-45AF-9BF8-230B1F50DAE6}"/>
    <cellStyle name="Output 2 2 6 3 2" xfId="8384" xr:uid="{668B9FEB-534E-4D81-9067-A924657667E0}"/>
    <cellStyle name="Output 2 2 6 4" xfId="6175" xr:uid="{0F3AC40F-FF67-43E8-83C6-918D684D4678}"/>
    <cellStyle name="Output 2 2 6 4 2" xfId="9149" xr:uid="{3538E6AE-B536-4E9C-96E4-BE4D87CEAF8D}"/>
    <cellStyle name="Output 2 2 6 5" xfId="6848" xr:uid="{30130108-24B6-4311-A854-968613E5359A}"/>
    <cellStyle name="Output 2 2 6 6" xfId="2825" xr:uid="{A4191CDB-6AEC-42DC-A96D-3F181CBCA42E}"/>
    <cellStyle name="Output 2 2 7" xfId="3895" xr:uid="{8ADBD6F3-2705-48EB-BCF5-D32038279822}"/>
    <cellStyle name="Output 2 2 8" xfId="2009" xr:uid="{5E599727-F22C-42DD-8FDB-2C9E15EB30EC}"/>
    <cellStyle name="Output 2 3" xfId="208" xr:uid="{1F52FC6A-9E54-492A-9FA1-D8BE197D2C7F}"/>
    <cellStyle name="Output 2 3 2" xfId="312" xr:uid="{75F18A59-C658-4797-B6A8-20647DB7C0B9}"/>
    <cellStyle name="Output 2 3 2 2" xfId="534" xr:uid="{DE7664C0-A5EE-4F03-959D-9AE386E804A9}"/>
    <cellStyle name="Output 2 3 2 2 2" xfId="1013" xr:uid="{E5CB4C63-579F-486C-9B53-EA77947EA9BF}"/>
    <cellStyle name="Output 2 3 2 2 2 2" xfId="1818" xr:uid="{FB9E0B3C-5B36-4ED8-9A62-73F65BCD19F6}"/>
    <cellStyle name="Output 2 3 2 2 2 2 2" xfId="7589" xr:uid="{8C63E915-4B66-4C65-897D-05F69E6ED01C}"/>
    <cellStyle name="Output 2 3 2 2 2 2 3" xfId="10255" xr:uid="{2775BD08-1BDE-4223-9B69-9A46D403FC97}"/>
    <cellStyle name="Output 2 3 2 2 2 2 4" xfId="4615" xr:uid="{343297EB-B75F-40C5-A48A-671D8EF59300}"/>
    <cellStyle name="Output 2 3 2 2 2 3" xfId="5355" xr:uid="{F37A1E48-A1D2-47AB-8002-9CFC46BD34C0}"/>
    <cellStyle name="Output 2 3 2 2 2 3 2" xfId="8329" xr:uid="{6BBB98A6-588A-4643-A67D-B75CB5459076}"/>
    <cellStyle name="Output 2 3 2 2 2 4" xfId="6120" xr:uid="{8ECF9B56-42F7-443D-A11B-5620393CAB30}"/>
    <cellStyle name="Output 2 3 2 2 2 4 2" xfId="9094" xr:uid="{178D3A5E-633A-4F32-8D11-20B4E9E4C3D8}"/>
    <cellStyle name="Output 2 3 2 2 2 5" xfId="3830" xr:uid="{FF6B9367-F968-4EB7-91B8-D2BAEA6A7541}"/>
    <cellStyle name="Output 2 3 2 2 2 6" xfId="6793" xr:uid="{1300BE5C-BA01-465E-9CDD-758C9DB92B2A}"/>
    <cellStyle name="Output 2 3 2 2 2 7" xfId="2770" xr:uid="{78D8E12F-3BA1-4572-B37A-7645A6F18E70}"/>
    <cellStyle name="Output 2 3 2 2 3" xfId="845" xr:uid="{74F8A489-6B71-4259-AC62-F84FE4C79D08}"/>
    <cellStyle name="Output 2 3 2 2 3 2" xfId="1650" xr:uid="{DFD08D85-0F96-4D7A-B60F-4B0B4365E13B}"/>
    <cellStyle name="Output 2 3 2 2 3 2 2" xfId="7421" xr:uid="{DBFF2389-B3D5-44F3-AD68-132E7ADB47A5}"/>
    <cellStyle name="Output 2 3 2 2 3 2 3" xfId="10087" xr:uid="{A2692DEB-5698-49AB-8D42-CB12600004C0}"/>
    <cellStyle name="Output 2 3 2 2 3 2 4" xfId="4447" xr:uid="{B7B9BB12-8287-42B6-B851-E98ED5B9CB3C}"/>
    <cellStyle name="Output 2 3 2 2 3 3" xfId="5187" xr:uid="{F1887141-9595-4583-BEC2-E4985F2A3789}"/>
    <cellStyle name="Output 2 3 2 2 3 3 2" xfId="8161" xr:uid="{03949559-7777-4F50-B03C-891D5B91CB51}"/>
    <cellStyle name="Output 2 3 2 2 3 4" xfId="5952" xr:uid="{FF6D7AFA-0F61-4655-BF21-F5A8FCD77598}"/>
    <cellStyle name="Output 2 3 2 2 3 4 2" xfId="8926" xr:uid="{7B77FC11-1E23-403A-998A-92F1C0DBBB5D}"/>
    <cellStyle name="Output 2 3 2 2 3 5" xfId="6625" xr:uid="{8174C673-59F8-4544-9D7B-A096486CCFE6}"/>
    <cellStyle name="Output 2 3 2 2 3 6" xfId="2602" xr:uid="{FCAF2143-A74B-4532-8CF6-9D741D30384D}"/>
    <cellStyle name="Output 2 3 2 2 4" xfId="1340" xr:uid="{2BEA8CFE-A5F7-48D4-8BDE-6EBE762BB752}"/>
    <cellStyle name="Output 2 3 2 2 4 2" xfId="7111" xr:uid="{7D1C49C4-840C-425C-881E-99453D8D9D86}"/>
    <cellStyle name="Output 2 3 2 2 4 3" xfId="9777" xr:uid="{B786F723-8D34-4DFE-B782-097752717775}"/>
    <cellStyle name="Output 2 3 2 2 4 4" xfId="4137" xr:uid="{9248C897-5B94-4885-B66D-163272BD6F03}"/>
    <cellStyle name="Output 2 3 2 2 5" xfId="4877" xr:uid="{3F48D1C3-C64C-4F35-822A-3984EEAC1728}"/>
    <cellStyle name="Output 2 3 2 2 5 2" xfId="7851" xr:uid="{C0813155-A06E-447A-8D42-4E5EF0083CFD}"/>
    <cellStyle name="Output 2 3 2 2 6" xfId="5642" xr:uid="{D648F2E5-4D34-4E49-BFE2-DDF67F921CBC}"/>
    <cellStyle name="Output 2 3 2 2 6 2" xfId="8616" xr:uid="{09E47CC1-FAF7-4E4C-81EC-DEE131A3A352}"/>
    <cellStyle name="Output 2 3 2 2 7" xfId="6315" xr:uid="{26DEE7AA-BC20-447D-B651-45A6F716423D}"/>
    <cellStyle name="Output 2 3 2 2 8" xfId="2292" xr:uid="{D2559287-E774-4C56-AD61-3317DA497E3C}"/>
    <cellStyle name="Output 2 3 2 3" xfId="803" xr:uid="{465FE842-D0CA-4078-827F-0C055730D225}"/>
    <cellStyle name="Output 2 3 2 3 2" xfId="1608" xr:uid="{6E83C952-8CA4-4AE2-A0B2-68CAD1E57A16}"/>
    <cellStyle name="Output 2 3 2 3 2 2" xfId="7379" xr:uid="{BE51EB64-F1C2-4EF8-B7EE-07DA55BD9842}"/>
    <cellStyle name="Output 2 3 2 3 2 3" xfId="10045" xr:uid="{6EE7D68F-9C0A-4F23-B26C-061ADE9E10E0}"/>
    <cellStyle name="Output 2 3 2 3 2 4" xfId="4405" xr:uid="{9A0108B4-E9D0-4E31-978E-D3DD501E5052}"/>
    <cellStyle name="Output 2 3 2 3 3" xfId="5145" xr:uid="{91402D5B-AC29-4C8B-AB39-F0F5DE554D98}"/>
    <cellStyle name="Output 2 3 2 3 3 2" xfId="8119" xr:uid="{05A47028-5B81-4DD6-B3F4-C8D0F9F1FFC8}"/>
    <cellStyle name="Output 2 3 2 3 4" xfId="5910" xr:uid="{41050A75-97CE-44B1-B8C9-501D7C7C73F9}"/>
    <cellStyle name="Output 2 3 2 3 4 2" xfId="8884" xr:uid="{7F2E16CC-4D99-42A3-8563-348EFE44D7B3}"/>
    <cellStyle name="Output 2 3 2 3 5" xfId="3637" xr:uid="{C419CD87-F1C6-4730-BF84-CCDDF1465457}"/>
    <cellStyle name="Output 2 3 2 3 6" xfId="6583" xr:uid="{22A048BC-FEE3-4B3A-939A-95376AA9485B}"/>
    <cellStyle name="Output 2 3 2 3 7" xfId="2560" xr:uid="{1B0408C7-5AF1-432D-BED5-6DB03736FE87}"/>
    <cellStyle name="Output 2 3 2 4" xfId="1104" xr:uid="{DABA0D1F-F232-447D-9F17-3653DC8697F9}"/>
    <cellStyle name="Output 2 3 2 4 2" xfId="1909" xr:uid="{5B252B0C-2585-42F6-8F64-1DB849B508FD}"/>
    <cellStyle name="Output 2 3 2 4 2 2" xfId="7680" xr:uid="{90A86ED9-070B-4800-924F-5AAF8B42C5C4}"/>
    <cellStyle name="Output 2 3 2 4 2 3" xfId="10346" xr:uid="{5655291F-45D9-40D3-A065-177A478C30E2}"/>
    <cellStyle name="Output 2 3 2 4 2 4" xfId="4706" xr:uid="{8A81491E-AE62-4722-A164-1FC4DE02D9EE}"/>
    <cellStyle name="Output 2 3 2 4 3" xfId="5446" xr:uid="{E9B8A968-9FA1-4D48-A3D3-B3BE48EC6E68}"/>
    <cellStyle name="Output 2 3 2 4 3 2" xfId="8420" xr:uid="{B24D0369-9069-4145-BE6A-3FD02501D740}"/>
    <cellStyle name="Output 2 3 2 4 4" xfId="6211" xr:uid="{0E0918F6-214F-4650-A62F-0DF9EF70F916}"/>
    <cellStyle name="Output 2 3 2 4 4 2" xfId="9185" xr:uid="{7AC8B17C-A3A6-4645-BD29-AD63F939AD9F}"/>
    <cellStyle name="Output 2 3 2 4 5" xfId="6884" xr:uid="{D4A68076-7DC4-4EB4-A290-CF05C1766C9E}"/>
    <cellStyle name="Output 2 3 2 4 6" xfId="2861" xr:uid="{8E16A6C2-AA44-49CA-B431-C335EF2835FD}"/>
    <cellStyle name="Output 2 3 2 5" xfId="3991" xr:uid="{D3E80D08-C701-43A3-BA3D-2C5D39C9CA71}"/>
    <cellStyle name="Output 2 3 2 6" xfId="2130" xr:uid="{85AF1B6F-5BB1-4552-8C44-C72A3B34E5A8}"/>
    <cellStyle name="Output 2 3 3" xfId="256" xr:uid="{51567593-B375-4F09-BBEF-2CD6721C7910}"/>
    <cellStyle name="Output 2 3 3 2" xfId="480" xr:uid="{8ED1158B-29FB-4770-8FA3-58455EAA8A2F}"/>
    <cellStyle name="Output 2 3 3 2 2" xfId="959" xr:uid="{1B8965CB-B56C-496C-9323-828BE6197BD0}"/>
    <cellStyle name="Output 2 3 3 2 2 2" xfId="1764" xr:uid="{F53E77AE-7749-441A-8467-96201E695051}"/>
    <cellStyle name="Output 2 3 3 2 2 2 2" xfId="7535" xr:uid="{749F0A75-2233-4A1C-A537-D880BD382A93}"/>
    <cellStyle name="Output 2 3 3 2 2 2 3" xfId="10201" xr:uid="{40BA2857-6E17-46F0-BE99-1EADB38D08E4}"/>
    <cellStyle name="Output 2 3 3 2 2 2 4" xfId="4561" xr:uid="{96830D88-061A-4BF1-950C-9A86B1B6CD48}"/>
    <cellStyle name="Output 2 3 3 2 2 3" xfId="5301" xr:uid="{9FAE13F4-7561-4B68-B2F5-06799B12D227}"/>
    <cellStyle name="Output 2 3 3 2 2 3 2" xfId="8275" xr:uid="{9023413F-20E0-457C-89A4-0DD81B96D5D4}"/>
    <cellStyle name="Output 2 3 3 2 2 4" xfId="6066" xr:uid="{515F172A-813C-43C4-8956-C0FE4D247E2A}"/>
    <cellStyle name="Output 2 3 3 2 2 4 2" xfId="9040" xr:uid="{2B05CBB0-A09B-4217-8A29-266FE3950832}"/>
    <cellStyle name="Output 2 3 3 2 2 5" xfId="3776" xr:uid="{928710B9-5EE1-42F5-9EFC-4AA8433FBE06}"/>
    <cellStyle name="Output 2 3 3 2 2 6" xfId="6739" xr:uid="{93BE4FEC-A196-4855-A40C-333CAB1B757C}"/>
    <cellStyle name="Output 2 3 3 2 2 7" xfId="2716" xr:uid="{951CC1DB-3BDE-40D3-95AF-A8B499929B33}"/>
    <cellStyle name="Output 2 3 3 2 3" xfId="1059" xr:uid="{E6A03205-E0F1-45E3-A2B7-6C7C3B178AD2}"/>
    <cellStyle name="Output 2 3 3 2 3 2" xfId="1864" xr:uid="{1BC82A0E-53BF-4BCB-BD0D-36D13F5D6974}"/>
    <cellStyle name="Output 2 3 3 2 3 2 2" xfId="7635" xr:uid="{E0508D3C-6133-4360-8D92-BC99D806F591}"/>
    <cellStyle name="Output 2 3 3 2 3 2 3" xfId="10301" xr:uid="{DD43C5F6-4E75-4DC7-9C8A-BABEE3C8DF0A}"/>
    <cellStyle name="Output 2 3 3 2 3 2 4" xfId="4661" xr:uid="{8AF9A285-563F-4341-B969-CC21F1D6D393}"/>
    <cellStyle name="Output 2 3 3 2 3 3" xfId="5401" xr:uid="{3C10E5D8-4D7B-4045-BECC-6AEFCF6021B7}"/>
    <cellStyle name="Output 2 3 3 2 3 3 2" xfId="8375" xr:uid="{62CB5CAD-2B96-4821-BCB4-3225B690274F}"/>
    <cellStyle name="Output 2 3 3 2 3 4" xfId="6166" xr:uid="{1E3702CD-5A07-4173-B503-85E47F87B66F}"/>
    <cellStyle name="Output 2 3 3 2 3 4 2" xfId="9140" xr:uid="{131726DC-C46F-495C-AABA-5A794044EA40}"/>
    <cellStyle name="Output 2 3 3 2 3 5" xfId="6839" xr:uid="{FFD2C735-46BA-47B1-8B01-404C57A13E80}"/>
    <cellStyle name="Output 2 3 3 2 3 6" xfId="2816" xr:uid="{AF1B0F43-C73B-46A3-8EE6-2574BBF69662}"/>
    <cellStyle name="Output 2 3 3 2 4" xfId="1286" xr:uid="{B7AA9FBA-F5A3-4383-BDA1-14528FD9762B}"/>
    <cellStyle name="Output 2 3 3 2 4 2" xfId="7057" xr:uid="{045D9C02-3877-48BF-896E-BBF18361DCDB}"/>
    <cellStyle name="Output 2 3 3 2 4 3" xfId="9723" xr:uid="{6FA0DE80-67D6-4BD7-A628-EFF630D11ECE}"/>
    <cellStyle name="Output 2 3 3 2 4 4" xfId="4083" xr:uid="{6EDBB9CC-5593-441B-87EA-9956D39B82E6}"/>
    <cellStyle name="Output 2 3 3 2 5" xfId="4823" xr:uid="{2875D94A-C575-45AC-BEEB-89DC4BA1FB35}"/>
    <cellStyle name="Output 2 3 3 2 5 2" xfId="7797" xr:uid="{F7FAA8BA-A2D6-4C1C-A264-67405D22701F}"/>
    <cellStyle name="Output 2 3 3 2 6" xfId="5588" xr:uid="{8D310489-B94B-4E3A-B8F9-8387DAA4CE01}"/>
    <cellStyle name="Output 2 3 3 2 6 2" xfId="8562" xr:uid="{EDF2D8E2-21DA-4401-924C-7545AC4C8273}"/>
    <cellStyle name="Output 2 3 3 2 7" xfId="3318" xr:uid="{7EC1D248-7721-4B12-9EC3-263B96C54B1A}"/>
    <cellStyle name="Output 2 3 3 2 8" xfId="2238" xr:uid="{691B7D39-CCDE-42CF-B20C-4AAA0278BB25}"/>
    <cellStyle name="Output 2 3 3 3" xfId="748" xr:uid="{A6494F35-102E-4D74-ADBB-83225B72E89C}"/>
    <cellStyle name="Output 2 3 3 3 2" xfId="1553" xr:uid="{41B55C05-D9DA-4220-8EDB-C100C6FE4FF6}"/>
    <cellStyle name="Output 2 3 3 3 2 2" xfId="7324" xr:uid="{D6AF6DD3-450C-4FEC-A12C-726A8D875496}"/>
    <cellStyle name="Output 2 3 3 3 2 3" xfId="9990" xr:uid="{E37FCE5F-1E7C-4BD8-AA42-324D602C8E17}"/>
    <cellStyle name="Output 2 3 3 3 2 4" xfId="4350" xr:uid="{C920610F-A785-449F-80FF-94BDFF459E22}"/>
    <cellStyle name="Output 2 3 3 3 3" xfId="5090" xr:uid="{0E55B5ED-31B7-4470-BF9B-811829646176}"/>
    <cellStyle name="Output 2 3 3 3 3 2" xfId="8064" xr:uid="{2ADAB104-5689-4DE6-862D-2856846BA80C}"/>
    <cellStyle name="Output 2 3 3 3 4" xfId="5855" xr:uid="{29E78374-2AD8-4143-834C-FA32E1929CE7}"/>
    <cellStyle name="Output 2 3 3 3 4 2" xfId="8829" xr:uid="{DC799420-3E74-4F0A-9E09-FF14AF5E8E37}"/>
    <cellStyle name="Output 2 3 3 3 5" xfId="3583" xr:uid="{6A40F199-0D11-494A-B478-5CA10EF33098}"/>
    <cellStyle name="Output 2 3 3 3 6" xfId="6528" xr:uid="{28749A07-B7C3-4351-BEA8-910B7FE2F28F}"/>
    <cellStyle name="Output 2 3 3 3 7" xfId="2505" xr:uid="{89D9C55C-302B-40CD-8A3A-3D69F07264E8}"/>
    <cellStyle name="Output 2 3 3 4" xfId="656" xr:uid="{4DEC26E7-0A1F-419E-8D51-2336D353B213}"/>
    <cellStyle name="Output 2 3 3 4 2" xfId="1461" xr:uid="{57674C59-254B-44FA-AA28-419CBBFACCF9}"/>
    <cellStyle name="Output 2 3 3 4 2 2" xfId="7232" xr:uid="{869209F9-370C-41E1-9B94-FA6D08385AE5}"/>
    <cellStyle name="Output 2 3 3 4 2 3" xfId="9898" xr:uid="{F614B2CC-0A00-488A-BAD7-B47FD8586246}"/>
    <cellStyle name="Output 2 3 3 4 2 4" xfId="4258" xr:uid="{E3CA3F39-45BC-4C17-9921-7A5DABDFC970}"/>
    <cellStyle name="Output 2 3 3 4 3" xfId="4998" xr:uid="{4C7094F4-7E90-415B-99B7-5243C2EB0C86}"/>
    <cellStyle name="Output 2 3 3 4 3 2" xfId="7972" xr:uid="{79A0E2A7-B35A-43BE-9455-DD07EF277B29}"/>
    <cellStyle name="Output 2 3 3 4 4" xfId="5763" xr:uid="{884743F4-CAEB-47EE-970A-6B44680CA0FA}"/>
    <cellStyle name="Output 2 3 3 4 4 2" xfId="8737" xr:uid="{3ADDE7EF-5EE2-4DF7-ACDF-DB5FFAE1A6B7}"/>
    <cellStyle name="Output 2 3 3 4 5" xfId="6436" xr:uid="{B15E45CD-7C93-43CC-B156-7BC1EFAAC17E}"/>
    <cellStyle name="Output 2 3 3 4 6" xfId="2413" xr:uid="{E2599EA8-9554-4E8D-B5C0-818B3A4D5991}"/>
    <cellStyle name="Output 2 3 3 5" xfId="3884" xr:uid="{C96D17C7-0418-4E03-96F0-80D287B158D5}"/>
    <cellStyle name="Output 2 3 3 6" xfId="2073" xr:uid="{79249700-811B-4809-AB77-9D1B8347FF1F}"/>
    <cellStyle name="Output 2 3 4" xfId="432" xr:uid="{7463E2BA-CCA8-4140-8FD6-27EC499D6C3D}"/>
    <cellStyle name="Output 2 3 4 2" xfId="911" xr:uid="{EDD72D96-D352-43AB-BF83-DABFD95105F3}"/>
    <cellStyle name="Output 2 3 4 2 2" xfId="1716" xr:uid="{3E2F76CE-41DF-4686-91AA-E2D58E7C574E}"/>
    <cellStyle name="Output 2 3 4 2 2 2" xfId="7487" xr:uid="{A574B11B-6319-42DF-B6FC-63441BCC6765}"/>
    <cellStyle name="Output 2 3 4 2 2 3" xfId="10153" xr:uid="{6338617D-12B6-40BC-B10F-4DC24B4314AF}"/>
    <cellStyle name="Output 2 3 4 2 2 4" xfId="4513" xr:uid="{23A1A879-19C4-45F6-A342-95C7DB802F48}"/>
    <cellStyle name="Output 2 3 4 2 3" xfId="5253" xr:uid="{94E0F716-7EC5-4CE0-A37D-2BDF746A36AF}"/>
    <cellStyle name="Output 2 3 4 2 3 2" xfId="8227" xr:uid="{38602B42-FFD2-4A1C-B2D4-7749571F05D4}"/>
    <cellStyle name="Output 2 3 4 2 4" xfId="6018" xr:uid="{211840F6-0446-4D02-A69D-3BF25572B3C5}"/>
    <cellStyle name="Output 2 3 4 2 4 2" xfId="8992" xr:uid="{A7BFFC78-7609-438A-8A60-BE4EB8AABE64}"/>
    <cellStyle name="Output 2 3 4 2 5" xfId="3728" xr:uid="{5A0298A7-6EE5-41AA-8875-9C5E84E4FD6F}"/>
    <cellStyle name="Output 2 3 4 2 6" xfId="6691" xr:uid="{673B3164-1D31-4569-BCE0-AF18A8446171}"/>
    <cellStyle name="Output 2 3 4 2 7" xfId="2668" xr:uid="{DCBB0235-F8FE-4711-86B2-8E99EAB94315}"/>
    <cellStyle name="Output 2 3 4 3" xfId="1061" xr:uid="{E7E249D0-EC37-4074-9D5E-37FBF3A13D19}"/>
    <cellStyle name="Output 2 3 4 3 2" xfId="1866" xr:uid="{FCB1C556-D97F-4FE2-999F-89A9CDAB2426}"/>
    <cellStyle name="Output 2 3 4 3 2 2" xfId="7637" xr:uid="{5FB528A9-934A-4E05-A2BD-F0028CE554FA}"/>
    <cellStyle name="Output 2 3 4 3 2 3" xfId="10303" xr:uid="{7B7CC5B7-BE17-4328-B79A-B95CF02B2ED4}"/>
    <cellStyle name="Output 2 3 4 3 2 4" xfId="4663" xr:uid="{5C190861-61E2-4204-B3CC-ACA420BEFE7A}"/>
    <cellStyle name="Output 2 3 4 3 3" xfId="5403" xr:uid="{E94AA7A1-F198-486E-A666-A76B5F00825E}"/>
    <cellStyle name="Output 2 3 4 3 3 2" xfId="8377" xr:uid="{3790F44C-4DD7-4B35-AC9F-32BB97EDAF26}"/>
    <cellStyle name="Output 2 3 4 3 4" xfId="6168" xr:uid="{13847FEB-7330-4C9E-9B4F-6D2BAD2699C0}"/>
    <cellStyle name="Output 2 3 4 3 4 2" xfId="9142" xr:uid="{89A7C2D6-F59F-498F-B3AB-2239FA613C98}"/>
    <cellStyle name="Output 2 3 4 3 5" xfId="6841" xr:uid="{AACE6F0D-E1CC-4772-A558-395E6E48AA53}"/>
    <cellStyle name="Output 2 3 4 3 6" xfId="2818" xr:uid="{A2215CA5-ABA7-4494-B3A0-403FA89DD9BC}"/>
    <cellStyle name="Output 2 3 4 4" xfId="1238" xr:uid="{4A67EE7D-E756-4A1A-BE04-214282C68D39}"/>
    <cellStyle name="Output 2 3 4 4 2" xfId="7009" xr:uid="{3E51BA24-332F-44C0-ACEF-B166D45E4664}"/>
    <cellStyle name="Output 2 3 4 4 3" xfId="9675" xr:uid="{ACDCC838-3927-4B8C-92B9-A8AFF970BD1E}"/>
    <cellStyle name="Output 2 3 4 4 4" xfId="4035" xr:uid="{A334B820-ABB7-4735-8EDF-85DB161D0D1E}"/>
    <cellStyle name="Output 2 3 4 5" xfId="3277" xr:uid="{8C4F67BE-69F8-4B2C-A2D8-FFC02B13F859}"/>
    <cellStyle name="Output 2 3 4 5 2" xfId="3007" xr:uid="{C574D501-F946-4861-9EC4-9AFC6D64F7F6}"/>
    <cellStyle name="Output 2 3 4 6" xfId="5540" xr:uid="{70BDBED2-A5DF-43C7-8507-7964D8C0F287}"/>
    <cellStyle name="Output 2 3 4 6 2" xfId="8514" xr:uid="{C9803862-F000-443A-BE4C-38C2D613961C}"/>
    <cellStyle name="Output 2 3 4 7" xfId="3092" xr:uid="{72C869D0-6B3B-4122-97E2-4513774779E3}"/>
    <cellStyle name="Output 2 3 4 8" xfId="2190" xr:uid="{69D37941-5CC1-4312-A852-0BB2A9E437B9}"/>
    <cellStyle name="Output 2 3 5" xfId="700" xr:uid="{6D8A59F8-97DE-4301-B406-32940A75911D}"/>
    <cellStyle name="Output 2 3 5 2" xfId="1505" xr:uid="{33E65A2B-460C-4941-AACE-D8C1728BDFA7}"/>
    <cellStyle name="Output 2 3 5 2 2" xfId="7276" xr:uid="{7D1ACAF2-FCDF-4432-B662-1ED9BE4BB805}"/>
    <cellStyle name="Output 2 3 5 2 3" xfId="9942" xr:uid="{B879ED58-9758-43FD-9859-418369ACC4A7}"/>
    <cellStyle name="Output 2 3 5 2 4" xfId="4302" xr:uid="{1FD4B22C-0B37-4226-89D7-45AE896E95D4}"/>
    <cellStyle name="Output 2 3 5 3" xfId="5042" xr:uid="{4926CB5C-2B1F-4972-A3BC-F88BDBA3EBF5}"/>
    <cellStyle name="Output 2 3 5 3 2" xfId="8016" xr:uid="{F6545925-7D40-4123-B61F-CBEC898C1682}"/>
    <cellStyle name="Output 2 3 5 4" xfId="5807" xr:uid="{072A1310-2B2C-4B7C-9870-68EB782226C3}"/>
    <cellStyle name="Output 2 3 5 4 2" xfId="8781" xr:uid="{7219C775-E6A3-430D-9703-9DA5E9E74687}"/>
    <cellStyle name="Output 2 3 5 5" xfId="3535" xr:uid="{8B7851C8-EEE6-42C5-A5A6-ECCA6FE7F2C6}"/>
    <cellStyle name="Output 2 3 5 6" xfId="6480" xr:uid="{AA2C4909-D416-4B75-8192-46583211F93D}"/>
    <cellStyle name="Output 2 3 5 7" xfId="2457" xr:uid="{34A924C7-8AA3-4DA6-8D85-ABBBCAC82009}"/>
    <cellStyle name="Output 2 3 6" xfId="1161" xr:uid="{C83477A9-6AFA-446F-A1DF-D086CF3B33F9}"/>
    <cellStyle name="Output 2 3 6 2" xfId="1966" xr:uid="{093D74FE-81E1-4EE7-8B0B-71465907DFD4}"/>
    <cellStyle name="Output 2 3 6 2 2" xfId="7737" xr:uid="{0D1BF129-AF7D-4D58-B907-A3A292872928}"/>
    <cellStyle name="Output 2 3 6 2 3" xfId="10403" xr:uid="{02C77520-6601-4A37-947D-6F1CBB111CB6}"/>
    <cellStyle name="Output 2 3 6 2 4" xfId="4763" xr:uid="{D4C4D6AE-DF22-4CD6-B024-237211CE0E4D}"/>
    <cellStyle name="Output 2 3 6 3" xfId="5503" xr:uid="{26338860-46F9-487F-8914-6E6AEE62BC99}"/>
    <cellStyle name="Output 2 3 6 3 2" xfId="8477" xr:uid="{BDA23530-D2AA-461F-96CC-03D9CDA6E4C6}"/>
    <cellStyle name="Output 2 3 6 4" xfId="6268" xr:uid="{26DE0B97-2B12-4C49-A854-70174978967A}"/>
    <cellStyle name="Output 2 3 6 4 2" xfId="9242" xr:uid="{18E6310C-3C0E-4DA9-B3A1-EAE68718484A}"/>
    <cellStyle name="Output 2 3 6 5" xfId="6941" xr:uid="{318F0265-61C3-4AB1-AAA7-F650AF496449}"/>
    <cellStyle name="Output 2 3 6 6" xfId="2918" xr:uid="{F87E7B07-7FCB-40E6-A251-B507A310B6E6}"/>
    <cellStyle name="Output 2 3 7" xfId="3464" xr:uid="{6665B0A2-86BC-45B8-8ECF-9DAB04B16393}"/>
    <cellStyle name="Output 2 3 8" xfId="2023" xr:uid="{87E8181F-345E-40C3-8306-A5F82E114574}"/>
    <cellStyle name="Output 2 4" xfId="214" xr:uid="{6A36F9DE-6CA5-408A-8DC8-222485C43F3B}"/>
    <cellStyle name="Output 2 4 2" xfId="318" xr:uid="{6FBF321E-EA34-49F2-BEBE-E1EE5CB70BDE}"/>
    <cellStyle name="Output 2 4 2 2" xfId="540" xr:uid="{9757B34E-977F-489A-ABB7-4C7F1E8773C3}"/>
    <cellStyle name="Output 2 4 2 2 2" xfId="1019" xr:uid="{8C105F03-8D79-46AE-8052-DA8A582F2A45}"/>
    <cellStyle name="Output 2 4 2 2 2 2" xfId="1824" xr:uid="{EE61CCD5-4341-4D40-B85A-F3FDC9C52344}"/>
    <cellStyle name="Output 2 4 2 2 2 2 2" xfId="7595" xr:uid="{AFFB945A-FBDA-49B0-AC0A-F645960EDCDE}"/>
    <cellStyle name="Output 2 4 2 2 2 2 3" xfId="10261" xr:uid="{43E4AC1C-FE73-4BB3-B6CD-66A592B85AC1}"/>
    <cellStyle name="Output 2 4 2 2 2 2 4" xfId="4621" xr:uid="{5822A860-82C9-46E9-A0ED-59A989ACACE5}"/>
    <cellStyle name="Output 2 4 2 2 2 3" xfId="5361" xr:uid="{ED64D914-8806-4339-B4EA-6D6A7FAD786F}"/>
    <cellStyle name="Output 2 4 2 2 2 3 2" xfId="8335" xr:uid="{443C6599-3A1E-4256-90AE-8B170F24B1AD}"/>
    <cellStyle name="Output 2 4 2 2 2 4" xfId="6126" xr:uid="{57860773-888A-460D-9CFB-54D41025CF53}"/>
    <cellStyle name="Output 2 4 2 2 2 4 2" xfId="9100" xr:uid="{4793D1CD-0595-47BC-BC40-7B6C46AEAFEB}"/>
    <cellStyle name="Output 2 4 2 2 2 5" xfId="3836" xr:uid="{9682F58C-D8B1-4765-95BE-A08218C207DE}"/>
    <cellStyle name="Output 2 4 2 2 2 6" xfId="6799" xr:uid="{7C7407FB-BC75-4F5F-A677-420B9CDD8E87}"/>
    <cellStyle name="Output 2 4 2 2 2 7" xfId="2776" xr:uid="{5DD046BB-AE16-4676-A61B-AAFA2F7A1D60}"/>
    <cellStyle name="Output 2 4 2 2 3" xfId="883" xr:uid="{3F714B89-D9A4-4EC4-8B69-915DB54D291E}"/>
    <cellStyle name="Output 2 4 2 2 3 2" xfId="1688" xr:uid="{F9911352-5E3B-474E-B8A8-FADA6A20D7C7}"/>
    <cellStyle name="Output 2 4 2 2 3 2 2" xfId="7459" xr:uid="{51B22EE5-3435-4770-B5F2-1CD385A0F30A}"/>
    <cellStyle name="Output 2 4 2 2 3 2 3" xfId="10125" xr:uid="{D07DC05C-6BE8-4A5C-8A0E-E3DF25E9CC4B}"/>
    <cellStyle name="Output 2 4 2 2 3 2 4" xfId="4485" xr:uid="{A7D1323F-1298-40E0-BD3F-5EBD4010A0FC}"/>
    <cellStyle name="Output 2 4 2 2 3 3" xfId="5225" xr:uid="{93B69882-3C17-47D1-9B15-31927823D425}"/>
    <cellStyle name="Output 2 4 2 2 3 3 2" xfId="8199" xr:uid="{990BFBC6-470D-43CC-B00F-8F7799D8E3EE}"/>
    <cellStyle name="Output 2 4 2 2 3 4" xfId="5990" xr:uid="{EB69A28C-25C2-46C8-B6CA-946111FA1135}"/>
    <cellStyle name="Output 2 4 2 2 3 4 2" xfId="8964" xr:uid="{0CC0F1A5-417E-44E1-9848-E1907FE2EEE1}"/>
    <cellStyle name="Output 2 4 2 2 3 5" xfId="6663" xr:uid="{4FD367EC-AB55-481F-B38B-08DFA8640954}"/>
    <cellStyle name="Output 2 4 2 2 3 6" xfId="2640" xr:uid="{3DE837EA-66A5-4E53-9BE5-49E4235C17DB}"/>
    <cellStyle name="Output 2 4 2 2 4" xfId="1346" xr:uid="{CCBBF166-D8C2-4EF7-AE47-66FE48A9034D}"/>
    <cellStyle name="Output 2 4 2 2 4 2" xfId="7117" xr:uid="{BABACC62-C7F2-4D6C-A518-6D50E5D49C79}"/>
    <cellStyle name="Output 2 4 2 2 4 3" xfId="9783" xr:uid="{CCF776DA-5576-4A8B-BC7F-43ED39990F96}"/>
    <cellStyle name="Output 2 4 2 2 4 4" xfId="4143" xr:uid="{A7953A06-1CFA-4AD0-810B-BFE2B0F66E5E}"/>
    <cellStyle name="Output 2 4 2 2 5" xfId="4883" xr:uid="{73BBE62A-3630-40A3-838D-10328408E3B4}"/>
    <cellStyle name="Output 2 4 2 2 5 2" xfId="7857" xr:uid="{59E3996B-AE67-4C41-A538-F48B7A1629CE}"/>
    <cellStyle name="Output 2 4 2 2 6" xfId="5648" xr:uid="{4B07AA0D-CE51-4936-8832-FB157DF96D7B}"/>
    <cellStyle name="Output 2 4 2 2 6 2" xfId="8622" xr:uid="{8B9A7C9B-9D62-4752-A3CE-159F9E6992AD}"/>
    <cellStyle name="Output 2 4 2 2 7" xfId="6321" xr:uid="{7ECEDF1B-2CA9-442B-BA79-192630B01221}"/>
    <cellStyle name="Output 2 4 2 2 8" xfId="2298" xr:uid="{1B59087A-A0F8-4A3D-A8F0-3223AB594DA0}"/>
    <cellStyle name="Output 2 4 2 3" xfId="809" xr:uid="{74A50CA9-E604-48C0-95F2-081AB74EAB00}"/>
    <cellStyle name="Output 2 4 2 3 2" xfId="1614" xr:uid="{9A676161-E5E8-48EC-BECE-59A6CE11B987}"/>
    <cellStyle name="Output 2 4 2 3 2 2" xfId="7385" xr:uid="{40FB0270-01C0-4B6C-9EC1-727C5B91FAF7}"/>
    <cellStyle name="Output 2 4 2 3 2 3" xfId="10051" xr:uid="{CDD2D46F-073B-412C-881E-7A03840CEFE2}"/>
    <cellStyle name="Output 2 4 2 3 2 4" xfId="4411" xr:uid="{14C87DEF-30FD-4C4D-8C19-A079D3E9790D}"/>
    <cellStyle name="Output 2 4 2 3 3" xfId="5151" xr:uid="{74BFFA4E-2CBF-4F03-949E-B225059C09D1}"/>
    <cellStyle name="Output 2 4 2 3 3 2" xfId="8125" xr:uid="{FCD9A139-59A7-4785-9FF1-40AA2E90611F}"/>
    <cellStyle name="Output 2 4 2 3 4" xfId="5916" xr:uid="{83E81159-3BA3-4ACE-ADA2-071BA0801BB5}"/>
    <cellStyle name="Output 2 4 2 3 4 2" xfId="8890" xr:uid="{68E1A0F7-C2DD-4AA1-BD2E-6E42A339EB65}"/>
    <cellStyle name="Output 2 4 2 3 5" xfId="3643" xr:uid="{F1282468-BE98-4576-8F5E-A6D6CC4498D0}"/>
    <cellStyle name="Output 2 4 2 3 6" xfId="6589" xr:uid="{2AEB34B6-5312-4164-A245-B86376453B7B}"/>
    <cellStyle name="Output 2 4 2 3 7" xfId="2566" xr:uid="{3C9D3E2E-40EA-4AEF-B1D3-6B5B59E7F66E}"/>
    <cellStyle name="Output 2 4 2 4" xfId="1098" xr:uid="{E89FD16A-9023-4441-8DF6-C5313B49777C}"/>
    <cellStyle name="Output 2 4 2 4 2" xfId="1903" xr:uid="{65A141B8-632B-400E-A87F-C5246154C714}"/>
    <cellStyle name="Output 2 4 2 4 2 2" xfId="7674" xr:uid="{75618071-DC0D-4A0F-838C-9B8017AAE1CA}"/>
    <cellStyle name="Output 2 4 2 4 2 3" xfId="10340" xr:uid="{7A3D7BA4-0013-4A83-9AFB-6DE07A6A1C78}"/>
    <cellStyle name="Output 2 4 2 4 2 4" xfId="4700" xr:uid="{427ADBF2-E923-4CCF-A4C2-A3FE0A39C331}"/>
    <cellStyle name="Output 2 4 2 4 3" xfId="5440" xr:uid="{585B7317-234A-4F83-85DD-0530D57B5CFD}"/>
    <cellStyle name="Output 2 4 2 4 3 2" xfId="8414" xr:uid="{F3FBDE83-E527-4BBC-B6B7-957ED2858637}"/>
    <cellStyle name="Output 2 4 2 4 4" xfId="6205" xr:uid="{ADC8B4A9-82D8-46D3-A0FA-3FB64C038180}"/>
    <cellStyle name="Output 2 4 2 4 4 2" xfId="9179" xr:uid="{A4FC5F39-A9DE-4947-908D-A9CE614CE010}"/>
    <cellStyle name="Output 2 4 2 4 5" xfId="6878" xr:uid="{7806CA89-20D2-4975-9724-89E82E7A333C}"/>
    <cellStyle name="Output 2 4 2 4 6" xfId="2855" xr:uid="{3849850B-513B-44D1-BF1F-771052844C51}"/>
    <cellStyle name="Output 2 4 2 5" xfId="3111" xr:uid="{79F2B354-72C2-4FE7-9322-B097890DB8E3}"/>
    <cellStyle name="Output 2 4 2 6" xfId="2136" xr:uid="{747DDBB4-A81E-4A50-878E-2AF5DD980C2D}"/>
    <cellStyle name="Output 2 4 3" xfId="262" xr:uid="{EE0036BC-2D33-4C6B-B567-2B379E5D3820}"/>
    <cellStyle name="Output 2 4 3 2" xfId="486" xr:uid="{3787757D-AA8B-4939-AEE3-F059A0C7D5E2}"/>
    <cellStyle name="Output 2 4 3 2 2" xfId="965" xr:uid="{8295081C-433A-4494-9986-ECB4E6315043}"/>
    <cellStyle name="Output 2 4 3 2 2 2" xfId="1770" xr:uid="{2690F816-E58F-4C1D-BEC5-A77975F4D901}"/>
    <cellStyle name="Output 2 4 3 2 2 2 2" xfId="7541" xr:uid="{8D971CB2-E73F-48F6-A3BE-0852E6911D6F}"/>
    <cellStyle name="Output 2 4 3 2 2 2 3" xfId="10207" xr:uid="{C74BC946-4245-4A2A-8804-F3AC13DC31FC}"/>
    <cellStyle name="Output 2 4 3 2 2 2 4" xfId="4567" xr:uid="{2B55C5DE-1355-4960-9FAF-58262993CA33}"/>
    <cellStyle name="Output 2 4 3 2 2 3" xfId="5307" xr:uid="{C6A1D9E0-ED4D-4FEC-A50C-7279D4270E70}"/>
    <cellStyle name="Output 2 4 3 2 2 3 2" xfId="8281" xr:uid="{227C98E0-3C5F-46B2-82E6-8A4FDE9B0715}"/>
    <cellStyle name="Output 2 4 3 2 2 4" xfId="6072" xr:uid="{37CA9F48-202A-4378-9471-A37CBF1E2021}"/>
    <cellStyle name="Output 2 4 3 2 2 4 2" xfId="9046" xr:uid="{555D9974-F65C-46F2-B0D3-300A5C478A1B}"/>
    <cellStyle name="Output 2 4 3 2 2 5" xfId="3782" xr:uid="{A4D60BF8-37EE-4F8E-81A3-F929771767CF}"/>
    <cellStyle name="Output 2 4 3 2 2 6" xfId="6745" xr:uid="{F4FEA7C2-03F5-44B4-B57B-B81072BD2D1F}"/>
    <cellStyle name="Output 2 4 3 2 2 7" xfId="2722" xr:uid="{6E1E4B54-AFEB-42E1-8272-7B38C09C2FF5}"/>
    <cellStyle name="Output 2 4 3 2 3" xfId="640" xr:uid="{2C2F5ADA-72B6-4C9C-995E-9B978D685A4D}"/>
    <cellStyle name="Output 2 4 3 2 3 2" xfId="1445" xr:uid="{CFAC032C-EBA5-4FEF-B9C6-E3AEE22A5CAE}"/>
    <cellStyle name="Output 2 4 3 2 3 2 2" xfId="7216" xr:uid="{BC5A4196-226D-49E0-9AEC-80FB09C3BEED}"/>
    <cellStyle name="Output 2 4 3 2 3 2 3" xfId="9882" xr:uid="{7444DC7C-9D73-46B9-A14B-F23F3EEB5861}"/>
    <cellStyle name="Output 2 4 3 2 3 2 4" xfId="4242" xr:uid="{D3755D68-D86B-4156-A8B8-12190E732A92}"/>
    <cellStyle name="Output 2 4 3 2 3 3" xfId="4982" xr:uid="{736E52E9-C195-4DFC-BB09-1EB01753B3A0}"/>
    <cellStyle name="Output 2 4 3 2 3 3 2" xfId="7956" xr:uid="{772308B0-4B1D-47C5-9B7C-D61F00DC9544}"/>
    <cellStyle name="Output 2 4 3 2 3 4" xfId="5747" xr:uid="{8CD7A9B0-ADD4-4D77-95E2-DCE34A4587EF}"/>
    <cellStyle name="Output 2 4 3 2 3 4 2" xfId="8721" xr:uid="{695944DD-62BC-4B85-A961-6CA05634C101}"/>
    <cellStyle name="Output 2 4 3 2 3 5" xfId="6420" xr:uid="{C723A66D-41EC-4878-9790-9EEBBA14F514}"/>
    <cellStyle name="Output 2 4 3 2 3 6" xfId="2397" xr:uid="{E465E04C-D1DD-4099-99F9-D75AC4BEBE49}"/>
    <cellStyle name="Output 2 4 3 2 4" xfId="1292" xr:uid="{3CAD04A0-F471-4BB1-B116-BA65DC9D2623}"/>
    <cellStyle name="Output 2 4 3 2 4 2" xfId="7063" xr:uid="{F809E1AC-941B-4841-85BF-36A0B1C78D7B}"/>
    <cellStyle name="Output 2 4 3 2 4 3" xfId="9729" xr:uid="{E4389B0C-5BB5-4586-9A57-A437A9EFFD09}"/>
    <cellStyle name="Output 2 4 3 2 4 4" xfId="4089" xr:uid="{94A6426A-7CB2-4475-8DC3-71C2A7BF3A8A}"/>
    <cellStyle name="Output 2 4 3 2 5" xfId="4829" xr:uid="{C2CDAD09-BBC1-4F74-A00C-65A572175E38}"/>
    <cellStyle name="Output 2 4 3 2 5 2" xfId="7803" xr:uid="{6B8160D3-4D87-4399-8247-CE12F1AC0101}"/>
    <cellStyle name="Output 2 4 3 2 6" xfId="5594" xr:uid="{F3D2A461-A732-4CFE-BAAD-EBC43E92E9F8}"/>
    <cellStyle name="Output 2 4 3 2 6 2" xfId="8568" xr:uid="{487CBDE2-464F-463D-B158-72806A40C4DB}"/>
    <cellStyle name="Output 2 4 3 2 7" xfId="3066" xr:uid="{830E83EF-3F07-4E3A-8BE5-0AFAED08DB4F}"/>
    <cellStyle name="Output 2 4 3 2 8" xfId="2244" xr:uid="{A656B42E-A899-4F92-93E9-718C2F5F564A}"/>
    <cellStyle name="Output 2 4 3 3" xfId="754" xr:uid="{E6827043-1499-4E1D-8746-BCD8DF5E20AB}"/>
    <cellStyle name="Output 2 4 3 3 2" xfId="1559" xr:uid="{FDF68601-D426-4C50-89A8-502DE06109EA}"/>
    <cellStyle name="Output 2 4 3 3 2 2" xfId="7330" xr:uid="{B6C0F596-36F9-471F-A7D2-AE40B1F83ED5}"/>
    <cellStyle name="Output 2 4 3 3 2 3" xfId="9996" xr:uid="{0D83A88E-CF70-47AD-9539-0B485DAE14EB}"/>
    <cellStyle name="Output 2 4 3 3 2 4" xfId="4356" xr:uid="{DFA0D86D-07A5-427A-9A60-8B7AFB9C1272}"/>
    <cellStyle name="Output 2 4 3 3 3" xfId="5096" xr:uid="{B34D3FD7-4814-48C9-88E2-1BE73C53A9A7}"/>
    <cellStyle name="Output 2 4 3 3 3 2" xfId="8070" xr:uid="{27D1A057-20C7-4B4A-B22D-45CB2BE9ED1C}"/>
    <cellStyle name="Output 2 4 3 3 4" xfId="5861" xr:uid="{48103B92-59FA-4F15-AD8F-EE2877358772}"/>
    <cellStyle name="Output 2 4 3 3 4 2" xfId="8835" xr:uid="{DD8ABD5E-9164-4A2B-9D7E-CBE6EBD91CDC}"/>
    <cellStyle name="Output 2 4 3 3 5" xfId="3589" xr:uid="{B4D5B269-AFA7-4DF1-841B-1ECAAC7AAC4B}"/>
    <cellStyle name="Output 2 4 3 3 6" xfId="6534" xr:uid="{08EA1B94-C906-49C7-8EE9-D1875EE1DA0B}"/>
    <cellStyle name="Output 2 4 3 3 7" xfId="2511" xr:uid="{F39CC570-A5EC-48ED-82A5-C6EA579F621D}"/>
    <cellStyle name="Output 2 4 3 4" xfId="609" xr:uid="{49A29AC8-D43B-4A41-B279-89DB30121724}"/>
    <cellStyle name="Output 2 4 3 4 2" xfId="1414" xr:uid="{B8BA1FE3-E2C3-4277-9779-10A18A27EE2D}"/>
    <cellStyle name="Output 2 4 3 4 2 2" xfId="7185" xr:uid="{95D8DA9F-F9BD-46BA-879C-743695372150}"/>
    <cellStyle name="Output 2 4 3 4 2 3" xfId="9851" xr:uid="{35DCE00C-FBE6-413C-AF34-D85D4B87E740}"/>
    <cellStyle name="Output 2 4 3 4 2 4" xfId="4211" xr:uid="{ECC7EA30-93CE-44E2-9541-8C6B3FDF49BF}"/>
    <cellStyle name="Output 2 4 3 4 3" xfId="4951" xr:uid="{E2972672-D202-4DC3-A2AD-483D0D481257}"/>
    <cellStyle name="Output 2 4 3 4 3 2" xfId="7925" xr:uid="{18947DEC-E603-4F7D-8E97-89DBE4029296}"/>
    <cellStyle name="Output 2 4 3 4 4" xfId="5716" xr:uid="{C724F180-0B9B-449B-86A8-D370DEEB2986}"/>
    <cellStyle name="Output 2 4 3 4 4 2" xfId="8690" xr:uid="{C7C9A0BB-D4E4-44DA-9B1A-82C9C94251A6}"/>
    <cellStyle name="Output 2 4 3 4 5" xfId="6389" xr:uid="{7B92507F-B7A2-4EDE-A796-5BE693A344BD}"/>
    <cellStyle name="Output 2 4 3 4 6" xfId="2366" xr:uid="{A1FAF33C-D72A-4011-8F21-B6078660AE1F}"/>
    <cellStyle name="Output 2 4 3 5" xfId="3187" xr:uid="{C8AC7D33-C5B1-470A-8D18-43B5BD649382}"/>
    <cellStyle name="Output 2 4 3 6" xfId="2079" xr:uid="{56579957-BD1D-4603-80F5-1B21381AACB0}"/>
    <cellStyle name="Output 2 4 4" xfId="438" xr:uid="{B52F119C-3336-45C4-8484-546222BFE820}"/>
    <cellStyle name="Output 2 4 4 2" xfId="917" xr:uid="{5FD4E881-6027-4D73-B55C-79FADF7AB950}"/>
    <cellStyle name="Output 2 4 4 2 2" xfId="1722" xr:uid="{18A0506D-5BEE-4C88-AF51-6FFB88743DA7}"/>
    <cellStyle name="Output 2 4 4 2 2 2" xfId="7493" xr:uid="{71577D4D-CBA7-4866-8D4D-C585412789CD}"/>
    <cellStyle name="Output 2 4 4 2 2 3" xfId="10159" xr:uid="{4B73C36C-A0B1-4F63-840C-2A6E40ACC8DA}"/>
    <cellStyle name="Output 2 4 4 2 2 4" xfId="4519" xr:uid="{4D1F3D5C-E3B7-4584-853A-0A89D9714F37}"/>
    <cellStyle name="Output 2 4 4 2 3" xfId="5259" xr:uid="{DAF2A23E-5B29-423B-B83E-470AB65D8B89}"/>
    <cellStyle name="Output 2 4 4 2 3 2" xfId="8233" xr:uid="{E24E7C8D-7F41-42FC-84E1-77A82C2D6F5F}"/>
    <cellStyle name="Output 2 4 4 2 4" xfId="6024" xr:uid="{F71F6CAE-0F29-458B-A461-0EADC40CA8C6}"/>
    <cellStyle name="Output 2 4 4 2 4 2" xfId="8998" xr:uid="{BFA06ACB-135D-4CEB-B1ED-0D13DB8EAF74}"/>
    <cellStyle name="Output 2 4 4 2 5" xfId="3734" xr:uid="{CF06C946-AA31-4495-8D02-85E0FAC110F7}"/>
    <cellStyle name="Output 2 4 4 2 6" xfId="6697" xr:uid="{59488EEB-CDDA-4030-9D25-2685295091E6}"/>
    <cellStyle name="Output 2 4 4 2 7" xfId="2674" xr:uid="{8B366C8F-C75F-4748-97E8-4875F0F6373C}"/>
    <cellStyle name="Output 2 4 4 3" xfId="638" xr:uid="{13D29554-A37F-4F38-B061-41E68FFFF30F}"/>
    <cellStyle name="Output 2 4 4 3 2" xfId="1443" xr:uid="{DDB8DF4D-C6AB-4B04-A4BB-A183250CA0E8}"/>
    <cellStyle name="Output 2 4 4 3 2 2" xfId="7214" xr:uid="{1DDD3C9E-740D-4210-8039-AC83B1CA9A0E}"/>
    <cellStyle name="Output 2 4 4 3 2 3" xfId="9880" xr:uid="{347CD4DE-F56C-493B-85A3-EC386C5D16C7}"/>
    <cellStyle name="Output 2 4 4 3 2 4" xfId="4240" xr:uid="{C085D1D3-6949-4349-A6F2-C7C390B47208}"/>
    <cellStyle name="Output 2 4 4 3 3" xfId="4980" xr:uid="{770677A4-3715-4A1E-9C5A-754145DFAEDA}"/>
    <cellStyle name="Output 2 4 4 3 3 2" xfId="7954" xr:uid="{AC217BF3-DB55-4357-B858-4225E3FAB948}"/>
    <cellStyle name="Output 2 4 4 3 4" xfId="5745" xr:uid="{0FFC0AAE-9C93-4778-8AA6-A2589CBD3319}"/>
    <cellStyle name="Output 2 4 4 3 4 2" xfId="8719" xr:uid="{A12CACD4-6411-469D-A453-8132BD0155E6}"/>
    <cellStyle name="Output 2 4 4 3 5" xfId="6418" xr:uid="{0A7101D1-84FC-43BA-BE7E-5A15C13D0A1C}"/>
    <cellStyle name="Output 2 4 4 3 6" xfId="2395" xr:uid="{AF7F3D2A-E476-4CB0-806D-08816B614A6B}"/>
    <cellStyle name="Output 2 4 4 4" xfId="1244" xr:uid="{57523A6F-87F8-4049-9365-9BF5A2211B0A}"/>
    <cellStyle name="Output 2 4 4 4 2" xfId="7015" xr:uid="{185A2E94-AF17-4399-9FA7-38766621A6FF}"/>
    <cellStyle name="Output 2 4 4 4 3" xfId="9681" xr:uid="{82FA514E-C952-46CD-803D-B29176ACEA29}"/>
    <cellStyle name="Output 2 4 4 4 4" xfId="4041" xr:uid="{FAB639A9-85D7-41BD-9A9A-EE5BE65663FE}"/>
    <cellStyle name="Output 2 4 4 5" xfId="3283" xr:uid="{79D3C68F-06F6-4F08-AB46-9965A7A31533}"/>
    <cellStyle name="Output 2 4 4 5 2" xfId="3000" xr:uid="{5DE03EC3-9B81-4639-8ACA-A9791AECD330}"/>
    <cellStyle name="Output 2 4 4 6" xfId="5546" xr:uid="{8B0570B1-5833-42C1-BD35-7D2D10CB561B}"/>
    <cellStyle name="Output 2 4 4 6 2" xfId="8520" xr:uid="{76E658E6-6149-4BBB-97D2-4DBF4AD8CDC9}"/>
    <cellStyle name="Output 2 4 4 7" xfId="3984" xr:uid="{3B81D543-F66D-45C5-9378-55F256C64BA7}"/>
    <cellStyle name="Output 2 4 4 8" xfId="2196" xr:uid="{0C6F635F-DAED-485C-A249-0C78358E2F24}"/>
    <cellStyle name="Output 2 4 5" xfId="706" xr:uid="{98114237-C281-421F-BF40-281AC7F3F0B8}"/>
    <cellStyle name="Output 2 4 5 2" xfId="1511" xr:uid="{49B5EEC3-80B9-4559-8A76-D559226EC85C}"/>
    <cellStyle name="Output 2 4 5 2 2" xfId="7282" xr:uid="{49800738-7B83-4EBB-80E3-746024A6BCBD}"/>
    <cellStyle name="Output 2 4 5 2 3" xfId="9948" xr:uid="{EFFA678D-E4D5-47E2-B2B7-843852A0A9BE}"/>
    <cellStyle name="Output 2 4 5 2 4" xfId="4308" xr:uid="{40F4CFE4-5A08-46B5-96EF-2EB07072799B}"/>
    <cellStyle name="Output 2 4 5 3" xfId="5048" xr:uid="{210D1F61-EE72-49D4-8B9E-9DDF57DF422E}"/>
    <cellStyle name="Output 2 4 5 3 2" xfId="8022" xr:uid="{6A6A55EE-DBE8-4CC6-A719-6F2AC64342DB}"/>
    <cellStyle name="Output 2 4 5 4" xfId="5813" xr:uid="{82B56EC1-9330-4646-9703-6751DF719E18}"/>
    <cellStyle name="Output 2 4 5 4 2" xfId="8787" xr:uid="{93EECE33-F8E0-45EB-AAFD-5EAD68746561}"/>
    <cellStyle name="Output 2 4 5 5" xfId="3541" xr:uid="{62E394B6-4FB2-4115-9D84-468A9443262C}"/>
    <cellStyle name="Output 2 4 5 6" xfId="6486" xr:uid="{0420EAC8-C48A-49E2-9998-3B3F32401354}"/>
    <cellStyle name="Output 2 4 5 7" xfId="2463" xr:uid="{63435CD6-2761-4973-97CE-0BFCBF46A757}"/>
    <cellStyle name="Output 2 4 6" xfId="841" xr:uid="{23D859AD-08EE-48A5-8BC1-A3EC8FB77A5F}"/>
    <cellStyle name="Output 2 4 6 2" xfId="1646" xr:uid="{4FCE1C19-0A10-4C02-BB0D-C8DFF35DC5D5}"/>
    <cellStyle name="Output 2 4 6 2 2" xfId="7417" xr:uid="{F3D2C16E-590A-4AD8-9229-CC9296CFBBA3}"/>
    <cellStyle name="Output 2 4 6 2 3" xfId="10083" xr:uid="{9EC49FBF-B5BC-4042-8856-AC8E02D2EAEC}"/>
    <cellStyle name="Output 2 4 6 2 4" xfId="4443" xr:uid="{060903FD-B5F4-402E-8B7B-2D68C8A14630}"/>
    <cellStyle name="Output 2 4 6 3" xfId="5183" xr:uid="{8D2C0713-83D6-4327-8E97-B515D2C7F6AE}"/>
    <cellStyle name="Output 2 4 6 3 2" xfId="8157" xr:uid="{AFBE5128-1A9E-467C-B47B-369C47151D57}"/>
    <cellStyle name="Output 2 4 6 4" xfId="5948" xr:uid="{4B5E3A7B-7223-48C7-94C3-B3B5D31793AC}"/>
    <cellStyle name="Output 2 4 6 4 2" xfId="8922" xr:uid="{4D28516C-452C-406B-ADFC-9BBDF1237ED1}"/>
    <cellStyle name="Output 2 4 6 5" xfId="6621" xr:uid="{999ED8A2-B227-497C-B2FB-A7B17F0AD5CF}"/>
    <cellStyle name="Output 2 4 6 6" xfId="2598" xr:uid="{6A10EB9B-F1CA-419A-BA7E-0EA9F46BD407}"/>
    <cellStyle name="Output 2 4 7" xfId="3432" xr:uid="{DC3DEAD0-897C-47EA-8845-19DE3168CBB1}"/>
    <cellStyle name="Output 2 4 8" xfId="2029" xr:uid="{FCA960C0-73B6-4418-A3AE-375A94430E3A}"/>
    <cellStyle name="Output 2 5" xfId="220" xr:uid="{73FF91DF-B5B9-424D-B580-8CE9723F0DDA}"/>
    <cellStyle name="Output 2 5 2" xfId="324" xr:uid="{57166F2A-FEB4-4407-B153-E0E6185FBF4A}"/>
    <cellStyle name="Output 2 5 2 2" xfId="546" xr:uid="{BA23C666-4B75-40CC-A86E-00876275F5BC}"/>
    <cellStyle name="Output 2 5 2 2 2" xfId="1025" xr:uid="{C1F97115-98F3-4835-B8A3-4B22A9DE2428}"/>
    <cellStyle name="Output 2 5 2 2 2 2" xfId="1830" xr:uid="{AAA41BE7-0200-4B75-9151-8A3C40DE3D09}"/>
    <cellStyle name="Output 2 5 2 2 2 2 2" xfId="7601" xr:uid="{39994A6B-5E15-48B8-9D79-1B78DF3AAFD1}"/>
    <cellStyle name="Output 2 5 2 2 2 2 3" xfId="10267" xr:uid="{93A19ED1-3F16-4227-ACC5-ED89F33B4C9B}"/>
    <cellStyle name="Output 2 5 2 2 2 2 4" xfId="4627" xr:uid="{6D1F0EBD-5D7C-4669-80DC-2C5D018346A1}"/>
    <cellStyle name="Output 2 5 2 2 2 3" xfId="5367" xr:uid="{CA3B2A2E-724C-4165-9AB5-23EA0C1CAC36}"/>
    <cellStyle name="Output 2 5 2 2 2 3 2" xfId="8341" xr:uid="{D75BEA26-23B9-47EA-815C-7C4B287AD24E}"/>
    <cellStyle name="Output 2 5 2 2 2 4" xfId="6132" xr:uid="{B33F28C0-72EE-494B-BF92-5B6EA3E2B9A2}"/>
    <cellStyle name="Output 2 5 2 2 2 4 2" xfId="9106" xr:uid="{C0D995EF-9582-496A-85C5-03709F2D5AC2}"/>
    <cellStyle name="Output 2 5 2 2 2 5" xfId="3842" xr:uid="{C5C35459-D441-44FA-A787-A7930815DB4E}"/>
    <cellStyle name="Output 2 5 2 2 2 6" xfId="6805" xr:uid="{5AF41D25-BC27-453B-8FEA-2A36B3DE8F4C}"/>
    <cellStyle name="Output 2 5 2 2 2 7" xfId="2782" xr:uid="{83636004-754C-43CB-9592-D40C0C64D132}"/>
    <cellStyle name="Output 2 5 2 2 3" xfId="849" xr:uid="{8FBC32DB-5E8F-4676-A164-38C3414E38A8}"/>
    <cellStyle name="Output 2 5 2 2 3 2" xfId="1654" xr:uid="{21EA8998-95A7-47E9-96E3-E1F5321C7457}"/>
    <cellStyle name="Output 2 5 2 2 3 2 2" xfId="7425" xr:uid="{096CAC8D-6599-4864-82AD-C0E1678A856F}"/>
    <cellStyle name="Output 2 5 2 2 3 2 3" xfId="10091" xr:uid="{80062A75-8AAD-420E-81A7-7A4CA3EA90AF}"/>
    <cellStyle name="Output 2 5 2 2 3 2 4" xfId="4451" xr:uid="{77F8B71E-F30C-4304-BB0B-B46D6B113F0B}"/>
    <cellStyle name="Output 2 5 2 2 3 3" xfId="5191" xr:uid="{C0EEB798-8168-4C67-B8C4-CCEAB6A013A5}"/>
    <cellStyle name="Output 2 5 2 2 3 3 2" xfId="8165" xr:uid="{765AEE52-EF4B-406B-AD76-837F81CE1039}"/>
    <cellStyle name="Output 2 5 2 2 3 4" xfId="5956" xr:uid="{6D61F26C-85C2-4354-87EA-806BA9D89F69}"/>
    <cellStyle name="Output 2 5 2 2 3 4 2" xfId="8930" xr:uid="{5C64CA2A-6EFC-410E-907A-43267F3572C7}"/>
    <cellStyle name="Output 2 5 2 2 3 5" xfId="6629" xr:uid="{67212A57-18CF-4692-A151-46C16E0906E6}"/>
    <cellStyle name="Output 2 5 2 2 3 6" xfId="2606" xr:uid="{E0856EA2-94DF-4148-9AA5-268D8AC12FD0}"/>
    <cellStyle name="Output 2 5 2 2 4" xfId="1352" xr:uid="{2F73FB8C-ECF5-498E-92BB-04728303E8AE}"/>
    <cellStyle name="Output 2 5 2 2 4 2" xfId="7123" xr:uid="{DB6DF7FE-E930-4FE9-AE9D-0DBA78BABBA6}"/>
    <cellStyle name="Output 2 5 2 2 4 3" xfId="9789" xr:uid="{21BCF836-4366-4252-BDFE-EC625154A4E9}"/>
    <cellStyle name="Output 2 5 2 2 4 4" xfId="4149" xr:uid="{A88DE46A-B5CA-41A1-B848-4C35010AE132}"/>
    <cellStyle name="Output 2 5 2 2 5" xfId="4889" xr:uid="{57A469AA-5DDF-40BF-BF89-AC17DA1FB41A}"/>
    <cellStyle name="Output 2 5 2 2 5 2" xfId="7863" xr:uid="{F91A9654-AF61-4562-BE43-E5A37FA7E918}"/>
    <cellStyle name="Output 2 5 2 2 6" xfId="5654" xr:uid="{FE748F53-FA5A-4B4B-A2D5-6C99341AB59C}"/>
    <cellStyle name="Output 2 5 2 2 6 2" xfId="8628" xr:uid="{E33F7133-0ED8-488E-9FB7-FA8480B50CF5}"/>
    <cellStyle name="Output 2 5 2 2 7" xfId="6327" xr:uid="{589E67C7-9AE0-48CA-BBAE-82B25EAC3D4F}"/>
    <cellStyle name="Output 2 5 2 2 8" xfId="2304" xr:uid="{7C0AC91C-C870-4207-AF26-D27EEAB6B8E8}"/>
    <cellStyle name="Output 2 5 2 3" xfId="815" xr:uid="{35A0D927-0054-401A-A176-E5E7527F974D}"/>
    <cellStyle name="Output 2 5 2 3 2" xfId="1620" xr:uid="{DB4B9ABA-F330-4751-8031-722F84AB42CB}"/>
    <cellStyle name="Output 2 5 2 3 2 2" xfId="7391" xr:uid="{419543A3-6241-476D-A5DA-B29AD1B46B42}"/>
    <cellStyle name="Output 2 5 2 3 2 3" xfId="10057" xr:uid="{80B65FC1-B727-4538-B45C-81EBD582AAFB}"/>
    <cellStyle name="Output 2 5 2 3 2 4" xfId="4417" xr:uid="{D2D79575-3825-40C9-B1E1-B3CD66264D2A}"/>
    <cellStyle name="Output 2 5 2 3 3" xfId="5157" xr:uid="{D9196211-146F-4879-8FF4-A4CEAABEAFE1}"/>
    <cellStyle name="Output 2 5 2 3 3 2" xfId="8131" xr:uid="{DC47D4BA-F500-4C48-A17B-974378706EB9}"/>
    <cellStyle name="Output 2 5 2 3 4" xfId="5922" xr:uid="{ABA5415C-4A8F-4F20-865A-1E556BF52D2A}"/>
    <cellStyle name="Output 2 5 2 3 4 2" xfId="8896" xr:uid="{1D687047-036D-4876-803D-76AA3C84FDD8}"/>
    <cellStyle name="Output 2 5 2 3 5" xfId="3649" xr:uid="{01EF5460-532F-471E-9C05-916302A02AA3}"/>
    <cellStyle name="Output 2 5 2 3 6" xfId="6595" xr:uid="{0AF7924B-ACC5-4ADB-8333-3ADB24A6A101}"/>
    <cellStyle name="Output 2 5 2 3 7" xfId="2572" xr:uid="{471D5643-FB13-4A0C-9094-E1A26A5949B3}"/>
    <cellStyle name="Output 2 5 2 4" xfId="1133" xr:uid="{C1C4F749-BCF1-48E2-8382-C2DA15E14B6A}"/>
    <cellStyle name="Output 2 5 2 4 2" xfId="1938" xr:uid="{F4470D45-C57F-458C-AEA9-EF1FA9133416}"/>
    <cellStyle name="Output 2 5 2 4 2 2" xfId="7709" xr:uid="{133783D2-A5E3-4E5A-8848-1E8AA480315B}"/>
    <cellStyle name="Output 2 5 2 4 2 3" xfId="10375" xr:uid="{60A6FEA9-372C-41A7-A826-FBB10B316687}"/>
    <cellStyle name="Output 2 5 2 4 2 4" xfId="4735" xr:uid="{B4A02AA9-6252-4E14-8026-BC0EB4727C1E}"/>
    <cellStyle name="Output 2 5 2 4 3" xfId="5475" xr:uid="{D327544D-4A28-4D12-B95A-4A0678A60E80}"/>
    <cellStyle name="Output 2 5 2 4 3 2" xfId="8449" xr:uid="{E2936ED5-B711-4479-9233-6DF5B372BBC8}"/>
    <cellStyle name="Output 2 5 2 4 4" xfId="6240" xr:uid="{F8AA7A14-EA8C-48FE-849B-78570CB13ACC}"/>
    <cellStyle name="Output 2 5 2 4 4 2" xfId="9214" xr:uid="{65EE3518-E800-4E13-87A6-5F600FBD2637}"/>
    <cellStyle name="Output 2 5 2 4 5" xfId="6913" xr:uid="{BD4BF6AC-DE5E-4C79-B93F-B3BA36D84A1D}"/>
    <cellStyle name="Output 2 5 2 4 6" xfId="2890" xr:uid="{F34000B9-7DC5-4EC3-A7B7-1A338B1AB4A1}"/>
    <cellStyle name="Output 2 5 2 5" xfId="3097" xr:uid="{B9050E2F-1449-406B-A631-6B6FCA1FE6D4}"/>
    <cellStyle name="Output 2 5 2 6" xfId="2142" xr:uid="{AB71F705-31E8-403A-B2DC-0FDEE3F66F94}"/>
    <cellStyle name="Output 2 5 3" xfId="268" xr:uid="{0DA0C2BE-8B30-4CF2-815E-EE0D8661592E}"/>
    <cellStyle name="Output 2 5 3 2" xfId="492" xr:uid="{A6F6C948-EA8A-445F-A946-2B6CDAE42173}"/>
    <cellStyle name="Output 2 5 3 2 2" xfId="971" xr:uid="{AA14258B-350B-4CD6-BF96-BDB52E3E6752}"/>
    <cellStyle name="Output 2 5 3 2 2 2" xfId="1776" xr:uid="{AA16BCD2-2D25-40D9-8327-6E2FA6D7DDE6}"/>
    <cellStyle name="Output 2 5 3 2 2 2 2" xfId="7547" xr:uid="{97970F33-A191-4B6D-B37D-B241DAFC7C40}"/>
    <cellStyle name="Output 2 5 3 2 2 2 3" xfId="10213" xr:uid="{23F11F0B-83E5-4F69-B01A-4322EBFFA124}"/>
    <cellStyle name="Output 2 5 3 2 2 2 4" xfId="4573" xr:uid="{C9D38C9C-BAC8-4850-A948-23C2FCE81D40}"/>
    <cellStyle name="Output 2 5 3 2 2 3" xfId="5313" xr:uid="{94E12588-34C9-4D68-B8AB-182F35697A95}"/>
    <cellStyle name="Output 2 5 3 2 2 3 2" xfId="8287" xr:uid="{D9F2AE40-4AD0-4CF6-B1CF-851010DF3B5D}"/>
    <cellStyle name="Output 2 5 3 2 2 4" xfId="6078" xr:uid="{C95EB075-4FD8-4A1E-8ED4-84BA9636B951}"/>
    <cellStyle name="Output 2 5 3 2 2 4 2" xfId="9052" xr:uid="{F2E9D853-EAC0-41FB-83A4-471D4C8BCCD3}"/>
    <cellStyle name="Output 2 5 3 2 2 5" xfId="3788" xr:uid="{04335E34-2CF5-4BE6-BA63-1FA6460A05A8}"/>
    <cellStyle name="Output 2 5 3 2 2 6" xfId="6751" xr:uid="{FBB82CFC-1F03-4396-AB79-C6531FE1D0E4}"/>
    <cellStyle name="Output 2 5 3 2 2 7" xfId="2728" xr:uid="{109B72FF-0456-49F2-85A8-88971DEE3CFE}"/>
    <cellStyle name="Output 2 5 3 2 3" xfId="657" xr:uid="{E814EB46-705D-4B9F-B67A-D62E058C5F7F}"/>
    <cellStyle name="Output 2 5 3 2 3 2" xfId="1462" xr:uid="{B5FA9569-4D41-421B-8457-CE6C34E35D6F}"/>
    <cellStyle name="Output 2 5 3 2 3 2 2" xfId="7233" xr:uid="{285FCBB7-A8EA-4515-8CDA-7A654EA02670}"/>
    <cellStyle name="Output 2 5 3 2 3 2 3" xfId="9899" xr:uid="{EFAA3332-AF38-45ED-B049-39EE7EB8C268}"/>
    <cellStyle name="Output 2 5 3 2 3 2 4" xfId="4259" xr:uid="{F2C351F2-B663-4A2B-AAB8-CCEA2B4CC5CD}"/>
    <cellStyle name="Output 2 5 3 2 3 3" xfId="4999" xr:uid="{D348250D-6A12-45BF-9988-FD0C480755F8}"/>
    <cellStyle name="Output 2 5 3 2 3 3 2" xfId="7973" xr:uid="{56A2D5B4-4734-4ACF-A91E-D2235436D2FF}"/>
    <cellStyle name="Output 2 5 3 2 3 4" xfId="5764" xr:uid="{671070DB-6AF2-4EBE-9FAB-4E7053D5EAA3}"/>
    <cellStyle name="Output 2 5 3 2 3 4 2" xfId="8738" xr:uid="{45A67F67-84BE-4A40-A0E7-15E9C00B3F6E}"/>
    <cellStyle name="Output 2 5 3 2 3 5" xfId="6437" xr:uid="{223B6953-651D-40A7-A418-97B8C781F807}"/>
    <cellStyle name="Output 2 5 3 2 3 6" xfId="2414" xr:uid="{D686B211-F67E-46EC-8F80-961048E66E46}"/>
    <cellStyle name="Output 2 5 3 2 4" xfId="1298" xr:uid="{9408A4C1-CD92-4EF8-B80B-88CE1D90E4D5}"/>
    <cellStyle name="Output 2 5 3 2 4 2" xfId="7069" xr:uid="{CA57C50C-C835-4453-908E-376D17AEFDB8}"/>
    <cellStyle name="Output 2 5 3 2 4 3" xfId="9735" xr:uid="{E0FC66B5-4C5B-4359-85FC-7CD41F87083F}"/>
    <cellStyle name="Output 2 5 3 2 4 4" xfId="4095" xr:uid="{B1EBE379-B7AF-4211-8829-90CF34AEAD08}"/>
    <cellStyle name="Output 2 5 3 2 5" xfId="4835" xr:uid="{53A2DB8B-B991-4CD3-B042-EB6032311E38}"/>
    <cellStyle name="Output 2 5 3 2 5 2" xfId="7809" xr:uid="{CA5CE116-2B98-464D-A3A6-AC80F7485EAD}"/>
    <cellStyle name="Output 2 5 3 2 6" xfId="5600" xr:uid="{34CDE2C8-4AFA-4CAF-B0C0-1E26BB5EB283}"/>
    <cellStyle name="Output 2 5 3 2 6 2" xfId="8574" xr:uid="{F8AD93E1-E7B8-4E81-9811-0A1E65D005AB}"/>
    <cellStyle name="Output 2 5 3 2 7" xfId="3063" xr:uid="{3EECFCFF-9CC8-48DD-A59A-0A2A6A7B239A}"/>
    <cellStyle name="Output 2 5 3 2 8" xfId="2250" xr:uid="{AFE6B9E3-182D-4041-A57C-9C71D1F14A85}"/>
    <cellStyle name="Output 2 5 3 3" xfId="760" xr:uid="{2511C8A4-6625-4B46-8B3F-A85E0709C321}"/>
    <cellStyle name="Output 2 5 3 3 2" xfId="1565" xr:uid="{F6BCC7A9-F645-45D1-8D6C-E2A2DC9D0EE3}"/>
    <cellStyle name="Output 2 5 3 3 2 2" xfId="7336" xr:uid="{F2ED522B-93F2-4981-A881-88660996860D}"/>
    <cellStyle name="Output 2 5 3 3 2 3" xfId="10002" xr:uid="{03B84256-E4A1-4468-A07E-A62A296AC4B7}"/>
    <cellStyle name="Output 2 5 3 3 2 4" xfId="4362" xr:uid="{09536504-A55F-4A1B-AEE7-095BC9DA70C4}"/>
    <cellStyle name="Output 2 5 3 3 3" xfId="5102" xr:uid="{212E23A4-1EF3-42F8-9603-113046303B1D}"/>
    <cellStyle name="Output 2 5 3 3 3 2" xfId="8076" xr:uid="{521F7DBF-AD73-4CB2-849A-58CFAC46E7B5}"/>
    <cellStyle name="Output 2 5 3 3 4" xfId="5867" xr:uid="{F66405E2-0646-450A-9B11-CA2AD894030B}"/>
    <cellStyle name="Output 2 5 3 3 4 2" xfId="8841" xr:uid="{17EF4B63-6BF4-422F-872F-7D53761F33E1}"/>
    <cellStyle name="Output 2 5 3 3 5" xfId="3595" xr:uid="{E886F2ED-6301-4098-9D54-9D76DEA229E4}"/>
    <cellStyle name="Output 2 5 3 3 6" xfId="6540" xr:uid="{7BF2B597-F146-435F-8D34-7EECC3A5138D}"/>
    <cellStyle name="Output 2 5 3 3 7" xfId="2517" xr:uid="{582055C7-C956-4D08-B5D0-316A0E380B83}"/>
    <cellStyle name="Output 2 5 3 4" xfId="1119" xr:uid="{D669B84C-D521-4144-9631-AE1AF7EDF56A}"/>
    <cellStyle name="Output 2 5 3 4 2" xfId="1924" xr:uid="{43F3BF69-CDC6-418E-A627-44335115281E}"/>
    <cellStyle name="Output 2 5 3 4 2 2" xfId="7695" xr:uid="{6153BC3D-6DE5-4BC9-B57E-DFDC04A97628}"/>
    <cellStyle name="Output 2 5 3 4 2 3" xfId="10361" xr:uid="{4F2337EB-9DBB-4BE0-9D01-2BB4D8F27884}"/>
    <cellStyle name="Output 2 5 3 4 2 4" xfId="4721" xr:uid="{C7BD8956-1510-465C-BF7A-0AE4926A0083}"/>
    <cellStyle name="Output 2 5 3 4 3" xfId="5461" xr:uid="{6BC37CE6-0230-432E-9FF4-57C56E02CF9F}"/>
    <cellStyle name="Output 2 5 3 4 3 2" xfId="8435" xr:uid="{DBA90BD2-A84D-42B4-9BC7-AB89CE599DEF}"/>
    <cellStyle name="Output 2 5 3 4 4" xfId="6226" xr:uid="{64F8DE27-E922-4933-913C-1CE8AA649286}"/>
    <cellStyle name="Output 2 5 3 4 4 2" xfId="9200" xr:uid="{AF366043-CC96-4569-8AFA-06F8AC6871BE}"/>
    <cellStyle name="Output 2 5 3 4 5" xfId="6899" xr:uid="{3A31B33B-DAB9-44C1-B60E-F751714C6606}"/>
    <cellStyle name="Output 2 5 3 4 6" xfId="2876" xr:uid="{C33C75CE-A283-461D-AE2F-B11115D74788}"/>
    <cellStyle name="Output 2 5 3 5" xfId="3867" xr:uid="{E504E3F6-6870-4320-85C4-1E2F638B4716}"/>
    <cellStyle name="Output 2 5 3 6" xfId="2085" xr:uid="{2374D20F-B50C-453F-A685-D863B375B25C}"/>
    <cellStyle name="Output 2 5 4" xfId="444" xr:uid="{42AD5E62-957D-4EA7-A6DE-9708EB261EC2}"/>
    <cellStyle name="Output 2 5 4 2" xfId="923" xr:uid="{6A9763A7-8533-431F-9EF3-E77EDC0BA75D}"/>
    <cellStyle name="Output 2 5 4 2 2" xfId="1728" xr:uid="{2104B52D-BC34-442B-93BF-D8511A48978E}"/>
    <cellStyle name="Output 2 5 4 2 2 2" xfId="7499" xr:uid="{38620746-0720-4155-AD7E-8FFCFFE1C0FE}"/>
    <cellStyle name="Output 2 5 4 2 2 3" xfId="10165" xr:uid="{2C9DF0B1-319A-4A0A-82B0-7E7CAA79C11F}"/>
    <cellStyle name="Output 2 5 4 2 2 4" xfId="4525" xr:uid="{9F9CB885-82BE-4FBF-B710-880402A2976B}"/>
    <cellStyle name="Output 2 5 4 2 3" xfId="5265" xr:uid="{954385CA-D691-4241-A688-59FA3C9DAAD3}"/>
    <cellStyle name="Output 2 5 4 2 3 2" xfId="8239" xr:uid="{C9AB7725-2D1A-471C-A418-AACF29FDA4B0}"/>
    <cellStyle name="Output 2 5 4 2 4" xfId="6030" xr:uid="{8EA78C73-4022-4C1D-840D-6301C8309699}"/>
    <cellStyle name="Output 2 5 4 2 4 2" xfId="9004" xr:uid="{1988B43E-31E8-451F-BA20-27B0971AEAD1}"/>
    <cellStyle name="Output 2 5 4 2 5" xfId="3740" xr:uid="{249A6F75-9454-4001-8677-759DD0E62CBC}"/>
    <cellStyle name="Output 2 5 4 2 6" xfId="6703" xr:uid="{404EFDAD-67C0-456E-919A-6B1284E5FA7B}"/>
    <cellStyle name="Output 2 5 4 2 7" xfId="2680" xr:uid="{52006152-2728-4912-91CC-F8D905970D08}"/>
    <cellStyle name="Output 2 5 4 3" xfId="613" xr:uid="{0E4CB3EF-18F4-4E37-AE5A-0AA6B1C49E8A}"/>
    <cellStyle name="Output 2 5 4 3 2" xfId="1418" xr:uid="{177D8960-1C49-4CA5-AB7E-3F6A0F84879D}"/>
    <cellStyle name="Output 2 5 4 3 2 2" xfId="7189" xr:uid="{0D91C5C9-1B9A-4F8A-BE24-9EFE0638EA29}"/>
    <cellStyle name="Output 2 5 4 3 2 3" xfId="9855" xr:uid="{6D4166BA-46A1-4C4A-A321-FC125293B5C5}"/>
    <cellStyle name="Output 2 5 4 3 2 4" xfId="4215" xr:uid="{AA1900C0-860F-433B-B53B-CF2BAF223594}"/>
    <cellStyle name="Output 2 5 4 3 3" xfId="4955" xr:uid="{46E44883-55E0-461B-A213-4378219D9450}"/>
    <cellStyle name="Output 2 5 4 3 3 2" xfId="7929" xr:uid="{20305DEF-B935-488D-9370-8FF9439E9A9E}"/>
    <cellStyle name="Output 2 5 4 3 4" xfId="5720" xr:uid="{F250179B-34AC-48FC-978E-A667AEC5FEF3}"/>
    <cellStyle name="Output 2 5 4 3 4 2" xfId="8694" xr:uid="{B5AB3EE4-55A2-417E-B4D3-61681D517922}"/>
    <cellStyle name="Output 2 5 4 3 5" xfId="6393" xr:uid="{73FCB8FE-B3E0-4833-BA12-188BC14ECF72}"/>
    <cellStyle name="Output 2 5 4 3 6" xfId="2370" xr:uid="{400B0637-844E-4D60-A392-0FCFD72B40E4}"/>
    <cellStyle name="Output 2 5 4 4" xfId="1250" xr:uid="{C882DDA2-A19C-40B2-961A-1B5BE9397EC8}"/>
    <cellStyle name="Output 2 5 4 4 2" xfId="7021" xr:uid="{9D5783B8-29CB-470F-B95C-B49AC060C318}"/>
    <cellStyle name="Output 2 5 4 4 3" xfId="9687" xr:uid="{1E01D149-813D-4C96-B4E6-DF4ACBD84CFE}"/>
    <cellStyle name="Output 2 5 4 4 4" xfId="4047" xr:uid="{375DB9C9-1967-43CE-AFA5-96AFE9474645}"/>
    <cellStyle name="Output 2 5 4 5" xfId="3289" xr:uid="{F3284EB6-FE95-4F4B-8323-1B80B438CF2F}"/>
    <cellStyle name="Output 2 5 4 5 2" xfId="3031" xr:uid="{760AAAC3-E1B9-45D4-8216-05EC3A26B45F}"/>
    <cellStyle name="Output 2 5 4 6" xfId="5552" xr:uid="{5A032F40-1F8C-4354-89FC-CDD3F8248FED}"/>
    <cellStyle name="Output 2 5 4 6 2" xfId="8526" xr:uid="{D81E2AEC-5907-4CE3-8989-01F2D0F1F7A5}"/>
    <cellStyle name="Output 2 5 4 7" xfId="3072" xr:uid="{C0290753-641E-4804-B715-1DBD027B3005}"/>
    <cellStyle name="Output 2 5 4 8" xfId="2202" xr:uid="{4DDC81F2-E15C-4651-A781-1E18B4F9DC08}"/>
    <cellStyle name="Output 2 5 5" xfId="712" xr:uid="{304C0A35-BE2C-4D7B-B8AF-AE5369F5C979}"/>
    <cellStyle name="Output 2 5 5 2" xfId="1517" xr:uid="{34E337A3-2F73-41BF-8C97-5746167FA869}"/>
    <cellStyle name="Output 2 5 5 2 2" xfId="7288" xr:uid="{90CFF222-0B38-446C-9F12-DC3FF4CAFCF1}"/>
    <cellStyle name="Output 2 5 5 2 3" xfId="9954" xr:uid="{49DF86BC-782A-425C-BAEC-0E3AEB0B230C}"/>
    <cellStyle name="Output 2 5 5 2 4" xfId="4314" xr:uid="{CBF732CB-406D-4F33-BD2D-05F756B6CEC4}"/>
    <cellStyle name="Output 2 5 5 3" xfId="5054" xr:uid="{B0571B5B-84BB-46E6-910A-5494F15D7F42}"/>
    <cellStyle name="Output 2 5 5 3 2" xfId="8028" xr:uid="{77CA1D5B-6A26-4AEA-806F-DBD9DA56322D}"/>
    <cellStyle name="Output 2 5 5 4" xfId="5819" xr:uid="{9E9FF2CF-2FC8-4BE1-9D39-BCF0BA728A64}"/>
    <cellStyle name="Output 2 5 5 4 2" xfId="8793" xr:uid="{AD8BF819-6FD6-4DA5-BCDF-89B228E585D5}"/>
    <cellStyle name="Output 2 5 5 5" xfId="3547" xr:uid="{5686E6D8-2F76-473A-B371-28D48AC2C522}"/>
    <cellStyle name="Output 2 5 5 6" xfId="6492" xr:uid="{2C6444E3-5A99-48D7-A0EB-F6C174546B98}"/>
    <cellStyle name="Output 2 5 5 7" xfId="2469" xr:uid="{569A1111-7637-41D3-A9B1-7C0FDD567BF6}"/>
    <cellStyle name="Output 2 5 6" xfId="1127" xr:uid="{F37FDF46-0672-444F-AE86-9B2AACFA1016}"/>
    <cellStyle name="Output 2 5 6 2" xfId="1932" xr:uid="{BF298888-4DEB-4360-A87B-802257327E36}"/>
    <cellStyle name="Output 2 5 6 2 2" xfId="7703" xr:uid="{BBA68FBC-0308-40A9-89DD-2358719ADF94}"/>
    <cellStyle name="Output 2 5 6 2 3" xfId="10369" xr:uid="{7DEBE77B-9E09-468E-814D-5F4531D0254A}"/>
    <cellStyle name="Output 2 5 6 2 4" xfId="4729" xr:uid="{A45C8833-0637-42EC-BAC1-31EB16104173}"/>
    <cellStyle name="Output 2 5 6 3" xfId="5469" xr:uid="{E9A2AA8F-253D-4531-BBE3-C549AF758884}"/>
    <cellStyle name="Output 2 5 6 3 2" xfId="8443" xr:uid="{9B80F570-3D11-4C75-855A-A00B355BFE8B}"/>
    <cellStyle name="Output 2 5 6 4" xfId="6234" xr:uid="{2779337B-B37F-43C9-91A3-1EE8B24C1371}"/>
    <cellStyle name="Output 2 5 6 4 2" xfId="9208" xr:uid="{D56C2284-A9DF-45E5-BEE1-D59E8C719007}"/>
    <cellStyle name="Output 2 5 6 5" xfId="6907" xr:uid="{AFC02D24-918F-4F85-8315-D81B6809204B}"/>
    <cellStyle name="Output 2 5 6 6" xfId="2884" xr:uid="{8BF79EED-17B4-4B5B-BA3C-3EE1F5F30A9D}"/>
    <cellStyle name="Output 2 5 7" xfId="3490" xr:uid="{851FA119-B330-478B-8658-E9B835059EA3}"/>
    <cellStyle name="Output 2 5 8" xfId="2035" xr:uid="{1CB41731-B899-4F24-AD5D-6F9BEF273CC7}"/>
    <cellStyle name="Output 2 6" xfId="226" xr:uid="{64807FB2-FB53-48C1-A557-9D314C6DD572}"/>
    <cellStyle name="Output 2 6 2" xfId="330" xr:uid="{EF0C002C-F0E6-4281-8F47-278CF98EEE9F}"/>
    <cellStyle name="Output 2 6 2 2" xfId="552" xr:uid="{16149C8D-8466-4E9C-A9D6-77B3FC210614}"/>
    <cellStyle name="Output 2 6 2 2 2" xfId="1031" xr:uid="{700F5152-B381-458C-B4CB-561CB8623540}"/>
    <cellStyle name="Output 2 6 2 2 2 2" xfId="1836" xr:uid="{717E7F1B-E405-4BEE-B7BE-ECC355F6E887}"/>
    <cellStyle name="Output 2 6 2 2 2 2 2" xfId="7607" xr:uid="{511973FF-7EFA-45A3-A5AC-E5CD2494BCD2}"/>
    <cellStyle name="Output 2 6 2 2 2 2 3" xfId="10273" xr:uid="{7866E8BB-2879-43E9-9956-827EA69E9564}"/>
    <cellStyle name="Output 2 6 2 2 2 2 4" xfId="4633" xr:uid="{D374E770-25D8-4B6B-970F-42EAA9C0D5E6}"/>
    <cellStyle name="Output 2 6 2 2 2 3" xfId="5373" xr:uid="{3CBC8046-14DA-4BD3-9EDF-36204775EF44}"/>
    <cellStyle name="Output 2 6 2 2 2 3 2" xfId="8347" xr:uid="{A72DEEE7-4712-4378-9863-63A9F0F50FC6}"/>
    <cellStyle name="Output 2 6 2 2 2 4" xfId="6138" xr:uid="{25FB068E-FA8F-4EEE-B7A7-A7646FBECE15}"/>
    <cellStyle name="Output 2 6 2 2 2 4 2" xfId="9112" xr:uid="{E22BFA20-3F76-4BEC-AEF0-3D9CF4712286}"/>
    <cellStyle name="Output 2 6 2 2 2 5" xfId="3848" xr:uid="{9C01FEF9-A7BC-4100-AD92-55A6DA3FE5B4}"/>
    <cellStyle name="Output 2 6 2 2 2 6" xfId="6811" xr:uid="{0007A4E4-1AFF-4487-A981-F92FE0E914BE}"/>
    <cellStyle name="Output 2 6 2 2 2 7" xfId="2788" xr:uid="{039AF5B1-EA7D-4B1B-A134-65BAD4D8EAF3}"/>
    <cellStyle name="Output 2 6 2 2 3" xfId="855" xr:uid="{DF62211D-1EB8-44A4-AB51-DF9F5A3D73BB}"/>
    <cellStyle name="Output 2 6 2 2 3 2" xfId="1660" xr:uid="{467CB1FE-DF6C-4847-85A6-1E629DB96081}"/>
    <cellStyle name="Output 2 6 2 2 3 2 2" xfId="7431" xr:uid="{2C3EE268-CC75-4B89-8DD3-0377CF2A60AA}"/>
    <cellStyle name="Output 2 6 2 2 3 2 3" xfId="10097" xr:uid="{C4155FE1-F28F-4F1A-9D46-513195E4396B}"/>
    <cellStyle name="Output 2 6 2 2 3 2 4" xfId="4457" xr:uid="{C99DF6BF-9A2B-4966-AE95-FC0C3FCBE812}"/>
    <cellStyle name="Output 2 6 2 2 3 3" xfId="5197" xr:uid="{3EABC406-1687-4BB4-9C37-75DB00703532}"/>
    <cellStyle name="Output 2 6 2 2 3 3 2" xfId="8171" xr:uid="{EA801DB3-B74E-47C2-98CD-63F62D64BAE2}"/>
    <cellStyle name="Output 2 6 2 2 3 4" xfId="5962" xr:uid="{925C0B95-7278-4B39-8029-641BAA27DF92}"/>
    <cellStyle name="Output 2 6 2 2 3 4 2" xfId="8936" xr:uid="{0E790ADB-6135-4598-BA45-F43982F98C70}"/>
    <cellStyle name="Output 2 6 2 2 3 5" xfId="6635" xr:uid="{68D561A9-55DF-469C-BE9F-E9A4B8508288}"/>
    <cellStyle name="Output 2 6 2 2 3 6" xfId="2612" xr:uid="{51C9F72F-6ABD-40B5-8C97-BB1502E3B700}"/>
    <cellStyle name="Output 2 6 2 2 4" xfId="1358" xr:uid="{7ED8A732-9B69-408E-B1D4-E5510AECACE4}"/>
    <cellStyle name="Output 2 6 2 2 4 2" xfId="7129" xr:uid="{DC9F89F9-DB9A-46F9-9CFE-FFA22B725F5A}"/>
    <cellStyle name="Output 2 6 2 2 4 3" xfId="9795" xr:uid="{B3B821C3-AAE5-4FBF-A4AA-17C073F2A0A5}"/>
    <cellStyle name="Output 2 6 2 2 4 4" xfId="4155" xr:uid="{E8FC2793-EF22-4ED8-B40D-03E770FD5A52}"/>
    <cellStyle name="Output 2 6 2 2 5" xfId="4895" xr:uid="{E4C1F622-449B-4520-BA87-FA779DF908AA}"/>
    <cellStyle name="Output 2 6 2 2 5 2" xfId="7869" xr:uid="{FB3FA311-6409-4E11-A4FF-EF8C3B4F048E}"/>
    <cellStyle name="Output 2 6 2 2 6" xfId="5660" xr:uid="{790C2707-FAFD-4A51-95C3-9A05497B28BD}"/>
    <cellStyle name="Output 2 6 2 2 6 2" xfId="8634" xr:uid="{FADA3E5D-FAB8-4E92-B888-1C4AE74F25BE}"/>
    <cellStyle name="Output 2 6 2 2 7" xfId="6333" xr:uid="{F3CFB5E6-2A31-43C7-BB8B-523573C96F20}"/>
    <cellStyle name="Output 2 6 2 2 8" xfId="2310" xr:uid="{EE4EEA46-5489-42F7-A734-796048262431}"/>
    <cellStyle name="Output 2 6 2 3" xfId="821" xr:uid="{99C4E453-5A0E-4991-9F43-ACDEEC63358E}"/>
    <cellStyle name="Output 2 6 2 3 2" xfId="1626" xr:uid="{5203F5EC-0C23-498A-A83D-D6E4EDC5AB0F}"/>
    <cellStyle name="Output 2 6 2 3 2 2" xfId="7397" xr:uid="{705DB1E1-9C8A-4179-B497-F11B90592BF4}"/>
    <cellStyle name="Output 2 6 2 3 2 3" xfId="10063" xr:uid="{47DADDC2-5EFB-41EE-9C95-4DDECD624CF0}"/>
    <cellStyle name="Output 2 6 2 3 2 4" xfId="4423" xr:uid="{B3F3ED55-4623-4495-9A7B-CA6D373F2F50}"/>
    <cellStyle name="Output 2 6 2 3 3" xfId="5163" xr:uid="{87B1199F-57F3-46D1-ACB6-E21971011672}"/>
    <cellStyle name="Output 2 6 2 3 3 2" xfId="8137" xr:uid="{43174575-2417-41DF-BDCC-A6CF278A5AB0}"/>
    <cellStyle name="Output 2 6 2 3 4" xfId="5928" xr:uid="{297A0403-A122-454E-98F7-1685693F426A}"/>
    <cellStyle name="Output 2 6 2 3 4 2" xfId="8902" xr:uid="{66DDFDE9-C169-4C9D-B991-0609165B93C2}"/>
    <cellStyle name="Output 2 6 2 3 5" xfId="3655" xr:uid="{15322C9E-E14A-4995-A878-B0CCC5CC161F}"/>
    <cellStyle name="Output 2 6 2 3 6" xfId="6601" xr:uid="{81EC3961-3236-4DDF-8978-47CADA77DB6D}"/>
    <cellStyle name="Output 2 6 2 3 7" xfId="2578" xr:uid="{ADE62A69-1305-45C3-B58A-5515B42D9ADF}"/>
    <cellStyle name="Output 2 6 2 4" xfId="1088" xr:uid="{2635C04D-BEA2-457A-A24E-BCA0A75E373D}"/>
    <cellStyle name="Output 2 6 2 4 2" xfId="1893" xr:uid="{54926862-69A5-49F4-A826-B6B608C7A44C}"/>
    <cellStyle name="Output 2 6 2 4 2 2" xfId="7664" xr:uid="{977568F6-2BA5-4F37-A225-F0CC4504A070}"/>
    <cellStyle name="Output 2 6 2 4 2 3" xfId="10330" xr:uid="{1F8622D4-2AA4-4BAC-8C0C-9B9F3DB68C54}"/>
    <cellStyle name="Output 2 6 2 4 2 4" xfId="4690" xr:uid="{5D7F1781-A5C9-4A4A-89D1-E37C70518082}"/>
    <cellStyle name="Output 2 6 2 4 3" xfId="5430" xr:uid="{641E0C49-2208-4929-8359-4156E0798960}"/>
    <cellStyle name="Output 2 6 2 4 3 2" xfId="8404" xr:uid="{83E697F8-B2E4-41F2-9A85-0D29AA1B70DD}"/>
    <cellStyle name="Output 2 6 2 4 4" xfId="6195" xr:uid="{8F762F74-44D0-46C0-92AB-9D13D2376913}"/>
    <cellStyle name="Output 2 6 2 4 4 2" xfId="9169" xr:uid="{EB92720D-FA86-49A4-9EF3-9EFDAA06023A}"/>
    <cellStyle name="Output 2 6 2 4 5" xfId="6868" xr:uid="{657C897E-17E6-4E21-A3D6-AF5AD393DB2B}"/>
    <cellStyle name="Output 2 6 2 4 6" xfId="2845" xr:uid="{CADC2BC9-BA99-4356-8409-495B179B91DA}"/>
    <cellStyle name="Output 2 6 2 5" xfId="3021" xr:uid="{A11313D6-1631-4CA4-B09D-7FAF0A684C6B}"/>
    <cellStyle name="Output 2 6 2 6" xfId="2148" xr:uid="{332E12DD-5C87-41BE-A390-B37D33B5FB2F}"/>
    <cellStyle name="Output 2 6 3" xfId="274" xr:uid="{E4D96149-3FCE-40A8-9832-9E45F9DA0B82}"/>
    <cellStyle name="Output 2 6 3 2" xfId="498" xr:uid="{E70F697D-E305-422E-B85E-33FD5A5353D7}"/>
    <cellStyle name="Output 2 6 3 2 2" xfId="977" xr:uid="{E1C38565-E000-499A-90D3-2AB1F7D8C22C}"/>
    <cellStyle name="Output 2 6 3 2 2 2" xfId="1782" xr:uid="{3CA109CE-B95C-4B7A-B0D4-FD81750F5297}"/>
    <cellStyle name="Output 2 6 3 2 2 2 2" xfId="7553" xr:uid="{74286409-A49E-4257-834A-D190FB23692F}"/>
    <cellStyle name="Output 2 6 3 2 2 2 3" xfId="10219" xr:uid="{9156CBF2-8D9D-432B-B439-99C2D1DEFF0C}"/>
    <cellStyle name="Output 2 6 3 2 2 2 4" xfId="4579" xr:uid="{3A9B4AED-278F-464F-B318-77BA81656A0D}"/>
    <cellStyle name="Output 2 6 3 2 2 3" xfId="5319" xr:uid="{9F3DC569-961C-4FDC-B6D9-B77F7A5C54EE}"/>
    <cellStyle name="Output 2 6 3 2 2 3 2" xfId="8293" xr:uid="{17E94D20-8692-4303-A2C0-1C81899E0C92}"/>
    <cellStyle name="Output 2 6 3 2 2 4" xfId="6084" xr:uid="{1AE54E0E-EA73-4EB6-8DD3-3F3E593FA372}"/>
    <cellStyle name="Output 2 6 3 2 2 4 2" xfId="9058" xr:uid="{472F7B9D-8BA1-425C-863D-8E25E481C319}"/>
    <cellStyle name="Output 2 6 3 2 2 5" xfId="3794" xr:uid="{7834D382-770F-42E7-A8C8-A4F94789C18A}"/>
    <cellStyle name="Output 2 6 3 2 2 6" xfId="6757" xr:uid="{65026264-A777-4107-9658-9B2A392033FC}"/>
    <cellStyle name="Output 2 6 3 2 2 7" xfId="2734" xr:uid="{F9A1353E-3BBD-4C9F-BD08-70B6FF6145D2}"/>
    <cellStyle name="Output 2 6 3 2 3" xfId="658" xr:uid="{0BE003DE-61FF-4E7E-B8CD-B72AD82FC44D}"/>
    <cellStyle name="Output 2 6 3 2 3 2" xfId="1463" xr:uid="{E6D7B9F8-D5EC-49AC-8941-40F275680524}"/>
    <cellStyle name="Output 2 6 3 2 3 2 2" xfId="7234" xr:uid="{24106946-98E9-48D8-8F8C-CDBE5F60DC0A}"/>
    <cellStyle name="Output 2 6 3 2 3 2 3" xfId="9900" xr:uid="{74575D72-3F57-488E-8176-D2C74DDD592F}"/>
    <cellStyle name="Output 2 6 3 2 3 2 4" xfId="4260" xr:uid="{533B6881-1B82-490C-AD05-271747C4747B}"/>
    <cellStyle name="Output 2 6 3 2 3 3" xfId="5000" xr:uid="{03B6E1B2-7CCD-4DC4-A833-14133C6A67BB}"/>
    <cellStyle name="Output 2 6 3 2 3 3 2" xfId="7974" xr:uid="{329FFB6E-C52D-43D3-AC1E-5CE4F4D8BE69}"/>
    <cellStyle name="Output 2 6 3 2 3 4" xfId="5765" xr:uid="{F458EE43-E5DE-4D6B-90AE-F8D4E8E077A2}"/>
    <cellStyle name="Output 2 6 3 2 3 4 2" xfId="8739" xr:uid="{4915B287-55F4-4F34-9797-8D6C9F76B437}"/>
    <cellStyle name="Output 2 6 3 2 3 5" xfId="6438" xr:uid="{6557B5E2-58D5-46D1-841D-D662C385D134}"/>
    <cellStyle name="Output 2 6 3 2 3 6" xfId="2415" xr:uid="{6C8A8B8C-4E20-4E65-A255-5F7F3A347DA0}"/>
    <cellStyle name="Output 2 6 3 2 4" xfId="1304" xr:uid="{A1830C37-32E6-4CFF-B1AF-6A37E4F3E4B7}"/>
    <cellStyle name="Output 2 6 3 2 4 2" xfId="7075" xr:uid="{1A6B3082-C56A-431B-89AF-53D2857AD3AF}"/>
    <cellStyle name="Output 2 6 3 2 4 3" xfId="9741" xr:uid="{7B005643-FEF1-469E-B55E-302CB17CEA7F}"/>
    <cellStyle name="Output 2 6 3 2 4 4" xfId="4101" xr:uid="{A3049B19-1A53-4D79-9573-51632A5254B0}"/>
    <cellStyle name="Output 2 6 3 2 5" xfId="4841" xr:uid="{6D1AD10D-B283-4ADA-9429-B61CEC0F8298}"/>
    <cellStyle name="Output 2 6 3 2 5 2" xfId="7815" xr:uid="{C06D5368-EFC8-40AF-93B9-67114B2A1C95}"/>
    <cellStyle name="Output 2 6 3 2 6" xfId="5606" xr:uid="{5097E47C-E46F-478A-99C0-CFB799F01EC5}"/>
    <cellStyle name="Output 2 6 3 2 6 2" xfId="8580" xr:uid="{71268843-F8A7-4198-9800-E26E2CFC8F7B}"/>
    <cellStyle name="Output 2 6 3 2 7" xfId="3059" xr:uid="{3D8AE1A5-54A0-41C2-87ED-A3342F227183}"/>
    <cellStyle name="Output 2 6 3 2 8" xfId="2256" xr:uid="{6F24E2E6-9E14-4411-A1C6-7BDD53B566C9}"/>
    <cellStyle name="Output 2 6 3 3" xfId="766" xr:uid="{A0E4F16F-C55D-4D84-8A12-BDF0F2A1C834}"/>
    <cellStyle name="Output 2 6 3 3 2" xfId="1571" xr:uid="{7838E9EA-7523-41EC-9CEB-8931975D9508}"/>
    <cellStyle name="Output 2 6 3 3 2 2" xfId="7342" xr:uid="{36CAE417-CAF0-42D6-B8F4-F724E4F46283}"/>
    <cellStyle name="Output 2 6 3 3 2 3" xfId="10008" xr:uid="{B5060699-F85A-4D70-95FE-AC7126B932F6}"/>
    <cellStyle name="Output 2 6 3 3 2 4" xfId="4368" xr:uid="{3E3FDFA6-89A1-4D16-B34E-965954FC22B1}"/>
    <cellStyle name="Output 2 6 3 3 3" xfId="5108" xr:uid="{5B922E01-A6A3-4995-939F-287C0567AFF6}"/>
    <cellStyle name="Output 2 6 3 3 3 2" xfId="8082" xr:uid="{97CF7735-B379-453A-9A01-ACFBA8AA1DE7}"/>
    <cellStyle name="Output 2 6 3 3 4" xfId="5873" xr:uid="{926E9A4C-8459-4D31-B33D-A6373DC3CFE4}"/>
    <cellStyle name="Output 2 6 3 3 4 2" xfId="8847" xr:uid="{FCA2A41C-756E-45CC-A40A-EA7B6AFF0D27}"/>
    <cellStyle name="Output 2 6 3 3 5" xfId="3601" xr:uid="{B6307297-8281-4F69-9771-D2BCE78DF55B}"/>
    <cellStyle name="Output 2 6 3 3 6" xfId="6546" xr:uid="{20FFF168-AE2E-44BD-85B4-C9C61A312E5D}"/>
    <cellStyle name="Output 2 6 3 3 7" xfId="2523" xr:uid="{4AED6610-8FDE-4E33-BA0D-6399574F8A88}"/>
    <cellStyle name="Output 2 6 3 4" xfId="646" xr:uid="{54829505-C831-4A15-BAE8-2423F5900B8F}"/>
    <cellStyle name="Output 2 6 3 4 2" xfId="1451" xr:uid="{E364F45A-BC70-442F-8924-56576160E61F}"/>
    <cellStyle name="Output 2 6 3 4 2 2" xfId="7222" xr:uid="{60E27BC4-845B-40A1-815B-692008150E2E}"/>
    <cellStyle name="Output 2 6 3 4 2 3" xfId="9888" xr:uid="{79CD941C-D7DD-4C11-BF4B-56AD8FC00341}"/>
    <cellStyle name="Output 2 6 3 4 2 4" xfId="4248" xr:uid="{80B25F24-9B49-4782-AC3F-67BAB80023F3}"/>
    <cellStyle name="Output 2 6 3 4 3" xfId="4988" xr:uid="{60E9B3A1-83C5-4570-9C8E-57A72AF028E2}"/>
    <cellStyle name="Output 2 6 3 4 3 2" xfId="7962" xr:uid="{3D530840-713B-4FA0-B743-A0AD569C43D1}"/>
    <cellStyle name="Output 2 6 3 4 4" xfId="5753" xr:uid="{B0597920-63E5-4DB5-BCCF-13550F72852E}"/>
    <cellStyle name="Output 2 6 3 4 4 2" xfId="8727" xr:uid="{4AA9D83E-5AE6-44B8-853C-C2FD97C25881}"/>
    <cellStyle name="Output 2 6 3 4 5" xfId="6426" xr:uid="{E9F37FF7-66D4-4D30-A9C7-3403A712C789}"/>
    <cellStyle name="Output 2 6 3 4 6" xfId="2403" xr:uid="{944B0ED8-B55B-4CF6-85D5-1A6A589FFF38}"/>
    <cellStyle name="Output 2 6 3 5" xfId="3182" xr:uid="{6B619EAD-E2AF-4A60-8936-60459740DD72}"/>
    <cellStyle name="Output 2 6 3 6" xfId="2091" xr:uid="{F1DC4EE3-7F26-4AAC-96C9-CD16D1B1F469}"/>
    <cellStyle name="Output 2 6 4" xfId="450" xr:uid="{374AF5E8-DA40-4F9D-82F4-8A49E45A8B64}"/>
    <cellStyle name="Output 2 6 4 2" xfId="929" xr:uid="{73E87419-31B3-4C7A-9BA5-290F56C90F4D}"/>
    <cellStyle name="Output 2 6 4 2 2" xfId="1734" xr:uid="{8EAEFD16-4490-45B3-9204-ADC37DA4EB0C}"/>
    <cellStyle name="Output 2 6 4 2 2 2" xfId="7505" xr:uid="{606195DE-23BD-417C-84C5-579AB746E776}"/>
    <cellStyle name="Output 2 6 4 2 2 3" xfId="10171" xr:uid="{86EA7D03-7D1F-411C-AAF4-7ED23C5D1227}"/>
    <cellStyle name="Output 2 6 4 2 2 4" xfId="4531" xr:uid="{C8EBB284-6782-4FCE-8430-201BCC0963EA}"/>
    <cellStyle name="Output 2 6 4 2 3" xfId="5271" xr:uid="{08694D75-DF5E-4109-94EE-4FFF5096ECD7}"/>
    <cellStyle name="Output 2 6 4 2 3 2" xfId="8245" xr:uid="{F15D4DB1-274B-4B3C-B7D4-0C5BA1C9CB1C}"/>
    <cellStyle name="Output 2 6 4 2 4" xfId="6036" xr:uid="{EBDC16D2-385A-4877-BABC-74BD284A8235}"/>
    <cellStyle name="Output 2 6 4 2 4 2" xfId="9010" xr:uid="{82D2B71E-710C-4C37-A816-940F9EF69C7B}"/>
    <cellStyle name="Output 2 6 4 2 5" xfId="3746" xr:uid="{17BF804E-C65C-43D0-8F19-22BD28358D3C}"/>
    <cellStyle name="Output 2 6 4 2 6" xfId="6709" xr:uid="{B42A2875-50C9-4ED2-8AE7-5E500E1B95BB}"/>
    <cellStyle name="Output 2 6 4 2 7" xfId="2686" xr:uid="{6BAF50FC-6987-4932-BC91-3AACBCE9DB9C}"/>
    <cellStyle name="Output 2 6 4 3" xfId="1084" xr:uid="{13524625-3955-4FEA-82ED-6935E7BA2EF5}"/>
    <cellStyle name="Output 2 6 4 3 2" xfId="1889" xr:uid="{0634F8A1-CA64-4C1D-B6FD-E829BC610254}"/>
    <cellStyle name="Output 2 6 4 3 2 2" xfId="7660" xr:uid="{D6A7BE1D-88D1-4E85-8BA6-6AEAF49C6F52}"/>
    <cellStyle name="Output 2 6 4 3 2 3" xfId="10326" xr:uid="{DC310505-5317-4355-9F5D-018504B22908}"/>
    <cellStyle name="Output 2 6 4 3 2 4" xfId="4686" xr:uid="{ED955A17-9A17-4D0B-86CC-D7A7B960AD86}"/>
    <cellStyle name="Output 2 6 4 3 3" xfId="5426" xr:uid="{6B99F965-B858-4DD9-BF13-4751F6829768}"/>
    <cellStyle name="Output 2 6 4 3 3 2" xfId="8400" xr:uid="{CCC3675B-F1B0-48DF-9CA4-913D5A599A7C}"/>
    <cellStyle name="Output 2 6 4 3 4" xfId="6191" xr:uid="{71A9F82A-38A4-4363-80C5-842DFAF2D28B}"/>
    <cellStyle name="Output 2 6 4 3 4 2" xfId="9165" xr:uid="{8985984E-57A4-426A-8A4C-35179E15D448}"/>
    <cellStyle name="Output 2 6 4 3 5" xfId="6864" xr:uid="{7BEBD963-3994-4F3D-B292-C458344B41CD}"/>
    <cellStyle name="Output 2 6 4 3 6" xfId="2841" xr:uid="{D5C8898D-7A16-412F-B666-1ED36661C9C1}"/>
    <cellStyle name="Output 2 6 4 4" xfId="1256" xr:uid="{AB570CCF-32EB-484E-80B6-BF1A5820BD7E}"/>
    <cellStyle name="Output 2 6 4 4 2" xfId="7027" xr:uid="{59CEA3DF-38E1-4802-AD16-E01B3E32345F}"/>
    <cellStyle name="Output 2 6 4 4 3" xfId="9693" xr:uid="{CF47AE5E-9BFC-431E-B0A6-3328DEF50101}"/>
    <cellStyle name="Output 2 6 4 4 4" xfId="4053" xr:uid="{60860F72-1441-430C-A456-A800409EBB2F}"/>
    <cellStyle name="Output 2 6 4 5" xfId="3293" xr:uid="{D10CF9CD-AFE1-48BF-B72C-3CD37348F1D9}"/>
    <cellStyle name="Output 2 6 4 5 2" xfId="3032" xr:uid="{631F291F-B0B9-454F-898F-648C933687AE}"/>
    <cellStyle name="Output 2 6 4 6" xfId="5558" xr:uid="{C6D52210-162D-4CB3-A7C0-819A7D2AC533}"/>
    <cellStyle name="Output 2 6 4 6 2" xfId="8532" xr:uid="{D7698F7B-4DFB-40F8-A6DF-6C59AA686CEC}"/>
    <cellStyle name="Output 2 6 4 7" xfId="3993" xr:uid="{29B0728B-A8A9-497A-9E25-0C85A9113A86}"/>
    <cellStyle name="Output 2 6 4 8" xfId="2208" xr:uid="{9B52E86B-3F89-46ED-9B27-E139099C50F3}"/>
    <cellStyle name="Output 2 6 5" xfId="718" xr:uid="{B80C72CB-1E0C-4E48-BF4F-753B70DAF1A5}"/>
    <cellStyle name="Output 2 6 5 2" xfId="1523" xr:uid="{1D425993-B46B-478E-A260-9FA0E843295F}"/>
    <cellStyle name="Output 2 6 5 2 2" xfId="7294" xr:uid="{366BB1E1-53A3-4F03-B1C1-34FBD2874B83}"/>
    <cellStyle name="Output 2 6 5 2 3" xfId="9960" xr:uid="{628D5184-ADE2-4F3C-8E42-1D50D526CB43}"/>
    <cellStyle name="Output 2 6 5 2 4" xfId="4320" xr:uid="{A577F39D-CEF7-4971-AFE6-0AB239A53E6D}"/>
    <cellStyle name="Output 2 6 5 3" xfId="5060" xr:uid="{B467D847-DBB3-4EC0-8BFE-252A614C14D4}"/>
    <cellStyle name="Output 2 6 5 3 2" xfId="8034" xr:uid="{B3C31A7C-18E2-4D5B-9792-3C0F34497281}"/>
    <cellStyle name="Output 2 6 5 4" xfId="5825" xr:uid="{EDE7786A-AE67-4CCF-9F56-E16BCE5D5FC9}"/>
    <cellStyle name="Output 2 6 5 4 2" xfId="8799" xr:uid="{9F193C6E-F176-41A3-9FEA-A86ACFDFBAE5}"/>
    <cellStyle name="Output 2 6 5 5" xfId="3553" xr:uid="{3AAB8C22-B739-4AEF-B8EB-15741AF6F76E}"/>
    <cellStyle name="Output 2 6 5 6" xfId="6498" xr:uid="{609C27C5-A6C1-4247-96B4-A07C48ED60C9}"/>
    <cellStyle name="Output 2 6 5 7" xfId="2475" xr:uid="{DC091F9C-F533-4026-8299-D8419915860B}"/>
    <cellStyle name="Output 2 6 6" xfId="605" xr:uid="{DFBC8577-DF69-4FD1-982E-83EA3A05C9BB}"/>
    <cellStyle name="Output 2 6 6 2" xfId="1410" xr:uid="{B97DF5AE-D1A7-486B-B763-3735AC511638}"/>
    <cellStyle name="Output 2 6 6 2 2" xfId="7181" xr:uid="{DF019EDC-1C3A-41D7-B751-C68F2D33072C}"/>
    <cellStyle name="Output 2 6 6 2 3" xfId="9847" xr:uid="{16A04F23-DFFE-4B4B-9412-CCEA74FEB60B}"/>
    <cellStyle name="Output 2 6 6 2 4" xfId="4207" xr:uid="{2E149FE3-ABF3-4247-9F13-9D0AACF0C719}"/>
    <cellStyle name="Output 2 6 6 3" xfId="4947" xr:uid="{EBC88BAC-0B28-484E-9087-F788B40BC423}"/>
    <cellStyle name="Output 2 6 6 3 2" xfId="7921" xr:uid="{27CD6AB0-D0BE-4DDC-82B6-48446694584A}"/>
    <cellStyle name="Output 2 6 6 4" xfId="5712" xr:uid="{0567D0C1-2C4B-4BD4-AAA0-C6B1359386C5}"/>
    <cellStyle name="Output 2 6 6 4 2" xfId="8686" xr:uid="{FC09284D-B8DC-4738-B6C5-8B86AD080E6A}"/>
    <cellStyle name="Output 2 6 6 5" xfId="6385" xr:uid="{6A824F7E-28E8-48F6-BB95-68A642970DAE}"/>
    <cellStyle name="Output 2 6 6 6" xfId="2362" xr:uid="{04924C25-B7E1-4078-AC11-C7CB0B6B1E5D}"/>
    <cellStyle name="Output 2 6 7" xfId="3428" xr:uid="{9167735D-E651-4564-B16C-302F710E8675}"/>
    <cellStyle name="Output 2 6 8" xfId="2041" xr:uid="{D1EB3465-7641-4A93-A065-E2F94B832969}"/>
    <cellStyle name="Output 2 7" xfId="232" xr:uid="{5EEAA272-489D-4734-956A-815386B5041F}"/>
    <cellStyle name="Output 2 7 2" xfId="336" xr:uid="{CB8D66E3-BD34-40FD-8133-647F4C761CB8}"/>
    <cellStyle name="Output 2 7 2 2" xfId="558" xr:uid="{1CEF4FCC-C5B0-4DBA-B9A0-812BE6CE67BF}"/>
    <cellStyle name="Output 2 7 2 2 2" xfId="1037" xr:uid="{2B51BBBC-A556-4FE4-9D37-AEA0C725DAA2}"/>
    <cellStyle name="Output 2 7 2 2 2 2" xfId="1842" xr:uid="{EFFCDCE8-F4A0-4C1B-B637-334178608F7F}"/>
    <cellStyle name="Output 2 7 2 2 2 2 2" xfId="7613" xr:uid="{DDA4E2D4-6DAE-4F88-9DE4-1C8536DD824C}"/>
    <cellStyle name="Output 2 7 2 2 2 2 3" xfId="10279" xr:uid="{7BD8C0B5-2954-4EAA-B32B-A774D9CEFB46}"/>
    <cellStyle name="Output 2 7 2 2 2 2 4" xfId="4639" xr:uid="{F8560734-7236-479D-A5AE-0CC6A0881DBA}"/>
    <cellStyle name="Output 2 7 2 2 2 3" xfId="5379" xr:uid="{48167301-06EC-41DC-95FE-48B261F77B8A}"/>
    <cellStyle name="Output 2 7 2 2 2 3 2" xfId="8353" xr:uid="{4D60D9D6-4208-4A5D-8705-353EA9777167}"/>
    <cellStyle name="Output 2 7 2 2 2 4" xfId="6144" xr:uid="{4297127C-96B7-4933-8730-8E4B1A2CEDBB}"/>
    <cellStyle name="Output 2 7 2 2 2 4 2" xfId="9118" xr:uid="{C91B0EED-68F0-4319-B63E-0246AB40B430}"/>
    <cellStyle name="Output 2 7 2 2 2 5" xfId="3854" xr:uid="{03A267A9-D6ED-4434-8E99-F8757F23283D}"/>
    <cellStyle name="Output 2 7 2 2 2 6" xfId="6817" xr:uid="{ED6C1BDA-70A2-48A8-BD5B-1EB236AA10EE}"/>
    <cellStyle name="Output 2 7 2 2 2 7" xfId="2794" xr:uid="{EDE4C8B0-9E7D-4BCE-B5A0-E4AA182DDB94}"/>
    <cellStyle name="Output 2 7 2 2 3" xfId="861" xr:uid="{3836D192-C565-4497-88E8-2CFC5825FE2C}"/>
    <cellStyle name="Output 2 7 2 2 3 2" xfId="1666" xr:uid="{05A49880-297B-430D-A586-E28EB6C29EF0}"/>
    <cellStyle name="Output 2 7 2 2 3 2 2" xfId="7437" xr:uid="{957BB14E-716F-4A90-A51F-3BAF899FD7E5}"/>
    <cellStyle name="Output 2 7 2 2 3 2 3" xfId="10103" xr:uid="{B0BCF400-CAB8-43A0-A3D3-7B0A0DA8280E}"/>
    <cellStyle name="Output 2 7 2 2 3 2 4" xfId="4463" xr:uid="{CA1FA3CE-DFB8-4B3A-A175-F40C273AB9C0}"/>
    <cellStyle name="Output 2 7 2 2 3 3" xfId="5203" xr:uid="{EBC37B32-9BAC-46D8-9C60-C8E8835ED02D}"/>
    <cellStyle name="Output 2 7 2 2 3 3 2" xfId="8177" xr:uid="{BB9F52B9-489F-4C9E-92D3-B1D5ED2CCECA}"/>
    <cellStyle name="Output 2 7 2 2 3 4" xfId="5968" xr:uid="{67ECA5E1-B0BB-478D-8028-81E49D00179D}"/>
    <cellStyle name="Output 2 7 2 2 3 4 2" xfId="8942" xr:uid="{CB27B5B9-1B9A-4ACD-80F0-6F2A855FCB12}"/>
    <cellStyle name="Output 2 7 2 2 3 5" xfId="6641" xr:uid="{E0CE756B-8E27-4469-BA60-F57412D84A2E}"/>
    <cellStyle name="Output 2 7 2 2 3 6" xfId="2618" xr:uid="{05475C72-7BA7-416F-85DC-49F1190E8447}"/>
    <cellStyle name="Output 2 7 2 2 4" xfId="1364" xr:uid="{01006DD5-102E-4836-9E08-54B02E3C097B}"/>
    <cellStyle name="Output 2 7 2 2 4 2" xfId="7135" xr:uid="{6E047186-22F0-4459-AF7C-B39F0AC72B67}"/>
    <cellStyle name="Output 2 7 2 2 4 3" xfId="9801" xr:uid="{96043EE3-2F12-4AFD-9460-10F480A7AD2D}"/>
    <cellStyle name="Output 2 7 2 2 4 4" xfId="4161" xr:uid="{4E3B4898-BB5A-439A-8897-742DBE22DA3C}"/>
    <cellStyle name="Output 2 7 2 2 5" xfId="4901" xr:uid="{B74413BB-DBD2-4059-B001-17E0BC80A62D}"/>
    <cellStyle name="Output 2 7 2 2 5 2" xfId="7875" xr:uid="{D5D26821-2FC2-48CF-98CE-2107E07C8998}"/>
    <cellStyle name="Output 2 7 2 2 6" xfId="5666" xr:uid="{9EC30043-6320-4383-84AE-C7540473043B}"/>
    <cellStyle name="Output 2 7 2 2 6 2" xfId="8640" xr:uid="{3C94DEA0-8B80-4ACB-85C8-E83F0A67C189}"/>
    <cellStyle name="Output 2 7 2 2 7" xfId="6339" xr:uid="{1C74C00C-4B10-4543-A49F-F139211217E3}"/>
    <cellStyle name="Output 2 7 2 2 8" xfId="2316" xr:uid="{5113066C-C08C-4E9D-9AEA-5ECF7ACE7D93}"/>
    <cellStyle name="Output 2 7 2 3" xfId="827" xr:uid="{2B9D42A6-69DA-458D-91B4-079D2CB08A06}"/>
    <cellStyle name="Output 2 7 2 3 2" xfId="1632" xr:uid="{DCEBF2AF-C3C0-4A75-A828-A37EEBDF2117}"/>
    <cellStyle name="Output 2 7 2 3 2 2" xfId="7403" xr:uid="{ED79AEFE-9A0C-4BAD-B19C-D8ED3C9D8993}"/>
    <cellStyle name="Output 2 7 2 3 2 3" xfId="10069" xr:uid="{F4BF406B-1BAF-4540-B74B-95C749DA599D}"/>
    <cellStyle name="Output 2 7 2 3 2 4" xfId="4429" xr:uid="{7F3D32BF-5D13-40B0-9CF2-03188E796775}"/>
    <cellStyle name="Output 2 7 2 3 3" xfId="5169" xr:uid="{3BCA2E4C-97A0-4D43-BB87-C4A548F3DEFC}"/>
    <cellStyle name="Output 2 7 2 3 3 2" xfId="8143" xr:uid="{C3469DF7-7F00-400A-8A27-FF1A796954FB}"/>
    <cellStyle name="Output 2 7 2 3 4" xfId="5934" xr:uid="{C356C718-E408-47FC-9D5F-81B6BD3A8E11}"/>
    <cellStyle name="Output 2 7 2 3 4 2" xfId="8908" xr:uid="{5BB6C32C-A8CC-4699-AD9E-CE9920EDAE51}"/>
    <cellStyle name="Output 2 7 2 3 5" xfId="3661" xr:uid="{7CF47B94-7E95-4DBF-94DE-001C340EAC8E}"/>
    <cellStyle name="Output 2 7 2 3 6" xfId="6607" xr:uid="{7550649B-B0EA-4D4D-A21E-0E277C547E6B}"/>
    <cellStyle name="Output 2 7 2 3 7" xfId="2584" xr:uid="{B8495476-3FE5-4280-A9A3-D03BB491E718}"/>
    <cellStyle name="Output 2 7 2 4" xfId="622" xr:uid="{0EAAF846-9D97-4F12-975A-022EAFC0FECC}"/>
    <cellStyle name="Output 2 7 2 4 2" xfId="1427" xr:uid="{EE5B0CFB-8803-4DAC-9A50-E9ACB4ED0DDC}"/>
    <cellStyle name="Output 2 7 2 4 2 2" xfId="7198" xr:uid="{CDCBC889-1402-4390-BD79-885A11F94CFE}"/>
    <cellStyle name="Output 2 7 2 4 2 3" xfId="9864" xr:uid="{2137B5E6-A20B-4B10-BDD8-40BF5273DD32}"/>
    <cellStyle name="Output 2 7 2 4 2 4" xfId="4224" xr:uid="{86D2D132-BA24-44DE-9DC8-ED47219E440F}"/>
    <cellStyle name="Output 2 7 2 4 3" xfId="4964" xr:uid="{734B5D36-1DCE-4AC9-B106-17778A9C104A}"/>
    <cellStyle name="Output 2 7 2 4 3 2" xfId="7938" xr:uid="{041E9555-4216-45FC-B294-83E772F2ADE9}"/>
    <cellStyle name="Output 2 7 2 4 4" xfId="5729" xr:uid="{D1319D93-D0BA-40C1-996F-5FBC13A2F21B}"/>
    <cellStyle name="Output 2 7 2 4 4 2" xfId="8703" xr:uid="{1397896D-CDBC-4B35-861B-FB3856340B79}"/>
    <cellStyle name="Output 2 7 2 4 5" xfId="6402" xr:uid="{C2B9055E-4B59-41AE-A7CD-4F791A390F66}"/>
    <cellStyle name="Output 2 7 2 4 6" xfId="2379" xr:uid="{6DB61340-C7D0-4522-ABBF-6E6AE18B9AA9}"/>
    <cellStyle name="Output 2 7 2 5" xfId="3041" xr:uid="{8DC79206-AF79-40BB-8678-5828D9F6D98C}"/>
    <cellStyle name="Output 2 7 2 6" xfId="2154" xr:uid="{5B12AAF0-38AF-402A-B242-82B09F16B68A}"/>
    <cellStyle name="Output 2 7 3" xfId="280" xr:uid="{AEAD3408-61DD-4AE6-BBC7-A98E8E2C5685}"/>
    <cellStyle name="Output 2 7 3 2" xfId="504" xr:uid="{8698FFA9-9728-4ADF-BCE1-08A5279D6FCA}"/>
    <cellStyle name="Output 2 7 3 2 2" xfId="983" xr:uid="{16C237D8-F924-4CA2-9E05-746BCF80D64D}"/>
    <cellStyle name="Output 2 7 3 2 2 2" xfId="1788" xr:uid="{C656147B-5228-465F-9870-30ECFB84780F}"/>
    <cellStyle name="Output 2 7 3 2 2 2 2" xfId="7559" xr:uid="{0553DE3C-DAB6-479B-8DC9-D3456103D4A8}"/>
    <cellStyle name="Output 2 7 3 2 2 2 3" xfId="10225" xr:uid="{C68F8CF7-63F6-402C-9D89-A04813EE255B}"/>
    <cellStyle name="Output 2 7 3 2 2 2 4" xfId="4585" xr:uid="{072E63E5-A326-41FB-8800-973ADCD34FB1}"/>
    <cellStyle name="Output 2 7 3 2 2 3" xfId="5325" xr:uid="{2FB9D03C-64CD-4040-A35E-8F80404C3C36}"/>
    <cellStyle name="Output 2 7 3 2 2 3 2" xfId="8299" xr:uid="{BE22992A-8A21-4D36-962B-F017E50F5A3C}"/>
    <cellStyle name="Output 2 7 3 2 2 4" xfId="6090" xr:uid="{53A241B2-C1FE-4DB5-B35D-E4D7C41038D7}"/>
    <cellStyle name="Output 2 7 3 2 2 4 2" xfId="9064" xr:uid="{6D99EC1E-A162-4C4F-BE5F-FA69238C0F04}"/>
    <cellStyle name="Output 2 7 3 2 2 5" xfId="3800" xr:uid="{C29F45EB-B49B-473F-932F-0F1886F0A3E2}"/>
    <cellStyle name="Output 2 7 3 2 2 6" xfId="6763" xr:uid="{816BF159-20CA-451C-998E-BE82167EA0C2}"/>
    <cellStyle name="Output 2 7 3 2 2 7" xfId="2740" xr:uid="{D0E42749-857C-422B-9719-4B36F8A14990}"/>
    <cellStyle name="Output 2 7 3 2 3" xfId="881" xr:uid="{3FC3B721-AA83-45C0-8D0D-C858138ED99D}"/>
    <cellStyle name="Output 2 7 3 2 3 2" xfId="1686" xr:uid="{8D78DF37-65F1-407D-9426-0140F20694E5}"/>
    <cellStyle name="Output 2 7 3 2 3 2 2" xfId="7457" xr:uid="{905AFE56-991E-42F4-A6E2-69792C35F82F}"/>
    <cellStyle name="Output 2 7 3 2 3 2 3" xfId="10123" xr:uid="{B3C38F5C-8F61-45FB-B9D8-633742B1D2A1}"/>
    <cellStyle name="Output 2 7 3 2 3 2 4" xfId="4483" xr:uid="{298AFC46-C4D1-41B9-AB0D-B84C916CF1D5}"/>
    <cellStyle name="Output 2 7 3 2 3 3" xfId="5223" xr:uid="{3849295A-502D-43CE-B6A2-0E025BBEE412}"/>
    <cellStyle name="Output 2 7 3 2 3 3 2" xfId="8197" xr:uid="{1EBF5336-EFD2-49F7-935D-754C231EF85C}"/>
    <cellStyle name="Output 2 7 3 2 3 4" xfId="5988" xr:uid="{10C90CA5-E84C-4E3F-BFC1-3EBCE393F218}"/>
    <cellStyle name="Output 2 7 3 2 3 4 2" xfId="8962" xr:uid="{612D60C9-B394-400C-84C0-4A1396B332B5}"/>
    <cellStyle name="Output 2 7 3 2 3 5" xfId="6661" xr:uid="{5D078AA1-AD5F-4D8F-83AF-C3FADD4BBEAD}"/>
    <cellStyle name="Output 2 7 3 2 3 6" xfId="2638" xr:uid="{4A9F6EED-D189-4C4B-9779-196F51678DFC}"/>
    <cellStyle name="Output 2 7 3 2 4" xfId="1310" xr:uid="{0408E043-136C-43A4-BC06-F3A342CF951C}"/>
    <cellStyle name="Output 2 7 3 2 4 2" xfId="7081" xr:uid="{6D0382A3-A5D5-4629-80B8-D1B36B5D2A18}"/>
    <cellStyle name="Output 2 7 3 2 4 3" xfId="9747" xr:uid="{E1699C8E-9908-4073-A018-BE7063C3D5B6}"/>
    <cellStyle name="Output 2 7 3 2 4 4" xfId="4107" xr:uid="{36F2AC41-8947-49F3-9192-036FA4D9C733}"/>
    <cellStyle name="Output 2 7 3 2 5" xfId="4847" xr:uid="{776D06E6-842C-4CA0-A4BC-CCB25F0C4F75}"/>
    <cellStyle name="Output 2 7 3 2 5 2" xfId="7821" xr:uid="{08BC2DD5-F66F-4A7B-82C8-72AB21AE58DB}"/>
    <cellStyle name="Output 2 7 3 2 6" xfId="5612" xr:uid="{2256A896-071B-4327-B0AF-C1BCCAD6609D}"/>
    <cellStyle name="Output 2 7 3 2 6 2" xfId="8586" xr:uid="{EA5F5583-7CDB-4882-B298-B44F322E7F44}"/>
    <cellStyle name="Output 2 7 3 2 7" xfId="3053" xr:uid="{758CBD6A-C67F-4F84-946C-22B4CF017DF9}"/>
    <cellStyle name="Output 2 7 3 2 8" xfId="2262" xr:uid="{C23A6650-5905-4232-8EAC-B1A4FC91D8A3}"/>
    <cellStyle name="Output 2 7 3 3" xfId="772" xr:uid="{3E7FCE89-99EE-4ACB-A373-90E1DE1FCABA}"/>
    <cellStyle name="Output 2 7 3 3 2" xfId="1577" xr:uid="{31CCDCB1-943C-4CD9-BDCE-F55D7C08C61F}"/>
    <cellStyle name="Output 2 7 3 3 2 2" xfId="7348" xr:uid="{4F86A222-1B7C-41ED-890A-1C1E16B79222}"/>
    <cellStyle name="Output 2 7 3 3 2 3" xfId="10014" xr:uid="{69E4BBC3-27B8-4172-AEED-2B0597C0D0E2}"/>
    <cellStyle name="Output 2 7 3 3 2 4" xfId="4374" xr:uid="{9628B909-8449-42D0-9A90-D58FEF6C460A}"/>
    <cellStyle name="Output 2 7 3 3 3" xfId="5114" xr:uid="{9CF507C8-D0A0-401E-A157-2C2F7CB18762}"/>
    <cellStyle name="Output 2 7 3 3 3 2" xfId="8088" xr:uid="{31963196-352C-46D5-9EE7-1D90DAEBD4BC}"/>
    <cellStyle name="Output 2 7 3 3 4" xfId="5879" xr:uid="{A6582EC9-1F48-4F77-9B59-E522D4553D23}"/>
    <cellStyle name="Output 2 7 3 3 4 2" xfId="8853" xr:uid="{C4CB1F5B-B3DB-47EF-881F-FDFC0DF6F82C}"/>
    <cellStyle name="Output 2 7 3 3 5" xfId="3607" xr:uid="{35EB7581-CE25-48A7-897E-9CCFD36DCCF0}"/>
    <cellStyle name="Output 2 7 3 3 6" xfId="6552" xr:uid="{16ADE57D-6056-4233-B1AB-9B89A953E214}"/>
    <cellStyle name="Output 2 7 3 3 7" xfId="2529" xr:uid="{4CFA9B0C-3FB6-463C-8F44-3D6DF6A13E59}"/>
    <cellStyle name="Output 2 7 3 4" xfId="606" xr:uid="{C61BC866-71BD-4CC6-B8B9-0B5517EB5B7E}"/>
    <cellStyle name="Output 2 7 3 4 2" xfId="1411" xr:uid="{2C154619-45A9-4A19-BA44-C7206323F5FB}"/>
    <cellStyle name="Output 2 7 3 4 2 2" xfId="7182" xr:uid="{15DE23C4-01F2-44AB-996F-1FBA8118876D}"/>
    <cellStyle name="Output 2 7 3 4 2 3" xfId="9848" xr:uid="{6F9E14ED-BF80-42F1-8239-3B55A1194381}"/>
    <cellStyle name="Output 2 7 3 4 2 4" xfId="4208" xr:uid="{DC240066-4FA8-4FDF-8B8E-FCD526D92803}"/>
    <cellStyle name="Output 2 7 3 4 3" xfId="4948" xr:uid="{788C31BB-606F-4DDB-AA5E-A1F7C8CD3215}"/>
    <cellStyle name="Output 2 7 3 4 3 2" xfId="7922" xr:uid="{5DC34864-2BAC-4F6A-97E9-3AA81A606F11}"/>
    <cellStyle name="Output 2 7 3 4 4" xfId="5713" xr:uid="{9A50357E-8CE3-4A63-89FE-2B87D5E3873F}"/>
    <cellStyle name="Output 2 7 3 4 4 2" xfId="8687" xr:uid="{D20D115C-9181-4904-B691-64FE47A408A1}"/>
    <cellStyle name="Output 2 7 3 4 5" xfId="6386" xr:uid="{AD92FFE4-6B32-45B4-855C-C045CFCA06C9}"/>
    <cellStyle name="Output 2 7 3 4 6" xfId="2363" xr:uid="{1268FF24-D58C-4675-B45F-3140666075D7}"/>
    <cellStyle name="Output 2 7 3 5" xfId="3029" xr:uid="{4527505D-FDD0-4879-BBE8-8F04AC530BD5}"/>
    <cellStyle name="Output 2 7 3 6" xfId="2097" xr:uid="{81F65C55-88AD-40A9-AA58-3A098F88CAB7}"/>
    <cellStyle name="Output 2 7 4" xfId="456" xr:uid="{15A187ED-2154-444E-A075-5C433A4BDCDE}"/>
    <cellStyle name="Output 2 7 4 2" xfId="935" xr:uid="{A9304B67-1B2E-474B-A513-7451666913EF}"/>
    <cellStyle name="Output 2 7 4 2 2" xfId="1740" xr:uid="{DB2DB50D-8485-48B6-96BF-6BD884F1D505}"/>
    <cellStyle name="Output 2 7 4 2 2 2" xfId="7511" xr:uid="{BC963038-4D0C-49E8-B79E-3D03F3C5974F}"/>
    <cellStyle name="Output 2 7 4 2 2 3" xfId="10177" xr:uid="{0B38B92F-F503-42B3-9DC3-1CFEE05EC1E5}"/>
    <cellStyle name="Output 2 7 4 2 2 4" xfId="4537" xr:uid="{931A57E1-08BF-4FB3-9795-EC666E16DFE3}"/>
    <cellStyle name="Output 2 7 4 2 3" xfId="5277" xr:uid="{11E2BFBD-37D2-407B-A9E2-285585410CF2}"/>
    <cellStyle name="Output 2 7 4 2 3 2" xfId="8251" xr:uid="{0B5E09F7-DB31-4520-A669-74AEEB3376C4}"/>
    <cellStyle name="Output 2 7 4 2 4" xfId="6042" xr:uid="{45E24429-AB9B-4517-8EB1-054B4400BF28}"/>
    <cellStyle name="Output 2 7 4 2 4 2" xfId="9016" xr:uid="{628C266B-2879-42B7-A768-113D259925F7}"/>
    <cellStyle name="Output 2 7 4 2 5" xfId="3752" xr:uid="{5C61EBBB-B198-4D4C-AC1F-47E53B59078D}"/>
    <cellStyle name="Output 2 7 4 2 6" xfId="6715" xr:uid="{C9142965-7B6D-4AAB-840E-C187AF6ABB01}"/>
    <cellStyle name="Output 2 7 4 2 7" xfId="2692" xr:uid="{771898D4-21D5-40CA-BC96-8548C9149331}"/>
    <cellStyle name="Output 2 7 4 3" xfId="611" xr:uid="{2247BA2A-8EBB-488F-B055-CFF962D04B98}"/>
    <cellStyle name="Output 2 7 4 3 2" xfId="1416" xr:uid="{28913B8F-002A-46DA-A238-5BA92356DCE5}"/>
    <cellStyle name="Output 2 7 4 3 2 2" xfId="7187" xr:uid="{1327852F-2558-489A-918A-32F2AA0B3AD5}"/>
    <cellStyle name="Output 2 7 4 3 2 3" xfId="9853" xr:uid="{DD5DE5B8-0650-43DA-81F1-E0BE4A112564}"/>
    <cellStyle name="Output 2 7 4 3 2 4" xfId="4213" xr:uid="{8AA90711-DBE0-4B8F-820E-C5169FE03C41}"/>
    <cellStyle name="Output 2 7 4 3 3" xfId="4953" xr:uid="{8BECB80A-283A-485E-8210-E693BF24CB3B}"/>
    <cellStyle name="Output 2 7 4 3 3 2" xfId="7927" xr:uid="{5DA19231-2F14-43F1-98C5-41088B768688}"/>
    <cellStyle name="Output 2 7 4 3 4" xfId="5718" xr:uid="{8C1D5399-EB13-405D-BFF8-D50A7FF54E44}"/>
    <cellStyle name="Output 2 7 4 3 4 2" xfId="8692" xr:uid="{E81C3153-808C-4865-AC83-EA64E80FC23A}"/>
    <cellStyle name="Output 2 7 4 3 5" xfId="6391" xr:uid="{4B465C9D-843C-4826-92FE-A248D6F99985}"/>
    <cellStyle name="Output 2 7 4 3 6" xfId="2368" xr:uid="{B168EBBC-681E-4F93-9127-BA74E5141A50}"/>
    <cellStyle name="Output 2 7 4 4" xfId="1262" xr:uid="{8A47D020-0C32-490D-9DA4-1DFABB297BA0}"/>
    <cellStyle name="Output 2 7 4 4 2" xfId="7033" xr:uid="{73C78779-D122-464C-BA7F-90D5DACCE3F8}"/>
    <cellStyle name="Output 2 7 4 4 3" xfId="9699" xr:uid="{A68B84CC-5547-4D14-A573-793F9E3E63B3}"/>
    <cellStyle name="Output 2 7 4 4 4" xfId="4059" xr:uid="{4343D8F9-8271-4971-9E3A-1791562BC969}"/>
    <cellStyle name="Output 2 7 4 5" xfId="4799" xr:uid="{940ADD02-F867-4277-8393-4CAB436D3BD7}"/>
    <cellStyle name="Output 2 7 4 5 2" xfId="7773" xr:uid="{E65FA98B-2196-45B2-818A-C8BF6B7A393E}"/>
    <cellStyle name="Output 2 7 4 6" xfId="5564" xr:uid="{7CD58A25-2900-44F6-9E9F-BAF23A28CE33}"/>
    <cellStyle name="Output 2 7 4 6 2" xfId="8538" xr:uid="{64069F6B-BFEE-4EDD-BD9B-F1BD53EB0E0A}"/>
    <cellStyle name="Output 2 7 4 7" xfId="3003" xr:uid="{7244A5EA-0995-4F46-971A-7897895C108F}"/>
    <cellStyle name="Output 2 7 4 8" xfId="2214" xr:uid="{485C3E39-4F9C-4502-9124-20339DC1C556}"/>
    <cellStyle name="Output 2 7 5" xfId="724" xr:uid="{108FA3B0-4A56-4830-9A8A-AB027CE8B8C8}"/>
    <cellStyle name="Output 2 7 5 2" xfId="1529" xr:uid="{2E4F95BE-0F31-4990-AEAA-4A027834A496}"/>
    <cellStyle name="Output 2 7 5 2 2" xfId="7300" xr:uid="{F6FA60D4-474F-457F-BF53-1C57B04EA40A}"/>
    <cellStyle name="Output 2 7 5 2 3" xfId="9966" xr:uid="{6D18C6AB-3B14-4125-8FE4-9D8219D9CC31}"/>
    <cellStyle name="Output 2 7 5 2 4" xfId="4326" xr:uid="{CCA01BAC-3E9A-4D09-9B41-4D0F80C26F85}"/>
    <cellStyle name="Output 2 7 5 3" xfId="5066" xr:uid="{E85ECF54-D9AE-4028-93A7-9B0C2FF7B9B8}"/>
    <cellStyle name="Output 2 7 5 3 2" xfId="8040" xr:uid="{39032FA7-1642-430B-B7DD-0C843F1B503C}"/>
    <cellStyle name="Output 2 7 5 4" xfId="5831" xr:uid="{C067BF35-AB97-4743-BFCB-6AB01336C7D0}"/>
    <cellStyle name="Output 2 7 5 4 2" xfId="8805" xr:uid="{663335C6-3495-4C2B-95D3-C55100055D2F}"/>
    <cellStyle name="Output 2 7 5 5" xfId="3559" xr:uid="{D50E431A-23E5-4BA9-A40D-631A9812C7A0}"/>
    <cellStyle name="Output 2 7 5 6" xfId="6504" xr:uid="{D896E619-AFFA-479E-A9E6-9C3ED9CE43CF}"/>
    <cellStyle name="Output 2 7 5 7" xfId="2481" xr:uid="{E8B7CB31-6C3E-40EA-A257-C6C418B901F7}"/>
    <cellStyle name="Output 2 7 6" xfId="572" xr:uid="{EEEAA20C-745B-48ED-A0E4-E57E417BE0AF}"/>
    <cellStyle name="Output 2 7 6 2" xfId="1377" xr:uid="{D356B236-CBF5-4983-B4FE-CAC49317BC37}"/>
    <cellStyle name="Output 2 7 6 2 2" xfId="7148" xr:uid="{A90A2C24-E84D-450E-89A2-BC10DB1ED98A}"/>
    <cellStyle name="Output 2 7 6 2 3" xfId="9814" xr:uid="{EA123D5D-C7D7-4BF1-A771-F6D5754D2704}"/>
    <cellStyle name="Output 2 7 6 2 4" xfId="4174" xr:uid="{66050E4C-B3EB-4474-8AEF-C6DFEEC22434}"/>
    <cellStyle name="Output 2 7 6 3" xfId="4914" xr:uid="{6E47A964-2069-4FEA-B7D3-C44B1C40795A}"/>
    <cellStyle name="Output 2 7 6 3 2" xfId="7888" xr:uid="{E02C2C8A-8212-4BF5-AF4E-25A1702902E7}"/>
    <cellStyle name="Output 2 7 6 4" xfId="5679" xr:uid="{B484A5E0-B6DB-4AE1-AB29-8D83ADCF4561}"/>
    <cellStyle name="Output 2 7 6 4 2" xfId="8653" xr:uid="{203B6829-3CC6-4FCB-A875-1DFE8AAAF3AD}"/>
    <cellStyle name="Output 2 7 6 5" xfId="6352" xr:uid="{9B6896DE-2CF4-47A4-B028-7205F2E0854F}"/>
    <cellStyle name="Output 2 7 6 6" xfId="2329" xr:uid="{9BA348ED-5942-47F6-9A9E-CD7A1248B547}"/>
    <cellStyle name="Output 2 7 7" xfId="3922" xr:uid="{4948FB2D-92A2-4FA3-B40A-F081BC3EFF44}"/>
    <cellStyle name="Output 2 7 8" xfId="2047" xr:uid="{DD56F587-8585-4EC9-BCE9-C209CE3E8A2F}"/>
    <cellStyle name="Output 2 8" xfId="238" xr:uid="{D33EF7C5-A885-4068-A26F-54802053B44F}"/>
    <cellStyle name="Output 2 8 2" xfId="342" xr:uid="{594CC90B-D118-482C-82E3-101CC99F8CF4}"/>
    <cellStyle name="Output 2 8 2 2" xfId="564" xr:uid="{97A917C5-094C-4FB4-AB0A-27F6675C85CA}"/>
    <cellStyle name="Output 2 8 2 2 2" xfId="1043" xr:uid="{9F62E680-4946-4FF7-8EF1-7F3120DCE2A1}"/>
    <cellStyle name="Output 2 8 2 2 2 2" xfId="1848" xr:uid="{63BAFE2B-23C3-44BA-94E4-DCA9E059BEED}"/>
    <cellStyle name="Output 2 8 2 2 2 2 2" xfId="7619" xr:uid="{33762AC7-7321-4853-800D-E471C24FE228}"/>
    <cellStyle name="Output 2 8 2 2 2 2 3" xfId="10285" xr:uid="{94D7DE43-0D15-49FF-BDB8-74C280F6AB44}"/>
    <cellStyle name="Output 2 8 2 2 2 2 4" xfId="4645" xr:uid="{8C5C3F20-E1BA-4B59-B44B-FF7CC4854857}"/>
    <cellStyle name="Output 2 8 2 2 2 3" xfId="5385" xr:uid="{D426A08D-4ED4-461C-A0C9-8B5765F5469C}"/>
    <cellStyle name="Output 2 8 2 2 2 3 2" xfId="8359" xr:uid="{B3D2CF45-766C-47E5-92D0-314026F59B9A}"/>
    <cellStyle name="Output 2 8 2 2 2 4" xfId="6150" xr:uid="{84F65BD5-8FE1-41A4-9AB9-7FD350E67F06}"/>
    <cellStyle name="Output 2 8 2 2 2 4 2" xfId="9124" xr:uid="{36E4B98D-2C86-40D1-91DA-F4923F8DBC03}"/>
    <cellStyle name="Output 2 8 2 2 2 5" xfId="3860" xr:uid="{9E296872-A6D5-4CD9-9720-849452A17293}"/>
    <cellStyle name="Output 2 8 2 2 2 6" xfId="6823" xr:uid="{2E58941F-6019-4700-9990-8BBC1BB846BF}"/>
    <cellStyle name="Output 2 8 2 2 2 7" xfId="2800" xr:uid="{49326FA0-D92F-4424-BB32-8DAEC413A2A2}"/>
    <cellStyle name="Output 2 8 2 2 3" xfId="839" xr:uid="{17085324-C00C-4D92-8C82-29DD4705FC01}"/>
    <cellStyle name="Output 2 8 2 2 3 2" xfId="1644" xr:uid="{4EC2C93D-83D3-4070-945D-DD460A80A7B2}"/>
    <cellStyle name="Output 2 8 2 2 3 2 2" xfId="7415" xr:uid="{4B031552-F209-4A17-AD5B-32970FAB006F}"/>
    <cellStyle name="Output 2 8 2 2 3 2 3" xfId="10081" xr:uid="{D462D1EE-405C-41AA-9856-B3B6B444BB81}"/>
    <cellStyle name="Output 2 8 2 2 3 2 4" xfId="4441" xr:uid="{D15BF6A1-5C61-45E0-B035-EE0F0571074D}"/>
    <cellStyle name="Output 2 8 2 2 3 3" xfId="5181" xr:uid="{426EFDEF-25F0-49D0-A6EE-85B95640A686}"/>
    <cellStyle name="Output 2 8 2 2 3 3 2" xfId="8155" xr:uid="{325C606E-D8AE-46C8-9AA8-8654E25154E3}"/>
    <cellStyle name="Output 2 8 2 2 3 4" xfId="5946" xr:uid="{969945A8-3E99-453C-AFFD-F09902238A58}"/>
    <cellStyle name="Output 2 8 2 2 3 4 2" xfId="8920" xr:uid="{948E7C48-48C6-4090-94FA-BEB40DFEA492}"/>
    <cellStyle name="Output 2 8 2 2 3 5" xfId="6619" xr:uid="{EAC57EA6-1BAD-4A4C-9FDC-F7FB1DF00BA1}"/>
    <cellStyle name="Output 2 8 2 2 3 6" xfId="2596" xr:uid="{5B7D1AC2-E7D0-42B1-9482-55560D8FC51E}"/>
    <cellStyle name="Output 2 8 2 2 4" xfId="1370" xr:uid="{AFDC82D3-A55B-4CD6-9D71-F59BBD892518}"/>
    <cellStyle name="Output 2 8 2 2 4 2" xfId="7141" xr:uid="{F47C49BE-6AFD-4145-B799-99A836B2504E}"/>
    <cellStyle name="Output 2 8 2 2 4 3" xfId="9807" xr:uid="{478F4D57-E225-4B6D-B2BB-5212B1776364}"/>
    <cellStyle name="Output 2 8 2 2 4 4" xfId="4167" xr:uid="{727C1A6F-E253-46FA-A4C2-3CD0F495725C}"/>
    <cellStyle name="Output 2 8 2 2 5" xfId="4907" xr:uid="{6F44EFD3-500B-41C0-AAE6-7F473B095021}"/>
    <cellStyle name="Output 2 8 2 2 5 2" xfId="7881" xr:uid="{81AE59BD-366A-4A47-A10E-E108BA41ADC6}"/>
    <cellStyle name="Output 2 8 2 2 6" xfId="5672" xr:uid="{E6F1D633-A5CC-42D0-BB1C-6064A7DC94BE}"/>
    <cellStyle name="Output 2 8 2 2 6 2" xfId="8646" xr:uid="{D12D99CC-27A4-42A3-8462-B65BE3735562}"/>
    <cellStyle name="Output 2 8 2 2 7" xfId="6345" xr:uid="{37A4F7A3-EB3A-4A68-995D-488D7CB2DB43}"/>
    <cellStyle name="Output 2 8 2 2 8" xfId="2322" xr:uid="{1BD61A72-C08B-46EA-A0C1-2132DE1418FE}"/>
    <cellStyle name="Output 2 8 2 3" xfId="833" xr:uid="{23F88415-C972-4950-8BC3-80D9C86EFC2A}"/>
    <cellStyle name="Output 2 8 2 3 2" xfId="1638" xr:uid="{CAC3E3FA-6D4A-42A6-99E4-39967FDA4CAA}"/>
    <cellStyle name="Output 2 8 2 3 2 2" xfId="7409" xr:uid="{82CDBC9F-C34C-4C34-9EE3-38F01B22C0F7}"/>
    <cellStyle name="Output 2 8 2 3 2 3" xfId="10075" xr:uid="{6AE17C38-3632-4B3E-9036-A236D2A8FA49}"/>
    <cellStyle name="Output 2 8 2 3 2 4" xfId="4435" xr:uid="{93A2659E-133F-42AF-A87B-5CCF4B0A2713}"/>
    <cellStyle name="Output 2 8 2 3 3" xfId="5175" xr:uid="{EE98D7CF-217D-45B3-9C26-F2F181F18BA8}"/>
    <cellStyle name="Output 2 8 2 3 3 2" xfId="8149" xr:uid="{B5C5CB44-547A-4E2A-90CE-E5C6972B8591}"/>
    <cellStyle name="Output 2 8 2 3 4" xfId="5940" xr:uid="{FECE77C4-1305-4A00-BE11-43016628221D}"/>
    <cellStyle name="Output 2 8 2 3 4 2" xfId="8914" xr:uid="{332434E3-3D63-4392-8B96-93DAC5A65476}"/>
    <cellStyle name="Output 2 8 2 3 5" xfId="3667" xr:uid="{D5A81C33-CC36-417C-9B77-D15D96ACC5DB}"/>
    <cellStyle name="Output 2 8 2 3 6" xfId="6613" xr:uid="{6BAB28F2-13E9-40A3-AF7E-1F9EE5C142A8}"/>
    <cellStyle name="Output 2 8 2 3 7" xfId="2590" xr:uid="{75BDC1F8-42B0-40B4-BCE0-8FC96CC107BC}"/>
    <cellStyle name="Output 2 8 2 4" xfId="583" xr:uid="{B7B754D7-A611-499B-8BB9-7E44AB1DB7AE}"/>
    <cellStyle name="Output 2 8 2 4 2" xfId="1388" xr:uid="{F92DD21F-50F5-49EC-B59E-3EEF7F32BE1B}"/>
    <cellStyle name="Output 2 8 2 4 2 2" xfId="7159" xr:uid="{91A40475-7904-433B-BB5A-F6FAD8BA06E0}"/>
    <cellStyle name="Output 2 8 2 4 2 3" xfId="9825" xr:uid="{8EC13073-F9C7-430D-9E47-390871EC2751}"/>
    <cellStyle name="Output 2 8 2 4 2 4" xfId="4185" xr:uid="{189DC4CA-200A-449C-892A-CDD683C46C84}"/>
    <cellStyle name="Output 2 8 2 4 3" xfId="4925" xr:uid="{A7733668-2A11-47A0-AB00-0FC0FCFE512E}"/>
    <cellStyle name="Output 2 8 2 4 3 2" xfId="7899" xr:uid="{6A696B09-0036-4768-B129-212856C0E18B}"/>
    <cellStyle name="Output 2 8 2 4 4" xfId="5690" xr:uid="{3ADA15E0-AA38-4FB4-91AC-58A15AEC5B75}"/>
    <cellStyle name="Output 2 8 2 4 4 2" xfId="8664" xr:uid="{C85A4B1B-0AD3-498A-8872-829A991E023A}"/>
    <cellStyle name="Output 2 8 2 4 5" xfId="6363" xr:uid="{D99C0CD6-DD09-4A86-AD04-FB61C2D75E35}"/>
    <cellStyle name="Output 2 8 2 4 6" xfId="2340" xr:uid="{1B1E967A-B379-4670-AA89-3840A1784D6D}"/>
    <cellStyle name="Output 2 8 2 5" xfId="3043" xr:uid="{104461FF-C806-4796-930F-E42671725EC0}"/>
    <cellStyle name="Output 2 8 2 6" xfId="2160" xr:uid="{13502E83-E6FA-46F4-B263-52E44659771E}"/>
    <cellStyle name="Output 2 8 3" xfId="286" xr:uid="{D486E972-CD47-4534-80A9-2E696343F499}"/>
    <cellStyle name="Output 2 8 3 2" xfId="510" xr:uid="{D1D5CF33-67AA-417F-A009-F0B6C8C1D990}"/>
    <cellStyle name="Output 2 8 3 2 2" xfId="989" xr:uid="{696A3EE2-9648-469C-91D8-2C91417F79E7}"/>
    <cellStyle name="Output 2 8 3 2 2 2" xfId="1794" xr:uid="{DABD733D-5E29-4D7E-8289-25435BAB8AD1}"/>
    <cellStyle name="Output 2 8 3 2 2 2 2" xfId="7565" xr:uid="{A5E9FB82-6D12-4604-A11C-24C887C68414}"/>
    <cellStyle name="Output 2 8 3 2 2 2 3" xfId="10231" xr:uid="{BB82A6F2-E4A4-497C-8EA4-4F2C82EFA734}"/>
    <cellStyle name="Output 2 8 3 2 2 2 4" xfId="4591" xr:uid="{984ECB2A-49ED-414E-AC46-ED523FF0E8EE}"/>
    <cellStyle name="Output 2 8 3 2 2 3" xfId="5331" xr:uid="{E7470CC1-A538-439B-A9E2-7E61D8D895DF}"/>
    <cellStyle name="Output 2 8 3 2 2 3 2" xfId="8305" xr:uid="{CEE8D30F-B6A0-4706-BE1D-156E5E339174}"/>
    <cellStyle name="Output 2 8 3 2 2 4" xfId="6096" xr:uid="{4CEE1BEC-6F9D-4945-9440-CB1204501138}"/>
    <cellStyle name="Output 2 8 3 2 2 4 2" xfId="9070" xr:uid="{90AADFE4-48B1-42A4-9737-8C66B57120F6}"/>
    <cellStyle name="Output 2 8 3 2 2 5" xfId="3806" xr:uid="{E72883EF-98E2-42DD-9CA5-A2297EB8AF07}"/>
    <cellStyle name="Output 2 8 3 2 2 6" xfId="6769" xr:uid="{1580B37D-7F62-42AB-B2E7-44831AD6E69E}"/>
    <cellStyle name="Output 2 8 3 2 2 7" xfId="2746" xr:uid="{60AC5D7A-11EC-46E9-B1FD-C5C01C152C95}"/>
    <cellStyle name="Output 2 8 3 2 3" xfId="882" xr:uid="{93385E45-7C1F-46F3-8040-4FD94ABF1B2C}"/>
    <cellStyle name="Output 2 8 3 2 3 2" xfId="1687" xr:uid="{61A178DC-ED1E-44EB-9FA3-2679F4B53C6D}"/>
    <cellStyle name="Output 2 8 3 2 3 2 2" xfId="7458" xr:uid="{CA653F08-BA30-4812-AA9D-315F0604CC92}"/>
    <cellStyle name="Output 2 8 3 2 3 2 3" xfId="10124" xr:uid="{52FE5731-F345-453B-98F2-D3A0CE9206A9}"/>
    <cellStyle name="Output 2 8 3 2 3 2 4" xfId="4484" xr:uid="{8CED5677-C8E8-4CBB-BDE1-F909E0762054}"/>
    <cellStyle name="Output 2 8 3 2 3 3" xfId="5224" xr:uid="{09EF10EA-2271-4DF5-9F08-94B125AF5652}"/>
    <cellStyle name="Output 2 8 3 2 3 3 2" xfId="8198" xr:uid="{F224F170-DF27-4E4C-8592-630EBA3D231F}"/>
    <cellStyle name="Output 2 8 3 2 3 4" xfId="5989" xr:uid="{F7AE4C93-E1BD-4E08-A917-98D839967E09}"/>
    <cellStyle name="Output 2 8 3 2 3 4 2" xfId="8963" xr:uid="{40215815-4A95-435A-BB81-BE7AEBBA356C}"/>
    <cellStyle name="Output 2 8 3 2 3 5" xfId="6662" xr:uid="{6ACF5B89-7511-4BA1-89B9-6D4115BC2EE8}"/>
    <cellStyle name="Output 2 8 3 2 3 6" xfId="2639" xr:uid="{57BE6CEA-B6B1-46E7-BA68-0457B92EBE51}"/>
    <cellStyle name="Output 2 8 3 2 4" xfId="1316" xr:uid="{A1ED960F-F882-4704-AFCF-B428709DA91B}"/>
    <cellStyle name="Output 2 8 3 2 4 2" xfId="7087" xr:uid="{870FFDB4-BEE1-4021-97BE-C9C1B3DDA2F9}"/>
    <cellStyle name="Output 2 8 3 2 4 3" xfId="9753" xr:uid="{F3356ECE-A00F-4539-A93F-14602314891C}"/>
    <cellStyle name="Output 2 8 3 2 4 4" xfId="4113" xr:uid="{76E6C4CD-EDA3-42B6-9C72-FFC1C24A8DA8}"/>
    <cellStyle name="Output 2 8 3 2 5" xfId="4853" xr:uid="{B2D82735-C0B0-40CD-83B3-43D714BFE4D9}"/>
    <cellStyle name="Output 2 8 3 2 5 2" xfId="7827" xr:uid="{9E7430E3-4805-48EF-AD6D-A481E389550B}"/>
    <cellStyle name="Output 2 8 3 2 6" xfId="5618" xr:uid="{03247D75-8EC7-4913-8B47-9B3FD3678C1F}"/>
    <cellStyle name="Output 2 8 3 2 6 2" xfId="8592" xr:uid="{A478E47F-EE88-4D68-94BC-CD7588B128FB}"/>
    <cellStyle name="Output 2 8 3 2 7" xfId="3047" xr:uid="{A95D4BE8-128A-4C7B-8DE6-4240B6E47263}"/>
    <cellStyle name="Output 2 8 3 2 8" xfId="2268" xr:uid="{E497510E-C538-4655-A643-9E417BAD3545}"/>
    <cellStyle name="Output 2 8 3 3" xfId="778" xr:uid="{24808FD5-F533-49EF-AB38-FB94B27EE747}"/>
    <cellStyle name="Output 2 8 3 3 2" xfId="1583" xr:uid="{18043590-D539-40AE-8EE9-7D83357F848E}"/>
    <cellStyle name="Output 2 8 3 3 2 2" xfId="7354" xr:uid="{763DB635-6E7A-4761-9A2B-034E931937A8}"/>
    <cellStyle name="Output 2 8 3 3 2 3" xfId="10020" xr:uid="{55496D74-2AB9-4B97-9C9D-696E78C60E23}"/>
    <cellStyle name="Output 2 8 3 3 2 4" xfId="4380" xr:uid="{1664F820-9D87-4A93-BFC1-D2C4F5B7D698}"/>
    <cellStyle name="Output 2 8 3 3 3" xfId="5120" xr:uid="{9372A9A3-1480-434C-AA49-037620C73B1C}"/>
    <cellStyle name="Output 2 8 3 3 3 2" xfId="8094" xr:uid="{2DFAEF6A-714A-4A80-B73B-92D79DB708C2}"/>
    <cellStyle name="Output 2 8 3 3 4" xfId="5885" xr:uid="{9CBA8645-0633-4C9D-8956-E371C6652020}"/>
    <cellStyle name="Output 2 8 3 3 4 2" xfId="8859" xr:uid="{6DF852D2-2DF2-430E-9124-73079902DCD7}"/>
    <cellStyle name="Output 2 8 3 3 5" xfId="3613" xr:uid="{23EFBCD3-DCEB-48BA-A704-BA26CD2446B0}"/>
    <cellStyle name="Output 2 8 3 3 6" xfId="6558" xr:uid="{1B1C20C7-8063-4CDA-B406-13ABD4177F0D}"/>
    <cellStyle name="Output 2 8 3 3 7" xfId="2535" xr:uid="{A58E7BD9-1323-4B5A-A9D7-FBAADF622E7B}"/>
    <cellStyle name="Output 2 8 3 4" xfId="634" xr:uid="{BB413439-6AA6-4518-BF70-D58500EC3113}"/>
    <cellStyle name="Output 2 8 3 4 2" xfId="1439" xr:uid="{E685F3C8-E279-46CD-AA1B-FB27BFE03733}"/>
    <cellStyle name="Output 2 8 3 4 2 2" xfId="7210" xr:uid="{C384BC25-AD70-4C82-9297-5C31632FDE48}"/>
    <cellStyle name="Output 2 8 3 4 2 3" xfId="9876" xr:uid="{E35499BC-D923-4FBF-978D-A6C191D81CA8}"/>
    <cellStyle name="Output 2 8 3 4 2 4" xfId="4236" xr:uid="{52CCEA2D-51BB-4DAC-82AA-02B4DCB5F076}"/>
    <cellStyle name="Output 2 8 3 4 3" xfId="4976" xr:uid="{51B5C588-6663-496F-84FC-D1062956AA4F}"/>
    <cellStyle name="Output 2 8 3 4 3 2" xfId="7950" xr:uid="{236021B0-B377-4916-BC2D-955833E25C7F}"/>
    <cellStyle name="Output 2 8 3 4 4" xfId="5741" xr:uid="{8CEF79CD-240E-4A7A-B19A-608769C34297}"/>
    <cellStyle name="Output 2 8 3 4 4 2" xfId="8715" xr:uid="{A5E2E88A-2702-4CA6-AF82-98299FF1FD68}"/>
    <cellStyle name="Output 2 8 3 4 5" xfId="6414" xr:uid="{ABBB8CDB-3C3B-496A-A1E6-5AFBC4C50B36}"/>
    <cellStyle name="Output 2 8 3 4 6" xfId="2391" xr:uid="{BA254698-CEEC-4129-940D-98C7CB4A0D75}"/>
    <cellStyle name="Output 2 8 3 5" xfId="2977" xr:uid="{89DF01D0-EC59-47E2-9227-28AC82754DA8}"/>
    <cellStyle name="Output 2 8 3 6" xfId="2103" xr:uid="{2683462E-BE2F-4CE8-808C-BE0C53B317EA}"/>
    <cellStyle name="Output 2 8 4" xfId="462" xr:uid="{3F52D8A2-0A5F-47DA-B023-9319284529D7}"/>
    <cellStyle name="Output 2 8 4 2" xfId="941" xr:uid="{4C07C73F-64F6-4E61-B515-AA6C73CE07F7}"/>
    <cellStyle name="Output 2 8 4 2 2" xfId="1746" xr:uid="{148212D6-DC4C-4C5A-B6EA-28071E7A3B43}"/>
    <cellStyle name="Output 2 8 4 2 2 2" xfId="7517" xr:uid="{9A1BD94A-7769-400F-95D9-CA58C80A601A}"/>
    <cellStyle name="Output 2 8 4 2 2 3" xfId="10183" xr:uid="{A7B4838E-5A36-42DF-A79E-23CDB33A2D0C}"/>
    <cellStyle name="Output 2 8 4 2 2 4" xfId="4543" xr:uid="{19179446-22F3-49B8-9C4D-44F81B5E3AF8}"/>
    <cellStyle name="Output 2 8 4 2 3" xfId="5283" xr:uid="{076A287E-055E-4DEB-917C-5909B1ED1C76}"/>
    <cellStyle name="Output 2 8 4 2 3 2" xfId="8257" xr:uid="{504EBB36-719F-42FE-9BCB-246AA5D2D759}"/>
    <cellStyle name="Output 2 8 4 2 4" xfId="6048" xr:uid="{A9BDD174-2D27-4891-946B-96CE35922D53}"/>
    <cellStyle name="Output 2 8 4 2 4 2" xfId="9022" xr:uid="{9A85C1D9-E927-4307-ABA4-57256698E59E}"/>
    <cellStyle name="Output 2 8 4 2 5" xfId="3758" xr:uid="{F8CE6C6F-2ED3-44AB-8AA7-81F84FD52FE6}"/>
    <cellStyle name="Output 2 8 4 2 6" xfId="6721" xr:uid="{5303F4A5-D1E1-4006-8516-C02711FCF247}"/>
    <cellStyle name="Output 2 8 4 2 7" xfId="2698" xr:uid="{F505A6D3-31CB-468E-8BA3-7C51E26C93CB}"/>
    <cellStyle name="Output 2 8 4 3" xfId="1076" xr:uid="{EFFDEAA6-B361-4671-A183-75DB33C87F93}"/>
    <cellStyle name="Output 2 8 4 3 2" xfId="1881" xr:uid="{52DD6B54-EF6C-4029-B446-90DA4887085D}"/>
    <cellStyle name="Output 2 8 4 3 2 2" xfId="7652" xr:uid="{3A4E5D7F-F434-4857-87ED-FE35806F31B2}"/>
    <cellStyle name="Output 2 8 4 3 2 3" xfId="10318" xr:uid="{0752BE0B-C14E-4F35-B307-289785AF8AB8}"/>
    <cellStyle name="Output 2 8 4 3 2 4" xfId="4678" xr:uid="{3DE84CE1-8584-4B38-AC15-5FA6306723E6}"/>
    <cellStyle name="Output 2 8 4 3 3" xfId="5418" xr:uid="{05C6FAD9-C17C-48B4-9AD4-85B9794BACC7}"/>
    <cellStyle name="Output 2 8 4 3 3 2" xfId="8392" xr:uid="{76C76DA3-B380-4980-9AAB-DC8B3224E5D4}"/>
    <cellStyle name="Output 2 8 4 3 4" xfId="6183" xr:uid="{0E3D65BD-5623-41FA-9FC4-C14E7C1F978D}"/>
    <cellStyle name="Output 2 8 4 3 4 2" xfId="9157" xr:uid="{182E557F-4381-428F-B900-D495F74B9FB9}"/>
    <cellStyle name="Output 2 8 4 3 5" xfId="6856" xr:uid="{D3A29948-84ED-4145-B0B2-BE7F038FD51B}"/>
    <cellStyle name="Output 2 8 4 3 6" xfId="2833" xr:uid="{D55449F3-B826-4B46-BDEC-751AE7FC009B}"/>
    <cellStyle name="Output 2 8 4 4" xfId="1268" xr:uid="{DDC1A98C-4187-4007-99E2-CBD2E2F43914}"/>
    <cellStyle name="Output 2 8 4 4 2" xfId="7039" xr:uid="{2E3F3E4D-A01A-464B-B107-2798713EB75A}"/>
    <cellStyle name="Output 2 8 4 4 3" xfId="9705" xr:uid="{DC88DE93-0CB9-4C25-A1DD-90EE4A253E5C}"/>
    <cellStyle name="Output 2 8 4 4 4" xfId="4065" xr:uid="{7282B468-531F-4268-9600-88BA7931D411}"/>
    <cellStyle name="Output 2 8 4 5" xfId="4805" xr:uid="{242082DC-A561-4B3E-A26E-33FD56431549}"/>
    <cellStyle name="Output 2 8 4 5 2" xfId="7779" xr:uid="{BA2B860F-8F5E-4956-9338-77B05E6E25A7}"/>
    <cellStyle name="Output 2 8 4 6" xfId="5570" xr:uid="{00A8FFFE-71E8-48E9-8352-DC9C810DAD2A}"/>
    <cellStyle name="Output 2 8 4 6 2" xfId="8544" xr:uid="{602A73E9-8211-494B-9AE6-E4765DC8C233}"/>
    <cellStyle name="Output 2 8 4 7" xfId="2964" xr:uid="{9060B22E-B292-4C32-B827-A65E9348F56E}"/>
    <cellStyle name="Output 2 8 4 8" xfId="2220" xr:uid="{D2A5E040-7B5E-4A5B-9B2E-0EFAF9C8B2A8}"/>
    <cellStyle name="Output 2 8 5" xfId="730" xr:uid="{B631D839-AAD5-4329-8931-3477B31A21E4}"/>
    <cellStyle name="Output 2 8 5 2" xfId="1535" xr:uid="{17CD1CFA-3010-4CEA-8631-51B7B71E673A}"/>
    <cellStyle name="Output 2 8 5 2 2" xfId="7306" xr:uid="{1CEC01DE-4D48-4EA6-A5D6-2E7B280D04CE}"/>
    <cellStyle name="Output 2 8 5 2 3" xfId="9972" xr:uid="{872B4095-79FE-4A31-BD7F-FF8F09F23171}"/>
    <cellStyle name="Output 2 8 5 2 4" xfId="4332" xr:uid="{84AEC1FE-760A-431A-81F6-D396DB62F570}"/>
    <cellStyle name="Output 2 8 5 3" xfId="5072" xr:uid="{7FC13564-5A95-4A25-B52F-B278416AC6BD}"/>
    <cellStyle name="Output 2 8 5 3 2" xfId="8046" xr:uid="{37CBF468-04C8-42C6-A1CF-12AFA5040210}"/>
    <cellStyle name="Output 2 8 5 4" xfId="5837" xr:uid="{7F0022EA-A45F-47F8-A040-B672E78614A3}"/>
    <cellStyle name="Output 2 8 5 4 2" xfId="8811" xr:uid="{5A4D385A-2850-44F6-AA75-F41B43E1E0C7}"/>
    <cellStyle name="Output 2 8 5 5" xfId="3565" xr:uid="{6D0AE3AA-4930-4965-B588-E43B4D8CA718}"/>
    <cellStyle name="Output 2 8 5 6" xfId="6510" xr:uid="{53A5942F-1CAB-4C18-ABC7-648F2CEEEA41}"/>
    <cellStyle name="Output 2 8 5 7" xfId="2487" xr:uid="{D78F1B33-151B-4BA0-ACC3-18452F756CCC}"/>
    <cellStyle name="Output 2 8 6" xfId="632" xr:uid="{7EA8FB12-7947-4440-A1DB-BE89A8AED1C9}"/>
    <cellStyle name="Output 2 8 6 2" xfId="1437" xr:uid="{BB7979BD-29D9-40B6-A344-39791A2CE2C8}"/>
    <cellStyle name="Output 2 8 6 2 2" xfId="7208" xr:uid="{A272FA17-B87E-4B85-9F2C-639DAF4A864F}"/>
    <cellStyle name="Output 2 8 6 2 3" xfId="9874" xr:uid="{235A42E0-D71A-4875-BC93-C456FF36736F}"/>
    <cellStyle name="Output 2 8 6 2 4" xfId="4234" xr:uid="{17D1884F-21DB-40C7-BC06-E21C14018B03}"/>
    <cellStyle name="Output 2 8 6 3" xfId="4974" xr:uid="{757BF806-D396-4000-9693-156A9506B82D}"/>
    <cellStyle name="Output 2 8 6 3 2" xfId="7948" xr:uid="{63F1DF8F-C72F-46BA-B9C9-59A95FA4115A}"/>
    <cellStyle name="Output 2 8 6 4" xfId="5739" xr:uid="{3A4896C0-AB51-4EF2-9479-F00035FC44C7}"/>
    <cellStyle name="Output 2 8 6 4 2" xfId="8713" xr:uid="{DFFD69CF-6158-42E7-8A93-395742E2BEF1}"/>
    <cellStyle name="Output 2 8 6 5" xfId="6412" xr:uid="{CF0A730C-6BC9-4750-BCE7-8062DE818AAD}"/>
    <cellStyle name="Output 2 8 6 6" xfId="2389" xr:uid="{FB065FEA-3F0A-4F00-91F2-B12D88E1556D}"/>
    <cellStyle name="Output 2 8 7" xfId="3424" xr:uid="{885F0669-6F89-453A-B4AC-C283225164DC}"/>
    <cellStyle name="Output 2 8 8" xfId="2053" xr:uid="{C0BBB68E-EBB2-459D-A36F-BA190FE11835}"/>
    <cellStyle name="Output 2 9" xfId="301" xr:uid="{B24F6801-0842-42C5-BF3F-29C2072AC164}"/>
    <cellStyle name="Output 2 9 2" xfId="523" xr:uid="{A5974297-F293-4BA8-8E5D-20D78505FFF2}"/>
    <cellStyle name="Output 2 9 2 2" xfId="1002" xr:uid="{EF5F60D6-9464-4F94-8C42-F10374C9FA7A}"/>
    <cellStyle name="Output 2 9 2 2 2" xfId="1807" xr:uid="{E1B6152A-F876-46AC-A95C-67ED69F98D1C}"/>
    <cellStyle name="Output 2 9 2 2 2 2" xfId="7578" xr:uid="{80E5D123-7590-432F-9E84-C4DE5A13AE73}"/>
    <cellStyle name="Output 2 9 2 2 2 3" xfId="10244" xr:uid="{3E5879E1-A657-4CAE-9724-F45280AC6121}"/>
    <cellStyle name="Output 2 9 2 2 2 4" xfId="4604" xr:uid="{9A999E9E-89AA-4CB2-8E27-0A681EE45538}"/>
    <cellStyle name="Output 2 9 2 2 3" xfId="5344" xr:uid="{4BACE297-5C05-4B53-874D-FDBE860EE71A}"/>
    <cellStyle name="Output 2 9 2 2 3 2" xfId="8318" xr:uid="{BA7B79E3-B7E7-45FB-8984-EE54157FD1F8}"/>
    <cellStyle name="Output 2 9 2 2 4" xfId="6109" xr:uid="{634C60A5-94FC-4A32-A83F-1E7EC3552155}"/>
    <cellStyle name="Output 2 9 2 2 4 2" xfId="9083" xr:uid="{02AE933D-C8D4-47E6-8D15-090AB34DAA4F}"/>
    <cellStyle name="Output 2 9 2 2 5" xfId="3819" xr:uid="{02C51DBD-4735-4114-A419-0D8CF6DE9706}"/>
    <cellStyle name="Output 2 9 2 2 6" xfId="6782" xr:uid="{9F8A4D74-3DBF-4D17-85DF-2290C2119D20}"/>
    <cellStyle name="Output 2 9 2 2 7" xfId="2759" xr:uid="{1709B7C0-EAE8-4387-ACA8-D3F4536ADC54}"/>
    <cellStyle name="Output 2 9 2 3" xfId="1060" xr:uid="{B102250E-B561-4093-A0CC-8CF019172EFF}"/>
    <cellStyle name="Output 2 9 2 3 2" xfId="1865" xr:uid="{EAE03060-8EC1-4DEA-B2F8-87EEE95C876B}"/>
    <cellStyle name="Output 2 9 2 3 2 2" xfId="7636" xr:uid="{08A77306-62CC-46D1-9128-8D918800FA2D}"/>
    <cellStyle name="Output 2 9 2 3 2 3" xfId="10302" xr:uid="{B1DF4B30-DCE7-4257-BD45-9A496E11DC9F}"/>
    <cellStyle name="Output 2 9 2 3 2 4" xfId="4662" xr:uid="{C5913981-81D5-4710-87E6-7D6F25F2DF57}"/>
    <cellStyle name="Output 2 9 2 3 3" xfId="5402" xr:uid="{ABE1BDA7-88D1-4B35-9A4C-3227B9EBBFB5}"/>
    <cellStyle name="Output 2 9 2 3 3 2" xfId="8376" xr:uid="{07BC4ACC-85A7-420E-966F-D8D379299CFA}"/>
    <cellStyle name="Output 2 9 2 3 4" xfId="6167" xr:uid="{0033DAB0-29BC-42B9-89B3-3091C3621207}"/>
    <cellStyle name="Output 2 9 2 3 4 2" xfId="9141" xr:uid="{95742E82-61FE-4B25-A4DA-EDB7C5126BE3}"/>
    <cellStyle name="Output 2 9 2 3 5" xfId="6840" xr:uid="{DA002DA8-F4BD-4E55-89AE-11206BAEC736}"/>
    <cellStyle name="Output 2 9 2 3 6" xfId="2817" xr:uid="{3F7582C0-35D9-49E4-BC53-4239C282FC04}"/>
    <cellStyle name="Output 2 9 2 4" xfId="1329" xr:uid="{07165828-EE4B-4DA3-AAB6-0789403E9A28}"/>
    <cellStyle name="Output 2 9 2 4 2" xfId="7100" xr:uid="{7332542B-4C89-4AFC-9F70-B59C431199EE}"/>
    <cellStyle name="Output 2 9 2 4 3" xfId="9766" xr:uid="{034EA19E-76D3-4D41-84C3-27BBBE8AA382}"/>
    <cellStyle name="Output 2 9 2 4 4" xfId="4126" xr:uid="{8D687A47-E5BD-4E37-A874-2D8CB5C7C36C}"/>
    <cellStyle name="Output 2 9 2 5" xfId="4866" xr:uid="{2EA6484B-0F25-40F8-B60A-6E0FB22EF1F9}"/>
    <cellStyle name="Output 2 9 2 5 2" xfId="7840" xr:uid="{B2EA68C8-9043-422B-BB4B-90C4F7A06BA8}"/>
    <cellStyle name="Output 2 9 2 6" xfId="5631" xr:uid="{B54C72B7-FD03-47BF-A0B8-695FA7F539C7}"/>
    <cellStyle name="Output 2 9 2 6 2" xfId="8605" xr:uid="{C1E403F2-EC79-4C84-961F-A2C1CC45FBE8}"/>
    <cellStyle name="Output 2 9 2 7" xfId="6304" xr:uid="{6693B632-5280-44C4-9B0C-6CF3C3E5674C}"/>
    <cellStyle name="Output 2 9 2 8" xfId="2281" xr:uid="{72B58F91-244C-40A9-801B-D40A94D63F1F}"/>
    <cellStyle name="Output 2 9 3" xfId="792" xr:uid="{68817740-288A-4EA1-943F-CFDAF3C1B3B3}"/>
    <cellStyle name="Output 2 9 3 2" xfId="1597" xr:uid="{83A93A61-3636-4012-BEF7-6C305BB9AA95}"/>
    <cellStyle name="Output 2 9 3 2 2" xfId="7368" xr:uid="{68DC2F47-CBF7-415C-A1B6-87C0355EA5C2}"/>
    <cellStyle name="Output 2 9 3 2 3" xfId="10034" xr:uid="{ADD0167F-1256-4D41-8FBF-95E306C48B20}"/>
    <cellStyle name="Output 2 9 3 2 4" xfId="4394" xr:uid="{143DC9F5-7466-498C-8E4C-7639006CB16C}"/>
    <cellStyle name="Output 2 9 3 3" xfId="5134" xr:uid="{E8A82A60-C0AF-478A-9A7C-DC03B01378D6}"/>
    <cellStyle name="Output 2 9 3 3 2" xfId="8108" xr:uid="{91F954ED-5658-4E0F-8E6D-7A1EB0FB8888}"/>
    <cellStyle name="Output 2 9 3 4" xfId="5899" xr:uid="{A91372A2-56BC-42A9-AC50-FD275A03CAC3}"/>
    <cellStyle name="Output 2 9 3 4 2" xfId="8873" xr:uid="{147A731D-98CA-4BCA-A4C1-0823BD7AFA2D}"/>
    <cellStyle name="Output 2 9 3 5" xfId="3626" xr:uid="{EB6CB730-0920-49F7-9AFA-2865EC43B94A}"/>
    <cellStyle name="Output 2 9 3 6" xfId="6572" xr:uid="{B9A92AEF-ACE0-47B1-9B62-0DDEC88529E5}"/>
    <cellStyle name="Output 2 9 3 7" xfId="2549" xr:uid="{E5B3C14D-A77E-44E6-A20D-D88A8748D492}"/>
    <cellStyle name="Output 2 9 4" xfId="1115" xr:uid="{8E47C8CC-ECD9-4FE1-B8B2-C983A7FABB59}"/>
    <cellStyle name="Output 2 9 4 2" xfId="1920" xr:uid="{204D32C7-39F0-4B31-AA38-3815F3758B48}"/>
    <cellStyle name="Output 2 9 4 2 2" xfId="7691" xr:uid="{18B70830-9093-42DF-AC49-C67EA43D2722}"/>
    <cellStyle name="Output 2 9 4 2 3" xfId="10357" xr:uid="{050FB11E-C69F-426B-8DF3-97C109F099AF}"/>
    <cellStyle name="Output 2 9 4 2 4" xfId="4717" xr:uid="{10BA9B3A-1976-4D8F-9597-D5466B8AA022}"/>
    <cellStyle name="Output 2 9 4 3" xfId="5457" xr:uid="{04A649B1-945C-458E-97DD-AE45CE067563}"/>
    <cellStyle name="Output 2 9 4 3 2" xfId="8431" xr:uid="{98A055E2-F281-4F75-BE01-EABF5E5B2022}"/>
    <cellStyle name="Output 2 9 4 4" xfId="6222" xr:uid="{693675BB-B3E2-4233-80B9-8926AA1207F3}"/>
    <cellStyle name="Output 2 9 4 4 2" xfId="9196" xr:uid="{75302E85-3F59-406A-A61A-FD04F9FBEE0F}"/>
    <cellStyle name="Output 2 9 4 5" xfId="6895" xr:uid="{83E986E2-2524-40F9-B83A-58E9B047BECC}"/>
    <cellStyle name="Output 2 9 4 6" xfId="2872" xr:uid="{6A2D3677-9863-4E11-9F9D-F4470B3C0345}"/>
    <cellStyle name="Output 2 9 5" xfId="2966" xr:uid="{AECC4B9E-79B7-4E0E-B967-DA6DAF8054AA}"/>
    <cellStyle name="Output 2 9 6" xfId="2119" xr:uid="{ED324896-CB96-419A-B9D2-FEEABD043DC5}"/>
    <cellStyle name="Percent 2" xfId="9596" xr:uid="{9004A5B5-2577-40C8-965A-1EEE9AA37B3A}"/>
    <cellStyle name="Percent 2 2" xfId="9597" xr:uid="{3CA54DD6-9F51-4686-96A2-1130A82FEE41}"/>
    <cellStyle name="Percent 2 3" xfId="9598" xr:uid="{5AF8AE0A-4724-493D-A721-480533C523B2}"/>
    <cellStyle name="Percent 3" xfId="9599" xr:uid="{F22FA2CB-F6A5-4FB0-8AAD-BC278DB2C3FA}"/>
    <cellStyle name="Standaard 2" xfId="567" xr:uid="{984520F9-3BD0-403D-90F7-4FF61DD183E1}"/>
    <cellStyle name="Title 2" xfId="138" xr:uid="{C29BF761-9B1E-4B57-9ACA-8DCB4104D143}"/>
    <cellStyle name="Total 2" xfId="152" xr:uid="{491860AA-F69A-42A8-A431-CA97D2BE37C5}"/>
    <cellStyle name="Total 2 10" xfId="294" xr:uid="{79B822DC-1362-44F7-B965-5E2942D2A495}"/>
    <cellStyle name="Total 2 10 2" xfId="518" xr:uid="{37B7323A-52B6-450E-9683-012385E16EA6}"/>
    <cellStyle name="Total 2 10 2 2" xfId="997" xr:uid="{AC7E6891-68E1-4DCF-911B-319765F70F93}"/>
    <cellStyle name="Total 2 10 2 2 2" xfId="1802" xr:uid="{4690A5A3-6E35-4B7C-AC52-91D43591CEA6}"/>
    <cellStyle name="Total 2 10 2 2 2 2" xfId="7573" xr:uid="{99F4C884-8848-4B16-A7E7-72D8E4D20BA7}"/>
    <cellStyle name="Total 2 10 2 2 2 3" xfId="10239" xr:uid="{90C1DD86-2B25-48D9-92DF-2D6BCFA3EEBE}"/>
    <cellStyle name="Total 2 10 2 2 2 4" xfId="4599" xr:uid="{9F8DB40C-E38D-4960-A7C2-BD1B2B1B852A}"/>
    <cellStyle name="Total 2 10 2 2 3" xfId="5339" xr:uid="{535909CB-2C45-4DA1-A368-D384B1A4E295}"/>
    <cellStyle name="Total 2 10 2 2 3 2" xfId="8313" xr:uid="{19F23D80-7F3C-494E-B7CA-6C3D014A4D50}"/>
    <cellStyle name="Total 2 10 2 2 4" xfId="6104" xr:uid="{66397BBE-0CD9-4BEE-B3F0-EB55DEE71504}"/>
    <cellStyle name="Total 2 10 2 2 4 2" xfId="9078" xr:uid="{FC4C5A81-05BC-493A-9B71-EE6729C651BA}"/>
    <cellStyle name="Total 2 10 2 2 5" xfId="3814" xr:uid="{D50E0CC6-9AB3-4CDE-9079-69C73DC7AEAC}"/>
    <cellStyle name="Total 2 10 2 2 6" xfId="6777" xr:uid="{5479EED5-18FA-49B5-8DD8-D677BF33010D}"/>
    <cellStyle name="Total 2 10 2 2 7" xfId="2754" xr:uid="{88884858-2B8E-4A1F-BB72-577F9DF9C5F6}"/>
    <cellStyle name="Total 2 10 2 3" xfId="1148" xr:uid="{521C851A-ACD0-40E0-8F8B-83C19C08804E}"/>
    <cellStyle name="Total 2 10 2 3 2" xfId="1953" xr:uid="{C3939BB7-AEF0-4D51-97A4-FD71CBF7C0BD}"/>
    <cellStyle name="Total 2 10 2 3 2 2" xfId="7724" xr:uid="{B7661FB2-F6F0-41B3-A747-9CC538B2C487}"/>
    <cellStyle name="Total 2 10 2 3 2 3" xfId="10390" xr:uid="{2CF41D3D-96A5-442E-832F-651F4CA97A9E}"/>
    <cellStyle name="Total 2 10 2 3 2 4" xfId="4750" xr:uid="{6F52FAED-3A79-49D1-9643-B622CCC6FF83}"/>
    <cellStyle name="Total 2 10 2 3 3" xfId="5490" xr:uid="{EC47BBCA-80F6-43CE-8512-7275A5B015C1}"/>
    <cellStyle name="Total 2 10 2 3 3 2" xfId="8464" xr:uid="{BCB6BEE9-7812-4C7C-8A75-CAF831EA69B0}"/>
    <cellStyle name="Total 2 10 2 3 4" xfId="6255" xr:uid="{444D9AA4-821A-411F-9ABA-420E0B23CDB4}"/>
    <cellStyle name="Total 2 10 2 3 4 2" xfId="9229" xr:uid="{AF41982F-97D4-428E-9286-ED4902EC397B}"/>
    <cellStyle name="Total 2 10 2 3 5" xfId="6928" xr:uid="{719EC45C-739B-45B8-AD4F-A7294AFC7EE6}"/>
    <cellStyle name="Total 2 10 2 3 6" xfId="2905" xr:uid="{121FEFA9-4C52-4E88-8B6B-61B74C181F71}"/>
    <cellStyle name="Total 2 10 2 4" xfId="1324" xr:uid="{E942A302-E24C-41F2-9BD2-BAC8577A1100}"/>
    <cellStyle name="Total 2 10 2 4 2" xfId="7095" xr:uid="{77DD758D-C767-4117-B055-F1724F7EB070}"/>
    <cellStyle name="Total 2 10 2 4 3" xfId="9761" xr:uid="{7AB33D41-E3CA-4257-8B57-BDF76DAB349F}"/>
    <cellStyle name="Total 2 10 2 4 4" xfId="4121" xr:uid="{04DE559E-5185-41DD-A00F-AEAF212A47C2}"/>
    <cellStyle name="Total 2 10 2 5" xfId="4861" xr:uid="{32DACC95-993E-4B73-AD21-A7DEB9890CF0}"/>
    <cellStyle name="Total 2 10 2 5 2" xfId="7835" xr:uid="{89BD6695-839D-4335-B310-516E5464C2E3}"/>
    <cellStyle name="Total 2 10 2 6" xfId="5626" xr:uid="{FBDE330E-C87A-48F6-832E-3E624EBC5B96}"/>
    <cellStyle name="Total 2 10 2 6 2" xfId="8600" xr:uid="{505E41F5-2623-4EC6-824B-C303B22EF7A9}"/>
    <cellStyle name="Total 2 10 2 7" xfId="6299" xr:uid="{C2AF3147-EF10-4665-AEDD-7D591E814899}"/>
    <cellStyle name="Total 2 10 2 8" xfId="2276" xr:uid="{332B38B8-CCFC-4121-BE80-9D73B6BDDFB5}"/>
    <cellStyle name="Total 2 10 3" xfId="786" xr:uid="{87F072CB-3ECF-4F2C-9EDB-76A977FCB2BC}"/>
    <cellStyle name="Total 2 10 3 2" xfId="1591" xr:uid="{7C73BFEF-C602-462C-ADB1-DACEF4DD8685}"/>
    <cellStyle name="Total 2 10 3 2 2" xfId="7362" xr:uid="{F1C8BC70-EF49-46E5-A3C3-6EF7802FCF40}"/>
    <cellStyle name="Total 2 10 3 2 3" xfId="10028" xr:uid="{CFE8687E-BE70-4CBE-A7C8-A040C5F21730}"/>
    <cellStyle name="Total 2 10 3 2 4" xfId="4388" xr:uid="{6A0528F6-4395-468D-BE89-5AE637DA5580}"/>
    <cellStyle name="Total 2 10 3 3" xfId="5128" xr:uid="{8FFB096A-98A9-4690-8B1C-813E073E21B5}"/>
    <cellStyle name="Total 2 10 3 3 2" xfId="8102" xr:uid="{605A633D-29B0-43D3-BEC3-662D874BE455}"/>
    <cellStyle name="Total 2 10 3 4" xfId="5893" xr:uid="{3114E6D2-C51E-46AB-8DFF-5333F12F35E3}"/>
    <cellStyle name="Total 2 10 3 4 2" xfId="8867" xr:uid="{78460414-A048-4869-940B-5E29B2A412C4}"/>
    <cellStyle name="Total 2 10 3 5" xfId="3621" xr:uid="{316B4230-7742-4A7C-9992-54A855BEB184}"/>
    <cellStyle name="Total 2 10 3 6" xfId="6566" xr:uid="{BF94EE67-F440-47C0-A299-D221694DC4A1}"/>
    <cellStyle name="Total 2 10 3 7" xfId="2543" xr:uid="{54AB7656-833F-473D-8E18-4888F705B9EE}"/>
    <cellStyle name="Total 2 10 4" xfId="877" xr:uid="{8990B76B-036E-43A0-8F40-294003D41A96}"/>
    <cellStyle name="Total 2 10 4 2" xfId="1682" xr:uid="{6D5CE3FE-5A2C-4D1B-A882-15E13813CB15}"/>
    <cellStyle name="Total 2 10 4 2 2" xfId="7453" xr:uid="{86BB7B95-5647-4685-AAA4-09CC4DB2A797}"/>
    <cellStyle name="Total 2 10 4 2 3" xfId="10119" xr:uid="{15490030-698E-453D-9746-154B67750428}"/>
    <cellStyle name="Total 2 10 4 2 4" xfId="4479" xr:uid="{280E0234-917C-4F08-89E0-DA3FDB5210D9}"/>
    <cellStyle name="Total 2 10 4 3" xfId="5219" xr:uid="{F55DE293-7C95-4EF1-B3B0-62CB02437E10}"/>
    <cellStyle name="Total 2 10 4 3 2" xfId="8193" xr:uid="{966FC6D0-915C-4DCD-9CBE-3859C9CDE6A3}"/>
    <cellStyle name="Total 2 10 4 4" xfId="5984" xr:uid="{002F5665-C947-45A4-BF4F-C4338E133448}"/>
    <cellStyle name="Total 2 10 4 4 2" xfId="8958" xr:uid="{6478BBBA-0F41-4763-AD5E-E72FA831319F}"/>
    <cellStyle name="Total 2 10 4 5" xfId="6657" xr:uid="{FC01DBDF-062F-4D73-9967-DDB9B7F8DB10}"/>
    <cellStyle name="Total 2 10 4 6" xfId="2634" xr:uid="{48065E14-3C0C-4020-9AF5-29DD1C4E0B86}"/>
    <cellStyle name="Total 2 10 5" xfId="3977" xr:uid="{E30D894A-A666-4642-A02B-E4833FB40A9E}"/>
    <cellStyle name="Total 2 10 6" xfId="2114" xr:uid="{8B75A14B-92BB-4482-99FC-A0E9A9BDE0A6}"/>
    <cellStyle name="Total 2 11" xfId="246" xr:uid="{86A35CA2-6850-462D-AF28-F51424BA7BB9}"/>
    <cellStyle name="Total 2 11 2" xfId="470" xr:uid="{BFB955B3-9D4E-4BB1-AE53-72F8D6F46EAF}"/>
    <cellStyle name="Total 2 11 2 2" xfId="949" xr:uid="{33394D7C-0FB9-4538-B769-7676E49B6945}"/>
    <cellStyle name="Total 2 11 2 2 2" xfId="1754" xr:uid="{7BC87C24-25F4-4B70-853D-16F7393815BC}"/>
    <cellStyle name="Total 2 11 2 2 2 2" xfId="7525" xr:uid="{EA8F7682-3983-4742-B343-AEC00CF57031}"/>
    <cellStyle name="Total 2 11 2 2 2 3" xfId="10191" xr:uid="{3603A201-3BB2-4EA0-86CC-9086599067A3}"/>
    <cellStyle name="Total 2 11 2 2 2 4" xfId="4551" xr:uid="{0528EEE8-B410-441C-BDF3-DC608C06E428}"/>
    <cellStyle name="Total 2 11 2 2 3" xfId="5291" xr:uid="{AC3A3D25-8125-4F60-B397-B336EDE9457D}"/>
    <cellStyle name="Total 2 11 2 2 3 2" xfId="8265" xr:uid="{4864ABA3-5F69-4FF0-9A96-7572E94FA146}"/>
    <cellStyle name="Total 2 11 2 2 4" xfId="6056" xr:uid="{3DE3E3BD-36CD-4A92-AD24-7F041E7297F5}"/>
    <cellStyle name="Total 2 11 2 2 4 2" xfId="9030" xr:uid="{90C9C3D0-B03D-4C95-9972-7A66C3BBED29}"/>
    <cellStyle name="Total 2 11 2 2 5" xfId="3766" xr:uid="{C8B535DB-CCE6-4099-A1A7-A39A3D15C3C1}"/>
    <cellStyle name="Total 2 11 2 2 6" xfId="6729" xr:uid="{BF893CE8-F5D8-45A8-94D0-A250A1FEDBF6}"/>
    <cellStyle name="Total 2 11 2 2 7" xfId="2706" xr:uid="{453052F2-82DB-465E-81E2-3ACF737F3FCA}"/>
    <cellStyle name="Total 2 11 2 3" xfId="1080" xr:uid="{9BE27ACA-B935-42F7-B65F-18EC41684D74}"/>
    <cellStyle name="Total 2 11 2 3 2" xfId="1885" xr:uid="{91BB9D79-C383-465B-B50A-47019B369615}"/>
    <cellStyle name="Total 2 11 2 3 2 2" xfId="7656" xr:uid="{177EBEE6-439A-4587-9978-E66EF91F36BD}"/>
    <cellStyle name="Total 2 11 2 3 2 3" xfId="10322" xr:uid="{78247623-387F-4412-817F-0BB445B8C22B}"/>
    <cellStyle name="Total 2 11 2 3 2 4" xfId="4682" xr:uid="{DE0F5707-A332-4A06-ADFF-FB32A099037E}"/>
    <cellStyle name="Total 2 11 2 3 3" xfId="5422" xr:uid="{A06B778F-BBB9-4FF8-AF1C-8E4EC7548330}"/>
    <cellStyle name="Total 2 11 2 3 3 2" xfId="8396" xr:uid="{9C8DCE37-7DB2-4286-B23C-97FE2F6B3674}"/>
    <cellStyle name="Total 2 11 2 3 4" xfId="6187" xr:uid="{09C8687F-A6E7-41EC-AD57-C61E0B1675A6}"/>
    <cellStyle name="Total 2 11 2 3 4 2" xfId="9161" xr:uid="{D613F92A-171C-497C-9DF5-E938F45AC29D}"/>
    <cellStyle name="Total 2 11 2 3 5" xfId="6860" xr:uid="{6B14C742-70B7-4460-A6B1-E8EFBC2387E7}"/>
    <cellStyle name="Total 2 11 2 3 6" xfId="2837" xr:uid="{08719B7F-DCFF-4CD6-AFB0-CFC9BCF27EAD}"/>
    <cellStyle name="Total 2 11 2 4" xfId="1276" xr:uid="{B3D0CCBA-2EE8-485E-819D-5884B78353B0}"/>
    <cellStyle name="Total 2 11 2 4 2" xfId="7047" xr:uid="{8302A6D9-0243-48A9-8245-57FE26C2E879}"/>
    <cellStyle name="Total 2 11 2 4 3" xfId="9713" xr:uid="{486565DE-03BD-4F11-A133-4308B2BABC59}"/>
    <cellStyle name="Total 2 11 2 4 4" xfId="4073" xr:uid="{B9E595F3-F306-4A37-A5EB-B2EE008D3414}"/>
    <cellStyle name="Total 2 11 2 5" xfId="4813" xr:uid="{3602F42D-88C3-4273-8F00-1A0D857B071C}"/>
    <cellStyle name="Total 2 11 2 5 2" xfId="7787" xr:uid="{F7367B3A-EC8A-4577-9CB6-FB587F106A49}"/>
    <cellStyle name="Total 2 11 2 6" xfId="5578" xr:uid="{DC9A0367-394C-468D-ABA0-5E240F6BC4C8}"/>
    <cellStyle name="Total 2 11 2 6 2" xfId="8552" xr:uid="{9BD04B12-BD88-416A-ABFA-FC50A417D999}"/>
    <cellStyle name="Total 2 11 2 7" xfId="3116" xr:uid="{4E090173-CFF5-4027-B211-D377053AD3CE}"/>
    <cellStyle name="Total 2 11 2 8" xfId="2228" xr:uid="{6F205D0B-BF2D-4802-A602-DDB1ED8E3281}"/>
    <cellStyle name="Total 2 11 3" xfId="738" xr:uid="{2050D18E-91BB-4238-B64D-C55A2ADEED31}"/>
    <cellStyle name="Total 2 11 3 2" xfId="1543" xr:uid="{E9C93748-1558-441E-86D2-9FD3416A5F80}"/>
    <cellStyle name="Total 2 11 3 2 2" xfId="7314" xr:uid="{DF3E028C-85D4-4E9B-A511-E358A2271EA3}"/>
    <cellStyle name="Total 2 11 3 2 3" xfId="9980" xr:uid="{343FE17B-3407-403A-9147-A5913B8D6ACE}"/>
    <cellStyle name="Total 2 11 3 2 4" xfId="4340" xr:uid="{A7388D01-A7A7-492F-9EFA-993FC83A0287}"/>
    <cellStyle name="Total 2 11 3 3" xfId="5080" xr:uid="{9515D2BE-3572-471A-9A36-0F4C70E60B2B}"/>
    <cellStyle name="Total 2 11 3 3 2" xfId="8054" xr:uid="{A8A1E287-7076-481D-8B9F-D2D2F42E2EB3}"/>
    <cellStyle name="Total 2 11 3 4" xfId="5845" xr:uid="{BE611C88-B42D-498B-9677-800CAA285BCB}"/>
    <cellStyle name="Total 2 11 3 4 2" xfId="8819" xr:uid="{4C7036D1-0FEE-442F-B5B1-E18519890734}"/>
    <cellStyle name="Total 2 11 3 5" xfId="3573" xr:uid="{894C875D-0181-4195-BB9C-49F35C5F1BA5}"/>
    <cellStyle name="Total 2 11 3 6" xfId="6518" xr:uid="{5A0A041F-53DD-4AF8-BF3B-8574B91CA0E5}"/>
    <cellStyle name="Total 2 11 3 7" xfId="2495" xr:uid="{0B436315-C46B-4BE9-94CB-C6E2930A10AE}"/>
    <cellStyle name="Total 2 11 4" xfId="618" xr:uid="{52B46A35-5808-401B-B933-DDABA15D18B5}"/>
    <cellStyle name="Total 2 11 4 2" xfId="1423" xr:uid="{0682B59C-2C1A-4017-A4CF-6D69D5496AD8}"/>
    <cellStyle name="Total 2 11 4 2 2" xfId="7194" xr:uid="{58EAD7AA-AA53-4988-9BCF-6CCD5B509B9D}"/>
    <cellStyle name="Total 2 11 4 2 3" xfId="9860" xr:uid="{A0DC73C0-CD51-42F1-892C-70C3CE0D3031}"/>
    <cellStyle name="Total 2 11 4 2 4" xfId="4220" xr:uid="{C28F98AD-243A-4913-8B73-29CD5B4F0AA8}"/>
    <cellStyle name="Total 2 11 4 3" xfId="4960" xr:uid="{907AECA2-5CC3-4154-B98C-89C227389833}"/>
    <cellStyle name="Total 2 11 4 3 2" xfId="7934" xr:uid="{3D901E6F-C4D4-4529-87A1-E5BBE9847E31}"/>
    <cellStyle name="Total 2 11 4 4" xfId="5725" xr:uid="{2A6E73A2-9337-4A08-A368-A0C6CEA76860}"/>
    <cellStyle name="Total 2 11 4 4 2" xfId="8699" xr:uid="{CBF70C3F-E93C-4A0A-80DC-0C5ECFB03AFA}"/>
    <cellStyle name="Total 2 11 4 5" xfId="6398" xr:uid="{446F6D54-786C-42FE-A45E-0B5302DD2608}"/>
    <cellStyle name="Total 2 11 4 6" xfId="2375" xr:uid="{E32C5DBD-ECA0-4DC9-A0B4-A5048A6DB273}"/>
    <cellStyle name="Total 2 11 5" xfId="3344" xr:uid="{1458D942-C36E-4E0D-B0A5-72BB9889AB16}"/>
    <cellStyle name="Total 2 11 6" xfId="2063" xr:uid="{1C594B7D-6E09-4B94-A6DC-02841E9078BA}"/>
    <cellStyle name="Total 2 12" xfId="416" xr:uid="{C2767EAD-FA44-4C53-8A06-EFEF90D0C4C8}"/>
    <cellStyle name="Total 2 12 2" xfId="895" xr:uid="{681F32B4-7874-4E46-9353-E0A062D399CB}"/>
    <cellStyle name="Total 2 12 2 2" xfId="1700" xr:uid="{2083AD67-9AF3-4004-8B23-CD422BF200EE}"/>
    <cellStyle name="Total 2 12 2 2 2" xfId="7471" xr:uid="{B04DFADE-92B2-43A4-BD05-9C98EEAB7B73}"/>
    <cellStyle name="Total 2 12 2 2 3" xfId="10137" xr:uid="{B3CD1A16-9C07-49C7-A933-C1F7113AD267}"/>
    <cellStyle name="Total 2 12 2 2 4" xfId="4497" xr:uid="{2FBA474A-4271-47F7-855C-F876966E8C41}"/>
    <cellStyle name="Total 2 12 2 3" xfId="5237" xr:uid="{EF8A6C8A-1201-44F4-B706-3548F8E6E6BA}"/>
    <cellStyle name="Total 2 12 2 3 2" xfId="8211" xr:uid="{CCEE2197-7FD6-407B-93FC-B72CE2399D7E}"/>
    <cellStyle name="Total 2 12 2 4" xfId="6002" xr:uid="{8A35DD28-43AA-431F-97F9-5DACE33474C1}"/>
    <cellStyle name="Total 2 12 2 4 2" xfId="8976" xr:uid="{06E2DE11-99DD-426C-A749-43F1B6BFF1AC}"/>
    <cellStyle name="Total 2 12 2 5" xfId="3712" xr:uid="{F23D3B76-886D-46DF-9342-7D701233B52A}"/>
    <cellStyle name="Total 2 12 2 6" xfId="6675" xr:uid="{98C7ABC1-951F-4B0D-BEF9-CF41ED25C9E6}"/>
    <cellStyle name="Total 2 12 2 7" xfId="2652" xr:uid="{32ADB47F-0D48-4595-8596-E18458BEB75F}"/>
    <cellStyle name="Total 2 12 3" xfId="1048" xr:uid="{646FCBA3-9E31-4FDE-84B2-C8A668614707}"/>
    <cellStyle name="Total 2 12 3 2" xfId="1853" xr:uid="{1B337999-115F-4D51-A4AC-FB5FF39CFCE8}"/>
    <cellStyle name="Total 2 12 3 2 2" xfId="7624" xr:uid="{AEC65C90-6808-4E8D-9045-ED5B07BC6F32}"/>
    <cellStyle name="Total 2 12 3 2 3" xfId="10290" xr:uid="{A0F858E4-3234-46F3-B926-252FFFDB5DCF}"/>
    <cellStyle name="Total 2 12 3 2 4" xfId="4650" xr:uid="{FB91FE6B-8A01-4551-885C-138C18BE3C40}"/>
    <cellStyle name="Total 2 12 3 3" xfId="5390" xr:uid="{2C9FC69D-7B42-4039-B807-F7A4FD747C1F}"/>
    <cellStyle name="Total 2 12 3 3 2" xfId="8364" xr:uid="{3E6112B3-0F88-48D2-B8E6-7E7D69D8E230}"/>
    <cellStyle name="Total 2 12 3 4" xfId="6155" xr:uid="{026BD2A5-1C92-4C8D-94E1-2CB7562C3167}"/>
    <cellStyle name="Total 2 12 3 4 2" xfId="9129" xr:uid="{9833DA98-4D3E-41D9-8524-C4792370D078}"/>
    <cellStyle name="Total 2 12 3 5" xfId="6828" xr:uid="{85C7C2BD-B24C-4286-83B2-DBC18017049B}"/>
    <cellStyle name="Total 2 12 3 6" xfId="2805" xr:uid="{001C0050-3CEA-4BD1-BF57-AA2A422B2A8B}"/>
    <cellStyle name="Total 2 12 4" xfId="1222" xr:uid="{5DC71DBE-8562-403A-A0A4-EC396E5C77B8}"/>
    <cellStyle name="Total 2 12 4 2" xfId="6993" xr:uid="{0F36C1F3-F9E9-4BAC-8ADF-9063986B9D21}"/>
    <cellStyle name="Total 2 12 4 3" xfId="9659" xr:uid="{875621AB-9D2E-4EDB-9F79-3D2CD2E94A4E}"/>
    <cellStyle name="Total 2 12 4 4" xfId="4019" xr:uid="{C9A3F552-FCCA-49BC-A2B4-CBFB4A4CD839}"/>
    <cellStyle name="Total 2 12 5" xfId="3267" xr:uid="{DBBE5689-C6E7-487B-AA86-1BA0271B32B4}"/>
    <cellStyle name="Total 2 12 5 2" xfId="3307" xr:uid="{AA093DAA-A374-4F5D-9FB2-F1D54F48149B}"/>
    <cellStyle name="Total 2 12 6" xfId="4006" xr:uid="{199393FC-2439-41EE-9A88-C02EF7A636D9}"/>
    <cellStyle name="Total 2 12 6 2" xfId="6980" xr:uid="{7F9BF1A1-16EF-4926-B455-9213BA2B6B0D}"/>
    <cellStyle name="Total 2 12 7" xfId="3102" xr:uid="{1FB7E6E0-7C1E-4032-A23D-1FD2EA371179}"/>
    <cellStyle name="Total 2 12 8" xfId="2174" xr:uid="{727D12DA-0F74-41F8-860B-EDFD8C2E7EF7}"/>
    <cellStyle name="Total 2 13" xfId="660" xr:uid="{89547A15-74D7-4F3C-85D5-1066E9B565D6}"/>
    <cellStyle name="Total 2 13 2" xfId="1465" xr:uid="{E6C519DD-491A-459A-9241-AA15BDAB0051}"/>
    <cellStyle name="Total 2 13 2 2" xfId="7236" xr:uid="{6B299929-C106-4CC8-8CFC-D58BD0302EB9}"/>
    <cellStyle name="Total 2 13 2 3" xfId="9902" xr:uid="{B58DA230-0551-46C1-938D-430E533FCB2F}"/>
    <cellStyle name="Total 2 13 2 4" xfId="4262" xr:uid="{F12483E8-1AC1-419B-9637-434505442F87}"/>
    <cellStyle name="Total 2 13 3" xfId="5002" xr:uid="{1A895793-47CF-499A-A412-A593B52E8E4D}"/>
    <cellStyle name="Total 2 13 3 2" xfId="7976" xr:uid="{93693102-8A78-4CBD-A57E-82FE7F44C0EF}"/>
    <cellStyle name="Total 2 13 4" xfId="5767" xr:uid="{A5AC98A7-D50B-4ECA-8D18-F36460FC1E69}"/>
    <cellStyle name="Total 2 13 4 2" xfId="8741" xr:uid="{96CE8B8C-3E15-4D3C-955F-BEE339AA715C}"/>
    <cellStyle name="Total 2 13 5" xfId="3501" xr:uid="{41866263-F243-41AC-BB3C-D56C94F7287C}"/>
    <cellStyle name="Total 2 13 6" xfId="6440" xr:uid="{AD24EE45-761D-4CB8-AC4D-83300A57999B}"/>
    <cellStyle name="Total 2 13 7" xfId="2417" xr:uid="{E882D281-C658-4EEE-8A34-C43D6F5E5BCA}"/>
    <cellStyle name="Total 2 14" xfId="642" xr:uid="{3F5645D4-6AEB-4FE2-A77A-484B6DA99856}"/>
    <cellStyle name="Total 2 14 2" xfId="1447" xr:uid="{1DD3DC96-8825-4C35-8217-D9F374CD90E5}"/>
    <cellStyle name="Total 2 14 2 2" xfId="7218" xr:uid="{76C444FC-760E-477E-B914-8E1E7530F834}"/>
    <cellStyle name="Total 2 14 2 3" xfId="9884" xr:uid="{AF567229-CF7C-4DA3-AAE7-E894FC7EA643}"/>
    <cellStyle name="Total 2 14 2 4" xfId="4244" xr:uid="{2EBFA2A1-EDC7-47D1-94EF-60D9ECAE1E70}"/>
    <cellStyle name="Total 2 14 3" xfId="4984" xr:uid="{8F335D1B-ABA9-4ED7-BF1F-B3E8082E9ED1}"/>
    <cellStyle name="Total 2 14 3 2" xfId="7958" xr:uid="{B289889F-7E9D-4A30-9EFC-E19375DA3415}"/>
    <cellStyle name="Total 2 14 4" xfId="5749" xr:uid="{110A9E60-D5C6-48D9-8B0F-5391F74188AE}"/>
    <cellStyle name="Total 2 14 4 2" xfId="8723" xr:uid="{B1621590-5A18-4475-A9A3-E5BBC52A99E6}"/>
    <cellStyle name="Total 2 14 5" xfId="6422" xr:uid="{44E19036-58BA-4761-BFB7-12725ABC5619}"/>
    <cellStyle name="Total 2 14 6" xfId="2399" xr:uid="{833D80A1-F6C1-48C8-A096-1D72FE37BFC6}"/>
    <cellStyle name="Total 2 15" xfId="3926" xr:uid="{9BEC69E8-0687-4947-B99F-B9AD540E32ED}"/>
    <cellStyle name="Total 2 16" xfId="2003" xr:uid="{63A103B1-1E55-4A5D-9327-A69B3F220B96}"/>
    <cellStyle name="Total 2 2" xfId="191" xr:uid="{2C9DCB14-C1A4-4ADB-8415-606BC3F96D25}"/>
    <cellStyle name="Total 2 2 2" xfId="308" xr:uid="{68D9F3B7-DAB7-4593-9253-6752507879D7}"/>
    <cellStyle name="Total 2 2 2 2" xfId="530" xr:uid="{604CC210-A85C-4460-AC0C-3D3E60A2B6EA}"/>
    <cellStyle name="Total 2 2 2 2 2" xfId="1009" xr:uid="{2458A090-36C7-4088-BBC3-FC2B8161BD19}"/>
    <cellStyle name="Total 2 2 2 2 2 2" xfId="1814" xr:uid="{3B7E2E0D-EDD4-4352-9C21-1C4EE00BF996}"/>
    <cellStyle name="Total 2 2 2 2 2 2 2" xfId="7585" xr:uid="{028692D3-C08B-4553-BF2B-BF9B87A0A823}"/>
    <cellStyle name="Total 2 2 2 2 2 2 3" xfId="10251" xr:uid="{9788AF77-7EA7-432F-84C0-CEF524552FF1}"/>
    <cellStyle name="Total 2 2 2 2 2 2 4" xfId="4611" xr:uid="{F3766D5C-9B30-4BD9-84F2-4D8FE350592F}"/>
    <cellStyle name="Total 2 2 2 2 2 3" xfId="5351" xr:uid="{4F38D9A5-86E7-4727-B706-5557779D623C}"/>
    <cellStyle name="Total 2 2 2 2 2 3 2" xfId="8325" xr:uid="{EE42A73F-14F2-484D-A3E2-51A235B989B7}"/>
    <cellStyle name="Total 2 2 2 2 2 4" xfId="6116" xr:uid="{56D64E9A-34D9-4AA4-BD31-8926748A51C3}"/>
    <cellStyle name="Total 2 2 2 2 2 4 2" xfId="9090" xr:uid="{329C8EE6-B102-4BF5-A053-F1E86F1833E1}"/>
    <cellStyle name="Total 2 2 2 2 2 5" xfId="3826" xr:uid="{8045D34D-62D1-474C-B68D-F4464472050A}"/>
    <cellStyle name="Total 2 2 2 2 2 6" xfId="6789" xr:uid="{153FCED7-2E25-434B-9E7E-B062A98A5D55}"/>
    <cellStyle name="Total 2 2 2 2 2 7" xfId="2766" xr:uid="{94ED7900-7EA4-4764-87AF-3716BD433200}"/>
    <cellStyle name="Total 2 2 2 2 3" xfId="1174" xr:uid="{B85DD355-248E-4083-9D70-00F6B3AA1D0F}"/>
    <cellStyle name="Total 2 2 2 2 3 2" xfId="1979" xr:uid="{634592FA-286E-4B89-8646-9A4DF6455F21}"/>
    <cellStyle name="Total 2 2 2 2 3 2 2" xfId="7750" xr:uid="{1543F958-3EE9-42B8-8312-E4C02F939ECC}"/>
    <cellStyle name="Total 2 2 2 2 3 2 3" xfId="10416" xr:uid="{10E14435-9ECD-450A-B947-60FD2F1C83DD}"/>
    <cellStyle name="Total 2 2 2 2 3 2 4" xfId="4776" xr:uid="{A49B1B1C-2A44-4C30-A0DC-41CEACB8A742}"/>
    <cellStyle name="Total 2 2 2 2 3 3" xfId="5516" xr:uid="{2BD08DA2-BDF7-434A-814F-0F088B0DD406}"/>
    <cellStyle name="Total 2 2 2 2 3 3 2" xfId="8490" xr:uid="{B3FDCB6C-7367-4F0B-8C2B-E94D64808B13}"/>
    <cellStyle name="Total 2 2 2 2 3 4" xfId="6281" xr:uid="{8710E200-AFFD-4EA7-A074-EF7E04DB3646}"/>
    <cellStyle name="Total 2 2 2 2 3 4 2" xfId="9255" xr:uid="{98C31AFA-4E5B-4C7B-B01B-FE28349048AF}"/>
    <cellStyle name="Total 2 2 2 2 3 5" xfId="6954" xr:uid="{C8F56A1F-F745-4804-99C3-6375C7748021}"/>
    <cellStyle name="Total 2 2 2 2 3 6" xfId="2931" xr:uid="{3493404D-4917-4163-A28D-C2F54A103167}"/>
    <cellStyle name="Total 2 2 2 2 4" xfId="1336" xr:uid="{959AA2C8-FF6D-4569-8BB4-B318A4A81FB0}"/>
    <cellStyle name="Total 2 2 2 2 4 2" xfId="7107" xr:uid="{90085E5E-56EC-4BF8-8C7E-8A1382FA38B6}"/>
    <cellStyle name="Total 2 2 2 2 4 3" xfId="9773" xr:uid="{55BE3DAE-9937-411B-920C-D070A8290F18}"/>
    <cellStyle name="Total 2 2 2 2 4 4" xfId="4133" xr:uid="{00B9990C-9398-44FD-8374-ED6711B6F57F}"/>
    <cellStyle name="Total 2 2 2 2 5" xfId="4873" xr:uid="{48AE4902-6061-44E9-B2D6-FE0CDD63FDDA}"/>
    <cellStyle name="Total 2 2 2 2 5 2" xfId="7847" xr:uid="{5752ED86-E09C-4F5E-B3E5-4FEF3B565874}"/>
    <cellStyle name="Total 2 2 2 2 6" xfId="5638" xr:uid="{F7A84DEC-3A7D-4356-9602-55B18C3DCB50}"/>
    <cellStyle name="Total 2 2 2 2 6 2" xfId="8612" xr:uid="{AC501573-7D9C-4F5E-AD71-7F23A14F9DB5}"/>
    <cellStyle name="Total 2 2 2 2 7" xfId="6311" xr:uid="{D652A1A0-10CF-47C2-A8E3-BE5F7A7BEB9B}"/>
    <cellStyle name="Total 2 2 2 2 8" xfId="2288" xr:uid="{443A706F-2795-4C73-9204-6B52F9C55D46}"/>
    <cellStyle name="Total 2 2 2 3" xfId="799" xr:uid="{5D9A3292-232E-4A6F-8284-1BFA3B4A25BC}"/>
    <cellStyle name="Total 2 2 2 3 2" xfId="1604" xr:uid="{0246D189-920F-4227-A049-B54D0007F244}"/>
    <cellStyle name="Total 2 2 2 3 2 2" xfId="7375" xr:uid="{B076AC4D-70DF-4E67-80B3-18D28C48B9E1}"/>
    <cellStyle name="Total 2 2 2 3 2 3" xfId="10041" xr:uid="{4A01D6DF-F8C7-40F7-945F-B8A493A2FF8E}"/>
    <cellStyle name="Total 2 2 2 3 2 4" xfId="4401" xr:uid="{00DD6C2B-8F98-4FC7-B25D-923C73A5B1F7}"/>
    <cellStyle name="Total 2 2 2 3 3" xfId="5141" xr:uid="{9F377085-2067-48BD-8F81-23FF55633F3D}"/>
    <cellStyle name="Total 2 2 2 3 3 2" xfId="8115" xr:uid="{A374EE7C-834F-4B5B-8CC2-0181D4EFD57A}"/>
    <cellStyle name="Total 2 2 2 3 4" xfId="5906" xr:uid="{56501800-1A3C-4FFB-A4C9-3F6CACD835D2}"/>
    <cellStyle name="Total 2 2 2 3 4 2" xfId="8880" xr:uid="{597B5944-93BB-40B4-96DF-2835AA8A064E}"/>
    <cellStyle name="Total 2 2 2 3 5" xfId="3633" xr:uid="{85BFF86D-48AE-48F1-822B-2FA94256B9BF}"/>
    <cellStyle name="Total 2 2 2 3 6" xfId="6579" xr:uid="{9C97D030-A70D-4A2A-94B5-98F90A56D3F8}"/>
    <cellStyle name="Total 2 2 2 3 7" xfId="2556" xr:uid="{194AC16E-7FB8-4661-A72D-838CC20DBFAA}"/>
    <cellStyle name="Total 2 2 2 4" xfId="1108" xr:uid="{85F08E1B-0659-44C9-BFCA-E473A431A8AE}"/>
    <cellStyle name="Total 2 2 2 4 2" xfId="1913" xr:uid="{20523D85-C6A5-4550-9BED-C224B54E0FF8}"/>
    <cellStyle name="Total 2 2 2 4 2 2" xfId="7684" xr:uid="{75A3AE61-1E3C-4DD4-895A-5582D95594EC}"/>
    <cellStyle name="Total 2 2 2 4 2 3" xfId="10350" xr:uid="{D4028751-B272-4C80-91AE-1F5CD76B61AC}"/>
    <cellStyle name="Total 2 2 2 4 2 4" xfId="4710" xr:uid="{DD573B53-F672-4DDD-B2B8-FED4947540DB}"/>
    <cellStyle name="Total 2 2 2 4 3" xfId="5450" xr:uid="{6D3FB486-57A1-4515-86AB-83753BF7ADD0}"/>
    <cellStyle name="Total 2 2 2 4 3 2" xfId="8424" xr:uid="{5181BFF0-61D7-44EE-A590-2236C1EA65FB}"/>
    <cellStyle name="Total 2 2 2 4 4" xfId="6215" xr:uid="{0158286A-23A3-46C9-AA89-A462E4434C08}"/>
    <cellStyle name="Total 2 2 2 4 4 2" xfId="9189" xr:uid="{42703746-6AD3-44E5-8A95-1676CE5087EA}"/>
    <cellStyle name="Total 2 2 2 4 5" xfId="6888" xr:uid="{C226389A-1DE0-4116-8C26-E1F17DD2368C}"/>
    <cellStyle name="Total 2 2 2 4 6" xfId="2865" xr:uid="{9DEF9774-33F7-48E1-BA3F-225F14D4D601}"/>
    <cellStyle name="Total 2 2 2 5" xfId="3970" xr:uid="{60141908-A685-4EE9-A569-B66301BB8927}"/>
    <cellStyle name="Total 2 2 2 6" xfId="2126" xr:uid="{63D66408-6D47-4933-BB4E-920D61770A22}"/>
    <cellStyle name="Total 2 2 3" xfId="252" xr:uid="{A6A2B94D-6946-4C1B-8B71-16DE38B1B148}"/>
    <cellStyle name="Total 2 2 3 2" xfId="476" xr:uid="{F3353A9E-6CA9-4E0D-9EB7-4C82119207FE}"/>
    <cellStyle name="Total 2 2 3 2 2" xfId="955" xr:uid="{38F16CDF-67F6-4B64-80BD-1B1EF63591EC}"/>
    <cellStyle name="Total 2 2 3 2 2 2" xfId="1760" xr:uid="{AEA2BE96-3F47-4E06-B886-141F6AF47099}"/>
    <cellStyle name="Total 2 2 3 2 2 2 2" xfId="7531" xr:uid="{8B835BE2-180A-4CEF-A436-D1A70A0F0C9D}"/>
    <cellStyle name="Total 2 2 3 2 2 2 3" xfId="10197" xr:uid="{F7FE9CC0-0328-48D4-A33C-DCF9E4C45DA5}"/>
    <cellStyle name="Total 2 2 3 2 2 2 4" xfId="4557" xr:uid="{48E38B0D-7F6D-40FB-87F6-3D29B8233E31}"/>
    <cellStyle name="Total 2 2 3 2 2 3" xfId="5297" xr:uid="{F96E2850-862F-46A7-AB11-408962F82CBF}"/>
    <cellStyle name="Total 2 2 3 2 2 3 2" xfId="8271" xr:uid="{720B9880-21C5-4B62-A42D-89C73BA0B604}"/>
    <cellStyle name="Total 2 2 3 2 2 4" xfId="6062" xr:uid="{43F94F94-EA4D-4ACD-9941-983522A3A8B5}"/>
    <cellStyle name="Total 2 2 3 2 2 4 2" xfId="9036" xr:uid="{9576288E-8867-4A2D-9219-D3D70CA531A5}"/>
    <cellStyle name="Total 2 2 3 2 2 5" xfId="3772" xr:uid="{3D04F209-024B-44C2-B5E0-6081F20434B4}"/>
    <cellStyle name="Total 2 2 3 2 2 6" xfId="6735" xr:uid="{E62549BC-6B21-4E14-A9CF-AE7CB59ED6F7}"/>
    <cellStyle name="Total 2 2 3 2 2 7" xfId="2712" xr:uid="{1A17032C-DD77-430B-8364-6036487DC7B1}"/>
    <cellStyle name="Total 2 2 3 2 3" xfId="652" xr:uid="{D959DCE5-B8DC-4CB2-A7FA-D9991668DFB8}"/>
    <cellStyle name="Total 2 2 3 2 3 2" xfId="1457" xr:uid="{3DB5A922-D4FF-40D8-AD44-1BCABC6F33BD}"/>
    <cellStyle name="Total 2 2 3 2 3 2 2" xfId="7228" xr:uid="{AD668A1F-C131-488B-ADCD-317E89E6F9BD}"/>
    <cellStyle name="Total 2 2 3 2 3 2 3" xfId="9894" xr:uid="{5EB4DB97-98E9-4F26-8ED5-DAA58DF5895E}"/>
    <cellStyle name="Total 2 2 3 2 3 2 4" xfId="4254" xr:uid="{DA25B50C-DF1B-4B48-89BE-05D5680FB706}"/>
    <cellStyle name="Total 2 2 3 2 3 3" xfId="4994" xr:uid="{64E8FE49-0904-45C8-B030-BFF4BAC6F901}"/>
    <cellStyle name="Total 2 2 3 2 3 3 2" xfId="7968" xr:uid="{886F0289-0B0B-4C66-A546-9958F1F42FEA}"/>
    <cellStyle name="Total 2 2 3 2 3 4" xfId="5759" xr:uid="{D700F42D-636A-44F2-9271-184E80775E08}"/>
    <cellStyle name="Total 2 2 3 2 3 4 2" xfId="8733" xr:uid="{CFEE155E-A62E-4784-A294-32C68A119F06}"/>
    <cellStyle name="Total 2 2 3 2 3 5" xfId="6432" xr:uid="{8BAF73FA-CB11-4A9C-AE62-D87F5997C491}"/>
    <cellStyle name="Total 2 2 3 2 3 6" xfId="2409" xr:uid="{810C1CB4-540E-449C-A065-9DB6AA3D539F}"/>
    <cellStyle name="Total 2 2 3 2 4" xfId="1282" xr:uid="{3E024B08-901C-4CBD-9AF1-76FB086E7BF4}"/>
    <cellStyle name="Total 2 2 3 2 4 2" xfId="7053" xr:uid="{18303B43-7D24-44F4-B674-4BE0014D2A6D}"/>
    <cellStyle name="Total 2 2 3 2 4 3" xfId="9719" xr:uid="{46598087-99B3-40B7-A64F-1761A11C00B7}"/>
    <cellStyle name="Total 2 2 3 2 4 4" xfId="4079" xr:uid="{89321603-3F40-4F1C-8BA0-5AD4C076FBF7}"/>
    <cellStyle name="Total 2 2 3 2 5" xfId="4819" xr:uid="{03E308B2-0B4F-40A4-8B7C-45C2815F9220}"/>
    <cellStyle name="Total 2 2 3 2 5 2" xfId="7793" xr:uid="{0242F9D7-2E16-4267-B742-EB39F091160E}"/>
    <cellStyle name="Total 2 2 3 2 6" xfId="5584" xr:uid="{68358A82-659F-426D-97BD-D9F14155AFF3}"/>
    <cellStyle name="Total 2 2 3 2 6 2" xfId="8558" xr:uid="{D1B92682-8A2D-43F6-8444-C5E5AEB45DFB}"/>
    <cellStyle name="Total 2 2 3 2 7" xfId="3296" xr:uid="{7FB1E10D-749F-47F0-B7F7-20F83870315D}"/>
    <cellStyle name="Total 2 2 3 2 8" xfId="2234" xr:uid="{03A0BFA2-0507-49DF-9C7F-2D64CB109198}"/>
    <cellStyle name="Total 2 2 3 3" xfId="744" xr:uid="{C54E8003-7A63-48EC-ACB2-E2C43370DEC7}"/>
    <cellStyle name="Total 2 2 3 3 2" xfId="1549" xr:uid="{E80B3952-6E15-4F14-ACF8-62B2F505A436}"/>
    <cellStyle name="Total 2 2 3 3 2 2" xfId="7320" xr:uid="{D90E86CE-1AFE-489A-9BA4-7C206F509724}"/>
    <cellStyle name="Total 2 2 3 3 2 3" xfId="9986" xr:uid="{0CCE86E9-C121-4FC3-B617-9017377C7838}"/>
    <cellStyle name="Total 2 2 3 3 2 4" xfId="4346" xr:uid="{1811A07D-A62F-40F5-93B8-B8B649D7CBC2}"/>
    <cellStyle name="Total 2 2 3 3 3" xfId="5086" xr:uid="{BFA514E0-833D-4E6F-9601-7FCD58C814FB}"/>
    <cellStyle name="Total 2 2 3 3 3 2" xfId="8060" xr:uid="{875AAB04-2500-4D02-844E-183899510EA1}"/>
    <cellStyle name="Total 2 2 3 3 4" xfId="5851" xr:uid="{4E5216AD-4019-4668-A19A-A526CB8628ED}"/>
    <cellStyle name="Total 2 2 3 3 4 2" xfId="8825" xr:uid="{F4C43254-97BF-42FB-8C75-B40C1AC8C40A}"/>
    <cellStyle name="Total 2 2 3 3 5" xfId="3579" xr:uid="{00A97766-0E30-4685-9B42-152F189D9489}"/>
    <cellStyle name="Total 2 2 3 3 6" xfId="6524" xr:uid="{E0CF9028-9DD5-48C8-BC45-9E957CDA7AA4}"/>
    <cellStyle name="Total 2 2 3 3 7" xfId="2501" xr:uid="{0660D56E-898A-48EA-9AF8-4621FEBE1317}"/>
    <cellStyle name="Total 2 2 3 4" xfId="869" xr:uid="{2F5B054C-4529-4B59-97A8-6C2772712AA6}"/>
    <cellStyle name="Total 2 2 3 4 2" xfId="1674" xr:uid="{514BE397-C334-482C-84C5-51455B51ABAD}"/>
    <cellStyle name="Total 2 2 3 4 2 2" xfId="7445" xr:uid="{0FDD0948-4D1E-4567-9EB9-0669875FEC59}"/>
    <cellStyle name="Total 2 2 3 4 2 3" xfId="10111" xr:uid="{51B51730-F3BC-45FA-989B-374A2293AF1B}"/>
    <cellStyle name="Total 2 2 3 4 2 4" xfId="4471" xr:uid="{1667B478-4AAD-476D-8D6A-434168D00866}"/>
    <cellStyle name="Total 2 2 3 4 3" xfId="5211" xr:uid="{A027F832-6F18-4A4F-A2D7-0E338D92ECE2}"/>
    <cellStyle name="Total 2 2 3 4 3 2" xfId="8185" xr:uid="{EE48F060-0525-4FDC-ADE7-13004D4890D6}"/>
    <cellStyle name="Total 2 2 3 4 4" xfId="5976" xr:uid="{51C16DBA-4B30-4642-9963-01C65D4E4FFC}"/>
    <cellStyle name="Total 2 2 3 4 4 2" xfId="8950" xr:uid="{8ACDF34A-DF74-4486-B594-A733FFBBDF2E}"/>
    <cellStyle name="Total 2 2 3 4 5" xfId="6649" xr:uid="{0AFC5628-E9DF-4BF9-A38D-3B0B2F7AF792}"/>
    <cellStyle name="Total 2 2 3 4 6" xfId="2626" xr:uid="{49930EED-B189-4A1F-B36F-5095DBBDE41F}"/>
    <cellStyle name="Total 2 2 3 5" xfId="3676" xr:uid="{6E237A4C-5CD3-4803-A02C-8A88D178DC6E}"/>
    <cellStyle name="Total 2 2 3 6" xfId="2069" xr:uid="{7AF0985A-C549-441B-8FFC-A2EDD7046E68}"/>
    <cellStyle name="Total 2 2 4" xfId="422" xr:uid="{6B407F3C-7B17-4317-A8C1-411F6026CD87}"/>
    <cellStyle name="Total 2 2 4 2" xfId="901" xr:uid="{7060086E-B050-4D92-8CEC-8AD0331DC183}"/>
    <cellStyle name="Total 2 2 4 2 2" xfId="1706" xr:uid="{CBBAFED0-935B-43DC-849C-811DEE779031}"/>
    <cellStyle name="Total 2 2 4 2 2 2" xfId="7477" xr:uid="{CB139B9F-B420-4694-8BB6-073DCB67C4EB}"/>
    <cellStyle name="Total 2 2 4 2 2 3" xfId="10143" xr:uid="{008638D1-78B4-46E5-A98E-345551CF0AFB}"/>
    <cellStyle name="Total 2 2 4 2 2 4" xfId="4503" xr:uid="{34202BBC-AC2D-44D1-9F69-92EA494FA52E}"/>
    <cellStyle name="Total 2 2 4 2 3" xfId="5243" xr:uid="{5DE04F0D-C17E-4405-A7E4-03C6CEE50AE0}"/>
    <cellStyle name="Total 2 2 4 2 3 2" xfId="8217" xr:uid="{0A06FA26-1DA7-4805-ADB7-3D070CD689E1}"/>
    <cellStyle name="Total 2 2 4 2 4" xfId="6008" xr:uid="{80794107-E493-4EEF-9911-BDDD9F686EB7}"/>
    <cellStyle name="Total 2 2 4 2 4 2" xfId="8982" xr:uid="{4DE8AF64-C2A7-488B-B76E-9C5BC6CDF14B}"/>
    <cellStyle name="Total 2 2 4 2 5" xfId="3718" xr:uid="{9CB959D8-AEBD-496B-A812-16BF9F298695}"/>
    <cellStyle name="Total 2 2 4 2 6" xfId="6681" xr:uid="{965A44D9-2043-43D0-8CF0-8C5E22DDF24E}"/>
    <cellStyle name="Total 2 2 4 2 7" xfId="2658" xr:uid="{9817B43B-B0DD-4D76-993B-E8D6B2AE0749}"/>
    <cellStyle name="Total 2 2 4 3" xfId="616" xr:uid="{785A724F-1721-46DA-AB1D-34CC4FAEE927}"/>
    <cellStyle name="Total 2 2 4 3 2" xfId="1421" xr:uid="{30A661C6-B6BB-4F36-AEB8-6C7809A69878}"/>
    <cellStyle name="Total 2 2 4 3 2 2" xfId="7192" xr:uid="{BF2CA83B-BE16-43F9-BE68-8EA7AF488666}"/>
    <cellStyle name="Total 2 2 4 3 2 3" xfId="9858" xr:uid="{A561EC75-362B-4B84-8293-2CB97180B984}"/>
    <cellStyle name="Total 2 2 4 3 2 4" xfId="4218" xr:uid="{48BBD59F-8C5B-4E54-A1AB-5AF9760B3DF8}"/>
    <cellStyle name="Total 2 2 4 3 3" xfId="4958" xr:uid="{6315736A-B953-408A-8ACD-9069A5590F9F}"/>
    <cellStyle name="Total 2 2 4 3 3 2" xfId="7932" xr:uid="{09454B2D-241D-4EEB-9E54-0D41CC81D738}"/>
    <cellStyle name="Total 2 2 4 3 4" xfId="5723" xr:uid="{732AF7CF-799E-4636-AFAE-92C9F3D6B3F0}"/>
    <cellStyle name="Total 2 2 4 3 4 2" xfId="8697" xr:uid="{74895D93-81D4-4AE8-898A-6B9C2F5AAA50}"/>
    <cellStyle name="Total 2 2 4 3 5" xfId="6396" xr:uid="{43DAB20B-6BAA-4CD1-BE13-BF8B244BB5D8}"/>
    <cellStyle name="Total 2 2 4 3 6" xfId="2373" xr:uid="{ADD157BB-E784-4C84-9FC0-5B69F22A35D5}"/>
    <cellStyle name="Total 2 2 4 4" xfId="1228" xr:uid="{24482066-D10E-4583-9782-1B9BC408027E}"/>
    <cellStyle name="Total 2 2 4 4 2" xfId="6999" xr:uid="{89A21506-1DF9-41FA-8078-9744AF61FA0F}"/>
    <cellStyle name="Total 2 2 4 4 3" xfId="9665" xr:uid="{DC072F32-E809-4C61-8981-2B617378BD60}"/>
    <cellStyle name="Total 2 2 4 4 4" xfId="4025" xr:uid="{410949C1-EA6E-4F2B-AC33-562047FC07C2}"/>
    <cellStyle name="Total 2 2 4 5" xfId="3261" xr:uid="{8C22D910-2D33-42B0-9B03-1872FC9FC9A4}"/>
    <cellStyle name="Total 2 2 4 5 2" xfId="3311" xr:uid="{94CC4730-B19D-4731-BD79-F0533E7D7D72}"/>
    <cellStyle name="Total 2 2 4 6" xfId="3999" xr:uid="{727AB327-D5A8-426D-B56C-307C985F2C45}"/>
    <cellStyle name="Total 2 2 4 6 2" xfId="6973" xr:uid="{DD041E3A-8385-4965-AFA9-B635F3740F5B}"/>
    <cellStyle name="Total 2 2 4 7" xfId="2984" xr:uid="{39F244FD-1613-4B34-8A2D-1C861BC6DEFC}"/>
    <cellStyle name="Total 2 2 4 8" xfId="2180" xr:uid="{68FCFC05-E0EF-4E7C-87BC-65CA7D2AB435}"/>
    <cellStyle name="Total 2 2 5" xfId="685" xr:uid="{AFA174A6-01FE-4B76-9E9E-3803AE9C8B80}"/>
    <cellStyle name="Total 2 2 5 2" xfId="1490" xr:uid="{11CE8B0C-B6B9-4EE9-9AD4-E6BAE9827AFE}"/>
    <cellStyle name="Total 2 2 5 2 2" xfId="7261" xr:uid="{C3AB1A22-93FD-4A9E-93C8-A716DE6E2773}"/>
    <cellStyle name="Total 2 2 5 2 3" xfId="9927" xr:uid="{1C3AACBE-6880-4909-B0B4-04FB2EFE97D9}"/>
    <cellStyle name="Total 2 2 5 2 4" xfId="4287" xr:uid="{2B5BBE0E-ABA1-4753-9D75-C4ACFF4FFF6E}"/>
    <cellStyle name="Total 2 2 5 3" xfId="5027" xr:uid="{2E97EA9E-E6F9-4229-A3EF-F20830B6341C}"/>
    <cellStyle name="Total 2 2 5 3 2" xfId="8001" xr:uid="{3F5B24F2-60C9-43A2-9783-09661200B066}"/>
    <cellStyle name="Total 2 2 5 4" xfId="5792" xr:uid="{959110E7-E12C-40D9-A536-F954B66A226B}"/>
    <cellStyle name="Total 2 2 5 4 2" xfId="8766" xr:uid="{39C65F1E-61DA-4AA2-94F4-215D70D42C96}"/>
    <cellStyle name="Total 2 2 5 5" xfId="3521" xr:uid="{77094576-AC99-4F1C-A07F-77053B4F265A}"/>
    <cellStyle name="Total 2 2 5 6" xfId="6465" xr:uid="{8983D596-62FD-46F8-993C-2FAC54282BAB}"/>
    <cellStyle name="Total 2 2 5 7" xfId="2442" xr:uid="{3AF42092-FB5E-40B8-A412-BB3CEA86B869}"/>
    <cellStyle name="Total 2 2 6" xfId="1152" xr:uid="{AE06A7F4-2BC9-4FD7-B3E6-15702F5F8280}"/>
    <cellStyle name="Total 2 2 6 2" xfId="1957" xr:uid="{21C27A06-386B-42B6-8ED6-05ADE1430E51}"/>
    <cellStyle name="Total 2 2 6 2 2" xfId="7728" xr:uid="{0D3405B5-8F9B-4C71-B69B-4CDE77FBDB46}"/>
    <cellStyle name="Total 2 2 6 2 3" xfId="10394" xr:uid="{3AD55891-6B86-41B6-910D-374BDF7B017E}"/>
    <cellStyle name="Total 2 2 6 2 4" xfId="4754" xr:uid="{446B809D-2C77-42D7-9638-ADBD3BA2AB08}"/>
    <cellStyle name="Total 2 2 6 3" xfId="5494" xr:uid="{774D412E-9C68-4BF8-ADD1-F0103AA42E90}"/>
    <cellStyle name="Total 2 2 6 3 2" xfId="8468" xr:uid="{65B267D7-D985-4E6C-8B05-51B91FC72CE8}"/>
    <cellStyle name="Total 2 2 6 4" xfId="6259" xr:uid="{FB0B87AC-7CAA-4E24-B634-CE7670B43184}"/>
    <cellStyle name="Total 2 2 6 4 2" xfId="9233" xr:uid="{FFBEBB45-75F9-4679-9A01-07691E758357}"/>
    <cellStyle name="Total 2 2 6 5" xfId="6932" xr:uid="{7049C5C3-F1A8-482B-B062-97D2B7C94E08}"/>
    <cellStyle name="Total 2 2 6 6" xfId="2909" xr:uid="{94A38AE7-F33A-4F91-98AE-B5177E310D27}"/>
    <cellStyle name="Total 2 2 7" xfId="3183" xr:uid="{C952B1FC-0300-4EC4-8848-6ECB7ECE2C99}"/>
    <cellStyle name="Total 2 2 8" xfId="2011" xr:uid="{4AE45537-8DD3-4B24-95B8-1C4FDDBEDD97}"/>
    <cellStyle name="Total 2 3" xfId="210" xr:uid="{D9EDCE16-41EE-4B77-BC59-02F8C5FE8C5F}"/>
    <cellStyle name="Total 2 3 2" xfId="314" xr:uid="{3201B3F3-CDF1-4DDD-B4E9-ED4AAAD5F3D9}"/>
    <cellStyle name="Total 2 3 2 2" xfId="536" xr:uid="{FDE0872E-529B-4460-9F9D-9E27F8D44DE3}"/>
    <cellStyle name="Total 2 3 2 2 2" xfId="1015" xr:uid="{64F137D5-59B3-4BDF-B88B-25CAFDA9CCEE}"/>
    <cellStyle name="Total 2 3 2 2 2 2" xfId="1820" xr:uid="{A3943B7F-B74E-47B8-9206-067A93233B28}"/>
    <cellStyle name="Total 2 3 2 2 2 2 2" xfId="7591" xr:uid="{FFDE82F0-4C5E-4700-9D04-164DDDB23E3C}"/>
    <cellStyle name="Total 2 3 2 2 2 2 3" xfId="10257" xr:uid="{5F718EE4-26C5-4452-8216-BC210F1D23DD}"/>
    <cellStyle name="Total 2 3 2 2 2 2 4" xfId="4617" xr:uid="{8BBDE518-21DC-4909-9E83-329414FC1E4B}"/>
    <cellStyle name="Total 2 3 2 2 2 3" xfId="5357" xr:uid="{3E53F90D-B676-43E8-A47E-2526A57AB91C}"/>
    <cellStyle name="Total 2 3 2 2 2 3 2" xfId="8331" xr:uid="{9EEFDA25-8CB9-4ADC-90C6-41184B301D70}"/>
    <cellStyle name="Total 2 3 2 2 2 4" xfId="6122" xr:uid="{C9159FB0-1D68-437A-96A3-CAF322D586AD}"/>
    <cellStyle name="Total 2 3 2 2 2 4 2" xfId="9096" xr:uid="{2768C709-BFAD-40BF-9F30-75843729B61D}"/>
    <cellStyle name="Total 2 3 2 2 2 5" xfId="3832" xr:uid="{6DD40ED9-93E1-4D66-90FA-9BDC54B75C46}"/>
    <cellStyle name="Total 2 3 2 2 2 6" xfId="6795" xr:uid="{289AF099-7A85-444A-A61E-F80830FD070B}"/>
    <cellStyle name="Total 2 3 2 2 2 7" xfId="2772" xr:uid="{1DEC3027-1743-41B5-9743-F3EFAC854076}"/>
    <cellStyle name="Total 2 3 2 2 3" xfId="887" xr:uid="{BEFCBB49-A9D2-4ABB-8527-E620FA4C723E}"/>
    <cellStyle name="Total 2 3 2 2 3 2" xfId="1692" xr:uid="{49B05F28-3E13-48B8-8552-6F16FABB3525}"/>
    <cellStyle name="Total 2 3 2 2 3 2 2" xfId="7463" xr:uid="{0C9451F8-3F95-4AA0-BF4B-3FBA6FF5364E}"/>
    <cellStyle name="Total 2 3 2 2 3 2 3" xfId="10129" xr:uid="{07303F7F-5D27-4ED7-8F10-56C8851DA15E}"/>
    <cellStyle name="Total 2 3 2 2 3 2 4" xfId="4489" xr:uid="{8EC67BEF-73E9-476C-A07B-22F9965C55CF}"/>
    <cellStyle name="Total 2 3 2 2 3 3" xfId="5229" xr:uid="{D4F2BBEB-756B-4DA0-B231-CFFF8AAC43DE}"/>
    <cellStyle name="Total 2 3 2 2 3 3 2" xfId="8203" xr:uid="{53B95FC4-F873-4602-A90C-CD1A0D2A4B18}"/>
    <cellStyle name="Total 2 3 2 2 3 4" xfId="5994" xr:uid="{3B0A87AF-0D52-4303-A65C-565060CAECA4}"/>
    <cellStyle name="Total 2 3 2 2 3 4 2" xfId="8968" xr:uid="{41D82843-7970-4FDE-BC79-7D7327D0C568}"/>
    <cellStyle name="Total 2 3 2 2 3 5" xfId="6667" xr:uid="{53815DFD-D7AB-4C46-B023-723329122845}"/>
    <cellStyle name="Total 2 3 2 2 3 6" xfId="2644" xr:uid="{D47C8AF1-28A9-4BA1-B037-C8272F62DFCD}"/>
    <cellStyle name="Total 2 3 2 2 4" xfId="1342" xr:uid="{CBCC6E13-C1B2-4312-93D0-3C2E6EBEA5AE}"/>
    <cellStyle name="Total 2 3 2 2 4 2" xfId="7113" xr:uid="{75C70B37-895F-485E-B7F6-6344F4ABE754}"/>
    <cellStyle name="Total 2 3 2 2 4 3" xfId="9779" xr:uid="{813FCA1D-7DC6-4406-9FFD-E5C676FCD455}"/>
    <cellStyle name="Total 2 3 2 2 4 4" xfId="4139" xr:uid="{CCE7378D-950A-473F-9A1D-5506B5FA6C34}"/>
    <cellStyle name="Total 2 3 2 2 5" xfId="4879" xr:uid="{1945D1FE-EEB1-4D76-989B-DAC2DCBAC13C}"/>
    <cellStyle name="Total 2 3 2 2 5 2" xfId="7853" xr:uid="{55F7B7C6-9D21-4BB8-ADEA-DE82164A8AC4}"/>
    <cellStyle name="Total 2 3 2 2 6" xfId="5644" xr:uid="{93FA3376-25E6-4FE0-86C6-C89A71AC0751}"/>
    <cellStyle name="Total 2 3 2 2 6 2" xfId="8618" xr:uid="{6D2CF2BF-0B56-4098-8B36-534FB2F05238}"/>
    <cellStyle name="Total 2 3 2 2 7" xfId="6317" xr:uid="{0B0F9870-F8D5-4796-90FE-FC40F4255713}"/>
    <cellStyle name="Total 2 3 2 2 8" xfId="2294" xr:uid="{2709FAF4-D2CB-4648-B9FA-9760B3D6C076}"/>
    <cellStyle name="Total 2 3 2 3" xfId="805" xr:uid="{108D576D-89CC-4D5F-8332-F2EB50314D1E}"/>
    <cellStyle name="Total 2 3 2 3 2" xfId="1610" xr:uid="{5574959B-6F21-4502-AA6D-717D73F92C56}"/>
    <cellStyle name="Total 2 3 2 3 2 2" xfId="7381" xr:uid="{33384330-44D0-4BFD-829B-D950DFC40755}"/>
    <cellStyle name="Total 2 3 2 3 2 3" xfId="10047" xr:uid="{F8BDBC41-F1A3-4241-B05B-251F9DA2560D}"/>
    <cellStyle name="Total 2 3 2 3 2 4" xfId="4407" xr:uid="{37EBE897-D019-439A-A57A-204F27BC79B6}"/>
    <cellStyle name="Total 2 3 2 3 3" xfId="5147" xr:uid="{5732F5D8-B2E1-4892-A58B-13813B0C3059}"/>
    <cellStyle name="Total 2 3 2 3 3 2" xfId="8121" xr:uid="{AAEB3C66-B589-48B9-A2B4-36191C07B140}"/>
    <cellStyle name="Total 2 3 2 3 4" xfId="5912" xr:uid="{4D66E15F-1549-43E4-974D-FC9B8C6EA81C}"/>
    <cellStyle name="Total 2 3 2 3 4 2" xfId="8886" xr:uid="{00E868FA-7D3E-4DD2-BA86-D940098D79D6}"/>
    <cellStyle name="Total 2 3 2 3 5" xfId="3639" xr:uid="{7011FEAC-BCEA-4A80-AB80-05DC2D3A5226}"/>
    <cellStyle name="Total 2 3 2 3 6" xfId="6585" xr:uid="{AD3F4798-F72E-4AFE-A795-51DDCA8B95A0}"/>
    <cellStyle name="Total 2 3 2 3 7" xfId="2562" xr:uid="{3E4588C4-ADDA-48B5-BF6D-6BE5EBC4053A}"/>
    <cellStyle name="Total 2 3 2 4" xfId="1102" xr:uid="{FB8A67B2-9331-4328-B868-BB4F875F3386}"/>
    <cellStyle name="Total 2 3 2 4 2" xfId="1907" xr:uid="{1D03EF19-8129-4A1B-BABA-3D112672A275}"/>
    <cellStyle name="Total 2 3 2 4 2 2" xfId="7678" xr:uid="{1458744F-E154-47A3-9AAC-AAFBED0DA271}"/>
    <cellStyle name="Total 2 3 2 4 2 3" xfId="10344" xr:uid="{6E96737C-CEBB-4E12-8185-CC34EA714E26}"/>
    <cellStyle name="Total 2 3 2 4 2 4" xfId="4704" xr:uid="{94B658D4-637A-4CC9-A544-EF8321FB499C}"/>
    <cellStyle name="Total 2 3 2 4 3" xfId="5444" xr:uid="{FD640CA5-6C48-4DD5-8A8B-2BDB93C72FDE}"/>
    <cellStyle name="Total 2 3 2 4 3 2" xfId="8418" xr:uid="{FA3CE6DD-6B53-4B4D-8B58-FAE4DC83A795}"/>
    <cellStyle name="Total 2 3 2 4 4" xfId="6209" xr:uid="{15F915BB-B588-4228-8223-528424726D2D}"/>
    <cellStyle name="Total 2 3 2 4 4 2" xfId="9183" xr:uid="{C0929AB8-60A5-4A2E-86F0-BFD57D7EBDEC}"/>
    <cellStyle name="Total 2 3 2 4 5" xfId="6882" xr:uid="{D5017F88-A54A-4425-B5D8-9C6FF0B2D9BA}"/>
    <cellStyle name="Total 2 3 2 4 6" xfId="2859" xr:uid="{177469A0-36FB-4E3D-8925-10FB95454244}"/>
    <cellStyle name="Total 2 3 2 5" xfId="3023" xr:uid="{5A9C3DF1-F6F2-41E5-B70F-6769AD09276D}"/>
    <cellStyle name="Total 2 3 2 6" xfId="2132" xr:uid="{EC1FFE93-1810-450C-941D-71B721877459}"/>
    <cellStyle name="Total 2 3 3" xfId="258" xr:uid="{F4E564FE-BC37-4B2B-83C1-5F11A63E41D8}"/>
    <cellStyle name="Total 2 3 3 2" xfId="482" xr:uid="{75BD8AB1-D526-4165-904B-42DE4573071A}"/>
    <cellStyle name="Total 2 3 3 2 2" xfId="961" xr:uid="{B10EB961-0DF8-4CFB-AC5C-FC4D2F9F7121}"/>
    <cellStyle name="Total 2 3 3 2 2 2" xfId="1766" xr:uid="{E32B8E90-2BD0-4969-A1F6-5ADEFBD2EBA0}"/>
    <cellStyle name="Total 2 3 3 2 2 2 2" xfId="7537" xr:uid="{0E2DF318-CA33-445A-A911-3863D457C85E}"/>
    <cellStyle name="Total 2 3 3 2 2 2 3" xfId="10203" xr:uid="{707A168B-8A7B-49FA-B098-3C6CF988851B}"/>
    <cellStyle name="Total 2 3 3 2 2 2 4" xfId="4563" xr:uid="{FD912E9A-D280-46E3-9717-A9BBC0E7097B}"/>
    <cellStyle name="Total 2 3 3 2 2 3" xfId="5303" xr:uid="{A386AF6D-103F-4A79-9122-2CA17414485B}"/>
    <cellStyle name="Total 2 3 3 2 2 3 2" xfId="8277" xr:uid="{2BCAF6FA-F418-48FB-AA6F-E968941FB99C}"/>
    <cellStyle name="Total 2 3 3 2 2 4" xfId="6068" xr:uid="{2CDA77DE-9D6D-4C26-8851-A799EDEE7873}"/>
    <cellStyle name="Total 2 3 3 2 2 4 2" xfId="9042" xr:uid="{B38A0E29-4D05-4C68-9B62-31EB71D9BD57}"/>
    <cellStyle name="Total 2 3 3 2 2 5" xfId="3778" xr:uid="{562245AC-14A7-4680-AD7A-E4D147D8A695}"/>
    <cellStyle name="Total 2 3 3 2 2 6" xfId="6741" xr:uid="{EE92E760-87A8-45AE-8C42-C2B851DBCE80}"/>
    <cellStyle name="Total 2 3 3 2 2 7" xfId="2718" xr:uid="{19335149-05E5-4004-81F7-DDEC0F2FEE94}"/>
    <cellStyle name="Total 2 3 3 2 3" xfId="1173" xr:uid="{3765827F-3C00-4A2C-8844-8842B48F962E}"/>
    <cellStyle name="Total 2 3 3 2 3 2" xfId="1978" xr:uid="{65DEDC73-D67E-424F-B850-B826AB2284F8}"/>
    <cellStyle name="Total 2 3 3 2 3 2 2" xfId="7749" xr:uid="{F45AFC3B-7C15-476B-8543-FF395FA50FB5}"/>
    <cellStyle name="Total 2 3 3 2 3 2 3" xfId="10415" xr:uid="{448AE90A-BF5A-498A-99F5-DE1C38D75DBA}"/>
    <cellStyle name="Total 2 3 3 2 3 2 4" xfId="4775" xr:uid="{A17468C5-06BE-4C3D-94F2-88BC8E096C8B}"/>
    <cellStyle name="Total 2 3 3 2 3 3" xfId="5515" xr:uid="{6F18ED1B-C81C-4417-99E9-106B63B7B1D0}"/>
    <cellStyle name="Total 2 3 3 2 3 3 2" xfId="8489" xr:uid="{CB476DF2-F156-4621-A0FF-E8FE90383C4D}"/>
    <cellStyle name="Total 2 3 3 2 3 4" xfId="6280" xr:uid="{10684224-6DB4-4DC6-A926-04B1F6CF6230}"/>
    <cellStyle name="Total 2 3 3 2 3 4 2" xfId="9254" xr:uid="{70F56553-32F2-4ACC-B4FE-7880A0601FB8}"/>
    <cellStyle name="Total 2 3 3 2 3 5" xfId="6953" xr:uid="{292BBBBC-19A9-47F9-9F31-851D3DD22554}"/>
    <cellStyle name="Total 2 3 3 2 3 6" xfId="2930" xr:uid="{448B08DE-2DA8-4A0F-BBB8-F4E1AC567E95}"/>
    <cellStyle name="Total 2 3 3 2 4" xfId="1288" xr:uid="{DE378A21-C838-4973-B05D-98BEEBA8BA29}"/>
    <cellStyle name="Total 2 3 3 2 4 2" xfId="7059" xr:uid="{5600EA78-D124-4051-9689-9705D0F33DC5}"/>
    <cellStyle name="Total 2 3 3 2 4 3" xfId="9725" xr:uid="{FB773494-6A98-4D31-86E8-5B8162D4D165}"/>
    <cellStyle name="Total 2 3 3 2 4 4" xfId="4085" xr:uid="{5B407917-841E-4DE9-9998-E19210DAC923}"/>
    <cellStyle name="Total 2 3 3 2 5" xfId="4825" xr:uid="{BDABB0B1-808F-496A-ACCD-8E08DB7C58AE}"/>
    <cellStyle name="Total 2 3 3 2 5 2" xfId="7799" xr:uid="{24C6237B-9CFE-4A08-86E5-58D590A4CB39}"/>
    <cellStyle name="Total 2 3 3 2 6" xfId="5590" xr:uid="{E54665E3-EEDF-4702-BB7C-C7AA41FC5BB9}"/>
    <cellStyle name="Total 2 3 3 2 6 2" xfId="8564" xr:uid="{5CF35AC9-8399-4112-82B8-6DB0C485AF51}"/>
    <cellStyle name="Total 2 3 3 2 7" xfId="3070" xr:uid="{3C700D9F-9254-49B6-83F3-FD05301B6F04}"/>
    <cellStyle name="Total 2 3 3 2 8" xfId="2240" xr:uid="{F0B13C01-A8EA-43F9-9BC5-67192B174F97}"/>
    <cellStyle name="Total 2 3 3 3" xfId="750" xr:uid="{AD02A398-5288-425F-8B74-CF17DF57EBE3}"/>
    <cellStyle name="Total 2 3 3 3 2" xfId="1555" xr:uid="{CDF4BC5C-19F8-4A52-BB87-498F130B38BC}"/>
    <cellStyle name="Total 2 3 3 3 2 2" xfId="7326" xr:uid="{A28D6D2F-1741-4C4F-B97D-F79D9071BB2A}"/>
    <cellStyle name="Total 2 3 3 3 2 3" xfId="9992" xr:uid="{B4605912-05DF-48FE-A33A-EAC1B80F7322}"/>
    <cellStyle name="Total 2 3 3 3 2 4" xfId="4352" xr:uid="{8C572306-58BA-4E1B-A9D4-B5C5CB0C24A8}"/>
    <cellStyle name="Total 2 3 3 3 3" xfId="5092" xr:uid="{4931A1EF-C1AA-4865-B607-BB0CB9F0BCB9}"/>
    <cellStyle name="Total 2 3 3 3 3 2" xfId="8066" xr:uid="{6CF10288-F3AE-41EE-ADAD-302FC7758426}"/>
    <cellStyle name="Total 2 3 3 3 4" xfId="5857" xr:uid="{6510612A-3544-43A9-99ED-2787D1B42308}"/>
    <cellStyle name="Total 2 3 3 3 4 2" xfId="8831" xr:uid="{FB6C6948-98EF-4507-B139-7AA719F9B7DF}"/>
    <cellStyle name="Total 2 3 3 3 5" xfId="3585" xr:uid="{14C9116F-03BB-4F49-8E37-3D0BF1F11142}"/>
    <cellStyle name="Total 2 3 3 3 6" xfId="6530" xr:uid="{4BB9800C-D1FD-4FCD-B457-EB3EEBA5C941}"/>
    <cellStyle name="Total 2 3 3 3 7" xfId="2507" xr:uid="{4EC9D4AD-7DAB-41B9-B056-363940B12F13}"/>
    <cellStyle name="Total 2 3 3 4" xfId="867" xr:uid="{21F4C2BE-0257-4433-B086-0CF8C419E153}"/>
    <cellStyle name="Total 2 3 3 4 2" xfId="1672" xr:uid="{CF2221CE-F889-47B2-9CDA-5A66FF6042A0}"/>
    <cellStyle name="Total 2 3 3 4 2 2" xfId="7443" xr:uid="{7791B0A9-7F1C-4514-9055-681D0567A198}"/>
    <cellStyle name="Total 2 3 3 4 2 3" xfId="10109" xr:uid="{BD8C8892-252E-4D4B-99C0-C47B0FC90671}"/>
    <cellStyle name="Total 2 3 3 4 2 4" xfId="4469" xr:uid="{2B1745D4-DC17-456F-A56E-98ABE2A5AED4}"/>
    <cellStyle name="Total 2 3 3 4 3" xfId="5209" xr:uid="{4CED89B5-8DF5-429F-B895-B2D3D90DE71D}"/>
    <cellStyle name="Total 2 3 3 4 3 2" xfId="8183" xr:uid="{869796A7-9EAA-41C3-A13D-41697E27B0A8}"/>
    <cellStyle name="Total 2 3 3 4 4" xfId="5974" xr:uid="{6239C820-31D6-42C2-820B-31F4BAE35381}"/>
    <cellStyle name="Total 2 3 3 4 4 2" xfId="8948" xr:uid="{AEA57A78-BD3E-4642-B953-E79389E064E2}"/>
    <cellStyle name="Total 2 3 3 4 5" xfId="6647" xr:uid="{EF82F496-BD0F-46D3-A5BB-56D01AA82563}"/>
    <cellStyle name="Total 2 3 3 4 6" xfId="2624" xr:uid="{A35AAA08-8E47-4636-A542-F128B228157C}"/>
    <cellStyle name="Total 2 3 3 5" xfId="3334" xr:uid="{5CB4D770-4330-4006-9AFD-CD2B2623A9C8}"/>
    <cellStyle name="Total 2 3 3 6" xfId="2075" xr:uid="{E703F86B-2043-4A64-BF32-9E7F02443C6B}"/>
    <cellStyle name="Total 2 3 4" xfId="434" xr:uid="{9BAB1EA2-8ECF-4C9D-AE3F-55309E33222B}"/>
    <cellStyle name="Total 2 3 4 2" xfId="913" xr:uid="{15148633-C554-4700-AFCF-2FBA4F9C6B75}"/>
    <cellStyle name="Total 2 3 4 2 2" xfId="1718" xr:uid="{BCF32836-83D6-4A0D-A82E-E37E06CD3A13}"/>
    <cellStyle name="Total 2 3 4 2 2 2" xfId="7489" xr:uid="{9E403D48-1551-4EE7-B8B8-456FF0BC98A6}"/>
    <cellStyle name="Total 2 3 4 2 2 3" xfId="10155" xr:uid="{D107994C-E4F9-47FA-B41D-74C8FD7BE5AD}"/>
    <cellStyle name="Total 2 3 4 2 2 4" xfId="4515" xr:uid="{2F578B3E-B054-4286-BBD4-3FC8D38FB837}"/>
    <cellStyle name="Total 2 3 4 2 3" xfId="5255" xr:uid="{1817B9AD-ED3E-4A53-8C61-E37EADF83222}"/>
    <cellStyle name="Total 2 3 4 2 3 2" xfId="8229" xr:uid="{7A1315C0-83B4-464A-B0FD-DBFD043C27C6}"/>
    <cellStyle name="Total 2 3 4 2 4" xfId="6020" xr:uid="{52801A23-E2BB-4024-A8B7-E1A0B58BA399}"/>
    <cellStyle name="Total 2 3 4 2 4 2" xfId="8994" xr:uid="{92F93791-CBFC-41B8-A10A-6F98B809259A}"/>
    <cellStyle name="Total 2 3 4 2 5" xfId="3730" xr:uid="{BE907DC0-2CE4-44AB-B2FD-B26A37DD9600}"/>
    <cellStyle name="Total 2 3 4 2 6" xfId="6693" xr:uid="{0AC60EC9-52AC-4761-9464-CC563892D8C1}"/>
    <cellStyle name="Total 2 3 4 2 7" xfId="2670" xr:uid="{BBD59E01-D257-49F6-A749-0579AAF49147}"/>
    <cellStyle name="Total 2 3 4 3" xfId="1141" xr:uid="{A7A705B6-C31B-4101-A009-EE517629A831}"/>
    <cellStyle name="Total 2 3 4 3 2" xfId="1946" xr:uid="{FF6A762B-4B13-4E9E-8D93-B589D178BF34}"/>
    <cellStyle name="Total 2 3 4 3 2 2" xfId="7717" xr:uid="{B5B222A4-2DAC-4F12-972E-DE6A8913BB11}"/>
    <cellStyle name="Total 2 3 4 3 2 3" xfId="10383" xr:uid="{9B26A161-1F7D-493F-B747-846684524119}"/>
    <cellStyle name="Total 2 3 4 3 2 4" xfId="4743" xr:uid="{EC62634F-1039-4F4E-8C52-B52C104D89BD}"/>
    <cellStyle name="Total 2 3 4 3 3" xfId="5483" xr:uid="{3AF1BC97-1833-406D-9851-C9CFD7A73F57}"/>
    <cellStyle name="Total 2 3 4 3 3 2" xfId="8457" xr:uid="{25C4E465-A85C-476E-BAF1-86A0F7947FAA}"/>
    <cellStyle name="Total 2 3 4 3 4" xfId="6248" xr:uid="{ECC4C83D-8431-4435-AB4C-CB3AF35D9FFD}"/>
    <cellStyle name="Total 2 3 4 3 4 2" xfId="9222" xr:uid="{634DB150-DC20-4641-8CA9-61247A2FC872}"/>
    <cellStyle name="Total 2 3 4 3 5" xfId="6921" xr:uid="{F5D9CD03-6944-4A59-A9EE-186019B6C6BE}"/>
    <cellStyle name="Total 2 3 4 3 6" xfId="2898" xr:uid="{CC8EDE52-58B8-4E01-B128-E36B9806E5A5}"/>
    <cellStyle name="Total 2 3 4 4" xfId="1240" xr:uid="{8A32B07B-D6C9-49F8-9555-586ED68B5518}"/>
    <cellStyle name="Total 2 3 4 4 2" xfId="7011" xr:uid="{03685E8A-96DF-4BAA-81C6-10C61B23E917}"/>
    <cellStyle name="Total 2 3 4 4 3" xfId="9677" xr:uid="{9CA35211-8380-4A2A-9D00-717C6B15FD00}"/>
    <cellStyle name="Total 2 3 4 4 4" xfId="4037" xr:uid="{E7EE7527-00E1-47ED-B4FE-54E826E7FDD3}"/>
    <cellStyle name="Total 2 3 4 5" xfId="3279" xr:uid="{F348FA68-6EAB-49D5-BA61-EB127144044D}"/>
    <cellStyle name="Total 2 3 4 5 2" xfId="3011" xr:uid="{12B9A305-64A4-4625-AA8E-DE9411AC52C9}"/>
    <cellStyle name="Total 2 3 4 6" xfId="5542" xr:uid="{047FEF0C-2F83-4ACA-B836-B5063E7F18DA}"/>
    <cellStyle name="Total 2 3 4 6 2" xfId="8516" xr:uid="{E3A2F13B-0321-4F29-9187-64B9B7EA1B0C}"/>
    <cellStyle name="Total 2 3 4 7" xfId="3005" xr:uid="{D837887F-7DA0-4934-946E-7D7185813506}"/>
    <cellStyle name="Total 2 3 4 8" xfId="2192" xr:uid="{BBEC8362-0B54-4CD0-955A-68F2DDFD9FDD}"/>
    <cellStyle name="Total 2 3 5" xfId="702" xr:uid="{0B01D176-6EE0-4527-AE33-969BBE9E9E76}"/>
    <cellStyle name="Total 2 3 5 2" xfId="1507" xr:uid="{D52862AF-D105-4A39-9283-2004BDD262E8}"/>
    <cellStyle name="Total 2 3 5 2 2" xfId="7278" xr:uid="{C72FF6F6-3F6A-44A2-AE2C-9F85F5705E30}"/>
    <cellStyle name="Total 2 3 5 2 3" xfId="9944" xr:uid="{4CEB65A7-3756-4D77-93A2-1FB9FEFDECE9}"/>
    <cellStyle name="Total 2 3 5 2 4" xfId="4304" xr:uid="{E1535021-1090-42CA-8947-A69E08D91C69}"/>
    <cellStyle name="Total 2 3 5 3" xfId="5044" xr:uid="{FD4F7894-5482-40C8-BDEC-F6DE033DDAE1}"/>
    <cellStyle name="Total 2 3 5 3 2" xfId="8018" xr:uid="{6617F15C-993D-4D97-85E0-8F630FBEED0A}"/>
    <cellStyle name="Total 2 3 5 4" xfId="5809" xr:uid="{F73AC7C9-A6EF-44E5-9B07-3CD803433FFB}"/>
    <cellStyle name="Total 2 3 5 4 2" xfId="8783" xr:uid="{EF52FE11-66D6-4B60-9436-2978F946CAF7}"/>
    <cellStyle name="Total 2 3 5 5" xfId="3537" xr:uid="{8E340330-F0C5-44D1-BB4B-900D0F221877}"/>
    <cellStyle name="Total 2 3 5 6" xfId="6482" xr:uid="{C74F6E26-E802-42A3-97FF-33AE9227BF7A}"/>
    <cellStyle name="Total 2 3 5 7" xfId="2459" xr:uid="{31BCF92A-D815-4FA2-A9BE-01CF575958A6}"/>
    <cellStyle name="Total 2 3 6" xfId="1176" xr:uid="{E2C4D0C9-30BA-4A9A-B1E1-138680130E15}"/>
    <cellStyle name="Total 2 3 6 2" xfId="1981" xr:uid="{041F34C4-E8E7-491D-82D6-970F2CE60BD5}"/>
    <cellStyle name="Total 2 3 6 2 2" xfId="7752" xr:uid="{00807647-FAE1-4AC6-A08D-D2C85527CAE3}"/>
    <cellStyle name="Total 2 3 6 2 3" xfId="10418" xr:uid="{C1DDDE47-7F64-467E-9C15-04E9F7EF5A5F}"/>
    <cellStyle name="Total 2 3 6 2 4" xfId="4778" xr:uid="{6ADCE371-1B9D-4E0E-81B9-381261AF16E2}"/>
    <cellStyle name="Total 2 3 6 3" xfId="5518" xr:uid="{87920892-4080-429F-9DAF-FC826B52F74C}"/>
    <cellStyle name="Total 2 3 6 3 2" xfId="8492" xr:uid="{1F5CF5BE-A47A-469A-BDC9-376B4162F5FA}"/>
    <cellStyle name="Total 2 3 6 4" xfId="6283" xr:uid="{3FC15DD6-657C-4A57-BC2C-DAEC11B1CC00}"/>
    <cellStyle name="Total 2 3 6 4 2" xfId="9257" xr:uid="{77342A37-7772-494A-BEEB-4EEAEFB15D60}"/>
    <cellStyle name="Total 2 3 6 5" xfId="6956" xr:uid="{8837A157-DA23-43FA-9774-6BDEDD410684}"/>
    <cellStyle name="Total 2 3 6 6" xfId="2933" xr:uid="{ED9BAD17-5D68-44E2-987F-A339D50788FD}"/>
    <cellStyle name="Total 2 3 7" xfId="3394" xr:uid="{E63AB36A-5A09-4B78-BF90-7B7781B7CB13}"/>
    <cellStyle name="Total 2 3 8" xfId="2025" xr:uid="{5B8F635C-2FE4-4A46-9AD7-F39D3E528247}"/>
    <cellStyle name="Total 2 4" xfId="216" xr:uid="{6DB0975C-DF46-435E-94BC-2283D6D071B8}"/>
    <cellStyle name="Total 2 4 2" xfId="320" xr:uid="{62F74EBE-96A5-46F6-B284-13B50EE7B48D}"/>
    <cellStyle name="Total 2 4 2 2" xfId="542" xr:uid="{D11B52B7-8795-45F7-BFC8-7CE7E0B956A1}"/>
    <cellStyle name="Total 2 4 2 2 2" xfId="1021" xr:uid="{7A3CDC8E-9261-4AC2-A971-5BDB9EC00D93}"/>
    <cellStyle name="Total 2 4 2 2 2 2" xfId="1826" xr:uid="{B8AC6EA6-AE5F-4FB5-94FF-B3716B9CE9A2}"/>
    <cellStyle name="Total 2 4 2 2 2 2 2" xfId="7597" xr:uid="{0410D66C-6B93-4717-B77A-95765067F064}"/>
    <cellStyle name="Total 2 4 2 2 2 2 3" xfId="10263" xr:uid="{25465CF7-059F-4ED1-85FE-04B58520CBAB}"/>
    <cellStyle name="Total 2 4 2 2 2 2 4" xfId="4623" xr:uid="{37C38C6F-1FFB-47A3-899C-FF57415B5DD9}"/>
    <cellStyle name="Total 2 4 2 2 2 3" xfId="5363" xr:uid="{2BE2CEDF-D8B6-41BB-884D-32F0A281E7ED}"/>
    <cellStyle name="Total 2 4 2 2 2 3 2" xfId="8337" xr:uid="{CC2378DC-3C84-4D2F-A7D0-35AE8FE78716}"/>
    <cellStyle name="Total 2 4 2 2 2 4" xfId="6128" xr:uid="{85ADF482-CBC2-40C4-B138-09732B3E7D5A}"/>
    <cellStyle name="Total 2 4 2 2 2 4 2" xfId="9102" xr:uid="{A143DB10-F0D2-44CB-8ADC-4191DFD9A49D}"/>
    <cellStyle name="Total 2 4 2 2 2 5" xfId="3838" xr:uid="{BAF2E89E-9DEE-471F-8EB2-4CC16102C4BF}"/>
    <cellStyle name="Total 2 4 2 2 2 6" xfId="6801" xr:uid="{4E53D023-457C-44A9-B33F-7CC8688EEE69}"/>
    <cellStyle name="Total 2 4 2 2 2 7" xfId="2778" xr:uid="{32B91BAE-BE3E-4AF2-97E1-EFA6857FA755}"/>
    <cellStyle name="Total 2 4 2 2 3" xfId="847" xr:uid="{9BF12C45-ADD3-4EF3-ABC5-5DB200ABFECE}"/>
    <cellStyle name="Total 2 4 2 2 3 2" xfId="1652" xr:uid="{BC0D6747-593B-4E17-8A16-F72F513249F2}"/>
    <cellStyle name="Total 2 4 2 2 3 2 2" xfId="7423" xr:uid="{AD9A25E3-E6F2-450C-9819-3A437C47457E}"/>
    <cellStyle name="Total 2 4 2 2 3 2 3" xfId="10089" xr:uid="{94AC57B5-9CC5-48A8-AF75-0FB80DAA4D28}"/>
    <cellStyle name="Total 2 4 2 2 3 2 4" xfId="4449" xr:uid="{7FAC72C4-B1E8-45E4-962E-2EA6D2544D57}"/>
    <cellStyle name="Total 2 4 2 2 3 3" xfId="5189" xr:uid="{3EEC82CE-C62B-40F9-A03F-B4840A8186CD}"/>
    <cellStyle name="Total 2 4 2 2 3 3 2" xfId="8163" xr:uid="{3F220D2E-1C85-4F0B-BB2F-E6286C81D695}"/>
    <cellStyle name="Total 2 4 2 2 3 4" xfId="5954" xr:uid="{918CC7E3-F29C-4A76-B7CB-0DB8A1071343}"/>
    <cellStyle name="Total 2 4 2 2 3 4 2" xfId="8928" xr:uid="{E940CB7F-30E6-40AE-8D1A-DB5643AA6582}"/>
    <cellStyle name="Total 2 4 2 2 3 5" xfId="6627" xr:uid="{8763A0CC-22D4-4BA0-901C-0273E105CAB8}"/>
    <cellStyle name="Total 2 4 2 2 3 6" xfId="2604" xr:uid="{A4CCAC78-2A73-4B6F-B466-61675CD41F9E}"/>
    <cellStyle name="Total 2 4 2 2 4" xfId="1348" xr:uid="{6D17F4C6-1250-425C-A61A-0BB44D4E597B}"/>
    <cellStyle name="Total 2 4 2 2 4 2" xfId="7119" xr:uid="{26F26403-C2ED-49C4-99FC-5F9B8960D79B}"/>
    <cellStyle name="Total 2 4 2 2 4 3" xfId="9785" xr:uid="{493C0B27-0A3D-4F5B-95CF-799B0F27F7BD}"/>
    <cellStyle name="Total 2 4 2 2 4 4" xfId="4145" xr:uid="{136AE05C-19E2-45B6-8514-550A3420EDED}"/>
    <cellStyle name="Total 2 4 2 2 5" xfId="4885" xr:uid="{257BC7A4-625B-4838-8ED9-6691A023BFCE}"/>
    <cellStyle name="Total 2 4 2 2 5 2" xfId="7859" xr:uid="{4B97FADF-BE91-44BE-A8D8-A667A261428C}"/>
    <cellStyle name="Total 2 4 2 2 6" xfId="5650" xr:uid="{62AB620A-7CF4-4588-B468-F32F82D9879C}"/>
    <cellStyle name="Total 2 4 2 2 6 2" xfId="8624" xr:uid="{9E4B7033-E821-4232-BB54-53F4FE5D5986}"/>
    <cellStyle name="Total 2 4 2 2 7" xfId="6323" xr:uid="{6BB1647E-1C33-4BDE-BA48-46128620F169}"/>
    <cellStyle name="Total 2 4 2 2 8" xfId="2300" xr:uid="{ADC40A6A-1A80-4E52-8CE8-C00EF5BBFB39}"/>
    <cellStyle name="Total 2 4 2 3" xfId="811" xr:uid="{C630B13D-C246-4BD9-B81C-BA5153FC2CA7}"/>
    <cellStyle name="Total 2 4 2 3 2" xfId="1616" xr:uid="{4814F070-228F-4081-809B-1A37D9D8F9A7}"/>
    <cellStyle name="Total 2 4 2 3 2 2" xfId="7387" xr:uid="{3FB6C07D-DDC4-4E41-B40C-0A1CF3DC1384}"/>
    <cellStyle name="Total 2 4 2 3 2 3" xfId="10053" xr:uid="{1441E600-B150-4CC8-8EE1-F9CAC59E7452}"/>
    <cellStyle name="Total 2 4 2 3 2 4" xfId="4413" xr:uid="{3ED17A45-06EF-4186-9756-B184775A2EE1}"/>
    <cellStyle name="Total 2 4 2 3 3" xfId="5153" xr:uid="{25F60A43-8A79-4F16-B0C6-19517FBB7E01}"/>
    <cellStyle name="Total 2 4 2 3 3 2" xfId="8127" xr:uid="{4F17B6B7-521B-426C-AE06-2643D0E1837C}"/>
    <cellStyle name="Total 2 4 2 3 4" xfId="5918" xr:uid="{A2DEB9E4-E602-4291-99D5-4CE8B2CFBB04}"/>
    <cellStyle name="Total 2 4 2 3 4 2" xfId="8892" xr:uid="{91411347-B913-4652-9749-B26D3FAC89AE}"/>
    <cellStyle name="Total 2 4 2 3 5" xfId="3645" xr:uid="{1033B963-ED99-40D6-B6E4-7A6F2E55215F}"/>
    <cellStyle name="Total 2 4 2 3 6" xfId="6591" xr:uid="{921ADA4A-E80A-486B-994F-D61614DBB806}"/>
    <cellStyle name="Total 2 4 2 3 7" xfId="2568" xr:uid="{B944054F-B2D4-4E95-8503-873F6EB968BE}"/>
    <cellStyle name="Total 2 4 2 4" xfId="1096" xr:uid="{DE08BE41-CB22-4801-B7D8-4A336C18BF50}"/>
    <cellStyle name="Total 2 4 2 4 2" xfId="1901" xr:uid="{8375278D-315E-4D97-A250-96023F7FD44D}"/>
    <cellStyle name="Total 2 4 2 4 2 2" xfId="7672" xr:uid="{317620EF-1F1E-4018-B932-D10EA34B8688}"/>
    <cellStyle name="Total 2 4 2 4 2 3" xfId="10338" xr:uid="{DDFBA632-FE1F-4ECD-8B51-828F2832D3F7}"/>
    <cellStyle name="Total 2 4 2 4 2 4" xfId="4698" xr:uid="{7DBC06F5-C5B6-4AC2-B804-4BB37300619A}"/>
    <cellStyle name="Total 2 4 2 4 3" xfId="5438" xr:uid="{197BCBE0-C995-44E0-9AFB-3BD517F9DA31}"/>
    <cellStyle name="Total 2 4 2 4 3 2" xfId="8412" xr:uid="{DDE823D1-44F4-4964-9C09-6086EEFB0721}"/>
    <cellStyle name="Total 2 4 2 4 4" xfId="6203" xr:uid="{0FC5ABDA-957E-4135-BD8C-3B781E44DD0E}"/>
    <cellStyle name="Total 2 4 2 4 4 2" xfId="9177" xr:uid="{1A04D359-A2F7-495C-A3B0-2952E3470AC7}"/>
    <cellStyle name="Total 2 4 2 4 5" xfId="6876" xr:uid="{1681AEDD-AF07-47C6-9ECC-ACDF628E7544}"/>
    <cellStyle name="Total 2 4 2 4 6" xfId="2853" xr:uid="{5B96C795-381A-4D7B-9C13-31276C97BBFE}"/>
    <cellStyle name="Total 2 4 2 5" xfId="3109" xr:uid="{29C8C29F-DA33-4E5B-8689-446E822382C6}"/>
    <cellStyle name="Total 2 4 2 6" xfId="2138" xr:uid="{B3E0FAC7-83AF-412E-B760-8EE1E733A4C1}"/>
    <cellStyle name="Total 2 4 3" xfId="264" xr:uid="{920C2EAF-A77E-4694-9C77-93B8B0B0C10D}"/>
    <cellStyle name="Total 2 4 3 2" xfId="488" xr:uid="{79F3F130-2FF9-49F5-97EB-5AFD8F5F4AB0}"/>
    <cellStyle name="Total 2 4 3 2 2" xfId="967" xr:uid="{5327EBEB-E363-4A96-8ADB-0C36FA1789BB}"/>
    <cellStyle name="Total 2 4 3 2 2 2" xfId="1772" xr:uid="{77C08452-539B-4F4D-8384-C392C6E7E9BA}"/>
    <cellStyle name="Total 2 4 3 2 2 2 2" xfId="7543" xr:uid="{FE68F459-0C97-4ADC-9124-B53CC2525C77}"/>
    <cellStyle name="Total 2 4 3 2 2 2 3" xfId="10209" xr:uid="{92D525B5-05DB-4376-9B34-46541D81C1FF}"/>
    <cellStyle name="Total 2 4 3 2 2 2 4" xfId="4569" xr:uid="{EE8F2F4E-9D10-45A4-87BD-E7DE7CF35D5B}"/>
    <cellStyle name="Total 2 4 3 2 2 3" xfId="5309" xr:uid="{72E4995F-438D-48EA-91D8-56C62793DFF5}"/>
    <cellStyle name="Total 2 4 3 2 2 3 2" xfId="8283" xr:uid="{E278016C-E491-417B-972B-52D7C766EBA0}"/>
    <cellStyle name="Total 2 4 3 2 2 4" xfId="6074" xr:uid="{32E2FBE7-746F-4B88-B07D-A860FEB57B51}"/>
    <cellStyle name="Total 2 4 3 2 2 4 2" xfId="9048" xr:uid="{189AC7E9-26FF-49FB-9A74-65D2C8E66F2F}"/>
    <cellStyle name="Total 2 4 3 2 2 5" xfId="3784" xr:uid="{97DCDCC3-993D-4BDA-9C79-B29B16DEC711}"/>
    <cellStyle name="Total 2 4 3 2 2 6" xfId="6747" xr:uid="{56E1A5CC-C775-4E09-9035-416467DCAA3F}"/>
    <cellStyle name="Total 2 4 3 2 2 7" xfId="2724" xr:uid="{BE9DD464-B9DD-414E-8ED8-424BC3BB04E7}"/>
    <cellStyle name="Total 2 4 3 2 3" xfId="1172" xr:uid="{EB99D71D-A91E-4358-AF7E-FEE833FE8B3A}"/>
    <cellStyle name="Total 2 4 3 2 3 2" xfId="1977" xr:uid="{8718C8C7-D620-47D7-AC30-577933F290AD}"/>
    <cellStyle name="Total 2 4 3 2 3 2 2" xfId="7748" xr:uid="{31019115-4B9B-4975-B444-7F1235C20F92}"/>
    <cellStyle name="Total 2 4 3 2 3 2 3" xfId="10414" xr:uid="{6093B174-E3A1-410F-ADA0-7E032505BFF4}"/>
    <cellStyle name="Total 2 4 3 2 3 2 4" xfId="4774" xr:uid="{CE664994-2F6D-4867-B471-277DFE5CD237}"/>
    <cellStyle name="Total 2 4 3 2 3 3" xfId="5514" xr:uid="{F11DEA5B-12D4-4159-A00B-6225D00EF8F5}"/>
    <cellStyle name="Total 2 4 3 2 3 3 2" xfId="8488" xr:uid="{EA9792C4-2426-4B8E-9AEB-BDF13E18A8A1}"/>
    <cellStyle name="Total 2 4 3 2 3 4" xfId="6279" xr:uid="{401A320C-21FC-47B2-9A02-12F305C10F8D}"/>
    <cellStyle name="Total 2 4 3 2 3 4 2" xfId="9253" xr:uid="{126DB7AD-B180-4B04-BF0C-C72DEFC0FC2E}"/>
    <cellStyle name="Total 2 4 3 2 3 5" xfId="6952" xr:uid="{A5A9D32E-394A-49BE-98C1-CBFBA1801632}"/>
    <cellStyle name="Total 2 4 3 2 3 6" xfId="2929" xr:uid="{C4131177-CC82-4B95-887F-80ADE11FC55A}"/>
    <cellStyle name="Total 2 4 3 2 4" xfId="1294" xr:uid="{DBED3CCC-4EA8-4869-9FF2-5E5CFDF9E380}"/>
    <cellStyle name="Total 2 4 3 2 4 2" xfId="7065" xr:uid="{9CE42942-B5A3-4233-923D-A699AB856DE9}"/>
    <cellStyle name="Total 2 4 3 2 4 3" xfId="9731" xr:uid="{55147838-865D-4873-A61A-5CDADA885727}"/>
    <cellStyle name="Total 2 4 3 2 4 4" xfId="4091" xr:uid="{02D08256-F04F-4283-9ADC-2DBBFAB41FE5}"/>
    <cellStyle name="Total 2 4 3 2 5" xfId="4831" xr:uid="{27914A99-FE06-491D-8711-817F8C92CC55}"/>
    <cellStyle name="Total 2 4 3 2 5 2" xfId="7805" xr:uid="{2853DF48-F57D-451D-BFC6-7BE8311B5668}"/>
    <cellStyle name="Total 2 4 3 2 6" xfId="5596" xr:uid="{882F2B4A-C296-48FA-BDE7-F6F02814E315}"/>
    <cellStyle name="Total 2 4 3 2 6 2" xfId="8570" xr:uid="{2A2B90E2-E3CA-46EF-9B6D-7E8583F3C859}"/>
    <cellStyle name="Total 2 4 3 2 7" xfId="3065" xr:uid="{FBDADBC9-F209-4778-9104-07124ADCBFE6}"/>
    <cellStyle name="Total 2 4 3 2 8" xfId="2246" xr:uid="{B9F2CCD6-5816-4CD6-AF09-C0ED2C9228CD}"/>
    <cellStyle name="Total 2 4 3 3" xfId="756" xr:uid="{3A366D0A-B20F-4464-872B-2ABEE25D79DA}"/>
    <cellStyle name="Total 2 4 3 3 2" xfId="1561" xr:uid="{B1742439-036D-491B-84C0-B1DDAA5309C1}"/>
    <cellStyle name="Total 2 4 3 3 2 2" xfId="7332" xr:uid="{B323EB7D-4D2D-41DB-B8AF-69532EE4B75C}"/>
    <cellStyle name="Total 2 4 3 3 2 3" xfId="9998" xr:uid="{66E3647D-C16D-429C-89B0-A2E15141D010}"/>
    <cellStyle name="Total 2 4 3 3 2 4" xfId="4358" xr:uid="{DC212F85-C738-4236-BC03-5A050F65F741}"/>
    <cellStyle name="Total 2 4 3 3 3" xfId="5098" xr:uid="{86BCB8F1-B6D1-4AA6-9560-D1FA093B0992}"/>
    <cellStyle name="Total 2 4 3 3 3 2" xfId="8072" xr:uid="{FE24DC12-CB47-4CE1-8248-3A8CB202AAFE}"/>
    <cellStyle name="Total 2 4 3 3 4" xfId="5863" xr:uid="{8B5DC09A-86E4-4BC1-B6B8-2CDC03B047A2}"/>
    <cellStyle name="Total 2 4 3 3 4 2" xfId="8837" xr:uid="{109393FD-968D-47F5-943A-212ED0341846}"/>
    <cellStyle name="Total 2 4 3 3 5" xfId="3591" xr:uid="{103C3609-E93C-40DB-9EBE-FD76763701FC}"/>
    <cellStyle name="Total 2 4 3 3 6" xfId="6536" xr:uid="{F04B27E5-FF6F-4BA2-A635-68521871AA44}"/>
    <cellStyle name="Total 2 4 3 3 7" xfId="2513" xr:uid="{50E50F47-06E3-4E2E-B152-567479051777}"/>
    <cellStyle name="Total 2 4 3 4" xfId="1123" xr:uid="{EDF3BB89-EE92-4641-A91E-53BEB75DBFDD}"/>
    <cellStyle name="Total 2 4 3 4 2" xfId="1928" xr:uid="{B545D24D-2098-438B-95D9-671BADF0999A}"/>
    <cellStyle name="Total 2 4 3 4 2 2" xfId="7699" xr:uid="{943F48D7-74E6-4E1C-8EC4-52E472D38AAE}"/>
    <cellStyle name="Total 2 4 3 4 2 3" xfId="10365" xr:uid="{440A647F-E9C1-4EC3-97BB-76F5410BF281}"/>
    <cellStyle name="Total 2 4 3 4 2 4" xfId="4725" xr:uid="{34068C4D-4B1D-4FDB-BFF2-9D9E6D8D617E}"/>
    <cellStyle name="Total 2 4 3 4 3" xfId="5465" xr:uid="{EFC2C239-68E3-4784-8CE0-E7FC078B6218}"/>
    <cellStyle name="Total 2 4 3 4 3 2" xfId="8439" xr:uid="{28AE5D4A-903B-4157-BF27-5EEA6728E376}"/>
    <cellStyle name="Total 2 4 3 4 4" xfId="6230" xr:uid="{A16B6135-CE3A-44C9-AD8A-5A7CD80C5B50}"/>
    <cellStyle name="Total 2 4 3 4 4 2" xfId="9204" xr:uid="{2638CD67-A4D8-4D1E-8B8B-B0A98B3BDD4E}"/>
    <cellStyle name="Total 2 4 3 4 5" xfId="6903" xr:uid="{15684A45-D267-4075-AC6F-33171932841D}"/>
    <cellStyle name="Total 2 4 3 4 6" xfId="2880" xr:uid="{40413910-03BC-42A7-8C87-D213FD6B0610}"/>
    <cellStyle name="Total 2 4 3 5" xfId="3945" xr:uid="{6963A8D1-EF5B-4266-88FF-FC4356E86313}"/>
    <cellStyle name="Total 2 4 3 6" xfId="2081" xr:uid="{AB9DC17D-006B-4646-98BA-2E0613182768}"/>
    <cellStyle name="Total 2 4 4" xfId="440" xr:uid="{5B0F6BA5-F7D0-45EE-99C6-4C0366FA812B}"/>
    <cellStyle name="Total 2 4 4 2" xfId="919" xr:uid="{DDF8B21D-4393-46AF-B039-6B8D7C14D07F}"/>
    <cellStyle name="Total 2 4 4 2 2" xfId="1724" xr:uid="{3A2C9418-E904-45E8-A987-DFC619CA9E94}"/>
    <cellStyle name="Total 2 4 4 2 2 2" xfId="7495" xr:uid="{FB587F71-6B71-468C-A0C1-2C9C2074656F}"/>
    <cellStyle name="Total 2 4 4 2 2 3" xfId="10161" xr:uid="{0679DC71-AE3D-44BB-BC42-9CC853BA353F}"/>
    <cellStyle name="Total 2 4 4 2 2 4" xfId="4521" xr:uid="{561DEEA0-424F-4ACE-B1C9-8CD7CB7731D1}"/>
    <cellStyle name="Total 2 4 4 2 3" xfId="5261" xr:uid="{57FADDEC-71AA-48FB-BA37-284171DD742E}"/>
    <cellStyle name="Total 2 4 4 2 3 2" xfId="8235" xr:uid="{F313BD40-8B66-419C-BD62-61DC1D0D7B59}"/>
    <cellStyle name="Total 2 4 4 2 4" xfId="6026" xr:uid="{BC71336A-F40F-4669-9C3B-D08CE76C6A21}"/>
    <cellStyle name="Total 2 4 4 2 4 2" xfId="9000" xr:uid="{1968BA71-B9F0-42CD-A271-33F35F580B60}"/>
    <cellStyle name="Total 2 4 4 2 5" xfId="3736" xr:uid="{899B15D6-AC0B-4C14-A5D4-54896FFA2D1C}"/>
    <cellStyle name="Total 2 4 4 2 6" xfId="6699" xr:uid="{0C43A2D1-05A6-4C36-9833-FD8753B0AAC6}"/>
    <cellStyle name="Total 2 4 4 2 7" xfId="2676" xr:uid="{02CB0E55-B3C3-42A0-BF39-626F7F555BA6}"/>
    <cellStyle name="Total 2 4 4 3" xfId="1057" xr:uid="{4835C3A3-C6F5-4F5C-BC29-6ACCCF3D09AE}"/>
    <cellStyle name="Total 2 4 4 3 2" xfId="1862" xr:uid="{39D41BF2-084B-44C2-8514-27C5BD3114F0}"/>
    <cellStyle name="Total 2 4 4 3 2 2" xfId="7633" xr:uid="{3C071805-5D9F-45A7-9636-1D51EB41FC6E}"/>
    <cellStyle name="Total 2 4 4 3 2 3" xfId="10299" xr:uid="{92F60263-A6BB-4509-836B-97A923B73A32}"/>
    <cellStyle name="Total 2 4 4 3 2 4" xfId="4659" xr:uid="{E3F0CF00-DC08-4348-9005-0616AEEC5F0B}"/>
    <cellStyle name="Total 2 4 4 3 3" xfId="5399" xr:uid="{1FB5E008-02CD-451B-8AEE-8CFE709A38AE}"/>
    <cellStyle name="Total 2 4 4 3 3 2" xfId="8373" xr:uid="{ED6BCA9C-1BBB-4254-94FF-0208B1600540}"/>
    <cellStyle name="Total 2 4 4 3 4" xfId="6164" xr:uid="{9A90E4CB-2634-46B1-9CEF-C6690A60A864}"/>
    <cellStyle name="Total 2 4 4 3 4 2" xfId="9138" xr:uid="{7D96189E-F188-4161-B237-493A27C39682}"/>
    <cellStyle name="Total 2 4 4 3 5" xfId="6837" xr:uid="{861DBA28-FC77-4276-BC09-E531363092FB}"/>
    <cellStyle name="Total 2 4 4 3 6" xfId="2814" xr:uid="{3CFDD794-7CCF-4644-9A3D-AA7BFC08E314}"/>
    <cellStyle name="Total 2 4 4 4" xfId="1246" xr:uid="{ABF13398-1BB9-407B-9D48-68D183A07C57}"/>
    <cellStyle name="Total 2 4 4 4 2" xfId="7017" xr:uid="{9BD434A4-899E-4642-BA75-000510504DD6}"/>
    <cellStyle name="Total 2 4 4 4 3" xfId="9683" xr:uid="{415F3DC2-6336-429B-9604-20FD7CAF9A8C}"/>
    <cellStyle name="Total 2 4 4 4 4" xfId="4043" xr:uid="{8A73DC08-80C2-41EA-9C6E-B3C6216863DA}"/>
    <cellStyle name="Total 2 4 4 5" xfId="3285" xr:uid="{9177E1B6-0735-449D-9940-287F5D979B56}"/>
    <cellStyle name="Total 2 4 4 5 2" xfId="3009" xr:uid="{043837DE-21DF-472A-A370-081E0AA40C61}"/>
    <cellStyle name="Total 2 4 4 6" xfId="5548" xr:uid="{2641E538-9186-4C4B-8248-9FD7A3BADFE4}"/>
    <cellStyle name="Total 2 4 4 6 2" xfId="8522" xr:uid="{ACB95807-B63D-46FD-AAAB-E6BF04C0ED3D}"/>
    <cellStyle name="Total 2 4 4 7" xfId="3076" xr:uid="{72054CED-59B5-495A-B527-299E58EB5566}"/>
    <cellStyle name="Total 2 4 4 8" xfId="2198" xr:uid="{8DE95446-0029-4BFF-8388-1C5706536474}"/>
    <cellStyle name="Total 2 4 5" xfId="708" xr:uid="{85FFFDCF-D5CB-4208-A915-96A3ED3ECA9B}"/>
    <cellStyle name="Total 2 4 5 2" xfId="1513" xr:uid="{FC416937-66D0-46AB-8334-161587A77649}"/>
    <cellStyle name="Total 2 4 5 2 2" xfId="7284" xr:uid="{798F3DB4-E695-4D2D-8451-E8004C91A0EF}"/>
    <cellStyle name="Total 2 4 5 2 3" xfId="9950" xr:uid="{4001FD2D-8B55-43EF-A621-33F57EBBF889}"/>
    <cellStyle name="Total 2 4 5 2 4" xfId="4310" xr:uid="{C9FDD914-23C3-4A2E-B0B9-8B74D4B0C033}"/>
    <cellStyle name="Total 2 4 5 3" xfId="5050" xr:uid="{1A5D4D69-3BE3-4E56-8482-8C0608BA38EA}"/>
    <cellStyle name="Total 2 4 5 3 2" xfId="8024" xr:uid="{2714DBDF-C4B6-4FDC-8C24-33613734EEE7}"/>
    <cellStyle name="Total 2 4 5 4" xfId="5815" xr:uid="{C0D8D860-2BF6-4F07-96EE-1E895822B3DD}"/>
    <cellStyle name="Total 2 4 5 4 2" xfId="8789" xr:uid="{8E72CAAA-EEF9-4102-AAC1-AD0E45FA39F7}"/>
    <cellStyle name="Total 2 4 5 5" xfId="3543" xr:uid="{E811EB8A-3AD3-473A-859E-D3E6821AAD93}"/>
    <cellStyle name="Total 2 4 5 6" xfId="6488" xr:uid="{F2262E90-D497-4E6E-A790-9E84F86FA464}"/>
    <cellStyle name="Total 2 4 5 7" xfId="2465" xr:uid="{6BF1996E-D171-415B-9E77-F7FCA658C246}"/>
    <cellStyle name="Total 2 4 6" xfId="585" xr:uid="{8D9B989F-B483-4279-9DB2-6A0C93F1F4A1}"/>
    <cellStyle name="Total 2 4 6 2" xfId="1390" xr:uid="{89033176-FF75-4A10-A081-542F3DA2AA70}"/>
    <cellStyle name="Total 2 4 6 2 2" xfId="7161" xr:uid="{E8232E0B-96C7-40AC-860F-8330C3135744}"/>
    <cellStyle name="Total 2 4 6 2 3" xfId="9827" xr:uid="{41E90BBE-5FBB-4ECC-AF6A-9657B64071EA}"/>
    <cellStyle name="Total 2 4 6 2 4" xfId="4187" xr:uid="{EFB60A9D-073A-4879-9E1A-D8D48190DB83}"/>
    <cellStyle name="Total 2 4 6 3" xfId="4927" xr:uid="{C5EF2FFD-7C38-4F73-8211-47F5B543768C}"/>
    <cellStyle name="Total 2 4 6 3 2" xfId="7901" xr:uid="{78E8424C-1D3D-4234-B5A7-1D86FADE5CD6}"/>
    <cellStyle name="Total 2 4 6 4" xfId="5692" xr:uid="{9142EC33-B8FE-4718-B083-951C00C9341D}"/>
    <cellStyle name="Total 2 4 6 4 2" xfId="8666" xr:uid="{CC149981-84E8-4E52-B150-0E282B6BA1F2}"/>
    <cellStyle name="Total 2 4 6 5" xfId="6365" xr:uid="{F0FF761F-69E6-4AC1-9AF0-AF3DE40590DB}"/>
    <cellStyle name="Total 2 4 6 6" xfId="2342" xr:uid="{B841F9D1-946B-419E-AB5B-133AF103C3A4}"/>
    <cellStyle name="Total 2 4 7" xfId="3165" xr:uid="{2677AF6B-F661-47BC-9D5A-A40A007B9749}"/>
    <cellStyle name="Total 2 4 8" xfId="2031" xr:uid="{373DA3B3-5CA3-4B31-A9A5-7C8FE7136C03}"/>
    <cellStyle name="Total 2 5" xfId="222" xr:uid="{CBF20F0D-DE39-401C-8C7C-A78BE8F35E33}"/>
    <cellStyle name="Total 2 5 2" xfId="326" xr:uid="{E2114981-F400-4189-83E4-717DF275FAFB}"/>
    <cellStyle name="Total 2 5 2 2" xfId="548" xr:uid="{7868DA27-031A-4757-B22F-06A12415E7A3}"/>
    <cellStyle name="Total 2 5 2 2 2" xfId="1027" xr:uid="{DE1CDF15-4113-420B-B918-B919736BA29B}"/>
    <cellStyle name="Total 2 5 2 2 2 2" xfId="1832" xr:uid="{18359513-C6AA-4E41-9B62-64A7B98A552E}"/>
    <cellStyle name="Total 2 5 2 2 2 2 2" xfId="7603" xr:uid="{C5B70018-C24A-44E6-8572-3404A6D1AAAE}"/>
    <cellStyle name="Total 2 5 2 2 2 2 3" xfId="10269" xr:uid="{F63EC7C4-FD67-4F00-AC5A-DF7D7503CCB0}"/>
    <cellStyle name="Total 2 5 2 2 2 2 4" xfId="4629" xr:uid="{27CF8912-CD59-43D1-AF6B-52E997467D1E}"/>
    <cellStyle name="Total 2 5 2 2 2 3" xfId="5369" xr:uid="{ACFDC6CA-4C24-4E75-B826-8EDEEBEEA00A}"/>
    <cellStyle name="Total 2 5 2 2 2 3 2" xfId="8343" xr:uid="{47FC90B9-2F98-44BB-9366-78EEBE1164D8}"/>
    <cellStyle name="Total 2 5 2 2 2 4" xfId="6134" xr:uid="{03DC4AA8-EFC6-4231-878E-EE85870F12F9}"/>
    <cellStyle name="Total 2 5 2 2 2 4 2" xfId="9108" xr:uid="{D1F81E4A-07CD-4A7E-B2C9-938139D062D9}"/>
    <cellStyle name="Total 2 5 2 2 2 5" xfId="3844" xr:uid="{90F3FF0A-8A33-475A-A89D-4B0ED7B24A0A}"/>
    <cellStyle name="Total 2 5 2 2 2 6" xfId="6807" xr:uid="{2FD35128-8D7E-4CD3-B465-6B01607C58D8}"/>
    <cellStyle name="Total 2 5 2 2 2 7" xfId="2784" xr:uid="{FD50CE04-1685-4D15-B7BD-397A90F6F8C3}"/>
    <cellStyle name="Total 2 5 2 2 3" xfId="851" xr:uid="{B8E3B7C2-274D-4C8D-8BC9-B42C768796D8}"/>
    <cellStyle name="Total 2 5 2 2 3 2" xfId="1656" xr:uid="{C64157E1-900D-4F74-A9CB-4B5CC52FEAC2}"/>
    <cellStyle name="Total 2 5 2 2 3 2 2" xfId="7427" xr:uid="{D7EF70C6-AB9A-409A-81EB-D56BDEDC4D15}"/>
    <cellStyle name="Total 2 5 2 2 3 2 3" xfId="10093" xr:uid="{71777883-6CB0-4D5F-99D5-17AF0DEB5DA0}"/>
    <cellStyle name="Total 2 5 2 2 3 2 4" xfId="4453" xr:uid="{6CEBFF86-B842-48F2-8379-7478B8F0EE01}"/>
    <cellStyle name="Total 2 5 2 2 3 3" xfId="5193" xr:uid="{8263B649-8744-4D8D-AD41-E6F80C6E5346}"/>
    <cellStyle name="Total 2 5 2 2 3 3 2" xfId="8167" xr:uid="{D1348026-60E5-49E0-AA56-DAE2EDE54195}"/>
    <cellStyle name="Total 2 5 2 2 3 4" xfId="5958" xr:uid="{054A4156-6206-4E44-9FF3-BBA42E3EFE9C}"/>
    <cellStyle name="Total 2 5 2 2 3 4 2" xfId="8932" xr:uid="{D1BD46D7-E2CA-4BB1-906E-5F2CC8A61D37}"/>
    <cellStyle name="Total 2 5 2 2 3 5" xfId="6631" xr:uid="{F3C3A82A-F4FF-47DC-ABA1-59131B84E4A9}"/>
    <cellStyle name="Total 2 5 2 2 3 6" xfId="2608" xr:uid="{8531F677-ACB6-4559-91C1-A6BD270076FA}"/>
    <cellStyle name="Total 2 5 2 2 4" xfId="1354" xr:uid="{33AF4967-942F-4811-9300-9597CA0EE241}"/>
    <cellStyle name="Total 2 5 2 2 4 2" xfId="7125" xr:uid="{93FD13AB-4397-48E6-81EE-E4C31EFA27AB}"/>
    <cellStyle name="Total 2 5 2 2 4 3" xfId="9791" xr:uid="{B932A1AE-31C0-423E-8EDF-4BAC9C092C4E}"/>
    <cellStyle name="Total 2 5 2 2 4 4" xfId="4151" xr:uid="{6C930FEE-3656-43A5-A239-27F60ADF2C13}"/>
    <cellStyle name="Total 2 5 2 2 5" xfId="4891" xr:uid="{867839B2-C878-48ED-B5DD-C552332F249A}"/>
    <cellStyle name="Total 2 5 2 2 5 2" xfId="7865" xr:uid="{243B87F7-0EFE-42F3-8863-6D0472BE1E31}"/>
    <cellStyle name="Total 2 5 2 2 6" xfId="5656" xr:uid="{DA837BEA-06DC-41F6-9597-4A83BFD39CEC}"/>
    <cellStyle name="Total 2 5 2 2 6 2" xfId="8630" xr:uid="{E6AF00D4-1C24-494C-9CA2-52AC59E8CD65}"/>
    <cellStyle name="Total 2 5 2 2 7" xfId="6329" xr:uid="{594A1EC4-5FA1-4FB9-8E2C-657CC17A8BEA}"/>
    <cellStyle name="Total 2 5 2 2 8" xfId="2306" xr:uid="{05BDAC51-FECF-4883-AD4F-488805C85296}"/>
    <cellStyle name="Total 2 5 2 3" xfId="817" xr:uid="{0540531C-0D72-42D3-80B5-845B1C7A5DDF}"/>
    <cellStyle name="Total 2 5 2 3 2" xfId="1622" xr:uid="{388649D4-CFFD-4FF3-8803-43A67CA6C26A}"/>
    <cellStyle name="Total 2 5 2 3 2 2" xfId="7393" xr:uid="{75CBB4EF-3B59-4B72-99A3-E5BCE2E67917}"/>
    <cellStyle name="Total 2 5 2 3 2 3" xfId="10059" xr:uid="{CE527F55-A955-4C43-9EBF-969592E17264}"/>
    <cellStyle name="Total 2 5 2 3 2 4" xfId="4419" xr:uid="{E88C2745-00EC-4C74-BA50-0C5C94E96A08}"/>
    <cellStyle name="Total 2 5 2 3 3" xfId="5159" xr:uid="{A9D606A3-2124-4CD2-91D3-C4501B210145}"/>
    <cellStyle name="Total 2 5 2 3 3 2" xfId="8133" xr:uid="{19DFF295-985E-49AC-9D3D-689AE01175C1}"/>
    <cellStyle name="Total 2 5 2 3 4" xfId="5924" xr:uid="{12DBE5C8-44C0-4EC9-B36E-59394429858E}"/>
    <cellStyle name="Total 2 5 2 3 4 2" xfId="8898" xr:uid="{4C2333A0-05F4-4659-BA56-EBE89AA08A83}"/>
    <cellStyle name="Total 2 5 2 3 5" xfId="3651" xr:uid="{3998EE5F-AB16-4332-8381-E77413929B63}"/>
    <cellStyle name="Total 2 5 2 3 6" xfId="6597" xr:uid="{82C52EFD-FB2F-437A-A972-4D2F9D820FBE}"/>
    <cellStyle name="Total 2 5 2 3 7" xfId="2574" xr:uid="{3F1EC230-6CFC-4E55-90B4-2387FAE9E0B8}"/>
    <cellStyle name="Total 2 5 2 4" xfId="1137" xr:uid="{8D114829-93AC-4F84-9549-6E46F30815E4}"/>
    <cellStyle name="Total 2 5 2 4 2" xfId="1942" xr:uid="{94A014F8-5E35-451F-A1C3-C717E632425F}"/>
    <cellStyle name="Total 2 5 2 4 2 2" xfId="7713" xr:uid="{4B3752C9-A2FE-4403-BAD5-FFC7234FBE22}"/>
    <cellStyle name="Total 2 5 2 4 2 3" xfId="10379" xr:uid="{14094D80-7214-4D37-8B79-466FD9514078}"/>
    <cellStyle name="Total 2 5 2 4 2 4" xfId="4739" xr:uid="{11A61B02-8DF2-4E0E-98D8-EDFB17E4521A}"/>
    <cellStyle name="Total 2 5 2 4 3" xfId="5479" xr:uid="{29B04514-57DE-4FA9-BC36-29617E606E1F}"/>
    <cellStyle name="Total 2 5 2 4 3 2" xfId="8453" xr:uid="{4583C9F9-607E-4464-83BD-2B7F45868319}"/>
    <cellStyle name="Total 2 5 2 4 4" xfId="6244" xr:uid="{FBD5BBEF-E49D-4A5B-B53F-549B230254CD}"/>
    <cellStyle name="Total 2 5 2 4 4 2" xfId="9218" xr:uid="{190F2C8E-47A3-478C-BCA1-B8D197FA9B93}"/>
    <cellStyle name="Total 2 5 2 4 5" xfId="6917" xr:uid="{87C7D790-881A-475B-9F20-B51DA1959C56}"/>
    <cellStyle name="Total 2 5 2 4 6" xfId="2894" xr:uid="{8AE2C694-D565-489A-BF8F-56D58B272E1B}"/>
    <cellStyle name="Total 2 5 2 5" xfId="3100" xr:uid="{CE08E637-14A3-4F41-B9F2-64B2082AB612}"/>
    <cellStyle name="Total 2 5 2 6" xfId="2144" xr:uid="{BE95047A-9892-488E-8D64-94FD36A5D7C4}"/>
    <cellStyle name="Total 2 5 3" xfId="270" xr:uid="{85662405-2D16-4B8F-AF9D-73824D2E5AD8}"/>
    <cellStyle name="Total 2 5 3 2" xfId="494" xr:uid="{BEEDECE7-E361-4CB0-88C6-1AE9808C6C7D}"/>
    <cellStyle name="Total 2 5 3 2 2" xfId="973" xr:uid="{C5BC86B5-B690-4282-993D-EC6BB4BBBBAE}"/>
    <cellStyle name="Total 2 5 3 2 2 2" xfId="1778" xr:uid="{24FD7472-0D05-4B5B-AE12-635277E75C26}"/>
    <cellStyle name="Total 2 5 3 2 2 2 2" xfId="7549" xr:uid="{D22EEFE7-5D75-4BCA-8108-A9AB56F11BA2}"/>
    <cellStyle name="Total 2 5 3 2 2 2 3" xfId="10215" xr:uid="{C8F58794-D7C0-437B-9A1A-EF9FAAE08C9C}"/>
    <cellStyle name="Total 2 5 3 2 2 2 4" xfId="4575" xr:uid="{B308FD9C-E09A-455C-9DE4-AB56FBDCABC1}"/>
    <cellStyle name="Total 2 5 3 2 2 3" xfId="5315" xr:uid="{95662A53-C7CD-4B10-BF1A-EC3A74D6D3F1}"/>
    <cellStyle name="Total 2 5 3 2 2 3 2" xfId="8289" xr:uid="{05DD0D65-8362-412D-8217-A2F7BE75E27D}"/>
    <cellStyle name="Total 2 5 3 2 2 4" xfId="6080" xr:uid="{450A9B48-F6A5-4930-9D96-96C46624CC07}"/>
    <cellStyle name="Total 2 5 3 2 2 4 2" xfId="9054" xr:uid="{035B9B06-E34E-4278-B2B3-8CABC46917E2}"/>
    <cellStyle name="Total 2 5 3 2 2 5" xfId="3790" xr:uid="{97E04D75-AA74-42B3-B92D-4ADF7EE70819}"/>
    <cellStyle name="Total 2 5 3 2 2 6" xfId="6753" xr:uid="{36BB612E-AA06-4BAD-9F90-62C41A963180}"/>
    <cellStyle name="Total 2 5 3 2 2 7" xfId="2730" xr:uid="{CE5DA509-7A72-42D0-995E-A3C9910DBDC3}"/>
    <cellStyle name="Total 2 5 3 2 3" xfId="1171" xr:uid="{5BDB3632-F727-4D91-9314-043492111CF2}"/>
    <cellStyle name="Total 2 5 3 2 3 2" xfId="1976" xr:uid="{479FED7B-C2E2-4F7E-AE90-AC237C7ECE27}"/>
    <cellStyle name="Total 2 5 3 2 3 2 2" xfId="7747" xr:uid="{81B2932B-D662-40B2-AF4A-89E31672A780}"/>
    <cellStyle name="Total 2 5 3 2 3 2 3" xfId="10413" xr:uid="{1618787F-884F-48DA-AB77-C0C039216A8F}"/>
    <cellStyle name="Total 2 5 3 2 3 2 4" xfId="4773" xr:uid="{A8D31C0B-BA09-43B3-9189-6926D6BEB434}"/>
    <cellStyle name="Total 2 5 3 2 3 3" xfId="5513" xr:uid="{A38E63D8-FC6D-43DE-9D8F-2348AD3BC76C}"/>
    <cellStyle name="Total 2 5 3 2 3 3 2" xfId="8487" xr:uid="{CA477DFD-8DE3-4CA2-AE38-528009966D9C}"/>
    <cellStyle name="Total 2 5 3 2 3 4" xfId="6278" xr:uid="{47A03167-AB30-49DF-9F00-71D86874A61F}"/>
    <cellStyle name="Total 2 5 3 2 3 4 2" xfId="9252" xr:uid="{4AEBDF7C-2759-44CC-8345-0C40BDD091F9}"/>
    <cellStyle name="Total 2 5 3 2 3 5" xfId="6951" xr:uid="{4C346DE9-B619-4E28-8C9C-C42DAC838E6B}"/>
    <cellStyle name="Total 2 5 3 2 3 6" xfId="2928" xr:uid="{6C4A3424-504C-4F49-B4D9-FE17A7A31ECC}"/>
    <cellStyle name="Total 2 5 3 2 4" xfId="1300" xr:uid="{38280AA0-A6E1-4ED8-BE8B-7A3A7641D6D3}"/>
    <cellStyle name="Total 2 5 3 2 4 2" xfId="7071" xr:uid="{8DA977B6-AE5F-4BB0-9FEF-BC00DBC5A46F}"/>
    <cellStyle name="Total 2 5 3 2 4 3" xfId="9737" xr:uid="{49A8CCA8-2F16-4147-B21C-344F5556915E}"/>
    <cellStyle name="Total 2 5 3 2 4 4" xfId="4097" xr:uid="{B135F40B-4781-4C69-9E4A-C7D7746536C2}"/>
    <cellStyle name="Total 2 5 3 2 5" xfId="4837" xr:uid="{86B1F9FE-D6FA-4460-B2DF-0B01C392B658}"/>
    <cellStyle name="Total 2 5 3 2 5 2" xfId="7811" xr:uid="{004BE6FF-484B-42A7-8B3B-B99AC807832F}"/>
    <cellStyle name="Total 2 5 3 2 6" xfId="5602" xr:uid="{D70A5521-6EFB-44E0-B235-F4A24D78B643}"/>
    <cellStyle name="Total 2 5 3 2 6 2" xfId="8576" xr:uid="{614ED340-3CE3-4A2E-959F-A69FB6E797B4}"/>
    <cellStyle name="Total 2 5 3 2 7" xfId="3062" xr:uid="{1264B6BE-465E-48F6-975D-DFBD8FEEBEBA}"/>
    <cellStyle name="Total 2 5 3 2 8" xfId="2252" xr:uid="{F5E56460-181C-4A11-BA01-745BC9DE1696}"/>
    <cellStyle name="Total 2 5 3 3" xfId="762" xr:uid="{01E01EE6-26A4-44E5-990A-04F95143CB30}"/>
    <cellStyle name="Total 2 5 3 3 2" xfId="1567" xr:uid="{C61D2B83-D862-4E8E-883B-D46C8B4C26D8}"/>
    <cellStyle name="Total 2 5 3 3 2 2" xfId="7338" xr:uid="{C99B0E3B-2E9F-4F84-B563-329F98EA043D}"/>
    <cellStyle name="Total 2 5 3 3 2 3" xfId="10004" xr:uid="{A084575E-5C06-4738-A476-436B034DDA98}"/>
    <cellStyle name="Total 2 5 3 3 2 4" xfId="4364" xr:uid="{371E85CC-42C5-441C-9822-DCF44FA4CA69}"/>
    <cellStyle name="Total 2 5 3 3 3" xfId="5104" xr:uid="{10FA8906-005A-40D4-BC03-AFE14473C044}"/>
    <cellStyle name="Total 2 5 3 3 3 2" xfId="8078" xr:uid="{DCBE7567-EB5F-4722-AFF0-2496EB5E7F8B}"/>
    <cellStyle name="Total 2 5 3 3 4" xfId="5869" xr:uid="{DEC734A1-25A4-4B84-9180-2708A01A971C}"/>
    <cellStyle name="Total 2 5 3 3 4 2" xfId="8843" xr:uid="{AA0B5B3A-49E5-4FE5-91F0-C93EC1ED15DF}"/>
    <cellStyle name="Total 2 5 3 3 5" xfId="3597" xr:uid="{85943BFB-CB23-48EC-A881-BCD4C6CBB8B6}"/>
    <cellStyle name="Total 2 5 3 3 6" xfId="6542" xr:uid="{998B793D-6A91-42FF-8239-0DF2E0F7978A}"/>
    <cellStyle name="Total 2 5 3 3 7" xfId="2519" xr:uid="{511A3852-B798-4F07-AD69-DABC42A859F9}"/>
    <cellStyle name="Total 2 5 3 4" xfId="1117" xr:uid="{2A65FC39-F352-4B14-9FBF-23E817C87689}"/>
    <cellStyle name="Total 2 5 3 4 2" xfId="1922" xr:uid="{1F20ACA6-83F5-4E89-907E-7C0AC905FD2E}"/>
    <cellStyle name="Total 2 5 3 4 2 2" xfId="7693" xr:uid="{3A7E4B6E-CE9C-4DA8-8E85-90A8A973FE6A}"/>
    <cellStyle name="Total 2 5 3 4 2 3" xfId="10359" xr:uid="{1405E073-9086-49CC-B317-1C3B3E30FA6E}"/>
    <cellStyle name="Total 2 5 3 4 2 4" xfId="4719" xr:uid="{C774315A-1D86-41E1-B9CE-319904EE186B}"/>
    <cellStyle name="Total 2 5 3 4 3" xfId="5459" xr:uid="{37C9C285-1C53-42D9-8C43-9CAD2E419823}"/>
    <cellStyle name="Total 2 5 3 4 3 2" xfId="8433" xr:uid="{8A6FABD2-2C26-4D69-AC08-AEC77D750A22}"/>
    <cellStyle name="Total 2 5 3 4 4" xfId="6224" xr:uid="{F7C65BAB-BBF2-4761-9CD7-60EABCCF0F98}"/>
    <cellStyle name="Total 2 5 3 4 4 2" xfId="9198" xr:uid="{155D85CE-3DA0-4D76-8087-566EF1048D37}"/>
    <cellStyle name="Total 2 5 3 4 5" xfId="6897" xr:uid="{23DEC08E-7AD9-44DE-9281-3E224A423E94}"/>
    <cellStyle name="Total 2 5 3 4 6" xfId="2874" xr:uid="{6557E6BA-9D6A-4EFD-964E-E973B402F679}"/>
    <cellStyle name="Total 2 5 3 5" xfId="3329" xr:uid="{9EB67193-660D-45FD-8BD8-830D2D6DC606}"/>
    <cellStyle name="Total 2 5 3 6" xfId="2087" xr:uid="{CACB633C-6951-4EAF-B2AB-18EBBF6E0816}"/>
    <cellStyle name="Total 2 5 4" xfId="446" xr:uid="{EF90E73E-1EAB-428A-80D2-6545E0775603}"/>
    <cellStyle name="Total 2 5 4 2" xfId="925" xr:uid="{BEFE5A7A-822C-4EA7-BA89-842740E78881}"/>
    <cellStyle name="Total 2 5 4 2 2" xfId="1730" xr:uid="{72869C51-4A6D-4B22-8172-40678813907D}"/>
    <cellStyle name="Total 2 5 4 2 2 2" xfId="7501" xr:uid="{55983536-620E-436F-B6D9-F22284AE8DAE}"/>
    <cellStyle name="Total 2 5 4 2 2 3" xfId="10167" xr:uid="{9E73B016-955F-47A2-BDE0-897D15312CA3}"/>
    <cellStyle name="Total 2 5 4 2 2 4" xfId="4527" xr:uid="{A39F5C71-EDB4-49DC-97FD-9B30150B069D}"/>
    <cellStyle name="Total 2 5 4 2 3" xfId="5267" xr:uid="{A15AD3F3-B388-434B-8C9E-06F60EE46731}"/>
    <cellStyle name="Total 2 5 4 2 3 2" xfId="8241" xr:uid="{56048C8E-0A95-45BE-9E52-55D8F294D341}"/>
    <cellStyle name="Total 2 5 4 2 4" xfId="6032" xr:uid="{5C866A3E-C676-46B0-BC3B-A043553D7FF8}"/>
    <cellStyle name="Total 2 5 4 2 4 2" xfId="9006" xr:uid="{798BE35F-B903-4DD9-993E-10C177A0718B}"/>
    <cellStyle name="Total 2 5 4 2 5" xfId="3742" xr:uid="{D536168B-07DF-4968-910C-10399A10F766}"/>
    <cellStyle name="Total 2 5 4 2 6" xfId="6705" xr:uid="{24ED8EED-1FB9-488F-8C02-5C2E721411C8}"/>
    <cellStyle name="Total 2 5 4 2 7" xfId="2682" xr:uid="{2DD56F7E-9311-4D95-B3BD-08393AE5F5A5}"/>
    <cellStyle name="Total 2 5 4 3" xfId="886" xr:uid="{97059A23-35FE-443F-9E76-25D140188FE3}"/>
    <cellStyle name="Total 2 5 4 3 2" xfId="1691" xr:uid="{C8F46227-1426-48E0-B8CF-F90238780457}"/>
    <cellStyle name="Total 2 5 4 3 2 2" xfId="7462" xr:uid="{C02F52CB-98C1-436B-A88C-17CC165B4D62}"/>
    <cellStyle name="Total 2 5 4 3 2 3" xfId="10128" xr:uid="{D547E7E4-D495-443D-8CA1-F801B5B9E3B3}"/>
    <cellStyle name="Total 2 5 4 3 2 4" xfId="4488" xr:uid="{92078545-DD22-4810-AE89-088AF7397456}"/>
    <cellStyle name="Total 2 5 4 3 3" xfId="5228" xr:uid="{BDD90251-8A01-473C-8DED-17BED6267994}"/>
    <cellStyle name="Total 2 5 4 3 3 2" xfId="8202" xr:uid="{363EE368-D0AF-4BA4-B17D-6DB2388FFABD}"/>
    <cellStyle name="Total 2 5 4 3 4" xfId="5993" xr:uid="{E8F41B18-7ACA-409F-87D3-8C509B1D0CFF}"/>
    <cellStyle name="Total 2 5 4 3 4 2" xfId="8967" xr:uid="{A0BE66A2-0855-4186-8CF3-614D21DAEFCF}"/>
    <cellStyle name="Total 2 5 4 3 5" xfId="6666" xr:uid="{2903CABF-6CB3-4BCD-A7BA-FCD1C2CB61FC}"/>
    <cellStyle name="Total 2 5 4 3 6" xfId="2643" xr:uid="{724CCA3C-4F8E-4B0D-93A8-C78D0CAB4CC9}"/>
    <cellStyle name="Total 2 5 4 4" xfId="1252" xr:uid="{8347179D-7F79-4DD7-951B-E0BBE04A92EA}"/>
    <cellStyle name="Total 2 5 4 4 2" xfId="7023" xr:uid="{948A25FA-D809-4CFF-AEE3-BB1D71647F95}"/>
    <cellStyle name="Total 2 5 4 4 3" xfId="9689" xr:uid="{5D9CE96F-8E36-442C-A041-1DE0AF1BDB70}"/>
    <cellStyle name="Total 2 5 4 4 4" xfId="4049" xr:uid="{E7E9F5DC-E266-482A-BDBD-567EEDCB480F}"/>
    <cellStyle name="Total 2 5 4 5" xfId="3290" xr:uid="{0FA39A4C-391B-49F5-8A4B-EF56B5079FA7}"/>
    <cellStyle name="Total 2 5 4 5 2" xfId="3103" xr:uid="{D22955AA-02F8-4EE6-BE0A-6D3995E24C74}"/>
    <cellStyle name="Total 2 5 4 6" xfId="5554" xr:uid="{B671EF30-4410-4670-9CA4-64C645D3A532}"/>
    <cellStyle name="Total 2 5 4 6 2" xfId="8528" xr:uid="{67FD3B1C-9E2F-4BAB-BD97-89E6AD255548}"/>
    <cellStyle name="Total 2 5 4 7" xfId="3303" xr:uid="{DD8F8696-D0AC-4254-B9AF-84196BFF5590}"/>
    <cellStyle name="Total 2 5 4 8" xfId="2204" xr:uid="{018A1E41-12BA-43E2-AA16-6F42A83D0CA1}"/>
    <cellStyle name="Total 2 5 5" xfId="714" xr:uid="{3A1EC241-0282-473B-BCAA-CF8073170BAE}"/>
    <cellStyle name="Total 2 5 5 2" xfId="1519" xr:uid="{926352CF-76CB-4F3E-93C5-FC1B8DAB23B5}"/>
    <cellStyle name="Total 2 5 5 2 2" xfId="7290" xr:uid="{099AB3F6-C5AE-4DD6-AEC4-82B22D39EA7B}"/>
    <cellStyle name="Total 2 5 5 2 3" xfId="9956" xr:uid="{06442EE8-B23E-4370-8637-4CD0F970366B}"/>
    <cellStyle name="Total 2 5 5 2 4" xfId="4316" xr:uid="{AC7B942D-2FDE-4E25-9D96-DD8A3C1BDCAB}"/>
    <cellStyle name="Total 2 5 5 3" xfId="5056" xr:uid="{54DDB22F-B571-4CCA-B595-86233A93287C}"/>
    <cellStyle name="Total 2 5 5 3 2" xfId="8030" xr:uid="{F056541C-AD75-4C55-AFA2-755537ABADF8}"/>
    <cellStyle name="Total 2 5 5 4" xfId="5821" xr:uid="{CE15FAC7-B00A-4595-BE4F-8DEB5B7AF2F4}"/>
    <cellStyle name="Total 2 5 5 4 2" xfId="8795" xr:uid="{901F3803-855A-4DE0-8475-C6971984004A}"/>
    <cellStyle name="Total 2 5 5 5" xfId="3549" xr:uid="{62F9CF6E-CDB4-4090-9BC6-64BF3E016F5E}"/>
    <cellStyle name="Total 2 5 5 6" xfId="6494" xr:uid="{3CD6EFA3-1A22-4778-9F6C-01834E032247}"/>
    <cellStyle name="Total 2 5 5 7" xfId="2471" xr:uid="{BD183F18-0AB6-401E-A526-7A1D2CC2DA3F}"/>
    <cellStyle name="Total 2 5 6" xfId="629" xr:uid="{64B45CAC-9622-42B4-AAE7-42A20403AC93}"/>
    <cellStyle name="Total 2 5 6 2" xfId="1434" xr:uid="{40C01E2C-AD1B-467E-8593-AFC94DEA8ADB}"/>
    <cellStyle name="Total 2 5 6 2 2" xfId="7205" xr:uid="{C66C34F8-157D-40F6-A4F4-4C533DA872C9}"/>
    <cellStyle name="Total 2 5 6 2 3" xfId="9871" xr:uid="{0D810252-27B8-4FCC-88BE-425EBE363B1F}"/>
    <cellStyle name="Total 2 5 6 2 4" xfId="4231" xr:uid="{D88470F5-FF7E-4849-B591-CC7B5308BB6B}"/>
    <cellStyle name="Total 2 5 6 3" xfId="4971" xr:uid="{A8A6CE8B-4C15-4943-8943-BB90E315C372}"/>
    <cellStyle name="Total 2 5 6 3 2" xfId="7945" xr:uid="{CAB8B977-7E6B-4C89-A645-4B48287ADBE4}"/>
    <cellStyle name="Total 2 5 6 4" xfId="5736" xr:uid="{A02187C0-FFA8-4209-BD25-05D527F276FA}"/>
    <cellStyle name="Total 2 5 6 4 2" xfId="8710" xr:uid="{5619CA66-A343-4A97-BA9B-A0BE60A66F10}"/>
    <cellStyle name="Total 2 5 6 5" xfId="6409" xr:uid="{6BFAB5BE-3997-4B2B-8693-4EF1253C9BCC}"/>
    <cellStyle name="Total 2 5 6 6" xfId="2386" xr:uid="{7B3BC399-363E-439B-B274-048FAEBE79E8}"/>
    <cellStyle name="Total 2 5 7" xfId="3390" xr:uid="{693802D2-6D9C-4F99-8509-824BC48DC469}"/>
    <cellStyle name="Total 2 5 8" xfId="2037" xr:uid="{0B41E4C0-9EBD-4AA2-933A-CA4D798889E8}"/>
    <cellStyle name="Total 2 6" xfId="228" xr:uid="{DB7F1AEF-2F2E-4A65-9B17-E1E2594F0B9D}"/>
    <cellStyle name="Total 2 6 2" xfId="332" xr:uid="{CC43E903-601C-4F3C-AB48-9C568F0E69E5}"/>
    <cellStyle name="Total 2 6 2 2" xfId="554" xr:uid="{F4FED72B-D503-4A9C-9844-8070EDB31532}"/>
    <cellStyle name="Total 2 6 2 2 2" xfId="1033" xr:uid="{21D095F8-55E8-4BD8-BDD8-D37B0CA53A35}"/>
    <cellStyle name="Total 2 6 2 2 2 2" xfId="1838" xr:uid="{A9E4BDBB-B22F-47CD-B1C6-6B8BBDA52148}"/>
    <cellStyle name="Total 2 6 2 2 2 2 2" xfId="7609" xr:uid="{09EB2580-030F-448E-AE30-5DC2BD2D9019}"/>
    <cellStyle name="Total 2 6 2 2 2 2 3" xfId="10275" xr:uid="{068269B4-C39B-4C0E-8E9A-A4258C186AFB}"/>
    <cellStyle name="Total 2 6 2 2 2 2 4" xfId="4635" xr:uid="{45A9A1C3-33F8-4499-9A5E-4BA8D4796E16}"/>
    <cellStyle name="Total 2 6 2 2 2 3" xfId="5375" xr:uid="{171953CF-311F-49C9-872B-E0DE12FAC6DF}"/>
    <cellStyle name="Total 2 6 2 2 2 3 2" xfId="8349" xr:uid="{C5B0C1F1-18F5-483E-9114-47DC2E804DD1}"/>
    <cellStyle name="Total 2 6 2 2 2 4" xfId="6140" xr:uid="{CCD21727-56BF-413A-9304-58AE584CBE0E}"/>
    <cellStyle name="Total 2 6 2 2 2 4 2" xfId="9114" xr:uid="{3208EAF2-9BB0-48B1-829D-92F25ED53EB1}"/>
    <cellStyle name="Total 2 6 2 2 2 5" xfId="3850" xr:uid="{ABC0D240-F39C-4B24-AB56-7BE53F59E4C6}"/>
    <cellStyle name="Total 2 6 2 2 2 6" xfId="6813" xr:uid="{8DE4A4BD-5F24-4B25-A9E3-92FBC38167C5}"/>
    <cellStyle name="Total 2 6 2 2 2 7" xfId="2790" xr:uid="{3F26181F-9469-4562-AC56-CE5819835E40}"/>
    <cellStyle name="Total 2 6 2 2 3" xfId="857" xr:uid="{BB2697A6-1B7D-4BC1-9288-42F9535500A1}"/>
    <cellStyle name="Total 2 6 2 2 3 2" xfId="1662" xr:uid="{9B75B16C-593A-4275-9B85-79454C9850A0}"/>
    <cellStyle name="Total 2 6 2 2 3 2 2" xfId="7433" xr:uid="{56640783-6FB0-4922-AA7E-0E49AEE79697}"/>
    <cellStyle name="Total 2 6 2 2 3 2 3" xfId="10099" xr:uid="{1A0A61FE-2F52-41E0-A4CA-FB0C250C20CB}"/>
    <cellStyle name="Total 2 6 2 2 3 2 4" xfId="4459" xr:uid="{3CE635B9-B414-4C4D-9C78-2C2B581A4B00}"/>
    <cellStyle name="Total 2 6 2 2 3 3" xfId="5199" xr:uid="{230BAC4A-3A1C-4AD3-BF4F-7FAE32FE2A71}"/>
    <cellStyle name="Total 2 6 2 2 3 3 2" xfId="8173" xr:uid="{F635BF8A-49CB-4F6A-9551-F6563213CB43}"/>
    <cellStyle name="Total 2 6 2 2 3 4" xfId="5964" xr:uid="{F22963F1-85EE-44E6-B1DD-066B30316D8A}"/>
    <cellStyle name="Total 2 6 2 2 3 4 2" xfId="8938" xr:uid="{58C000BA-8306-4ADE-BEB5-66AE08DD2AE0}"/>
    <cellStyle name="Total 2 6 2 2 3 5" xfId="6637" xr:uid="{0A6CFAFE-ECB3-49C7-B2D0-244C4F308F36}"/>
    <cellStyle name="Total 2 6 2 2 3 6" xfId="2614" xr:uid="{F3157474-DA51-4C5B-9D80-F446872132CC}"/>
    <cellStyle name="Total 2 6 2 2 4" xfId="1360" xr:uid="{2AC92832-06EF-45AB-8350-D46BA02F9907}"/>
    <cellStyle name="Total 2 6 2 2 4 2" xfId="7131" xr:uid="{FBA4115F-3DD3-4918-91CF-2900552331E6}"/>
    <cellStyle name="Total 2 6 2 2 4 3" xfId="9797" xr:uid="{681C8570-242D-4702-986B-9319E1AB15B7}"/>
    <cellStyle name="Total 2 6 2 2 4 4" xfId="4157" xr:uid="{B10ED8AD-FA54-4E39-AA55-DE4B348448B3}"/>
    <cellStyle name="Total 2 6 2 2 5" xfId="4897" xr:uid="{DDA0822F-0B31-4869-84F5-20D354BBD4AC}"/>
    <cellStyle name="Total 2 6 2 2 5 2" xfId="7871" xr:uid="{48CE2378-594A-4B2A-A3E1-137B27000AEB}"/>
    <cellStyle name="Total 2 6 2 2 6" xfId="5662" xr:uid="{F58FFB15-785E-4B19-B7CC-A89B04D0C847}"/>
    <cellStyle name="Total 2 6 2 2 6 2" xfId="8636" xr:uid="{7AE996D5-4318-440B-9EB3-7DF6C477B646}"/>
    <cellStyle name="Total 2 6 2 2 7" xfId="6335" xr:uid="{B1315DC2-4E1F-4830-A219-B36B139B0F52}"/>
    <cellStyle name="Total 2 6 2 2 8" xfId="2312" xr:uid="{9E972CB2-61F3-4D3C-AB53-067E98284415}"/>
    <cellStyle name="Total 2 6 2 3" xfId="823" xr:uid="{32C6874D-490C-4A09-9B28-4930CEA150C0}"/>
    <cellStyle name="Total 2 6 2 3 2" xfId="1628" xr:uid="{6F0B35AE-2852-4F7C-A8B2-74069FFB919E}"/>
    <cellStyle name="Total 2 6 2 3 2 2" xfId="7399" xr:uid="{345B7DDD-9CBC-4840-94E1-6E4B106443E8}"/>
    <cellStyle name="Total 2 6 2 3 2 3" xfId="10065" xr:uid="{02B0A5D1-EE79-437D-998A-8ACB88F4F732}"/>
    <cellStyle name="Total 2 6 2 3 2 4" xfId="4425" xr:uid="{0513AD3C-3913-4438-9492-B6D993A8E3A9}"/>
    <cellStyle name="Total 2 6 2 3 3" xfId="5165" xr:uid="{50092D2D-8EA7-4ECE-B80E-1EFEA03837EA}"/>
    <cellStyle name="Total 2 6 2 3 3 2" xfId="8139" xr:uid="{59537797-495F-4F20-AE49-B307F7D758E3}"/>
    <cellStyle name="Total 2 6 2 3 4" xfId="5930" xr:uid="{DF432DA0-30D1-4D43-9678-C14FC7CA1EC0}"/>
    <cellStyle name="Total 2 6 2 3 4 2" xfId="8904" xr:uid="{9466EEAF-EC0F-4B87-9430-C97B79AC86C5}"/>
    <cellStyle name="Total 2 6 2 3 5" xfId="3657" xr:uid="{8E833A63-BC90-4183-967B-AAB6C2CD8780}"/>
    <cellStyle name="Total 2 6 2 3 6" xfId="6603" xr:uid="{92B0186F-FF1A-4E04-BA8B-74FB585A3846}"/>
    <cellStyle name="Total 2 6 2 3 7" xfId="2580" xr:uid="{35727F0C-C9FC-49D6-8B9A-E9FF856598F3}"/>
    <cellStyle name="Total 2 6 2 4" xfId="648" xr:uid="{7741EA70-60F3-48B1-A648-80AB742F6B03}"/>
    <cellStyle name="Total 2 6 2 4 2" xfId="1453" xr:uid="{D944E022-F6D1-4F8B-8A6A-2F2C0A411389}"/>
    <cellStyle name="Total 2 6 2 4 2 2" xfId="7224" xr:uid="{1B5A3223-4246-4E63-A9D7-FA9657B77890}"/>
    <cellStyle name="Total 2 6 2 4 2 3" xfId="9890" xr:uid="{4DF7F01A-A398-4AFE-A489-218C799D139C}"/>
    <cellStyle name="Total 2 6 2 4 2 4" xfId="4250" xr:uid="{3F9256E9-B22A-4604-9391-6E1159A8A8E9}"/>
    <cellStyle name="Total 2 6 2 4 3" xfId="4990" xr:uid="{949FD2A5-8DEE-4B0A-812E-0A02C8B6B69C}"/>
    <cellStyle name="Total 2 6 2 4 3 2" xfId="7964" xr:uid="{A626EDC1-0E2E-490A-8244-712FA318FC04}"/>
    <cellStyle name="Total 2 6 2 4 4" xfId="5755" xr:uid="{DE26519C-A0BA-46CC-9AA0-95A773755A2C}"/>
    <cellStyle name="Total 2 6 2 4 4 2" xfId="8729" xr:uid="{8289D14E-7EE3-47F0-B07E-D7DD6B0565E5}"/>
    <cellStyle name="Total 2 6 2 4 5" xfId="6428" xr:uid="{C620E17B-D032-4260-A30A-8735D56CDD35}"/>
    <cellStyle name="Total 2 6 2 4 6" xfId="2405" xr:uid="{EA7DAC72-7378-4F5C-98A6-DC77A7C355F5}"/>
    <cellStyle name="Total 2 6 2 5" xfId="2997" xr:uid="{1C9D1C03-6474-4E98-9E7C-5BC825E1DA98}"/>
    <cellStyle name="Total 2 6 2 6" xfId="2150" xr:uid="{ADFF6138-8D8A-481D-8088-79A84E2B7BB2}"/>
    <cellStyle name="Total 2 6 3" xfId="276" xr:uid="{6B2AE285-7185-4768-8071-844872CBC0E1}"/>
    <cellStyle name="Total 2 6 3 2" xfId="500" xr:uid="{3A522C7D-4165-4312-98C9-CA07427D9E41}"/>
    <cellStyle name="Total 2 6 3 2 2" xfId="979" xr:uid="{59DFA204-81F6-477B-9568-551F3F4487E4}"/>
    <cellStyle name="Total 2 6 3 2 2 2" xfId="1784" xr:uid="{2251C214-222D-4B49-AA3D-D47FB3CEC7F2}"/>
    <cellStyle name="Total 2 6 3 2 2 2 2" xfId="7555" xr:uid="{7C81BCC8-5D8A-40FA-8A61-31B4F552AE8B}"/>
    <cellStyle name="Total 2 6 3 2 2 2 3" xfId="10221" xr:uid="{0F8349E6-5B0F-4FB4-A01A-751A1168270A}"/>
    <cellStyle name="Total 2 6 3 2 2 2 4" xfId="4581" xr:uid="{20A3969A-5782-4912-BDAA-E0FFEF32B71B}"/>
    <cellStyle name="Total 2 6 3 2 2 3" xfId="5321" xr:uid="{5BFA8A8E-B521-42D6-8E8B-D0DCEDD80B81}"/>
    <cellStyle name="Total 2 6 3 2 2 3 2" xfId="8295" xr:uid="{99B0A10B-14C2-45C6-AC90-3276614DCA25}"/>
    <cellStyle name="Total 2 6 3 2 2 4" xfId="6086" xr:uid="{24766EE0-724E-48BE-9BBC-A9606BFA2747}"/>
    <cellStyle name="Total 2 6 3 2 2 4 2" xfId="9060" xr:uid="{3848B429-3761-4716-B515-990809B4600B}"/>
    <cellStyle name="Total 2 6 3 2 2 5" xfId="3796" xr:uid="{40B3B400-527E-41C1-A7E3-B8AC59394950}"/>
    <cellStyle name="Total 2 6 3 2 2 6" xfId="6759" xr:uid="{296B028A-D1C1-437D-8D5C-9A3D6281215A}"/>
    <cellStyle name="Total 2 6 3 2 2 7" xfId="2736" xr:uid="{659647E6-4633-4BB9-9D70-B7F1ED33D9D7}"/>
    <cellStyle name="Total 2 6 3 2 3" xfId="1170" xr:uid="{14FA21A8-7C76-4DAE-803B-086C168752DE}"/>
    <cellStyle name="Total 2 6 3 2 3 2" xfId="1975" xr:uid="{0449FCC2-8C1A-41B3-A86C-D970DA36172B}"/>
    <cellStyle name="Total 2 6 3 2 3 2 2" xfId="7746" xr:uid="{0FD07899-2770-4A60-BF11-1085A987760D}"/>
    <cellStyle name="Total 2 6 3 2 3 2 3" xfId="10412" xr:uid="{36D2E366-12D6-4018-95CC-5876E22D2C86}"/>
    <cellStyle name="Total 2 6 3 2 3 2 4" xfId="4772" xr:uid="{A1AB3BD4-4B4C-4A71-A239-8639444D408E}"/>
    <cellStyle name="Total 2 6 3 2 3 3" xfId="5512" xr:uid="{027AC565-3E14-4E4B-85C6-4CC4FF8C2B7E}"/>
    <cellStyle name="Total 2 6 3 2 3 3 2" xfId="8486" xr:uid="{1381CCB7-D6A4-4851-AD3C-0C36A4DC0F9B}"/>
    <cellStyle name="Total 2 6 3 2 3 4" xfId="6277" xr:uid="{E07B052E-2BA0-48C5-803F-550D8A569C69}"/>
    <cellStyle name="Total 2 6 3 2 3 4 2" xfId="9251" xr:uid="{8DB463A6-4672-4FC5-B679-4621179EC0C1}"/>
    <cellStyle name="Total 2 6 3 2 3 5" xfId="6950" xr:uid="{26747BF1-F96A-4324-8135-A8C220584570}"/>
    <cellStyle name="Total 2 6 3 2 3 6" xfId="2927" xr:uid="{5D765F9D-A9B5-470C-AD3B-9732EF215FFE}"/>
    <cellStyle name="Total 2 6 3 2 4" xfId="1306" xr:uid="{8FB4599C-5082-4709-AC6A-C978D4E13EDB}"/>
    <cellStyle name="Total 2 6 3 2 4 2" xfId="7077" xr:uid="{3F6D7535-1FB5-41EC-8BC5-242C7DC6DAFF}"/>
    <cellStyle name="Total 2 6 3 2 4 3" xfId="9743" xr:uid="{404C1895-569E-4BA5-A3C5-884DF2B280A9}"/>
    <cellStyle name="Total 2 6 3 2 4 4" xfId="4103" xr:uid="{7105BDAB-B2EF-43E4-821E-E0EA8F03BA3F}"/>
    <cellStyle name="Total 2 6 3 2 5" xfId="4843" xr:uid="{DEE82E5A-3757-407D-8FC1-DB130CA34CAD}"/>
    <cellStyle name="Total 2 6 3 2 5 2" xfId="7817" xr:uid="{F6AEED71-9184-4156-B424-29863D3A69C8}"/>
    <cellStyle name="Total 2 6 3 2 6" xfId="5608" xr:uid="{BFC37A4A-1DEF-4056-9CEB-0456E631E774}"/>
    <cellStyle name="Total 2 6 3 2 6 2" xfId="8582" xr:uid="{48D146E3-A131-4335-8CD3-9A0FC9E38162}"/>
    <cellStyle name="Total 2 6 3 2 7" xfId="3057" xr:uid="{53F13828-45B0-42FE-888A-22DE3E2BC95D}"/>
    <cellStyle name="Total 2 6 3 2 8" xfId="2258" xr:uid="{BEA6E283-99BE-423D-8B61-2BCBEB02EF72}"/>
    <cellStyle name="Total 2 6 3 3" xfId="768" xr:uid="{6072A147-501C-47A1-A637-55C669BEE98D}"/>
    <cellStyle name="Total 2 6 3 3 2" xfId="1573" xr:uid="{1DB869D8-974A-49FE-BD03-41D99F476B31}"/>
    <cellStyle name="Total 2 6 3 3 2 2" xfId="7344" xr:uid="{CAF20EDD-AB43-458F-9124-E5304FA49B8A}"/>
    <cellStyle name="Total 2 6 3 3 2 3" xfId="10010" xr:uid="{98D3BC9F-4EC7-40AB-83AE-33021E34C7D4}"/>
    <cellStyle name="Total 2 6 3 3 2 4" xfId="4370" xr:uid="{3EA219F0-9A40-4989-9A22-B03FD2321C26}"/>
    <cellStyle name="Total 2 6 3 3 3" xfId="5110" xr:uid="{DCF56781-A681-40A7-88FB-47C937767566}"/>
    <cellStyle name="Total 2 6 3 3 3 2" xfId="8084" xr:uid="{231D5949-E43B-4217-8802-8E04CAF03B9E}"/>
    <cellStyle name="Total 2 6 3 3 4" xfId="5875" xr:uid="{6330CB82-B813-40A2-B11A-EB56D1495480}"/>
    <cellStyle name="Total 2 6 3 3 4 2" xfId="8849" xr:uid="{A12E5AA2-7D5A-4986-A95B-4B741E0643DE}"/>
    <cellStyle name="Total 2 6 3 3 5" xfId="3603" xr:uid="{8345810A-D825-4414-A7CC-49DFE906DBC1}"/>
    <cellStyle name="Total 2 6 3 3 6" xfId="6548" xr:uid="{9A69B3DB-2CBA-45CB-9A27-BDBD1FC5CFB5}"/>
    <cellStyle name="Total 2 6 3 3 7" xfId="2525" xr:uid="{B261CBA1-A6EC-4F76-9E2D-3BB9C5A565C4}"/>
    <cellStyle name="Total 2 6 3 4" xfId="602" xr:uid="{4467CCC4-C74A-42F1-BA18-C25814617184}"/>
    <cellStyle name="Total 2 6 3 4 2" xfId="1407" xr:uid="{82C0BCD7-5B3F-4499-BCE1-16D0CFEA9027}"/>
    <cellStyle name="Total 2 6 3 4 2 2" xfId="7178" xr:uid="{21AED3C4-B2B7-4ECC-AFF7-533A7A11F5AA}"/>
    <cellStyle name="Total 2 6 3 4 2 3" xfId="9844" xr:uid="{3A5DD7A0-DEDA-4985-950B-A11666F27667}"/>
    <cellStyle name="Total 2 6 3 4 2 4" xfId="4204" xr:uid="{6C1E6277-9CE9-4F18-8AA8-CFBDF1097105}"/>
    <cellStyle name="Total 2 6 3 4 3" xfId="4944" xr:uid="{A1D4F3BC-4BD4-495A-9D91-9D836FA8BD71}"/>
    <cellStyle name="Total 2 6 3 4 3 2" xfId="7918" xr:uid="{39D841DE-4360-4DD4-9C32-2AD5D325FC98}"/>
    <cellStyle name="Total 2 6 3 4 4" xfId="5709" xr:uid="{F04B1BF6-9369-4F12-9A73-709477678A39}"/>
    <cellStyle name="Total 2 6 3 4 4 2" xfId="8683" xr:uid="{92BC9BAC-67F5-4B27-8E1E-E02ED0532AFB}"/>
    <cellStyle name="Total 2 6 3 4 5" xfId="6382" xr:uid="{DB597ECF-7071-414E-96F1-5A1A6C4117B6}"/>
    <cellStyle name="Total 2 6 3 4 6" xfId="2359" xr:uid="{46549DBA-EB03-4C57-A809-8E8EFBFAD454}"/>
    <cellStyle name="Total 2 6 3 5" xfId="3706" xr:uid="{31D6ED2B-F5ED-4FCD-A485-57501E0C2CB2}"/>
    <cellStyle name="Total 2 6 3 6" xfId="2093" xr:uid="{160FBA30-76F7-4281-BC54-DE7D7F484FE4}"/>
    <cellStyle name="Total 2 6 4" xfId="452" xr:uid="{D79EA9E7-484B-4AEF-9135-80CAE6704264}"/>
    <cellStyle name="Total 2 6 4 2" xfId="931" xr:uid="{AB5B706C-D64D-4EDB-978A-37E596B6973D}"/>
    <cellStyle name="Total 2 6 4 2 2" xfId="1736" xr:uid="{18683795-C9A4-4895-99C5-F307EDB6929C}"/>
    <cellStyle name="Total 2 6 4 2 2 2" xfId="7507" xr:uid="{69DE4A35-EB91-4323-BCA6-B6B11112ACDE}"/>
    <cellStyle name="Total 2 6 4 2 2 3" xfId="10173" xr:uid="{02FBE48F-101A-44E7-B810-C5FF1ACE6108}"/>
    <cellStyle name="Total 2 6 4 2 2 4" xfId="4533" xr:uid="{BFF31518-C3A8-4BCA-A77F-EF8951AC4E2D}"/>
    <cellStyle name="Total 2 6 4 2 3" xfId="5273" xr:uid="{FB5B91DF-3F2D-40E2-8946-7BF0C5F41AE0}"/>
    <cellStyle name="Total 2 6 4 2 3 2" xfId="8247" xr:uid="{D1C618C8-CB0E-4EA2-97DE-BB81D5579E40}"/>
    <cellStyle name="Total 2 6 4 2 4" xfId="6038" xr:uid="{56F50E0B-6BD4-4AF0-A68A-0DE8EF79EC3F}"/>
    <cellStyle name="Total 2 6 4 2 4 2" xfId="9012" xr:uid="{6E0CCEF6-E69A-4640-AE81-108975349069}"/>
    <cellStyle name="Total 2 6 4 2 5" xfId="3748" xr:uid="{49C1929F-4BC8-4A88-BBA9-87D6250ADD53}"/>
    <cellStyle name="Total 2 6 4 2 6" xfId="6711" xr:uid="{8D845748-ECB6-4677-94FF-26565A10FF05}"/>
    <cellStyle name="Total 2 6 4 2 7" xfId="2688" xr:uid="{5699819E-1F1A-4ECC-AAE3-4935A432B82C}"/>
    <cellStyle name="Total 2 6 4 3" xfId="661" xr:uid="{2A3D4410-278D-4BF1-98D4-96CA46B3255B}"/>
    <cellStyle name="Total 2 6 4 3 2" xfId="1466" xr:uid="{DEE2EAB7-11E2-41A2-8927-EA823C866CE6}"/>
    <cellStyle name="Total 2 6 4 3 2 2" xfId="7237" xr:uid="{4E17EB96-820D-4869-AEE2-FB8D29C2B2C2}"/>
    <cellStyle name="Total 2 6 4 3 2 3" xfId="9903" xr:uid="{799E0250-3D85-4EBD-A41B-211D7EC94D9C}"/>
    <cellStyle name="Total 2 6 4 3 2 4" xfId="4263" xr:uid="{427EF757-4158-47EB-B25D-261C2719B6BA}"/>
    <cellStyle name="Total 2 6 4 3 3" xfId="5003" xr:uid="{F3F1CC67-2060-4239-9D37-8EBDB65E2F30}"/>
    <cellStyle name="Total 2 6 4 3 3 2" xfId="7977" xr:uid="{314E7122-1BD6-4AF1-BFF4-716535F9E0EC}"/>
    <cellStyle name="Total 2 6 4 3 4" xfId="5768" xr:uid="{428B0634-3122-4B5D-AA7D-5C999D78F17A}"/>
    <cellStyle name="Total 2 6 4 3 4 2" xfId="8742" xr:uid="{1579E97F-1C59-43B4-ADD8-022E31E900C1}"/>
    <cellStyle name="Total 2 6 4 3 5" xfId="6441" xr:uid="{2ACBE8EF-55A8-4455-ACF4-E0975E932A5A}"/>
    <cellStyle name="Total 2 6 4 3 6" xfId="2418" xr:uid="{3E7E95D6-528B-4F4E-9BE3-8F70E22C00DE}"/>
    <cellStyle name="Total 2 6 4 4" xfId="1258" xr:uid="{87733513-9DE8-48A7-8893-979A5773C9AD}"/>
    <cellStyle name="Total 2 6 4 4 2" xfId="7029" xr:uid="{EB9C13BF-AF24-4172-8C35-CA93256C89ED}"/>
    <cellStyle name="Total 2 6 4 4 3" xfId="9695" xr:uid="{684AEC2F-DCFE-490C-A02B-0CA8E692F063}"/>
    <cellStyle name="Total 2 6 4 4 4" xfId="4055" xr:uid="{2444888C-5449-46DE-BE46-672229EBBF94}"/>
    <cellStyle name="Total 2 6 4 5" xfId="4795" xr:uid="{670C8C92-FC7F-4D8E-B860-51157FF2553C}"/>
    <cellStyle name="Total 2 6 4 5 2" xfId="7769" xr:uid="{1B3FB0A1-964A-4255-9F91-53FE5CACE5DA}"/>
    <cellStyle name="Total 2 6 4 6" xfId="5560" xr:uid="{F9C1CEE5-4D08-40C4-97B9-77F57A2C6727}"/>
    <cellStyle name="Total 2 6 4 6 2" xfId="8534" xr:uid="{2BD1C833-1B1C-4970-AC96-D195F035C27A}"/>
    <cellStyle name="Total 2 6 4 7" xfId="3124" xr:uid="{EDD5F78C-2815-4BC4-BFD8-72508FC69692}"/>
    <cellStyle name="Total 2 6 4 8" xfId="2210" xr:uid="{66BCF364-A0C7-4223-AEFA-72CBD7C31935}"/>
    <cellStyle name="Total 2 6 5" xfId="720" xr:uid="{75238B4F-2013-4354-93C1-99BDE831390A}"/>
    <cellStyle name="Total 2 6 5 2" xfId="1525" xr:uid="{D5F68FD2-CA55-475F-BD14-6A03F5B4E425}"/>
    <cellStyle name="Total 2 6 5 2 2" xfId="7296" xr:uid="{6E36D39A-BFB5-43FF-A53A-D3B385A71B79}"/>
    <cellStyle name="Total 2 6 5 2 3" xfId="9962" xr:uid="{2E1889B4-D8DE-46D6-842D-B1FB30B5FB3E}"/>
    <cellStyle name="Total 2 6 5 2 4" xfId="4322" xr:uid="{7F2B24A8-5B34-4F9E-B12C-5601E7C38DE4}"/>
    <cellStyle name="Total 2 6 5 3" xfId="5062" xr:uid="{C95E5598-7E36-4980-BF64-3BA11305370A}"/>
    <cellStyle name="Total 2 6 5 3 2" xfId="8036" xr:uid="{A0B6591A-0A65-47AD-B31A-78A92138CFC6}"/>
    <cellStyle name="Total 2 6 5 4" xfId="5827" xr:uid="{B010D922-A49C-419B-A05E-6F4D57B9BE9F}"/>
    <cellStyle name="Total 2 6 5 4 2" xfId="8801" xr:uid="{4F07412E-B25B-42D0-8557-FEAC63BEF7EC}"/>
    <cellStyle name="Total 2 6 5 5" xfId="3555" xr:uid="{089DCDF1-1F6C-43A5-9A9D-21BE9C24A6A0}"/>
    <cellStyle name="Total 2 6 5 6" xfId="6500" xr:uid="{39D857E2-AC8D-43D0-8FA3-B636906B751C}"/>
    <cellStyle name="Total 2 6 5 7" xfId="2477" xr:uid="{EAE670BB-6483-4BCC-A45F-DB8E6083263B}"/>
    <cellStyle name="Total 2 6 6" xfId="674" xr:uid="{87A4E1DB-9063-4F66-8588-62BFC8F2BCD7}"/>
    <cellStyle name="Total 2 6 6 2" xfId="1479" xr:uid="{8841F501-320E-47D9-9754-2BA074214EAE}"/>
    <cellStyle name="Total 2 6 6 2 2" xfId="7250" xr:uid="{69ADB8FB-89A2-4AC5-BE9A-CC7682035DAF}"/>
    <cellStyle name="Total 2 6 6 2 3" xfId="9916" xr:uid="{34ED6E89-37F2-4BF3-92D1-663B5400E8AC}"/>
    <cellStyle name="Total 2 6 6 2 4" xfId="4276" xr:uid="{2FBD9770-91FB-439C-82DE-02952AEAB258}"/>
    <cellStyle name="Total 2 6 6 3" xfId="5016" xr:uid="{CAF6B30E-98FC-44CA-B763-0A4FFA990816}"/>
    <cellStyle name="Total 2 6 6 3 2" xfId="7990" xr:uid="{D7BE2D4A-2891-42BA-B195-12138C3E7BC8}"/>
    <cellStyle name="Total 2 6 6 4" xfId="5781" xr:uid="{CFE496AD-7B78-4270-8407-CC211C3CEC54}"/>
    <cellStyle name="Total 2 6 6 4 2" xfId="8755" xr:uid="{7D7C302D-DE5E-40D3-AA30-48D3162B1EB1}"/>
    <cellStyle name="Total 2 6 6 5" xfId="6454" xr:uid="{907E313B-D935-47C2-8A90-A612D52ED106}"/>
    <cellStyle name="Total 2 6 6 6" xfId="2431" xr:uid="{0922754D-AAA1-4904-A004-074849804F50}"/>
    <cellStyle name="Total 2 6 7" xfId="3160" xr:uid="{2F971334-0858-47A6-9C87-D8E93AA2C95B}"/>
    <cellStyle name="Total 2 6 8" xfId="2043" xr:uid="{E4C2F0D8-5281-4403-8D50-48909CAE22B0}"/>
    <cellStyle name="Total 2 7" xfId="234" xr:uid="{5E9094CC-EB0E-4E5B-B546-5C06277DA04D}"/>
    <cellStyle name="Total 2 7 2" xfId="338" xr:uid="{BAF5209A-E608-494A-BE0D-EDEA9A4E7AAB}"/>
    <cellStyle name="Total 2 7 2 2" xfId="560" xr:uid="{8445070C-3043-4B99-958C-2E9F1BFECFC4}"/>
    <cellStyle name="Total 2 7 2 2 2" xfId="1039" xr:uid="{1806FFB9-4266-41B7-AE73-CF46AB4FB5C7}"/>
    <cellStyle name="Total 2 7 2 2 2 2" xfId="1844" xr:uid="{8D90EF1C-366D-4382-A3E9-AF0669EC2689}"/>
    <cellStyle name="Total 2 7 2 2 2 2 2" xfId="7615" xr:uid="{283FBB4F-4F4E-4A45-BE4A-75891AB8AA4A}"/>
    <cellStyle name="Total 2 7 2 2 2 2 3" xfId="10281" xr:uid="{C679BAC1-5058-457F-A812-FA3FF4762FCE}"/>
    <cellStyle name="Total 2 7 2 2 2 2 4" xfId="4641" xr:uid="{1F7F3242-C6D7-4E4E-961C-BFA5413B8F75}"/>
    <cellStyle name="Total 2 7 2 2 2 3" xfId="5381" xr:uid="{DFC46A76-3557-4055-90BE-9C805671A41A}"/>
    <cellStyle name="Total 2 7 2 2 2 3 2" xfId="8355" xr:uid="{FAE0DB3D-5DB6-4633-B36D-E5A89F3482FC}"/>
    <cellStyle name="Total 2 7 2 2 2 4" xfId="6146" xr:uid="{0D6413A8-355E-4900-A9C2-FD8E2767691F}"/>
    <cellStyle name="Total 2 7 2 2 2 4 2" xfId="9120" xr:uid="{D01AABBE-0D87-4B39-BAFD-FA4EB5DD0C85}"/>
    <cellStyle name="Total 2 7 2 2 2 5" xfId="3856" xr:uid="{1C3F782F-9298-4820-8A5C-ECC581C80171}"/>
    <cellStyle name="Total 2 7 2 2 2 6" xfId="6819" xr:uid="{95C37B54-8F1F-4893-A5DB-C6DE042C9F01}"/>
    <cellStyle name="Total 2 7 2 2 2 7" xfId="2796" xr:uid="{0C7ED0B9-514F-4AAF-A284-561BEACC10B8}"/>
    <cellStyle name="Total 2 7 2 2 3" xfId="863" xr:uid="{B5B9954C-7BC7-4788-8060-DED5D38184C2}"/>
    <cellStyle name="Total 2 7 2 2 3 2" xfId="1668" xr:uid="{0D7F2B27-3889-48AF-AE12-5F75BE2BE200}"/>
    <cellStyle name="Total 2 7 2 2 3 2 2" xfId="7439" xr:uid="{A0713AFD-550B-4B9A-8AC3-6FDD5E172E52}"/>
    <cellStyle name="Total 2 7 2 2 3 2 3" xfId="10105" xr:uid="{5A77EB5B-BF0E-4793-95AF-D04A4FE15DAF}"/>
    <cellStyle name="Total 2 7 2 2 3 2 4" xfId="4465" xr:uid="{A72B1BD8-F0C5-458B-93D3-F1BFEAF218AE}"/>
    <cellStyle name="Total 2 7 2 2 3 3" xfId="5205" xr:uid="{A8FBE637-76C7-478A-ADFE-D7275E294D8D}"/>
    <cellStyle name="Total 2 7 2 2 3 3 2" xfId="8179" xr:uid="{6AD2B3AD-9AF5-4152-95CC-01D007CE3183}"/>
    <cellStyle name="Total 2 7 2 2 3 4" xfId="5970" xr:uid="{0DE3DEFA-06B2-4522-A7B3-40D063D8394B}"/>
    <cellStyle name="Total 2 7 2 2 3 4 2" xfId="8944" xr:uid="{ACE91EB7-C309-4CE0-8E72-84B001906094}"/>
    <cellStyle name="Total 2 7 2 2 3 5" xfId="6643" xr:uid="{2D64F52A-AE1F-489A-8E0E-C5DB5200A76B}"/>
    <cellStyle name="Total 2 7 2 2 3 6" xfId="2620" xr:uid="{B746BD87-4F08-484D-8E7B-19EF459FBBF0}"/>
    <cellStyle name="Total 2 7 2 2 4" xfId="1366" xr:uid="{BCE2C3CF-FFE2-4472-B41B-32E4DF68555F}"/>
    <cellStyle name="Total 2 7 2 2 4 2" xfId="7137" xr:uid="{1DB7C37A-7861-4615-85F3-829AE9B4B5CE}"/>
    <cellStyle name="Total 2 7 2 2 4 3" xfId="9803" xr:uid="{C756D2A4-338C-465E-A339-DCA07AC587B2}"/>
    <cellStyle name="Total 2 7 2 2 4 4" xfId="4163" xr:uid="{11AB472A-1F75-4DDB-948C-51D3F5826EFB}"/>
    <cellStyle name="Total 2 7 2 2 5" xfId="4903" xr:uid="{F4B3FA5E-2D1D-4171-9E33-3529B112B77E}"/>
    <cellStyle name="Total 2 7 2 2 5 2" xfId="7877" xr:uid="{04E65061-D4CA-4E2A-A013-527F156D0134}"/>
    <cellStyle name="Total 2 7 2 2 6" xfId="5668" xr:uid="{DF737023-3B04-4F2B-B83C-4E506B1E6CF1}"/>
    <cellStyle name="Total 2 7 2 2 6 2" xfId="8642" xr:uid="{85C331E8-4304-4A3C-84F3-8F0FEF645429}"/>
    <cellStyle name="Total 2 7 2 2 7" xfId="6341" xr:uid="{8DA6250D-0D9D-4FA8-96C2-D61EC030DA2F}"/>
    <cellStyle name="Total 2 7 2 2 8" xfId="2318" xr:uid="{53A4B29E-2646-48E9-811F-9810A8E30EF6}"/>
    <cellStyle name="Total 2 7 2 3" xfId="829" xr:uid="{AC03011B-B192-4DBC-8B1F-0D7B1151C378}"/>
    <cellStyle name="Total 2 7 2 3 2" xfId="1634" xr:uid="{2A514EB5-573B-4270-8B04-F8F93CFE6051}"/>
    <cellStyle name="Total 2 7 2 3 2 2" xfId="7405" xr:uid="{4626AD7E-7EF1-4B40-B90F-012ABE8F2CFA}"/>
    <cellStyle name="Total 2 7 2 3 2 3" xfId="10071" xr:uid="{833C7228-EE61-4357-92A4-6F301073990E}"/>
    <cellStyle name="Total 2 7 2 3 2 4" xfId="4431" xr:uid="{ED9E70D1-88F2-4E7E-8A48-064350E014BB}"/>
    <cellStyle name="Total 2 7 2 3 3" xfId="5171" xr:uid="{07E4A132-B759-4033-84DB-4F69CA628FC6}"/>
    <cellStyle name="Total 2 7 2 3 3 2" xfId="8145" xr:uid="{3861975A-27EF-481A-9885-7CC6F2606247}"/>
    <cellStyle name="Total 2 7 2 3 4" xfId="5936" xr:uid="{F149E27B-C657-4F2E-BD68-E21CC35B07CC}"/>
    <cellStyle name="Total 2 7 2 3 4 2" xfId="8910" xr:uid="{B1F0A8DE-BF0A-4B88-9B00-8BFF6E523313}"/>
    <cellStyle name="Total 2 7 2 3 5" xfId="3663" xr:uid="{7A900100-AABB-4984-9AC4-986A1610A68F}"/>
    <cellStyle name="Total 2 7 2 3 6" xfId="6609" xr:uid="{3BE5DDC8-7040-4DF4-BE7E-ED1F66D77F42}"/>
    <cellStyle name="Total 2 7 2 3 7" xfId="2586" xr:uid="{F201502D-6376-40AC-81E5-14A683A9C00B}"/>
    <cellStyle name="Total 2 7 2 4" xfId="1086" xr:uid="{F9A8AEAE-93BF-4532-8135-91D807BB84D0}"/>
    <cellStyle name="Total 2 7 2 4 2" xfId="1891" xr:uid="{8432BEFE-E3D8-4BEF-AB69-4F7E661DECD8}"/>
    <cellStyle name="Total 2 7 2 4 2 2" xfId="7662" xr:uid="{AACA602E-EAA8-4628-83C7-7EC0B51CFBFC}"/>
    <cellStyle name="Total 2 7 2 4 2 3" xfId="10328" xr:uid="{FA1764E8-9245-4492-9AD0-2523368EDF8A}"/>
    <cellStyle name="Total 2 7 2 4 2 4" xfId="4688" xr:uid="{48133D6D-05A0-4244-8FBD-DED1890A4A08}"/>
    <cellStyle name="Total 2 7 2 4 3" xfId="5428" xr:uid="{B535258D-BCDD-49E4-880C-F43658C34342}"/>
    <cellStyle name="Total 2 7 2 4 3 2" xfId="8402" xr:uid="{1396228B-6089-4418-B8A7-652C01D33258}"/>
    <cellStyle name="Total 2 7 2 4 4" xfId="6193" xr:uid="{D4F8C910-A6CB-4B45-874F-770CC21686EE}"/>
    <cellStyle name="Total 2 7 2 4 4 2" xfId="9167" xr:uid="{942664E8-83BD-4DFB-A528-45959E4E2551}"/>
    <cellStyle name="Total 2 7 2 4 5" xfId="6866" xr:uid="{CE65F18E-977B-4137-8AA6-C99C63E471A9}"/>
    <cellStyle name="Total 2 7 2 4 6" xfId="2843" xr:uid="{C63EE477-D840-45F3-9614-5B2BDDB608C5}"/>
    <cellStyle name="Total 2 7 2 5" xfId="3038" xr:uid="{309F014F-A523-4040-A49D-3EF9AC504E66}"/>
    <cellStyle name="Total 2 7 2 6" xfId="2156" xr:uid="{A0C54664-66AA-45C0-99A2-3F66A43C6A3D}"/>
    <cellStyle name="Total 2 7 3" xfId="282" xr:uid="{1AE35C11-24B0-4DCE-BFB9-60315286A1AD}"/>
    <cellStyle name="Total 2 7 3 2" xfId="506" xr:uid="{2B68FAD8-51DB-4F09-99B7-97F50EF42E47}"/>
    <cellStyle name="Total 2 7 3 2 2" xfId="985" xr:uid="{4DC7E888-1887-4711-A685-A86451C71AAC}"/>
    <cellStyle name="Total 2 7 3 2 2 2" xfId="1790" xr:uid="{FA21F2A4-17A0-4CA6-AFB4-92F126D335E0}"/>
    <cellStyle name="Total 2 7 3 2 2 2 2" xfId="7561" xr:uid="{2333F3BD-21C1-489A-9779-D5116C271E6A}"/>
    <cellStyle name="Total 2 7 3 2 2 2 3" xfId="10227" xr:uid="{835FA46F-C745-4B6D-A47F-9F1003E33627}"/>
    <cellStyle name="Total 2 7 3 2 2 2 4" xfId="4587" xr:uid="{F94B39C2-3AEC-44C5-9EB2-29FA82B65E31}"/>
    <cellStyle name="Total 2 7 3 2 2 3" xfId="5327" xr:uid="{91829EDA-D1E5-42F6-89D1-C3E8B6AC5B9B}"/>
    <cellStyle name="Total 2 7 3 2 2 3 2" xfId="8301" xr:uid="{D23C31BD-7EC7-439D-A525-FE1609AD2D0F}"/>
    <cellStyle name="Total 2 7 3 2 2 4" xfId="6092" xr:uid="{08D8DE35-BB12-45CF-B482-7F669146754A}"/>
    <cellStyle name="Total 2 7 3 2 2 4 2" xfId="9066" xr:uid="{36A9914B-6CC2-48BA-BBCD-B416D6037A98}"/>
    <cellStyle name="Total 2 7 3 2 2 5" xfId="3802" xr:uid="{F910B16D-1E36-42FD-8412-6F1457297266}"/>
    <cellStyle name="Total 2 7 3 2 2 6" xfId="6765" xr:uid="{0B4D21CF-87E8-4BB7-979E-18436D4CFE7E}"/>
    <cellStyle name="Total 2 7 3 2 2 7" xfId="2742" xr:uid="{F681B959-3D8B-4ED9-99C5-6AA97CF39163}"/>
    <cellStyle name="Total 2 7 3 2 3" xfId="1166" xr:uid="{F0D79FDD-3AA7-4A9A-8F0D-71DE7F0B54A6}"/>
    <cellStyle name="Total 2 7 3 2 3 2" xfId="1971" xr:uid="{2BF443F2-D387-48DA-8B72-4506E52E2141}"/>
    <cellStyle name="Total 2 7 3 2 3 2 2" xfId="7742" xr:uid="{1498E215-9987-4A5F-9409-33C129E7CE2B}"/>
    <cellStyle name="Total 2 7 3 2 3 2 3" xfId="10408" xr:uid="{A1E893C7-C1D3-41CE-9509-60A48D8B314D}"/>
    <cellStyle name="Total 2 7 3 2 3 2 4" xfId="4768" xr:uid="{665847CD-997A-4569-A872-01FE7569E6C9}"/>
    <cellStyle name="Total 2 7 3 2 3 3" xfId="5508" xr:uid="{714CF67B-06C0-40AC-9205-A4937B1F3E4F}"/>
    <cellStyle name="Total 2 7 3 2 3 3 2" xfId="8482" xr:uid="{1914C57D-665E-4C2C-A795-27317AE559AD}"/>
    <cellStyle name="Total 2 7 3 2 3 4" xfId="6273" xr:uid="{7160CFE4-184A-4BDF-84EE-4513B5BFF840}"/>
    <cellStyle name="Total 2 7 3 2 3 4 2" xfId="9247" xr:uid="{A25E76C6-18D6-4E45-AEAF-C0EEC1DFEAF5}"/>
    <cellStyle name="Total 2 7 3 2 3 5" xfId="6946" xr:uid="{DDDFAD8B-75D1-4984-997A-8EA119CA173F}"/>
    <cellStyle name="Total 2 7 3 2 3 6" xfId="2923" xr:uid="{58D869DD-B796-4C1D-814E-4A81BA09CDFF}"/>
    <cellStyle name="Total 2 7 3 2 4" xfId="1312" xr:uid="{738DCB2D-6DAC-4683-BEA4-112333A7FC09}"/>
    <cellStyle name="Total 2 7 3 2 4 2" xfId="7083" xr:uid="{72D25353-5728-4E6D-A00F-E2075EBD7EAC}"/>
    <cellStyle name="Total 2 7 3 2 4 3" xfId="9749" xr:uid="{6A454006-FCBD-4351-9D9B-A87BEB59856A}"/>
    <cellStyle name="Total 2 7 3 2 4 4" xfId="4109" xr:uid="{1E5AA6F8-5558-4E6A-BB74-36E0A4807D0D}"/>
    <cellStyle name="Total 2 7 3 2 5" xfId="4849" xr:uid="{5004F673-FE4A-41E9-B22D-ECD50A9D9CEC}"/>
    <cellStyle name="Total 2 7 3 2 5 2" xfId="7823" xr:uid="{B6DA00DE-80DB-4DE6-86ED-8EB94D963D6E}"/>
    <cellStyle name="Total 2 7 3 2 6" xfId="5614" xr:uid="{21B28D13-EBE1-47C7-BC44-86ACB3C06362}"/>
    <cellStyle name="Total 2 7 3 2 6 2" xfId="8588" xr:uid="{FC7AD4DE-4A36-491E-93DE-B73A08424DD9}"/>
    <cellStyle name="Total 2 7 3 2 7" xfId="3051" xr:uid="{AE8755BC-100F-4DF1-8CB1-F88C24F5F267}"/>
    <cellStyle name="Total 2 7 3 2 8" xfId="2264" xr:uid="{F0C6B09A-29C1-4813-AD66-2044820B810B}"/>
    <cellStyle name="Total 2 7 3 3" xfId="774" xr:uid="{88D3F7C6-D9A6-4EB0-9ABB-B8B41C550848}"/>
    <cellStyle name="Total 2 7 3 3 2" xfId="1579" xr:uid="{E31A5706-A7E4-4891-8778-33947E110B47}"/>
    <cellStyle name="Total 2 7 3 3 2 2" xfId="7350" xr:uid="{E4A2355A-8407-4373-B2C5-31E910FE3B75}"/>
    <cellStyle name="Total 2 7 3 3 2 3" xfId="10016" xr:uid="{296C1D1E-355E-4BC4-825A-1045D1855756}"/>
    <cellStyle name="Total 2 7 3 3 2 4" xfId="4376" xr:uid="{13EF9AF8-1499-4547-B073-636DCC772631}"/>
    <cellStyle name="Total 2 7 3 3 3" xfId="5116" xr:uid="{ABE129D6-5B28-4177-9668-573A67E50AEF}"/>
    <cellStyle name="Total 2 7 3 3 3 2" xfId="8090" xr:uid="{60ACFF5A-56F6-46BC-9D7B-0A728DEF897B}"/>
    <cellStyle name="Total 2 7 3 3 4" xfId="5881" xr:uid="{E246C7B9-8C52-4A02-BB66-03B533B02ED0}"/>
    <cellStyle name="Total 2 7 3 3 4 2" xfId="8855" xr:uid="{C239D803-5281-464C-B7FC-A8C51649EBF2}"/>
    <cellStyle name="Total 2 7 3 3 5" xfId="3609" xr:uid="{5768B00F-C511-4765-B7D7-4C87BF2C77EC}"/>
    <cellStyle name="Total 2 7 3 3 6" xfId="6554" xr:uid="{9D625E85-B8D5-480D-B58D-98C080AECC3B}"/>
    <cellStyle name="Total 2 7 3 3 7" xfId="2531" xr:uid="{8BD5572F-DD43-43A4-9EF5-9A67EA146BE8}"/>
    <cellStyle name="Total 2 7 3 4" xfId="875" xr:uid="{1BCE90E6-3261-41D9-9C9F-3CE02DCDAE92}"/>
    <cellStyle name="Total 2 7 3 4 2" xfId="1680" xr:uid="{349243B6-2E25-49C2-9587-9DA52D885568}"/>
    <cellStyle name="Total 2 7 3 4 2 2" xfId="7451" xr:uid="{D753207D-6223-4484-B336-C196C98141E1}"/>
    <cellStyle name="Total 2 7 3 4 2 3" xfId="10117" xr:uid="{BA74D4E4-0A08-4314-9CD7-A19986FB2095}"/>
    <cellStyle name="Total 2 7 3 4 2 4" xfId="4477" xr:uid="{5EF54586-688A-4F49-B476-404A4F272BE9}"/>
    <cellStyle name="Total 2 7 3 4 3" xfId="5217" xr:uid="{C7708BE1-8168-4AAA-9CBB-85E05F159515}"/>
    <cellStyle name="Total 2 7 3 4 3 2" xfId="8191" xr:uid="{23FF4197-3273-42E6-B470-9FFAF963159A}"/>
    <cellStyle name="Total 2 7 3 4 4" xfId="5982" xr:uid="{05B7B0AB-9CFD-4467-8AD7-0293E76600F9}"/>
    <cellStyle name="Total 2 7 3 4 4 2" xfId="8956" xr:uid="{141A538A-A575-4E15-A48D-17B19020757B}"/>
    <cellStyle name="Total 2 7 3 4 5" xfId="6655" xr:uid="{66B8928A-B71D-4FCB-80BE-7ECCDB932A00}"/>
    <cellStyle name="Total 2 7 3 4 6" xfId="2632" xr:uid="{13BB65CE-1DD2-40B2-8C86-03711C4FC371}"/>
    <cellStyle name="Total 2 7 3 5" xfId="2990" xr:uid="{BC976D79-40ED-4928-8CAC-34F82CF17568}"/>
    <cellStyle name="Total 2 7 3 6" xfId="2099" xr:uid="{DB76970C-7C1E-49E4-BB4D-F5498A20082A}"/>
    <cellStyle name="Total 2 7 4" xfId="458" xr:uid="{65117DA8-81DE-4348-ABC4-E717DFA24CA2}"/>
    <cellStyle name="Total 2 7 4 2" xfId="937" xr:uid="{70C42497-8D21-4761-9042-30DCBD7C4353}"/>
    <cellStyle name="Total 2 7 4 2 2" xfId="1742" xr:uid="{03DE372E-2F35-4DF6-9310-D4DA98AE8867}"/>
    <cellStyle name="Total 2 7 4 2 2 2" xfId="7513" xr:uid="{46BC1680-7329-4DCC-94E8-D6A2C9282E09}"/>
    <cellStyle name="Total 2 7 4 2 2 3" xfId="10179" xr:uid="{B5489721-47A9-4AD1-B93D-79543E1652ED}"/>
    <cellStyle name="Total 2 7 4 2 2 4" xfId="4539" xr:uid="{D48E7CD6-299D-4FD5-AE79-1FDC7B84CE3E}"/>
    <cellStyle name="Total 2 7 4 2 3" xfId="5279" xr:uid="{5CB4239D-83F4-46C5-A18C-97BDE26E967C}"/>
    <cellStyle name="Total 2 7 4 2 3 2" xfId="8253" xr:uid="{1B98EB9D-F7D2-4F2E-8384-C8472CD779FE}"/>
    <cellStyle name="Total 2 7 4 2 4" xfId="6044" xr:uid="{2AE86051-1E31-46B6-A3CE-B49AC6D2FD34}"/>
    <cellStyle name="Total 2 7 4 2 4 2" xfId="9018" xr:uid="{EFC2136E-A0A6-420B-9538-C74FFF285CCD}"/>
    <cellStyle name="Total 2 7 4 2 5" xfId="3754" xr:uid="{7EFA3E2B-4D89-4F0A-9106-5CBA4D09BF07}"/>
    <cellStyle name="Total 2 7 4 2 6" xfId="6717" xr:uid="{EA447B93-EE05-4274-B51F-6DCC9D478DC5}"/>
    <cellStyle name="Total 2 7 4 2 7" xfId="2694" xr:uid="{C77C1D83-6F34-48B6-8336-B2F36C0AC0FF}"/>
    <cellStyle name="Total 2 7 4 3" xfId="598" xr:uid="{EE4B0CD8-E316-4E90-BCA8-750D5DA64265}"/>
    <cellStyle name="Total 2 7 4 3 2" xfId="1403" xr:uid="{A451CBEE-7384-43BF-86F4-2C7FEA1DB3DE}"/>
    <cellStyle name="Total 2 7 4 3 2 2" xfId="7174" xr:uid="{90D3FAE8-F37B-4650-9451-E02F23DAF148}"/>
    <cellStyle name="Total 2 7 4 3 2 3" xfId="9840" xr:uid="{E8FB3326-7107-4030-AFA7-07CC6DB6D1DB}"/>
    <cellStyle name="Total 2 7 4 3 2 4" xfId="4200" xr:uid="{1B76A133-168B-412E-BF1A-93EEFBF38081}"/>
    <cellStyle name="Total 2 7 4 3 3" xfId="4940" xr:uid="{32DC5BF6-1DAA-4AAC-9EB0-D45AD41462D6}"/>
    <cellStyle name="Total 2 7 4 3 3 2" xfId="7914" xr:uid="{89609576-B0AA-4220-A0D1-AD58787AEF75}"/>
    <cellStyle name="Total 2 7 4 3 4" xfId="5705" xr:uid="{E11C8DA7-32D5-4C7F-B493-2EE065FF753F}"/>
    <cellStyle name="Total 2 7 4 3 4 2" xfId="8679" xr:uid="{3912D6DD-69B2-4F1C-BBDD-0637F86C16F0}"/>
    <cellStyle name="Total 2 7 4 3 5" xfId="6378" xr:uid="{6361C75C-CD2D-43F4-B330-2E4E525531A4}"/>
    <cellStyle name="Total 2 7 4 3 6" xfId="2355" xr:uid="{57C5F71A-3BA1-4128-863F-B564219427FC}"/>
    <cellStyle name="Total 2 7 4 4" xfId="1264" xr:uid="{5AB26D56-6720-41B1-B859-E31BB115249E}"/>
    <cellStyle name="Total 2 7 4 4 2" xfId="7035" xr:uid="{A8092D6D-0245-4068-9AA0-80D737A6AAFD}"/>
    <cellStyle name="Total 2 7 4 4 3" xfId="9701" xr:uid="{A76E81EF-226D-406B-B8DF-E8A4429B5CC1}"/>
    <cellStyle name="Total 2 7 4 4 4" xfId="4061" xr:uid="{2E901944-47D6-419D-9B89-F03347B0B614}"/>
    <cellStyle name="Total 2 7 4 5" xfId="4801" xr:uid="{7E186DCA-A109-439B-8A58-FE99B6CE05C9}"/>
    <cellStyle name="Total 2 7 4 5 2" xfId="7775" xr:uid="{4BCACA0B-5822-4539-8D51-D1BCAAFED04C}"/>
    <cellStyle name="Total 2 7 4 6" xfId="5566" xr:uid="{A8564DAB-6143-484D-870C-A292CA68DEDA}"/>
    <cellStyle name="Total 2 7 4 6 2" xfId="8540" xr:uid="{2FD4446A-2787-4D5B-92E9-A38AB59F2C52}"/>
    <cellStyle name="Total 2 7 4 7" xfId="3299" xr:uid="{90EE66DF-0F78-4214-80B4-0FF68FF02418}"/>
    <cellStyle name="Total 2 7 4 8" xfId="2216" xr:uid="{3EA1FFE7-EA9F-4EEF-BBA3-F1AEA64DFFCB}"/>
    <cellStyle name="Total 2 7 5" xfId="726" xr:uid="{79C38C68-4630-4F1C-B4FA-2247A71F5AAE}"/>
    <cellStyle name="Total 2 7 5 2" xfId="1531" xr:uid="{F5E500A2-13AA-4C9E-99E2-C8C0E81FFDF0}"/>
    <cellStyle name="Total 2 7 5 2 2" xfId="7302" xr:uid="{77C4FCC9-6CF0-4AE5-8E22-71BEFA3E2952}"/>
    <cellStyle name="Total 2 7 5 2 3" xfId="9968" xr:uid="{EAD1C398-AC4E-4449-80AC-1D9C30850FD9}"/>
    <cellStyle name="Total 2 7 5 2 4" xfId="4328" xr:uid="{09680C02-DCFB-4EA8-80DD-C8810A9D2363}"/>
    <cellStyle name="Total 2 7 5 3" xfId="5068" xr:uid="{BBF53AE5-3671-4104-B863-ED9A66ADC9E0}"/>
    <cellStyle name="Total 2 7 5 3 2" xfId="8042" xr:uid="{42470F46-436E-445C-9B4B-3D425196DF46}"/>
    <cellStyle name="Total 2 7 5 4" xfId="5833" xr:uid="{FB0BA65F-2860-4296-BF0B-0D6E9C9EE0BE}"/>
    <cellStyle name="Total 2 7 5 4 2" xfId="8807" xr:uid="{7D01B5DE-AC10-4004-A8F4-06ED75217068}"/>
    <cellStyle name="Total 2 7 5 5" xfId="3561" xr:uid="{DB504C34-5DBA-4166-BFA4-C21372EBB482}"/>
    <cellStyle name="Total 2 7 5 6" xfId="6506" xr:uid="{93FBACCB-7612-4060-8CC8-69E08823C34B}"/>
    <cellStyle name="Total 2 7 5 7" xfId="2483" xr:uid="{5CE1E4A6-D786-4CBD-AF6C-E05821565A26}"/>
    <cellStyle name="Total 2 7 6" xfId="620" xr:uid="{29E0C0D3-F3B0-4ABF-82B2-CB87233934A4}"/>
    <cellStyle name="Total 2 7 6 2" xfId="1425" xr:uid="{BA40F95B-2CD3-4BDD-A55A-A89FE18418C0}"/>
    <cellStyle name="Total 2 7 6 2 2" xfId="7196" xr:uid="{C7E8A105-4473-4A78-8332-EAC2CB97ED98}"/>
    <cellStyle name="Total 2 7 6 2 3" xfId="9862" xr:uid="{501352BC-205E-43D7-B8A5-F28A57ECD08C}"/>
    <cellStyle name="Total 2 7 6 2 4" xfId="4222" xr:uid="{1DF2B6E1-EBC8-4D5A-8B5B-1864A330396B}"/>
    <cellStyle name="Total 2 7 6 3" xfId="4962" xr:uid="{DA19B8D2-0F63-410C-A80A-93986A37FE20}"/>
    <cellStyle name="Total 2 7 6 3 2" xfId="7936" xr:uid="{73A9E4D7-0D09-49E6-B4B9-00E78AE0BA44}"/>
    <cellStyle name="Total 2 7 6 4" xfId="5727" xr:uid="{C48FA753-C0AF-4D96-AF0C-0AEBCE291978}"/>
    <cellStyle name="Total 2 7 6 4 2" xfId="8701" xr:uid="{3509EB3B-CCED-42FA-9BDB-B0AD4423858F}"/>
    <cellStyle name="Total 2 7 6 5" xfId="6400" xr:uid="{30F3FAE0-B98A-4C55-BE0A-58112C605BB4}"/>
    <cellStyle name="Total 2 7 6 6" xfId="2377" xr:uid="{862A774F-AA4D-43BE-895F-702A27D449B0}"/>
    <cellStyle name="Total 2 7 7" xfId="3386" xr:uid="{FFC733ED-3391-4B75-9B9E-0A5F36EAC045}"/>
    <cellStyle name="Total 2 7 8" xfId="2049" xr:uid="{3A18F261-90A2-444E-AA4A-A384CBA63C91}"/>
    <cellStyle name="Total 2 8" xfId="240" xr:uid="{B4F14113-3D7F-4FA4-B6C8-B7B18D10911D}"/>
    <cellStyle name="Total 2 8 2" xfId="344" xr:uid="{4D60C342-868B-43D2-8929-58DCA755B94E}"/>
    <cellStyle name="Total 2 8 2 2" xfId="566" xr:uid="{B0F58F15-0311-4E3A-BD76-0CFBC59C91BC}"/>
    <cellStyle name="Total 2 8 2 2 2" xfId="1045" xr:uid="{B851CAF1-6F61-4422-A719-B325FCB952E7}"/>
    <cellStyle name="Total 2 8 2 2 2 2" xfId="1850" xr:uid="{6C99FE67-205B-4EE9-A1A1-53EC060F03CE}"/>
    <cellStyle name="Total 2 8 2 2 2 2 2" xfId="7621" xr:uid="{02221421-C32F-4365-9964-1B6BBCA21952}"/>
    <cellStyle name="Total 2 8 2 2 2 2 3" xfId="10287" xr:uid="{CE7BAFB7-3E0B-400E-8831-9DD25C613BFA}"/>
    <cellStyle name="Total 2 8 2 2 2 2 4" xfId="4647" xr:uid="{BA6CC4BF-A1CC-49EA-BCF0-EF5B67C7DFF0}"/>
    <cellStyle name="Total 2 8 2 2 2 3" xfId="5387" xr:uid="{1FAB4D58-2EEB-4D8D-B8A9-250CEBB7F836}"/>
    <cellStyle name="Total 2 8 2 2 2 3 2" xfId="8361" xr:uid="{412585D6-E519-4071-88EA-A21340CC10CD}"/>
    <cellStyle name="Total 2 8 2 2 2 4" xfId="6152" xr:uid="{0E8A768D-7304-4C89-BC75-A32B44C9D7E3}"/>
    <cellStyle name="Total 2 8 2 2 2 4 2" xfId="9126" xr:uid="{A7CD52E3-8758-4578-8127-E91161DCE6DC}"/>
    <cellStyle name="Total 2 8 2 2 2 5" xfId="3862" xr:uid="{6FF3B21F-7D40-4915-9B85-F623DEF8FBE6}"/>
    <cellStyle name="Total 2 8 2 2 2 6" xfId="6825" xr:uid="{C9F47CC5-9651-4C96-B578-0AF83AB508C3}"/>
    <cellStyle name="Total 2 8 2 2 2 7" xfId="2802" xr:uid="{633F157A-B0D1-4707-88FD-57E842D588C9}"/>
    <cellStyle name="Total 2 8 2 2 3" xfId="574" xr:uid="{3CDB2107-6A37-44CF-8337-7F026F491582}"/>
    <cellStyle name="Total 2 8 2 2 3 2" xfId="1379" xr:uid="{B00BD031-91C8-4391-8DE1-75042658E10C}"/>
    <cellStyle name="Total 2 8 2 2 3 2 2" xfId="7150" xr:uid="{E3D895B1-F543-43DE-96C2-E670FF1A6CBF}"/>
    <cellStyle name="Total 2 8 2 2 3 2 3" xfId="9816" xr:uid="{A2190B6D-873E-436F-AD30-4D568CF8D87A}"/>
    <cellStyle name="Total 2 8 2 2 3 2 4" xfId="4176" xr:uid="{BFAFD5B2-FB14-4041-812E-2DBD7FB4FC64}"/>
    <cellStyle name="Total 2 8 2 2 3 3" xfId="4916" xr:uid="{BC4685E8-91F8-42CF-86A1-E4581868F372}"/>
    <cellStyle name="Total 2 8 2 2 3 3 2" xfId="7890" xr:uid="{551E135B-EA19-4DDD-B41B-A0AABA3E0F8D}"/>
    <cellStyle name="Total 2 8 2 2 3 4" xfId="5681" xr:uid="{9EAF09CD-C361-442C-9026-F555AFF5A42D}"/>
    <cellStyle name="Total 2 8 2 2 3 4 2" xfId="8655" xr:uid="{3A4A5246-97DC-4DC6-A79F-EDC304610F80}"/>
    <cellStyle name="Total 2 8 2 2 3 5" xfId="6354" xr:uid="{2A695CD8-EFE4-4BB8-97F6-84CB4F0BFF5D}"/>
    <cellStyle name="Total 2 8 2 2 3 6" xfId="2331" xr:uid="{78C5DBC1-E193-4669-B946-EA3E89D05C54}"/>
    <cellStyle name="Total 2 8 2 2 4" xfId="1372" xr:uid="{014A8A14-FFD7-4CB2-8028-7895C6F64EAC}"/>
    <cellStyle name="Total 2 8 2 2 4 2" xfId="7143" xr:uid="{2F12F14B-630A-4680-8223-072664CE3219}"/>
    <cellStyle name="Total 2 8 2 2 4 3" xfId="9809" xr:uid="{B182FFEC-7377-4BA7-8260-F6CD5EC62776}"/>
    <cellStyle name="Total 2 8 2 2 4 4" xfId="4169" xr:uid="{9762BE1A-1F95-4B78-AB90-DD4ADAEEBFE0}"/>
    <cellStyle name="Total 2 8 2 2 5" xfId="4909" xr:uid="{E33E1B73-A947-4E02-BAD1-EB1048518459}"/>
    <cellStyle name="Total 2 8 2 2 5 2" xfId="7883" xr:uid="{34B48FE6-29F0-4694-8C83-E38915BB63C3}"/>
    <cellStyle name="Total 2 8 2 2 6" xfId="5674" xr:uid="{4DA084F9-F029-4D31-B0A8-BF57E3CA4946}"/>
    <cellStyle name="Total 2 8 2 2 6 2" xfId="8648" xr:uid="{0FC12C3E-6068-4C0F-9262-2F03D3D16690}"/>
    <cellStyle name="Total 2 8 2 2 7" xfId="6347" xr:uid="{47FD1914-9553-469C-BDC1-B9E0176FE3EC}"/>
    <cellStyle name="Total 2 8 2 2 8" xfId="2324" xr:uid="{EC756558-DE96-471B-9D3A-0D7A2B5611FE}"/>
    <cellStyle name="Total 2 8 2 3" xfId="835" xr:uid="{349671F3-0C83-4883-B2F1-85A2842BB6C6}"/>
    <cellStyle name="Total 2 8 2 3 2" xfId="1640" xr:uid="{2EF883A9-5243-4598-BFF8-5CF18D94CD8C}"/>
    <cellStyle name="Total 2 8 2 3 2 2" xfId="7411" xr:uid="{83535D5E-340F-4393-B7FE-666DCC10DA2D}"/>
    <cellStyle name="Total 2 8 2 3 2 3" xfId="10077" xr:uid="{6679A00F-BC22-4CBB-858C-50D3B7FABA58}"/>
    <cellStyle name="Total 2 8 2 3 2 4" xfId="4437" xr:uid="{18C80617-6696-440A-9799-8241F3E0DA2A}"/>
    <cellStyle name="Total 2 8 2 3 3" xfId="5177" xr:uid="{66495A50-729D-435E-8444-52E49CC0DDD8}"/>
    <cellStyle name="Total 2 8 2 3 3 2" xfId="8151" xr:uid="{F5DD469E-182E-4E62-930B-B5ECABCAA5F7}"/>
    <cellStyle name="Total 2 8 2 3 4" xfId="5942" xr:uid="{A1FB729C-20FE-4C36-BC44-A00171A57DB8}"/>
    <cellStyle name="Total 2 8 2 3 4 2" xfId="8916" xr:uid="{6BA083C9-1F55-4A07-A5DF-7AA0FE66B306}"/>
    <cellStyle name="Total 2 8 2 3 5" xfId="3669" xr:uid="{3EF0C216-8AD8-484E-94CE-F2999C962BBA}"/>
    <cellStyle name="Total 2 8 2 3 6" xfId="6615" xr:uid="{41A7B7B6-9419-41CF-892B-70575A8D704F}"/>
    <cellStyle name="Total 2 8 2 3 7" xfId="2592" xr:uid="{B044C11E-BFEB-453F-8520-E713A06D44F7}"/>
    <cellStyle name="Total 2 8 2 4" xfId="615" xr:uid="{997E4329-0DD6-4BF2-88FC-CB67E67FAB9C}"/>
    <cellStyle name="Total 2 8 2 4 2" xfId="1420" xr:uid="{83C5EA5A-0DEE-459F-B379-17434DC02302}"/>
    <cellStyle name="Total 2 8 2 4 2 2" xfId="7191" xr:uid="{18217864-FFD9-4819-AD65-082AF18EF682}"/>
    <cellStyle name="Total 2 8 2 4 2 3" xfId="9857" xr:uid="{6988D542-9076-4E8A-A7EC-F66C7A903AEA}"/>
    <cellStyle name="Total 2 8 2 4 2 4" xfId="4217" xr:uid="{76205B6F-F30C-44CE-ACA5-881A5E490162}"/>
    <cellStyle name="Total 2 8 2 4 3" xfId="4957" xr:uid="{0C9F128B-B545-4D59-82F4-6A40FA779783}"/>
    <cellStyle name="Total 2 8 2 4 3 2" xfId="7931" xr:uid="{468181FB-FFFA-4DC1-A3E1-966A8367D16F}"/>
    <cellStyle name="Total 2 8 2 4 4" xfId="5722" xr:uid="{34BCE166-2D33-493A-BC46-BFD854888CC9}"/>
    <cellStyle name="Total 2 8 2 4 4 2" xfId="8696" xr:uid="{29410982-4407-4AAD-8CD9-FFCD641A3ADE}"/>
    <cellStyle name="Total 2 8 2 4 5" xfId="6395" xr:uid="{6929E452-9183-4B46-8C2F-BB383F674E6A}"/>
    <cellStyle name="Total 2 8 2 4 6" xfId="2372" xr:uid="{4A07B74B-C3BA-4A57-BFC2-6F2FA13825A7}"/>
    <cellStyle name="Total 2 8 2 5" xfId="3013" xr:uid="{1E201A07-8A9F-444F-9ACB-1671FCB62156}"/>
    <cellStyle name="Total 2 8 2 6" xfId="2162" xr:uid="{3DDF9D5A-DE65-470E-B9B5-089E8B7A4B83}"/>
    <cellStyle name="Total 2 8 3" xfId="288" xr:uid="{857828DB-8692-4059-A364-7FC6162BBB1E}"/>
    <cellStyle name="Total 2 8 3 2" xfId="512" xr:uid="{03982DCF-E26A-4937-A411-36078EA6983A}"/>
    <cellStyle name="Total 2 8 3 2 2" xfId="991" xr:uid="{DCDC115A-D194-44FA-8BC7-AACA2629F574}"/>
    <cellStyle name="Total 2 8 3 2 2 2" xfId="1796" xr:uid="{D637E79B-2789-467A-AF84-9945BB5A3392}"/>
    <cellStyle name="Total 2 8 3 2 2 2 2" xfId="7567" xr:uid="{50AD9F2D-CE09-4D76-9896-3F1C91812313}"/>
    <cellStyle name="Total 2 8 3 2 2 2 3" xfId="10233" xr:uid="{12EF7AE2-9D6A-4598-B6DC-82D150A01B49}"/>
    <cellStyle name="Total 2 8 3 2 2 2 4" xfId="4593" xr:uid="{C8697300-B6FC-46BD-B32A-248B82E6E05E}"/>
    <cellStyle name="Total 2 8 3 2 2 3" xfId="5333" xr:uid="{FA85CC13-B960-4DAE-8E95-1F74193CCB21}"/>
    <cellStyle name="Total 2 8 3 2 2 3 2" xfId="8307" xr:uid="{DE587734-EF7F-4D52-83C0-EA8618C6BB4E}"/>
    <cellStyle name="Total 2 8 3 2 2 4" xfId="6098" xr:uid="{99DC8E13-D703-4E5E-8251-8C03B6EB32FA}"/>
    <cellStyle name="Total 2 8 3 2 2 4 2" xfId="9072" xr:uid="{8D4C0EDC-1247-49D3-B1DD-98311310CA2B}"/>
    <cellStyle name="Total 2 8 3 2 2 5" xfId="3808" xr:uid="{947E66EA-A398-45E8-A297-C6A66EBE7EB2}"/>
    <cellStyle name="Total 2 8 3 2 2 6" xfId="6771" xr:uid="{883CA827-8FE7-48AE-9C01-66E4F8CF7F7D}"/>
    <cellStyle name="Total 2 8 3 2 2 7" xfId="2748" xr:uid="{67CDF8E6-EF41-4D3F-8479-E9FBF6B7177F}"/>
    <cellStyle name="Total 2 8 3 2 3" xfId="1164" xr:uid="{0379980E-3986-4DB7-B1EF-3D938F0210B1}"/>
    <cellStyle name="Total 2 8 3 2 3 2" xfId="1969" xr:uid="{0B13A9F8-B285-42B4-893A-11F63A0534AD}"/>
    <cellStyle name="Total 2 8 3 2 3 2 2" xfId="7740" xr:uid="{87C89C11-E874-4F68-B645-652EE37B2594}"/>
    <cellStyle name="Total 2 8 3 2 3 2 3" xfId="10406" xr:uid="{60C0AFE9-A1F2-4846-9F87-E06259B600BF}"/>
    <cellStyle name="Total 2 8 3 2 3 2 4" xfId="4766" xr:uid="{ABAB243F-7AB4-49EC-AB93-C238BB541CA7}"/>
    <cellStyle name="Total 2 8 3 2 3 3" xfId="5506" xr:uid="{EA05B75A-8847-4F0A-87E0-161A3EC319C9}"/>
    <cellStyle name="Total 2 8 3 2 3 3 2" xfId="8480" xr:uid="{9AFFE264-50EA-470B-AEA8-473FB6DB6BB2}"/>
    <cellStyle name="Total 2 8 3 2 3 4" xfId="6271" xr:uid="{E2618E95-B7BE-4F34-B173-8E1DB41EBCC9}"/>
    <cellStyle name="Total 2 8 3 2 3 4 2" xfId="9245" xr:uid="{59DFAE57-5275-4D3C-9AF0-C2A2B21EFF91}"/>
    <cellStyle name="Total 2 8 3 2 3 5" xfId="6944" xr:uid="{ECE0063C-2355-47F9-A899-D86DD6051FBA}"/>
    <cellStyle name="Total 2 8 3 2 3 6" xfId="2921" xr:uid="{E2A79A9E-5E76-4C0F-B010-82E7EB5D56E0}"/>
    <cellStyle name="Total 2 8 3 2 4" xfId="1318" xr:uid="{9E4CA1BC-777A-4FC8-B2F7-7BE23DBD2663}"/>
    <cellStyle name="Total 2 8 3 2 4 2" xfId="7089" xr:uid="{056C8AF7-70FD-4A66-A0FA-A40B0C4B1257}"/>
    <cellStyle name="Total 2 8 3 2 4 3" xfId="9755" xr:uid="{B5888F3B-E3AE-4A8C-8558-8BA2E08DAF75}"/>
    <cellStyle name="Total 2 8 3 2 4 4" xfId="4115" xr:uid="{502BCF12-F5C6-45E8-B5B5-551044E3C744}"/>
    <cellStyle name="Total 2 8 3 2 5" xfId="4855" xr:uid="{318C59E7-2E22-45DC-B9C0-988D7DF4AE88}"/>
    <cellStyle name="Total 2 8 3 2 5 2" xfId="7829" xr:uid="{9DF86569-9978-49AA-8436-2823C366BDAE}"/>
    <cellStyle name="Total 2 8 3 2 6" xfId="5620" xr:uid="{82ADC108-CCBE-40E3-BA68-65C83F1C9EA5}"/>
    <cellStyle name="Total 2 8 3 2 6 2" xfId="8594" xr:uid="{B83A15FD-49E9-4196-A706-5E22225724AE}"/>
    <cellStyle name="Total 2 8 3 2 7" xfId="3044" xr:uid="{28F4D0C9-082C-46A9-93A8-972119C21F09}"/>
    <cellStyle name="Total 2 8 3 2 8" xfId="2270" xr:uid="{6136FE92-1F22-4311-BFAB-B36912C477EC}"/>
    <cellStyle name="Total 2 8 3 3" xfId="780" xr:uid="{4622E03F-E28D-455E-9FBC-DE961DCD86F0}"/>
    <cellStyle name="Total 2 8 3 3 2" xfId="1585" xr:uid="{41257849-73EA-434E-B4DE-F4974207B4C4}"/>
    <cellStyle name="Total 2 8 3 3 2 2" xfId="7356" xr:uid="{5D24629F-E6DE-47E5-93A4-80A3AC5B3D3F}"/>
    <cellStyle name="Total 2 8 3 3 2 3" xfId="10022" xr:uid="{7BBB249A-1E01-4CF6-85CE-BB652ECF5CBB}"/>
    <cellStyle name="Total 2 8 3 3 2 4" xfId="4382" xr:uid="{01013A88-CAED-483D-90B2-F1BE89B7AEA7}"/>
    <cellStyle name="Total 2 8 3 3 3" xfId="5122" xr:uid="{AFC6038A-DAE9-4D30-9963-0CEE9CC12F24}"/>
    <cellStyle name="Total 2 8 3 3 3 2" xfId="8096" xr:uid="{6679ADD6-930C-41C0-83BE-AA19827E7400}"/>
    <cellStyle name="Total 2 8 3 3 4" xfId="5887" xr:uid="{529DCF5E-28F3-41A3-962B-1F3DB6C676E3}"/>
    <cellStyle name="Total 2 8 3 3 4 2" xfId="8861" xr:uid="{47FD95FE-CB5A-4710-BCC1-0B2C733677F1}"/>
    <cellStyle name="Total 2 8 3 3 5" xfId="3615" xr:uid="{28C91CE6-3732-4A8C-B270-478BE52EA92B}"/>
    <cellStyle name="Total 2 8 3 3 6" xfId="6560" xr:uid="{73537E39-D889-4CBF-9202-8E5AF6EE08C0}"/>
    <cellStyle name="Total 2 8 3 3 7" xfId="2537" xr:uid="{CB327A9C-5680-4806-B7E0-4D704DB18EFD}"/>
    <cellStyle name="Total 2 8 3 4" xfId="603" xr:uid="{92E5E04C-8E53-427E-B0BB-F1C3668F17E0}"/>
    <cellStyle name="Total 2 8 3 4 2" xfId="1408" xr:uid="{B7AAC850-FEA5-431C-BB68-1C1503B28149}"/>
    <cellStyle name="Total 2 8 3 4 2 2" xfId="7179" xr:uid="{15142CAC-DC3B-46AB-8A68-6683C935606B}"/>
    <cellStyle name="Total 2 8 3 4 2 3" xfId="9845" xr:uid="{46C34E1A-52E0-4A3B-894A-E254A276CDAF}"/>
    <cellStyle name="Total 2 8 3 4 2 4" xfId="4205" xr:uid="{CEDFF763-D02D-4993-96D6-16D8FB5D4141}"/>
    <cellStyle name="Total 2 8 3 4 3" xfId="4945" xr:uid="{746DE163-E735-419F-B330-06CCC8999254}"/>
    <cellStyle name="Total 2 8 3 4 3 2" xfId="7919" xr:uid="{5657C633-549B-4B0F-9A78-4B927D85C9DD}"/>
    <cellStyle name="Total 2 8 3 4 4" xfId="5710" xr:uid="{015B8488-EE21-4F6A-8E4C-7AFF2A11A96F}"/>
    <cellStyle name="Total 2 8 3 4 4 2" xfId="8684" xr:uid="{CBA34924-5452-4621-8E60-E1A65A6BE277}"/>
    <cellStyle name="Total 2 8 3 4 5" xfId="6383" xr:uid="{53FF3B6B-A9C6-4E6D-A318-E7AB1504D330}"/>
    <cellStyle name="Total 2 8 3 4 6" xfId="2360" xr:uid="{12850095-8718-49F7-8201-55AB80570218}"/>
    <cellStyle name="Total 2 8 3 5" xfId="3996" xr:uid="{CFD72605-8F5C-4EB0-AA12-DEE119BC1088}"/>
    <cellStyle name="Total 2 8 3 6" xfId="2105" xr:uid="{A61605AF-4AED-4AD0-A8BB-EEF0B2AFD57D}"/>
    <cellStyle name="Total 2 8 4" xfId="464" xr:uid="{8EEEAE9C-CDF4-4DF5-85BA-A9A6E19C1149}"/>
    <cellStyle name="Total 2 8 4 2" xfId="943" xr:uid="{9125ECAB-5D8C-40CB-B9AF-3F8F031010C9}"/>
    <cellStyle name="Total 2 8 4 2 2" xfId="1748" xr:uid="{ED5E511D-DE66-4796-A843-F2C4556D4159}"/>
    <cellStyle name="Total 2 8 4 2 2 2" xfId="7519" xr:uid="{E0BE52C3-8D13-4321-B9D4-86439582DBD3}"/>
    <cellStyle name="Total 2 8 4 2 2 3" xfId="10185" xr:uid="{AEA526A7-3CE8-4337-9D2F-C40C7328996C}"/>
    <cellStyle name="Total 2 8 4 2 2 4" xfId="4545" xr:uid="{BAC3F9C5-2E3E-42D9-9F13-58E2FF9ADA58}"/>
    <cellStyle name="Total 2 8 4 2 3" xfId="5285" xr:uid="{3372ABE5-EAED-4BF9-AEA8-B5BE84EBF0EF}"/>
    <cellStyle name="Total 2 8 4 2 3 2" xfId="8259" xr:uid="{E9565174-C91D-45B7-8804-3C56B6630552}"/>
    <cellStyle name="Total 2 8 4 2 4" xfId="6050" xr:uid="{7996D1FD-E3BA-4ED8-A596-C6085814F294}"/>
    <cellStyle name="Total 2 8 4 2 4 2" xfId="9024" xr:uid="{EFDAA4E5-FC5B-44A3-B49C-0883982ED37B}"/>
    <cellStyle name="Total 2 8 4 2 5" xfId="3760" xr:uid="{CC16F3F3-8714-4F4E-A815-EF05BFBE97D9}"/>
    <cellStyle name="Total 2 8 4 2 6" xfId="6723" xr:uid="{4553A9A0-CAFB-4572-9EE8-0647A88F1BC4}"/>
    <cellStyle name="Total 2 8 4 2 7" xfId="2700" xr:uid="{9DC75674-12F1-4E26-9E7B-FECFBB6E4A4B}"/>
    <cellStyle name="Total 2 8 4 3" xfId="621" xr:uid="{3BFFC09B-E63A-47D9-ADBD-3B3882A5E47A}"/>
    <cellStyle name="Total 2 8 4 3 2" xfId="1426" xr:uid="{9A6C44C9-4AAB-443C-B01A-F49738F5D215}"/>
    <cellStyle name="Total 2 8 4 3 2 2" xfId="7197" xr:uid="{6688AB1A-E551-4BF0-A1A9-3F4BDC34EC6C}"/>
    <cellStyle name="Total 2 8 4 3 2 3" xfId="9863" xr:uid="{ECD0ADD6-45F3-4C95-9E0F-C54A7004E3C7}"/>
    <cellStyle name="Total 2 8 4 3 2 4" xfId="4223" xr:uid="{8449DDAD-9EA3-41AD-A201-9439D2D97A53}"/>
    <cellStyle name="Total 2 8 4 3 3" xfId="4963" xr:uid="{0B5DDB9D-228D-46B4-B9D3-0FC76036C187}"/>
    <cellStyle name="Total 2 8 4 3 3 2" xfId="7937" xr:uid="{54363108-599B-49DA-A663-AB387D1F0DD2}"/>
    <cellStyle name="Total 2 8 4 3 4" xfId="5728" xr:uid="{C6150E41-2988-4D7E-BE69-1C72B464DECA}"/>
    <cellStyle name="Total 2 8 4 3 4 2" xfId="8702" xr:uid="{BCC6FFAE-082E-49DB-BA28-3A0B72E78151}"/>
    <cellStyle name="Total 2 8 4 3 5" xfId="6401" xr:uid="{68C719AE-9D7A-4DCB-B636-85AE0B7AB5A8}"/>
    <cellStyle name="Total 2 8 4 3 6" xfId="2378" xr:uid="{1C4171E8-4FBB-4CE8-AB9D-26A5F885CDA1}"/>
    <cellStyle name="Total 2 8 4 4" xfId="1270" xr:uid="{078D5D1C-43B3-4930-978C-A7928A25E731}"/>
    <cellStyle name="Total 2 8 4 4 2" xfId="7041" xr:uid="{572A2407-6273-4139-8588-A679D30C206B}"/>
    <cellStyle name="Total 2 8 4 4 3" xfId="9707" xr:uid="{8E05EC1B-93C2-4BDD-9A7A-06DD2B111FD8}"/>
    <cellStyle name="Total 2 8 4 4 4" xfId="4067" xr:uid="{9C913D27-162F-4882-8C7C-516CC1FDD2B4}"/>
    <cellStyle name="Total 2 8 4 5" xfId="4807" xr:uid="{E6D09196-5F70-44B3-872D-5A2B4DAB1E8D}"/>
    <cellStyle name="Total 2 8 4 5 2" xfId="7781" xr:uid="{E247104E-2F44-4DAE-927A-85202358483A}"/>
    <cellStyle name="Total 2 8 4 6" xfId="5572" xr:uid="{75859365-5A75-411F-AC6D-2631783FE809}"/>
    <cellStyle name="Total 2 8 4 6 2" xfId="8546" xr:uid="{F8E84FC6-5EA8-46B7-8D2C-4B36DD34BAAF}"/>
    <cellStyle name="Total 2 8 4 7" xfId="3322" xr:uid="{F5E6CDFE-E741-4C13-8FAF-A1FD3B04C6C5}"/>
    <cellStyle name="Total 2 8 4 8" xfId="2222" xr:uid="{152EC1D4-AC31-481F-8CDB-9A4F8E7E1145}"/>
    <cellStyle name="Total 2 8 5" xfId="732" xr:uid="{7E7A4EBD-99B6-44C4-8CB6-F58A8B958BF3}"/>
    <cellStyle name="Total 2 8 5 2" xfId="1537" xr:uid="{45904555-F6B9-444A-8A13-5CAF1D43294D}"/>
    <cellStyle name="Total 2 8 5 2 2" xfId="7308" xr:uid="{35907804-6289-4DFD-B01F-D6C7EBB3A703}"/>
    <cellStyle name="Total 2 8 5 2 3" xfId="9974" xr:uid="{15CC0CF5-601A-4062-9CAC-70425DC9DD21}"/>
    <cellStyle name="Total 2 8 5 2 4" xfId="4334" xr:uid="{B5E01946-6BCB-41A7-ACC4-02DDD219B16D}"/>
    <cellStyle name="Total 2 8 5 3" xfId="5074" xr:uid="{8A46AF72-384E-494B-940B-668E00BCC645}"/>
    <cellStyle name="Total 2 8 5 3 2" xfId="8048" xr:uid="{5BE58632-5B6E-496A-9B28-443DD1D31D2D}"/>
    <cellStyle name="Total 2 8 5 4" xfId="5839" xr:uid="{4C78EF88-4ABF-40D9-A26C-D5FEA53A5B15}"/>
    <cellStyle name="Total 2 8 5 4 2" xfId="8813" xr:uid="{EE301EF7-4E60-4896-89EB-40262C131ADC}"/>
    <cellStyle name="Total 2 8 5 5" xfId="3567" xr:uid="{DCBFD8DE-BF41-40BD-B136-588F2C96585A}"/>
    <cellStyle name="Total 2 8 5 6" xfId="6512" xr:uid="{4A9397A2-D07F-45C1-A635-23EE9AE9EF93}"/>
    <cellStyle name="Total 2 8 5 7" xfId="2489" xr:uid="{CB8252E3-B861-4B34-A69B-218156B9C198}"/>
    <cellStyle name="Total 2 8 6" xfId="840" xr:uid="{C0BCAE57-E5E8-4A34-8B91-659C66BD46A6}"/>
    <cellStyle name="Total 2 8 6 2" xfId="1645" xr:uid="{C0E0A921-EBBB-45EE-B848-098DB9C9FF96}"/>
    <cellStyle name="Total 2 8 6 2 2" xfId="7416" xr:uid="{DB1D7E32-02BD-44FB-A534-F22FF89317DB}"/>
    <cellStyle name="Total 2 8 6 2 3" xfId="10082" xr:uid="{09F39A2B-1366-4089-9E92-478D404C29FC}"/>
    <cellStyle name="Total 2 8 6 2 4" xfId="4442" xr:uid="{C264B356-D432-49EC-9881-6CB574BFEC29}"/>
    <cellStyle name="Total 2 8 6 3" xfId="5182" xr:uid="{37979D70-CD32-4F66-9C44-47EDFEEC2098}"/>
    <cellStyle name="Total 2 8 6 3 2" xfId="8156" xr:uid="{4BBBAD7C-E368-45AE-B9DA-C6EC36AA7106}"/>
    <cellStyle name="Total 2 8 6 4" xfId="5947" xr:uid="{C6CD1274-55F3-4CFB-B772-1EC6E02B1E90}"/>
    <cellStyle name="Total 2 8 6 4 2" xfId="8921" xr:uid="{0C7250C1-0893-4539-B3EC-FD64C4AB461D}"/>
    <cellStyle name="Total 2 8 6 5" xfId="6620" xr:uid="{63FD41D2-565D-44F3-995C-1D604A1C940C}"/>
    <cellStyle name="Total 2 8 6 6" xfId="2597" xr:uid="{DD386978-A439-451B-A514-9DBCF21481F2}"/>
    <cellStyle name="Total 2 8 7" xfId="3156" xr:uid="{DBF71506-6669-4676-B1EE-0AB669B30A54}"/>
    <cellStyle name="Total 2 8 8" xfId="2055" xr:uid="{31491920-364E-4333-BA15-C19EFD55EDD2}"/>
    <cellStyle name="Total 2 9" xfId="299" xr:uid="{F9B6EBCC-2EE7-4FE1-B0F4-9D64F4C09483}"/>
    <cellStyle name="Total 2 9 2" xfId="521" xr:uid="{F258ADEA-C820-4AED-A8C4-A0AD320C7B6A}"/>
    <cellStyle name="Total 2 9 2 2" xfId="1000" xr:uid="{189A395B-7E3F-424C-948E-79F7182FEF4F}"/>
    <cellStyle name="Total 2 9 2 2 2" xfId="1805" xr:uid="{58B157A0-FAA4-4AA1-8E48-F67E4F3048AD}"/>
    <cellStyle name="Total 2 9 2 2 2 2" xfId="7576" xr:uid="{D0547ADF-1FF8-4719-968C-B38AF2304333}"/>
    <cellStyle name="Total 2 9 2 2 2 3" xfId="10242" xr:uid="{0A20A2F9-C605-418E-B7C0-515F700EE052}"/>
    <cellStyle name="Total 2 9 2 2 2 4" xfId="4602" xr:uid="{F2025089-E934-4517-A90B-460EBB7BD636}"/>
    <cellStyle name="Total 2 9 2 2 3" xfId="5342" xr:uid="{D836D463-C48A-43A4-BD81-1161D52C5A6A}"/>
    <cellStyle name="Total 2 9 2 2 3 2" xfId="8316" xr:uid="{EC1050A9-A6A4-4424-A0C9-575F8BA77377}"/>
    <cellStyle name="Total 2 9 2 2 4" xfId="6107" xr:uid="{E6073E3C-A88D-4791-833B-C3A71BD8F651}"/>
    <cellStyle name="Total 2 9 2 2 4 2" xfId="9081" xr:uid="{4434128F-013D-4B2D-842C-F8AB926A1F55}"/>
    <cellStyle name="Total 2 9 2 2 5" xfId="3817" xr:uid="{94731C86-502E-408F-80E2-13BBA4A9A3C4}"/>
    <cellStyle name="Total 2 9 2 2 6" xfId="6780" xr:uid="{4DF30C8C-32B9-411C-9E94-F4CAF781D757}"/>
    <cellStyle name="Total 2 9 2 2 7" xfId="2757" xr:uid="{1CA42859-DA6F-4E6E-B94B-ECB83C6EF6A0}"/>
    <cellStyle name="Total 2 9 2 3" xfId="636" xr:uid="{0AEC3967-10FD-45CA-A20E-41FB9C25FEEA}"/>
    <cellStyle name="Total 2 9 2 3 2" xfId="1441" xr:uid="{B865130E-78A6-4865-AE43-141A34EAB639}"/>
    <cellStyle name="Total 2 9 2 3 2 2" xfId="7212" xr:uid="{4440D9C2-A682-4FA2-AFD5-B7ECB4B6EA07}"/>
    <cellStyle name="Total 2 9 2 3 2 3" xfId="9878" xr:uid="{F660CC2C-34BA-4F04-A09B-695056087FB1}"/>
    <cellStyle name="Total 2 9 2 3 2 4" xfId="4238" xr:uid="{8374CE5E-FD0B-4A14-9E27-4DFB83EAB1D2}"/>
    <cellStyle name="Total 2 9 2 3 3" xfId="4978" xr:uid="{E2210C9E-D738-4AAF-9308-3F3F91E0FA2F}"/>
    <cellStyle name="Total 2 9 2 3 3 2" xfId="7952" xr:uid="{958AB0B0-1324-4BB7-880E-F6B0F6281C0A}"/>
    <cellStyle name="Total 2 9 2 3 4" xfId="5743" xr:uid="{96C71D73-2DC3-4417-8C17-A4B96DEE6CB6}"/>
    <cellStyle name="Total 2 9 2 3 4 2" xfId="8717" xr:uid="{CE33D0B7-4BDE-43CA-9D9B-14E86C1EEBFB}"/>
    <cellStyle name="Total 2 9 2 3 5" xfId="6416" xr:uid="{6662E32F-D6A0-4F5F-ADE3-3468FCA32FD2}"/>
    <cellStyle name="Total 2 9 2 3 6" xfId="2393" xr:uid="{639C8165-B9C9-4736-955F-C6A7F8791873}"/>
    <cellStyle name="Total 2 9 2 4" xfId="1327" xr:uid="{6CC45679-A604-4017-ACAC-F1B819067B8A}"/>
    <cellStyle name="Total 2 9 2 4 2" xfId="7098" xr:uid="{74835DF4-7D10-46F4-8774-230067FD0076}"/>
    <cellStyle name="Total 2 9 2 4 3" xfId="9764" xr:uid="{3E33674E-1FBA-477B-A2E0-AE36DB859E3D}"/>
    <cellStyle name="Total 2 9 2 4 4" xfId="4124" xr:uid="{0F1CB27A-AD41-4BF4-BB22-33565C55FCF2}"/>
    <cellStyle name="Total 2 9 2 5" xfId="4864" xr:uid="{FDA30098-C34B-44DE-BCBB-FB80A5719D20}"/>
    <cellStyle name="Total 2 9 2 5 2" xfId="7838" xr:uid="{6ABA4A24-970E-4104-8ED3-33D8C2A6CAAE}"/>
    <cellStyle name="Total 2 9 2 6" xfId="5629" xr:uid="{140B7C1A-BFE9-49F2-8D6E-AEC6C5013592}"/>
    <cellStyle name="Total 2 9 2 6 2" xfId="8603" xr:uid="{DB7F4FA5-60AA-4FB5-9A3E-8456E33F7B4F}"/>
    <cellStyle name="Total 2 9 2 7" xfId="6302" xr:uid="{2387B6FA-92B9-4999-96B2-FF8F64DF8DAB}"/>
    <cellStyle name="Total 2 9 2 8" xfId="2279" xr:uid="{43F02700-B4EE-4459-AD5D-AC5B1AF1C175}"/>
    <cellStyle name="Total 2 9 3" xfId="790" xr:uid="{E862F841-8DBF-47F4-9032-FB9B6F8486D1}"/>
    <cellStyle name="Total 2 9 3 2" xfId="1595" xr:uid="{56D99CC3-458D-4EF6-B8E8-D8C23D13C5A4}"/>
    <cellStyle name="Total 2 9 3 2 2" xfId="7366" xr:uid="{92F31AB7-F733-4A0D-9EFD-932EA4DD4667}"/>
    <cellStyle name="Total 2 9 3 2 3" xfId="10032" xr:uid="{2F6FA6AB-9D89-47C4-8F06-4B845EE60334}"/>
    <cellStyle name="Total 2 9 3 2 4" xfId="4392" xr:uid="{4B6BDB98-06F4-4A37-BCC1-E761C4AB5E91}"/>
    <cellStyle name="Total 2 9 3 3" xfId="5132" xr:uid="{04058B1F-C1C2-4F60-A56F-7E29EE679F17}"/>
    <cellStyle name="Total 2 9 3 3 2" xfId="8106" xr:uid="{8DDCE988-7A1B-4623-B5B7-E92E2CB74F0A}"/>
    <cellStyle name="Total 2 9 3 4" xfId="5897" xr:uid="{69AD8BA4-09AF-421E-8516-B6C69A5ED088}"/>
    <cellStyle name="Total 2 9 3 4 2" xfId="8871" xr:uid="{AB51B09F-6B51-42D1-B9DD-24BE8B57E726}"/>
    <cellStyle name="Total 2 9 3 5" xfId="3624" xr:uid="{C67884B0-090D-40B3-A327-EC00D9F570E1}"/>
    <cellStyle name="Total 2 9 3 6" xfId="6570" xr:uid="{6A3BCE38-25B5-4739-BF6C-9AEA1170EA09}"/>
    <cellStyle name="Total 2 9 3 7" xfId="2547" xr:uid="{D736ADB9-6D80-4018-9D83-382E8C0A03BF}"/>
    <cellStyle name="Total 2 9 4" xfId="617" xr:uid="{E9E489E8-BC20-4674-90C6-E22A6DEE7540}"/>
    <cellStyle name="Total 2 9 4 2" xfId="1422" xr:uid="{F1013B3A-D73E-43EE-BDC3-37B169878ED3}"/>
    <cellStyle name="Total 2 9 4 2 2" xfId="7193" xr:uid="{6D269E4C-8756-4DAA-9096-5A7FD61B7EE9}"/>
    <cellStyle name="Total 2 9 4 2 3" xfId="9859" xr:uid="{B7FC3A5E-B4AA-4E02-A4B2-527AD8BC8478}"/>
    <cellStyle name="Total 2 9 4 2 4" xfId="4219" xr:uid="{8D94F4B9-682D-4E7A-BC5A-E7D1FCA3A631}"/>
    <cellStyle name="Total 2 9 4 3" xfId="4959" xr:uid="{39A0E63D-8A39-42CD-92E8-0DA989595FE8}"/>
    <cellStyle name="Total 2 9 4 3 2" xfId="7933" xr:uid="{14F3113F-540D-475A-8EAE-B747FD2CA245}"/>
    <cellStyle name="Total 2 9 4 4" xfId="5724" xr:uid="{D9CCDC3D-1AC2-4545-8E93-466B9F17C9D6}"/>
    <cellStyle name="Total 2 9 4 4 2" xfId="8698" xr:uid="{D5A8E365-A571-4203-B19F-0F504122CA1A}"/>
    <cellStyle name="Total 2 9 4 5" xfId="6397" xr:uid="{056168DE-7BFD-463A-956F-BEBA05BAD53A}"/>
    <cellStyle name="Total 2 9 4 6" xfId="2374" xr:uid="{0AC5BDB9-4820-42B6-A6EE-57B5C6C77531}"/>
    <cellStyle name="Total 2 9 5" xfId="3106" xr:uid="{1D9B8773-3FDA-4474-8482-FE397F563933}"/>
    <cellStyle name="Total 2 9 6" xfId="2117" xr:uid="{0753F287-B4FF-4EB0-ACC2-948D19CA5C50}"/>
    <cellStyle name="Total 3" xfId="139" xr:uid="{62B2F187-6616-499A-BD31-F0EFA2B971F4}"/>
    <cellStyle name="Total 3 10" xfId="293" xr:uid="{5A540D70-A3A5-4591-9CED-5393DCBD04BD}"/>
    <cellStyle name="Total 3 10 2" xfId="517" xr:uid="{D236AF9A-970B-4E61-9CC1-FB0D89F84575}"/>
    <cellStyle name="Total 3 10 2 2" xfId="996" xr:uid="{90FD9826-D615-4EFC-A4B1-D5B8BABE258F}"/>
    <cellStyle name="Total 3 10 2 2 2" xfId="1801" xr:uid="{0EAD6D17-3E5B-431C-95E1-BCE6F4E43668}"/>
    <cellStyle name="Total 3 10 2 2 2 2" xfId="7572" xr:uid="{40EA6239-8F96-4913-A26B-DE1AD43CD949}"/>
    <cellStyle name="Total 3 10 2 2 2 3" xfId="10238" xr:uid="{1B843B07-1FBA-4DC3-97CD-E599378A402F}"/>
    <cellStyle name="Total 3 10 2 2 2 4" xfId="4598" xr:uid="{405CB147-C374-430A-9FCC-ADE1C4C2E839}"/>
    <cellStyle name="Total 3 10 2 2 3" xfId="5338" xr:uid="{CABB7DD4-1544-4575-9823-4E7D9A51DEF2}"/>
    <cellStyle name="Total 3 10 2 2 3 2" xfId="8312" xr:uid="{2CD29557-4D6D-4D40-8763-D8714D5EB7CC}"/>
    <cellStyle name="Total 3 10 2 2 4" xfId="6103" xr:uid="{4270A3FC-642A-42E0-B5C7-D02C5D8BF45D}"/>
    <cellStyle name="Total 3 10 2 2 4 2" xfId="9077" xr:uid="{C992E125-C2E6-4280-B1AB-FCFB09EC655A}"/>
    <cellStyle name="Total 3 10 2 2 5" xfId="3813" xr:uid="{A1898E57-D4C3-488A-A610-EB9769F12134}"/>
    <cellStyle name="Total 3 10 2 2 6" xfId="6776" xr:uid="{F8FC9356-C3B9-4947-B96C-C7A8560B036A}"/>
    <cellStyle name="Total 3 10 2 2 7" xfId="2753" xr:uid="{677A1E38-AD5B-4A9A-8606-83EBE0BA189E}"/>
    <cellStyle name="Total 3 10 2 3" xfId="1143" xr:uid="{BF45C323-09FF-4F70-AEE6-DC2D768152D0}"/>
    <cellStyle name="Total 3 10 2 3 2" xfId="1948" xr:uid="{9FF71A82-7B26-424F-8A31-75D85610726B}"/>
    <cellStyle name="Total 3 10 2 3 2 2" xfId="7719" xr:uid="{DBFBFBE7-560D-42E5-A9F6-5D4B609BA576}"/>
    <cellStyle name="Total 3 10 2 3 2 3" xfId="10385" xr:uid="{D338416D-D47F-475F-BD0D-0C221F06FB66}"/>
    <cellStyle name="Total 3 10 2 3 2 4" xfId="4745" xr:uid="{9CE6CEF3-DCAB-4C95-9F5A-7D4B85388692}"/>
    <cellStyle name="Total 3 10 2 3 3" xfId="5485" xr:uid="{A905AD7D-D1D7-4210-9E5E-A9E44A392762}"/>
    <cellStyle name="Total 3 10 2 3 3 2" xfId="8459" xr:uid="{5F45A7BC-0146-4B3A-A600-F0927BBF798B}"/>
    <cellStyle name="Total 3 10 2 3 4" xfId="6250" xr:uid="{6D8E3DBA-ABF8-440C-A258-06199571D081}"/>
    <cellStyle name="Total 3 10 2 3 4 2" xfId="9224" xr:uid="{47BE3CDB-C595-49A5-B9A0-A6C40CAB7C6B}"/>
    <cellStyle name="Total 3 10 2 3 5" xfId="6923" xr:uid="{E54DCAF4-7D23-438D-9868-F3165292301D}"/>
    <cellStyle name="Total 3 10 2 3 6" xfId="2900" xr:uid="{F9D3FEB1-8CB6-492B-8C4B-0BDA1597A920}"/>
    <cellStyle name="Total 3 10 2 4" xfId="1323" xr:uid="{CC4A803B-A4BC-453D-8F1E-50C1B44EDE78}"/>
    <cellStyle name="Total 3 10 2 4 2" xfId="7094" xr:uid="{A6284949-C42A-4EA9-871B-F867D4445EF3}"/>
    <cellStyle name="Total 3 10 2 4 3" xfId="9760" xr:uid="{5A260CE6-9220-4F8E-B64C-02F4F8847ED0}"/>
    <cellStyle name="Total 3 10 2 4 4" xfId="4120" xr:uid="{22CCAF0C-E2B6-499B-9EBB-AA2D30D78BCF}"/>
    <cellStyle name="Total 3 10 2 5" xfId="4860" xr:uid="{72A0F12A-661E-4A44-B4CC-6F6EDF4683C3}"/>
    <cellStyle name="Total 3 10 2 5 2" xfId="7834" xr:uid="{00DED44F-9FEA-4291-81E5-7EE5748CA33C}"/>
    <cellStyle name="Total 3 10 2 6" xfId="5625" xr:uid="{3FD4C112-AD94-4C36-B50A-5403D751B8E1}"/>
    <cellStyle name="Total 3 10 2 6 2" xfId="8599" xr:uid="{F77A5A55-17E9-415E-A48E-16B31E6FF28C}"/>
    <cellStyle name="Total 3 10 2 7" xfId="2972" xr:uid="{00389A58-1CB8-4AA8-BB10-A0BB67146027}"/>
    <cellStyle name="Total 3 10 2 8" xfId="2275" xr:uid="{176D7D16-4B56-4251-A82A-9870364DBED2}"/>
    <cellStyle name="Total 3 10 3" xfId="785" xr:uid="{AB75EADA-6D43-4E11-8567-BFB9A32DF0BF}"/>
    <cellStyle name="Total 3 10 3 2" xfId="1590" xr:uid="{DDBE4F34-1777-498F-8C02-BDBAD1EA689C}"/>
    <cellStyle name="Total 3 10 3 2 2" xfId="7361" xr:uid="{553A516A-7D40-4B45-A2B7-F0A0773B7296}"/>
    <cellStyle name="Total 3 10 3 2 3" xfId="10027" xr:uid="{FDFD346E-91D6-47C8-A472-072B2E6C7EBF}"/>
    <cellStyle name="Total 3 10 3 2 4" xfId="4387" xr:uid="{53C64672-1B3D-4BE1-8EF7-B794B176DBC9}"/>
    <cellStyle name="Total 3 10 3 3" xfId="5127" xr:uid="{59FED2FA-68E5-450E-BC39-F09B6852D8DA}"/>
    <cellStyle name="Total 3 10 3 3 2" xfId="8101" xr:uid="{4F691220-922A-404A-8284-65C2466ECCDA}"/>
    <cellStyle name="Total 3 10 3 4" xfId="5892" xr:uid="{09971B93-2137-4E2F-9FDC-F452D140AD6A}"/>
    <cellStyle name="Total 3 10 3 4 2" xfId="8866" xr:uid="{8FD04F13-18BD-4648-BF2F-65EA3F93F8AA}"/>
    <cellStyle name="Total 3 10 3 5" xfId="3620" xr:uid="{368C9D2B-C3E7-472E-AFFD-EC8B83FFEB41}"/>
    <cellStyle name="Total 3 10 3 6" xfId="6565" xr:uid="{74317392-A013-4CB8-842D-F212D252C278}"/>
    <cellStyle name="Total 3 10 3 7" xfId="2542" xr:uid="{B601C347-2BCD-4B41-936C-8D8C08E4CA26}"/>
    <cellStyle name="Total 3 10 4" xfId="582" xr:uid="{04A885D6-A67A-489E-88AE-AE64C88A8EA0}"/>
    <cellStyle name="Total 3 10 4 2" xfId="1387" xr:uid="{3E6B84E8-9421-46A7-99E3-73D3C613B89B}"/>
    <cellStyle name="Total 3 10 4 2 2" xfId="7158" xr:uid="{D959AE35-F4AF-4E79-B72D-4E021B4B9307}"/>
    <cellStyle name="Total 3 10 4 2 3" xfId="9824" xr:uid="{EC6802C4-BDE9-4616-9A93-E459E6B1D6F0}"/>
    <cellStyle name="Total 3 10 4 2 4" xfId="4184" xr:uid="{0983909C-EB75-4E0A-A490-7A7D0971292A}"/>
    <cellStyle name="Total 3 10 4 3" xfId="4924" xr:uid="{D9524093-3D0A-4998-9748-EE7692B88AEB}"/>
    <cellStyle name="Total 3 10 4 3 2" xfId="7898" xr:uid="{5A617928-8E7C-4738-BDCB-2E0F52500302}"/>
    <cellStyle name="Total 3 10 4 4" xfId="5689" xr:uid="{11BAC1F5-4536-4E84-A839-4C10ADBB5C28}"/>
    <cellStyle name="Total 3 10 4 4 2" xfId="8663" xr:uid="{BB2505C7-DDDE-4FD4-B4B7-4995B1AB10A1}"/>
    <cellStyle name="Total 3 10 4 5" xfId="6362" xr:uid="{6AADD450-64A1-4D85-A07A-A68F961A89C6}"/>
    <cellStyle name="Total 3 10 4 6" xfId="2339" xr:uid="{0DCE99AC-E5A7-4AD2-BF1D-2DE911E0BEEA}"/>
    <cellStyle name="Total 3 10 5" xfId="3978" xr:uid="{C36069F0-4006-46A3-A315-9203FAA3F6D6}"/>
    <cellStyle name="Total 3 10 6" xfId="2113" xr:uid="{B1379314-AE1E-4C2C-BC76-D261877AED4D}"/>
    <cellStyle name="Total 3 11" xfId="245" xr:uid="{32FA10FD-A9D1-4A2D-82E9-5305C2EF1973}"/>
    <cellStyle name="Total 3 11 2" xfId="469" xr:uid="{8F499892-4CA2-4905-A689-4CAB1614618C}"/>
    <cellStyle name="Total 3 11 2 2" xfId="948" xr:uid="{E3522256-0C21-4B86-80CF-8DAFCD0611BD}"/>
    <cellStyle name="Total 3 11 2 2 2" xfId="1753" xr:uid="{08EC1502-A2A3-4341-A1CD-C752E0E5C983}"/>
    <cellStyle name="Total 3 11 2 2 2 2" xfId="7524" xr:uid="{360AD173-2F54-47DD-B546-CB6437BB33AD}"/>
    <cellStyle name="Total 3 11 2 2 2 3" xfId="10190" xr:uid="{4C26AF19-8736-49AF-91E6-D0F6232540D8}"/>
    <cellStyle name="Total 3 11 2 2 2 4" xfId="4550" xr:uid="{C7478F20-0F51-4A8D-844C-8DCF2CED3090}"/>
    <cellStyle name="Total 3 11 2 2 3" xfId="5290" xr:uid="{A4AF9FA9-334A-410A-9608-9AC14CBA2F2D}"/>
    <cellStyle name="Total 3 11 2 2 3 2" xfId="8264" xr:uid="{4D69ED39-4B41-4303-999A-4668FF46B477}"/>
    <cellStyle name="Total 3 11 2 2 4" xfId="6055" xr:uid="{ADB161C7-F43E-475A-B997-ECE8300469B9}"/>
    <cellStyle name="Total 3 11 2 2 4 2" xfId="9029" xr:uid="{AADBDBD4-76E1-4018-8F24-D76AD74EA4D9}"/>
    <cellStyle name="Total 3 11 2 2 5" xfId="3765" xr:uid="{84AC7570-8F9D-4063-9E14-5F529C7C1474}"/>
    <cellStyle name="Total 3 11 2 2 6" xfId="6728" xr:uid="{18EA6347-40D3-4682-B6DA-1BB0B8671670}"/>
    <cellStyle name="Total 3 11 2 2 7" xfId="2705" xr:uid="{069CAB6E-D009-4484-8BAC-925C3DA01370}"/>
    <cellStyle name="Total 3 11 2 3" xfId="1132" xr:uid="{4C19975E-8B61-4046-8BE1-56539893C138}"/>
    <cellStyle name="Total 3 11 2 3 2" xfId="1937" xr:uid="{E7B8CB20-01C4-4BA5-8A68-BB00D2D7208E}"/>
    <cellStyle name="Total 3 11 2 3 2 2" xfId="7708" xr:uid="{F90BF559-B9DC-40BA-AAAF-003096BEEBC8}"/>
    <cellStyle name="Total 3 11 2 3 2 3" xfId="10374" xr:uid="{505123A5-C520-437A-AACD-04FFA83691D2}"/>
    <cellStyle name="Total 3 11 2 3 2 4" xfId="4734" xr:uid="{128571AF-0FD3-454B-A275-3D160C93B1A1}"/>
    <cellStyle name="Total 3 11 2 3 3" xfId="5474" xr:uid="{F1AE77D5-C641-4CF0-A5AC-96CFAC7D9407}"/>
    <cellStyle name="Total 3 11 2 3 3 2" xfId="8448" xr:uid="{40932164-9FCD-487A-BE14-943F093EA76F}"/>
    <cellStyle name="Total 3 11 2 3 4" xfId="6239" xr:uid="{59C380B2-DA43-46D0-A452-1F4391D9949F}"/>
    <cellStyle name="Total 3 11 2 3 4 2" xfId="9213" xr:uid="{F253FA42-4F24-478D-B7C4-72601C423DFF}"/>
    <cellStyle name="Total 3 11 2 3 5" xfId="6912" xr:uid="{5C47F66F-32C0-4B38-AA5B-880985EB63ED}"/>
    <cellStyle name="Total 3 11 2 3 6" xfId="2889" xr:uid="{BDCA2F2A-B1AE-4908-A2F0-B6239194B454}"/>
    <cellStyle name="Total 3 11 2 4" xfId="1275" xr:uid="{571E2A93-FB43-4F9C-9405-F26A08E2B833}"/>
    <cellStyle name="Total 3 11 2 4 2" xfId="7046" xr:uid="{3B1478AF-FE0C-4955-AA09-B8B90FD7425C}"/>
    <cellStyle name="Total 3 11 2 4 3" xfId="9712" xr:uid="{B84F9CC5-DAAA-4B2C-986C-BB6752ADE176}"/>
    <cellStyle name="Total 3 11 2 4 4" xfId="4072" xr:uid="{040F90F0-6761-4C48-9BF1-602638B37519}"/>
    <cellStyle name="Total 3 11 2 5" xfId="4812" xr:uid="{B781EA1C-46ED-440B-8277-7DE828A74239}"/>
    <cellStyle name="Total 3 11 2 5 2" xfId="7786" xr:uid="{39C0B2B4-DCB7-402E-B09E-7FA4E283F358}"/>
    <cellStyle name="Total 3 11 2 6" xfId="5577" xr:uid="{8585A99A-3820-4DF7-8853-1822ABC25EAA}"/>
    <cellStyle name="Total 3 11 2 6 2" xfId="8551" xr:uid="{6185D307-EFA1-4B58-9EF8-362BB7DFC1DB}"/>
    <cellStyle name="Total 3 11 2 7" xfId="3141" xr:uid="{8CB7ADE4-4550-4C0A-89BF-42CBD77EE1F7}"/>
    <cellStyle name="Total 3 11 2 8" xfId="2227" xr:uid="{9C2CD29C-2245-471F-BC01-9AF47A2C9489}"/>
    <cellStyle name="Total 3 11 3" xfId="737" xr:uid="{91533B93-4E60-49D5-93BB-809B87E3C657}"/>
    <cellStyle name="Total 3 11 3 2" xfId="1542" xr:uid="{F8330597-9921-4237-BB60-AA6506D6EDA3}"/>
    <cellStyle name="Total 3 11 3 2 2" xfId="7313" xr:uid="{8DCEFB17-CDB6-41F7-81C9-81F8557A42B5}"/>
    <cellStyle name="Total 3 11 3 2 3" xfId="9979" xr:uid="{13CAF08F-A046-4E87-AC21-B74B012CE7DE}"/>
    <cellStyle name="Total 3 11 3 2 4" xfId="4339" xr:uid="{1046D504-1686-44FA-A969-C85BC19EA82D}"/>
    <cellStyle name="Total 3 11 3 3" xfId="5079" xr:uid="{A9D939CF-A98E-4308-9C19-B1455D813719}"/>
    <cellStyle name="Total 3 11 3 3 2" xfId="8053" xr:uid="{8658D8B1-FBF4-48B6-B6DD-80A8C1C70F23}"/>
    <cellStyle name="Total 3 11 3 4" xfId="5844" xr:uid="{E49BA9BE-7514-41E4-8E5F-FD979DA77BDE}"/>
    <cellStyle name="Total 3 11 3 4 2" xfId="8818" xr:uid="{772F089D-2896-407E-9136-3AE54CBE71A1}"/>
    <cellStyle name="Total 3 11 3 5" xfId="3572" xr:uid="{7A4387EB-449F-4690-A761-1C764C43394D}"/>
    <cellStyle name="Total 3 11 3 6" xfId="6517" xr:uid="{FB1A2377-DA91-4808-9D85-2957670693DD}"/>
    <cellStyle name="Total 3 11 3 7" xfId="2494" xr:uid="{DE19EB56-20A5-4D26-95C6-92F458A1D0DE}"/>
    <cellStyle name="Total 3 11 4" xfId="787" xr:uid="{152F3900-00F1-4A8D-8EF7-4EF8B24B6F60}"/>
    <cellStyle name="Total 3 11 4 2" xfId="1592" xr:uid="{C334A5E6-DFEC-4D4A-96E6-71A2129DFAB3}"/>
    <cellStyle name="Total 3 11 4 2 2" xfId="7363" xr:uid="{37DFBF8C-426F-4EA9-8E6D-8927F147088E}"/>
    <cellStyle name="Total 3 11 4 2 3" xfId="10029" xr:uid="{3ED96C70-4A65-4CB1-B9EE-276501569665}"/>
    <cellStyle name="Total 3 11 4 2 4" xfId="4389" xr:uid="{C10BC0AB-8595-4D05-A7D7-DA07101DA7F0}"/>
    <cellStyle name="Total 3 11 4 3" xfId="5129" xr:uid="{42E30BDD-E2DB-401D-93FB-09718E4A3D1D}"/>
    <cellStyle name="Total 3 11 4 3 2" xfId="8103" xr:uid="{8BFD3559-9B8C-4778-A247-778F28F35D9A}"/>
    <cellStyle name="Total 3 11 4 4" xfId="5894" xr:uid="{2A360FBB-8D35-4EE2-9C4A-B30D17969390}"/>
    <cellStyle name="Total 3 11 4 4 2" xfId="8868" xr:uid="{011EF294-C07D-4F7A-9BC1-2BB5542B5670}"/>
    <cellStyle name="Total 3 11 4 5" xfId="6567" xr:uid="{B8D03BF5-6B3F-45C9-A8A3-B2D1081F3029}"/>
    <cellStyle name="Total 3 11 4 6" xfId="2544" xr:uid="{E914F09B-62FD-49B7-ABFE-11D768109539}"/>
    <cellStyle name="Total 3 11 5" xfId="3877" xr:uid="{5BDE75F7-895B-41D8-B95C-8D4BA0AC17C3}"/>
    <cellStyle name="Total 3 11 6" xfId="2062" xr:uid="{6E87B03D-D62B-4D32-A7D7-C267F5EA49F5}"/>
    <cellStyle name="Total 3 12" xfId="415" xr:uid="{42061E33-6F9E-4259-A868-14A407F87B7A}"/>
    <cellStyle name="Total 3 12 2" xfId="894" xr:uid="{B6C516E2-A6A2-4C56-AA8E-14EDD9BBA72F}"/>
    <cellStyle name="Total 3 12 2 2" xfId="1699" xr:uid="{A8480C38-85BA-4001-8F41-85DC604CE404}"/>
    <cellStyle name="Total 3 12 2 2 2" xfId="7470" xr:uid="{E08B3B7D-0036-407D-8742-2A67460FA62D}"/>
    <cellStyle name="Total 3 12 2 2 3" xfId="10136" xr:uid="{196EAA40-8D18-4FF8-BB8B-0C3C600C232E}"/>
    <cellStyle name="Total 3 12 2 2 4" xfId="4496" xr:uid="{1C0C46A0-D141-4DC1-9282-7F91071A2CB4}"/>
    <cellStyle name="Total 3 12 2 3" xfId="5236" xr:uid="{2148EB2D-0696-4349-B578-7574C8EB3979}"/>
    <cellStyle name="Total 3 12 2 3 2" xfId="8210" xr:uid="{262A94C0-8A57-4FBB-8D62-B68070BC912A}"/>
    <cellStyle name="Total 3 12 2 4" xfId="6001" xr:uid="{BC0EBFD3-A1ED-470E-A24A-AEA12812D579}"/>
    <cellStyle name="Total 3 12 2 4 2" xfId="8975" xr:uid="{2034E01F-E5FC-4A39-9C6B-461B11F3870C}"/>
    <cellStyle name="Total 3 12 2 5" xfId="3711" xr:uid="{895D879C-B703-4588-AA67-D4099F2C78DA}"/>
    <cellStyle name="Total 3 12 2 6" xfId="6674" xr:uid="{AA13C45A-D6B5-4A85-BC7A-7CA2AD5C1A79}"/>
    <cellStyle name="Total 3 12 2 7" xfId="2651" xr:uid="{4DC95FAA-C359-4F54-BFE8-DBCE398C48B0}"/>
    <cellStyle name="Total 3 12 3" xfId="1167" xr:uid="{D5A324E8-0D10-4F8C-8EC3-3F8FA6C962F8}"/>
    <cellStyle name="Total 3 12 3 2" xfId="1972" xr:uid="{AA0416A7-E72C-4DC5-AE57-D8A76BE5E3BD}"/>
    <cellStyle name="Total 3 12 3 2 2" xfId="7743" xr:uid="{6775E71F-9404-402C-A78D-CDB2BB71767E}"/>
    <cellStyle name="Total 3 12 3 2 3" xfId="10409" xr:uid="{ECA2912C-6874-4996-8DF9-1960F3DDC28F}"/>
    <cellStyle name="Total 3 12 3 2 4" xfId="4769" xr:uid="{D1FF004A-622A-4560-82D3-536FB88BA0A8}"/>
    <cellStyle name="Total 3 12 3 3" xfId="5509" xr:uid="{BB82556B-8C4F-4B4C-A1BB-77890C0206EF}"/>
    <cellStyle name="Total 3 12 3 3 2" xfId="8483" xr:uid="{1A32AE55-741C-490D-B742-80416551B40E}"/>
    <cellStyle name="Total 3 12 3 4" xfId="6274" xr:uid="{2ABF2474-F242-439C-BDE6-F73E245E5F55}"/>
    <cellStyle name="Total 3 12 3 4 2" xfId="9248" xr:uid="{82D724A1-C718-45F0-99C3-601A163FC21C}"/>
    <cellStyle name="Total 3 12 3 5" xfId="6947" xr:uid="{E867469C-F77B-48F7-BE33-F39E2D0007EC}"/>
    <cellStyle name="Total 3 12 3 6" xfId="2924" xr:uid="{D7116BD0-CF00-4CCE-BD17-D242FD043091}"/>
    <cellStyle name="Total 3 12 4" xfId="1221" xr:uid="{3440107E-D888-4582-B135-B4C1399AFF5D}"/>
    <cellStyle name="Total 3 12 4 2" xfId="6992" xr:uid="{E4B3DF1B-AA9E-4F7F-AE5F-5EF2377B9FEA}"/>
    <cellStyle name="Total 3 12 4 3" xfId="9658" xr:uid="{52739CEF-3C57-4A37-8EC7-D5A2D2AEEB9A}"/>
    <cellStyle name="Total 3 12 4 4" xfId="4018" xr:uid="{3D9A0702-ED14-4068-AEDD-1442A90F24DB}"/>
    <cellStyle name="Total 3 12 5" xfId="3266" xr:uid="{4798903A-BCD9-4673-A248-5165184C74EE}"/>
    <cellStyle name="Total 3 12 5 2" xfId="3306" xr:uid="{5CA8A481-BEB6-4322-9C53-A838F2C0E10A}"/>
    <cellStyle name="Total 3 12 6" xfId="4005" xr:uid="{3EB8FA9C-C1F3-444B-87CF-875665F3B672}"/>
    <cellStyle name="Total 3 12 6 2" xfId="6979" xr:uid="{BC30F415-FE08-4DD6-9E90-418EF8A47DDC}"/>
    <cellStyle name="Total 3 12 7" xfId="3033" xr:uid="{3FBB163F-D252-42AF-8EE0-ACD9820F69E9}"/>
    <cellStyle name="Total 3 12 8" xfId="2173" xr:uid="{6B7981DC-4811-46CF-BCDA-799BCFB1DA80}"/>
    <cellStyle name="Total 3 13" xfId="653" xr:uid="{2539E87E-74DC-4689-A4E8-6C27819DED6A}"/>
    <cellStyle name="Total 3 13 2" xfId="1458" xr:uid="{59AB20CE-5695-45C9-939B-FB0C01695F66}"/>
    <cellStyle name="Total 3 13 2 2" xfId="7229" xr:uid="{20269CFC-8CC2-4E18-93B6-9DE56FBC4694}"/>
    <cellStyle name="Total 3 13 2 3" xfId="9895" xr:uid="{773D51CC-008C-480A-A2C4-540E134700E4}"/>
    <cellStyle name="Total 3 13 2 4" xfId="4255" xr:uid="{89F8BAF6-19F5-4408-AB70-7B4FBF22B766}"/>
    <cellStyle name="Total 3 13 3" xfId="4995" xr:uid="{04A00102-B48A-4776-91F5-7916668BF823}"/>
    <cellStyle name="Total 3 13 3 2" xfId="7969" xr:uid="{DA3C8D44-B9DB-47F3-9724-119DC0420CD9}"/>
    <cellStyle name="Total 3 13 4" xfId="5760" xr:uid="{C95AEF00-DFC3-429E-B132-7FB919F980BA}"/>
    <cellStyle name="Total 3 13 4 2" xfId="8734" xr:uid="{58A34B6E-7FD3-4871-A007-98C1261D90A3}"/>
    <cellStyle name="Total 3 13 5" xfId="3495" xr:uid="{D80ECFED-0836-45CF-9EF9-7D0731AC7CA5}"/>
    <cellStyle name="Total 3 13 6" xfId="6433" xr:uid="{DB145D35-E8DC-4FC6-95CD-70D4B96F03DB}"/>
    <cellStyle name="Total 3 13 7" xfId="2410" xr:uid="{16A23853-21A1-4776-8863-1C4CC1C4752F}"/>
    <cellStyle name="Total 3 14" xfId="1069" xr:uid="{7D52A046-F580-4B9D-BB7C-6598FD4769EA}"/>
    <cellStyle name="Total 3 14 2" xfId="1874" xr:uid="{95423965-D213-4410-948A-20995A44B46A}"/>
    <cellStyle name="Total 3 14 2 2" xfId="7645" xr:uid="{1EE075D3-545F-4433-8029-959BBCC6CDAB}"/>
    <cellStyle name="Total 3 14 2 3" xfId="10311" xr:uid="{2F625B1D-2662-4499-87DD-EE2B8F87A8C7}"/>
    <cellStyle name="Total 3 14 2 4" xfId="4671" xr:uid="{23EE17DA-2B4D-492D-B582-62B4F36D79C1}"/>
    <cellStyle name="Total 3 14 3" xfId="5411" xr:uid="{C73DA88E-9468-4AEB-B3D2-DEE920089C84}"/>
    <cellStyle name="Total 3 14 3 2" xfId="8385" xr:uid="{2E41380B-9F3C-4414-BC9E-9F7CCC70BC17}"/>
    <cellStyle name="Total 3 14 4" xfId="6176" xr:uid="{A997793A-9216-4730-934F-1335D04EEB0E}"/>
    <cellStyle name="Total 3 14 4 2" xfId="9150" xr:uid="{2D91EEFC-F9DC-4B79-945A-CED5E25FEEA3}"/>
    <cellStyle name="Total 3 14 5" xfId="6849" xr:uid="{D5B55253-97BD-4B0B-BD72-7D506DBD49BA}"/>
    <cellStyle name="Total 3 14 6" xfId="2826" xr:uid="{FBCC4644-7DA3-46FD-99E6-5DC7FAE7CC60}"/>
    <cellStyle name="Total 3 15" xfId="3353" xr:uid="{1697BCE7-8C78-48BC-8DD8-E431F0FCD412}"/>
    <cellStyle name="Total 3 16" xfId="2002" xr:uid="{F31AFE3B-7483-458D-8D20-E36E6425D46B}"/>
    <cellStyle name="Total 3 2" xfId="190" xr:uid="{5C635B04-EDB0-4281-9BED-178C51CA9685}"/>
    <cellStyle name="Total 3 2 2" xfId="307" xr:uid="{A6533BE7-22B6-489B-959F-134679413F48}"/>
    <cellStyle name="Total 3 2 2 2" xfId="529" xr:uid="{A4E6A646-FCC4-4532-89BD-95ADF65EF090}"/>
    <cellStyle name="Total 3 2 2 2 2" xfId="1008" xr:uid="{4981CD0A-4820-4B7F-B1FC-B94DA70A1CC5}"/>
    <cellStyle name="Total 3 2 2 2 2 2" xfId="1813" xr:uid="{98D6E2F3-35B9-4C24-A1FE-D8BDD95D3495}"/>
    <cellStyle name="Total 3 2 2 2 2 2 2" xfId="7584" xr:uid="{27D0C83E-6A01-4820-A64E-4EC5E1015CC6}"/>
    <cellStyle name="Total 3 2 2 2 2 2 3" xfId="10250" xr:uid="{31D14CDE-AB4C-4ABB-B111-535346533A00}"/>
    <cellStyle name="Total 3 2 2 2 2 2 4" xfId="4610" xr:uid="{E2A87532-EEA5-4677-9BA6-8D415C12DE33}"/>
    <cellStyle name="Total 3 2 2 2 2 3" xfId="5350" xr:uid="{9F0B7610-5E8D-4A73-A7E2-EF666D2F13BD}"/>
    <cellStyle name="Total 3 2 2 2 2 3 2" xfId="8324" xr:uid="{C420B549-9D97-4429-B418-F75681A3CE72}"/>
    <cellStyle name="Total 3 2 2 2 2 4" xfId="6115" xr:uid="{CBC1DACD-9656-4607-8EA7-1D8D35A16D40}"/>
    <cellStyle name="Total 3 2 2 2 2 4 2" xfId="9089" xr:uid="{89CD2B76-7028-4B9D-9350-27C0B4E3F40E}"/>
    <cellStyle name="Total 3 2 2 2 2 5" xfId="3825" xr:uid="{B16B59AB-4EB8-4160-BBD8-1E1D10153F96}"/>
    <cellStyle name="Total 3 2 2 2 2 6" xfId="6788" xr:uid="{A7A74502-2CE8-49F3-8CDC-D669CDC7CB4F}"/>
    <cellStyle name="Total 3 2 2 2 2 7" xfId="2765" xr:uid="{E2D90AC6-9240-4108-8E09-DCD797EBB231}"/>
    <cellStyle name="Total 3 2 2 2 3" xfId="639" xr:uid="{4A2B2A14-BE3E-4F9B-B647-050E73247D20}"/>
    <cellStyle name="Total 3 2 2 2 3 2" xfId="1444" xr:uid="{4D609664-3A23-4C63-A255-2C1955AD6F8A}"/>
    <cellStyle name="Total 3 2 2 2 3 2 2" xfId="7215" xr:uid="{D06CEA6B-A7EC-48D1-9252-E32624B13210}"/>
    <cellStyle name="Total 3 2 2 2 3 2 3" xfId="9881" xr:uid="{C57FBE14-C4CB-483B-A333-5DB0D3DD0A06}"/>
    <cellStyle name="Total 3 2 2 2 3 2 4" xfId="4241" xr:uid="{967AB221-22CC-4BBC-AE8D-9D41800A0491}"/>
    <cellStyle name="Total 3 2 2 2 3 3" xfId="4981" xr:uid="{5F215315-57FF-41E6-871A-06A28C404D58}"/>
    <cellStyle name="Total 3 2 2 2 3 3 2" xfId="7955" xr:uid="{D4E17BC0-9C07-408A-8241-DC0DCCBC9CB2}"/>
    <cellStyle name="Total 3 2 2 2 3 4" xfId="5746" xr:uid="{FC9D2F41-D8F7-4109-B478-9B3AD5F774DA}"/>
    <cellStyle name="Total 3 2 2 2 3 4 2" xfId="8720" xr:uid="{5500A8A4-8276-477C-A6C2-51FE761F430F}"/>
    <cellStyle name="Total 3 2 2 2 3 5" xfId="6419" xr:uid="{55808F5C-628B-42F1-867E-498FC718652C}"/>
    <cellStyle name="Total 3 2 2 2 3 6" xfId="2396" xr:uid="{469EB37A-B2A7-4F1F-A2FA-8B075C91A08A}"/>
    <cellStyle name="Total 3 2 2 2 4" xfId="1335" xr:uid="{84AD3476-5A86-4DD4-9549-5005A1073CCC}"/>
    <cellStyle name="Total 3 2 2 2 4 2" xfId="7106" xr:uid="{129071B8-2398-4823-96B6-C11651311523}"/>
    <cellStyle name="Total 3 2 2 2 4 3" xfId="9772" xr:uid="{8D38710F-C09E-45CE-BE67-1D51159C37A6}"/>
    <cellStyle name="Total 3 2 2 2 4 4" xfId="4132" xr:uid="{D62C18AD-E02A-4BE4-BFC5-E97682A3D4A1}"/>
    <cellStyle name="Total 3 2 2 2 5" xfId="4872" xr:uid="{23FCAC51-864B-4EFB-85C6-66E9D3E501DE}"/>
    <cellStyle name="Total 3 2 2 2 5 2" xfId="7846" xr:uid="{0F8C17F6-53D5-465A-B286-075CACE86BE7}"/>
    <cellStyle name="Total 3 2 2 2 6" xfId="5637" xr:uid="{F85883B5-4457-4765-9779-C88751F6A395}"/>
    <cellStyle name="Total 3 2 2 2 6 2" xfId="8611" xr:uid="{0793EFE2-D5AD-4DB2-A1DC-6CAF8BF19002}"/>
    <cellStyle name="Total 3 2 2 2 7" xfId="6310" xr:uid="{575B4B3C-716A-4650-9A9E-CEB0C1A7120C}"/>
    <cellStyle name="Total 3 2 2 2 8" xfId="2287" xr:uid="{C9BAF073-B975-4048-9E0A-91EA3AB9E596}"/>
    <cellStyle name="Total 3 2 2 3" xfId="798" xr:uid="{3F6EC72A-59F4-4F6A-92D4-30617E495258}"/>
    <cellStyle name="Total 3 2 2 3 2" xfId="1603" xr:uid="{971A17E4-7848-4545-84A4-FB48F1F1A1A6}"/>
    <cellStyle name="Total 3 2 2 3 2 2" xfId="7374" xr:uid="{28C246B6-B097-462C-BA79-D1012C3FB4A0}"/>
    <cellStyle name="Total 3 2 2 3 2 3" xfId="10040" xr:uid="{255EDE4A-7551-472C-80E8-073517722BFA}"/>
    <cellStyle name="Total 3 2 2 3 2 4" xfId="4400" xr:uid="{CCC62B56-426E-4E93-BB67-800620E83EA6}"/>
    <cellStyle name="Total 3 2 2 3 3" xfId="5140" xr:uid="{A49C6BD6-C3DB-4978-BAF5-1B4BF405AAB4}"/>
    <cellStyle name="Total 3 2 2 3 3 2" xfId="8114" xr:uid="{CDFC594D-7D5E-4B82-AD83-ADC576EAA4A9}"/>
    <cellStyle name="Total 3 2 2 3 4" xfId="5905" xr:uid="{BF2FBEF3-3BDA-4A5D-98A8-6F3A79299AD5}"/>
    <cellStyle name="Total 3 2 2 3 4 2" xfId="8879" xr:uid="{FE107ED8-41D7-4252-8807-2F7FDD7055C9}"/>
    <cellStyle name="Total 3 2 2 3 5" xfId="3632" xr:uid="{DE3EAB87-AABC-4732-8760-F20D52E13DF7}"/>
    <cellStyle name="Total 3 2 2 3 6" xfId="6578" xr:uid="{8AF3F143-BE53-4B74-AB4A-1153E8B8D04D}"/>
    <cellStyle name="Total 3 2 2 3 7" xfId="2555" xr:uid="{07BE3240-6915-41D8-B62E-C34E057A778A}"/>
    <cellStyle name="Total 3 2 2 4" xfId="1109" xr:uid="{DBAE2300-5155-48FA-A1B3-A407C60680BB}"/>
    <cellStyle name="Total 3 2 2 4 2" xfId="1914" xr:uid="{9E963787-19FA-4A24-A2CC-F21A42BCEB86}"/>
    <cellStyle name="Total 3 2 2 4 2 2" xfId="7685" xr:uid="{29ACA088-12BD-43B2-8267-C061F6B4F72D}"/>
    <cellStyle name="Total 3 2 2 4 2 3" xfId="10351" xr:uid="{231D29ED-4FDD-49C1-A509-B565104B303F}"/>
    <cellStyle name="Total 3 2 2 4 2 4" xfId="4711" xr:uid="{09020B12-F44E-404C-94E5-641A4746FCE1}"/>
    <cellStyle name="Total 3 2 2 4 3" xfId="5451" xr:uid="{77150367-1143-4A1D-BB2B-1748AC4E7D15}"/>
    <cellStyle name="Total 3 2 2 4 3 2" xfId="8425" xr:uid="{66B1F7C1-1BD6-4513-9939-4845CA987C16}"/>
    <cellStyle name="Total 3 2 2 4 4" xfId="6216" xr:uid="{89CD17D8-9E84-42AA-875C-27F781D96B24}"/>
    <cellStyle name="Total 3 2 2 4 4 2" xfId="9190" xr:uid="{7FB51D4B-388C-408A-A84D-FFFDD3CB2B2C}"/>
    <cellStyle name="Total 3 2 2 4 5" xfId="6889" xr:uid="{D91E629C-F04D-4B5E-9CAE-6A5EEFD08D23}"/>
    <cellStyle name="Total 3 2 2 4 6" xfId="2866" xr:uid="{E70F4403-CC14-47F9-BDC0-D2C1F470AA0E}"/>
    <cellStyle name="Total 3 2 2 5" xfId="3971" xr:uid="{656E8D18-8E3F-4641-838C-8956A10BB44A}"/>
    <cellStyle name="Total 3 2 2 6" xfId="2125" xr:uid="{118B4257-1A18-49B5-A9DD-21775CB5FA49}"/>
    <cellStyle name="Total 3 2 3" xfId="251" xr:uid="{427D163A-6DF2-4F00-AEED-214421980EFE}"/>
    <cellStyle name="Total 3 2 3 2" xfId="475" xr:uid="{015E64AC-8826-4A73-A346-CC604A38C5DD}"/>
    <cellStyle name="Total 3 2 3 2 2" xfId="954" xr:uid="{47952C99-89BB-4F60-8AC3-CDE2E42AE650}"/>
    <cellStyle name="Total 3 2 3 2 2 2" xfId="1759" xr:uid="{58807934-275A-4633-89EE-D5131B28EFAC}"/>
    <cellStyle name="Total 3 2 3 2 2 2 2" xfId="7530" xr:uid="{B78C9D46-CFAC-4BAF-932C-D3EA3DC1ACC7}"/>
    <cellStyle name="Total 3 2 3 2 2 2 3" xfId="10196" xr:uid="{A738D515-9F78-45FD-A841-BB0580B91B8F}"/>
    <cellStyle name="Total 3 2 3 2 2 2 4" xfId="4556" xr:uid="{D7B04613-DD94-4E67-9FA7-754D0E5D59BA}"/>
    <cellStyle name="Total 3 2 3 2 2 3" xfId="5296" xr:uid="{DF56123D-DBAF-41A5-8575-62BD0E6BB8F8}"/>
    <cellStyle name="Total 3 2 3 2 2 3 2" xfId="8270" xr:uid="{B648CABD-1114-4D97-AE64-9C0EA4F8952B}"/>
    <cellStyle name="Total 3 2 3 2 2 4" xfId="6061" xr:uid="{D6B3F344-90CE-4247-B89D-3855377EDC03}"/>
    <cellStyle name="Total 3 2 3 2 2 4 2" xfId="9035" xr:uid="{6C2022BF-AF22-4B0A-B25F-141096360D78}"/>
    <cellStyle name="Total 3 2 3 2 2 5" xfId="3771" xr:uid="{4A20B716-F0E5-4910-AFA9-F7A671CBDBC7}"/>
    <cellStyle name="Total 3 2 3 2 2 6" xfId="6734" xr:uid="{238643B6-B85A-4B95-822F-CCD7889BE025}"/>
    <cellStyle name="Total 3 2 3 2 2 7" xfId="2711" xr:uid="{D9BA251E-AA3D-47FF-9408-3455FD6D031A}"/>
    <cellStyle name="Total 3 2 3 2 3" xfId="1131" xr:uid="{A0E646C6-98C0-4D46-B3E6-6382FDD4A534}"/>
    <cellStyle name="Total 3 2 3 2 3 2" xfId="1936" xr:uid="{A7A1AC40-D030-4EBF-B62C-0B7754B92FBE}"/>
    <cellStyle name="Total 3 2 3 2 3 2 2" xfId="7707" xr:uid="{7EDFFEE1-7DBC-4FD1-810F-EDCFE7A66DC2}"/>
    <cellStyle name="Total 3 2 3 2 3 2 3" xfId="10373" xr:uid="{9898CC3B-F091-49B4-A8E6-F71DB4CCBD72}"/>
    <cellStyle name="Total 3 2 3 2 3 2 4" xfId="4733" xr:uid="{1CBAD5EC-436F-435A-92A7-C4D184CF8603}"/>
    <cellStyle name="Total 3 2 3 2 3 3" xfId="5473" xr:uid="{4BD9C084-455F-4447-A9AF-4E2C4C5E98F2}"/>
    <cellStyle name="Total 3 2 3 2 3 3 2" xfId="8447" xr:uid="{48CC763F-F22E-4712-9A6D-CA8053CBB2FA}"/>
    <cellStyle name="Total 3 2 3 2 3 4" xfId="6238" xr:uid="{553F1933-79B3-48E9-8AB3-A7492E305697}"/>
    <cellStyle name="Total 3 2 3 2 3 4 2" xfId="9212" xr:uid="{FE90C34D-31FC-44A1-8F8F-EABEFD5E4CC6}"/>
    <cellStyle name="Total 3 2 3 2 3 5" xfId="6911" xr:uid="{4C384DCB-285D-4337-B8EC-31DA54234330}"/>
    <cellStyle name="Total 3 2 3 2 3 6" xfId="2888" xr:uid="{29B1D23A-3602-44E4-B788-A31C216A807B}"/>
    <cellStyle name="Total 3 2 3 2 4" xfId="1281" xr:uid="{8682BFCE-AAFF-45A7-9D12-6ABEC0C847FE}"/>
    <cellStyle name="Total 3 2 3 2 4 2" xfId="7052" xr:uid="{5EA891BB-3971-4FD3-A2BA-E2B79BBAF71A}"/>
    <cellStyle name="Total 3 2 3 2 4 3" xfId="9718" xr:uid="{57C45EF9-F1BA-4775-BAB6-24DFBAF2C13A}"/>
    <cellStyle name="Total 3 2 3 2 4 4" xfId="4078" xr:uid="{D456D69C-2ACD-404A-8B7A-52F35B500E9E}"/>
    <cellStyle name="Total 3 2 3 2 5" xfId="4818" xr:uid="{04E0A0A4-4F81-4A7E-B23C-A1C9FF48B4C5}"/>
    <cellStyle name="Total 3 2 3 2 5 2" xfId="7792" xr:uid="{09FBF828-7A02-4AD3-B53B-2AACE7958D7A}"/>
    <cellStyle name="Total 3 2 3 2 6" xfId="5583" xr:uid="{3D4E9D4D-BB99-4090-B856-C04FC20AD998}"/>
    <cellStyle name="Total 3 2 3 2 6 2" xfId="8557" xr:uid="{40E516E8-ECF1-4437-8D55-FAAF88F132C6}"/>
    <cellStyle name="Total 3 2 3 2 7" xfId="3297" xr:uid="{3C118628-8B31-497A-9B2A-4A413B0F0D26}"/>
    <cellStyle name="Total 3 2 3 2 8" xfId="2233" xr:uid="{984DD34D-39D6-49DF-BD04-4B8F6325739C}"/>
    <cellStyle name="Total 3 2 3 3" xfId="743" xr:uid="{74142E93-D803-4E0D-A931-B27E7BD5F8DD}"/>
    <cellStyle name="Total 3 2 3 3 2" xfId="1548" xr:uid="{7D37C1CA-33EA-4AE4-B54B-FEF4708DF781}"/>
    <cellStyle name="Total 3 2 3 3 2 2" xfId="7319" xr:uid="{A5BB62C9-395F-4D1C-9364-43E93374A3FD}"/>
    <cellStyle name="Total 3 2 3 3 2 3" xfId="9985" xr:uid="{7C81D099-182D-4FE9-B747-D7443A412232}"/>
    <cellStyle name="Total 3 2 3 3 2 4" xfId="4345" xr:uid="{94E17456-DE5D-4EB1-89B8-1AE2D5DE1CBD}"/>
    <cellStyle name="Total 3 2 3 3 3" xfId="5085" xr:uid="{58C1ED34-0EC3-4255-9E32-966C8FD3C47E}"/>
    <cellStyle name="Total 3 2 3 3 3 2" xfId="8059" xr:uid="{ED245E0E-3948-4F7A-B23B-36F3E25FD0C5}"/>
    <cellStyle name="Total 3 2 3 3 4" xfId="5850" xr:uid="{CD88EBC3-DDE4-4916-A560-8EEAD7739020}"/>
    <cellStyle name="Total 3 2 3 3 4 2" xfId="8824" xr:uid="{275A82BC-7D28-42F6-877D-EFDD77CE326F}"/>
    <cellStyle name="Total 3 2 3 3 5" xfId="3578" xr:uid="{C42AA1EA-48E5-4AF7-9AAF-12F19138421D}"/>
    <cellStyle name="Total 3 2 3 3 6" xfId="6523" xr:uid="{CAE8DFE1-BA41-44B8-8B14-4CB6B67D9DFF}"/>
    <cellStyle name="Total 3 2 3 3 7" xfId="2500" xr:uid="{AB9AF604-8761-4350-A0CF-086717AE0F09}"/>
    <cellStyle name="Total 3 2 3 4" xfId="667" xr:uid="{DED87700-C81D-47E1-9832-F65AFFC9D609}"/>
    <cellStyle name="Total 3 2 3 4 2" xfId="1472" xr:uid="{EDB92EAD-8298-48BD-ABC5-D992F09C259D}"/>
    <cellStyle name="Total 3 2 3 4 2 2" xfId="7243" xr:uid="{45206CC3-EECC-4C8E-94B2-4CA79FA83780}"/>
    <cellStyle name="Total 3 2 3 4 2 3" xfId="9909" xr:uid="{77FBB27E-5111-42AA-AFE2-D5A345B5D965}"/>
    <cellStyle name="Total 3 2 3 4 2 4" xfId="4269" xr:uid="{08F9D140-88A5-400F-9C60-CA6D6415828B}"/>
    <cellStyle name="Total 3 2 3 4 3" xfId="5009" xr:uid="{2171A9C9-8883-45B3-AA4A-ADF7C877AEAC}"/>
    <cellStyle name="Total 3 2 3 4 3 2" xfId="7983" xr:uid="{1CB29C37-828B-453B-BCD6-535782E74087}"/>
    <cellStyle name="Total 3 2 3 4 4" xfId="5774" xr:uid="{92C54BA2-ED02-48E2-AEBD-5A8A4D6345AD}"/>
    <cellStyle name="Total 3 2 3 4 4 2" xfId="8748" xr:uid="{72968F52-4126-4B9C-B988-0E2E8A72003D}"/>
    <cellStyle name="Total 3 2 3 4 5" xfId="6447" xr:uid="{04E74BD6-6797-4721-B7FB-229B2801B91D}"/>
    <cellStyle name="Total 3 2 3 4 6" xfId="2424" xr:uid="{F05B4C81-F9C2-4735-B226-9FB3E37B90E6}"/>
    <cellStyle name="Total 3 2 3 5" xfId="3911" xr:uid="{61F1345A-3983-449F-87E6-7FA5A34ABCF0}"/>
    <cellStyle name="Total 3 2 3 6" xfId="2068" xr:uid="{90AF00A6-E65E-4469-9AA2-C4688A0C597B}"/>
    <cellStyle name="Total 3 2 4" xfId="421" xr:uid="{E7C1A2AC-1E1D-4719-8F42-C3AAD33E33D2}"/>
    <cellStyle name="Total 3 2 4 2" xfId="900" xr:uid="{029C3057-53B9-47C6-BC38-956A17FDC34A}"/>
    <cellStyle name="Total 3 2 4 2 2" xfId="1705" xr:uid="{7E412BCA-3CEB-4E61-9B7B-B25E2A97BDF4}"/>
    <cellStyle name="Total 3 2 4 2 2 2" xfId="7476" xr:uid="{7DD888AE-B2F7-45CE-A50B-0C8F7554632D}"/>
    <cellStyle name="Total 3 2 4 2 2 3" xfId="10142" xr:uid="{72761F66-1D22-49FD-9236-BAB718B4F9A6}"/>
    <cellStyle name="Total 3 2 4 2 2 4" xfId="4502" xr:uid="{95C57183-4CC6-4164-AE57-EC332138CAB3}"/>
    <cellStyle name="Total 3 2 4 2 3" xfId="5242" xr:uid="{D6FD863B-12D6-431C-8AC6-A30149D8CA84}"/>
    <cellStyle name="Total 3 2 4 2 3 2" xfId="8216" xr:uid="{DB3BA3A7-EB9A-4DD7-A13F-3D800525B063}"/>
    <cellStyle name="Total 3 2 4 2 4" xfId="6007" xr:uid="{00CDAF4A-3F3E-4A8D-8789-05125B7ED3D0}"/>
    <cellStyle name="Total 3 2 4 2 4 2" xfId="8981" xr:uid="{22FA4277-4A88-47BD-AB32-A36215A226B4}"/>
    <cellStyle name="Total 3 2 4 2 5" xfId="3717" xr:uid="{41F91B61-95D3-4298-B400-3F2EEEDE4E18}"/>
    <cellStyle name="Total 3 2 4 2 6" xfId="6680" xr:uid="{429BADE2-89BC-4A5C-BC26-407AADD10883}"/>
    <cellStyle name="Total 3 2 4 2 7" xfId="2657" xr:uid="{6A943137-B789-4A75-8BBC-F2AA915B49DE}"/>
    <cellStyle name="Total 3 2 4 3" xfId="1165" xr:uid="{1889769D-578C-4A6A-8154-CCA1964B0C53}"/>
    <cellStyle name="Total 3 2 4 3 2" xfId="1970" xr:uid="{C28F2801-25A8-4D3C-AE91-EE829DF7BA2B}"/>
    <cellStyle name="Total 3 2 4 3 2 2" xfId="7741" xr:uid="{69308FC9-7437-474B-B26B-CEAFBAA0D164}"/>
    <cellStyle name="Total 3 2 4 3 2 3" xfId="10407" xr:uid="{8AAFB0CC-04DC-43D2-B9FA-EFB950712FD4}"/>
    <cellStyle name="Total 3 2 4 3 2 4" xfId="4767" xr:uid="{25F063D4-CB08-4768-A2BC-680C871ACBB0}"/>
    <cellStyle name="Total 3 2 4 3 3" xfId="5507" xr:uid="{937E3927-BE2C-4255-B4B6-CD3D3C72AA62}"/>
    <cellStyle name="Total 3 2 4 3 3 2" xfId="8481" xr:uid="{D6858313-FE43-4BCD-8CDE-9B6DAEDF5C07}"/>
    <cellStyle name="Total 3 2 4 3 4" xfId="6272" xr:uid="{DC932956-B6F1-4376-AE89-B05C69568058}"/>
    <cellStyle name="Total 3 2 4 3 4 2" xfId="9246" xr:uid="{91A36D5F-9F18-4C22-8C1A-B19E339318C9}"/>
    <cellStyle name="Total 3 2 4 3 5" xfId="6945" xr:uid="{143FA1DD-695E-44AF-9DDD-22FAC779E78D}"/>
    <cellStyle name="Total 3 2 4 3 6" xfId="2922" xr:uid="{7096F061-F434-400B-89FA-1C320ED2B4D1}"/>
    <cellStyle name="Total 3 2 4 4" xfId="1227" xr:uid="{F1280B7E-68C6-4BD4-BE27-0FF9C6EFDD0A}"/>
    <cellStyle name="Total 3 2 4 4 2" xfId="6998" xr:uid="{FDEEAC85-A462-4ECA-AED9-05C33DD02DB3}"/>
    <cellStyle name="Total 3 2 4 4 3" xfId="9664" xr:uid="{837547A6-57D6-4432-B462-32A601CB797D}"/>
    <cellStyle name="Total 3 2 4 4 4" xfId="4024" xr:uid="{AD75C26B-8862-4FAE-9A39-56B757AB8366}"/>
    <cellStyle name="Total 3 2 4 5" xfId="3270" xr:uid="{B5C0FCCB-8D5B-420C-9911-037D4D814324}"/>
    <cellStyle name="Total 3 2 4 5 2" xfId="3118" xr:uid="{0F3B3C7A-A903-4976-8B74-B6830B0A2296}"/>
    <cellStyle name="Total 3 2 4 6" xfId="4010" xr:uid="{F5F01CFC-9F07-462E-A69E-288C4CD1A047}"/>
    <cellStyle name="Total 3 2 4 6 2" xfId="6984" xr:uid="{B93617BF-A3F9-4E22-85C9-DB897DE89D75}"/>
    <cellStyle name="Total 3 2 4 7" xfId="3034" xr:uid="{09DBBC49-22FB-4630-AF24-31D2463D3B26}"/>
    <cellStyle name="Total 3 2 4 8" xfId="2179" xr:uid="{0523DEA1-1107-4A06-A858-78CB04E03323}"/>
    <cellStyle name="Total 3 2 5" xfId="684" xr:uid="{695CEA01-EF76-4386-A226-6C9D232D9F1A}"/>
    <cellStyle name="Total 3 2 5 2" xfId="1489" xr:uid="{FE914ECB-951B-4E7D-963C-529ACFFD0DBF}"/>
    <cellStyle name="Total 3 2 5 2 2" xfId="7260" xr:uid="{F44C72B8-BC70-4533-ADD2-447B1C4D0609}"/>
    <cellStyle name="Total 3 2 5 2 3" xfId="9926" xr:uid="{B8156F7F-0D75-46FE-8D1D-EBD95C7504CE}"/>
    <cellStyle name="Total 3 2 5 2 4" xfId="4286" xr:uid="{1E2DF63D-4C7A-4B01-8444-57D0133225CB}"/>
    <cellStyle name="Total 3 2 5 3" xfId="5026" xr:uid="{D52EDA99-DB3E-4596-A5BA-5FD9BE9915DF}"/>
    <cellStyle name="Total 3 2 5 3 2" xfId="8000" xr:uid="{E73A877E-0774-4271-A09C-02C3EF0DECF4}"/>
    <cellStyle name="Total 3 2 5 4" xfId="5791" xr:uid="{143560E2-40D2-467F-9559-94A11D240127}"/>
    <cellStyle name="Total 3 2 5 4 2" xfId="8765" xr:uid="{58833A31-EFC3-4DFF-93AA-06F00EF35337}"/>
    <cellStyle name="Total 3 2 5 5" xfId="3520" xr:uid="{0FD6CF2C-12AE-4A50-A948-8087428F040A}"/>
    <cellStyle name="Total 3 2 5 6" xfId="6464" xr:uid="{59925BD5-DCFD-4D6A-B655-A595FB9D051A}"/>
    <cellStyle name="Total 3 2 5 7" xfId="2441" xr:uid="{8C651CBD-F8B3-4FF2-A22B-DF009C8A9304}"/>
    <cellStyle name="Total 3 2 6" xfId="884" xr:uid="{F0A2E630-1332-46D9-8237-8FE8762F7F58}"/>
    <cellStyle name="Total 3 2 6 2" xfId="1689" xr:uid="{F61B109E-F686-4842-A69C-4B3D0BB2AF73}"/>
    <cellStyle name="Total 3 2 6 2 2" xfId="7460" xr:uid="{E76CD77A-AE01-4524-86CC-84023C12EAEC}"/>
    <cellStyle name="Total 3 2 6 2 3" xfId="10126" xr:uid="{773B1876-DD10-47B7-B431-12F1DA2209C4}"/>
    <cellStyle name="Total 3 2 6 2 4" xfId="4486" xr:uid="{97E78492-E928-489C-B410-3607332607C0}"/>
    <cellStyle name="Total 3 2 6 3" xfId="5226" xr:uid="{E3982323-D626-416B-A8F7-4F64E812A85C}"/>
    <cellStyle name="Total 3 2 6 3 2" xfId="8200" xr:uid="{3E1B4C3B-349A-44E4-8CA3-0984B461A803}"/>
    <cellStyle name="Total 3 2 6 4" xfId="5991" xr:uid="{7D35B81D-0175-4E3B-B609-F3BDC0810B24}"/>
    <cellStyle name="Total 3 2 6 4 2" xfId="8965" xr:uid="{EF5C968D-B071-404A-820C-AE296B27C727}"/>
    <cellStyle name="Total 3 2 6 5" xfId="6664" xr:uid="{08FBCB8F-05FB-4DBD-A7FA-3A3F7A78E4E3}"/>
    <cellStyle name="Total 3 2 6 6" xfId="2641" xr:uid="{62C086BA-10C6-46CC-9CDE-F7580CBFF864}"/>
    <cellStyle name="Total 3 2 7" xfId="3370" xr:uid="{A8A20579-D463-40CE-82F0-986948D69D53}"/>
    <cellStyle name="Total 3 2 8" xfId="2010" xr:uid="{6C4CD88E-69C6-4D62-B5B4-EFE77A87C175}"/>
    <cellStyle name="Total 3 3" xfId="209" xr:uid="{6117C3DC-0710-43D8-81F9-2875D620F135}"/>
    <cellStyle name="Total 3 3 2" xfId="313" xr:uid="{68729FFE-8CDA-4DC2-A78C-B4632448968F}"/>
    <cellStyle name="Total 3 3 2 2" xfId="535" xr:uid="{DB0860F1-13B2-4F89-9132-99B88F937FB5}"/>
    <cellStyle name="Total 3 3 2 2 2" xfId="1014" xr:uid="{739D5240-C8B5-40B9-A276-17676BCE3976}"/>
    <cellStyle name="Total 3 3 2 2 2 2" xfId="1819" xr:uid="{3BB9B095-A0A1-4ED0-B828-29E7D7516E82}"/>
    <cellStyle name="Total 3 3 2 2 2 2 2" xfId="7590" xr:uid="{B363AEE3-9437-40FE-A65D-1274C756D9BC}"/>
    <cellStyle name="Total 3 3 2 2 2 2 3" xfId="10256" xr:uid="{5BF9ECB2-C84D-407E-84C1-6A3072EAB678}"/>
    <cellStyle name="Total 3 3 2 2 2 2 4" xfId="4616" xr:uid="{35601E1B-9718-4AC6-A4D9-3552D29BDDEE}"/>
    <cellStyle name="Total 3 3 2 2 2 3" xfId="5356" xr:uid="{866EAC2A-1808-4FFB-81FE-6021A258C4C4}"/>
    <cellStyle name="Total 3 3 2 2 2 3 2" xfId="8330" xr:uid="{03C50AC4-733A-4C2B-BAFF-DCB438EE5719}"/>
    <cellStyle name="Total 3 3 2 2 2 4" xfId="6121" xr:uid="{4CF6FE99-39CD-4A0B-88F2-B2CFD3597F1E}"/>
    <cellStyle name="Total 3 3 2 2 2 4 2" xfId="9095" xr:uid="{E2C9A17C-1F6C-43D2-830E-0DF3F9271E08}"/>
    <cellStyle name="Total 3 3 2 2 2 5" xfId="3831" xr:uid="{EE6A1738-8439-4B88-B278-30CB83603230}"/>
    <cellStyle name="Total 3 3 2 2 2 6" xfId="6794" xr:uid="{D78D3940-2A03-4CD3-99BF-1887D8B90AF3}"/>
    <cellStyle name="Total 3 3 2 2 2 7" xfId="2771" xr:uid="{F3D8BDCA-3101-4E9B-9E59-D508EAEDBBEC}"/>
    <cellStyle name="Total 3 3 2 2 3" xfId="628" xr:uid="{05E743EA-CE11-4C6A-95A0-3C8184D9027E}"/>
    <cellStyle name="Total 3 3 2 2 3 2" xfId="1433" xr:uid="{BB5160D8-632F-41E9-AAF2-73C94890619B}"/>
    <cellStyle name="Total 3 3 2 2 3 2 2" xfId="7204" xr:uid="{D757B303-077C-4CE5-9B49-209A9ECAED18}"/>
    <cellStyle name="Total 3 3 2 2 3 2 3" xfId="9870" xr:uid="{AB6FF0BD-FD8D-4114-8355-76F202946BEA}"/>
    <cellStyle name="Total 3 3 2 2 3 2 4" xfId="4230" xr:uid="{B9B3AED3-078C-470D-93B1-20ABFABC32D0}"/>
    <cellStyle name="Total 3 3 2 2 3 3" xfId="4970" xr:uid="{4C07877C-A815-4685-BE2F-91854613AB7B}"/>
    <cellStyle name="Total 3 3 2 2 3 3 2" xfId="7944" xr:uid="{1E54F9A6-37AE-41A7-882E-7628EBCBB825}"/>
    <cellStyle name="Total 3 3 2 2 3 4" xfId="5735" xr:uid="{9157897D-6525-420E-8C0F-96C86A9F020E}"/>
    <cellStyle name="Total 3 3 2 2 3 4 2" xfId="8709" xr:uid="{42D0AF06-5B9F-4083-B0BC-1A8D5AFF96F6}"/>
    <cellStyle name="Total 3 3 2 2 3 5" xfId="6408" xr:uid="{A41BCB2C-6911-4BCE-A212-F14B5BADCD1A}"/>
    <cellStyle name="Total 3 3 2 2 3 6" xfId="2385" xr:uid="{A585BE14-B905-4195-9E5D-B34961ED83A7}"/>
    <cellStyle name="Total 3 3 2 2 4" xfId="1341" xr:uid="{4FFC1882-BD2A-4E16-83AF-A3C6B39EC5BC}"/>
    <cellStyle name="Total 3 3 2 2 4 2" xfId="7112" xr:uid="{2D29B6D0-522A-40B9-BE57-6A87987AA89A}"/>
    <cellStyle name="Total 3 3 2 2 4 3" xfId="9778" xr:uid="{3B9B75C5-09E9-4125-A018-6C471A2EDC66}"/>
    <cellStyle name="Total 3 3 2 2 4 4" xfId="4138" xr:uid="{3B04C8DF-B6B7-4B1C-95F7-E1BFCABCF74F}"/>
    <cellStyle name="Total 3 3 2 2 5" xfId="4878" xr:uid="{09D1B7FE-04E9-4C2D-8EB7-4D9BF1127360}"/>
    <cellStyle name="Total 3 3 2 2 5 2" xfId="7852" xr:uid="{30029154-11D0-4A3C-A3F6-9E2B8904B31D}"/>
    <cellStyle name="Total 3 3 2 2 6" xfId="5643" xr:uid="{E9ED77D6-D94D-427C-BADB-AC370D3F4864}"/>
    <cellStyle name="Total 3 3 2 2 6 2" xfId="8617" xr:uid="{3912CF1D-BFC1-4890-B4DC-98E5834FD15B}"/>
    <cellStyle name="Total 3 3 2 2 7" xfId="6316" xr:uid="{4B52A93F-6E62-498D-B764-A31C7AEA00F4}"/>
    <cellStyle name="Total 3 3 2 2 8" xfId="2293" xr:uid="{B356E91A-F08F-4C49-A194-BDA4AE33BAB3}"/>
    <cellStyle name="Total 3 3 2 3" xfId="804" xr:uid="{BD8CEA67-4388-4D2D-9763-BAE46D4D55A5}"/>
    <cellStyle name="Total 3 3 2 3 2" xfId="1609" xr:uid="{3EF527BE-D0A0-49D6-A32A-0176E1346BB7}"/>
    <cellStyle name="Total 3 3 2 3 2 2" xfId="7380" xr:uid="{37722A9D-7593-4F76-8E4F-89D79AA670A0}"/>
    <cellStyle name="Total 3 3 2 3 2 3" xfId="10046" xr:uid="{B19C93D6-18F3-4A64-9988-E7F6C61A620D}"/>
    <cellStyle name="Total 3 3 2 3 2 4" xfId="4406" xr:uid="{966F8D19-CC5F-4604-9BCD-80EB6E7F30C1}"/>
    <cellStyle name="Total 3 3 2 3 3" xfId="5146" xr:uid="{90B36093-F1A0-48F4-82B2-8FB785AF493E}"/>
    <cellStyle name="Total 3 3 2 3 3 2" xfId="8120" xr:uid="{09C4F374-426C-4C4E-B639-DDF76DC2138D}"/>
    <cellStyle name="Total 3 3 2 3 4" xfId="5911" xr:uid="{2DD549E1-4304-47A9-B929-E7F100A7ABF6}"/>
    <cellStyle name="Total 3 3 2 3 4 2" xfId="8885" xr:uid="{A9855957-8655-4131-8C36-E4E7CFDEDEF5}"/>
    <cellStyle name="Total 3 3 2 3 5" xfId="3638" xr:uid="{3779D1A1-8FAC-4E0C-8D48-475CFD73A34D}"/>
    <cellStyle name="Total 3 3 2 3 6" xfId="6584" xr:uid="{A8A4CCFE-A2C7-401F-91EF-624DFA28103F}"/>
    <cellStyle name="Total 3 3 2 3 7" xfId="2561" xr:uid="{BBF04577-55BB-4CB5-8B81-43C53770A799}"/>
    <cellStyle name="Total 3 3 2 4" xfId="1103" xr:uid="{F24166F7-A3C5-4A88-AB3F-35F78FAF162D}"/>
    <cellStyle name="Total 3 3 2 4 2" xfId="1908" xr:uid="{9289DCCD-585A-40D6-BEC3-1DA935C2C017}"/>
    <cellStyle name="Total 3 3 2 4 2 2" xfId="7679" xr:uid="{8B7E4E0A-1118-4F56-8E7A-9059BFAECEBC}"/>
    <cellStyle name="Total 3 3 2 4 2 3" xfId="10345" xr:uid="{4423DBFC-D5EB-4462-BB07-E68671A6542A}"/>
    <cellStyle name="Total 3 3 2 4 2 4" xfId="4705" xr:uid="{C258B9A5-62B9-4BAA-A177-70320B8CC60F}"/>
    <cellStyle name="Total 3 3 2 4 3" xfId="5445" xr:uid="{59224109-55B3-45BF-86A0-40679B76954C}"/>
    <cellStyle name="Total 3 3 2 4 3 2" xfId="8419" xr:uid="{0D5CA68F-3A19-4BA8-9602-76767D148F96}"/>
    <cellStyle name="Total 3 3 2 4 4" xfId="6210" xr:uid="{F2DDC5E3-D3E7-415D-AFC3-41BBFCEE84E9}"/>
    <cellStyle name="Total 3 3 2 4 4 2" xfId="9184" xr:uid="{EA198DE7-F45D-457D-9A6D-8103D13C0EC5}"/>
    <cellStyle name="Total 3 3 2 4 5" xfId="6883" xr:uid="{614F091A-69F7-4619-A997-CF0EEB6907E2}"/>
    <cellStyle name="Total 3 3 2 4 6" xfId="2860" xr:uid="{7574E26C-9A92-40E0-823D-8BA2538F76BC}"/>
    <cellStyle name="Total 3 3 2 5" xfId="3315" xr:uid="{09EF411A-A425-4F07-B84C-900D9EBCEFB6}"/>
    <cellStyle name="Total 3 3 2 6" xfId="2131" xr:uid="{D82D467F-2356-487F-BD9B-AAAC5BE9513A}"/>
    <cellStyle name="Total 3 3 3" xfId="257" xr:uid="{5C8B9159-C564-445A-BD39-A94D5269A452}"/>
    <cellStyle name="Total 3 3 3 2" xfId="481" xr:uid="{9C353BCA-1585-4D57-ADCE-F9B1CA869D48}"/>
    <cellStyle name="Total 3 3 3 2 2" xfId="960" xr:uid="{5788C76B-B1FF-4233-9F0C-C65CD6EAAB48}"/>
    <cellStyle name="Total 3 3 3 2 2 2" xfId="1765" xr:uid="{F7D49CDE-A0C4-4833-BBC7-48585CBCDD8F}"/>
    <cellStyle name="Total 3 3 3 2 2 2 2" xfId="7536" xr:uid="{2ACC7AF0-1A51-42C2-A327-89CCC239EF2F}"/>
    <cellStyle name="Total 3 3 3 2 2 2 3" xfId="10202" xr:uid="{4801C2E8-C4B6-4B6C-8CF2-581FCF90B7BE}"/>
    <cellStyle name="Total 3 3 3 2 2 2 4" xfId="4562" xr:uid="{9D69A41E-34FF-487F-9AAB-B65FE19E8845}"/>
    <cellStyle name="Total 3 3 3 2 2 3" xfId="5302" xr:uid="{7E6904A8-C6EA-46FD-978F-B3C009F14805}"/>
    <cellStyle name="Total 3 3 3 2 2 3 2" xfId="8276" xr:uid="{9E46C766-641A-4C33-926F-4C45287EA342}"/>
    <cellStyle name="Total 3 3 3 2 2 4" xfId="6067" xr:uid="{51C00EFC-F7A6-4B37-8DE7-A68D2093EC62}"/>
    <cellStyle name="Total 3 3 3 2 2 4 2" xfId="9041" xr:uid="{B8800D46-E346-4FCE-93F9-F7E921012430}"/>
    <cellStyle name="Total 3 3 3 2 2 5" xfId="3777" xr:uid="{DD11F763-D541-417D-9E49-B8912E77D825}"/>
    <cellStyle name="Total 3 3 3 2 2 6" xfId="6740" xr:uid="{9DE44E3A-07BD-402F-9478-9788F3B2739D}"/>
    <cellStyle name="Total 3 3 3 2 2 7" xfId="2717" xr:uid="{0B11F7C2-49DD-4AA0-A4D7-347EC8E60FB8}"/>
    <cellStyle name="Total 3 3 3 2 3" xfId="1158" xr:uid="{71245552-5914-4389-98E9-9491D2E9DAC6}"/>
    <cellStyle name="Total 3 3 3 2 3 2" xfId="1963" xr:uid="{0987C91F-9F3F-4E8D-A70D-0E411AB2C22E}"/>
    <cellStyle name="Total 3 3 3 2 3 2 2" xfId="7734" xr:uid="{49FDDEC2-E5DD-446B-A876-FC79651D877B}"/>
    <cellStyle name="Total 3 3 3 2 3 2 3" xfId="10400" xr:uid="{EC03876D-108E-4430-92EB-2D02D5066440}"/>
    <cellStyle name="Total 3 3 3 2 3 2 4" xfId="4760" xr:uid="{851F51ED-0A23-4E41-882A-0D0C71A5B56F}"/>
    <cellStyle name="Total 3 3 3 2 3 3" xfId="5500" xr:uid="{F98067D2-7C88-4E88-9E72-2A6B341EAE2C}"/>
    <cellStyle name="Total 3 3 3 2 3 3 2" xfId="8474" xr:uid="{C537BA6A-1BA2-4CC8-B205-FFD7FF76E951}"/>
    <cellStyle name="Total 3 3 3 2 3 4" xfId="6265" xr:uid="{16DA7F6A-9BE8-43B5-BD40-1082AC4D92A8}"/>
    <cellStyle name="Total 3 3 3 2 3 4 2" xfId="9239" xr:uid="{3C029721-B871-4E80-80D3-ED9CDF9EC333}"/>
    <cellStyle name="Total 3 3 3 2 3 5" xfId="6938" xr:uid="{FA4DE583-4777-4E14-A4B7-E32014A2C0AE}"/>
    <cellStyle name="Total 3 3 3 2 3 6" xfId="2915" xr:uid="{CBB3A274-A1E8-4A81-93FB-271FA367724C}"/>
    <cellStyle name="Total 3 3 3 2 4" xfId="1287" xr:uid="{7C1750D7-9023-4AE9-8243-DC99E0F71703}"/>
    <cellStyle name="Total 3 3 3 2 4 2" xfId="7058" xr:uid="{D0FB3386-C46A-4AD2-8596-A9A311B13E63}"/>
    <cellStyle name="Total 3 3 3 2 4 3" xfId="9724" xr:uid="{2A412C02-5FAF-4654-B6AE-FEFF4E933410}"/>
    <cellStyle name="Total 3 3 3 2 4 4" xfId="4084" xr:uid="{2F63A665-F7E2-428F-9470-B81FAFEE7BAA}"/>
    <cellStyle name="Total 3 3 3 2 5" xfId="4824" xr:uid="{645D882A-568B-4EAD-B27F-2ED86A8F3E95}"/>
    <cellStyle name="Total 3 3 3 2 5 2" xfId="7798" xr:uid="{2D349A51-6976-4C89-AE60-DECEFD584778}"/>
    <cellStyle name="Total 3 3 3 2 6" xfId="5589" xr:uid="{2E03DB41-7BDF-4029-B93C-FD1D0A9D6430}"/>
    <cellStyle name="Total 3 3 3 2 6 2" xfId="8563" xr:uid="{21EED075-B650-4E38-B109-90AC73BD93F0}"/>
    <cellStyle name="Total 3 3 3 2 7" xfId="2962" xr:uid="{CAA073C3-1F35-426F-8F96-D1189FE2E671}"/>
    <cellStyle name="Total 3 3 3 2 8" xfId="2239" xr:uid="{995FE613-FE70-4367-B8A5-550F19F0DCD4}"/>
    <cellStyle name="Total 3 3 3 3" xfId="749" xr:uid="{290BD494-0DB7-42DB-98BC-434B2F9C70FD}"/>
    <cellStyle name="Total 3 3 3 3 2" xfId="1554" xr:uid="{139434D5-17EA-4E7A-AEE5-49DC62C395C0}"/>
    <cellStyle name="Total 3 3 3 3 2 2" xfId="7325" xr:uid="{65CBF4B0-24D3-43A9-BEF1-B8A3054ACC13}"/>
    <cellStyle name="Total 3 3 3 3 2 3" xfId="9991" xr:uid="{D98C4553-FF7E-4418-9A7C-B81C1597B948}"/>
    <cellStyle name="Total 3 3 3 3 2 4" xfId="4351" xr:uid="{2A10F07C-4FDC-43FA-8F4A-5D3B34511D7A}"/>
    <cellStyle name="Total 3 3 3 3 3" xfId="5091" xr:uid="{E0DF5EBD-D372-4E54-8ECC-5CD19CD8C1E7}"/>
    <cellStyle name="Total 3 3 3 3 3 2" xfId="8065" xr:uid="{E72EECE8-E602-4587-8B4D-0DF455A76DB2}"/>
    <cellStyle name="Total 3 3 3 3 4" xfId="5856" xr:uid="{DD60D390-399A-4C23-922B-3C66B6C440DC}"/>
    <cellStyle name="Total 3 3 3 3 4 2" xfId="8830" xr:uid="{3165B624-2454-41B6-B128-B3F93868EE3A}"/>
    <cellStyle name="Total 3 3 3 3 5" xfId="3584" xr:uid="{F62E924E-9D2F-44CB-92A7-187013C5A0F3}"/>
    <cellStyle name="Total 3 3 3 3 6" xfId="6529" xr:uid="{AB76B77A-9330-466F-A176-050EA180C290}"/>
    <cellStyle name="Total 3 3 3 3 7" xfId="2506" xr:uid="{676EEA53-3DF4-45E8-854A-12A8648106F2}"/>
    <cellStyle name="Total 3 3 3 4" xfId="659" xr:uid="{C9F22860-65AB-4EF2-8A83-313C2A51CE08}"/>
    <cellStyle name="Total 3 3 3 4 2" xfId="1464" xr:uid="{C8E54FA1-89BF-4D63-B6EF-8884CAB9919D}"/>
    <cellStyle name="Total 3 3 3 4 2 2" xfId="7235" xr:uid="{5B63C781-1F85-4CAB-8524-990C8DDF1881}"/>
    <cellStyle name="Total 3 3 3 4 2 3" xfId="9901" xr:uid="{C09A60F1-B29B-406F-AFD0-D3660AB36635}"/>
    <cellStyle name="Total 3 3 3 4 2 4" xfId="4261" xr:uid="{0A824213-BC91-4EDD-8354-D0A97DB79FB6}"/>
    <cellStyle name="Total 3 3 3 4 3" xfId="5001" xr:uid="{CD6DE48B-909B-43A6-BCE0-2425025FEAAE}"/>
    <cellStyle name="Total 3 3 3 4 3 2" xfId="7975" xr:uid="{5F1AF764-1A56-4321-A81A-13B9B419BEE9}"/>
    <cellStyle name="Total 3 3 3 4 4" xfId="5766" xr:uid="{0C61AF5D-957B-4075-B68B-13E03B6A8BA9}"/>
    <cellStyle name="Total 3 3 3 4 4 2" xfId="8740" xr:uid="{7D063E34-89CF-41CB-8FCF-82A182ECB90A}"/>
    <cellStyle name="Total 3 3 3 4 5" xfId="6439" xr:uid="{A90B23D0-E253-464F-B127-18D499638DA9}"/>
    <cellStyle name="Total 3 3 3 4 6" xfId="2416" xr:uid="{BCD06FD9-C932-4039-B2D2-95936952BB48}"/>
    <cellStyle name="Total 3 3 3 5" xfId="3943" xr:uid="{945C6F8C-8A35-4C7B-B03F-A4DFA62C36B6}"/>
    <cellStyle name="Total 3 3 3 6" xfId="2074" xr:uid="{17640200-ACA3-4730-9B57-3965728C6646}"/>
    <cellStyle name="Total 3 3 4" xfId="433" xr:uid="{E7F75611-5973-49B1-B05D-BBB33535F6DC}"/>
    <cellStyle name="Total 3 3 4 2" xfId="912" xr:uid="{17839FCE-D4BA-481E-8007-8E9A5C7E1DD0}"/>
    <cellStyle name="Total 3 3 4 2 2" xfId="1717" xr:uid="{B92330E7-5D75-4161-833C-C87DBE6306E9}"/>
    <cellStyle name="Total 3 3 4 2 2 2" xfId="7488" xr:uid="{5F059EC3-1B7A-488C-BF78-21445EDBFD00}"/>
    <cellStyle name="Total 3 3 4 2 2 3" xfId="10154" xr:uid="{251F69F7-DE7C-422C-BE26-4A8C78989B89}"/>
    <cellStyle name="Total 3 3 4 2 2 4" xfId="4514" xr:uid="{0EB0183E-7120-47C0-9771-5E392FD7229B}"/>
    <cellStyle name="Total 3 3 4 2 3" xfId="5254" xr:uid="{4158865C-50DA-45D2-89BC-6B97733D650D}"/>
    <cellStyle name="Total 3 3 4 2 3 2" xfId="8228" xr:uid="{AE54EC05-B1EE-4B7E-BEC2-B4364CBDE2FE}"/>
    <cellStyle name="Total 3 3 4 2 4" xfId="6019" xr:uid="{A25975EB-FE18-47CA-97AF-288EC6A22E6D}"/>
    <cellStyle name="Total 3 3 4 2 4 2" xfId="8993" xr:uid="{C293958D-A906-473B-8E18-8576EE660463}"/>
    <cellStyle name="Total 3 3 4 2 5" xfId="3729" xr:uid="{A9C6A743-D768-4424-8474-DF609AC4B167}"/>
    <cellStyle name="Total 3 3 4 2 6" xfId="6692" xr:uid="{40388E8A-C698-48B3-8EE7-B0EDEFBE4733}"/>
    <cellStyle name="Total 3 3 4 2 7" xfId="2669" xr:uid="{BD0BB466-9B27-4904-964A-F46D604AF4BC}"/>
    <cellStyle name="Total 3 3 4 3" xfId="644" xr:uid="{B8D4E1AA-6593-4275-9E40-CD409DCCDC5C}"/>
    <cellStyle name="Total 3 3 4 3 2" xfId="1449" xr:uid="{1FC5A67F-C917-4B11-93E7-0F14A2F85673}"/>
    <cellStyle name="Total 3 3 4 3 2 2" xfId="7220" xr:uid="{05C9BC5A-D371-4E30-A081-305A658FE259}"/>
    <cellStyle name="Total 3 3 4 3 2 3" xfId="9886" xr:uid="{39AB66DD-6897-414F-9B97-72616C6147EE}"/>
    <cellStyle name="Total 3 3 4 3 2 4" xfId="4246" xr:uid="{288070FA-58A5-4CDE-A783-96ED6E379AE2}"/>
    <cellStyle name="Total 3 3 4 3 3" xfId="4986" xr:uid="{BAF36EE8-3F56-4DBF-A7F1-22A4E6EF94F2}"/>
    <cellStyle name="Total 3 3 4 3 3 2" xfId="7960" xr:uid="{4EA79A69-960E-41AE-A4CB-BBFF1B8CA220}"/>
    <cellStyle name="Total 3 3 4 3 4" xfId="5751" xr:uid="{02D61676-B382-4C5F-AC0E-43C20409FA7E}"/>
    <cellStyle name="Total 3 3 4 3 4 2" xfId="8725" xr:uid="{E306E4AE-A1A8-42AE-B74A-84392C86284E}"/>
    <cellStyle name="Total 3 3 4 3 5" xfId="6424" xr:uid="{C1DF26D5-F3AA-4211-8BB0-F59CF22DC0D1}"/>
    <cellStyle name="Total 3 3 4 3 6" xfId="2401" xr:uid="{63127425-253F-444E-B0EA-ED2F84623472}"/>
    <cellStyle name="Total 3 3 4 4" xfId="1239" xr:uid="{41518972-5E30-4562-B9D6-19DE49FC11E6}"/>
    <cellStyle name="Total 3 3 4 4 2" xfId="7010" xr:uid="{FC0F479B-2DE6-42D0-BB47-7A7B8E89DFB8}"/>
    <cellStyle name="Total 3 3 4 4 3" xfId="9676" xr:uid="{4624B539-50F0-4DBE-AD67-984BEE8AA256}"/>
    <cellStyle name="Total 3 3 4 4 4" xfId="4036" xr:uid="{E4246DFA-6E02-4222-8FFD-DBDF7DC6045B}"/>
    <cellStyle name="Total 3 3 4 5" xfId="3278" xr:uid="{CE5690F0-A79D-41DA-B754-CB1BC57214E5}"/>
    <cellStyle name="Total 3 3 4 5 2" xfId="3006" xr:uid="{3B253529-9FA8-4DCA-8981-BF7F5264EF5B}"/>
    <cellStyle name="Total 3 3 4 6" xfId="5541" xr:uid="{5380E736-BE4F-4414-8B68-3A1F4928184A}"/>
    <cellStyle name="Total 3 3 4 6 2" xfId="8515" xr:uid="{71AB27FB-E4BB-460B-9200-A8A432516893}"/>
    <cellStyle name="Total 3 3 4 7" xfId="3015" xr:uid="{FF76BF48-3961-49DE-A20D-EBC17C625091}"/>
    <cellStyle name="Total 3 3 4 8" xfId="2191" xr:uid="{7A14D5A1-2DA1-4563-9CC9-005501350209}"/>
    <cellStyle name="Total 3 3 5" xfId="701" xr:uid="{4518B215-588E-4637-B020-DA4EE5D0F8B0}"/>
    <cellStyle name="Total 3 3 5 2" xfId="1506" xr:uid="{F1AF8EF6-1694-47A2-B330-DA50E6995C81}"/>
    <cellStyle name="Total 3 3 5 2 2" xfId="7277" xr:uid="{E51B3EBD-BAE9-4B02-B439-8AF479A97833}"/>
    <cellStyle name="Total 3 3 5 2 3" xfId="9943" xr:uid="{73AC236B-48F3-4D72-B644-930A1B1BE995}"/>
    <cellStyle name="Total 3 3 5 2 4" xfId="4303" xr:uid="{76ABC6F2-FB76-4185-A6A9-89850BF9A93E}"/>
    <cellStyle name="Total 3 3 5 3" xfId="5043" xr:uid="{212CC1D0-8FBB-41D7-8463-0C18C0BAFD29}"/>
    <cellStyle name="Total 3 3 5 3 2" xfId="8017" xr:uid="{8CC46FA9-8E0E-4F0A-B838-D9BEB0BB177F}"/>
    <cellStyle name="Total 3 3 5 4" xfId="5808" xr:uid="{A72A32F4-9D58-4286-AC54-2D28C80975F9}"/>
    <cellStyle name="Total 3 3 5 4 2" xfId="8782" xr:uid="{8BEC576F-DB1D-4D5F-816F-DEF571B57124}"/>
    <cellStyle name="Total 3 3 5 5" xfId="3536" xr:uid="{2E891978-27DA-4812-9506-EA33B4D2CF1C}"/>
    <cellStyle name="Total 3 3 5 6" xfId="6481" xr:uid="{C3C13F2C-92E7-42CA-9A26-10F8A090C50C}"/>
    <cellStyle name="Total 3 3 5 7" xfId="2458" xr:uid="{77B4CD6C-62B0-4D29-A9E0-618D2A8F06D1}"/>
    <cellStyle name="Total 3 3 6" xfId="637" xr:uid="{2F1F6CD3-F4F1-4CE3-88C7-1185ED6F3BD8}"/>
    <cellStyle name="Total 3 3 6 2" xfId="1442" xr:uid="{233C5496-FBB1-4E6B-ACEC-0FE93B2A4856}"/>
    <cellStyle name="Total 3 3 6 2 2" xfId="7213" xr:uid="{BA6B1225-85D9-4140-8AB5-45D251F3A6D1}"/>
    <cellStyle name="Total 3 3 6 2 3" xfId="9879" xr:uid="{B691FF84-945C-44B8-8D6E-F93378BC7155}"/>
    <cellStyle name="Total 3 3 6 2 4" xfId="4239" xr:uid="{A8558E07-97D9-4D73-B524-6CC212C8112C}"/>
    <cellStyle name="Total 3 3 6 3" xfId="4979" xr:uid="{70F471C8-1138-45F0-8F68-21B64EE9A859}"/>
    <cellStyle name="Total 3 3 6 3 2" xfId="7953" xr:uid="{3F6FDD41-EA0A-480A-B2FD-67BFB3990747}"/>
    <cellStyle name="Total 3 3 6 4" xfId="5744" xr:uid="{B7E6366F-A8EB-4C9B-9CB9-B4F2309EB75A}"/>
    <cellStyle name="Total 3 3 6 4 2" xfId="8718" xr:uid="{ED684829-315E-4E53-A9D2-E307A081BB9D}"/>
    <cellStyle name="Total 3 3 6 5" xfId="6417" xr:uid="{42448704-511D-43B2-A1DD-D803BC4C9981}"/>
    <cellStyle name="Total 3 3 6 6" xfId="2394" xr:uid="{29C85683-125B-4C36-847B-48F0BDDD548E}"/>
    <cellStyle name="Total 3 3 7" xfId="3702" xr:uid="{FAF429B6-79BE-48BA-9236-FC6228A56086}"/>
    <cellStyle name="Total 3 3 8" xfId="2024" xr:uid="{F4AA352B-DC69-4988-866F-97627DF3E742}"/>
    <cellStyle name="Total 3 4" xfId="215" xr:uid="{34074704-653A-4A6D-B9DE-9398034230A0}"/>
    <cellStyle name="Total 3 4 2" xfId="319" xr:uid="{B2239FCB-E80D-48A6-B0E6-88E1F9DAA8C1}"/>
    <cellStyle name="Total 3 4 2 2" xfId="541" xr:uid="{9647B2E6-B789-4983-9E3A-67CCA95B2A8E}"/>
    <cellStyle name="Total 3 4 2 2 2" xfId="1020" xr:uid="{8CAE408B-37F6-4438-B3F2-F18DEFD329A7}"/>
    <cellStyle name="Total 3 4 2 2 2 2" xfId="1825" xr:uid="{B4635D63-E344-41E9-95EC-4A80807B0155}"/>
    <cellStyle name="Total 3 4 2 2 2 2 2" xfId="7596" xr:uid="{25014E67-8CF6-48C3-87E5-FA90ECA62E2E}"/>
    <cellStyle name="Total 3 4 2 2 2 2 3" xfId="10262" xr:uid="{F99B8B3A-55C1-49C9-BB56-3654DF0B8354}"/>
    <cellStyle name="Total 3 4 2 2 2 2 4" xfId="4622" xr:uid="{C3C1F305-75CA-4310-B367-3CF5D239F407}"/>
    <cellStyle name="Total 3 4 2 2 2 3" xfId="5362" xr:uid="{584C28F7-1FCF-4176-B08C-263EF4F78FEF}"/>
    <cellStyle name="Total 3 4 2 2 2 3 2" xfId="8336" xr:uid="{D06EC6E2-F64E-4B49-81C5-3CF483D542AC}"/>
    <cellStyle name="Total 3 4 2 2 2 4" xfId="6127" xr:uid="{FA03F932-C770-4639-8BCC-AB93F98A157C}"/>
    <cellStyle name="Total 3 4 2 2 2 4 2" xfId="9101" xr:uid="{00667DA3-FC5A-479D-894E-7A43C56E2ECD}"/>
    <cellStyle name="Total 3 4 2 2 2 5" xfId="3837" xr:uid="{994E131A-FC1D-4058-B4B0-AA1BDDC11127}"/>
    <cellStyle name="Total 3 4 2 2 2 6" xfId="6800" xr:uid="{4862725B-9D1D-4B43-9B0C-8D95566C588E}"/>
    <cellStyle name="Total 3 4 2 2 2 7" xfId="2777" xr:uid="{B5C35443-1BDE-4971-8E6D-BE0B340233CF}"/>
    <cellStyle name="Total 3 4 2 2 3" xfId="668" xr:uid="{4C322F12-27E3-4471-B45C-26E873BCB8A7}"/>
    <cellStyle name="Total 3 4 2 2 3 2" xfId="1473" xr:uid="{51D854F1-0B27-460C-8967-7C894701F0C1}"/>
    <cellStyle name="Total 3 4 2 2 3 2 2" xfId="7244" xr:uid="{26ABFE0E-8CB9-47D7-8AD6-E18A4D5E2A07}"/>
    <cellStyle name="Total 3 4 2 2 3 2 3" xfId="9910" xr:uid="{15413869-69DE-4701-862B-87330EE12005}"/>
    <cellStyle name="Total 3 4 2 2 3 2 4" xfId="4270" xr:uid="{1703FD4A-2D48-46D0-821C-982C14211259}"/>
    <cellStyle name="Total 3 4 2 2 3 3" xfId="5010" xr:uid="{54C9DF7F-1B56-4965-906F-D60A47621324}"/>
    <cellStyle name="Total 3 4 2 2 3 3 2" xfId="7984" xr:uid="{F7F1ED2C-F06F-474D-9D8D-B82C066362D5}"/>
    <cellStyle name="Total 3 4 2 2 3 4" xfId="5775" xr:uid="{0CB3EE25-8556-4151-933E-E9B542B556BE}"/>
    <cellStyle name="Total 3 4 2 2 3 4 2" xfId="8749" xr:uid="{DDA5EF76-37BB-4E3F-AA80-1D540E8EBD85}"/>
    <cellStyle name="Total 3 4 2 2 3 5" xfId="6448" xr:uid="{1B88CCDB-A8E0-43E9-A226-183CDD28E2EE}"/>
    <cellStyle name="Total 3 4 2 2 3 6" xfId="2425" xr:uid="{1CDB0507-BF69-4A6D-9A5D-73A0F5C30EEF}"/>
    <cellStyle name="Total 3 4 2 2 4" xfId="1347" xr:uid="{8D9070A6-C01A-475C-8C59-B798DA9C45CD}"/>
    <cellStyle name="Total 3 4 2 2 4 2" xfId="7118" xr:uid="{88FF232B-D689-4011-8297-269515CA2D89}"/>
    <cellStyle name="Total 3 4 2 2 4 3" xfId="9784" xr:uid="{F3F56D17-BAA1-461B-8261-14F601389805}"/>
    <cellStyle name="Total 3 4 2 2 4 4" xfId="4144" xr:uid="{B699F240-1BFC-4D1A-910A-EEE2E1127B12}"/>
    <cellStyle name="Total 3 4 2 2 5" xfId="4884" xr:uid="{4548D910-C53A-4E95-8CB0-8A966E708634}"/>
    <cellStyle name="Total 3 4 2 2 5 2" xfId="7858" xr:uid="{DC679C6D-B079-46BC-9437-4484F4D8F760}"/>
    <cellStyle name="Total 3 4 2 2 6" xfId="5649" xr:uid="{23F0DF39-378C-4A1E-860E-6924A9562842}"/>
    <cellStyle name="Total 3 4 2 2 6 2" xfId="8623" xr:uid="{B63C7ADC-7537-42DC-BCDB-22A0FEDFCD27}"/>
    <cellStyle name="Total 3 4 2 2 7" xfId="6322" xr:uid="{53DAE088-3342-4114-9FF0-8A4FBF373E5B}"/>
    <cellStyle name="Total 3 4 2 2 8" xfId="2299" xr:uid="{2C6A0E21-6BC4-4FE6-A747-75EE43F8AEBF}"/>
    <cellStyle name="Total 3 4 2 3" xfId="810" xr:uid="{0A80CE0E-4397-45FF-B54E-CFFED509AA00}"/>
    <cellStyle name="Total 3 4 2 3 2" xfId="1615" xr:uid="{11E38B69-9760-430C-804B-0CAF9D264ED2}"/>
    <cellStyle name="Total 3 4 2 3 2 2" xfId="7386" xr:uid="{37B06D78-DEFF-4866-977E-2842743F4224}"/>
    <cellStyle name="Total 3 4 2 3 2 3" xfId="10052" xr:uid="{3F89A2CF-0B40-4B3B-A868-08BDFAB09F82}"/>
    <cellStyle name="Total 3 4 2 3 2 4" xfId="4412" xr:uid="{8FD42539-6A16-4D95-A84A-84CBBFDEF1A8}"/>
    <cellStyle name="Total 3 4 2 3 3" xfId="5152" xr:uid="{EFE12088-CED2-47D2-99C9-FD257D5ED548}"/>
    <cellStyle name="Total 3 4 2 3 3 2" xfId="8126" xr:uid="{E0F341BE-259D-463E-B963-3B2AB41EAAEB}"/>
    <cellStyle name="Total 3 4 2 3 4" xfId="5917" xr:uid="{11FC09D3-6DEB-41F5-96A8-455D9F120705}"/>
    <cellStyle name="Total 3 4 2 3 4 2" xfId="8891" xr:uid="{6B840D6E-F447-4C33-B767-A1F0584417CD}"/>
    <cellStyle name="Total 3 4 2 3 5" xfId="3644" xr:uid="{0ED313A3-265B-4ABE-A2F9-51A6A2632EA8}"/>
    <cellStyle name="Total 3 4 2 3 6" xfId="6590" xr:uid="{56FA7702-79A6-44C7-A63A-DA81654AE9BA}"/>
    <cellStyle name="Total 3 4 2 3 7" xfId="2567" xr:uid="{AC2E7912-0D25-481A-9979-FCC45AF974E0}"/>
    <cellStyle name="Total 3 4 2 4" xfId="1097" xr:uid="{CD762D28-DF9E-4658-A7E7-8F5A36AE2B1C}"/>
    <cellStyle name="Total 3 4 2 4 2" xfId="1902" xr:uid="{5D63472C-8402-4236-B734-018CF9B351F8}"/>
    <cellStyle name="Total 3 4 2 4 2 2" xfId="7673" xr:uid="{A1C01413-AAC3-42FF-B3DB-7682A4E061BD}"/>
    <cellStyle name="Total 3 4 2 4 2 3" xfId="10339" xr:uid="{47993EBD-E2B9-49BC-905B-8A8C00704A06}"/>
    <cellStyle name="Total 3 4 2 4 2 4" xfId="4699" xr:uid="{3A736262-7760-45EC-88AF-6FE8D271A46B}"/>
    <cellStyle name="Total 3 4 2 4 3" xfId="5439" xr:uid="{22111526-BE4C-4B40-A9B8-64574DF05B7E}"/>
    <cellStyle name="Total 3 4 2 4 3 2" xfId="8413" xr:uid="{F57C41EE-1BC9-498D-9B4A-01D9CBD92657}"/>
    <cellStyle name="Total 3 4 2 4 4" xfId="6204" xr:uid="{F22AE4DD-9028-418A-953E-5CC499E516DC}"/>
    <cellStyle name="Total 3 4 2 4 4 2" xfId="9178" xr:uid="{B945D5AB-C762-4010-B16B-36CC2E784B3F}"/>
    <cellStyle name="Total 3 4 2 4 5" xfId="6877" xr:uid="{41A2988D-7ABC-463C-A660-34F591994316}"/>
    <cellStyle name="Total 3 4 2 4 6" xfId="2854" xr:uid="{0932BB34-E8D9-4B44-ADB2-5DD5D62427CB}"/>
    <cellStyle name="Total 3 4 2 5" xfId="3110" xr:uid="{1511AF26-CFF5-4057-BE5A-110F8169BC09}"/>
    <cellStyle name="Total 3 4 2 6" xfId="2137" xr:uid="{0CD10B0B-7824-430A-82C3-3C0149A96D7C}"/>
    <cellStyle name="Total 3 4 3" xfId="263" xr:uid="{164E54E6-6EA2-4C5A-A315-69B07DD191A4}"/>
    <cellStyle name="Total 3 4 3 2" xfId="487" xr:uid="{85CF239C-11B6-47D8-AE86-ACE310616EA7}"/>
    <cellStyle name="Total 3 4 3 2 2" xfId="966" xr:uid="{DB5F456A-5272-4B85-B5B9-07890E9E8BDE}"/>
    <cellStyle name="Total 3 4 3 2 2 2" xfId="1771" xr:uid="{98E98980-95C4-4C15-B420-2655067648D8}"/>
    <cellStyle name="Total 3 4 3 2 2 2 2" xfId="7542" xr:uid="{ABFF9DD4-12FE-48BC-ACF4-70A3D2F8AEB7}"/>
    <cellStyle name="Total 3 4 3 2 2 2 3" xfId="10208" xr:uid="{A20588CE-90DB-4AD0-91D5-CD8265F6D3BB}"/>
    <cellStyle name="Total 3 4 3 2 2 2 4" xfId="4568" xr:uid="{3B99CEE7-AF16-4F9F-B696-AFD8C5BDD937}"/>
    <cellStyle name="Total 3 4 3 2 2 3" xfId="5308" xr:uid="{3B9F3A75-8B37-40B3-8CA9-13CC582E4AC3}"/>
    <cellStyle name="Total 3 4 3 2 2 3 2" xfId="8282" xr:uid="{7AE57CB6-4402-481C-ABA6-A58EA09D42AB}"/>
    <cellStyle name="Total 3 4 3 2 2 4" xfId="6073" xr:uid="{878496B8-E851-4C11-96F5-6F65D13CE6C5}"/>
    <cellStyle name="Total 3 4 3 2 2 4 2" xfId="9047" xr:uid="{B6619EBC-0E49-44A0-899D-5F6002CE68D4}"/>
    <cellStyle name="Total 3 4 3 2 2 5" xfId="3783" xr:uid="{F5694844-C259-4D51-A2CF-6CD8A28F8A99}"/>
    <cellStyle name="Total 3 4 3 2 2 6" xfId="6746" xr:uid="{EA26F6AC-2D8B-4EF8-920A-CCBED210661E}"/>
    <cellStyle name="Total 3 4 3 2 2 7" xfId="2723" xr:uid="{49F7E912-971C-4FDE-A5AA-40538BD8149E}"/>
    <cellStyle name="Total 3 4 3 2 3" xfId="1157" xr:uid="{393E9621-4EB8-4739-A9A2-53E13AAC059D}"/>
    <cellStyle name="Total 3 4 3 2 3 2" xfId="1962" xr:uid="{EC487279-6902-4702-868A-84FE1BEB71ED}"/>
    <cellStyle name="Total 3 4 3 2 3 2 2" xfId="7733" xr:uid="{2AD9B7D1-8C05-49BD-BF4F-9B81E36CDE89}"/>
    <cellStyle name="Total 3 4 3 2 3 2 3" xfId="10399" xr:uid="{380B2394-C42E-47AF-98B7-891B6AF42C1A}"/>
    <cellStyle name="Total 3 4 3 2 3 2 4" xfId="4759" xr:uid="{B843B1EC-148E-43B6-92CF-B98E14188C7C}"/>
    <cellStyle name="Total 3 4 3 2 3 3" xfId="5499" xr:uid="{4B7EE064-6235-49CD-AB77-0E163D78D3FD}"/>
    <cellStyle name="Total 3 4 3 2 3 3 2" xfId="8473" xr:uid="{AAD6C336-7EDD-49D1-BA4D-58A9B8ACB306}"/>
    <cellStyle name="Total 3 4 3 2 3 4" xfId="6264" xr:uid="{CD7754C7-5C9B-4939-93FA-530300C55BF3}"/>
    <cellStyle name="Total 3 4 3 2 3 4 2" xfId="9238" xr:uid="{902BFB37-D2E8-4C1C-ABA8-BDF91E737E3C}"/>
    <cellStyle name="Total 3 4 3 2 3 5" xfId="6937" xr:uid="{C37CDB8D-1A38-4DD2-BBBD-C53A2DD1CA22}"/>
    <cellStyle name="Total 3 4 3 2 3 6" xfId="2914" xr:uid="{4E06B691-C186-47B5-B34F-A5D2AB7E283C}"/>
    <cellStyle name="Total 3 4 3 2 4" xfId="1293" xr:uid="{7B4E4A1A-AB15-4BAF-9070-15CABCD716B3}"/>
    <cellStyle name="Total 3 4 3 2 4 2" xfId="7064" xr:uid="{DBB0B334-2859-445B-9CCC-E9515E3F2948}"/>
    <cellStyle name="Total 3 4 3 2 4 3" xfId="9730" xr:uid="{48F39560-EB7D-472D-82E8-B368EC7747C4}"/>
    <cellStyle name="Total 3 4 3 2 4 4" xfId="4090" xr:uid="{72C1D8AA-673F-4299-8C3B-0F3EA349B1B5}"/>
    <cellStyle name="Total 3 4 3 2 5" xfId="4830" xr:uid="{FD3D5D23-C0B3-4D80-B2EE-C8ADC567C0B4}"/>
    <cellStyle name="Total 3 4 3 2 5 2" xfId="7804" xr:uid="{7EBEFAE5-E31B-4D01-9ACB-92D7691C0F43}"/>
    <cellStyle name="Total 3 4 3 2 6" xfId="5595" xr:uid="{D05A1DD6-2CE5-467C-AC9B-CB7FA84F4380}"/>
    <cellStyle name="Total 3 4 3 2 6 2" xfId="8569" xr:uid="{948474C1-824C-4FDA-8D72-270C00702B4C}"/>
    <cellStyle name="Total 3 4 3 2 7" xfId="3090" xr:uid="{6F4DC904-C9C7-4BF8-98F7-A47FCEB356FA}"/>
    <cellStyle name="Total 3 4 3 2 8" xfId="2245" xr:uid="{672B3F09-EE18-49BD-AD9B-1082EAEB73EF}"/>
    <cellStyle name="Total 3 4 3 3" xfId="755" xr:uid="{B921E71D-DF39-4B72-884D-C33DF216196C}"/>
    <cellStyle name="Total 3 4 3 3 2" xfId="1560" xr:uid="{90CB94E1-3AA8-4608-927F-124F1C5E2AAB}"/>
    <cellStyle name="Total 3 4 3 3 2 2" xfId="7331" xr:uid="{D0A63B9F-36CA-4689-9539-D8FB6AFBA7C3}"/>
    <cellStyle name="Total 3 4 3 3 2 3" xfId="9997" xr:uid="{D47B3169-AF0E-4597-B7A5-43937A0AD22C}"/>
    <cellStyle name="Total 3 4 3 3 2 4" xfId="4357" xr:uid="{36AA825C-1F44-4744-B265-61C2BB29E10B}"/>
    <cellStyle name="Total 3 4 3 3 3" xfId="5097" xr:uid="{FF40916D-83AF-42BA-83DA-93B29385C9A4}"/>
    <cellStyle name="Total 3 4 3 3 3 2" xfId="8071" xr:uid="{89C25563-F96F-43A6-AF4C-9E3BD3446014}"/>
    <cellStyle name="Total 3 4 3 3 4" xfId="5862" xr:uid="{E1D502B8-ED72-4A90-B453-E4E6FA85F179}"/>
    <cellStyle name="Total 3 4 3 3 4 2" xfId="8836" xr:uid="{268FC29F-9E2B-48BF-9DCB-0A254810A3F3}"/>
    <cellStyle name="Total 3 4 3 3 5" xfId="3590" xr:uid="{30C165E6-8658-4D62-BF68-FD357768881C}"/>
    <cellStyle name="Total 3 4 3 3 6" xfId="6535" xr:uid="{F55D6E4F-FAE6-4D15-B89D-69CB27EED12E}"/>
    <cellStyle name="Total 3 4 3 3 7" xfId="2512" xr:uid="{EA467522-5C64-41D4-85A9-4577CB54F30B}"/>
    <cellStyle name="Total 3 4 3 4" xfId="1124" xr:uid="{B37E3765-0336-4ADD-A725-AF911414509F}"/>
    <cellStyle name="Total 3 4 3 4 2" xfId="1929" xr:uid="{E46A3C13-20CE-4CD8-A1BB-2BFCC2312051}"/>
    <cellStyle name="Total 3 4 3 4 2 2" xfId="7700" xr:uid="{900F161C-EF68-4727-AC50-8462FDBA1656}"/>
    <cellStyle name="Total 3 4 3 4 2 3" xfId="10366" xr:uid="{E1C1711D-8234-499B-BDFB-094D44894689}"/>
    <cellStyle name="Total 3 4 3 4 2 4" xfId="4726" xr:uid="{F13319E6-92B8-4FB9-9991-BA384D31A082}"/>
    <cellStyle name="Total 3 4 3 4 3" xfId="5466" xr:uid="{A73E2E00-54A4-4521-8438-4B6F6F02D380}"/>
    <cellStyle name="Total 3 4 3 4 3 2" xfId="8440" xr:uid="{F304E212-E27F-42FA-85D9-970EF2E94814}"/>
    <cellStyle name="Total 3 4 3 4 4" xfId="6231" xr:uid="{16EB5F6C-E891-4B78-AAAB-537D806B1855}"/>
    <cellStyle name="Total 3 4 3 4 4 2" xfId="9205" xr:uid="{5904396B-9836-462B-9BD4-A9A6B6B493C8}"/>
    <cellStyle name="Total 3 4 3 4 5" xfId="6904" xr:uid="{1D3045A0-9C07-409E-B189-FBC534C69EB3}"/>
    <cellStyle name="Total 3 4 3 4 6" xfId="2881" xr:uid="{641F3A59-6F51-4034-B188-9A432A61134C}"/>
    <cellStyle name="Total 3 4 3 5" xfId="3915" xr:uid="{C17EA1D7-822D-4958-AD18-77AAAEB17072}"/>
    <cellStyle name="Total 3 4 3 6" xfId="2080" xr:uid="{F9E869E7-61EB-4C78-BE26-5276CB50B122}"/>
    <cellStyle name="Total 3 4 4" xfId="439" xr:uid="{423B613F-2789-41B9-9EF2-8F2BBF77A005}"/>
    <cellStyle name="Total 3 4 4 2" xfId="918" xr:uid="{9ECA4F59-3E7B-402D-B171-DB8C41182649}"/>
    <cellStyle name="Total 3 4 4 2 2" xfId="1723" xr:uid="{BEBD1345-4316-41EB-B096-AC52A373E640}"/>
    <cellStyle name="Total 3 4 4 2 2 2" xfId="7494" xr:uid="{E3717AB2-BFAC-4733-A568-D2CB7A0F51E1}"/>
    <cellStyle name="Total 3 4 4 2 2 3" xfId="10160" xr:uid="{F01EC4B3-47C6-45E5-9301-A318A4F7D8BD}"/>
    <cellStyle name="Total 3 4 4 2 2 4" xfId="4520" xr:uid="{DD689DC1-663F-45C4-98D6-18A2FF63B48F}"/>
    <cellStyle name="Total 3 4 4 2 3" xfId="5260" xr:uid="{58B868D3-9D07-4840-9458-DD69C59E7C97}"/>
    <cellStyle name="Total 3 4 4 2 3 2" xfId="8234" xr:uid="{FBA30430-2855-442A-BE46-54CC4A61C424}"/>
    <cellStyle name="Total 3 4 4 2 4" xfId="6025" xr:uid="{DA263C87-3D98-476F-8FD0-FF1C7596E67F}"/>
    <cellStyle name="Total 3 4 4 2 4 2" xfId="8999" xr:uid="{EB5C303F-F821-40B9-B53D-D06225F48661}"/>
    <cellStyle name="Total 3 4 4 2 5" xfId="3735" xr:uid="{44E66D75-2E9D-4446-A893-31C5DEFFE062}"/>
    <cellStyle name="Total 3 4 4 2 6" xfId="6698" xr:uid="{62A55006-FEEC-4430-AEBC-20348474CE6E}"/>
    <cellStyle name="Total 3 4 4 2 7" xfId="2675" xr:uid="{0AC768E2-E87D-4BE8-A3BC-615610B3B080}"/>
    <cellStyle name="Total 3 4 4 3" xfId="1175" xr:uid="{74A31CDD-026E-49A3-899B-08A800B01186}"/>
    <cellStyle name="Total 3 4 4 3 2" xfId="1980" xr:uid="{1F4A55F0-67C3-4EB7-AABC-16D81AA4B5CC}"/>
    <cellStyle name="Total 3 4 4 3 2 2" xfId="7751" xr:uid="{E5CE5D85-66B8-4737-8CA8-CCF08C0A8535}"/>
    <cellStyle name="Total 3 4 4 3 2 3" xfId="10417" xr:uid="{2D427BEA-F9F6-415D-8AFD-57F05321C6B8}"/>
    <cellStyle name="Total 3 4 4 3 2 4" xfId="4777" xr:uid="{1FF9643B-B24C-4078-9536-6D41A024187B}"/>
    <cellStyle name="Total 3 4 4 3 3" xfId="5517" xr:uid="{DB77764C-7F88-4A35-9C9F-BC261B64AEFB}"/>
    <cellStyle name="Total 3 4 4 3 3 2" xfId="8491" xr:uid="{953A4904-B7FF-4633-9C7F-F3E3499D83E1}"/>
    <cellStyle name="Total 3 4 4 3 4" xfId="6282" xr:uid="{4C6DB689-18D8-46F8-98F0-D2AB77B9126E}"/>
    <cellStyle name="Total 3 4 4 3 4 2" xfId="9256" xr:uid="{47F9EC4C-E803-443D-B9CC-8F0540321A14}"/>
    <cellStyle name="Total 3 4 4 3 5" xfId="6955" xr:uid="{27518411-30DB-4AE3-B32B-2374ED0C8251}"/>
    <cellStyle name="Total 3 4 4 3 6" xfId="2932" xr:uid="{27DF708B-4FDC-44B8-993F-C6E3F477D8EA}"/>
    <cellStyle name="Total 3 4 4 4" xfId="1245" xr:uid="{46BE80CD-9BEB-4C9B-962A-5E1D14084881}"/>
    <cellStyle name="Total 3 4 4 4 2" xfId="7016" xr:uid="{3B9B3AF3-4FAC-4E8B-A460-FF98DE56C0C5}"/>
    <cellStyle name="Total 3 4 4 4 3" xfId="9682" xr:uid="{FBFB0AAC-43E4-44EB-9D1E-7DCEC551BF2E}"/>
    <cellStyle name="Total 3 4 4 4 4" xfId="4042" xr:uid="{F41C4E8A-AEC9-497E-BAC1-A54C719318F3}"/>
    <cellStyle name="Total 3 4 4 5" xfId="3284" xr:uid="{06355C3F-A8AE-4AFD-A6FC-F8A7BA0093F4}"/>
    <cellStyle name="Total 3 4 4 5 2" xfId="2999" xr:uid="{A7848D89-FC60-490D-A86F-F8637D7E7B7F}"/>
    <cellStyle name="Total 3 4 4 6" xfId="5547" xr:uid="{DD4CA357-99C0-478B-BD60-15B9C545B508}"/>
    <cellStyle name="Total 3 4 4 6 2" xfId="8521" xr:uid="{BDDF1A61-1083-46DE-9408-48CB289BD92F}"/>
    <cellStyle name="Total 3 4 4 7" xfId="3117" xr:uid="{ABE97C3A-B78C-416A-B400-C698B91218D4}"/>
    <cellStyle name="Total 3 4 4 8" xfId="2197" xr:uid="{28757371-D07E-4C54-965D-0A42BBD14F76}"/>
    <cellStyle name="Total 3 4 5" xfId="707" xr:uid="{0F5706C7-ACB6-4D7D-8136-78F7242570D3}"/>
    <cellStyle name="Total 3 4 5 2" xfId="1512" xr:uid="{3E1DC920-307B-4E2B-A189-2C995C73C55D}"/>
    <cellStyle name="Total 3 4 5 2 2" xfId="7283" xr:uid="{AE185A3B-2D48-48BC-9565-C0C5EB2C8761}"/>
    <cellStyle name="Total 3 4 5 2 3" xfId="9949" xr:uid="{28E38604-DF61-4494-8473-B231A76CE549}"/>
    <cellStyle name="Total 3 4 5 2 4" xfId="4309" xr:uid="{99747E7F-8182-4AA6-B311-94E34B9EDD0A}"/>
    <cellStyle name="Total 3 4 5 3" xfId="5049" xr:uid="{2963F7A2-095B-4AAC-A3F6-E8A08B00A922}"/>
    <cellStyle name="Total 3 4 5 3 2" xfId="8023" xr:uid="{32386469-8BB2-4E5B-BEDC-D423E36FEFEC}"/>
    <cellStyle name="Total 3 4 5 4" xfId="5814" xr:uid="{D995974A-285F-49B2-AE00-207CA15E4035}"/>
    <cellStyle name="Total 3 4 5 4 2" xfId="8788" xr:uid="{BA8F9433-B41A-4DD6-B3DD-E33A9165F282}"/>
    <cellStyle name="Total 3 4 5 5" xfId="3542" xr:uid="{D5B32563-AB94-4E8E-95D3-665030F2B0C3}"/>
    <cellStyle name="Total 3 4 5 6" xfId="6487" xr:uid="{93429AB8-BCB2-487D-A3FB-7E974E2BC70A}"/>
    <cellStyle name="Total 3 4 5 7" xfId="2464" xr:uid="{6E8BF140-80A6-4A12-A0EB-44378AF1D9EF}"/>
    <cellStyle name="Total 3 4 6" xfId="672" xr:uid="{2E561611-129E-495E-992A-5B70607A1561}"/>
    <cellStyle name="Total 3 4 6 2" xfId="1477" xr:uid="{D7C0DE9B-7852-429A-B1F7-CB30D6A4D5AF}"/>
    <cellStyle name="Total 3 4 6 2 2" xfId="7248" xr:uid="{0A2FEE1C-4127-49D2-95E6-E77103180703}"/>
    <cellStyle name="Total 3 4 6 2 3" xfId="9914" xr:uid="{F1012A84-F62B-424B-B1BB-C15CF61FE3D0}"/>
    <cellStyle name="Total 3 4 6 2 4" xfId="4274" xr:uid="{F4B62999-FBE7-4DD5-9288-3CB296B710FF}"/>
    <cellStyle name="Total 3 4 6 3" xfId="5014" xr:uid="{12EF55B4-2E67-4916-A1E1-71322059A91D}"/>
    <cellStyle name="Total 3 4 6 3 2" xfId="7988" xr:uid="{6D5B98AE-3DD8-495C-B96F-6C2481B82653}"/>
    <cellStyle name="Total 3 4 6 4" xfId="5779" xr:uid="{94709390-8157-4A9D-8A53-90B8AFE3879C}"/>
    <cellStyle name="Total 3 4 6 4 2" xfId="8753" xr:uid="{F03C5660-C983-4F1C-B5A5-703A3328ACA4}"/>
    <cellStyle name="Total 3 4 6 5" xfId="6452" xr:uid="{35ADF79E-89F5-4304-85D8-80C3C948140E}"/>
    <cellStyle name="Total 3 4 6 6" xfId="2429" xr:uid="{C39621C1-A599-481A-9BF9-62057C2301AF}"/>
    <cellStyle name="Total 3 4 7" xfId="3251" xr:uid="{2AE6E2C0-D1EE-4777-8104-7083EE524890}"/>
    <cellStyle name="Total 3 4 8" xfId="2030" xr:uid="{E4129EC4-F5F0-4497-BBF8-84F89FE4C331}"/>
    <cellStyle name="Total 3 5" xfId="221" xr:uid="{7FD00661-CAE2-4B7C-BFCF-F5809BAA4D8C}"/>
    <cellStyle name="Total 3 5 2" xfId="325" xr:uid="{A640F90E-CC4F-407E-A4E2-4ACA51B82E5B}"/>
    <cellStyle name="Total 3 5 2 2" xfId="547" xr:uid="{A0825434-9E5E-4454-A8D6-0BD145217D09}"/>
    <cellStyle name="Total 3 5 2 2 2" xfId="1026" xr:uid="{533F430A-E84C-47A7-91F2-FFA3B37CF62A}"/>
    <cellStyle name="Total 3 5 2 2 2 2" xfId="1831" xr:uid="{521E0CE9-FEB8-4620-8A44-51E8D40CF19F}"/>
    <cellStyle name="Total 3 5 2 2 2 2 2" xfId="7602" xr:uid="{3E178742-009B-41EB-89DA-9DF57100D049}"/>
    <cellStyle name="Total 3 5 2 2 2 2 3" xfId="10268" xr:uid="{D5011F0E-BB38-4CE2-858E-C9617754865F}"/>
    <cellStyle name="Total 3 5 2 2 2 2 4" xfId="4628" xr:uid="{73BD04CD-7621-40AB-95D6-DD7CF70A3910}"/>
    <cellStyle name="Total 3 5 2 2 2 3" xfId="5368" xr:uid="{4CE93DC6-7706-4E92-B7CB-BFF3643ACEC1}"/>
    <cellStyle name="Total 3 5 2 2 2 3 2" xfId="8342" xr:uid="{3EBE1B51-2AF9-41B6-96C4-D038393DACF8}"/>
    <cellStyle name="Total 3 5 2 2 2 4" xfId="6133" xr:uid="{5DCD31AF-52E1-4217-91B8-B899CCF6CF52}"/>
    <cellStyle name="Total 3 5 2 2 2 4 2" xfId="9107" xr:uid="{79EA9D69-76BF-4762-A27F-394A3C0B9A8F}"/>
    <cellStyle name="Total 3 5 2 2 2 5" xfId="3843" xr:uid="{49E298EB-EA37-4AEF-906A-D0AC7417B54D}"/>
    <cellStyle name="Total 3 5 2 2 2 6" xfId="6806" xr:uid="{BC5253C0-DE15-4BA8-8EA2-50943B130ED9}"/>
    <cellStyle name="Total 3 5 2 2 2 7" xfId="2783" xr:uid="{2706AACF-595E-4BA7-8CE3-9A4EB700CAFD}"/>
    <cellStyle name="Total 3 5 2 2 3" xfId="850" xr:uid="{652D4157-3BB8-4C56-92D8-9F5F2BE9317E}"/>
    <cellStyle name="Total 3 5 2 2 3 2" xfId="1655" xr:uid="{1195014F-798C-437D-9195-BD20989CBD5D}"/>
    <cellStyle name="Total 3 5 2 2 3 2 2" xfId="7426" xr:uid="{0B0D7AFA-BA3C-482E-BF33-F3F52E704426}"/>
    <cellStyle name="Total 3 5 2 2 3 2 3" xfId="10092" xr:uid="{79B810F7-F8E1-413F-B65F-922FE6180D26}"/>
    <cellStyle name="Total 3 5 2 2 3 2 4" xfId="4452" xr:uid="{C15EAC49-84F4-4A48-B932-603CD0BFCD00}"/>
    <cellStyle name="Total 3 5 2 2 3 3" xfId="5192" xr:uid="{2ECD2A92-B83F-48D6-B683-E47A1D46D7EB}"/>
    <cellStyle name="Total 3 5 2 2 3 3 2" xfId="8166" xr:uid="{3CD37BC6-5ADE-473B-A157-AEE4F12257F6}"/>
    <cellStyle name="Total 3 5 2 2 3 4" xfId="5957" xr:uid="{2B79F7B3-EEAE-46FD-9D8A-7896F1A33589}"/>
    <cellStyle name="Total 3 5 2 2 3 4 2" xfId="8931" xr:uid="{193FB7F5-28C3-419A-A14F-343E85E9E80D}"/>
    <cellStyle name="Total 3 5 2 2 3 5" xfId="6630" xr:uid="{70253DE9-0CD6-4A25-BC03-866A8B7F9384}"/>
    <cellStyle name="Total 3 5 2 2 3 6" xfId="2607" xr:uid="{AE3E48D1-3F45-4E5F-AB42-9726AE9CF7D3}"/>
    <cellStyle name="Total 3 5 2 2 4" xfId="1353" xr:uid="{ED43F118-818E-4BD0-8002-74E44474100E}"/>
    <cellStyle name="Total 3 5 2 2 4 2" xfId="7124" xr:uid="{B214FC02-6359-4BA0-B44E-FDD0D3B7909D}"/>
    <cellStyle name="Total 3 5 2 2 4 3" xfId="9790" xr:uid="{852E9FD5-9594-411F-B67E-F99440067AAE}"/>
    <cellStyle name="Total 3 5 2 2 4 4" xfId="4150" xr:uid="{8F5CDCBD-6051-411B-B564-F88562864092}"/>
    <cellStyle name="Total 3 5 2 2 5" xfId="4890" xr:uid="{CB4D0303-61B9-4538-971F-E8E8949A1A55}"/>
    <cellStyle name="Total 3 5 2 2 5 2" xfId="7864" xr:uid="{2FD241D8-C921-4B41-B823-8A646CA9C69B}"/>
    <cellStyle name="Total 3 5 2 2 6" xfId="5655" xr:uid="{69061AED-2051-47E2-BF63-EDCFD90C22C1}"/>
    <cellStyle name="Total 3 5 2 2 6 2" xfId="8629" xr:uid="{EC151ADE-6340-4976-813F-B6DC698F6301}"/>
    <cellStyle name="Total 3 5 2 2 7" xfId="6328" xr:uid="{ABC6A100-66F5-4351-8FF8-0C2072F280EE}"/>
    <cellStyle name="Total 3 5 2 2 8" xfId="2305" xr:uid="{8BAFD2A5-22B6-4548-8D0B-F8B1DC4231F2}"/>
    <cellStyle name="Total 3 5 2 3" xfId="816" xr:uid="{10A7FD60-E314-46AF-AEF5-E612C734F728}"/>
    <cellStyle name="Total 3 5 2 3 2" xfId="1621" xr:uid="{23527672-005D-4528-859E-A5EADA8B732E}"/>
    <cellStyle name="Total 3 5 2 3 2 2" xfId="7392" xr:uid="{799EE869-0918-4830-8849-DDACB3B29465}"/>
    <cellStyle name="Total 3 5 2 3 2 3" xfId="10058" xr:uid="{4754CFD1-B197-468C-A2DF-B975256A1FFE}"/>
    <cellStyle name="Total 3 5 2 3 2 4" xfId="4418" xr:uid="{D5D8A652-9BD6-4EA3-8D47-F3C72C25C5F5}"/>
    <cellStyle name="Total 3 5 2 3 3" xfId="5158" xr:uid="{BF878832-33A0-4D1F-A628-C0D1E1402426}"/>
    <cellStyle name="Total 3 5 2 3 3 2" xfId="8132" xr:uid="{6A27330C-82B1-4EEC-A9E5-03EF8A073957}"/>
    <cellStyle name="Total 3 5 2 3 4" xfId="5923" xr:uid="{4D574A6E-CC46-4C47-BCC6-79D185E104F9}"/>
    <cellStyle name="Total 3 5 2 3 4 2" xfId="8897" xr:uid="{7506FE44-B97E-489F-9AEB-DEC8ACECE36F}"/>
    <cellStyle name="Total 3 5 2 3 5" xfId="3650" xr:uid="{42E96722-6B2B-4A41-AF0A-B84A99B2A8B5}"/>
    <cellStyle name="Total 3 5 2 3 6" xfId="6596" xr:uid="{E388EC68-8736-4128-961C-FEDB1ACE852E}"/>
    <cellStyle name="Total 3 5 2 3 7" xfId="2573" xr:uid="{35E6A811-B9E7-40A4-81CA-9F8F27DC13D9}"/>
    <cellStyle name="Total 3 5 2 4" xfId="1092" xr:uid="{9BDC2389-BA65-4E08-8BDC-128164AA814C}"/>
    <cellStyle name="Total 3 5 2 4 2" xfId="1897" xr:uid="{9F13D433-62B3-4FBC-B057-1C9DFDF5F91F}"/>
    <cellStyle name="Total 3 5 2 4 2 2" xfId="7668" xr:uid="{B6FE43F4-C3D2-4E36-A1F9-670C0DC76126}"/>
    <cellStyle name="Total 3 5 2 4 2 3" xfId="10334" xr:uid="{BF7F43F3-9AD9-4B65-95A4-DDF85AFC867A}"/>
    <cellStyle name="Total 3 5 2 4 2 4" xfId="4694" xr:uid="{2D220B5C-447E-4086-817C-53F5EAFB0D30}"/>
    <cellStyle name="Total 3 5 2 4 3" xfId="5434" xr:uid="{95759D29-962C-4A18-BD31-D9A3ACB77746}"/>
    <cellStyle name="Total 3 5 2 4 3 2" xfId="8408" xr:uid="{BF7BD4E0-12B0-4A08-8215-350AAF221C2F}"/>
    <cellStyle name="Total 3 5 2 4 4" xfId="6199" xr:uid="{8A316972-3D58-40A4-81B1-AAEFFA767234}"/>
    <cellStyle name="Total 3 5 2 4 4 2" xfId="9173" xr:uid="{3B4630C0-113A-4BE5-97EE-7AB752DE8128}"/>
    <cellStyle name="Total 3 5 2 4 5" xfId="6872" xr:uid="{0DA58A3A-5311-44E0-B021-919AF409B501}"/>
    <cellStyle name="Total 3 5 2 4 6" xfId="2849" xr:uid="{65086BA8-33B7-4869-BB54-1F16CF22F8F6}"/>
    <cellStyle name="Total 3 5 2 5" xfId="3101" xr:uid="{4F8713B0-9F65-4248-ACF6-98FA53DB77B2}"/>
    <cellStyle name="Total 3 5 2 6" xfId="2143" xr:uid="{FC701E87-F7A0-4DAD-9491-8CDCE767A743}"/>
    <cellStyle name="Total 3 5 3" xfId="269" xr:uid="{9374FCBE-88C9-4EAA-BBEA-6247338945E8}"/>
    <cellStyle name="Total 3 5 3 2" xfId="493" xr:uid="{BDD7AF3F-DC14-4BAA-BD80-EDEB650D250E}"/>
    <cellStyle name="Total 3 5 3 2 2" xfId="972" xr:uid="{7F38A0F6-41B8-4341-BE3F-20D9177D8650}"/>
    <cellStyle name="Total 3 5 3 2 2 2" xfId="1777" xr:uid="{F791A857-E0B3-4F7E-BBB3-1ACB880AB3F6}"/>
    <cellStyle name="Total 3 5 3 2 2 2 2" xfId="7548" xr:uid="{00AEC001-29B1-45EA-902A-0240D7A0B42D}"/>
    <cellStyle name="Total 3 5 3 2 2 2 3" xfId="10214" xr:uid="{AD2B746C-811D-4ADF-B6B0-263F63E3D273}"/>
    <cellStyle name="Total 3 5 3 2 2 2 4" xfId="4574" xr:uid="{D5249C42-4CD2-4445-8C3F-6E4FC1D2CDC3}"/>
    <cellStyle name="Total 3 5 3 2 2 3" xfId="5314" xr:uid="{62834FBD-C57D-45AF-8618-33DDA5A1C91D}"/>
    <cellStyle name="Total 3 5 3 2 2 3 2" xfId="8288" xr:uid="{68C421CC-61C8-4AE7-BFCE-ED0EEF11B985}"/>
    <cellStyle name="Total 3 5 3 2 2 4" xfId="6079" xr:uid="{3B006250-65CE-43B2-AA34-4E9B84935A25}"/>
    <cellStyle name="Total 3 5 3 2 2 4 2" xfId="9053" xr:uid="{EE1EB2FD-448E-40AB-AF13-25F405B46B6D}"/>
    <cellStyle name="Total 3 5 3 2 2 5" xfId="3789" xr:uid="{418E9BB8-442C-45CF-8304-0128B12FAC79}"/>
    <cellStyle name="Total 3 5 3 2 2 6" xfId="6752" xr:uid="{163078BC-F424-485F-BCB0-EF5043C3706C}"/>
    <cellStyle name="Total 3 5 3 2 2 7" xfId="2729" xr:uid="{2115CD9B-34EB-4F40-84B4-1F2F5693045B}"/>
    <cellStyle name="Total 3 5 3 2 3" xfId="1156" xr:uid="{D05C4DAB-B89B-4BCD-B4BA-BE93C785A918}"/>
    <cellStyle name="Total 3 5 3 2 3 2" xfId="1961" xr:uid="{C48762F0-7055-4CA4-B799-B4E446B768BC}"/>
    <cellStyle name="Total 3 5 3 2 3 2 2" xfId="7732" xr:uid="{1496EC37-B754-493B-813B-FB04F7828C13}"/>
    <cellStyle name="Total 3 5 3 2 3 2 3" xfId="10398" xr:uid="{B68A4C3B-F529-4F9D-8AA0-8FFAC06530EE}"/>
    <cellStyle name="Total 3 5 3 2 3 2 4" xfId="4758" xr:uid="{E4EF6F5A-CBC3-4A54-BEC9-921E36392879}"/>
    <cellStyle name="Total 3 5 3 2 3 3" xfId="5498" xr:uid="{F97F7A99-D9A9-4585-BF6B-4413CA798E42}"/>
    <cellStyle name="Total 3 5 3 2 3 3 2" xfId="8472" xr:uid="{7DABA6B7-900F-428A-BFBE-4C4C5C058C81}"/>
    <cellStyle name="Total 3 5 3 2 3 4" xfId="6263" xr:uid="{17B43FF2-9348-4A5F-A5A6-7422095CA20A}"/>
    <cellStyle name="Total 3 5 3 2 3 4 2" xfId="9237" xr:uid="{32C58BF6-51EC-4751-9C16-11CE2DE618CF}"/>
    <cellStyle name="Total 3 5 3 2 3 5" xfId="6936" xr:uid="{2423A0C1-DB51-4E9A-BE62-AE0B195FBC0C}"/>
    <cellStyle name="Total 3 5 3 2 3 6" xfId="2913" xr:uid="{B8AE5F3C-C913-408A-8CF4-8B362FEE386E}"/>
    <cellStyle name="Total 3 5 3 2 4" xfId="1299" xr:uid="{18A3C521-3058-41FE-99D0-CEDE47FC321A}"/>
    <cellStyle name="Total 3 5 3 2 4 2" xfId="7070" xr:uid="{EC00F575-B503-403C-99B6-FA57910EA675}"/>
    <cellStyle name="Total 3 5 3 2 4 3" xfId="9736" xr:uid="{8E52FE7C-29AA-498E-A4AF-479D40B21A64}"/>
    <cellStyle name="Total 3 5 3 2 4 4" xfId="4096" xr:uid="{C24C47C5-D480-476F-AFB4-D39C340F05A0}"/>
    <cellStyle name="Total 3 5 3 2 5" xfId="4836" xr:uid="{A08AC333-669D-4A4E-AB9D-3EE9025DE058}"/>
    <cellStyle name="Total 3 5 3 2 5 2" xfId="7810" xr:uid="{C2E882ED-5E7B-4AD0-B19A-CF8EA91E26F7}"/>
    <cellStyle name="Total 3 5 3 2 6" xfId="5601" xr:uid="{4596A867-507B-4685-99A1-EADA8F71D16D}"/>
    <cellStyle name="Total 3 5 3 2 6 2" xfId="8575" xr:uid="{1EA12D9C-2FAD-4610-BF47-E1B8894A32B4}"/>
    <cellStyle name="Total 3 5 3 2 7" xfId="3087" xr:uid="{FC6B40A8-9C7A-4367-888F-80A35A37009A}"/>
    <cellStyle name="Total 3 5 3 2 8" xfId="2251" xr:uid="{B2A78B29-FB69-48FB-8B16-397C3DC3538C}"/>
    <cellStyle name="Total 3 5 3 3" xfId="761" xr:uid="{03C0EBE7-F200-47E7-B461-CD84B7C70401}"/>
    <cellStyle name="Total 3 5 3 3 2" xfId="1566" xr:uid="{8E6C9DDC-65EF-4644-90C4-A8B0F8AB4B36}"/>
    <cellStyle name="Total 3 5 3 3 2 2" xfId="7337" xr:uid="{A5FD1C11-8750-4A65-B02F-C95274BD8B90}"/>
    <cellStyle name="Total 3 5 3 3 2 3" xfId="10003" xr:uid="{44BB4E4C-13AB-4827-AEB2-EB658017466D}"/>
    <cellStyle name="Total 3 5 3 3 2 4" xfId="4363" xr:uid="{D6C0252B-0B57-46CA-B230-2F7E44F7DD00}"/>
    <cellStyle name="Total 3 5 3 3 3" xfId="5103" xr:uid="{919EAF2D-E01E-4470-B205-C0A31557A173}"/>
    <cellStyle name="Total 3 5 3 3 3 2" xfId="8077" xr:uid="{CE1594F0-7B59-4F71-8587-C133BE126E04}"/>
    <cellStyle name="Total 3 5 3 3 4" xfId="5868" xr:uid="{1B931068-6B90-46DF-980D-7F3A58C9C6E1}"/>
    <cellStyle name="Total 3 5 3 3 4 2" xfId="8842" xr:uid="{353F86E2-B66B-429B-9080-DF501AE7932A}"/>
    <cellStyle name="Total 3 5 3 3 5" xfId="3596" xr:uid="{21BB9668-1119-49F4-992D-A93DEA1CA8E8}"/>
    <cellStyle name="Total 3 5 3 3 6" xfId="6541" xr:uid="{470E9C31-C626-49E5-9C28-AB427888344C}"/>
    <cellStyle name="Total 3 5 3 3 7" xfId="2518" xr:uid="{EC28DD8C-4C62-45D8-A1B1-CCFC1C56919B}"/>
    <cellStyle name="Total 3 5 3 4" xfId="889" xr:uid="{B8DF7DEF-0B55-430A-A857-2650A6F43EC6}"/>
    <cellStyle name="Total 3 5 3 4 2" xfId="1694" xr:uid="{5B070EF4-B529-4380-AE3F-17358B0F5968}"/>
    <cellStyle name="Total 3 5 3 4 2 2" xfId="7465" xr:uid="{92A08C45-5987-43A2-915F-728203093E48}"/>
    <cellStyle name="Total 3 5 3 4 2 3" xfId="10131" xr:uid="{64C84E8A-D079-4037-A49E-4FDA2C45AB89}"/>
    <cellStyle name="Total 3 5 3 4 2 4" xfId="4491" xr:uid="{08EC2FCB-BA4A-4123-9F9B-9E91AAA33277}"/>
    <cellStyle name="Total 3 5 3 4 3" xfId="5231" xr:uid="{052A4629-7859-408E-91EF-3824B1B18843}"/>
    <cellStyle name="Total 3 5 3 4 3 2" xfId="8205" xr:uid="{38ECE52E-F80B-47AD-909D-A02140C7695D}"/>
    <cellStyle name="Total 3 5 3 4 4" xfId="5996" xr:uid="{0167EE95-5F47-4281-B0A8-9ABEE29B5AD8}"/>
    <cellStyle name="Total 3 5 3 4 4 2" xfId="8970" xr:uid="{F31F1221-09E7-4FFA-B860-D2092826A8F6}"/>
    <cellStyle name="Total 3 5 3 4 5" xfId="6669" xr:uid="{16CBAEBB-7196-476A-805E-3AD7BF1240D1}"/>
    <cellStyle name="Total 3 5 3 4 6" xfId="2646" xr:uid="{BDA86CD3-C156-487F-98C0-3ED0845B84E4}"/>
    <cellStyle name="Total 3 5 3 5" xfId="3944" xr:uid="{0F3788F9-581C-4900-B6F7-F3AC522C317D}"/>
    <cellStyle name="Total 3 5 3 6" xfId="2086" xr:uid="{75E848C1-6637-4D8C-840E-41C2EE147691}"/>
    <cellStyle name="Total 3 5 4" xfId="445" xr:uid="{2F862B56-3B82-4D6B-8409-3078C98BC4FC}"/>
    <cellStyle name="Total 3 5 4 2" xfId="924" xr:uid="{6303B4BF-0FE9-4485-ADA9-29384129D26B}"/>
    <cellStyle name="Total 3 5 4 2 2" xfId="1729" xr:uid="{373AEF3A-9A4F-4D69-82F8-08B85CC5EFC7}"/>
    <cellStyle name="Total 3 5 4 2 2 2" xfId="7500" xr:uid="{CD0B498D-1859-478E-8A5D-A6F964450BCC}"/>
    <cellStyle name="Total 3 5 4 2 2 3" xfId="10166" xr:uid="{47BF2B80-FDD4-41B4-B7E3-A2FC9901C3F4}"/>
    <cellStyle name="Total 3 5 4 2 2 4" xfId="4526" xr:uid="{09439758-21ED-4AB4-8211-1C016E4133C4}"/>
    <cellStyle name="Total 3 5 4 2 3" xfId="5266" xr:uid="{2D8FB178-AFFF-4C5A-99EB-B0E004138DE5}"/>
    <cellStyle name="Total 3 5 4 2 3 2" xfId="8240" xr:uid="{4954550F-D5CF-4906-BE09-21466775560D}"/>
    <cellStyle name="Total 3 5 4 2 4" xfId="6031" xr:uid="{40536FC1-C3F9-490A-B363-02BBC51EC798}"/>
    <cellStyle name="Total 3 5 4 2 4 2" xfId="9005" xr:uid="{860859F5-5BBD-4673-BF83-159B8A6197E6}"/>
    <cellStyle name="Total 3 5 4 2 5" xfId="3741" xr:uid="{CB3378C6-B1F1-4D36-BA44-B64B800DFD7F}"/>
    <cellStyle name="Total 3 5 4 2 6" xfId="6704" xr:uid="{A6F60A51-3BBE-4E4F-9F6B-CCB2804252F8}"/>
    <cellStyle name="Total 3 5 4 2 7" xfId="2681" xr:uid="{71B3F7FA-086D-4CB4-86A1-E73666F68B8C}"/>
    <cellStyle name="Total 3 5 4 3" xfId="843" xr:uid="{FDF5F73C-42BC-4266-9AF1-9EE283DB28EE}"/>
    <cellStyle name="Total 3 5 4 3 2" xfId="1648" xr:uid="{F2EB8173-69B9-451F-9270-DDCDE8A9C139}"/>
    <cellStyle name="Total 3 5 4 3 2 2" xfId="7419" xr:uid="{71BC73E6-6853-496B-8759-4529C4C39BCC}"/>
    <cellStyle name="Total 3 5 4 3 2 3" xfId="10085" xr:uid="{AD70BD9D-95F7-4A67-94CD-6CD0720C5ED6}"/>
    <cellStyle name="Total 3 5 4 3 2 4" xfId="4445" xr:uid="{8CE9162A-E620-4972-86A7-4F7CEFE0D43D}"/>
    <cellStyle name="Total 3 5 4 3 3" xfId="5185" xr:uid="{0BEAAAEA-501D-46EF-B0EB-31905727F63A}"/>
    <cellStyle name="Total 3 5 4 3 3 2" xfId="8159" xr:uid="{83A6771F-F67D-4935-8823-2C82C9FDE9FB}"/>
    <cellStyle name="Total 3 5 4 3 4" xfId="5950" xr:uid="{5C1309FF-93AF-4E18-A0B6-5215CBDB0A08}"/>
    <cellStyle name="Total 3 5 4 3 4 2" xfId="8924" xr:uid="{2E4869E8-48E2-4930-9475-8C3C82367215}"/>
    <cellStyle name="Total 3 5 4 3 5" xfId="6623" xr:uid="{2AFA8A16-34B7-4EA2-A14F-A46ECAEE96A3}"/>
    <cellStyle name="Total 3 5 4 3 6" xfId="2600" xr:uid="{DE5EC816-169F-4945-BEEB-782F5EC0D5FB}"/>
    <cellStyle name="Total 3 5 4 4" xfId="1251" xr:uid="{0ADFF467-3DF7-4F2A-A6FB-BE66A8E2FA8A}"/>
    <cellStyle name="Total 3 5 4 4 2" xfId="7022" xr:uid="{3F5D0A9F-AD25-4B4B-951F-3B430F916F4C}"/>
    <cellStyle name="Total 3 5 4 4 3" xfId="9688" xr:uid="{A41B85F5-5E56-48E9-8C8A-CEAEB40648E9}"/>
    <cellStyle name="Total 3 5 4 4 4" xfId="4048" xr:uid="{0B662223-DE19-41DA-BE64-0C525D510006}"/>
    <cellStyle name="Total 3 5 4 5" xfId="3291" xr:uid="{40F72824-8D53-40A7-B4D6-BE5AC72F9666}"/>
    <cellStyle name="Total 3 5 4 5 2" xfId="2992" xr:uid="{565AF996-5DB6-460B-8CFD-2707615CEE5E}"/>
    <cellStyle name="Total 3 5 4 6" xfId="5553" xr:uid="{86AC4AE0-EBCC-47EB-80D3-47663EAD0E4C}"/>
    <cellStyle name="Total 3 5 4 6 2" xfId="8527" xr:uid="{E6B4C960-38AB-4674-8ABD-54ABBDC3C1AB}"/>
    <cellStyle name="Total 3 5 4 7" xfId="3071" xr:uid="{D7B6DD7E-0322-4B15-B174-FD407950CC10}"/>
    <cellStyle name="Total 3 5 4 8" xfId="2203" xr:uid="{736E9C37-A9EA-440F-B6EC-8A2302EB0915}"/>
    <cellStyle name="Total 3 5 5" xfId="713" xr:uid="{A3724CDD-4046-4F0A-92AF-D6B10D6B8FB5}"/>
    <cellStyle name="Total 3 5 5 2" xfId="1518" xr:uid="{80952A7C-4819-4524-97D1-DA3EB6497151}"/>
    <cellStyle name="Total 3 5 5 2 2" xfId="7289" xr:uid="{B8715281-45F8-4846-8A88-28F305D25769}"/>
    <cellStyle name="Total 3 5 5 2 3" xfId="9955" xr:uid="{F8FAA881-C788-4897-9A04-10E8759967E7}"/>
    <cellStyle name="Total 3 5 5 2 4" xfId="4315" xr:uid="{2FB2190A-EDCC-46CD-97D9-0B2E72B53BF3}"/>
    <cellStyle name="Total 3 5 5 3" xfId="5055" xr:uid="{67F57E1E-A2BC-4F5E-8E0B-94B6262E20FA}"/>
    <cellStyle name="Total 3 5 5 3 2" xfId="8029" xr:uid="{8DD9A25B-AD79-4E97-AF93-64926B71668A}"/>
    <cellStyle name="Total 3 5 5 4" xfId="5820" xr:uid="{1A8D36C6-DDA5-42ED-B76F-D5ED19170B91}"/>
    <cellStyle name="Total 3 5 5 4 2" xfId="8794" xr:uid="{4663D43F-1BE9-4B78-BB48-A27F67D39350}"/>
    <cellStyle name="Total 3 5 5 5" xfId="3548" xr:uid="{1AC6B527-12E9-432D-92CC-E8B8EAEFC154}"/>
    <cellStyle name="Total 3 5 5 6" xfId="6493" xr:uid="{D07CADD1-191B-433D-859F-D9BCD4EA7B29}"/>
    <cellStyle name="Total 3 5 5 7" xfId="2470" xr:uid="{C5610168-C662-4262-94C5-7BAEBCB30DEE}"/>
    <cellStyle name="Total 3 5 6" xfId="601" xr:uid="{7DDC0207-F4C9-4912-A28B-6A34B8A3D596}"/>
    <cellStyle name="Total 3 5 6 2" xfId="1406" xr:uid="{2891AE28-FFC6-4DC7-ABFD-07AF5BE83D99}"/>
    <cellStyle name="Total 3 5 6 2 2" xfId="7177" xr:uid="{61BA0DF1-5D3F-48A4-8790-65A7D44F0422}"/>
    <cellStyle name="Total 3 5 6 2 3" xfId="9843" xr:uid="{A934269F-52A5-40E1-9BEA-7F10606C12BE}"/>
    <cellStyle name="Total 3 5 6 2 4" xfId="4203" xr:uid="{577038F0-2085-4348-889D-AD2DDB44657A}"/>
    <cellStyle name="Total 3 5 6 3" xfId="4943" xr:uid="{2C0300F2-1569-4883-9320-DE470FF8F204}"/>
    <cellStyle name="Total 3 5 6 3 2" xfId="7917" xr:uid="{3C85DD47-6F8B-46A1-B26D-2A765D02B4DE}"/>
    <cellStyle name="Total 3 5 6 4" xfId="5708" xr:uid="{5778C4D6-B0F6-4584-8742-621A6AE6B2D4}"/>
    <cellStyle name="Total 3 5 6 4 2" xfId="8682" xr:uid="{D95D81AB-5C86-4C5F-B2EF-EDF2911EEC2B}"/>
    <cellStyle name="Total 3 5 6 5" xfId="6381" xr:uid="{911CD06E-16DC-4B1D-B72F-8E5D32F3F1AC}"/>
    <cellStyle name="Total 3 5 6 6" xfId="2358" xr:uid="{B3919CE6-8317-4E25-B080-FD1449F44A2D}"/>
    <cellStyle name="Total 3 5 7" xfId="3500" xr:uid="{C85F4CBF-454B-4938-804C-9A5EF459A306}"/>
    <cellStyle name="Total 3 5 8" xfId="2036" xr:uid="{EE0A05BB-7C40-4765-95EF-2C72E9EEFE06}"/>
    <cellStyle name="Total 3 6" xfId="227" xr:uid="{281A8553-57A8-4EDB-B33A-2411758425DA}"/>
    <cellStyle name="Total 3 6 2" xfId="331" xr:uid="{4FD7B9E0-4E96-468F-B1E0-84511E9D435F}"/>
    <cellStyle name="Total 3 6 2 2" xfId="553" xr:uid="{1AAE8D43-5AEB-4540-9CDC-82E5F223E0AF}"/>
    <cellStyle name="Total 3 6 2 2 2" xfId="1032" xr:uid="{84333A96-B6E5-404E-AA64-B01BBF4AF6DD}"/>
    <cellStyle name="Total 3 6 2 2 2 2" xfId="1837" xr:uid="{20AE6FE2-B586-4EAF-B29A-160924D91F6B}"/>
    <cellStyle name="Total 3 6 2 2 2 2 2" xfId="7608" xr:uid="{F3BF9F53-3724-48BD-BA5B-8E45D0294248}"/>
    <cellStyle name="Total 3 6 2 2 2 2 3" xfId="10274" xr:uid="{3F399B88-4F08-4C6C-BB71-4F6A5345C361}"/>
    <cellStyle name="Total 3 6 2 2 2 2 4" xfId="4634" xr:uid="{DD1C26A4-2CCF-4E7D-A897-AC16936D7B3E}"/>
    <cellStyle name="Total 3 6 2 2 2 3" xfId="5374" xr:uid="{6A0B5739-F555-47B0-8DE3-CAFE70AEAB8D}"/>
    <cellStyle name="Total 3 6 2 2 2 3 2" xfId="8348" xr:uid="{AAD2B74A-2D73-40AC-B089-974BCC7CD9DD}"/>
    <cellStyle name="Total 3 6 2 2 2 4" xfId="6139" xr:uid="{798CA4CF-1E4A-484D-9987-D982F2358E1F}"/>
    <cellStyle name="Total 3 6 2 2 2 4 2" xfId="9113" xr:uid="{BB9F8DE3-6FBE-4BD5-BD98-D8425447DDEC}"/>
    <cellStyle name="Total 3 6 2 2 2 5" xfId="3849" xr:uid="{FDE71FAE-A44A-4142-982B-C5FB1CB3B894}"/>
    <cellStyle name="Total 3 6 2 2 2 6" xfId="6812" xr:uid="{B87F2EA5-9751-4343-B628-9BB9F458AAF6}"/>
    <cellStyle name="Total 3 6 2 2 2 7" xfId="2789" xr:uid="{371831BB-CA34-4621-A8C4-1F073C0C9F23}"/>
    <cellStyle name="Total 3 6 2 2 3" xfId="856" xr:uid="{390F6F78-3F05-4E32-AEB3-8B5DED991CD8}"/>
    <cellStyle name="Total 3 6 2 2 3 2" xfId="1661" xr:uid="{2D423D1F-95BA-4ECE-99DC-64EA2B12F887}"/>
    <cellStyle name="Total 3 6 2 2 3 2 2" xfId="7432" xr:uid="{25EE59CF-031D-415D-B400-6CCB7E20CC68}"/>
    <cellStyle name="Total 3 6 2 2 3 2 3" xfId="10098" xr:uid="{8D33E59B-DA4B-47FA-8575-260D6EDDDF08}"/>
    <cellStyle name="Total 3 6 2 2 3 2 4" xfId="4458" xr:uid="{5D05FEDD-9130-4F28-A36E-DB6934023AF2}"/>
    <cellStyle name="Total 3 6 2 2 3 3" xfId="5198" xr:uid="{CC444607-2947-45A3-B0DD-C81318BBD115}"/>
    <cellStyle name="Total 3 6 2 2 3 3 2" xfId="8172" xr:uid="{37B0FE84-EA60-4D6B-82BC-463A95301797}"/>
    <cellStyle name="Total 3 6 2 2 3 4" xfId="5963" xr:uid="{CD4ABC6D-131E-42F5-8C1E-B7F3AEA7A9F0}"/>
    <cellStyle name="Total 3 6 2 2 3 4 2" xfId="8937" xr:uid="{329CFD54-92E0-494C-B71F-72FF23DAAA12}"/>
    <cellStyle name="Total 3 6 2 2 3 5" xfId="6636" xr:uid="{1301742B-F6B8-49E1-A139-CAC3F85DFE6A}"/>
    <cellStyle name="Total 3 6 2 2 3 6" xfId="2613" xr:uid="{5EEACAA7-E85F-48B3-94B0-BBA6F06FE351}"/>
    <cellStyle name="Total 3 6 2 2 4" xfId="1359" xr:uid="{B628EF74-5F22-4E31-A899-1B1EEF6CD1C9}"/>
    <cellStyle name="Total 3 6 2 2 4 2" xfId="7130" xr:uid="{41423D14-92EA-4A71-96FF-7B44A3E2270E}"/>
    <cellStyle name="Total 3 6 2 2 4 3" xfId="9796" xr:uid="{ACFBFECA-C953-486D-9D1B-35E96A385B1D}"/>
    <cellStyle name="Total 3 6 2 2 4 4" xfId="4156" xr:uid="{48402F39-C9E4-49CD-AB19-6DF8431BBBCA}"/>
    <cellStyle name="Total 3 6 2 2 5" xfId="4896" xr:uid="{0C5CA722-72DC-4113-9D90-E576B4D67235}"/>
    <cellStyle name="Total 3 6 2 2 5 2" xfId="7870" xr:uid="{8FE95E45-E605-4CCE-B01D-BBE1E711154A}"/>
    <cellStyle name="Total 3 6 2 2 6" xfId="5661" xr:uid="{80636DC6-743C-4A23-9DED-F5FBF8CAD814}"/>
    <cellStyle name="Total 3 6 2 2 6 2" xfId="8635" xr:uid="{9F797EB9-3D9E-4F2E-9541-7201F4C7E1A2}"/>
    <cellStyle name="Total 3 6 2 2 7" xfId="6334" xr:uid="{9A87727C-C3D5-481F-B781-7CCAEF88ADDA}"/>
    <cellStyle name="Total 3 6 2 2 8" xfId="2311" xr:uid="{D03D125B-7FBA-4B47-AC77-66177A095ACE}"/>
    <cellStyle name="Total 3 6 2 3" xfId="822" xr:uid="{466894FC-78AB-44AC-B02E-4B01EF925E08}"/>
    <cellStyle name="Total 3 6 2 3 2" xfId="1627" xr:uid="{6316C09A-E072-4542-8B45-E3989B1FEDF0}"/>
    <cellStyle name="Total 3 6 2 3 2 2" xfId="7398" xr:uid="{9A7A4862-AD53-4D2A-820F-AFEB6E44F54C}"/>
    <cellStyle name="Total 3 6 2 3 2 3" xfId="10064" xr:uid="{22544315-4BBA-4610-B811-818BED7A74E0}"/>
    <cellStyle name="Total 3 6 2 3 2 4" xfId="4424" xr:uid="{115B2A31-D813-44A4-8A9E-640E7354A753}"/>
    <cellStyle name="Total 3 6 2 3 3" xfId="5164" xr:uid="{CBAD1AE9-CD42-4818-A220-B5125C314F97}"/>
    <cellStyle name="Total 3 6 2 3 3 2" xfId="8138" xr:uid="{6F9826A2-47BA-48CE-B1E9-CF429A548E4D}"/>
    <cellStyle name="Total 3 6 2 3 4" xfId="5929" xr:uid="{686EC9F5-331D-451D-B286-ED730E3C2906}"/>
    <cellStyle name="Total 3 6 2 3 4 2" xfId="8903" xr:uid="{6219029B-80B1-41F4-8682-9A31F0E87566}"/>
    <cellStyle name="Total 3 6 2 3 5" xfId="3656" xr:uid="{DDB63311-1AA2-4975-AE2D-8FEC2BA625FE}"/>
    <cellStyle name="Total 3 6 2 3 6" xfId="6602" xr:uid="{291A76BB-08F8-41AD-8B33-E994C355BDE9}"/>
    <cellStyle name="Total 3 6 2 3 7" xfId="2579" xr:uid="{44E15985-7441-4E2B-803D-4123A8772794}"/>
    <cellStyle name="Total 3 6 2 4" xfId="1090" xr:uid="{53A026F5-037A-4735-B48E-6C7DAF6E0311}"/>
    <cellStyle name="Total 3 6 2 4 2" xfId="1895" xr:uid="{6A7812C0-9C49-4E6F-96AD-D76F0A0F6565}"/>
    <cellStyle name="Total 3 6 2 4 2 2" xfId="7666" xr:uid="{49FB48DD-26AE-4C5D-9827-1E11E0EF60DA}"/>
    <cellStyle name="Total 3 6 2 4 2 3" xfId="10332" xr:uid="{21E9F936-61E1-4216-859B-DA63E5E4852D}"/>
    <cellStyle name="Total 3 6 2 4 2 4" xfId="4692" xr:uid="{4923EC8D-4DD5-46E8-9AF0-2A5CD2C3B664}"/>
    <cellStyle name="Total 3 6 2 4 3" xfId="5432" xr:uid="{36C87502-6014-4F49-983A-2A1FCC7A59E4}"/>
    <cellStyle name="Total 3 6 2 4 3 2" xfId="8406" xr:uid="{5B3B5BDD-FD6C-47F7-8555-9BB47C26D956}"/>
    <cellStyle name="Total 3 6 2 4 4" xfId="6197" xr:uid="{042929B4-1B58-4AC9-AA1F-F281F25BDE4C}"/>
    <cellStyle name="Total 3 6 2 4 4 2" xfId="9171" xr:uid="{E9B5F2C4-63DF-4360-969E-E6192DB7F068}"/>
    <cellStyle name="Total 3 6 2 4 5" xfId="6870" xr:uid="{422C0C5E-0E7F-4452-B42F-4EA6E22E7EBF}"/>
    <cellStyle name="Total 3 6 2 4 6" xfId="2847" xr:uid="{E01C337C-BA04-4CDA-B420-736302F558E1}"/>
    <cellStyle name="Total 3 6 2 5" xfId="3018" xr:uid="{187788B2-7AB9-4963-A82C-AEB14B5324E6}"/>
    <cellStyle name="Total 3 6 2 6" xfId="2149" xr:uid="{C0768109-49AD-44A0-8052-ADF37175B989}"/>
    <cellStyle name="Total 3 6 3" xfId="275" xr:uid="{5BC03E27-9C84-4E78-9044-0572659896C0}"/>
    <cellStyle name="Total 3 6 3 2" xfId="499" xr:uid="{8E5297B4-CC06-4A90-A478-84EA3D6DBABA}"/>
    <cellStyle name="Total 3 6 3 2 2" xfId="978" xr:uid="{87A94485-5798-4802-8A7B-148AD59AF9CF}"/>
    <cellStyle name="Total 3 6 3 2 2 2" xfId="1783" xr:uid="{665E23C0-3115-47A4-A0D7-2FD7081FB792}"/>
    <cellStyle name="Total 3 6 3 2 2 2 2" xfId="7554" xr:uid="{F0E914FD-C4FC-490F-9B62-53675AAEDFD0}"/>
    <cellStyle name="Total 3 6 3 2 2 2 3" xfId="10220" xr:uid="{070E4C6A-8BB5-450F-9329-76761348C99D}"/>
    <cellStyle name="Total 3 6 3 2 2 2 4" xfId="4580" xr:uid="{96DF1397-F15A-4588-B7D2-E268CAFD22F0}"/>
    <cellStyle name="Total 3 6 3 2 2 3" xfId="5320" xr:uid="{86D1A737-722B-4C7C-8F13-9A5638CB3D70}"/>
    <cellStyle name="Total 3 6 3 2 2 3 2" xfId="8294" xr:uid="{124740BB-D7D7-415A-B233-C18B12EC19B5}"/>
    <cellStyle name="Total 3 6 3 2 2 4" xfId="6085" xr:uid="{C5C169F0-9D06-4E62-93F8-812BF61A62A8}"/>
    <cellStyle name="Total 3 6 3 2 2 4 2" xfId="9059" xr:uid="{1F27E599-D1B9-4AFB-A5D2-C604FB93EA15}"/>
    <cellStyle name="Total 3 6 3 2 2 5" xfId="3795" xr:uid="{465A2D67-1CFB-48CE-80AD-7D056E5A752D}"/>
    <cellStyle name="Total 3 6 3 2 2 6" xfId="6758" xr:uid="{A8B90168-733C-4CF5-80C8-AF1515999A8F}"/>
    <cellStyle name="Total 3 6 3 2 2 7" xfId="2735" xr:uid="{CEC1F740-D835-47F7-9794-F14C7A7DF5CE}"/>
    <cellStyle name="Total 3 6 3 2 3" xfId="1155" xr:uid="{447EFA1B-6BEA-4F7F-B1B0-3F77E432F320}"/>
    <cellStyle name="Total 3 6 3 2 3 2" xfId="1960" xr:uid="{5C20E912-D53F-4334-BDDB-77676078CB1F}"/>
    <cellStyle name="Total 3 6 3 2 3 2 2" xfId="7731" xr:uid="{D711A3C4-90CE-4054-9985-88E04AD0B56E}"/>
    <cellStyle name="Total 3 6 3 2 3 2 3" xfId="10397" xr:uid="{7CD95BE3-02B7-4509-B62C-830285E5EB84}"/>
    <cellStyle name="Total 3 6 3 2 3 2 4" xfId="4757" xr:uid="{BDEC7553-4F10-4436-91D2-1207576ACD2B}"/>
    <cellStyle name="Total 3 6 3 2 3 3" xfId="5497" xr:uid="{4A2BC1B8-6745-4889-8C7E-5AAD8F7D651D}"/>
    <cellStyle name="Total 3 6 3 2 3 3 2" xfId="8471" xr:uid="{51EACBC7-AEE4-49DA-9F35-62ECD89DB568}"/>
    <cellStyle name="Total 3 6 3 2 3 4" xfId="6262" xr:uid="{7437BC3A-BFE9-4627-9247-4A7CAF123FE0}"/>
    <cellStyle name="Total 3 6 3 2 3 4 2" xfId="9236" xr:uid="{CA75EAFD-20F6-4D77-B3C7-5F2574218A2D}"/>
    <cellStyle name="Total 3 6 3 2 3 5" xfId="6935" xr:uid="{C01D2BB2-7F2E-4E2F-8B1F-CCD63C312A60}"/>
    <cellStyle name="Total 3 6 3 2 3 6" xfId="2912" xr:uid="{ABD2705B-60F5-4B35-A7EE-4D39C5E95094}"/>
    <cellStyle name="Total 3 6 3 2 4" xfId="1305" xr:uid="{79FDC377-7CA8-41D9-A137-13C0DB35DFE5}"/>
    <cellStyle name="Total 3 6 3 2 4 2" xfId="7076" xr:uid="{E5BC0B36-34E5-42EB-B97D-4C0379BC5D02}"/>
    <cellStyle name="Total 3 6 3 2 4 3" xfId="9742" xr:uid="{5CF6FBCA-C4E1-42B5-84A1-31FA1A77CB95}"/>
    <cellStyle name="Total 3 6 3 2 4 4" xfId="4102" xr:uid="{3FF84BD6-3255-499E-A2CF-9B7012E5A6BD}"/>
    <cellStyle name="Total 3 6 3 2 5" xfId="4842" xr:uid="{7AECA44D-2F8E-4FD3-8AF5-309E8B525CFA}"/>
    <cellStyle name="Total 3 6 3 2 5 2" xfId="7816" xr:uid="{7E79BAC0-3450-4DF4-BB15-863CF26E6598}"/>
    <cellStyle name="Total 3 6 3 2 6" xfId="5607" xr:uid="{32B84BD7-D326-4917-B8DD-986841DE4924}"/>
    <cellStyle name="Total 3 6 3 2 6 2" xfId="8581" xr:uid="{A575DFC0-B40D-49DE-9442-AC8DC89D1282}"/>
    <cellStyle name="Total 3 6 3 2 7" xfId="3058" xr:uid="{CD43850E-6BAD-4465-B581-2D7B402763B4}"/>
    <cellStyle name="Total 3 6 3 2 8" xfId="2257" xr:uid="{1F707C1F-109E-49BF-A1F3-31CED4F9EF0C}"/>
    <cellStyle name="Total 3 6 3 3" xfId="767" xr:uid="{911742B3-E5FF-4389-B2AF-B2C97DC47FDC}"/>
    <cellStyle name="Total 3 6 3 3 2" xfId="1572" xr:uid="{615DEFB3-9F94-4AA7-BB01-46F40CCD908C}"/>
    <cellStyle name="Total 3 6 3 3 2 2" xfId="7343" xr:uid="{DBB6962F-330D-47EE-8E06-F1A3220A3F9D}"/>
    <cellStyle name="Total 3 6 3 3 2 3" xfId="10009" xr:uid="{46DE9B51-8BE6-4865-802C-5AB34BD9B17A}"/>
    <cellStyle name="Total 3 6 3 3 2 4" xfId="4369" xr:uid="{4D7A96B2-4723-42F3-8E18-07E0B5388D6F}"/>
    <cellStyle name="Total 3 6 3 3 3" xfId="5109" xr:uid="{935D4897-6424-44F2-9CF8-8989DD398C76}"/>
    <cellStyle name="Total 3 6 3 3 3 2" xfId="8083" xr:uid="{A49C6E95-1AE3-4D57-9660-8398EF1719D3}"/>
    <cellStyle name="Total 3 6 3 3 4" xfId="5874" xr:uid="{53A2A4D1-96FA-4C5A-9C90-103056BF70D3}"/>
    <cellStyle name="Total 3 6 3 3 4 2" xfId="8848" xr:uid="{1F9AF018-B04A-45D7-A7B0-C165E89E1296}"/>
    <cellStyle name="Total 3 6 3 3 5" xfId="3602" xr:uid="{884D0E59-759C-4A2A-A5C3-C3B8DC537CF5}"/>
    <cellStyle name="Total 3 6 3 3 6" xfId="6547" xr:uid="{F165BE2A-A25A-4488-8323-718D69A716DC}"/>
    <cellStyle name="Total 3 6 3 3 7" xfId="2524" xr:uid="{26E7C545-9A36-475E-B4E0-651BBB364079}"/>
    <cellStyle name="Total 3 6 3 4" xfId="1139" xr:uid="{42674902-609D-4EA1-A304-DAD00638D725}"/>
    <cellStyle name="Total 3 6 3 4 2" xfId="1944" xr:uid="{C68053B9-2068-440C-9758-037816DFDF7D}"/>
    <cellStyle name="Total 3 6 3 4 2 2" xfId="7715" xr:uid="{E4B90337-4C9E-4512-97C8-80063C5DE729}"/>
    <cellStyle name="Total 3 6 3 4 2 3" xfId="10381" xr:uid="{684FCF22-66E6-4DEA-80A7-ACA3326B14D2}"/>
    <cellStyle name="Total 3 6 3 4 2 4" xfId="4741" xr:uid="{E309EF70-A732-4BE5-B8DE-A0CCFE85C4F6}"/>
    <cellStyle name="Total 3 6 3 4 3" xfId="5481" xr:uid="{F1BF016F-E60E-4D75-A705-57520D33BFEA}"/>
    <cellStyle name="Total 3 6 3 4 3 2" xfId="8455" xr:uid="{EE185FCC-BC64-4714-9B0B-EE95A785C0CF}"/>
    <cellStyle name="Total 3 6 3 4 4" xfId="6246" xr:uid="{A13D6B2C-BDC7-4FF3-AD5D-07BF81F5465D}"/>
    <cellStyle name="Total 3 6 3 4 4 2" xfId="9220" xr:uid="{248DDF85-F9FF-484F-9918-60065576ADE3}"/>
    <cellStyle name="Total 3 6 3 4 5" xfId="6919" xr:uid="{4BE73206-5467-42DB-A485-CCE84D0D764B}"/>
    <cellStyle name="Total 3 6 3 4 6" xfId="2896" xr:uid="{FE1DC86F-FC87-4D57-9FDB-5A22E3ED11BE}"/>
    <cellStyle name="Total 3 6 3 5" xfId="3458" xr:uid="{807024BA-40A5-4222-81A6-4078B8EC2D26}"/>
    <cellStyle name="Total 3 6 3 6" xfId="2092" xr:uid="{2CBEE2E7-3702-4BE4-A709-99A5204D576E}"/>
    <cellStyle name="Total 3 6 4" xfId="451" xr:uid="{1C7B375C-676F-4EEA-B8CE-0DE4D63E18D9}"/>
    <cellStyle name="Total 3 6 4 2" xfId="930" xr:uid="{49D976C8-D9A0-4FC4-9289-4910BE5869DF}"/>
    <cellStyle name="Total 3 6 4 2 2" xfId="1735" xr:uid="{6D7BD48C-66C7-4C17-AD5A-45030E6AABDD}"/>
    <cellStyle name="Total 3 6 4 2 2 2" xfId="7506" xr:uid="{3DD9AD3F-6FEB-4861-9705-828CF138350F}"/>
    <cellStyle name="Total 3 6 4 2 2 3" xfId="10172" xr:uid="{3047BF9A-A312-41A3-B2F5-86F2D8D66FCA}"/>
    <cellStyle name="Total 3 6 4 2 2 4" xfId="4532" xr:uid="{C22C1C80-F10D-4D16-BA3A-2272D1AFD745}"/>
    <cellStyle name="Total 3 6 4 2 3" xfId="5272" xr:uid="{BB2E27C4-6455-468B-81CB-C59DFD344E1A}"/>
    <cellStyle name="Total 3 6 4 2 3 2" xfId="8246" xr:uid="{C373BEEB-52E7-4FCF-AF23-597B0865B4D7}"/>
    <cellStyle name="Total 3 6 4 2 4" xfId="6037" xr:uid="{2C9544FE-79E5-4355-99F8-C95BC35256A5}"/>
    <cellStyle name="Total 3 6 4 2 4 2" xfId="9011" xr:uid="{E3134C01-95FD-48FB-85F8-F682A25F2279}"/>
    <cellStyle name="Total 3 6 4 2 5" xfId="3747" xr:uid="{7D09C157-C1E7-4F09-9CB3-C04D03D4D76B}"/>
    <cellStyle name="Total 3 6 4 2 6" xfId="6710" xr:uid="{955B6B18-5C1A-48C5-888E-0062D096DC22}"/>
    <cellStyle name="Total 3 6 4 2 7" xfId="2687" xr:uid="{C6DCBA81-0CE0-4A50-B9D5-2CCBFDC9E5C6}"/>
    <cellStyle name="Total 3 6 4 3" xfId="690" xr:uid="{8FA63210-77BA-44DD-AE2E-0B0E59CC4D3D}"/>
    <cellStyle name="Total 3 6 4 3 2" xfId="1495" xr:uid="{75385DCD-2360-49D8-ACA6-E3A847D6C8B8}"/>
    <cellStyle name="Total 3 6 4 3 2 2" xfId="7266" xr:uid="{E2C36BAB-F632-494E-AF3C-170039C36F1D}"/>
    <cellStyle name="Total 3 6 4 3 2 3" xfId="9932" xr:uid="{14EBDF9B-04AC-41F0-A5C5-27AA2C4419F7}"/>
    <cellStyle name="Total 3 6 4 3 2 4" xfId="4292" xr:uid="{DFC3BC6A-CCCE-4449-8B83-D830100EC27C}"/>
    <cellStyle name="Total 3 6 4 3 3" xfId="5032" xr:uid="{15F02E45-CEE2-4DC7-8E3A-342D6513801A}"/>
    <cellStyle name="Total 3 6 4 3 3 2" xfId="8006" xr:uid="{840DF1B3-4B44-4A01-8F22-4FC8E6FA38DF}"/>
    <cellStyle name="Total 3 6 4 3 4" xfId="5797" xr:uid="{862ADA17-D191-490B-B176-5BF533B52CB7}"/>
    <cellStyle name="Total 3 6 4 3 4 2" xfId="8771" xr:uid="{7CB631D7-202E-48A8-BAA7-8DE0FFDE22F1}"/>
    <cellStyle name="Total 3 6 4 3 5" xfId="6470" xr:uid="{555C9DD7-CD5E-4417-B8D3-6CC51D078765}"/>
    <cellStyle name="Total 3 6 4 3 6" xfId="2447" xr:uid="{D871E177-99DA-46FF-9B76-A824D06FED94}"/>
    <cellStyle name="Total 3 6 4 4" xfId="1257" xr:uid="{8C9B2998-3838-4050-BA02-68650AD31251}"/>
    <cellStyle name="Total 3 6 4 4 2" xfId="7028" xr:uid="{2F9325D0-AF8B-4C56-B416-3333B8012F43}"/>
    <cellStyle name="Total 3 6 4 4 3" xfId="9694" xr:uid="{B039CDF8-5CAC-4E81-87AD-F09821293779}"/>
    <cellStyle name="Total 3 6 4 4 4" xfId="4054" xr:uid="{C36F50BA-497D-4A57-8C4A-E89CB70DAA62}"/>
    <cellStyle name="Total 3 6 4 5" xfId="4794" xr:uid="{E44FD380-D9DF-4F27-9B10-637023BEA821}"/>
    <cellStyle name="Total 3 6 4 5 2" xfId="7768" xr:uid="{8FF47963-589D-497A-8D97-07AAD6052775}"/>
    <cellStyle name="Total 3 6 4 6" xfId="5559" xr:uid="{56B23041-437F-42CC-B70C-ACBFFC1097EA}"/>
    <cellStyle name="Total 3 6 4 6 2" xfId="8533" xr:uid="{B53CF245-EFD4-4955-80C7-C5EB9E253FF1}"/>
    <cellStyle name="Total 3 6 4 7" xfId="2963" xr:uid="{C05FC768-D06C-495A-B50A-31F50216729C}"/>
    <cellStyle name="Total 3 6 4 8" xfId="2209" xr:uid="{230586F7-62E5-487B-A121-4F0A41160D18}"/>
    <cellStyle name="Total 3 6 5" xfId="719" xr:uid="{7E46DF3D-D26D-4011-B2CC-124743070E59}"/>
    <cellStyle name="Total 3 6 5 2" xfId="1524" xr:uid="{69EFC586-F519-4F0A-A7B2-0701BB2528D9}"/>
    <cellStyle name="Total 3 6 5 2 2" xfId="7295" xr:uid="{DCB40B96-5072-4B89-93F7-ABFA97D840AD}"/>
    <cellStyle name="Total 3 6 5 2 3" xfId="9961" xr:uid="{6310BB86-963B-44C2-BE6F-3504E52EDA38}"/>
    <cellStyle name="Total 3 6 5 2 4" xfId="4321" xr:uid="{6B035636-C5C1-440C-B0B5-745CD0C0C1F6}"/>
    <cellStyle name="Total 3 6 5 3" xfId="5061" xr:uid="{F76C182A-E305-4C70-AB82-AD63FCF3B9EE}"/>
    <cellStyle name="Total 3 6 5 3 2" xfId="8035" xr:uid="{139D9716-F894-4929-8725-0B70CD67CEA8}"/>
    <cellStyle name="Total 3 6 5 4" xfId="5826" xr:uid="{45D27BB8-5BEF-478F-BFEF-A9B0A3A2343C}"/>
    <cellStyle name="Total 3 6 5 4 2" xfId="8800" xr:uid="{64FBC2B0-1AC3-40D7-B312-1EF27DDD954B}"/>
    <cellStyle name="Total 3 6 5 5" xfId="3554" xr:uid="{2A9BEB3A-B6FB-457F-B145-672F879B6CAB}"/>
    <cellStyle name="Total 3 6 5 6" xfId="6499" xr:uid="{78FE554B-EE2A-4C0C-A371-06C015E1994E}"/>
    <cellStyle name="Total 3 6 5 7" xfId="2476" xr:uid="{79342F82-EA53-4102-A77F-251B26703980}"/>
    <cellStyle name="Total 3 6 6" xfId="584" xr:uid="{8F025DDD-565C-4C18-B5C2-72446DC54412}"/>
    <cellStyle name="Total 3 6 6 2" xfId="1389" xr:uid="{3568DC4A-1733-41A1-AC48-749447B615B8}"/>
    <cellStyle name="Total 3 6 6 2 2" xfId="7160" xr:uid="{37F1468E-C8F3-4644-98D0-B8E77278A557}"/>
    <cellStyle name="Total 3 6 6 2 3" xfId="9826" xr:uid="{133A1F07-58A8-432F-9E75-2687E89C3AE5}"/>
    <cellStyle name="Total 3 6 6 2 4" xfId="4186" xr:uid="{410BB0B1-607E-43D3-8CAA-786C36A9E445}"/>
    <cellStyle name="Total 3 6 6 3" xfId="4926" xr:uid="{34BEF083-5D51-4EC4-9233-69C63CEA2E64}"/>
    <cellStyle name="Total 3 6 6 3 2" xfId="7900" xr:uid="{31795D70-5E96-43DE-BEC2-F8FE2D484141}"/>
    <cellStyle name="Total 3 6 6 4" xfId="5691" xr:uid="{F011C705-B4CD-4BA4-9A08-EE4E9446058C}"/>
    <cellStyle name="Total 3 6 6 4 2" xfId="8665" xr:uid="{72CD348B-15FC-4076-A044-F8021FDA21EA}"/>
    <cellStyle name="Total 3 6 6 5" xfId="6364" xr:uid="{D690AE35-DE6C-409D-8415-C2F1D4C4D498}"/>
    <cellStyle name="Total 3 6 6 6" xfId="2341" xr:uid="{87210AE6-9A99-4899-82DD-672BB25599DF}"/>
    <cellStyle name="Total 3 6 7" xfId="3247" xr:uid="{4F7E230E-D461-4AD3-86EB-7E67B04BFD97}"/>
    <cellStyle name="Total 3 6 8" xfId="2042" xr:uid="{EE53C3C6-93C9-4FD6-9FEE-FFCFCA01B61B}"/>
    <cellStyle name="Total 3 7" xfId="233" xr:uid="{95404E4E-C3C6-439D-9338-D6743A4A4975}"/>
    <cellStyle name="Total 3 7 2" xfId="337" xr:uid="{D6FF146F-C051-4DE8-B48C-7C8723BFBE10}"/>
    <cellStyle name="Total 3 7 2 2" xfId="559" xr:uid="{B8726FBA-9019-4E76-9713-5E4BF101BFF9}"/>
    <cellStyle name="Total 3 7 2 2 2" xfId="1038" xr:uid="{9E4031AF-E5A4-4749-AABA-CA73ECED5F5C}"/>
    <cellStyle name="Total 3 7 2 2 2 2" xfId="1843" xr:uid="{8796BF4C-45E3-4306-A110-48125F09C6FE}"/>
    <cellStyle name="Total 3 7 2 2 2 2 2" xfId="7614" xr:uid="{258B49FD-2DBA-457D-84A8-91E31A2B5FAF}"/>
    <cellStyle name="Total 3 7 2 2 2 2 3" xfId="10280" xr:uid="{B85299FA-2488-444C-ADF9-A12153BB6912}"/>
    <cellStyle name="Total 3 7 2 2 2 2 4" xfId="4640" xr:uid="{778DE0C0-C520-44D4-A94E-3833001D5B6D}"/>
    <cellStyle name="Total 3 7 2 2 2 3" xfId="5380" xr:uid="{CD6D6A7E-EADF-4672-B7EC-DF4B8AB584A6}"/>
    <cellStyle name="Total 3 7 2 2 2 3 2" xfId="8354" xr:uid="{9587E89C-1B17-484C-816F-E215B12A7F14}"/>
    <cellStyle name="Total 3 7 2 2 2 4" xfId="6145" xr:uid="{EF99A4AC-3D3E-4487-8A48-8B0197DA97B7}"/>
    <cellStyle name="Total 3 7 2 2 2 4 2" xfId="9119" xr:uid="{5AB6A0DF-F291-4590-8B87-141ADF890EE0}"/>
    <cellStyle name="Total 3 7 2 2 2 5" xfId="3855" xr:uid="{1E8E0452-55D0-4A9D-9AFF-FFA7BDBB7553}"/>
    <cellStyle name="Total 3 7 2 2 2 6" xfId="6818" xr:uid="{6E90F6D8-CCE8-485B-8844-0747D4D4BD6F}"/>
    <cellStyle name="Total 3 7 2 2 2 7" xfId="2795" xr:uid="{84271D86-4CCF-429D-A015-A77FC4C7EB41}"/>
    <cellStyle name="Total 3 7 2 2 3" xfId="862" xr:uid="{E029825C-B846-4FD2-BF6F-5E70126CA8FA}"/>
    <cellStyle name="Total 3 7 2 2 3 2" xfId="1667" xr:uid="{D910F604-53BB-499C-A751-F75DB27732CF}"/>
    <cellStyle name="Total 3 7 2 2 3 2 2" xfId="7438" xr:uid="{C1A9CCF0-DDC6-4D36-AEC8-F140A2355C8F}"/>
    <cellStyle name="Total 3 7 2 2 3 2 3" xfId="10104" xr:uid="{9587F515-96D0-4399-B6E9-4255888D2BCE}"/>
    <cellStyle name="Total 3 7 2 2 3 2 4" xfId="4464" xr:uid="{EE589811-6349-4947-ABAA-C5C689F987CA}"/>
    <cellStyle name="Total 3 7 2 2 3 3" xfId="5204" xr:uid="{9CD15852-F877-4BFB-A849-7A8CB917342A}"/>
    <cellStyle name="Total 3 7 2 2 3 3 2" xfId="8178" xr:uid="{2D1931E9-87D7-4A04-B9AB-4DE2E7DF67F8}"/>
    <cellStyle name="Total 3 7 2 2 3 4" xfId="5969" xr:uid="{70680121-2F6F-44EF-948B-82309ECCC3F8}"/>
    <cellStyle name="Total 3 7 2 2 3 4 2" xfId="8943" xr:uid="{FE16B03D-5672-4DF2-B12D-05C5746B6367}"/>
    <cellStyle name="Total 3 7 2 2 3 5" xfId="6642" xr:uid="{25A1C5BC-B16D-43C7-B561-3A910C49A0C7}"/>
    <cellStyle name="Total 3 7 2 2 3 6" xfId="2619" xr:uid="{46FB065D-5B48-4F4A-9FA9-FF5EF0991867}"/>
    <cellStyle name="Total 3 7 2 2 4" xfId="1365" xr:uid="{F1259CE4-6113-49D3-B98A-AFA665417C23}"/>
    <cellStyle name="Total 3 7 2 2 4 2" xfId="7136" xr:uid="{C6A4F6AF-7799-436B-A751-789A981EA54E}"/>
    <cellStyle name="Total 3 7 2 2 4 3" xfId="9802" xr:uid="{6B299C37-DBC5-410D-A655-608797EBE39E}"/>
    <cellStyle name="Total 3 7 2 2 4 4" xfId="4162" xr:uid="{54F22C6A-E34D-4E37-8916-1F71B44FE440}"/>
    <cellStyle name="Total 3 7 2 2 5" xfId="4902" xr:uid="{8D46873D-C846-4E59-BCE4-FF3B3743BD4D}"/>
    <cellStyle name="Total 3 7 2 2 5 2" xfId="7876" xr:uid="{117039FB-8822-454E-8693-641FFD7C8813}"/>
    <cellStyle name="Total 3 7 2 2 6" xfId="5667" xr:uid="{8883B08A-83BD-4FEA-B395-5D666597BBFD}"/>
    <cellStyle name="Total 3 7 2 2 6 2" xfId="8641" xr:uid="{1DCE37B1-C132-43F3-A12B-2E06C5F43298}"/>
    <cellStyle name="Total 3 7 2 2 7" xfId="6340" xr:uid="{653DBEEA-2BDC-4E86-BBBD-0509819AAF11}"/>
    <cellStyle name="Total 3 7 2 2 8" xfId="2317" xr:uid="{21DE3475-4F00-4345-B1E7-CAEB8595BAF5}"/>
    <cellStyle name="Total 3 7 2 3" xfId="828" xr:uid="{FE1D3F5E-61CB-4293-A339-7B477D6A91E2}"/>
    <cellStyle name="Total 3 7 2 3 2" xfId="1633" xr:uid="{7BEE19CA-5254-4064-9922-3045985D3331}"/>
    <cellStyle name="Total 3 7 2 3 2 2" xfId="7404" xr:uid="{AA16FD6D-063D-439B-8381-53F0BCC1CB73}"/>
    <cellStyle name="Total 3 7 2 3 2 3" xfId="10070" xr:uid="{B66DCF1A-B918-42F6-84AE-94B56FC5C439}"/>
    <cellStyle name="Total 3 7 2 3 2 4" xfId="4430" xr:uid="{B698F52C-F65A-4A39-942E-8F7FDA0BD4FE}"/>
    <cellStyle name="Total 3 7 2 3 3" xfId="5170" xr:uid="{E549824F-7724-4820-A845-051E4D037AB8}"/>
    <cellStyle name="Total 3 7 2 3 3 2" xfId="8144" xr:uid="{3C228C30-3405-4DC2-9E53-1CC3312C8441}"/>
    <cellStyle name="Total 3 7 2 3 4" xfId="5935" xr:uid="{C41DF98B-44AD-48B3-A982-7A1B8203BE2F}"/>
    <cellStyle name="Total 3 7 2 3 4 2" xfId="8909" xr:uid="{9B2D8DD2-6043-4E8A-A54C-5EA0FDE51637}"/>
    <cellStyle name="Total 3 7 2 3 5" xfId="3662" xr:uid="{9273A99E-C702-49C9-91CB-70BB725C390B}"/>
    <cellStyle name="Total 3 7 2 3 6" xfId="6608" xr:uid="{85D4C1C2-6E00-47EC-BBDE-4E98BE5BF0B8}"/>
    <cellStyle name="Total 3 7 2 3 7" xfId="2585" xr:uid="{B3925289-124F-4E9F-AAB5-3E1925F97BBA}"/>
    <cellStyle name="Total 3 7 2 4" xfId="1128" xr:uid="{359F79B8-945B-4DA6-ACCE-46115DF642AC}"/>
    <cellStyle name="Total 3 7 2 4 2" xfId="1933" xr:uid="{EA9E7B4D-D0A6-49E2-AFEA-415727A6BAA4}"/>
    <cellStyle name="Total 3 7 2 4 2 2" xfId="7704" xr:uid="{CDBC3A6D-72C8-4FE1-A0E6-0128334AA44E}"/>
    <cellStyle name="Total 3 7 2 4 2 3" xfId="10370" xr:uid="{7B676FE2-4E4F-4CC6-B48D-13F13BFA7454}"/>
    <cellStyle name="Total 3 7 2 4 2 4" xfId="4730" xr:uid="{0F991EA2-96E6-4805-AD8A-F9DB7E5B85A8}"/>
    <cellStyle name="Total 3 7 2 4 3" xfId="5470" xr:uid="{157BB732-4661-424C-BDB2-CEBC5ADCA95D}"/>
    <cellStyle name="Total 3 7 2 4 3 2" xfId="8444" xr:uid="{32F807DF-C92B-4326-8BF5-CCE30CCF2E06}"/>
    <cellStyle name="Total 3 7 2 4 4" xfId="6235" xr:uid="{5DA0C236-C32D-4B3B-89AB-C18BA48E59D3}"/>
    <cellStyle name="Total 3 7 2 4 4 2" xfId="9209" xr:uid="{F8B0B943-721B-450B-91FF-B92121CEC260}"/>
    <cellStyle name="Total 3 7 2 4 5" xfId="6908" xr:uid="{2C67AF93-62BB-4354-BD1F-08BA5697C7B5}"/>
    <cellStyle name="Total 3 7 2 4 6" xfId="2885" xr:uid="{BAFC11EA-F16A-438A-909F-4AE195CEEB75}"/>
    <cellStyle name="Total 3 7 2 5" xfId="3042" xr:uid="{9AAE91FB-D62D-435F-BDE9-3594CF6B4135}"/>
    <cellStyle name="Total 3 7 2 6" xfId="2155" xr:uid="{1D8E95C3-6997-49EF-8CAA-4774B49173FD}"/>
    <cellStyle name="Total 3 7 3" xfId="281" xr:uid="{C458597A-358E-42F2-B0D8-D1AAF3757FFF}"/>
    <cellStyle name="Total 3 7 3 2" xfId="505" xr:uid="{03AB9C8F-2A93-4B8C-AC39-6D5CF2B4A78B}"/>
    <cellStyle name="Total 3 7 3 2 2" xfId="984" xr:uid="{1F328FFD-B88E-42CC-9DBF-06AEF8A09969}"/>
    <cellStyle name="Total 3 7 3 2 2 2" xfId="1789" xr:uid="{87258B23-9423-46AE-92A0-AEAF2B98A1AF}"/>
    <cellStyle name="Total 3 7 3 2 2 2 2" xfId="7560" xr:uid="{52578B33-7001-483E-A7FB-A75D1835C78B}"/>
    <cellStyle name="Total 3 7 3 2 2 2 3" xfId="10226" xr:uid="{DE6EDCCF-9F8B-4189-9FDD-555ADEFB824C}"/>
    <cellStyle name="Total 3 7 3 2 2 2 4" xfId="4586" xr:uid="{88EFFC22-750F-4AFC-BAD1-AB44F9CC0D01}"/>
    <cellStyle name="Total 3 7 3 2 2 3" xfId="5326" xr:uid="{A31352E0-0707-470A-9A71-4F7CC518F8E9}"/>
    <cellStyle name="Total 3 7 3 2 2 3 2" xfId="8300" xr:uid="{407F349E-E16D-499E-9F5C-A09C1AD7837F}"/>
    <cellStyle name="Total 3 7 3 2 2 4" xfId="6091" xr:uid="{BFBC8D8E-E5B5-41BA-99BE-A9C2E392C5CF}"/>
    <cellStyle name="Total 3 7 3 2 2 4 2" xfId="9065" xr:uid="{F15B27FE-36FB-4535-B2E3-6ABFD219E647}"/>
    <cellStyle name="Total 3 7 3 2 2 5" xfId="3801" xr:uid="{C8AB8083-3C91-4475-AB1E-99652DBA43C0}"/>
    <cellStyle name="Total 3 7 3 2 2 6" xfId="6764" xr:uid="{870DE7A5-E796-4DED-B349-20D050F659F3}"/>
    <cellStyle name="Total 3 7 3 2 2 7" xfId="2741" xr:uid="{D7C8E734-FD1D-4E31-AC87-89D9F073942C}"/>
    <cellStyle name="Total 3 7 3 2 3" xfId="1153" xr:uid="{AD38A5EA-A87D-4EEC-A5FA-196709945DE2}"/>
    <cellStyle name="Total 3 7 3 2 3 2" xfId="1958" xr:uid="{7D206CE5-F9FE-4D3E-90A0-66C7755840DF}"/>
    <cellStyle name="Total 3 7 3 2 3 2 2" xfId="7729" xr:uid="{F2807A04-272E-4B80-B700-A84C7E16A540}"/>
    <cellStyle name="Total 3 7 3 2 3 2 3" xfId="10395" xr:uid="{8B99F2F9-C471-4254-8683-EED89CC7363D}"/>
    <cellStyle name="Total 3 7 3 2 3 2 4" xfId="4755" xr:uid="{1AE53BCC-1F42-4690-A282-363245B59BFE}"/>
    <cellStyle name="Total 3 7 3 2 3 3" xfId="5495" xr:uid="{D44D5787-C0EE-4A5D-8BB9-CD49BA53B616}"/>
    <cellStyle name="Total 3 7 3 2 3 3 2" xfId="8469" xr:uid="{7B904DEA-89E2-46A8-8521-1913F1873E91}"/>
    <cellStyle name="Total 3 7 3 2 3 4" xfId="6260" xr:uid="{E5F5DC2C-7EDD-44EC-BE3F-1C3DA26F666F}"/>
    <cellStyle name="Total 3 7 3 2 3 4 2" xfId="9234" xr:uid="{8DDD49C1-7596-4B6D-AB3B-F87F32CD64CB}"/>
    <cellStyle name="Total 3 7 3 2 3 5" xfId="6933" xr:uid="{76907197-E8E7-4CDD-9642-27143903ABF8}"/>
    <cellStyle name="Total 3 7 3 2 3 6" xfId="2910" xr:uid="{F39E1B40-049F-44F9-A5CD-569E9279854D}"/>
    <cellStyle name="Total 3 7 3 2 4" xfId="1311" xr:uid="{02600ADF-98B4-473B-A028-0B43788D87AA}"/>
    <cellStyle name="Total 3 7 3 2 4 2" xfId="7082" xr:uid="{AD60F7FB-1A6E-4C9E-9EB7-1E52CBA9B044}"/>
    <cellStyle name="Total 3 7 3 2 4 3" xfId="9748" xr:uid="{168A2FFC-F722-48F3-B360-8988B2AF6D63}"/>
    <cellStyle name="Total 3 7 3 2 4 4" xfId="4108" xr:uid="{4E921DD7-1CD9-4D2E-BC40-82AEF12A5B46}"/>
    <cellStyle name="Total 3 7 3 2 5" xfId="4848" xr:uid="{1174B8C6-F5DF-4BEA-8A21-F2A4B367224D}"/>
    <cellStyle name="Total 3 7 3 2 5 2" xfId="7822" xr:uid="{CB21812D-B19A-42D1-9795-9408F776568E}"/>
    <cellStyle name="Total 3 7 3 2 6" xfId="5613" xr:uid="{2B622C64-128A-4774-80F1-20F47E8549FA}"/>
    <cellStyle name="Total 3 7 3 2 6 2" xfId="8587" xr:uid="{1F9A8C94-8273-43F3-9B66-D93E1D6D80D6}"/>
    <cellStyle name="Total 3 7 3 2 7" xfId="3052" xr:uid="{BBFA7EE6-39B2-4DB3-BC7C-C4470367D279}"/>
    <cellStyle name="Total 3 7 3 2 8" xfId="2263" xr:uid="{078C15E4-EA39-49DD-B02C-5E74B69BC40E}"/>
    <cellStyle name="Total 3 7 3 3" xfId="773" xr:uid="{05C4EA34-D0B9-4338-A396-98028065DF3C}"/>
    <cellStyle name="Total 3 7 3 3 2" xfId="1578" xr:uid="{2A6BA965-6212-40C1-8E0E-7890B3B8C107}"/>
    <cellStyle name="Total 3 7 3 3 2 2" xfId="7349" xr:uid="{2AEF99CA-C3D5-4B85-A335-292B6EBFF1A3}"/>
    <cellStyle name="Total 3 7 3 3 2 3" xfId="10015" xr:uid="{2647C6CA-A6B8-4C2B-89B8-A4944F37279E}"/>
    <cellStyle name="Total 3 7 3 3 2 4" xfId="4375" xr:uid="{0DA1053C-DDB8-4CE5-BE31-B12BB3DFC835}"/>
    <cellStyle name="Total 3 7 3 3 3" xfId="5115" xr:uid="{85FEE5D0-E53E-49DE-AC26-F1F89947E652}"/>
    <cellStyle name="Total 3 7 3 3 3 2" xfId="8089" xr:uid="{FCA0DA0E-5699-4A1F-86AC-DE9C7FA028CA}"/>
    <cellStyle name="Total 3 7 3 3 4" xfId="5880" xr:uid="{B4C9A8C1-9C85-4590-A181-949963C505C1}"/>
    <cellStyle name="Total 3 7 3 3 4 2" xfId="8854" xr:uid="{CEDFAC12-DEA0-4138-AFCE-0745D1E21118}"/>
    <cellStyle name="Total 3 7 3 3 5" xfId="3608" xr:uid="{F79B2318-91A9-4DE5-BCF7-A4C6C6291DBA}"/>
    <cellStyle name="Total 3 7 3 3 6" xfId="6553" xr:uid="{7A3B2EAB-4626-4EF0-8784-F5F504BD2C22}"/>
    <cellStyle name="Total 3 7 3 3 7" xfId="2530" xr:uid="{5B3EDD73-45E5-4D9A-97A8-C38976F1F80B}"/>
    <cellStyle name="Total 3 7 3 4" xfId="610" xr:uid="{39326A69-48F9-472A-B1C8-947A14A3192F}"/>
    <cellStyle name="Total 3 7 3 4 2" xfId="1415" xr:uid="{561ED4C5-0007-4EEC-8946-4E9E5CA94D3D}"/>
    <cellStyle name="Total 3 7 3 4 2 2" xfId="7186" xr:uid="{94C0C05B-7CE7-428D-A218-76280C96287F}"/>
    <cellStyle name="Total 3 7 3 4 2 3" xfId="9852" xr:uid="{26498CAD-2D7B-46DD-A7F5-E62B9B5CF741}"/>
    <cellStyle name="Total 3 7 3 4 2 4" xfId="4212" xr:uid="{699E5E64-0E1E-4308-AD85-18CBB1179BF8}"/>
    <cellStyle name="Total 3 7 3 4 3" xfId="4952" xr:uid="{68531BF2-EA38-4BDB-9344-93E2BFCD2F1A}"/>
    <cellStyle name="Total 3 7 3 4 3 2" xfId="7926" xr:uid="{71D8A1FF-7461-4A5D-9BA9-45C624140FE1}"/>
    <cellStyle name="Total 3 7 3 4 4" xfId="5717" xr:uid="{79C468E7-C465-4A87-9FA3-473784CF5543}"/>
    <cellStyle name="Total 3 7 3 4 4 2" xfId="8691" xr:uid="{023AA0CF-8D98-49A4-A5B7-2955B73C9B39}"/>
    <cellStyle name="Total 3 7 3 4 5" xfId="6390" xr:uid="{9A724F9C-E81D-41CF-8C99-9E7F20868F8B}"/>
    <cellStyle name="Total 3 7 3 4 6" xfId="2367" xr:uid="{52779039-18D4-4484-808F-38759AF02917}"/>
    <cellStyle name="Total 3 7 3 5" xfId="3104" xr:uid="{A844F2A4-E320-405B-B1AF-9E05E3C4FDFE}"/>
    <cellStyle name="Total 3 7 3 6" xfId="2098" xr:uid="{3EF3B979-D839-4DCC-B5B1-90BE036C7F5B}"/>
    <cellStyle name="Total 3 7 4" xfId="457" xr:uid="{1C247D0C-820A-4861-A4F3-F03EADF761FE}"/>
    <cellStyle name="Total 3 7 4 2" xfId="936" xr:uid="{101C088D-664D-43BA-8D34-5D6FB36CB1C9}"/>
    <cellStyle name="Total 3 7 4 2 2" xfId="1741" xr:uid="{D4946DBA-6F92-4FD3-A254-D80CDE49AEDF}"/>
    <cellStyle name="Total 3 7 4 2 2 2" xfId="7512" xr:uid="{4641C958-4373-428D-A6F5-63A77FC3308C}"/>
    <cellStyle name="Total 3 7 4 2 2 3" xfId="10178" xr:uid="{CD113642-2299-4092-91BA-F284758A37B0}"/>
    <cellStyle name="Total 3 7 4 2 2 4" xfId="4538" xr:uid="{C2027FF2-AC2A-4280-9486-EA8E59D3F38F}"/>
    <cellStyle name="Total 3 7 4 2 3" xfId="5278" xr:uid="{630013E6-205F-4CCF-A5B2-14D916E19A8F}"/>
    <cellStyle name="Total 3 7 4 2 3 2" xfId="8252" xr:uid="{BE80B9DE-0802-4E9B-A63F-ABA465AB6240}"/>
    <cellStyle name="Total 3 7 4 2 4" xfId="6043" xr:uid="{4D1D1D45-FC6B-4E7F-AD99-915F61CCA108}"/>
    <cellStyle name="Total 3 7 4 2 4 2" xfId="9017" xr:uid="{1E61C327-27BD-44E5-8C46-00196B86E7CF}"/>
    <cellStyle name="Total 3 7 4 2 5" xfId="3753" xr:uid="{2E290449-EE74-44BB-BC05-4FF0B1F331BE}"/>
    <cellStyle name="Total 3 7 4 2 6" xfId="6716" xr:uid="{ED2D89FD-8D42-4AC4-8114-E41702032E02}"/>
    <cellStyle name="Total 3 7 4 2 7" xfId="2693" xr:uid="{BB373385-A015-476A-916F-62BF0E12D5D6}"/>
    <cellStyle name="Total 3 7 4 3" xfId="1081" xr:uid="{FF176422-141F-43FA-89DF-CA65B234CDF8}"/>
    <cellStyle name="Total 3 7 4 3 2" xfId="1886" xr:uid="{C229B1E4-36FF-46DC-8AC1-F9A1512B5B6B}"/>
    <cellStyle name="Total 3 7 4 3 2 2" xfId="7657" xr:uid="{A81DB726-67E6-4B5F-8660-C31F66219CAF}"/>
    <cellStyle name="Total 3 7 4 3 2 3" xfId="10323" xr:uid="{D1D64A3F-C294-4BA1-90A8-1B22B37495DA}"/>
    <cellStyle name="Total 3 7 4 3 2 4" xfId="4683" xr:uid="{A68F3F64-5646-4042-B1DC-E71CF53402C5}"/>
    <cellStyle name="Total 3 7 4 3 3" xfId="5423" xr:uid="{8E655944-5265-47AC-8B8C-B7172C310E8D}"/>
    <cellStyle name="Total 3 7 4 3 3 2" xfId="8397" xr:uid="{C08664DA-81BD-4071-9FFB-F1A4ED54C4CC}"/>
    <cellStyle name="Total 3 7 4 3 4" xfId="6188" xr:uid="{E204F6FB-19BF-4DEB-BE54-F5FD0DF24E44}"/>
    <cellStyle name="Total 3 7 4 3 4 2" xfId="9162" xr:uid="{CB74CEF3-5F10-4FBC-8348-E557A74B8355}"/>
    <cellStyle name="Total 3 7 4 3 5" xfId="6861" xr:uid="{63EE2FD1-F882-4923-BA29-1B7E4FBC95A4}"/>
    <cellStyle name="Total 3 7 4 3 6" xfId="2838" xr:uid="{646975E0-2E85-478A-AA81-5D2E7807C65C}"/>
    <cellStyle name="Total 3 7 4 4" xfId="1263" xr:uid="{C1C9E6C1-DE33-4518-806E-8E5013AA90FB}"/>
    <cellStyle name="Total 3 7 4 4 2" xfId="7034" xr:uid="{8CA00049-77B7-46D6-AFE4-1197252FCBE6}"/>
    <cellStyle name="Total 3 7 4 4 3" xfId="9700" xr:uid="{0E74C9CF-53DE-4EFB-A002-B6E4FF315FAD}"/>
    <cellStyle name="Total 3 7 4 4 4" xfId="4060" xr:uid="{078B642F-96FD-4C84-960B-0999469FAF67}"/>
    <cellStyle name="Total 3 7 4 5" xfId="4800" xr:uid="{A5E2DFFC-7AC7-4BD8-AC13-77EA491434C7}"/>
    <cellStyle name="Total 3 7 4 5 2" xfId="7774" xr:uid="{4C7DE05C-6AF3-4286-810B-3C9138BFBD01}"/>
    <cellStyle name="Total 3 7 4 6" xfId="5565" xr:uid="{DED790D4-445A-4F6D-A42D-E47A9A1464BB}"/>
    <cellStyle name="Total 3 7 4 6 2" xfId="8539" xr:uid="{E6BE0E77-9454-48D0-AED7-CCCC0F75D452}"/>
    <cellStyle name="Total 3 7 4 7" xfId="3992" xr:uid="{42A8C60F-72BC-4A93-B33C-7ED55964BC4B}"/>
    <cellStyle name="Total 3 7 4 8" xfId="2215" xr:uid="{3D38578F-0B62-4C6A-BB12-51F9C81B3C8A}"/>
    <cellStyle name="Total 3 7 5" xfId="725" xr:uid="{FF3BDA47-096A-4C94-8661-4857E712F1A5}"/>
    <cellStyle name="Total 3 7 5 2" xfId="1530" xr:uid="{DA4931DE-206D-4D94-9A07-B055AC91F89A}"/>
    <cellStyle name="Total 3 7 5 2 2" xfId="7301" xr:uid="{D4F8D663-D7E2-4C2D-AC4C-8A4F80698993}"/>
    <cellStyle name="Total 3 7 5 2 3" xfId="9967" xr:uid="{4D8C1B15-F98C-49AE-8928-5FF1B3EF53B3}"/>
    <cellStyle name="Total 3 7 5 2 4" xfId="4327" xr:uid="{4861BDE0-D45F-421F-A73C-8C420FD86B4A}"/>
    <cellStyle name="Total 3 7 5 3" xfId="5067" xr:uid="{118FE650-9966-4FFE-83FA-E9A9626EC6DA}"/>
    <cellStyle name="Total 3 7 5 3 2" xfId="8041" xr:uid="{FA0CD4C9-B312-43EB-83B6-2502DF91FC2E}"/>
    <cellStyle name="Total 3 7 5 4" xfId="5832" xr:uid="{5386BDB4-4DFE-410E-9347-9FAE1DC99E72}"/>
    <cellStyle name="Total 3 7 5 4 2" xfId="8806" xr:uid="{372C03B4-E8CC-4A11-844F-3ED3E9018985}"/>
    <cellStyle name="Total 3 7 5 5" xfId="3560" xr:uid="{20A117AF-B13C-49ED-B74A-7ABDE322A7C2}"/>
    <cellStyle name="Total 3 7 5 6" xfId="6505" xr:uid="{C6119785-FAE7-40E3-80A5-161169F7ADE1}"/>
    <cellStyle name="Total 3 7 5 7" xfId="2482" xr:uid="{E9FAABA3-F4BA-4E4C-9411-1BB884E30C79}"/>
    <cellStyle name="Total 3 7 6" xfId="595" xr:uid="{A7E0F0BD-FD05-49D9-AAF2-00E0B9BFFE21}"/>
    <cellStyle name="Total 3 7 6 2" xfId="1400" xr:uid="{6A84BB44-57AA-4557-85AF-019C4471455B}"/>
    <cellStyle name="Total 3 7 6 2 2" xfId="7171" xr:uid="{0611F84C-E197-42AE-830E-9601C82799D6}"/>
    <cellStyle name="Total 3 7 6 2 3" xfId="9837" xr:uid="{47EBCD59-BE10-49A2-8D6C-F58B8FE12105}"/>
    <cellStyle name="Total 3 7 6 2 4" xfId="4197" xr:uid="{CEFAB0AB-E37B-4DF6-88DF-6BCD23EBEBD8}"/>
    <cellStyle name="Total 3 7 6 3" xfId="4937" xr:uid="{330BAAA5-E59E-49BE-B605-660CF279FA48}"/>
    <cellStyle name="Total 3 7 6 3 2" xfId="7911" xr:uid="{7699B4EE-FF7F-4F18-9560-6AFD185B2A43}"/>
    <cellStyle name="Total 3 7 6 4" xfId="5702" xr:uid="{7CF03221-3A55-4134-AB91-5748E7DFC062}"/>
    <cellStyle name="Total 3 7 6 4 2" xfId="8676" xr:uid="{DFAEFE36-A512-4AE7-9673-1E046FAFFC2E}"/>
    <cellStyle name="Total 3 7 6 5" xfId="6375" xr:uid="{8933720B-527C-45C9-A51E-F5770858475D}"/>
    <cellStyle name="Total 3 7 6 6" xfId="2352" xr:uid="{D25EADBB-24DE-4D36-96FC-8EE3C543EFD2}"/>
    <cellStyle name="Total 3 7 7" xfId="3499" xr:uid="{0806C5CD-02C3-429C-862B-EF62D40F637E}"/>
    <cellStyle name="Total 3 7 8" xfId="2048" xr:uid="{429920FD-94DA-4F39-8B8A-E8401561D9E7}"/>
    <cellStyle name="Total 3 8" xfId="239" xr:uid="{DE11C80B-DF1E-47E8-92DD-DA1FA81D59E6}"/>
    <cellStyle name="Total 3 8 2" xfId="343" xr:uid="{67546A5D-05B8-4D96-AC80-5D1FFC0CDB50}"/>
    <cellStyle name="Total 3 8 2 2" xfId="565" xr:uid="{6A562C9D-9456-4778-A36C-9CADFC113BBD}"/>
    <cellStyle name="Total 3 8 2 2 2" xfId="1044" xr:uid="{DCB4B54D-AF2C-4154-B80F-6B3772E78D76}"/>
    <cellStyle name="Total 3 8 2 2 2 2" xfId="1849" xr:uid="{09F87DC4-3A3D-417D-BA63-F01BDFF3B5CC}"/>
    <cellStyle name="Total 3 8 2 2 2 2 2" xfId="7620" xr:uid="{D3B9DB43-9C3F-4A9B-A713-A1A399D4F6CA}"/>
    <cellStyle name="Total 3 8 2 2 2 2 3" xfId="10286" xr:uid="{4795BB63-C856-4459-BA10-1837F034B6F2}"/>
    <cellStyle name="Total 3 8 2 2 2 2 4" xfId="4646" xr:uid="{7D68269D-65E3-4DCA-8B8A-F5A85D39F2E3}"/>
    <cellStyle name="Total 3 8 2 2 2 3" xfId="5386" xr:uid="{D79A48DC-868C-4BBE-88B8-D08099508BEE}"/>
    <cellStyle name="Total 3 8 2 2 2 3 2" xfId="8360" xr:uid="{1FBD1930-45F7-46B1-8205-E888F544975A}"/>
    <cellStyle name="Total 3 8 2 2 2 4" xfId="6151" xr:uid="{EAA82D90-583D-4A94-9AC3-3156E768441A}"/>
    <cellStyle name="Total 3 8 2 2 2 4 2" xfId="9125" xr:uid="{2E9215A2-1CCF-490A-83D1-5FA95C7F319F}"/>
    <cellStyle name="Total 3 8 2 2 2 5" xfId="3861" xr:uid="{C69F7722-C26A-4DC8-AF58-1486B0ECE9A5}"/>
    <cellStyle name="Total 3 8 2 2 2 6" xfId="6824" xr:uid="{7440FE87-3F8C-403C-83AC-C04DA2A23212}"/>
    <cellStyle name="Total 3 8 2 2 2 7" xfId="2801" xr:uid="{DD565861-85A8-4436-9058-DBA730B968D0}"/>
    <cellStyle name="Total 3 8 2 2 3" xfId="580" xr:uid="{DE6063BB-653C-4494-BDD3-4917FC9A149D}"/>
    <cellStyle name="Total 3 8 2 2 3 2" xfId="1385" xr:uid="{790BC3E2-041D-4916-86A3-6BC90469B9D1}"/>
    <cellStyle name="Total 3 8 2 2 3 2 2" xfId="7156" xr:uid="{1E01141C-E218-4619-81B8-61D089C91DCD}"/>
    <cellStyle name="Total 3 8 2 2 3 2 3" xfId="9822" xr:uid="{9F66BA13-9D63-492B-9E78-5E62DC9EF962}"/>
    <cellStyle name="Total 3 8 2 2 3 2 4" xfId="4182" xr:uid="{C0F06AF5-64A6-4EFB-A21E-F07B51C5B9D4}"/>
    <cellStyle name="Total 3 8 2 2 3 3" xfId="4922" xr:uid="{DAECE0B6-8029-4F7A-A429-630987D793F7}"/>
    <cellStyle name="Total 3 8 2 2 3 3 2" xfId="7896" xr:uid="{83F5A3BA-1FDE-4EBF-A838-2F874768F56D}"/>
    <cellStyle name="Total 3 8 2 2 3 4" xfId="5687" xr:uid="{D50028BB-AAB2-4A4D-8507-0719E3B62B23}"/>
    <cellStyle name="Total 3 8 2 2 3 4 2" xfId="8661" xr:uid="{A3B9F4F3-8BD5-483D-BC82-CF0F5593DEB6}"/>
    <cellStyle name="Total 3 8 2 2 3 5" xfId="6360" xr:uid="{A919F601-7D44-4DCC-97DE-DB419F747D55}"/>
    <cellStyle name="Total 3 8 2 2 3 6" xfId="2337" xr:uid="{9C70FFD7-F044-4C57-87A6-0A260D474933}"/>
    <cellStyle name="Total 3 8 2 2 4" xfId="1371" xr:uid="{BE1A1241-ABDF-4279-A3B1-F318CDB9BCDB}"/>
    <cellStyle name="Total 3 8 2 2 4 2" xfId="7142" xr:uid="{1E245BFC-BBF3-451C-9AED-BEA78C9D453A}"/>
    <cellStyle name="Total 3 8 2 2 4 3" xfId="9808" xr:uid="{E5693A30-4BB0-4FE1-A31F-59D291C26694}"/>
    <cellStyle name="Total 3 8 2 2 4 4" xfId="4168" xr:uid="{0434B49F-43E6-4D4E-8E83-C49CF29D06AB}"/>
    <cellStyle name="Total 3 8 2 2 5" xfId="4908" xr:uid="{6814CF52-5690-4791-9841-942350278553}"/>
    <cellStyle name="Total 3 8 2 2 5 2" xfId="7882" xr:uid="{BBF7019C-4A75-476B-AC7C-4EC49516C51A}"/>
    <cellStyle name="Total 3 8 2 2 6" xfId="5673" xr:uid="{5E10BB4C-6EAC-4AC5-9F9E-9367A5B0CFE7}"/>
    <cellStyle name="Total 3 8 2 2 6 2" xfId="8647" xr:uid="{B92951E3-68A6-4BE8-8134-F6C82200280F}"/>
    <cellStyle name="Total 3 8 2 2 7" xfId="6346" xr:uid="{4166A70F-7CD1-4B6B-BBA5-4C404F633EB7}"/>
    <cellStyle name="Total 3 8 2 2 8" xfId="2323" xr:uid="{8EF007F6-4906-47C8-8713-CE5B8654D826}"/>
    <cellStyle name="Total 3 8 2 3" xfId="834" xr:uid="{7AA51CCA-ABC2-4FFE-8DBB-0F8D04F0C4ED}"/>
    <cellStyle name="Total 3 8 2 3 2" xfId="1639" xr:uid="{BF16A6B1-EB9C-4EC8-B8E6-A81C0D6217D5}"/>
    <cellStyle name="Total 3 8 2 3 2 2" xfId="7410" xr:uid="{C13B105E-9C5C-4A65-A034-77CF7FF832AE}"/>
    <cellStyle name="Total 3 8 2 3 2 3" xfId="10076" xr:uid="{78B2D2B9-2BAD-497B-8757-D161ACB009F3}"/>
    <cellStyle name="Total 3 8 2 3 2 4" xfId="4436" xr:uid="{C7B7E9DA-A4F6-45B8-9E73-A3447490D7FE}"/>
    <cellStyle name="Total 3 8 2 3 3" xfId="5176" xr:uid="{358017AF-1BE9-4A1D-9565-65E25E25B0A6}"/>
    <cellStyle name="Total 3 8 2 3 3 2" xfId="8150" xr:uid="{65AA49D3-832C-40C3-9E8F-CF2323EDBCC4}"/>
    <cellStyle name="Total 3 8 2 3 4" xfId="5941" xr:uid="{62E09020-08A7-45FC-B93F-6B755AD62A21}"/>
    <cellStyle name="Total 3 8 2 3 4 2" xfId="8915" xr:uid="{30D965AA-72F2-49BD-B5A6-8BF1A3C57A1D}"/>
    <cellStyle name="Total 3 8 2 3 5" xfId="3668" xr:uid="{AFB47687-8B90-4D6F-87A9-551AAA9CBE50}"/>
    <cellStyle name="Total 3 8 2 3 6" xfId="6614" xr:uid="{B2070C8D-F5E8-4C08-9F6D-B0E696D6CD72}"/>
    <cellStyle name="Total 3 8 2 3 7" xfId="2591" xr:uid="{1CDE8B53-0CBF-406A-819E-13EC4CF4C782}"/>
    <cellStyle name="Total 3 8 2 4" xfId="665" xr:uid="{506B8C6D-365A-45C7-82AB-A12E1B59A725}"/>
    <cellStyle name="Total 3 8 2 4 2" xfId="1470" xr:uid="{6482AE0A-07C7-4CE5-A098-80119C092321}"/>
    <cellStyle name="Total 3 8 2 4 2 2" xfId="7241" xr:uid="{6B4C1D44-C0A1-465E-B0DB-8D14C2365091}"/>
    <cellStyle name="Total 3 8 2 4 2 3" xfId="9907" xr:uid="{AB2418FD-8FAB-4AFC-BA0B-AEBA64EDA422}"/>
    <cellStyle name="Total 3 8 2 4 2 4" xfId="4267" xr:uid="{00DC007D-8B86-420D-BC24-BDE85D833675}"/>
    <cellStyle name="Total 3 8 2 4 3" xfId="5007" xr:uid="{FF5C9BE5-3E20-418B-B41E-07658FE1A9B6}"/>
    <cellStyle name="Total 3 8 2 4 3 2" xfId="7981" xr:uid="{1BC3664A-2272-4214-99A6-1194C244F65A}"/>
    <cellStyle name="Total 3 8 2 4 4" xfId="5772" xr:uid="{6C9E5C53-1140-4C92-AB1F-82989D189564}"/>
    <cellStyle name="Total 3 8 2 4 4 2" xfId="8746" xr:uid="{BE350090-70B8-4FB5-B388-B82C2E4CF891}"/>
    <cellStyle name="Total 3 8 2 4 5" xfId="6445" xr:uid="{CEE8C100-A167-4140-B85E-384DD840BF26}"/>
    <cellStyle name="Total 3 8 2 4 6" xfId="2422" xr:uid="{7BAC6653-FBE9-4B3A-AEA1-C58CD806A615}"/>
    <cellStyle name="Total 3 8 2 5" xfId="3017" xr:uid="{E4C00F3F-D15C-473F-AD2D-64DC843CA9A6}"/>
    <cellStyle name="Total 3 8 2 6" xfId="2161" xr:uid="{E87CF20F-1A12-4483-93E5-E87AD21E9476}"/>
    <cellStyle name="Total 3 8 3" xfId="287" xr:uid="{2995C744-9F6D-4FEC-9269-50D89D9235B8}"/>
    <cellStyle name="Total 3 8 3 2" xfId="511" xr:uid="{0FA11CB5-DDAB-4EC4-8EFF-3C210CB5E9A0}"/>
    <cellStyle name="Total 3 8 3 2 2" xfId="990" xr:uid="{7719A612-A362-45B7-BE67-3316820B2F3C}"/>
    <cellStyle name="Total 3 8 3 2 2 2" xfId="1795" xr:uid="{0CEF1FE4-5C19-4CC4-82B0-4A4C496FAC79}"/>
    <cellStyle name="Total 3 8 3 2 2 2 2" xfId="7566" xr:uid="{BBC7F0AB-F86B-46CE-90D2-1BDB80D71DB8}"/>
    <cellStyle name="Total 3 8 3 2 2 2 3" xfId="10232" xr:uid="{0FCE649A-1A34-4B77-825F-78DD8DCDDB63}"/>
    <cellStyle name="Total 3 8 3 2 2 2 4" xfId="4592" xr:uid="{472EAACA-03C2-427E-AFD8-2CF1FA5F8A1A}"/>
    <cellStyle name="Total 3 8 3 2 2 3" xfId="5332" xr:uid="{61DFB830-E147-48D6-B36D-9D8222570321}"/>
    <cellStyle name="Total 3 8 3 2 2 3 2" xfId="8306" xr:uid="{6A1E075B-E8A5-4F03-83DB-24B210CCB67B}"/>
    <cellStyle name="Total 3 8 3 2 2 4" xfId="6097" xr:uid="{612504B7-CEBD-4F82-8B5F-3EEFC1F78531}"/>
    <cellStyle name="Total 3 8 3 2 2 4 2" xfId="9071" xr:uid="{3A402A16-77D1-4675-97A3-48362D47F2A0}"/>
    <cellStyle name="Total 3 8 3 2 2 5" xfId="3807" xr:uid="{297768FF-E398-4610-BB19-54EE45E13C1E}"/>
    <cellStyle name="Total 3 8 3 2 2 6" xfId="6770" xr:uid="{F3CB8BB2-B013-4AF8-A343-9D4377A47D71}"/>
    <cellStyle name="Total 3 8 3 2 2 7" xfId="2747" xr:uid="{2EEB970E-BC36-4541-A342-948E9D2D3D18}"/>
    <cellStyle name="Total 3 8 3 2 3" xfId="1150" xr:uid="{5C2677D7-AC0D-41CB-A0F9-7E4C0E9032F8}"/>
    <cellStyle name="Total 3 8 3 2 3 2" xfId="1955" xr:uid="{3F5423DC-5425-467D-8DED-530F4037E5A3}"/>
    <cellStyle name="Total 3 8 3 2 3 2 2" xfId="7726" xr:uid="{047A9495-7B36-42D9-9255-1CA7CF0BFEA2}"/>
    <cellStyle name="Total 3 8 3 2 3 2 3" xfId="10392" xr:uid="{E40DCDFA-02B4-4A6D-9F11-89D7B4E7F7C0}"/>
    <cellStyle name="Total 3 8 3 2 3 2 4" xfId="4752" xr:uid="{DA8FC78D-31F4-41C8-B55D-E67E9CCA2A69}"/>
    <cellStyle name="Total 3 8 3 2 3 3" xfId="5492" xr:uid="{99EBBBB1-8BA9-44FF-AFDB-D977C6D50042}"/>
    <cellStyle name="Total 3 8 3 2 3 3 2" xfId="8466" xr:uid="{FC56BB0D-EC46-4E3A-8A7A-5C4B6DD601A7}"/>
    <cellStyle name="Total 3 8 3 2 3 4" xfId="6257" xr:uid="{BBAFE9E0-E38A-4C90-9343-0FD179A5D2F4}"/>
    <cellStyle name="Total 3 8 3 2 3 4 2" xfId="9231" xr:uid="{0BB3893A-359F-4227-ADC8-9C9751FA1FD4}"/>
    <cellStyle name="Total 3 8 3 2 3 5" xfId="6930" xr:uid="{C1C1C834-AB38-48C7-9481-5A35CA55CD65}"/>
    <cellStyle name="Total 3 8 3 2 3 6" xfId="2907" xr:uid="{54E26B2F-6928-4D1F-9878-2C3FF4D70A87}"/>
    <cellStyle name="Total 3 8 3 2 4" xfId="1317" xr:uid="{40A1FB7F-B71E-4D03-8FE9-1100A11E1956}"/>
    <cellStyle name="Total 3 8 3 2 4 2" xfId="7088" xr:uid="{DDC4F9F6-75E4-4528-88DF-27B675E4BE7D}"/>
    <cellStyle name="Total 3 8 3 2 4 3" xfId="9754" xr:uid="{2A92320C-F5E0-4A5E-B324-A1E854CF4DB0}"/>
    <cellStyle name="Total 3 8 3 2 4 4" xfId="4114" xr:uid="{6CA730BB-8F55-40F5-AA4A-D84159B4F318}"/>
    <cellStyle name="Total 3 8 3 2 5" xfId="4854" xr:uid="{3D78B4A7-2714-4CA6-B41B-85AF5F2CEDDA}"/>
    <cellStyle name="Total 3 8 3 2 5 2" xfId="7828" xr:uid="{9CA78D40-C646-4FE7-9B1B-FEC0826C1A4C}"/>
    <cellStyle name="Total 3 8 3 2 6" xfId="5619" xr:uid="{9B1856FB-8112-44CA-ADB0-0B0D0C1CCDD1}"/>
    <cellStyle name="Total 3 8 3 2 6 2" xfId="8593" xr:uid="{BE7AF019-1AAF-4F48-9296-0BC4BFE39B9E}"/>
    <cellStyle name="Total 3 8 3 2 7" xfId="3046" xr:uid="{BC99C3E3-E674-4036-9CBA-9A9B26EB0C3A}"/>
    <cellStyle name="Total 3 8 3 2 8" xfId="2269" xr:uid="{07C5C1E0-42D6-463F-9989-F1123A347635}"/>
    <cellStyle name="Total 3 8 3 3" xfId="779" xr:uid="{4F5889FD-DB0F-4EB3-AAA7-D343B37FB47F}"/>
    <cellStyle name="Total 3 8 3 3 2" xfId="1584" xr:uid="{FD223C24-6902-45A6-8855-E52B8FFFE2AA}"/>
    <cellStyle name="Total 3 8 3 3 2 2" xfId="7355" xr:uid="{4DB403D3-3103-4483-9057-E917E904CB20}"/>
    <cellStyle name="Total 3 8 3 3 2 3" xfId="10021" xr:uid="{B6890123-A1EE-4D93-B223-2D3B7C969753}"/>
    <cellStyle name="Total 3 8 3 3 2 4" xfId="4381" xr:uid="{1418FAD2-8E69-4841-8DBD-242346684425}"/>
    <cellStyle name="Total 3 8 3 3 3" xfId="5121" xr:uid="{A738ECAB-228F-4E5D-A34D-23B9C61E87A9}"/>
    <cellStyle name="Total 3 8 3 3 3 2" xfId="8095" xr:uid="{783589C6-C5C5-4977-B8B3-2DE6ACC6893D}"/>
    <cellStyle name="Total 3 8 3 3 4" xfId="5886" xr:uid="{FA01A6C3-597B-4BB2-AE73-8237777C2653}"/>
    <cellStyle name="Total 3 8 3 3 4 2" xfId="8860" xr:uid="{0921D20F-2122-4F71-AF5E-BFF802F181D5}"/>
    <cellStyle name="Total 3 8 3 3 5" xfId="3614" xr:uid="{50019B3F-43ED-4CF7-87FF-6D5BD304D6E6}"/>
    <cellStyle name="Total 3 8 3 3 6" xfId="6559" xr:uid="{3ACBC83E-AD23-4248-B9C2-E4E54E971F5E}"/>
    <cellStyle name="Total 3 8 3 3 7" xfId="2536" xr:uid="{E51D745B-3320-477D-B102-DF9A7F94B872}"/>
    <cellStyle name="Total 3 8 3 4" xfId="633" xr:uid="{83AAF679-2D55-43E9-A55F-122248220605}"/>
    <cellStyle name="Total 3 8 3 4 2" xfId="1438" xr:uid="{A6126F6D-9313-4ED0-B21B-8C8BB12445F8}"/>
    <cellStyle name="Total 3 8 3 4 2 2" xfId="7209" xr:uid="{5FFF108D-EB70-464B-BFC6-7F8A43C0EEDC}"/>
    <cellStyle name="Total 3 8 3 4 2 3" xfId="9875" xr:uid="{EE88BB74-C1E9-4048-B89D-87091602377C}"/>
    <cellStyle name="Total 3 8 3 4 2 4" xfId="4235" xr:uid="{49CD9DFC-C714-4092-AEA5-B4C8727770A8}"/>
    <cellStyle name="Total 3 8 3 4 3" xfId="4975" xr:uid="{DECE4EDC-5CC6-4497-8127-7C7A31A3DF69}"/>
    <cellStyle name="Total 3 8 3 4 3 2" xfId="7949" xr:uid="{392AAEE6-DDCD-4AE6-A184-E4094DD81BD1}"/>
    <cellStyle name="Total 3 8 3 4 4" xfId="5740" xr:uid="{984EE9E6-394B-4034-9C02-FE3F5236A77D}"/>
    <cellStyle name="Total 3 8 3 4 4 2" xfId="8714" xr:uid="{21F17729-62E2-4FE5-A08D-2A3C91C9BFEE}"/>
    <cellStyle name="Total 3 8 3 4 5" xfId="6413" xr:uid="{8FC4D663-ABAC-4763-A9F6-598AC659D9C8}"/>
    <cellStyle name="Total 3 8 3 4 6" xfId="2390" xr:uid="{6188E8C0-BB15-4251-AF25-0EC34F7CFFE1}"/>
    <cellStyle name="Total 3 8 3 5" xfId="3997" xr:uid="{334C94E5-D700-4829-90E9-C236AEC682F2}"/>
    <cellStyle name="Total 3 8 3 6" xfId="2104" xr:uid="{6F4D7EF5-CAC6-41DA-AB65-42648E7EC3EB}"/>
    <cellStyle name="Total 3 8 4" xfId="463" xr:uid="{9ABF449A-C781-4E0A-95A3-11984DC93010}"/>
    <cellStyle name="Total 3 8 4 2" xfId="942" xr:uid="{B3C00610-428B-41FE-9B94-8186B253A0BB}"/>
    <cellStyle name="Total 3 8 4 2 2" xfId="1747" xr:uid="{9474E214-2958-4458-B0D7-468B31AAC3BB}"/>
    <cellStyle name="Total 3 8 4 2 2 2" xfId="7518" xr:uid="{C66FD3E8-8D36-4811-BD9F-AEFE93C419C0}"/>
    <cellStyle name="Total 3 8 4 2 2 3" xfId="10184" xr:uid="{E95BC869-1DAB-48EB-ADA1-4997F34BD77D}"/>
    <cellStyle name="Total 3 8 4 2 2 4" xfId="4544" xr:uid="{C2922183-4E63-446A-9C39-0011947CAE58}"/>
    <cellStyle name="Total 3 8 4 2 3" xfId="5284" xr:uid="{F33C3BF6-BA82-4469-B1FB-D36A1F968265}"/>
    <cellStyle name="Total 3 8 4 2 3 2" xfId="8258" xr:uid="{0E924767-1E57-4665-94AD-33B085193FCD}"/>
    <cellStyle name="Total 3 8 4 2 4" xfId="6049" xr:uid="{52C655A5-E5ED-46FC-A06E-F6B6778799CC}"/>
    <cellStyle name="Total 3 8 4 2 4 2" xfId="9023" xr:uid="{FECEE9F2-4B4C-40C1-B5CC-A4633EA6AAAB}"/>
    <cellStyle name="Total 3 8 4 2 5" xfId="3759" xr:uid="{3930C915-6720-4B65-8371-799DFB781724}"/>
    <cellStyle name="Total 3 8 4 2 6" xfId="6722" xr:uid="{9ED567A3-2548-4C57-B807-70DC434BC5AD}"/>
    <cellStyle name="Total 3 8 4 2 7" xfId="2699" xr:uid="{E7CFCA37-5E24-4D1B-9750-F38A9905D68C}"/>
    <cellStyle name="Total 3 8 4 3" xfId="1138" xr:uid="{77C57814-FEB9-4089-9046-3B6A1E55936A}"/>
    <cellStyle name="Total 3 8 4 3 2" xfId="1943" xr:uid="{70327732-843A-48D3-A749-DA341E273F2F}"/>
    <cellStyle name="Total 3 8 4 3 2 2" xfId="7714" xr:uid="{016849F4-5BD9-40E4-B23D-E3731B9D1754}"/>
    <cellStyle name="Total 3 8 4 3 2 3" xfId="10380" xr:uid="{8634AF21-D827-4F35-9377-D708D205B502}"/>
    <cellStyle name="Total 3 8 4 3 2 4" xfId="4740" xr:uid="{5558F815-F206-4A27-ABD3-C704A4141B61}"/>
    <cellStyle name="Total 3 8 4 3 3" xfId="5480" xr:uid="{15016E7D-FEE3-494E-B567-4494912C5B59}"/>
    <cellStyle name="Total 3 8 4 3 3 2" xfId="8454" xr:uid="{F66DD3D7-AA77-4AB7-A2A5-AEE80C2D35AC}"/>
    <cellStyle name="Total 3 8 4 3 4" xfId="6245" xr:uid="{129EE623-161C-438C-BD44-855B303DEABA}"/>
    <cellStyle name="Total 3 8 4 3 4 2" xfId="9219" xr:uid="{F857AAF3-4EED-45F3-A986-A815230F075B}"/>
    <cellStyle name="Total 3 8 4 3 5" xfId="6918" xr:uid="{5AA93F6A-477C-44CE-891E-263C5448C867}"/>
    <cellStyle name="Total 3 8 4 3 6" xfId="2895" xr:uid="{4E2FBC7F-6F99-4F30-9552-6F7018CB5B38}"/>
    <cellStyle name="Total 3 8 4 4" xfId="1269" xr:uid="{0D37D8CC-27CC-4D44-90D2-FE7356E94E1B}"/>
    <cellStyle name="Total 3 8 4 4 2" xfId="7040" xr:uid="{2E1D42D8-FF28-44EF-AA4C-F5ACE229B39E}"/>
    <cellStyle name="Total 3 8 4 4 3" xfId="9706" xr:uid="{41EFFC9E-3E2D-4EE7-86D9-3C6618B2DC3C}"/>
    <cellStyle name="Total 3 8 4 4 4" xfId="4066" xr:uid="{08D586E2-2206-4497-8F38-ED9237E55114}"/>
    <cellStyle name="Total 3 8 4 5" xfId="4806" xr:uid="{14B976C0-43B1-40FF-A38B-3DFFD9E13E25}"/>
    <cellStyle name="Total 3 8 4 5 2" xfId="7780" xr:uid="{00EB9517-9F27-465F-99CB-F65482DF0856}"/>
    <cellStyle name="Total 3 8 4 6" xfId="5571" xr:uid="{BC3027A8-C064-45CA-8A75-402E48AF3D16}"/>
    <cellStyle name="Total 3 8 4 6 2" xfId="8545" xr:uid="{25EE03F5-592B-4C12-91C5-859852100A22}"/>
    <cellStyle name="Total 3 8 4 7" xfId="3317" xr:uid="{222E5263-F83C-4767-99DC-1349C2EAD7E3}"/>
    <cellStyle name="Total 3 8 4 8" xfId="2221" xr:uid="{A5FEA0A7-DD2E-4EB4-B6D6-1F7D8270106B}"/>
    <cellStyle name="Total 3 8 5" xfId="731" xr:uid="{B9E5B5F1-5441-4DC8-BFA1-D7B3D8DADE06}"/>
    <cellStyle name="Total 3 8 5 2" xfId="1536" xr:uid="{9392D6EF-938E-47EE-B2C1-272C72E6812B}"/>
    <cellStyle name="Total 3 8 5 2 2" xfId="7307" xr:uid="{EBF7AE43-A441-4161-9843-760BE3625813}"/>
    <cellStyle name="Total 3 8 5 2 3" xfId="9973" xr:uid="{EBE827CD-95FE-4A55-8A3C-8951E7840782}"/>
    <cellStyle name="Total 3 8 5 2 4" xfId="4333" xr:uid="{0A20F3E7-6AB2-43C1-A78B-CC51B77CD053}"/>
    <cellStyle name="Total 3 8 5 3" xfId="5073" xr:uid="{9DCC9556-89B6-42E5-9889-80A301686ADC}"/>
    <cellStyle name="Total 3 8 5 3 2" xfId="8047" xr:uid="{F6C4D0AD-F96B-4F98-8064-41758BFE9AC3}"/>
    <cellStyle name="Total 3 8 5 4" xfId="5838" xr:uid="{E9B3B2D0-9D8B-460D-B89D-6FAF69811792}"/>
    <cellStyle name="Total 3 8 5 4 2" xfId="8812" xr:uid="{48192A3F-C8CE-462F-AAFA-CCA2408445C6}"/>
    <cellStyle name="Total 3 8 5 5" xfId="3566" xr:uid="{C00C56D8-4F9B-416B-97E4-D38DF28AD405}"/>
    <cellStyle name="Total 3 8 5 6" xfId="6511" xr:uid="{C30626A3-5245-4E44-9699-0943F8619AAF}"/>
    <cellStyle name="Total 3 8 5 7" xfId="2488" xr:uid="{2B8BA23B-41F5-41BF-B601-0FF643562E71}"/>
    <cellStyle name="Total 3 8 6" xfId="623" xr:uid="{2A5ECF35-2EA5-4B5F-829D-4EE924F5EE0B}"/>
    <cellStyle name="Total 3 8 6 2" xfId="1428" xr:uid="{30CB443E-9890-41A9-BA40-956218D93B34}"/>
    <cellStyle name="Total 3 8 6 2 2" xfId="7199" xr:uid="{031B5150-2175-415A-A529-E1B368EB7A08}"/>
    <cellStyle name="Total 3 8 6 2 3" xfId="9865" xr:uid="{026AF40D-50A9-4A09-9D0E-FCFFF55CCDAB}"/>
    <cellStyle name="Total 3 8 6 2 4" xfId="4225" xr:uid="{30835224-4210-4F85-8A0B-7F53F5246251}"/>
    <cellStyle name="Total 3 8 6 3" xfId="4965" xr:uid="{0AC42E91-8ACA-420A-844F-B6CBAB5CE83B}"/>
    <cellStyle name="Total 3 8 6 3 2" xfId="7939" xr:uid="{83C2A168-3477-4154-A2DF-31532206EC29}"/>
    <cellStyle name="Total 3 8 6 4" xfId="5730" xr:uid="{F05118B9-2F15-4918-8860-84AB9E47D863}"/>
    <cellStyle name="Total 3 8 6 4 2" xfId="8704" xr:uid="{6AD06726-B84C-4CE4-B1E3-B86A3B698B3A}"/>
    <cellStyle name="Total 3 8 6 5" xfId="6403" xr:uid="{FBFC8C77-E986-4A25-8226-33BCA5A84865}"/>
    <cellStyle name="Total 3 8 6 6" xfId="2380" xr:uid="{4F55F5AB-EDE9-4DC8-B601-8F1F49B06245}"/>
    <cellStyle name="Total 3 8 7" xfId="3243" xr:uid="{1C397AE3-FFDB-4362-A50C-6DFC70C0A699}"/>
    <cellStyle name="Total 3 8 8" xfId="2054" xr:uid="{902A9BA5-5D5F-4093-BEFB-01CDE35A21B5}"/>
    <cellStyle name="Total 3 9" xfId="300" xr:uid="{C7A97414-3CDD-4A47-B0CE-3D1D49A1328D}"/>
    <cellStyle name="Total 3 9 2" xfId="522" xr:uid="{6B809FC7-5EDF-4B50-A172-AADF54703A4A}"/>
    <cellStyle name="Total 3 9 2 2" xfId="1001" xr:uid="{553062B0-3519-48F7-AA93-42E774FC8B1F}"/>
    <cellStyle name="Total 3 9 2 2 2" xfId="1806" xr:uid="{D31BCD93-423F-4EBE-AFD4-00F4C2F88E5E}"/>
    <cellStyle name="Total 3 9 2 2 2 2" xfId="7577" xr:uid="{F70DCFEC-607B-43E6-ADE1-27CD3E83C101}"/>
    <cellStyle name="Total 3 9 2 2 2 3" xfId="10243" xr:uid="{F20190B0-BABA-4AAA-B8CE-24CEDDB19314}"/>
    <cellStyle name="Total 3 9 2 2 2 4" xfId="4603" xr:uid="{EF263AD1-171F-4E11-8FFB-0F4982AD3DE6}"/>
    <cellStyle name="Total 3 9 2 2 3" xfId="5343" xr:uid="{265A5C8A-1084-4994-9EA8-BB045BDE9162}"/>
    <cellStyle name="Total 3 9 2 2 3 2" xfId="8317" xr:uid="{37A28C0B-6875-44EE-AADE-C61013A00D54}"/>
    <cellStyle name="Total 3 9 2 2 4" xfId="6108" xr:uid="{A4ABEE74-F2FB-4207-A226-C5AAB80AC845}"/>
    <cellStyle name="Total 3 9 2 2 4 2" xfId="9082" xr:uid="{FC19CDE4-E491-4A81-932A-0D2D85EE1AFC}"/>
    <cellStyle name="Total 3 9 2 2 5" xfId="3818" xr:uid="{78B280AA-DFE9-45E0-927E-F50EF57989AB}"/>
    <cellStyle name="Total 3 9 2 2 6" xfId="6781" xr:uid="{67BF2D04-B4FF-461F-82F1-CEB0C3FB2720}"/>
    <cellStyle name="Total 3 9 2 2 7" xfId="2758" xr:uid="{690C9700-7148-4D2C-8D53-8FA796A4BBC7}"/>
    <cellStyle name="Total 3 9 2 3" xfId="1178" xr:uid="{9EEA8753-3934-4566-9C26-9D6D143A55AE}"/>
    <cellStyle name="Total 3 9 2 3 2" xfId="1983" xr:uid="{FC6819EC-865E-46B9-9BF2-23D580DE2790}"/>
    <cellStyle name="Total 3 9 2 3 2 2" xfId="7754" xr:uid="{84345779-4CA2-4F66-A4B0-66BDFB1A723B}"/>
    <cellStyle name="Total 3 9 2 3 2 3" xfId="10420" xr:uid="{960774F2-C902-49CA-9DC3-850889EBEA89}"/>
    <cellStyle name="Total 3 9 2 3 2 4" xfId="4780" xr:uid="{D9C16F2F-02A3-4250-9641-7795BAA9CFC3}"/>
    <cellStyle name="Total 3 9 2 3 3" xfId="5520" xr:uid="{38611950-C8BD-47DF-9E48-6A4D9AFE89EF}"/>
    <cellStyle name="Total 3 9 2 3 3 2" xfId="8494" xr:uid="{8FA00FB1-D071-4D30-A3EE-85DC4B986532}"/>
    <cellStyle name="Total 3 9 2 3 4" xfId="6285" xr:uid="{7EFE6B45-AED3-4839-9A88-84E9D2368D99}"/>
    <cellStyle name="Total 3 9 2 3 4 2" xfId="9259" xr:uid="{C6CC0AFB-933F-4496-911A-64D2658E0D23}"/>
    <cellStyle name="Total 3 9 2 3 5" xfId="6958" xr:uid="{7A1B189C-ADCF-4B87-8536-2815DFA67AB6}"/>
    <cellStyle name="Total 3 9 2 3 6" xfId="2935" xr:uid="{F1998B16-5196-4543-90F1-850E2A07E423}"/>
    <cellStyle name="Total 3 9 2 4" xfId="1328" xr:uid="{4B2F8F88-D8EC-4182-B652-963A761F943F}"/>
    <cellStyle name="Total 3 9 2 4 2" xfId="7099" xr:uid="{D4CA2D72-5E7E-4F63-9D95-06C555AE0B56}"/>
    <cellStyle name="Total 3 9 2 4 3" xfId="9765" xr:uid="{3ED4F8F0-922B-4612-954C-B3D03F0DADCC}"/>
    <cellStyle name="Total 3 9 2 4 4" xfId="4125" xr:uid="{0173B9D2-CE18-4188-A681-D215217D98F3}"/>
    <cellStyle name="Total 3 9 2 5" xfId="4865" xr:uid="{5DEC4E90-5591-405E-817F-9C7B4D9749FF}"/>
    <cellStyle name="Total 3 9 2 5 2" xfId="7839" xr:uid="{367BBABF-C0B2-48B9-9AB4-57C70100494E}"/>
    <cellStyle name="Total 3 9 2 6" xfId="5630" xr:uid="{21E39403-9640-4EE3-9443-1BE80872B274}"/>
    <cellStyle name="Total 3 9 2 6 2" xfId="8604" xr:uid="{628741B2-2173-4F4F-A9CA-3037B5700DA5}"/>
    <cellStyle name="Total 3 9 2 7" xfId="6303" xr:uid="{A80664CD-52DE-41C1-8733-F9F5B3E504CF}"/>
    <cellStyle name="Total 3 9 2 8" xfId="2280" xr:uid="{2B68B20C-57F1-4CEB-9181-15A261322E2D}"/>
    <cellStyle name="Total 3 9 3" xfId="791" xr:uid="{21D1443A-DB5D-4810-87F3-5E1200AE978C}"/>
    <cellStyle name="Total 3 9 3 2" xfId="1596" xr:uid="{AA653781-9E56-4749-AB61-851C4B475178}"/>
    <cellStyle name="Total 3 9 3 2 2" xfId="7367" xr:uid="{A39ECEB7-3D61-4AC6-BABF-C9B88F817B4F}"/>
    <cellStyle name="Total 3 9 3 2 3" xfId="10033" xr:uid="{CBB4B627-DE5E-40C1-BFED-7AA80CE552C4}"/>
    <cellStyle name="Total 3 9 3 2 4" xfId="4393" xr:uid="{2F280BA2-BB1E-49CE-B126-6883F8F18B65}"/>
    <cellStyle name="Total 3 9 3 3" xfId="5133" xr:uid="{07F07645-3D08-4E41-B6E3-06DFB853BCCE}"/>
    <cellStyle name="Total 3 9 3 3 2" xfId="8107" xr:uid="{DAF86ACF-9DC8-4007-95B0-858BA28AD593}"/>
    <cellStyle name="Total 3 9 3 4" xfId="5898" xr:uid="{5403C3C1-C2AB-430D-A78F-FEFDB822FBF4}"/>
    <cellStyle name="Total 3 9 3 4 2" xfId="8872" xr:uid="{B64BA301-9568-4F16-A99C-C4D5D4498D94}"/>
    <cellStyle name="Total 3 9 3 5" xfId="3625" xr:uid="{56E25F3A-835B-4D83-8E1A-8F3F3FA75B75}"/>
    <cellStyle name="Total 3 9 3 6" xfId="6571" xr:uid="{C889298D-0D01-436C-B3E1-351246FE27B1}"/>
    <cellStyle name="Total 3 9 3 7" xfId="2548" xr:uid="{5EC75276-C50B-4F3D-A66F-C7DC6CB2D5B4}"/>
    <cellStyle name="Total 3 9 4" xfId="1116" xr:uid="{0394E158-C33D-4FC2-9F37-42FC428B190D}"/>
    <cellStyle name="Total 3 9 4 2" xfId="1921" xr:uid="{9ACCDE8D-44FA-4FE1-B608-7A6CC83F1519}"/>
    <cellStyle name="Total 3 9 4 2 2" xfId="7692" xr:uid="{6FE7B611-50FD-4253-98C7-B6888BF12F1D}"/>
    <cellStyle name="Total 3 9 4 2 3" xfId="10358" xr:uid="{336B1488-A559-4E0F-9F83-326EE4678A45}"/>
    <cellStyle name="Total 3 9 4 2 4" xfId="4718" xr:uid="{949A0AE3-29E6-4D29-B353-645B57D10D9C}"/>
    <cellStyle name="Total 3 9 4 3" xfId="5458" xr:uid="{84DFCA2E-8353-4154-BA50-144B0B147D05}"/>
    <cellStyle name="Total 3 9 4 3 2" xfId="8432" xr:uid="{2AE11E3F-6481-446A-8290-E9C74597F85E}"/>
    <cellStyle name="Total 3 9 4 4" xfId="6223" xr:uid="{8BCC2A94-1659-4578-863D-C518C5EA90CF}"/>
    <cellStyle name="Total 3 9 4 4 2" xfId="9197" xr:uid="{FAD56E54-FC05-44C0-A5FD-FF4B85D43AFA}"/>
    <cellStyle name="Total 3 9 4 5" xfId="6896" xr:uid="{7023288F-9370-438D-B78F-566CDF2EE3D9}"/>
    <cellStyle name="Total 3 9 4 6" xfId="2873" xr:uid="{F75BB4AE-2157-41A3-B313-99E0D1BB8E35}"/>
    <cellStyle name="Total 3 9 5" xfId="2988" xr:uid="{E6465AC5-3B4C-4A2A-A72E-B8241625A882}"/>
    <cellStyle name="Total 3 9 6" xfId="2118" xr:uid="{36B9DC97-7F3A-4FD4-9203-55A3401E8C76}"/>
    <cellStyle name="Warning Text 2" xfId="140" xr:uid="{5A6C8CE4-E41C-42DC-B736-3125E3EC7C65}"/>
    <cellStyle name="常规 10" xfId="9600" xr:uid="{4992B4F8-F674-476E-AEA8-9F13772A4BBD}"/>
    <cellStyle name="常规 10 10" xfId="9601" xr:uid="{28C05354-CD17-4E48-B8C0-8F34A644CAEC}"/>
    <cellStyle name="常规 10 10 2" xfId="9602" xr:uid="{2C2D7189-F738-4260-9594-728E183C81E0}"/>
    <cellStyle name="常规 10 10 3" xfId="9603" xr:uid="{D6AFD326-3C23-4742-AFE6-49600BBB5B32}"/>
    <cellStyle name="常规 10 11" xfId="9604" xr:uid="{BEBDB79E-F892-4CE3-9FF4-F4A2BA9AEDEF}"/>
    <cellStyle name="常规 10 11 2" xfId="9605" xr:uid="{6541B870-8EAE-4FAC-981B-A9259F32CCC3}"/>
    <cellStyle name="常规 10 11 3" xfId="9606" xr:uid="{BA11FF24-5B9F-4D18-93E6-0B834DB14BE7}"/>
    <cellStyle name="常规 10 12" xfId="9607" xr:uid="{66A5CCDE-3DF0-4A03-96A4-61E6FB5B8464}"/>
    <cellStyle name="常规 10 12 2" xfId="9608" xr:uid="{F89BEC4D-BA14-4610-B607-46436C40FA93}"/>
    <cellStyle name="常规 10 12 3" xfId="9609" xr:uid="{92661D0B-D1EF-4455-813D-0010EE166462}"/>
    <cellStyle name="常规 10 13" xfId="9610" xr:uid="{036768A7-FBDC-466C-B275-FCFD7EDC5708}"/>
    <cellStyle name="常规 10 13 2" xfId="9611" xr:uid="{B1154DC1-CE3A-43E0-BEE5-C4C6C2001823}"/>
    <cellStyle name="常规 10 13 3" xfId="9612" xr:uid="{0A4CB5D8-D825-463F-A9CB-CFD3A5399BCA}"/>
    <cellStyle name="常规 10 14" xfId="9613" xr:uid="{6A3A3DD9-264C-40C2-8752-4EEC78EAA7B6}"/>
    <cellStyle name="常规 10 14 2" xfId="9614" xr:uid="{2D9A1610-EBCF-4121-B150-621A8F762D2F}"/>
    <cellStyle name="常规 10 14 3" xfId="9615" xr:uid="{41526C7E-15B7-46A1-8DE3-16245532E3F2}"/>
    <cellStyle name="常规 10 15" xfId="9616" xr:uid="{82410F49-FCB6-4FD0-A0BD-44EF51D14CE4}"/>
    <cellStyle name="常规 10 16" xfId="9617" xr:uid="{1AB4E7E5-9D0C-4385-A9D8-DF1A7E815ED3}"/>
    <cellStyle name="常规 10 2" xfId="9618" xr:uid="{0F390AC5-976B-40D0-8A98-6DEB48D4F1AB}"/>
    <cellStyle name="常规 10 2 2" xfId="9619" xr:uid="{88B3EBC4-F893-4F42-986B-DF3557CADC9F}"/>
    <cellStyle name="常规 10 2 3" xfId="9620" xr:uid="{073E43BC-2D36-4A1F-B6DD-223BD9AD000C}"/>
    <cellStyle name="常规 10 3" xfId="9621" xr:uid="{7FE7B227-C9EF-482C-9E3D-64DAD20C9B6A}"/>
    <cellStyle name="常规 10 3 2" xfId="9622" xr:uid="{6CC586C7-58AE-4D50-9BF1-42240D820176}"/>
    <cellStyle name="常规 10 3 3" xfId="9623" xr:uid="{189AB110-D434-4ABB-AF5C-360C103253BD}"/>
    <cellStyle name="常规 10 4" xfId="9624" xr:uid="{C4D67C91-5536-4A93-BA55-A125694224D1}"/>
    <cellStyle name="常规 10 4 2" xfId="9625" xr:uid="{9AD8B5DB-4F76-4223-BB40-7C0B3291D03D}"/>
    <cellStyle name="常规 10 4 3" xfId="9626" xr:uid="{C05192B0-9638-4BED-A6B1-B7327229DF4D}"/>
    <cellStyle name="常规 10 5" xfId="9627" xr:uid="{942595D9-D190-4252-BF6B-5A96E702F91A}"/>
    <cellStyle name="常规 10 5 2" xfId="9628" xr:uid="{C34A80AE-9F4B-41EA-A628-BA534205FC08}"/>
    <cellStyle name="常规 10 5 3" xfId="9629" xr:uid="{578AA077-F24E-4B81-8DBF-E590C6247203}"/>
    <cellStyle name="常规 10 6" xfId="9630" xr:uid="{B4C7F64F-71BC-419C-BB5A-D4B08E1DC6A2}"/>
    <cellStyle name="常规 10 6 2" xfId="9631" xr:uid="{F2109906-42D6-496A-91B8-8AA898CFD94A}"/>
    <cellStyle name="常规 10 6 3" xfId="9632" xr:uid="{B1B2C7ED-09A5-4F34-A43F-87605F810C4A}"/>
    <cellStyle name="常规 10 7" xfId="9633" xr:uid="{661C2C4C-C4FD-44BF-A4EF-E0877CC9888E}"/>
    <cellStyle name="常规 10 7 2" xfId="9634" xr:uid="{3A479630-126F-42C4-B801-3F1C09C36473}"/>
    <cellStyle name="常规 10 7 3" xfId="9635" xr:uid="{48771CB7-68F2-473D-AA0D-623300A35111}"/>
    <cellStyle name="常规 10 8" xfId="9636" xr:uid="{8C38CBA2-76C3-4044-A59A-B732F3C057AA}"/>
    <cellStyle name="常规 10 8 2" xfId="9637" xr:uid="{61863CF2-5EBB-464F-ADE8-5BE67DF9723C}"/>
    <cellStyle name="常规 10 8 3" xfId="9638" xr:uid="{15AEDBE1-6002-4F7B-99F2-FC7C8E2B86B4}"/>
    <cellStyle name="常规 10 9" xfId="9639" xr:uid="{C882B318-53B9-4DB0-943C-BFD0DB87DD2F}"/>
    <cellStyle name="常规 10 9 2" xfId="9640" xr:uid="{C9766DC1-B0E0-41D9-ABF1-173D07148E92}"/>
    <cellStyle name="常规 10 9 3" xfId="9641" xr:uid="{65491351-4E04-4379-BA65-53E123002165}"/>
    <cellStyle name="常规 2" xfId="9642" xr:uid="{1BA2302E-E322-4980-BA13-C3A6AF3B5E92}"/>
    <cellStyle name="常规 2 2" xfId="9643" xr:uid="{DBBB5F86-5E06-4B77-82CE-576EF4A3C7B8}"/>
    <cellStyle name="常规 2 2 2" xfId="9644" xr:uid="{35613E1E-58F8-463E-BEC4-24A131C00197}"/>
    <cellStyle name="常规 2 3" xfId="9645" xr:uid="{1E82403A-8437-4EE1-B966-7C1BCA3C6BAA}"/>
    <cellStyle name="常规 3" xfId="9646" xr:uid="{DC0C7878-F00C-48D6-BDC7-3B97C7744223}"/>
  </cellStyles>
  <dxfs count="566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SSCS" pivot="0" count="0" xr9:uid="{8DF3121F-15D0-4F5B-8342-E5DD897946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57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2D4B8330-4DDF-4C56-AE6D-0CE3B4A71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97874FC1-C14B-4D82-B9E3-75B3E72E1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0C76AA1F-0DC9-4963-A65C-A80C8BCE8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62D176CA-2478-4445-B294-F0C380C34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4A9DA43E-3EF2-4C2C-A2F6-2C9A9383D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91FE2B50-599F-4CCC-B89E-2E1BFE1E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ABF33BDA-E0D4-4322-A674-016BF3DA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F8B5DA07-0EB6-4613-90E3-BDF111F7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FE3413CE-D536-4393-9330-440E8ED41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0D9AF857-E196-4D47-BF3C-F00769C81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162E3D36-B177-45AF-894C-F6E5F1E8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B082A17E-6D35-451E-994F-151052A1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7BB64479-DF31-40B0-852B-47191ECDF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3A395717-0CB8-4581-8C79-30FFE1A3D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4F691437-B001-4C38-8CBA-8DB9B5FE2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4F3330D8-1812-46D7-BDD7-7C06A99FC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2EBF6ECF-6A85-4277-85FB-C0869307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D313961D-B1B8-4D2B-97A2-F909D1122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B7318C9C-FCA5-4140-9F7D-9C161BA5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B1573648-4185-47F9-AFD5-E9C273BAA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D7970ED4-0EDE-4F44-92D3-CE5D34261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3B66290D-B5F0-40DE-A8B8-705406C5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C8110D12-2D59-4E70-B462-ED3BC14D8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E03CBF08-5143-4241-8D43-AF639587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5DF3468C-766F-4CC0-AB25-7222485B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F39D1F29-DDD1-4E62-918A-6D6193E8F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B4F0516B-B367-4DDB-9ADF-0009438F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A9A52603-F921-4650-95CC-DF534E4C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0AAD31C7-F826-4CF2-A71B-86E8CE01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2D1682A8-FBDC-4D7D-81F3-2DFBEB67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35D618C6-4BE3-4E6E-A9EF-CF371C3A8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42CD7F3E-1876-4FCE-8965-C7662E2B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E8EAFD47-119A-454B-AFAF-DBDC3C6D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EAFBBE0B-8604-4FB1-9BC8-DB19FA8EC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FEAB9C5E-90D6-4740-A7DF-913EB82CE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AFBC1BDC-3569-411A-8CD2-46BB39A09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0E411AAA-8BEC-465F-889A-1F309D861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5FF989AD-0DA4-4084-84F9-0E99C151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3FE321EE-9A36-4D78-B948-D728C290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A886411D-D340-46D7-ACCA-D65EC053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F88A9419-2FB7-4D9D-A518-3D132826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FE4AA68D-DAD9-49E7-BECB-AF85268E8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627AB66B-C7B7-49F5-A716-0D59D7BE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E3CBC82B-FDFA-4A69-A983-0670C24F3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A70A658E-363D-4B42-B39D-0B6E66BB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389D9EFA-C023-45D6-B548-1FB00B9BF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5B183E3B-5D60-4EE0-8BDB-65CF17A3B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34E49302-A5E9-4827-8C26-D012B26C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A7ADA16D-C243-4C1A-917D-ECF1EF7A9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C9D092E3-4ED1-4143-9655-460EF70A6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99F3DCF2-8A3E-410A-8080-BA6DC74BF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8D0B5A6D-E71A-4BAA-B4B0-DB0CB5AEF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BB96E059-0E56-4D21-AD13-F4989375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EB5BF15E-CC03-467A-81FA-57BB12E6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94CB573D-1212-4630-81EA-911422FC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E053BA9C-8658-40C3-AC26-6D7A987C3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484BE47B-0FD0-4D5D-A251-18F4DB30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762C9780-BAAB-4954-A40B-95A6731E5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EFDA034A-FD76-4913-8EEC-3E1BE9FE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C19EA2F3-4764-4237-A629-5D3A585A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44793685-5026-43EF-8A6A-EAA53620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8ECDFBD0-1A46-4439-B6B7-B8FE4D19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A4B5F621-98FC-4C56-A1D7-9344C11F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22D774D5-0E05-4431-8E92-074CEE634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EA4133F6-EFFB-4C1B-93BB-98553108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AAA34901-F52A-4D07-A829-1E1C72DD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2682DA53-9972-4BF4-96F5-C0F451D7B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D515EBCE-E69E-4892-ACEC-0BDA7F1D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480C5252-3EF6-47FB-832C-3AC828ACE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EE60B5D0-B2FA-4575-8A7B-1B3A3B2A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76AF4D28-74B6-41B2-88C8-80BCEC0E6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8A50369B-42FE-4D80-B47F-95D272C34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D581889F-4A5F-4DC8-99D9-6954055C0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19918C30-4E85-4D35-A802-7AE9A8032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EC0982A2-0756-4245-99BD-1978EC06F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E84AEBF5-972C-4B1C-B7BB-8E702E294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521139F3-C40B-4EC7-9B55-6726CC1B9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2368E2DE-539F-4114-9A2E-295ED9A69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872FFD55-632D-4CF1-BBF8-38FCEFD9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EBC80C99-9986-4BB9-80EA-78F327D1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5CA2C9F9-BA83-41BC-BB59-C3FC27AAB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CD759CCB-134C-4801-AF92-79E164A9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744BAEBB-70D9-4F80-B2C8-465D009DB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EC73F124-E90C-4450-9BB6-487E39F6B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60DD407F-7DDB-454B-8C30-ADBC7E6D8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575B11AA-A644-41D9-A41D-5B7046FE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06B41AF5-13D3-4D83-86ED-2C9F26A81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B5EDAC1E-0969-4875-A8A1-C8C61930D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549D1171-1C3C-41CF-B628-2C49CED7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822427C3-DB1A-4644-B87F-D09AA722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A890EBD9-E046-41D2-AE10-3E648367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F49E8EAC-C234-416E-ACCB-D10D7FE6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FBA34AA9-BB6D-4B4B-9F28-CAB1D7359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40F6E675-5094-46CA-87D1-A1AE16F4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566EB680-F5FB-4F70-8EE1-E15D29194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1A32917B-4316-4D0B-8A42-4153CC86B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524B4101-4A7A-4995-8995-CF77BDC07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8E50BFB8-BD47-4D26-8AFA-B2A333BD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348C1AAF-C261-4C50-B3FE-B64BE87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41B149D5-97F0-43D9-95AF-3C853706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FFC46347-53B0-4BE4-9B34-F9028EE2E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952A966E-8755-47C3-A548-DCBF19CBB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E7FFD704-71CE-4160-9CDC-5C315D4B2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0DF2EB6F-3FB6-4248-AC6B-811647BC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0F1C451B-936B-47C5-AF1D-B6B96F47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C81AE3B7-B20B-4254-81CF-0F4D41A9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209516C5-EBB5-488B-AA66-9E53B618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2330DA3B-EBAD-4823-ACAE-46D9D702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525D1065-44DB-4144-AE42-5DDBCDACE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C8EA3391-07BB-4504-BE66-64BEF627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42A5B303-F2E8-4F04-969E-D17BDB2C8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650204C3-FAAC-4D4B-8A8E-445497870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1909D5D7-F618-45C5-8DB4-53EA287F7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BEBA0E1E-FC0B-4B4F-9BEC-B98D7F88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D177D9D8-9503-403A-9CDB-12BDDDEA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A897BC3A-8A49-448B-90BB-8E845D13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85DEF763-8566-4AD8-A492-F94E46D5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D936D591-316B-4990-A79F-917BF3EEC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FDA494D7-4477-45C1-B696-65EBB279C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106F358E-1632-44C2-826D-AA711FFF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542E4667-F039-4E0F-A365-5E5CE2FB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89C8D2DF-37E2-4F48-83C0-FDAD9F9B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3D535303-3A8A-47AF-981F-7F6593864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A1116BA2-9C19-438E-80B5-5753894B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9A704B53-C730-4A32-9F3A-E53FD21C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5E048471-9B44-4808-BC51-BD29C3413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174577FE-C99C-4D09-A989-2090BD59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D9FD3B29-E00E-4274-A168-F34C133CB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0D4B72C8-235C-454D-8003-1A82A50CB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23F28B8F-E417-444F-B40C-B0025E2E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0D762573-DC9E-4197-890A-7A27BB2DE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2F57D9A1-727A-4E3B-9911-6817E9186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93061518-0959-48CC-8736-A32E2532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3D0F8606-B518-42CC-A3AE-09291D7D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361D9CDF-ECAB-4B1C-BF1E-07D2D1F16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88171F3B-A2FF-4ACC-BD0D-7582383CD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02B5136B-FFD6-494D-84E8-F83BE685F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ACBB92F8-898F-44A6-92A7-CDE4F2DF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940D1209-5C75-479F-B9C2-395E1613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BAA8A0C1-B1DF-4712-B084-AE2A47EE0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011E4967-452D-46A8-9B26-779D8073A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6BB6F8C9-177E-4BB1-B1A9-B82A76B3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CCB45478-DBC8-43BA-BD5C-5F7A3B97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C59DB50F-DD2E-47BC-98F4-FD4D552C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5B642CB5-4E30-4FDC-9B0C-123BA5E2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CB1CA51D-4940-436A-8812-4B76E52D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41BC3756-20A1-439E-85E1-C58D315D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247655AF-0766-42E6-8275-0DE79B63D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6C2EEBBB-F9EB-4618-9B5A-F00DF12D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50FBECAC-9161-4242-93EB-2BEE44BB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BE625F58-E058-4667-943C-12F742CD1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F308BB0A-7606-43E3-9DB0-B0189A56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784FCE82-B25B-470C-88B7-D16BE9F31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23A38E28-9B2C-4EEF-9FCA-5F0DE056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7592EF76-8146-4C7D-A2DB-E5C91E947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5F226794-7282-48C6-AD9E-61D90D42D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26B31860-8FDB-47EE-B891-D2AC1776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D8BC1EED-0781-4A94-A8DD-9E65872C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565E85AE-01F1-42E8-B38E-3B979319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8007BEC1-FF56-448A-BCAE-0391B8A1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72C52D1C-AD38-4B9D-846F-C9816F9E8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BD7F7643-A70F-44BA-80D9-ED5EE382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DD9B223D-99DB-48C2-A6D9-D57AACF42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EB0F4106-82E8-41B8-A79E-6A6858B3C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4A519C75-9F68-40E0-8AB1-7C2C99C9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40E6EC19-FD80-4AAA-94B2-982C7965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8124310C-EE0B-4D25-B6D5-6B17245E5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6A3C7153-DADF-4E10-91E0-B820A01F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60211A92-CBC9-4263-AEE6-E33DDA43F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77292DF6-800F-4E4D-B148-83CD9BB6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A4EFAAAF-C9B6-49AF-A609-6F305BDD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B323EA85-3EAC-4200-8273-E90077364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4F2AF62C-26F9-4CE4-B3AE-6B10BF30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F1F7A35C-380C-4166-BDFC-59DE9B2A6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B3C63ED6-DB34-4AD5-B62C-AE7CE0E71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506A2DE7-88BB-437C-8D58-4A141E2E9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426BDC28-D043-4963-B95C-64709C24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3B0078F6-EADE-44D6-A5DE-2053E3E3E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1DF183CE-AF3D-4DF2-9385-F395195D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1F94AAD5-DEEF-4770-A942-52B13CAE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6F64F934-4023-480E-9860-A065A7799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A34E2F4E-FD14-47A3-803F-40A831C7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A2B3B02A-BD03-40F4-9CC2-A5F72420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5E72E1C6-A38C-4FFD-9EA6-5F62C9D6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F3557830-BB1B-497C-B706-CA2BA09A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0AB4A4BA-11B2-463F-A4B1-FBE8BDC18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76A163B4-0927-401A-85B0-0EE741AF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3D9727CE-249F-4F53-A194-7955C539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CD1C924D-23C6-43E2-AB77-DF7A9357F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13969C1F-9A28-4229-A975-0F568BADB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8E146681-7CF3-455C-8813-7CFD5500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7D70E7F7-4226-45BE-AD64-FBF6EFEA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80FC4C81-A349-4E4C-93B9-DCB7008A4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BECC9668-A1CF-446A-9AB3-F89B9DB66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B60216BE-BEB4-4661-891B-CD9993EB2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35B4645D-2501-4A35-B480-195F2260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87A5260B-278F-4ACE-AE28-CAC60306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0FEC7CAB-96B2-42BB-A6AA-1A29E4A3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07CB9E50-9630-4B02-8C48-2A09CC67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F6F6A9DA-0890-4F85-989A-087A8EBF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A9A752CD-E4C4-4FB0-95FA-13A543CF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F6F1A843-23C4-49F2-8E5A-526E0C1EE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0E568437-F632-42EF-B39E-D39BF78A6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1E34441D-051F-48B9-A07A-CE09911F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F7DD7A84-4CAC-4ADC-BFC5-B8DAC2583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67EC9D88-A719-4E3B-8385-EDF1C418B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87E9ED60-6F4A-4693-BCAA-3B2E4A73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61F7E337-6244-4B63-8D44-A6364CF3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5979688A-CFC2-4237-BC35-AB6B049F8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14EBE124-F2A9-4218-8E57-76A8C7E5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602EE4EA-7BCB-431D-84D3-31F71ED3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C7E5B1A0-7882-44CF-BA06-5CEAF3D2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44A35406-436E-4DD7-9CBE-6C1387A3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0D3BEBFE-3CBB-40CE-9780-50388849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E7C0E505-EC78-4FC4-9A77-3133BC58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B858D951-FBD2-4157-9D62-5BF693A49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058F4889-AEF1-4187-A318-D1C0ED89A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545FEC63-B543-4484-87C1-F6E78F9C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C6185973-AB27-4CD6-9E09-6ED7AD25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FA08EE29-A98A-454B-B21A-27B6F063C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975FD8BF-08ED-4BB6-8D1B-52564ACF7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94EBC230-6112-408E-B331-DA6E81F9B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B8A5F5C8-4FA6-48DE-BB35-4E57C224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5EA48312-D572-4B71-8933-87F823D0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272EE676-5B3F-4F64-B9C7-8854038A9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895155D9-65DD-427E-A954-53F50E33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3842E0F0-7F82-4834-AC1B-7227C839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1B44C0C4-7607-4996-8A0E-A6A7708FD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D58D7E81-9701-4075-BF59-4D2C081FE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D75BAD45-1537-43B7-916E-05F7F1C64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53186489-A0CC-4E7D-9893-5132BAB8B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E40FAE56-CBC7-4F20-9B63-CABE375D2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029687C0-410B-48EA-9396-76D22673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942065FF-1149-434C-9704-10A0AC19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54B83AB0-BAC8-4706-846E-BAC86269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D664BE5F-62F7-4E1E-A9E8-90CBB972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23D84757-6D60-4A5F-9098-536C2C1B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2F2A48B4-D041-4BFE-B43F-8B5F8989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A30BD6C9-D525-437F-A38F-8A92B18CD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07190686-AF62-4AF8-AB24-C2FE053CF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E8F41321-8375-4E3D-96B3-2C7B31D05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C6158DEB-E006-481D-BAD9-C72A6D48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13B1A293-360D-4618-998E-E78B088D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8FDD09E6-AA01-4DF2-82F4-81C3F6DE7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E82EA5F7-6E9A-4C88-AA2B-C7DFAD97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BD557376-93C3-42D6-A8EE-7E68B10ED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B3BC5944-7A1F-4119-90F4-99C00E712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E6A4AD8F-4247-446E-9575-481EDD882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6404CD6F-958E-4E7F-A32B-F55957EF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329C6875-0290-450B-B2B3-F9EC3C78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8F86DFB5-5CA4-4679-9B41-2F2C801B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D1403837-D2EC-449E-B5A0-DFC4DC3BC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D1E30422-025D-4011-8603-A8957EC98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A5C15FDD-BA58-4CBD-8E86-888E802C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04B7375E-20D6-4D65-B975-C9E34029C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581B6A57-32A1-4C7C-A901-9ACCFCEA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C5617D00-25F9-49F9-8C77-BC772E2C7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8B1D6222-CBF0-4C41-A1F3-509F9F282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2DCBD15F-D251-42B8-AEAD-76708160B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61649C4A-F018-45D7-9C41-D97478CB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85C5AA56-D641-4E70-B2F4-CA7E975F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8CF80B00-C023-4688-8AC3-27CC2604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2530F847-85E6-4DBA-92A9-3B561F5B7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F65FFCEF-97E8-4003-8AF2-27DDFF1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545CAECB-D564-46D8-AE7D-E0C83646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6532E735-3443-4BB8-8001-226A3B009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B7539994-4162-4E19-8FB3-231D6305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B06F589D-9DFD-4139-9D74-45991FA2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A097378E-0F76-46C0-80D3-DE43C107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55D8A9ED-3E39-460A-9E3A-82A1BBD81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909D1D30-8829-4508-BF9A-1CC983D5E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62D64CFE-AAE0-4BFB-9474-726F3B06A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1B12555D-F242-471E-9230-A9DA26A1D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7DC346CA-0B83-4462-B0CC-A07FB7D3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961B2AC7-6C5B-48B1-B5E8-15829A65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88218E09-4B9C-44C3-AEA5-E24931A61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81609848-C012-47D5-958A-BB7486BF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914BB9E3-0451-4D6F-AF29-3BE450177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9FCFA884-D317-438D-895A-D0B5B9DEC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A17F8B15-8954-4413-860F-9BC57815B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7B7CC435-3344-4E43-A7AE-8F6D006C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94CD8936-F432-457F-8464-189AE15B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F9B4D912-E91F-4D76-A4CA-74E0FB81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D0EEA60E-76E7-4932-B790-89CF36874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589262E6-861D-46D7-A7A4-4BD07C26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FA9572EB-5409-42B3-AB86-A95B5091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4BCB5323-447B-45D8-9225-304E6525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8372F966-7DF8-4173-8C10-8FE01100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41719D07-0460-449A-8291-396B3893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8E5E52C2-68F4-4606-BADA-6A15CC07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66A133FC-A736-40D0-8488-0695A289F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3232AF46-C5F6-400D-97AD-39D400F4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C4914811-8FD2-46F9-9C66-7AF7FE85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9E17CA75-8409-4AFF-B1F2-B5ED4E4AE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9D605513-4AB9-42D9-96A3-13D1ADC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FE5B50B1-9DC4-4B8B-9674-BC02CD4EF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8" name="Picture 297" descr="https://mail.google.com/mail/u/0/images/cleardot.gif">
          <a:extLst>
            <a:ext uri="{FF2B5EF4-FFF2-40B4-BE49-F238E27FC236}">
              <a16:creationId xmlns:a16="http://schemas.microsoft.com/office/drawing/2014/main" id="{C24AED2C-4631-4979-AA2F-E6E745711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299" name="Picture 298" descr="https://mail.google.com/mail/u/0/images/cleardot.gif">
          <a:extLst>
            <a:ext uri="{FF2B5EF4-FFF2-40B4-BE49-F238E27FC236}">
              <a16:creationId xmlns:a16="http://schemas.microsoft.com/office/drawing/2014/main" id="{1ED7E417-6884-4261-826D-C4E59D29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0" name="Picture 299" descr="https://mail.google.com/mail/u/0/images/cleardot.gif">
          <a:extLst>
            <a:ext uri="{FF2B5EF4-FFF2-40B4-BE49-F238E27FC236}">
              <a16:creationId xmlns:a16="http://schemas.microsoft.com/office/drawing/2014/main" id="{53601993-1115-4EAF-A5F5-A239D8D4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1" name="Picture 300" descr="https://mail.google.com/mail/u/0/images/cleardot.gif">
          <a:extLst>
            <a:ext uri="{FF2B5EF4-FFF2-40B4-BE49-F238E27FC236}">
              <a16:creationId xmlns:a16="http://schemas.microsoft.com/office/drawing/2014/main" id="{DB16A7DB-ACEF-4140-A33E-FFB81A2E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2" name="Picture 301" descr="https://mail.google.com/mail/u/0/images/cleardot.gif">
          <a:extLst>
            <a:ext uri="{FF2B5EF4-FFF2-40B4-BE49-F238E27FC236}">
              <a16:creationId xmlns:a16="http://schemas.microsoft.com/office/drawing/2014/main" id="{4E0C12EE-ABF3-4648-B05E-9421F3152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3" name="Picture 302" descr="https://mail.google.com/mail/u/0/images/cleardot.gif">
          <a:extLst>
            <a:ext uri="{FF2B5EF4-FFF2-40B4-BE49-F238E27FC236}">
              <a16:creationId xmlns:a16="http://schemas.microsoft.com/office/drawing/2014/main" id="{1DBAF72D-670F-400C-A88D-94604ED1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4" name="Picture 303" descr="https://mail.google.com/mail/u/0/images/cleardot.gif">
          <a:extLst>
            <a:ext uri="{FF2B5EF4-FFF2-40B4-BE49-F238E27FC236}">
              <a16:creationId xmlns:a16="http://schemas.microsoft.com/office/drawing/2014/main" id="{1FA1F544-0936-42B8-9711-639F28A49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5" name="Picture 304" descr="https://mail.google.com/mail/u/0/images/cleardot.gif">
          <a:extLst>
            <a:ext uri="{FF2B5EF4-FFF2-40B4-BE49-F238E27FC236}">
              <a16:creationId xmlns:a16="http://schemas.microsoft.com/office/drawing/2014/main" id="{DC8F34C2-61DB-4D24-BB05-1F5A8444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6" name="Picture 305" descr="https://mail.google.com/mail/u/0/images/cleardot.gif">
          <a:extLst>
            <a:ext uri="{FF2B5EF4-FFF2-40B4-BE49-F238E27FC236}">
              <a16:creationId xmlns:a16="http://schemas.microsoft.com/office/drawing/2014/main" id="{F841225D-6D50-41B7-94C8-9DA2A549F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7" name="Picture 306" descr="https://mail.google.com/mail/u/0/images/cleardot.gif">
          <a:extLst>
            <a:ext uri="{FF2B5EF4-FFF2-40B4-BE49-F238E27FC236}">
              <a16:creationId xmlns:a16="http://schemas.microsoft.com/office/drawing/2014/main" id="{958A6ED2-39DB-4729-A426-6C9589B9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8" name="Picture 307" descr="https://mail.google.com/mail/u/0/images/cleardot.gif">
          <a:extLst>
            <a:ext uri="{FF2B5EF4-FFF2-40B4-BE49-F238E27FC236}">
              <a16:creationId xmlns:a16="http://schemas.microsoft.com/office/drawing/2014/main" id="{95DA60CC-5D80-4321-A576-9D95936F9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09" name="Picture 308" descr="https://mail.google.com/mail/u/0/images/cleardot.gif">
          <a:extLst>
            <a:ext uri="{FF2B5EF4-FFF2-40B4-BE49-F238E27FC236}">
              <a16:creationId xmlns:a16="http://schemas.microsoft.com/office/drawing/2014/main" id="{AAC43366-9A0A-49A6-8D17-EFC24548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0" name="Picture 309" descr="https://mail.google.com/mail/u/0/images/cleardot.gif">
          <a:extLst>
            <a:ext uri="{FF2B5EF4-FFF2-40B4-BE49-F238E27FC236}">
              <a16:creationId xmlns:a16="http://schemas.microsoft.com/office/drawing/2014/main" id="{4EE6EB19-E089-430D-8157-4050F48C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1" name="Picture 310" descr="https://mail.google.com/mail/u/0/images/cleardot.gif">
          <a:extLst>
            <a:ext uri="{FF2B5EF4-FFF2-40B4-BE49-F238E27FC236}">
              <a16:creationId xmlns:a16="http://schemas.microsoft.com/office/drawing/2014/main" id="{5E22DE36-18DA-440C-8CA1-FBCF274F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2" name="Picture 311" descr="https://mail.google.com/mail/u/0/images/cleardot.gif">
          <a:extLst>
            <a:ext uri="{FF2B5EF4-FFF2-40B4-BE49-F238E27FC236}">
              <a16:creationId xmlns:a16="http://schemas.microsoft.com/office/drawing/2014/main" id="{615BC740-91EC-48B0-90F3-457174EC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3" name="Picture 312" descr="https://mail.google.com/mail/u/0/images/cleardot.gif">
          <a:extLst>
            <a:ext uri="{FF2B5EF4-FFF2-40B4-BE49-F238E27FC236}">
              <a16:creationId xmlns:a16="http://schemas.microsoft.com/office/drawing/2014/main" id="{E48E401D-D627-407E-A015-3786B62B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4" name="Picture 313" descr="https://mail.google.com/mail/u/0/images/cleardot.gif">
          <a:extLst>
            <a:ext uri="{FF2B5EF4-FFF2-40B4-BE49-F238E27FC236}">
              <a16:creationId xmlns:a16="http://schemas.microsoft.com/office/drawing/2014/main" id="{B7F607CE-14DD-4A68-8DA3-91A494FAF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5" name="Picture 314" descr="https://mail.google.com/mail/u/0/images/cleardot.gif">
          <a:extLst>
            <a:ext uri="{FF2B5EF4-FFF2-40B4-BE49-F238E27FC236}">
              <a16:creationId xmlns:a16="http://schemas.microsoft.com/office/drawing/2014/main" id="{6C4D808A-253B-4EFA-AAB3-D4FCA924C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6" name="Picture 315" descr="https://mail.google.com/mail/u/0/images/cleardot.gif">
          <a:extLst>
            <a:ext uri="{FF2B5EF4-FFF2-40B4-BE49-F238E27FC236}">
              <a16:creationId xmlns:a16="http://schemas.microsoft.com/office/drawing/2014/main" id="{F8F45AE4-6142-408B-9640-429BBE7CB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7" name="Picture 316" descr="https://mail.google.com/mail/u/0/images/cleardot.gif">
          <a:extLst>
            <a:ext uri="{FF2B5EF4-FFF2-40B4-BE49-F238E27FC236}">
              <a16:creationId xmlns:a16="http://schemas.microsoft.com/office/drawing/2014/main" id="{EC69D188-5080-40CA-89EF-960228867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8" name="Picture 317" descr="https://mail.google.com/mail/u/0/images/cleardot.gif">
          <a:extLst>
            <a:ext uri="{FF2B5EF4-FFF2-40B4-BE49-F238E27FC236}">
              <a16:creationId xmlns:a16="http://schemas.microsoft.com/office/drawing/2014/main" id="{415933F2-7628-4D6D-98B0-61369843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19" name="Picture 318" descr="https://mail.google.com/mail/u/0/images/cleardot.gif">
          <a:extLst>
            <a:ext uri="{FF2B5EF4-FFF2-40B4-BE49-F238E27FC236}">
              <a16:creationId xmlns:a16="http://schemas.microsoft.com/office/drawing/2014/main" id="{4253B44E-743E-4E45-AF8C-51FA6B29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0" name="Picture 319" descr="https://mail.google.com/mail/u/0/images/cleardot.gif">
          <a:extLst>
            <a:ext uri="{FF2B5EF4-FFF2-40B4-BE49-F238E27FC236}">
              <a16:creationId xmlns:a16="http://schemas.microsoft.com/office/drawing/2014/main" id="{602A5A95-F418-441D-9C57-87BE33002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1" name="Picture 320" descr="https://mail.google.com/mail/u/0/images/cleardot.gif">
          <a:extLst>
            <a:ext uri="{FF2B5EF4-FFF2-40B4-BE49-F238E27FC236}">
              <a16:creationId xmlns:a16="http://schemas.microsoft.com/office/drawing/2014/main" id="{C510394C-9D19-4D50-8AB2-3CAECC0E2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2" name="Picture 321" descr="https://mail.google.com/mail/u/0/images/cleardot.gif">
          <a:extLst>
            <a:ext uri="{FF2B5EF4-FFF2-40B4-BE49-F238E27FC236}">
              <a16:creationId xmlns:a16="http://schemas.microsoft.com/office/drawing/2014/main" id="{AAD4F2EA-CB99-4422-B54D-219F75306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3" name="Picture 322" descr="https://mail.google.com/mail/u/0/images/cleardot.gif">
          <a:extLst>
            <a:ext uri="{FF2B5EF4-FFF2-40B4-BE49-F238E27FC236}">
              <a16:creationId xmlns:a16="http://schemas.microsoft.com/office/drawing/2014/main" id="{77E9EA0B-9AAE-4227-9639-FA4E0611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4" name="Picture 323" descr="https://mail.google.com/mail/u/0/images/cleardot.gif">
          <a:extLst>
            <a:ext uri="{FF2B5EF4-FFF2-40B4-BE49-F238E27FC236}">
              <a16:creationId xmlns:a16="http://schemas.microsoft.com/office/drawing/2014/main" id="{9F777AF3-4B70-497F-AC9E-99A753D5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5" name="Picture 324" descr="https://mail.google.com/mail/u/0/images/cleardot.gif">
          <a:extLst>
            <a:ext uri="{FF2B5EF4-FFF2-40B4-BE49-F238E27FC236}">
              <a16:creationId xmlns:a16="http://schemas.microsoft.com/office/drawing/2014/main" id="{28E47422-4B3B-4B42-8034-A0E87E58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6" name="Picture 325" descr="https://mail.google.com/mail/u/0/images/cleardot.gif">
          <a:extLst>
            <a:ext uri="{FF2B5EF4-FFF2-40B4-BE49-F238E27FC236}">
              <a16:creationId xmlns:a16="http://schemas.microsoft.com/office/drawing/2014/main" id="{4B5FBA32-398B-468A-9EB3-F7502DD27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7" name="Picture 326" descr="https://mail.google.com/mail/u/0/images/cleardot.gif">
          <a:extLst>
            <a:ext uri="{FF2B5EF4-FFF2-40B4-BE49-F238E27FC236}">
              <a16:creationId xmlns:a16="http://schemas.microsoft.com/office/drawing/2014/main" id="{F999501A-3C66-42FA-B371-A258F762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8" name="Picture 327" descr="https://mail.google.com/mail/u/0/images/cleardot.gif">
          <a:extLst>
            <a:ext uri="{FF2B5EF4-FFF2-40B4-BE49-F238E27FC236}">
              <a16:creationId xmlns:a16="http://schemas.microsoft.com/office/drawing/2014/main" id="{F090BD4A-155F-46C6-9AA9-4D79CDE22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29" name="Picture 328" descr="https://mail.google.com/mail/u/0/images/cleardot.gif">
          <a:extLst>
            <a:ext uri="{FF2B5EF4-FFF2-40B4-BE49-F238E27FC236}">
              <a16:creationId xmlns:a16="http://schemas.microsoft.com/office/drawing/2014/main" id="{265D9299-992B-45BA-B7C4-9A550768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0" name="Picture 329" descr="https://mail.google.com/mail/u/0/images/cleardot.gif">
          <a:extLst>
            <a:ext uri="{FF2B5EF4-FFF2-40B4-BE49-F238E27FC236}">
              <a16:creationId xmlns:a16="http://schemas.microsoft.com/office/drawing/2014/main" id="{F3EA6601-58B5-4D10-B963-3A9C1EFB9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1" name="Picture 330" descr="https://mail.google.com/mail/u/0/images/cleardot.gif">
          <a:extLst>
            <a:ext uri="{FF2B5EF4-FFF2-40B4-BE49-F238E27FC236}">
              <a16:creationId xmlns:a16="http://schemas.microsoft.com/office/drawing/2014/main" id="{47C7260B-ED9E-4563-8199-BF977412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2" name="Picture 331" descr="https://mail.google.com/mail/u/0/images/cleardot.gif">
          <a:extLst>
            <a:ext uri="{FF2B5EF4-FFF2-40B4-BE49-F238E27FC236}">
              <a16:creationId xmlns:a16="http://schemas.microsoft.com/office/drawing/2014/main" id="{E2F5724D-0B52-4CE0-8169-06692F8C8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3" name="Picture 332" descr="https://mail.google.com/mail/u/0/images/cleardot.gif">
          <a:extLst>
            <a:ext uri="{FF2B5EF4-FFF2-40B4-BE49-F238E27FC236}">
              <a16:creationId xmlns:a16="http://schemas.microsoft.com/office/drawing/2014/main" id="{5510E60E-0D5C-453B-A6CF-C29CF75FF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4" name="Picture 333" descr="https://mail.google.com/mail/u/0/images/cleardot.gif">
          <a:extLst>
            <a:ext uri="{FF2B5EF4-FFF2-40B4-BE49-F238E27FC236}">
              <a16:creationId xmlns:a16="http://schemas.microsoft.com/office/drawing/2014/main" id="{7D06B573-8F21-4619-AD5F-64700895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5" name="Picture 334" descr="https://mail.google.com/mail/u/0/images/cleardot.gif">
          <a:extLst>
            <a:ext uri="{FF2B5EF4-FFF2-40B4-BE49-F238E27FC236}">
              <a16:creationId xmlns:a16="http://schemas.microsoft.com/office/drawing/2014/main" id="{3CFD6058-07DE-4EBB-8007-4938668BD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6" name="Picture 335" descr="https://mail.google.com/mail/u/0/images/cleardot.gif">
          <a:extLst>
            <a:ext uri="{FF2B5EF4-FFF2-40B4-BE49-F238E27FC236}">
              <a16:creationId xmlns:a16="http://schemas.microsoft.com/office/drawing/2014/main" id="{264DFC63-D402-42E2-A608-0BE18D5F6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7" name="Picture 336" descr="https://mail.google.com/mail/u/0/images/cleardot.gif">
          <a:extLst>
            <a:ext uri="{FF2B5EF4-FFF2-40B4-BE49-F238E27FC236}">
              <a16:creationId xmlns:a16="http://schemas.microsoft.com/office/drawing/2014/main" id="{1EA0588A-BD74-49C2-B15B-1F1DA9D5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8" name="Picture 337" descr="https://mail.google.com/mail/u/0/images/cleardot.gif">
          <a:extLst>
            <a:ext uri="{FF2B5EF4-FFF2-40B4-BE49-F238E27FC236}">
              <a16:creationId xmlns:a16="http://schemas.microsoft.com/office/drawing/2014/main" id="{E508357B-CC80-41FE-9680-39B3EADA8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39" name="Picture 338" descr="https://mail.google.com/mail/u/0/images/cleardot.gif">
          <a:extLst>
            <a:ext uri="{FF2B5EF4-FFF2-40B4-BE49-F238E27FC236}">
              <a16:creationId xmlns:a16="http://schemas.microsoft.com/office/drawing/2014/main" id="{3C0FA526-3F7A-4F5E-9072-568CF1FF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0" name="Picture 339" descr="https://mail.google.com/mail/u/0/images/cleardot.gif">
          <a:extLst>
            <a:ext uri="{FF2B5EF4-FFF2-40B4-BE49-F238E27FC236}">
              <a16:creationId xmlns:a16="http://schemas.microsoft.com/office/drawing/2014/main" id="{A9FDE2D7-9B31-4AF0-B125-A7B4F9E9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1" name="Picture 340" descr="https://mail.google.com/mail/u/0/images/cleardot.gif">
          <a:extLst>
            <a:ext uri="{FF2B5EF4-FFF2-40B4-BE49-F238E27FC236}">
              <a16:creationId xmlns:a16="http://schemas.microsoft.com/office/drawing/2014/main" id="{5F56B1DB-529E-4042-A59C-3B90140CD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2" name="Picture 341" descr="https://mail.google.com/mail/u/0/images/cleardot.gif">
          <a:extLst>
            <a:ext uri="{FF2B5EF4-FFF2-40B4-BE49-F238E27FC236}">
              <a16:creationId xmlns:a16="http://schemas.microsoft.com/office/drawing/2014/main" id="{89D7A790-B4A7-4E1A-A721-87983C446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3" name="Picture 342" descr="https://mail.google.com/mail/u/0/images/cleardot.gif">
          <a:extLst>
            <a:ext uri="{FF2B5EF4-FFF2-40B4-BE49-F238E27FC236}">
              <a16:creationId xmlns:a16="http://schemas.microsoft.com/office/drawing/2014/main" id="{E46E652C-5A13-4C8D-B036-AD8EAB4F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4" name="Picture 343" descr="https://mail.google.com/mail/u/0/images/cleardot.gif">
          <a:extLst>
            <a:ext uri="{FF2B5EF4-FFF2-40B4-BE49-F238E27FC236}">
              <a16:creationId xmlns:a16="http://schemas.microsoft.com/office/drawing/2014/main" id="{27A296EE-C659-467D-8D4A-2F973C31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5" name="Picture 344" descr="https://mail.google.com/mail/u/0/images/cleardot.gif">
          <a:extLst>
            <a:ext uri="{FF2B5EF4-FFF2-40B4-BE49-F238E27FC236}">
              <a16:creationId xmlns:a16="http://schemas.microsoft.com/office/drawing/2014/main" id="{A3DB6D62-6299-4F74-B00B-2E45C225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6" name="Picture 345" descr="https://mail.google.com/mail/u/0/images/cleardot.gif">
          <a:extLst>
            <a:ext uri="{FF2B5EF4-FFF2-40B4-BE49-F238E27FC236}">
              <a16:creationId xmlns:a16="http://schemas.microsoft.com/office/drawing/2014/main" id="{972F525B-E2CB-4647-87C5-363388B1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7" name="Picture 346" descr="https://mail.google.com/mail/u/0/images/cleardot.gif">
          <a:extLst>
            <a:ext uri="{FF2B5EF4-FFF2-40B4-BE49-F238E27FC236}">
              <a16:creationId xmlns:a16="http://schemas.microsoft.com/office/drawing/2014/main" id="{61B3D40F-086C-477B-984B-0EC4C60E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8" name="Picture 347" descr="https://mail.google.com/mail/u/0/images/cleardot.gif">
          <a:extLst>
            <a:ext uri="{FF2B5EF4-FFF2-40B4-BE49-F238E27FC236}">
              <a16:creationId xmlns:a16="http://schemas.microsoft.com/office/drawing/2014/main" id="{E0DA2953-FCB5-47C2-B9DC-021F8283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49" name="Picture 348" descr="https://mail.google.com/mail/u/0/images/cleardot.gif">
          <a:extLst>
            <a:ext uri="{FF2B5EF4-FFF2-40B4-BE49-F238E27FC236}">
              <a16:creationId xmlns:a16="http://schemas.microsoft.com/office/drawing/2014/main" id="{0B90DCF5-C0D3-4C69-BEAC-B828E4DB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0" name="Picture 349" descr="https://mail.google.com/mail/u/0/images/cleardot.gif">
          <a:extLst>
            <a:ext uri="{FF2B5EF4-FFF2-40B4-BE49-F238E27FC236}">
              <a16:creationId xmlns:a16="http://schemas.microsoft.com/office/drawing/2014/main" id="{DBFAD2D5-00DF-404B-93FF-3198F17AA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1" name="Picture 350" descr="https://mail.google.com/mail/u/0/images/cleardot.gif">
          <a:extLst>
            <a:ext uri="{FF2B5EF4-FFF2-40B4-BE49-F238E27FC236}">
              <a16:creationId xmlns:a16="http://schemas.microsoft.com/office/drawing/2014/main" id="{1477440C-D8F1-4429-999B-F8C9CC300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2" name="Picture 351" descr="https://mail.google.com/mail/u/0/images/cleardot.gif">
          <a:extLst>
            <a:ext uri="{FF2B5EF4-FFF2-40B4-BE49-F238E27FC236}">
              <a16:creationId xmlns:a16="http://schemas.microsoft.com/office/drawing/2014/main" id="{DD45548F-9670-4DB9-9544-C9A42AD8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3" name="Picture 352" descr="https://mail.google.com/mail/u/0/images/cleardot.gif">
          <a:extLst>
            <a:ext uri="{FF2B5EF4-FFF2-40B4-BE49-F238E27FC236}">
              <a16:creationId xmlns:a16="http://schemas.microsoft.com/office/drawing/2014/main" id="{9DAD78D1-ABC9-4851-A201-7BA7935C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4" name="Picture 353" descr="https://mail.google.com/mail/u/0/images/cleardot.gif">
          <a:extLst>
            <a:ext uri="{FF2B5EF4-FFF2-40B4-BE49-F238E27FC236}">
              <a16:creationId xmlns:a16="http://schemas.microsoft.com/office/drawing/2014/main" id="{0724D6AD-FF53-4D48-99CD-852BA335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5" name="Picture 354" descr="https://mail.google.com/mail/u/0/images/cleardot.gif">
          <a:extLst>
            <a:ext uri="{FF2B5EF4-FFF2-40B4-BE49-F238E27FC236}">
              <a16:creationId xmlns:a16="http://schemas.microsoft.com/office/drawing/2014/main" id="{38D3F99C-2A5B-46D4-9F0E-46614BDB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6" name="Picture 355" descr="https://mail.google.com/mail/u/0/images/cleardot.gif">
          <a:extLst>
            <a:ext uri="{FF2B5EF4-FFF2-40B4-BE49-F238E27FC236}">
              <a16:creationId xmlns:a16="http://schemas.microsoft.com/office/drawing/2014/main" id="{4527F27C-B75C-44B9-B755-7FF9E62AF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7" name="Picture 356" descr="https://mail.google.com/mail/u/0/images/cleardot.gif">
          <a:extLst>
            <a:ext uri="{FF2B5EF4-FFF2-40B4-BE49-F238E27FC236}">
              <a16:creationId xmlns:a16="http://schemas.microsoft.com/office/drawing/2014/main" id="{62627FD7-B2C9-491F-9178-5B0CAB393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8" name="Picture 357" descr="https://mail.google.com/mail/u/0/images/cleardot.gif">
          <a:extLst>
            <a:ext uri="{FF2B5EF4-FFF2-40B4-BE49-F238E27FC236}">
              <a16:creationId xmlns:a16="http://schemas.microsoft.com/office/drawing/2014/main" id="{4B35D5A5-4E82-41A8-99A0-A87693EF7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59" name="Picture 358" descr="https://mail.google.com/mail/u/0/images/cleardot.gif">
          <a:extLst>
            <a:ext uri="{FF2B5EF4-FFF2-40B4-BE49-F238E27FC236}">
              <a16:creationId xmlns:a16="http://schemas.microsoft.com/office/drawing/2014/main" id="{C6DBB704-B121-48AD-A145-E26A4EBBB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0" name="Picture 359" descr="https://mail.google.com/mail/u/0/images/cleardot.gif">
          <a:extLst>
            <a:ext uri="{FF2B5EF4-FFF2-40B4-BE49-F238E27FC236}">
              <a16:creationId xmlns:a16="http://schemas.microsoft.com/office/drawing/2014/main" id="{6CCFC9F8-9E5B-4D08-9392-60AD70D1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1" name="Picture 360" descr="https://mail.google.com/mail/u/0/images/cleardot.gif">
          <a:extLst>
            <a:ext uri="{FF2B5EF4-FFF2-40B4-BE49-F238E27FC236}">
              <a16:creationId xmlns:a16="http://schemas.microsoft.com/office/drawing/2014/main" id="{7B62E044-47FD-4167-818B-F3B5EA6D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2" name="Picture 361" descr="https://mail.google.com/mail/u/0/images/cleardot.gif">
          <a:extLst>
            <a:ext uri="{FF2B5EF4-FFF2-40B4-BE49-F238E27FC236}">
              <a16:creationId xmlns:a16="http://schemas.microsoft.com/office/drawing/2014/main" id="{9B1A2CAA-26C4-47D3-9DDA-BA8A1658D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3" name="Picture 362" descr="https://mail.google.com/mail/u/0/images/cleardot.gif">
          <a:extLst>
            <a:ext uri="{FF2B5EF4-FFF2-40B4-BE49-F238E27FC236}">
              <a16:creationId xmlns:a16="http://schemas.microsoft.com/office/drawing/2014/main" id="{9ADA4C84-576A-41A1-88C0-F3597C42C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4" name="Picture 363" descr="https://mail.google.com/mail/u/0/images/cleardot.gif">
          <a:extLst>
            <a:ext uri="{FF2B5EF4-FFF2-40B4-BE49-F238E27FC236}">
              <a16:creationId xmlns:a16="http://schemas.microsoft.com/office/drawing/2014/main" id="{9A27B35E-2A9D-4F55-AD28-D7CCDE840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5" name="Picture 364" descr="https://mail.google.com/mail/u/0/images/cleardot.gif">
          <a:extLst>
            <a:ext uri="{FF2B5EF4-FFF2-40B4-BE49-F238E27FC236}">
              <a16:creationId xmlns:a16="http://schemas.microsoft.com/office/drawing/2014/main" id="{5FCA6053-95BE-4075-BB86-6195F57E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6" name="Picture 365" descr="https://mail.google.com/mail/u/0/images/cleardot.gif">
          <a:extLst>
            <a:ext uri="{FF2B5EF4-FFF2-40B4-BE49-F238E27FC236}">
              <a16:creationId xmlns:a16="http://schemas.microsoft.com/office/drawing/2014/main" id="{3A1CD8CB-7F3F-46CE-90E4-746F2B77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7" name="Picture 366" descr="https://mail.google.com/mail/u/0/images/cleardot.gif">
          <a:extLst>
            <a:ext uri="{FF2B5EF4-FFF2-40B4-BE49-F238E27FC236}">
              <a16:creationId xmlns:a16="http://schemas.microsoft.com/office/drawing/2014/main" id="{51CA9C01-DD8E-4B6E-8E10-A4448443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8" name="Picture 367" descr="https://mail.google.com/mail/u/0/images/cleardot.gif">
          <a:extLst>
            <a:ext uri="{FF2B5EF4-FFF2-40B4-BE49-F238E27FC236}">
              <a16:creationId xmlns:a16="http://schemas.microsoft.com/office/drawing/2014/main" id="{A17F045E-4572-4EF3-ACA6-DE64D34A7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69" name="Picture 368" descr="https://mail.google.com/mail/u/0/images/cleardot.gif">
          <a:extLst>
            <a:ext uri="{FF2B5EF4-FFF2-40B4-BE49-F238E27FC236}">
              <a16:creationId xmlns:a16="http://schemas.microsoft.com/office/drawing/2014/main" id="{3475F106-5EF1-42E2-95A6-FA7DFFC07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0" name="Picture 369" descr="https://mail.google.com/mail/u/0/images/cleardot.gif">
          <a:extLst>
            <a:ext uri="{FF2B5EF4-FFF2-40B4-BE49-F238E27FC236}">
              <a16:creationId xmlns:a16="http://schemas.microsoft.com/office/drawing/2014/main" id="{F5B30550-D36F-4885-A976-29C4F9A0E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1" name="Picture 370" descr="https://mail.google.com/mail/u/0/images/cleardot.gif">
          <a:extLst>
            <a:ext uri="{FF2B5EF4-FFF2-40B4-BE49-F238E27FC236}">
              <a16:creationId xmlns:a16="http://schemas.microsoft.com/office/drawing/2014/main" id="{0130BF73-B6D8-477F-AD8D-1AE2A77E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2" name="Picture 371" descr="https://mail.google.com/mail/u/0/images/cleardot.gif">
          <a:extLst>
            <a:ext uri="{FF2B5EF4-FFF2-40B4-BE49-F238E27FC236}">
              <a16:creationId xmlns:a16="http://schemas.microsoft.com/office/drawing/2014/main" id="{FEEFD6E2-6278-4AF8-81C6-354BFE4FB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3" name="Picture 372" descr="https://mail.google.com/mail/u/0/images/cleardot.gif">
          <a:extLst>
            <a:ext uri="{FF2B5EF4-FFF2-40B4-BE49-F238E27FC236}">
              <a16:creationId xmlns:a16="http://schemas.microsoft.com/office/drawing/2014/main" id="{3C274CF6-F578-4F1A-8D3F-F49B0A605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4" name="Picture 373" descr="https://mail.google.com/mail/u/0/images/cleardot.gif">
          <a:extLst>
            <a:ext uri="{FF2B5EF4-FFF2-40B4-BE49-F238E27FC236}">
              <a16:creationId xmlns:a16="http://schemas.microsoft.com/office/drawing/2014/main" id="{7D568729-95DD-402A-A59A-3A9E0E9C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5" name="Picture 374" descr="https://mail.google.com/mail/u/0/images/cleardot.gif">
          <a:extLst>
            <a:ext uri="{FF2B5EF4-FFF2-40B4-BE49-F238E27FC236}">
              <a16:creationId xmlns:a16="http://schemas.microsoft.com/office/drawing/2014/main" id="{226927AF-C2A3-48DB-A04C-91C70861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6" name="Picture 375" descr="https://mail.google.com/mail/u/0/images/cleardot.gif">
          <a:extLst>
            <a:ext uri="{FF2B5EF4-FFF2-40B4-BE49-F238E27FC236}">
              <a16:creationId xmlns:a16="http://schemas.microsoft.com/office/drawing/2014/main" id="{9792EB3D-4216-4CBF-8034-CF387FE6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7" name="Picture 376" descr="https://mail.google.com/mail/u/0/images/cleardot.gif">
          <a:extLst>
            <a:ext uri="{FF2B5EF4-FFF2-40B4-BE49-F238E27FC236}">
              <a16:creationId xmlns:a16="http://schemas.microsoft.com/office/drawing/2014/main" id="{90B8E6C5-EF95-4E63-95E9-126B3C68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8" name="Picture 377" descr="https://mail.google.com/mail/u/0/images/cleardot.gif">
          <a:extLst>
            <a:ext uri="{FF2B5EF4-FFF2-40B4-BE49-F238E27FC236}">
              <a16:creationId xmlns:a16="http://schemas.microsoft.com/office/drawing/2014/main" id="{9EE7CEC0-B9CB-48EC-8F0D-A4C5F03F9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79" name="Picture 378" descr="https://mail.google.com/mail/u/0/images/cleardot.gif">
          <a:extLst>
            <a:ext uri="{FF2B5EF4-FFF2-40B4-BE49-F238E27FC236}">
              <a16:creationId xmlns:a16="http://schemas.microsoft.com/office/drawing/2014/main" id="{B8149F17-B311-4473-ABAF-149BA132D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0" name="Picture 379" descr="https://mail.google.com/mail/u/0/images/cleardot.gif">
          <a:extLst>
            <a:ext uri="{FF2B5EF4-FFF2-40B4-BE49-F238E27FC236}">
              <a16:creationId xmlns:a16="http://schemas.microsoft.com/office/drawing/2014/main" id="{30AFC39C-66F5-4B0B-BA1F-BFF2F317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1" name="Picture 380" descr="https://mail.google.com/mail/u/0/images/cleardot.gif">
          <a:extLst>
            <a:ext uri="{FF2B5EF4-FFF2-40B4-BE49-F238E27FC236}">
              <a16:creationId xmlns:a16="http://schemas.microsoft.com/office/drawing/2014/main" id="{356AB656-8082-4FD6-B89E-A42F7DB0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2" name="Picture 381" descr="https://mail.google.com/mail/u/0/images/cleardot.gif">
          <a:extLst>
            <a:ext uri="{FF2B5EF4-FFF2-40B4-BE49-F238E27FC236}">
              <a16:creationId xmlns:a16="http://schemas.microsoft.com/office/drawing/2014/main" id="{5FE6C493-5DFB-4C15-8735-0561B17FE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3" name="Picture 382" descr="https://mail.google.com/mail/u/0/images/cleardot.gif">
          <a:extLst>
            <a:ext uri="{FF2B5EF4-FFF2-40B4-BE49-F238E27FC236}">
              <a16:creationId xmlns:a16="http://schemas.microsoft.com/office/drawing/2014/main" id="{DCE8AB91-70CF-4EE7-856A-C6F7CA51B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4" name="Picture 383" descr="https://mail.google.com/mail/u/0/images/cleardot.gif">
          <a:extLst>
            <a:ext uri="{FF2B5EF4-FFF2-40B4-BE49-F238E27FC236}">
              <a16:creationId xmlns:a16="http://schemas.microsoft.com/office/drawing/2014/main" id="{8BC706BE-2463-451C-A37F-01C7C6A9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5" name="Picture 384" descr="https://mail.google.com/mail/u/0/images/cleardot.gif">
          <a:extLst>
            <a:ext uri="{FF2B5EF4-FFF2-40B4-BE49-F238E27FC236}">
              <a16:creationId xmlns:a16="http://schemas.microsoft.com/office/drawing/2014/main" id="{F84A4504-97D3-41C8-8D24-BE0425FC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6" name="Picture 385" descr="https://mail.google.com/mail/u/0/images/cleardot.gif">
          <a:extLst>
            <a:ext uri="{FF2B5EF4-FFF2-40B4-BE49-F238E27FC236}">
              <a16:creationId xmlns:a16="http://schemas.microsoft.com/office/drawing/2014/main" id="{3E8671A5-DBA5-47AE-900E-B1594073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7" name="Picture 386" descr="https://mail.google.com/mail/u/0/images/cleardot.gif">
          <a:extLst>
            <a:ext uri="{FF2B5EF4-FFF2-40B4-BE49-F238E27FC236}">
              <a16:creationId xmlns:a16="http://schemas.microsoft.com/office/drawing/2014/main" id="{949639AA-8A68-43AD-8116-5B8607CA5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8" name="Picture 387" descr="https://mail.google.com/mail/u/0/images/cleardot.gif">
          <a:extLst>
            <a:ext uri="{FF2B5EF4-FFF2-40B4-BE49-F238E27FC236}">
              <a16:creationId xmlns:a16="http://schemas.microsoft.com/office/drawing/2014/main" id="{41440652-3F40-4BB2-A83A-71096F74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89" name="Picture 388" descr="https://mail.google.com/mail/u/0/images/cleardot.gif">
          <a:extLst>
            <a:ext uri="{FF2B5EF4-FFF2-40B4-BE49-F238E27FC236}">
              <a16:creationId xmlns:a16="http://schemas.microsoft.com/office/drawing/2014/main" id="{AE9C1FDA-DEF1-4FD2-BEF6-65F9AF11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0" name="Picture 389" descr="https://mail.google.com/mail/u/0/images/cleardot.gif">
          <a:extLst>
            <a:ext uri="{FF2B5EF4-FFF2-40B4-BE49-F238E27FC236}">
              <a16:creationId xmlns:a16="http://schemas.microsoft.com/office/drawing/2014/main" id="{25A87DFC-27C9-4270-A4C7-DC90F13C0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1" name="Picture 390" descr="https://mail.google.com/mail/u/0/images/cleardot.gif">
          <a:extLst>
            <a:ext uri="{FF2B5EF4-FFF2-40B4-BE49-F238E27FC236}">
              <a16:creationId xmlns:a16="http://schemas.microsoft.com/office/drawing/2014/main" id="{0C80108F-0771-4715-876D-176CE2054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2" name="Picture 391" descr="https://mail.google.com/mail/u/0/images/cleardot.gif">
          <a:extLst>
            <a:ext uri="{FF2B5EF4-FFF2-40B4-BE49-F238E27FC236}">
              <a16:creationId xmlns:a16="http://schemas.microsoft.com/office/drawing/2014/main" id="{AB7CE9E1-5E30-4AF5-BFA0-9837C8BC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3" name="Picture 392" descr="https://mail.google.com/mail/u/0/images/cleardot.gif">
          <a:extLst>
            <a:ext uri="{FF2B5EF4-FFF2-40B4-BE49-F238E27FC236}">
              <a16:creationId xmlns:a16="http://schemas.microsoft.com/office/drawing/2014/main" id="{39290006-F591-4C95-A882-257752F3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4" name="Picture 393" descr="https://mail.google.com/mail/u/0/images/cleardot.gif">
          <a:extLst>
            <a:ext uri="{FF2B5EF4-FFF2-40B4-BE49-F238E27FC236}">
              <a16:creationId xmlns:a16="http://schemas.microsoft.com/office/drawing/2014/main" id="{A6DBB57A-6E56-466D-8AC7-0380AE1FE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5" name="Picture 394" descr="https://mail.google.com/mail/u/0/images/cleardot.gif">
          <a:extLst>
            <a:ext uri="{FF2B5EF4-FFF2-40B4-BE49-F238E27FC236}">
              <a16:creationId xmlns:a16="http://schemas.microsoft.com/office/drawing/2014/main" id="{09EDAACA-89BA-4715-A1F2-B30900C82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6" name="Picture 395" descr="https://mail.google.com/mail/u/0/images/cleardot.gif">
          <a:extLst>
            <a:ext uri="{FF2B5EF4-FFF2-40B4-BE49-F238E27FC236}">
              <a16:creationId xmlns:a16="http://schemas.microsoft.com/office/drawing/2014/main" id="{87921A8B-F785-4B86-9F24-F50DD4CFB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7" name="Picture 396" descr="https://mail.google.com/mail/u/0/images/cleardot.gif">
          <a:extLst>
            <a:ext uri="{FF2B5EF4-FFF2-40B4-BE49-F238E27FC236}">
              <a16:creationId xmlns:a16="http://schemas.microsoft.com/office/drawing/2014/main" id="{0132041E-CB8C-4F13-B744-2199F7FB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8" name="Picture 397" descr="https://mail.google.com/mail/u/0/images/cleardot.gif">
          <a:extLst>
            <a:ext uri="{FF2B5EF4-FFF2-40B4-BE49-F238E27FC236}">
              <a16:creationId xmlns:a16="http://schemas.microsoft.com/office/drawing/2014/main" id="{A32C3CD7-5288-4D5E-B5C1-7A080D058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399" name="Picture 398" descr="https://mail.google.com/mail/u/0/images/cleardot.gif">
          <a:extLst>
            <a:ext uri="{FF2B5EF4-FFF2-40B4-BE49-F238E27FC236}">
              <a16:creationId xmlns:a16="http://schemas.microsoft.com/office/drawing/2014/main" id="{4B766C17-CF8C-46C7-8429-23966AE0B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0" name="Picture 399" descr="https://mail.google.com/mail/u/0/images/cleardot.gif">
          <a:extLst>
            <a:ext uri="{FF2B5EF4-FFF2-40B4-BE49-F238E27FC236}">
              <a16:creationId xmlns:a16="http://schemas.microsoft.com/office/drawing/2014/main" id="{36E916A1-D750-4247-8F4E-1054FC71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1" name="Picture 400" descr="https://mail.google.com/mail/u/0/images/cleardot.gif">
          <a:extLst>
            <a:ext uri="{FF2B5EF4-FFF2-40B4-BE49-F238E27FC236}">
              <a16:creationId xmlns:a16="http://schemas.microsoft.com/office/drawing/2014/main" id="{1C7D70A5-6756-44F8-A1F2-4FA10123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2" name="Picture 401" descr="https://mail.google.com/mail/u/0/images/cleardot.gif">
          <a:extLst>
            <a:ext uri="{FF2B5EF4-FFF2-40B4-BE49-F238E27FC236}">
              <a16:creationId xmlns:a16="http://schemas.microsoft.com/office/drawing/2014/main" id="{8EB3B472-F56D-4E1C-AF9F-0AC397BE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3" name="Picture 402" descr="https://mail.google.com/mail/u/0/images/cleardot.gif">
          <a:extLst>
            <a:ext uri="{FF2B5EF4-FFF2-40B4-BE49-F238E27FC236}">
              <a16:creationId xmlns:a16="http://schemas.microsoft.com/office/drawing/2014/main" id="{D2A13B63-95BD-4423-96F5-62DDA03B2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4" name="Picture 403" descr="https://mail.google.com/mail/u/0/images/cleardot.gif">
          <a:extLst>
            <a:ext uri="{FF2B5EF4-FFF2-40B4-BE49-F238E27FC236}">
              <a16:creationId xmlns:a16="http://schemas.microsoft.com/office/drawing/2014/main" id="{53D064AF-E3AC-4F58-AF0B-6CD39B64C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5" name="Picture 404" descr="https://mail.google.com/mail/u/0/images/cleardot.gif">
          <a:extLst>
            <a:ext uri="{FF2B5EF4-FFF2-40B4-BE49-F238E27FC236}">
              <a16:creationId xmlns:a16="http://schemas.microsoft.com/office/drawing/2014/main" id="{5E1F554F-2D67-4425-92D7-AA25051A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6" name="Picture 405" descr="https://mail.google.com/mail/u/0/images/cleardot.gif">
          <a:extLst>
            <a:ext uri="{FF2B5EF4-FFF2-40B4-BE49-F238E27FC236}">
              <a16:creationId xmlns:a16="http://schemas.microsoft.com/office/drawing/2014/main" id="{4FC53F47-BA76-40A1-931B-5085B2E9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7" name="Picture 406" descr="https://mail.google.com/mail/u/0/images/cleardot.gif">
          <a:extLst>
            <a:ext uri="{FF2B5EF4-FFF2-40B4-BE49-F238E27FC236}">
              <a16:creationId xmlns:a16="http://schemas.microsoft.com/office/drawing/2014/main" id="{159669CA-762D-498D-88CF-43D8EE2E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8" name="Picture 407" descr="https://mail.google.com/mail/u/0/images/cleardot.gif">
          <a:extLst>
            <a:ext uri="{FF2B5EF4-FFF2-40B4-BE49-F238E27FC236}">
              <a16:creationId xmlns:a16="http://schemas.microsoft.com/office/drawing/2014/main" id="{E9630A54-F1B4-480D-8D18-CE6CAFCD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09" name="Picture 408" descr="https://mail.google.com/mail/u/0/images/cleardot.gif">
          <a:extLst>
            <a:ext uri="{FF2B5EF4-FFF2-40B4-BE49-F238E27FC236}">
              <a16:creationId xmlns:a16="http://schemas.microsoft.com/office/drawing/2014/main" id="{871D41CE-8E80-4BFC-931E-AFBEA08E5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0" name="Picture 409" descr="https://mail.google.com/mail/u/0/images/cleardot.gif">
          <a:extLst>
            <a:ext uri="{FF2B5EF4-FFF2-40B4-BE49-F238E27FC236}">
              <a16:creationId xmlns:a16="http://schemas.microsoft.com/office/drawing/2014/main" id="{D9DB172D-E85C-4D1F-BAA8-34E97316E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1" name="Picture 410" descr="https://mail.google.com/mail/u/0/images/cleardot.gif">
          <a:extLst>
            <a:ext uri="{FF2B5EF4-FFF2-40B4-BE49-F238E27FC236}">
              <a16:creationId xmlns:a16="http://schemas.microsoft.com/office/drawing/2014/main" id="{F0500C00-9C2C-45B6-90D9-3B575B0DD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2" name="Picture 411" descr="https://mail.google.com/mail/u/0/images/cleardot.gif">
          <a:extLst>
            <a:ext uri="{FF2B5EF4-FFF2-40B4-BE49-F238E27FC236}">
              <a16:creationId xmlns:a16="http://schemas.microsoft.com/office/drawing/2014/main" id="{B08204A8-FF9D-45A2-BCA3-E12E0070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3" name="Picture 412" descr="https://mail.google.com/mail/u/0/images/cleardot.gif">
          <a:extLst>
            <a:ext uri="{FF2B5EF4-FFF2-40B4-BE49-F238E27FC236}">
              <a16:creationId xmlns:a16="http://schemas.microsoft.com/office/drawing/2014/main" id="{EFF987E9-1141-4DFD-8B04-D849ACBC1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4" name="Picture 413" descr="https://mail.google.com/mail/u/0/images/cleardot.gif">
          <a:extLst>
            <a:ext uri="{FF2B5EF4-FFF2-40B4-BE49-F238E27FC236}">
              <a16:creationId xmlns:a16="http://schemas.microsoft.com/office/drawing/2014/main" id="{2EB1C697-09A1-4F26-AFE4-D24F8967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5" name="Picture 414" descr="https://mail.google.com/mail/u/0/images/cleardot.gif">
          <a:extLst>
            <a:ext uri="{FF2B5EF4-FFF2-40B4-BE49-F238E27FC236}">
              <a16:creationId xmlns:a16="http://schemas.microsoft.com/office/drawing/2014/main" id="{28483E0D-8ED2-4E61-9759-221E8A90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6" name="Picture 415" descr="https://mail.google.com/mail/u/0/images/cleardot.gif">
          <a:extLst>
            <a:ext uri="{FF2B5EF4-FFF2-40B4-BE49-F238E27FC236}">
              <a16:creationId xmlns:a16="http://schemas.microsoft.com/office/drawing/2014/main" id="{6D6B073E-1AAD-4F40-9CDC-F76854254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7" name="Picture 416" descr="https://mail.google.com/mail/u/0/images/cleardot.gif">
          <a:extLst>
            <a:ext uri="{FF2B5EF4-FFF2-40B4-BE49-F238E27FC236}">
              <a16:creationId xmlns:a16="http://schemas.microsoft.com/office/drawing/2014/main" id="{088947C4-814C-4218-A822-8F184829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8" name="Picture 417" descr="https://mail.google.com/mail/u/0/images/cleardot.gif">
          <a:extLst>
            <a:ext uri="{FF2B5EF4-FFF2-40B4-BE49-F238E27FC236}">
              <a16:creationId xmlns:a16="http://schemas.microsoft.com/office/drawing/2014/main" id="{ECA933FB-2363-434B-964C-E0A90AFCF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19" name="Picture 418" descr="https://mail.google.com/mail/u/0/images/cleardot.gif">
          <a:extLst>
            <a:ext uri="{FF2B5EF4-FFF2-40B4-BE49-F238E27FC236}">
              <a16:creationId xmlns:a16="http://schemas.microsoft.com/office/drawing/2014/main" id="{C84F4486-5C61-4BB1-9A5A-FA0310182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0" name="Picture 419" descr="https://mail.google.com/mail/u/0/images/cleardot.gif">
          <a:extLst>
            <a:ext uri="{FF2B5EF4-FFF2-40B4-BE49-F238E27FC236}">
              <a16:creationId xmlns:a16="http://schemas.microsoft.com/office/drawing/2014/main" id="{3C558D27-5C7F-4974-801C-83E6B055C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1" name="Picture 420" descr="https://mail.google.com/mail/u/0/images/cleardot.gif">
          <a:extLst>
            <a:ext uri="{FF2B5EF4-FFF2-40B4-BE49-F238E27FC236}">
              <a16:creationId xmlns:a16="http://schemas.microsoft.com/office/drawing/2014/main" id="{82CA77EA-B1C9-442F-BF42-038B831E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2" name="Picture 421" descr="https://mail.google.com/mail/u/0/images/cleardot.gif">
          <a:extLst>
            <a:ext uri="{FF2B5EF4-FFF2-40B4-BE49-F238E27FC236}">
              <a16:creationId xmlns:a16="http://schemas.microsoft.com/office/drawing/2014/main" id="{A38ADA29-A38B-4913-87A2-50CF9D8BA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3" name="Picture 422" descr="https://mail.google.com/mail/u/0/images/cleardot.gif">
          <a:extLst>
            <a:ext uri="{FF2B5EF4-FFF2-40B4-BE49-F238E27FC236}">
              <a16:creationId xmlns:a16="http://schemas.microsoft.com/office/drawing/2014/main" id="{CA4FBF32-18DF-4FB8-8D93-37C5F3E1F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4" name="Picture 423" descr="https://mail.google.com/mail/u/0/images/cleardot.gif">
          <a:extLst>
            <a:ext uri="{FF2B5EF4-FFF2-40B4-BE49-F238E27FC236}">
              <a16:creationId xmlns:a16="http://schemas.microsoft.com/office/drawing/2014/main" id="{520130CF-0D12-466E-9D10-AB672C41C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5" name="Picture 424" descr="https://mail.google.com/mail/u/0/images/cleardot.gif">
          <a:extLst>
            <a:ext uri="{FF2B5EF4-FFF2-40B4-BE49-F238E27FC236}">
              <a16:creationId xmlns:a16="http://schemas.microsoft.com/office/drawing/2014/main" id="{F1863594-C619-4325-B534-9C85B299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6" name="Picture 425" descr="https://mail.google.com/mail/u/0/images/cleardot.gif">
          <a:extLst>
            <a:ext uri="{FF2B5EF4-FFF2-40B4-BE49-F238E27FC236}">
              <a16:creationId xmlns:a16="http://schemas.microsoft.com/office/drawing/2014/main" id="{B1769666-90AE-472A-BD57-3C0A08D0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7" name="Picture 426" descr="https://mail.google.com/mail/u/0/images/cleardot.gif">
          <a:extLst>
            <a:ext uri="{FF2B5EF4-FFF2-40B4-BE49-F238E27FC236}">
              <a16:creationId xmlns:a16="http://schemas.microsoft.com/office/drawing/2014/main" id="{AED804CA-1915-40D4-9DF7-8D89AC7E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8" name="Picture 427" descr="https://mail.google.com/mail/u/0/images/cleardot.gif">
          <a:extLst>
            <a:ext uri="{FF2B5EF4-FFF2-40B4-BE49-F238E27FC236}">
              <a16:creationId xmlns:a16="http://schemas.microsoft.com/office/drawing/2014/main" id="{C94A307B-F3AF-48E5-BE74-585FB302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29" name="Picture 428" descr="https://mail.google.com/mail/u/0/images/cleardot.gif">
          <a:extLst>
            <a:ext uri="{FF2B5EF4-FFF2-40B4-BE49-F238E27FC236}">
              <a16:creationId xmlns:a16="http://schemas.microsoft.com/office/drawing/2014/main" id="{6A427C3E-4EE4-4796-B776-54860E60A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0" name="Picture 429" descr="https://mail.google.com/mail/u/0/images/cleardot.gif">
          <a:extLst>
            <a:ext uri="{FF2B5EF4-FFF2-40B4-BE49-F238E27FC236}">
              <a16:creationId xmlns:a16="http://schemas.microsoft.com/office/drawing/2014/main" id="{55B3D045-FB71-4B53-B494-66D4CA23B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1" name="Picture 430" descr="https://mail.google.com/mail/u/0/images/cleardot.gif">
          <a:extLst>
            <a:ext uri="{FF2B5EF4-FFF2-40B4-BE49-F238E27FC236}">
              <a16:creationId xmlns:a16="http://schemas.microsoft.com/office/drawing/2014/main" id="{E22B7675-1A36-4C28-9C4E-559040171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2" name="Picture 431" descr="https://mail.google.com/mail/u/0/images/cleardot.gif">
          <a:extLst>
            <a:ext uri="{FF2B5EF4-FFF2-40B4-BE49-F238E27FC236}">
              <a16:creationId xmlns:a16="http://schemas.microsoft.com/office/drawing/2014/main" id="{24B6E36B-88D5-4ACE-B291-E09427985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3" name="Picture 432" descr="https://mail.google.com/mail/u/0/images/cleardot.gif">
          <a:extLst>
            <a:ext uri="{FF2B5EF4-FFF2-40B4-BE49-F238E27FC236}">
              <a16:creationId xmlns:a16="http://schemas.microsoft.com/office/drawing/2014/main" id="{9C3DF3AF-3554-4E1A-9215-70F871C2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4" name="Picture 433" descr="https://mail.google.com/mail/u/0/images/cleardot.gif">
          <a:extLst>
            <a:ext uri="{FF2B5EF4-FFF2-40B4-BE49-F238E27FC236}">
              <a16:creationId xmlns:a16="http://schemas.microsoft.com/office/drawing/2014/main" id="{9C919D3D-9FD9-4499-A256-81D139E5E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5" name="Picture 434" descr="https://mail.google.com/mail/u/0/images/cleardot.gif">
          <a:extLst>
            <a:ext uri="{FF2B5EF4-FFF2-40B4-BE49-F238E27FC236}">
              <a16:creationId xmlns:a16="http://schemas.microsoft.com/office/drawing/2014/main" id="{1D958BC5-EAFD-4E17-B5DA-FB04BEB4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6" name="Picture 435" descr="https://mail.google.com/mail/u/0/images/cleardot.gif">
          <a:extLst>
            <a:ext uri="{FF2B5EF4-FFF2-40B4-BE49-F238E27FC236}">
              <a16:creationId xmlns:a16="http://schemas.microsoft.com/office/drawing/2014/main" id="{BF6F8147-4C38-4C5E-9882-2A43C5C4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7" name="Picture 436" descr="https://mail.google.com/mail/u/0/images/cleardot.gif">
          <a:extLst>
            <a:ext uri="{FF2B5EF4-FFF2-40B4-BE49-F238E27FC236}">
              <a16:creationId xmlns:a16="http://schemas.microsoft.com/office/drawing/2014/main" id="{475FB136-FAA1-4518-B23F-37A3D790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8" name="Picture 437" descr="https://mail.google.com/mail/u/0/images/cleardot.gif">
          <a:extLst>
            <a:ext uri="{FF2B5EF4-FFF2-40B4-BE49-F238E27FC236}">
              <a16:creationId xmlns:a16="http://schemas.microsoft.com/office/drawing/2014/main" id="{34E18D48-9043-4459-96A8-7898D252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39" name="Picture 438" descr="https://mail.google.com/mail/u/0/images/cleardot.gif">
          <a:extLst>
            <a:ext uri="{FF2B5EF4-FFF2-40B4-BE49-F238E27FC236}">
              <a16:creationId xmlns:a16="http://schemas.microsoft.com/office/drawing/2014/main" id="{3C8F3B1D-122A-444F-9202-8C943EF9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0" name="Picture 439" descr="https://mail.google.com/mail/u/0/images/cleardot.gif">
          <a:extLst>
            <a:ext uri="{FF2B5EF4-FFF2-40B4-BE49-F238E27FC236}">
              <a16:creationId xmlns:a16="http://schemas.microsoft.com/office/drawing/2014/main" id="{4DCA99A6-013C-4470-83E2-9C7A0274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1" name="Picture 440" descr="https://mail.google.com/mail/u/0/images/cleardot.gif">
          <a:extLst>
            <a:ext uri="{FF2B5EF4-FFF2-40B4-BE49-F238E27FC236}">
              <a16:creationId xmlns:a16="http://schemas.microsoft.com/office/drawing/2014/main" id="{956B7750-78EE-4A11-BA47-B11ECE79B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2" name="Picture 441" descr="https://mail.google.com/mail/u/0/images/cleardot.gif">
          <a:extLst>
            <a:ext uri="{FF2B5EF4-FFF2-40B4-BE49-F238E27FC236}">
              <a16:creationId xmlns:a16="http://schemas.microsoft.com/office/drawing/2014/main" id="{D7C49E04-8B81-4B67-8E94-034881A0D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3" name="Picture 442" descr="https://mail.google.com/mail/u/0/images/cleardot.gif">
          <a:extLst>
            <a:ext uri="{FF2B5EF4-FFF2-40B4-BE49-F238E27FC236}">
              <a16:creationId xmlns:a16="http://schemas.microsoft.com/office/drawing/2014/main" id="{86835864-D2E1-4B1B-8C4E-78459635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4" name="Picture 443" descr="https://mail.google.com/mail/u/0/images/cleardot.gif">
          <a:extLst>
            <a:ext uri="{FF2B5EF4-FFF2-40B4-BE49-F238E27FC236}">
              <a16:creationId xmlns:a16="http://schemas.microsoft.com/office/drawing/2014/main" id="{89706828-5490-4BA3-99E6-8B7750621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5" name="Picture 444" descr="https://mail.google.com/mail/u/0/images/cleardot.gif">
          <a:extLst>
            <a:ext uri="{FF2B5EF4-FFF2-40B4-BE49-F238E27FC236}">
              <a16:creationId xmlns:a16="http://schemas.microsoft.com/office/drawing/2014/main" id="{DCF11964-05E8-4BCF-91AF-D469EAFE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6" name="Picture 445" descr="https://mail.google.com/mail/u/0/images/cleardot.gif">
          <a:extLst>
            <a:ext uri="{FF2B5EF4-FFF2-40B4-BE49-F238E27FC236}">
              <a16:creationId xmlns:a16="http://schemas.microsoft.com/office/drawing/2014/main" id="{8028E52D-41C6-45D0-9A74-69F5B965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7" name="Picture 446" descr="https://mail.google.com/mail/u/0/images/cleardot.gif">
          <a:extLst>
            <a:ext uri="{FF2B5EF4-FFF2-40B4-BE49-F238E27FC236}">
              <a16:creationId xmlns:a16="http://schemas.microsoft.com/office/drawing/2014/main" id="{5EC1377F-3BED-4124-804C-24A10A609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8" name="Picture 447" descr="https://mail.google.com/mail/u/0/images/cleardot.gif">
          <a:extLst>
            <a:ext uri="{FF2B5EF4-FFF2-40B4-BE49-F238E27FC236}">
              <a16:creationId xmlns:a16="http://schemas.microsoft.com/office/drawing/2014/main" id="{75AE1907-4F6D-4748-BB77-83F5523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49" name="Picture 448" descr="https://mail.google.com/mail/u/0/images/cleardot.gif">
          <a:extLst>
            <a:ext uri="{FF2B5EF4-FFF2-40B4-BE49-F238E27FC236}">
              <a16:creationId xmlns:a16="http://schemas.microsoft.com/office/drawing/2014/main" id="{5235FFA3-44D3-4A1A-A31C-5697DE547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0" name="Picture 449" descr="https://mail.google.com/mail/u/0/images/cleardot.gif">
          <a:extLst>
            <a:ext uri="{FF2B5EF4-FFF2-40B4-BE49-F238E27FC236}">
              <a16:creationId xmlns:a16="http://schemas.microsoft.com/office/drawing/2014/main" id="{426E8C1F-EA9D-4541-A17A-D8364BF1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1" name="Picture 450" descr="https://mail.google.com/mail/u/0/images/cleardot.gif">
          <a:extLst>
            <a:ext uri="{FF2B5EF4-FFF2-40B4-BE49-F238E27FC236}">
              <a16:creationId xmlns:a16="http://schemas.microsoft.com/office/drawing/2014/main" id="{20566868-9EC3-4768-B57C-484B18206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2" name="Picture 451" descr="https://mail.google.com/mail/u/0/images/cleardot.gif">
          <a:extLst>
            <a:ext uri="{FF2B5EF4-FFF2-40B4-BE49-F238E27FC236}">
              <a16:creationId xmlns:a16="http://schemas.microsoft.com/office/drawing/2014/main" id="{772B3242-23AA-43A4-ACA6-39AB48E01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3" name="Picture 452" descr="https://mail.google.com/mail/u/0/images/cleardot.gif">
          <a:extLst>
            <a:ext uri="{FF2B5EF4-FFF2-40B4-BE49-F238E27FC236}">
              <a16:creationId xmlns:a16="http://schemas.microsoft.com/office/drawing/2014/main" id="{F824C3A0-2A6F-4EA9-8DC1-A7CE8B74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4" name="Picture 453" descr="https://mail.google.com/mail/u/0/images/cleardot.gif">
          <a:extLst>
            <a:ext uri="{FF2B5EF4-FFF2-40B4-BE49-F238E27FC236}">
              <a16:creationId xmlns:a16="http://schemas.microsoft.com/office/drawing/2014/main" id="{2411EAE1-D40E-4790-B5CE-D3A9F024F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5" name="Picture 454" descr="https://mail.google.com/mail/u/0/images/cleardot.gif">
          <a:extLst>
            <a:ext uri="{FF2B5EF4-FFF2-40B4-BE49-F238E27FC236}">
              <a16:creationId xmlns:a16="http://schemas.microsoft.com/office/drawing/2014/main" id="{E15B3E59-DFCD-4920-A6A2-D427A069F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6" name="Picture 455" descr="https://mail.google.com/mail/u/0/images/cleardot.gif">
          <a:extLst>
            <a:ext uri="{FF2B5EF4-FFF2-40B4-BE49-F238E27FC236}">
              <a16:creationId xmlns:a16="http://schemas.microsoft.com/office/drawing/2014/main" id="{152C1A02-2791-4B01-9ECA-40FAD4B36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7" name="Picture 456" descr="https://mail.google.com/mail/u/0/images/cleardot.gif">
          <a:extLst>
            <a:ext uri="{FF2B5EF4-FFF2-40B4-BE49-F238E27FC236}">
              <a16:creationId xmlns:a16="http://schemas.microsoft.com/office/drawing/2014/main" id="{10D5A4B8-3E2C-4420-8C24-031F7429A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8" name="Picture 457" descr="https://mail.google.com/mail/u/0/images/cleardot.gif">
          <a:extLst>
            <a:ext uri="{FF2B5EF4-FFF2-40B4-BE49-F238E27FC236}">
              <a16:creationId xmlns:a16="http://schemas.microsoft.com/office/drawing/2014/main" id="{0602FE96-2034-4605-A44D-16E344F9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59" name="Picture 458" descr="https://mail.google.com/mail/u/0/images/cleardot.gif">
          <a:extLst>
            <a:ext uri="{FF2B5EF4-FFF2-40B4-BE49-F238E27FC236}">
              <a16:creationId xmlns:a16="http://schemas.microsoft.com/office/drawing/2014/main" id="{22470A05-8965-4126-8FF8-E6E6A86A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0" name="Picture 459" descr="https://mail.google.com/mail/u/0/images/cleardot.gif">
          <a:extLst>
            <a:ext uri="{FF2B5EF4-FFF2-40B4-BE49-F238E27FC236}">
              <a16:creationId xmlns:a16="http://schemas.microsoft.com/office/drawing/2014/main" id="{8868BB58-950A-4407-8173-337465168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1" name="Picture 460" descr="https://mail.google.com/mail/u/0/images/cleardot.gif">
          <a:extLst>
            <a:ext uri="{FF2B5EF4-FFF2-40B4-BE49-F238E27FC236}">
              <a16:creationId xmlns:a16="http://schemas.microsoft.com/office/drawing/2014/main" id="{4A09C0F0-1791-4C7A-B2A7-90290A09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2" name="Picture 461" descr="https://mail.google.com/mail/u/0/images/cleardot.gif">
          <a:extLst>
            <a:ext uri="{FF2B5EF4-FFF2-40B4-BE49-F238E27FC236}">
              <a16:creationId xmlns:a16="http://schemas.microsoft.com/office/drawing/2014/main" id="{7B303701-E902-4306-9F9E-61885DD73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3" name="Picture 462" descr="https://mail.google.com/mail/u/0/images/cleardot.gif">
          <a:extLst>
            <a:ext uri="{FF2B5EF4-FFF2-40B4-BE49-F238E27FC236}">
              <a16:creationId xmlns:a16="http://schemas.microsoft.com/office/drawing/2014/main" id="{F6429796-ECAA-4015-9877-AC81EB72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4" name="Picture 463" descr="https://mail.google.com/mail/u/0/images/cleardot.gif">
          <a:extLst>
            <a:ext uri="{FF2B5EF4-FFF2-40B4-BE49-F238E27FC236}">
              <a16:creationId xmlns:a16="http://schemas.microsoft.com/office/drawing/2014/main" id="{8CA6207E-DB3B-44BC-B52D-A407B573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5" name="Picture 464" descr="https://mail.google.com/mail/u/0/images/cleardot.gif">
          <a:extLst>
            <a:ext uri="{FF2B5EF4-FFF2-40B4-BE49-F238E27FC236}">
              <a16:creationId xmlns:a16="http://schemas.microsoft.com/office/drawing/2014/main" id="{1C188F99-CD35-4F67-8A64-C5D12083A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6" name="Picture 465" descr="https://mail.google.com/mail/u/0/images/cleardot.gif">
          <a:extLst>
            <a:ext uri="{FF2B5EF4-FFF2-40B4-BE49-F238E27FC236}">
              <a16:creationId xmlns:a16="http://schemas.microsoft.com/office/drawing/2014/main" id="{AE78233F-93AB-4AE4-A0FA-1C5FA309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7" name="Picture 466" descr="https://mail.google.com/mail/u/0/images/cleardot.gif">
          <a:extLst>
            <a:ext uri="{FF2B5EF4-FFF2-40B4-BE49-F238E27FC236}">
              <a16:creationId xmlns:a16="http://schemas.microsoft.com/office/drawing/2014/main" id="{89D2E0F9-B90F-4B90-8E4B-DB10F441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8" name="Picture 467" descr="https://mail.google.com/mail/u/0/images/cleardot.gif">
          <a:extLst>
            <a:ext uri="{FF2B5EF4-FFF2-40B4-BE49-F238E27FC236}">
              <a16:creationId xmlns:a16="http://schemas.microsoft.com/office/drawing/2014/main" id="{62DEFECC-506A-4B04-A068-1B250871C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69" name="Picture 468" descr="https://mail.google.com/mail/u/0/images/cleardot.gif">
          <a:extLst>
            <a:ext uri="{FF2B5EF4-FFF2-40B4-BE49-F238E27FC236}">
              <a16:creationId xmlns:a16="http://schemas.microsoft.com/office/drawing/2014/main" id="{510A05A3-E112-486D-B9A1-89B37A0DF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0" name="Picture 469" descr="https://mail.google.com/mail/u/0/images/cleardot.gif">
          <a:extLst>
            <a:ext uri="{FF2B5EF4-FFF2-40B4-BE49-F238E27FC236}">
              <a16:creationId xmlns:a16="http://schemas.microsoft.com/office/drawing/2014/main" id="{AEF6158F-3163-45D8-8A79-9AFC220F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1" name="Picture 470" descr="https://mail.google.com/mail/u/0/images/cleardot.gif">
          <a:extLst>
            <a:ext uri="{FF2B5EF4-FFF2-40B4-BE49-F238E27FC236}">
              <a16:creationId xmlns:a16="http://schemas.microsoft.com/office/drawing/2014/main" id="{2D3AD994-C4DC-4F94-8060-5957112A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2" name="Picture 471" descr="https://mail.google.com/mail/u/0/images/cleardot.gif">
          <a:extLst>
            <a:ext uri="{FF2B5EF4-FFF2-40B4-BE49-F238E27FC236}">
              <a16:creationId xmlns:a16="http://schemas.microsoft.com/office/drawing/2014/main" id="{14DC016A-D54A-4DE2-AFF8-F64A018E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3" name="Picture 472" descr="https://mail.google.com/mail/u/0/images/cleardot.gif">
          <a:extLst>
            <a:ext uri="{FF2B5EF4-FFF2-40B4-BE49-F238E27FC236}">
              <a16:creationId xmlns:a16="http://schemas.microsoft.com/office/drawing/2014/main" id="{2FBB8872-D0F4-4577-A58E-38192BD46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4" name="Picture 473" descr="https://mail.google.com/mail/u/0/images/cleardot.gif">
          <a:extLst>
            <a:ext uri="{FF2B5EF4-FFF2-40B4-BE49-F238E27FC236}">
              <a16:creationId xmlns:a16="http://schemas.microsoft.com/office/drawing/2014/main" id="{B92978E1-205F-4E53-B3BC-92C0F1E59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5" name="Picture 474" descr="https://mail.google.com/mail/u/0/images/cleardot.gif">
          <a:extLst>
            <a:ext uri="{FF2B5EF4-FFF2-40B4-BE49-F238E27FC236}">
              <a16:creationId xmlns:a16="http://schemas.microsoft.com/office/drawing/2014/main" id="{2F6F5F68-4F96-4C03-A566-294DF6E5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6" name="Picture 475" descr="https://mail.google.com/mail/u/0/images/cleardot.gif">
          <a:extLst>
            <a:ext uri="{FF2B5EF4-FFF2-40B4-BE49-F238E27FC236}">
              <a16:creationId xmlns:a16="http://schemas.microsoft.com/office/drawing/2014/main" id="{33C55A61-DF93-4A86-A0AB-8507ECDB4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7" name="Picture 476" descr="https://mail.google.com/mail/u/0/images/cleardot.gif">
          <a:extLst>
            <a:ext uri="{FF2B5EF4-FFF2-40B4-BE49-F238E27FC236}">
              <a16:creationId xmlns:a16="http://schemas.microsoft.com/office/drawing/2014/main" id="{4D6CF3B2-25D6-4647-813D-07D65C89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8" name="Picture 477" descr="https://mail.google.com/mail/u/0/images/cleardot.gif">
          <a:extLst>
            <a:ext uri="{FF2B5EF4-FFF2-40B4-BE49-F238E27FC236}">
              <a16:creationId xmlns:a16="http://schemas.microsoft.com/office/drawing/2014/main" id="{F0B3D8E2-0930-4F14-927A-EFA2A9161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79" name="Picture 478" descr="https://mail.google.com/mail/u/0/images/cleardot.gif">
          <a:extLst>
            <a:ext uri="{FF2B5EF4-FFF2-40B4-BE49-F238E27FC236}">
              <a16:creationId xmlns:a16="http://schemas.microsoft.com/office/drawing/2014/main" id="{2C2EF2D9-A061-4CB1-B841-9C84CD69C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0" name="Picture 479" descr="https://mail.google.com/mail/u/0/images/cleardot.gif">
          <a:extLst>
            <a:ext uri="{FF2B5EF4-FFF2-40B4-BE49-F238E27FC236}">
              <a16:creationId xmlns:a16="http://schemas.microsoft.com/office/drawing/2014/main" id="{1BD4EC0A-15AC-45DE-A1CA-A5D8D57FF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1" name="Picture 480" descr="https://mail.google.com/mail/u/0/images/cleardot.gif">
          <a:extLst>
            <a:ext uri="{FF2B5EF4-FFF2-40B4-BE49-F238E27FC236}">
              <a16:creationId xmlns:a16="http://schemas.microsoft.com/office/drawing/2014/main" id="{F4B04F97-8DFD-4FA2-A336-741D46B2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2" name="Picture 481" descr="https://mail.google.com/mail/u/0/images/cleardot.gif">
          <a:extLst>
            <a:ext uri="{FF2B5EF4-FFF2-40B4-BE49-F238E27FC236}">
              <a16:creationId xmlns:a16="http://schemas.microsoft.com/office/drawing/2014/main" id="{1753D35D-E2FC-4C06-BCB3-E9DF5FDC8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3" name="Picture 482" descr="https://mail.google.com/mail/u/0/images/cleardot.gif">
          <a:extLst>
            <a:ext uri="{FF2B5EF4-FFF2-40B4-BE49-F238E27FC236}">
              <a16:creationId xmlns:a16="http://schemas.microsoft.com/office/drawing/2014/main" id="{DA0F1C69-CC03-4B84-A142-314FF26A5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4" name="Picture 483" descr="https://mail.google.com/mail/u/0/images/cleardot.gif">
          <a:extLst>
            <a:ext uri="{FF2B5EF4-FFF2-40B4-BE49-F238E27FC236}">
              <a16:creationId xmlns:a16="http://schemas.microsoft.com/office/drawing/2014/main" id="{C36F921C-C12B-40AA-A9DB-2FE9AA8C4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5" name="Picture 484" descr="https://mail.google.com/mail/u/0/images/cleardot.gif">
          <a:extLst>
            <a:ext uri="{FF2B5EF4-FFF2-40B4-BE49-F238E27FC236}">
              <a16:creationId xmlns:a16="http://schemas.microsoft.com/office/drawing/2014/main" id="{B0695481-E53C-4E08-A95E-DFBBBF03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6" name="Picture 485" descr="https://mail.google.com/mail/u/0/images/cleardot.gif">
          <a:extLst>
            <a:ext uri="{FF2B5EF4-FFF2-40B4-BE49-F238E27FC236}">
              <a16:creationId xmlns:a16="http://schemas.microsoft.com/office/drawing/2014/main" id="{7B4E59B8-B845-46FB-BB73-F8E5F4CB6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7" name="Picture 486" descr="https://mail.google.com/mail/u/0/images/cleardot.gif">
          <a:extLst>
            <a:ext uri="{FF2B5EF4-FFF2-40B4-BE49-F238E27FC236}">
              <a16:creationId xmlns:a16="http://schemas.microsoft.com/office/drawing/2014/main" id="{13AC4DAB-C743-4937-934E-0A09E8B4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8" name="Picture 487" descr="https://mail.google.com/mail/u/0/images/cleardot.gif">
          <a:extLst>
            <a:ext uri="{FF2B5EF4-FFF2-40B4-BE49-F238E27FC236}">
              <a16:creationId xmlns:a16="http://schemas.microsoft.com/office/drawing/2014/main" id="{73CBBA4A-0E51-4A04-863B-F3A1F43D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89" name="Picture 488" descr="https://mail.google.com/mail/u/0/images/cleardot.gif">
          <a:extLst>
            <a:ext uri="{FF2B5EF4-FFF2-40B4-BE49-F238E27FC236}">
              <a16:creationId xmlns:a16="http://schemas.microsoft.com/office/drawing/2014/main" id="{2D4C7FFE-0FFD-400F-9C78-594C65A8A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0" name="Picture 489" descr="https://mail.google.com/mail/u/0/images/cleardot.gif">
          <a:extLst>
            <a:ext uri="{FF2B5EF4-FFF2-40B4-BE49-F238E27FC236}">
              <a16:creationId xmlns:a16="http://schemas.microsoft.com/office/drawing/2014/main" id="{600B340B-DD67-459E-9A44-2D0377171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1" name="Picture 490" descr="https://mail.google.com/mail/u/0/images/cleardot.gif">
          <a:extLst>
            <a:ext uri="{FF2B5EF4-FFF2-40B4-BE49-F238E27FC236}">
              <a16:creationId xmlns:a16="http://schemas.microsoft.com/office/drawing/2014/main" id="{5ECDD952-F70F-47CC-9553-116A1E2E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2" name="Picture 491" descr="https://mail.google.com/mail/u/0/images/cleardot.gif">
          <a:extLst>
            <a:ext uri="{FF2B5EF4-FFF2-40B4-BE49-F238E27FC236}">
              <a16:creationId xmlns:a16="http://schemas.microsoft.com/office/drawing/2014/main" id="{0D25730A-D21C-4B80-BC28-E6AEFA749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3" name="Picture 492" descr="https://mail.google.com/mail/u/0/images/cleardot.gif">
          <a:extLst>
            <a:ext uri="{FF2B5EF4-FFF2-40B4-BE49-F238E27FC236}">
              <a16:creationId xmlns:a16="http://schemas.microsoft.com/office/drawing/2014/main" id="{40504653-9AB2-42D2-973F-BEF7946E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4" name="Picture 493" descr="https://mail.google.com/mail/u/0/images/cleardot.gif">
          <a:extLst>
            <a:ext uri="{FF2B5EF4-FFF2-40B4-BE49-F238E27FC236}">
              <a16:creationId xmlns:a16="http://schemas.microsoft.com/office/drawing/2014/main" id="{524319C2-19F9-4E14-87A7-5AADF1ED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5" name="Picture 494" descr="https://mail.google.com/mail/u/0/images/cleardot.gif">
          <a:extLst>
            <a:ext uri="{FF2B5EF4-FFF2-40B4-BE49-F238E27FC236}">
              <a16:creationId xmlns:a16="http://schemas.microsoft.com/office/drawing/2014/main" id="{20DA8804-BCC2-4D70-A8EB-481223A36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6" name="Picture 495" descr="https://mail.google.com/mail/u/0/images/cleardot.gif">
          <a:extLst>
            <a:ext uri="{FF2B5EF4-FFF2-40B4-BE49-F238E27FC236}">
              <a16:creationId xmlns:a16="http://schemas.microsoft.com/office/drawing/2014/main" id="{A9118263-AA02-4D4D-B3E3-77255A122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7" name="Picture 496" descr="https://mail.google.com/mail/u/0/images/cleardot.gif">
          <a:extLst>
            <a:ext uri="{FF2B5EF4-FFF2-40B4-BE49-F238E27FC236}">
              <a16:creationId xmlns:a16="http://schemas.microsoft.com/office/drawing/2014/main" id="{A380D658-33F4-4A18-B72D-E33BD06AA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8" name="Picture 497" descr="https://mail.google.com/mail/u/0/images/cleardot.gif">
          <a:extLst>
            <a:ext uri="{FF2B5EF4-FFF2-40B4-BE49-F238E27FC236}">
              <a16:creationId xmlns:a16="http://schemas.microsoft.com/office/drawing/2014/main" id="{0EA60944-F15C-4835-BB0A-02E40C0D9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499" name="Picture 498" descr="https://mail.google.com/mail/u/0/images/cleardot.gif">
          <a:extLst>
            <a:ext uri="{FF2B5EF4-FFF2-40B4-BE49-F238E27FC236}">
              <a16:creationId xmlns:a16="http://schemas.microsoft.com/office/drawing/2014/main" id="{99243570-F2D3-4384-908A-39D277133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0" name="Picture 499" descr="https://mail.google.com/mail/u/0/images/cleardot.gif">
          <a:extLst>
            <a:ext uri="{FF2B5EF4-FFF2-40B4-BE49-F238E27FC236}">
              <a16:creationId xmlns:a16="http://schemas.microsoft.com/office/drawing/2014/main" id="{6710ED15-1E33-4EE1-9525-769702C9B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1" name="Picture 500" descr="https://mail.google.com/mail/u/0/images/cleardot.gif">
          <a:extLst>
            <a:ext uri="{FF2B5EF4-FFF2-40B4-BE49-F238E27FC236}">
              <a16:creationId xmlns:a16="http://schemas.microsoft.com/office/drawing/2014/main" id="{71C19873-60C1-48D4-BAB0-BD2E3E4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2" name="Picture 501" descr="https://mail.google.com/mail/u/0/images/cleardot.gif">
          <a:extLst>
            <a:ext uri="{FF2B5EF4-FFF2-40B4-BE49-F238E27FC236}">
              <a16:creationId xmlns:a16="http://schemas.microsoft.com/office/drawing/2014/main" id="{D1B9D9A3-D883-4EE7-9CBB-88DBEC903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3" name="Picture 502" descr="https://mail.google.com/mail/u/0/images/cleardot.gif">
          <a:extLst>
            <a:ext uri="{FF2B5EF4-FFF2-40B4-BE49-F238E27FC236}">
              <a16:creationId xmlns:a16="http://schemas.microsoft.com/office/drawing/2014/main" id="{501EAF26-1C91-4EC6-86A6-06CD31C7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4" name="Picture 503" descr="https://mail.google.com/mail/u/0/images/cleardot.gif">
          <a:extLst>
            <a:ext uri="{FF2B5EF4-FFF2-40B4-BE49-F238E27FC236}">
              <a16:creationId xmlns:a16="http://schemas.microsoft.com/office/drawing/2014/main" id="{D5A6C084-7039-476A-8D92-1B6AEDA6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5" name="Picture 504" descr="https://mail.google.com/mail/u/0/images/cleardot.gif">
          <a:extLst>
            <a:ext uri="{FF2B5EF4-FFF2-40B4-BE49-F238E27FC236}">
              <a16:creationId xmlns:a16="http://schemas.microsoft.com/office/drawing/2014/main" id="{1EA7B0D5-3912-4E44-AEF2-73345ED76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6" name="Picture 505" descr="https://mail.google.com/mail/u/0/images/cleardot.gif">
          <a:extLst>
            <a:ext uri="{FF2B5EF4-FFF2-40B4-BE49-F238E27FC236}">
              <a16:creationId xmlns:a16="http://schemas.microsoft.com/office/drawing/2014/main" id="{3C669B33-C3E3-4D04-9B18-B33E9D68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7" name="Picture 506" descr="https://mail.google.com/mail/u/0/images/cleardot.gif">
          <a:extLst>
            <a:ext uri="{FF2B5EF4-FFF2-40B4-BE49-F238E27FC236}">
              <a16:creationId xmlns:a16="http://schemas.microsoft.com/office/drawing/2014/main" id="{689490A5-C002-4B96-BF54-5896D6652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8" name="Picture 507" descr="https://mail.google.com/mail/u/0/images/cleardot.gif">
          <a:extLst>
            <a:ext uri="{FF2B5EF4-FFF2-40B4-BE49-F238E27FC236}">
              <a16:creationId xmlns:a16="http://schemas.microsoft.com/office/drawing/2014/main" id="{B9094637-1EE7-4744-9E41-7A27B729A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09" name="Picture 508" descr="https://mail.google.com/mail/u/0/images/cleardot.gif">
          <a:extLst>
            <a:ext uri="{FF2B5EF4-FFF2-40B4-BE49-F238E27FC236}">
              <a16:creationId xmlns:a16="http://schemas.microsoft.com/office/drawing/2014/main" id="{48D91571-55D6-4ADD-BAC6-E6A96EAD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0" name="Picture 509" descr="https://mail.google.com/mail/u/0/images/cleardot.gif">
          <a:extLst>
            <a:ext uri="{FF2B5EF4-FFF2-40B4-BE49-F238E27FC236}">
              <a16:creationId xmlns:a16="http://schemas.microsoft.com/office/drawing/2014/main" id="{6079E316-1F45-461E-B6DD-DAB23C4A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1" name="Picture 510" descr="https://mail.google.com/mail/u/0/images/cleardot.gif">
          <a:extLst>
            <a:ext uri="{FF2B5EF4-FFF2-40B4-BE49-F238E27FC236}">
              <a16:creationId xmlns:a16="http://schemas.microsoft.com/office/drawing/2014/main" id="{C2E5351F-A08F-41E4-831B-968249F27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2" name="Picture 511" descr="https://mail.google.com/mail/u/0/images/cleardot.gif">
          <a:extLst>
            <a:ext uri="{FF2B5EF4-FFF2-40B4-BE49-F238E27FC236}">
              <a16:creationId xmlns:a16="http://schemas.microsoft.com/office/drawing/2014/main" id="{8A85A16E-09ED-4F99-A468-9F59E904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3" name="Picture 512" descr="https://mail.google.com/mail/u/0/images/cleardot.gif">
          <a:extLst>
            <a:ext uri="{FF2B5EF4-FFF2-40B4-BE49-F238E27FC236}">
              <a16:creationId xmlns:a16="http://schemas.microsoft.com/office/drawing/2014/main" id="{AFCAFB62-4880-4F60-AD0E-38198296E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4" name="Picture 513" descr="https://mail.google.com/mail/u/0/images/cleardot.gif">
          <a:extLst>
            <a:ext uri="{FF2B5EF4-FFF2-40B4-BE49-F238E27FC236}">
              <a16:creationId xmlns:a16="http://schemas.microsoft.com/office/drawing/2014/main" id="{10C80BFF-00F1-4E9C-9436-FBB6CCA1C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5" name="Picture 514" descr="https://mail.google.com/mail/u/0/images/cleardot.gif">
          <a:extLst>
            <a:ext uri="{FF2B5EF4-FFF2-40B4-BE49-F238E27FC236}">
              <a16:creationId xmlns:a16="http://schemas.microsoft.com/office/drawing/2014/main" id="{78B24D1E-D476-4645-9D97-C6649F271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6" name="Picture 515" descr="https://mail.google.com/mail/u/0/images/cleardot.gif">
          <a:extLst>
            <a:ext uri="{FF2B5EF4-FFF2-40B4-BE49-F238E27FC236}">
              <a16:creationId xmlns:a16="http://schemas.microsoft.com/office/drawing/2014/main" id="{678E81FF-08BF-4B33-9D40-EB7AE37C7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7" name="Picture 516" descr="https://mail.google.com/mail/u/0/images/cleardot.gif">
          <a:extLst>
            <a:ext uri="{FF2B5EF4-FFF2-40B4-BE49-F238E27FC236}">
              <a16:creationId xmlns:a16="http://schemas.microsoft.com/office/drawing/2014/main" id="{E81FC787-DF08-4A26-8749-0E4A3ACDC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8" name="Picture 517" descr="https://mail.google.com/mail/u/0/images/cleardot.gif">
          <a:extLst>
            <a:ext uri="{FF2B5EF4-FFF2-40B4-BE49-F238E27FC236}">
              <a16:creationId xmlns:a16="http://schemas.microsoft.com/office/drawing/2014/main" id="{FBF572FB-04A7-4E16-9D6E-E3E76C25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19" name="Picture 518" descr="https://mail.google.com/mail/u/0/images/cleardot.gif">
          <a:extLst>
            <a:ext uri="{FF2B5EF4-FFF2-40B4-BE49-F238E27FC236}">
              <a16:creationId xmlns:a16="http://schemas.microsoft.com/office/drawing/2014/main" id="{30C9D2B9-3452-4C83-A617-15C34801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0" name="Picture 519" descr="https://mail.google.com/mail/u/0/images/cleardot.gif">
          <a:extLst>
            <a:ext uri="{FF2B5EF4-FFF2-40B4-BE49-F238E27FC236}">
              <a16:creationId xmlns:a16="http://schemas.microsoft.com/office/drawing/2014/main" id="{894436AA-9818-44EE-B386-646AC9AD6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1" name="Picture 520" descr="https://mail.google.com/mail/u/0/images/cleardot.gif">
          <a:extLst>
            <a:ext uri="{FF2B5EF4-FFF2-40B4-BE49-F238E27FC236}">
              <a16:creationId xmlns:a16="http://schemas.microsoft.com/office/drawing/2014/main" id="{D8AD5BA7-C7D0-415C-94F0-0A111170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2" name="Picture 521" descr="https://mail.google.com/mail/u/0/images/cleardot.gif">
          <a:extLst>
            <a:ext uri="{FF2B5EF4-FFF2-40B4-BE49-F238E27FC236}">
              <a16:creationId xmlns:a16="http://schemas.microsoft.com/office/drawing/2014/main" id="{83EB3EA0-2B18-479B-BFAF-01F022ACC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3" name="Picture 522" descr="https://mail.google.com/mail/u/0/images/cleardot.gif">
          <a:extLst>
            <a:ext uri="{FF2B5EF4-FFF2-40B4-BE49-F238E27FC236}">
              <a16:creationId xmlns:a16="http://schemas.microsoft.com/office/drawing/2014/main" id="{5CC6D3A3-ED40-4F7D-8AE3-73179A4D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4" name="Picture 523" descr="https://mail.google.com/mail/u/0/images/cleardot.gif">
          <a:extLst>
            <a:ext uri="{FF2B5EF4-FFF2-40B4-BE49-F238E27FC236}">
              <a16:creationId xmlns:a16="http://schemas.microsoft.com/office/drawing/2014/main" id="{F224386A-4C26-4689-A7FB-45AB217D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5" name="Picture 524" descr="https://mail.google.com/mail/u/0/images/cleardot.gif">
          <a:extLst>
            <a:ext uri="{FF2B5EF4-FFF2-40B4-BE49-F238E27FC236}">
              <a16:creationId xmlns:a16="http://schemas.microsoft.com/office/drawing/2014/main" id="{54B121E7-F306-4092-885B-305C1BD8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6" name="Picture 525" descr="https://mail.google.com/mail/u/0/images/cleardot.gif">
          <a:extLst>
            <a:ext uri="{FF2B5EF4-FFF2-40B4-BE49-F238E27FC236}">
              <a16:creationId xmlns:a16="http://schemas.microsoft.com/office/drawing/2014/main" id="{367DDF85-5E04-4362-A834-BDF2E538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7" name="Picture 526" descr="https://mail.google.com/mail/u/0/images/cleardot.gif">
          <a:extLst>
            <a:ext uri="{FF2B5EF4-FFF2-40B4-BE49-F238E27FC236}">
              <a16:creationId xmlns:a16="http://schemas.microsoft.com/office/drawing/2014/main" id="{0D345AB2-45B4-4FD7-9ACB-5DF36553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8" name="Picture 527" descr="https://mail.google.com/mail/u/0/images/cleardot.gif">
          <a:extLst>
            <a:ext uri="{FF2B5EF4-FFF2-40B4-BE49-F238E27FC236}">
              <a16:creationId xmlns:a16="http://schemas.microsoft.com/office/drawing/2014/main" id="{C32F7C15-0B72-4DA4-B1AB-D5E885ECC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29" name="Picture 528" descr="https://mail.google.com/mail/u/0/images/cleardot.gif">
          <a:extLst>
            <a:ext uri="{FF2B5EF4-FFF2-40B4-BE49-F238E27FC236}">
              <a16:creationId xmlns:a16="http://schemas.microsoft.com/office/drawing/2014/main" id="{061C8B3A-B1E4-4DB2-B248-5A9D982F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0" name="Picture 529" descr="https://mail.google.com/mail/u/0/images/cleardot.gif">
          <a:extLst>
            <a:ext uri="{FF2B5EF4-FFF2-40B4-BE49-F238E27FC236}">
              <a16:creationId xmlns:a16="http://schemas.microsoft.com/office/drawing/2014/main" id="{E267C254-2DB2-4B64-955A-9F1A5E69F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1" name="Picture 530" descr="https://mail.google.com/mail/u/0/images/cleardot.gif">
          <a:extLst>
            <a:ext uri="{FF2B5EF4-FFF2-40B4-BE49-F238E27FC236}">
              <a16:creationId xmlns:a16="http://schemas.microsoft.com/office/drawing/2014/main" id="{1123B3C7-E2EB-4281-9249-176027A90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2" name="Picture 531" descr="https://mail.google.com/mail/u/0/images/cleardot.gif">
          <a:extLst>
            <a:ext uri="{FF2B5EF4-FFF2-40B4-BE49-F238E27FC236}">
              <a16:creationId xmlns:a16="http://schemas.microsoft.com/office/drawing/2014/main" id="{65A1339C-0C75-4B15-A403-B44FF9E3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3" name="Picture 532" descr="https://mail.google.com/mail/u/0/images/cleardot.gif">
          <a:extLst>
            <a:ext uri="{FF2B5EF4-FFF2-40B4-BE49-F238E27FC236}">
              <a16:creationId xmlns:a16="http://schemas.microsoft.com/office/drawing/2014/main" id="{3D3F2856-C8CD-4FF8-BE59-FCB0A7164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4" name="Picture 533" descr="https://mail.google.com/mail/u/0/images/cleardot.gif">
          <a:extLst>
            <a:ext uri="{FF2B5EF4-FFF2-40B4-BE49-F238E27FC236}">
              <a16:creationId xmlns:a16="http://schemas.microsoft.com/office/drawing/2014/main" id="{12C47B51-BA42-406F-9B82-E00D642D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5" name="Picture 534" descr="https://mail.google.com/mail/u/0/images/cleardot.gif">
          <a:extLst>
            <a:ext uri="{FF2B5EF4-FFF2-40B4-BE49-F238E27FC236}">
              <a16:creationId xmlns:a16="http://schemas.microsoft.com/office/drawing/2014/main" id="{9AFD7083-01CD-48C3-8056-8C3E620B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6" name="Picture 535" descr="https://mail.google.com/mail/u/0/images/cleardot.gif">
          <a:extLst>
            <a:ext uri="{FF2B5EF4-FFF2-40B4-BE49-F238E27FC236}">
              <a16:creationId xmlns:a16="http://schemas.microsoft.com/office/drawing/2014/main" id="{5D6D0061-D83C-4807-8036-AC830DBD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7" name="Picture 536" descr="https://mail.google.com/mail/u/0/images/cleardot.gif">
          <a:extLst>
            <a:ext uri="{FF2B5EF4-FFF2-40B4-BE49-F238E27FC236}">
              <a16:creationId xmlns:a16="http://schemas.microsoft.com/office/drawing/2014/main" id="{50D6E9C7-CE87-4E90-B2BC-54D78F62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8" name="Picture 537" descr="https://mail.google.com/mail/u/0/images/cleardot.gif">
          <a:extLst>
            <a:ext uri="{FF2B5EF4-FFF2-40B4-BE49-F238E27FC236}">
              <a16:creationId xmlns:a16="http://schemas.microsoft.com/office/drawing/2014/main" id="{4C2A57E1-5832-4281-864F-2D0310511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39" name="Picture 538" descr="https://mail.google.com/mail/u/0/images/cleardot.gif">
          <a:extLst>
            <a:ext uri="{FF2B5EF4-FFF2-40B4-BE49-F238E27FC236}">
              <a16:creationId xmlns:a16="http://schemas.microsoft.com/office/drawing/2014/main" id="{23B44BA8-E218-4CBE-9AA8-15D0EE90C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0" name="Picture 539" descr="https://mail.google.com/mail/u/0/images/cleardot.gif">
          <a:extLst>
            <a:ext uri="{FF2B5EF4-FFF2-40B4-BE49-F238E27FC236}">
              <a16:creationId xmlns:a16="http://schemas.microsoft.com/office/drawing/2014/main" id="{CD6724AA-83AD-4B54-87EC-2D2CBA05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1" name="Picture 540" descr="https://mail.google.com/mail/u/0/images/cleardot.gif">
          <a:extLst>
            <a:ext uri="{FF2B5EF4-FFF2-40B4-BE49-F238E27FC236}">
              <a16:creationId xmlns:a16="http://schemas.microsoft.com/office/drawing/2014/main" id="{60DE67A7-C75D-43CE-86FD-56FD9D13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2" name="Picture 541" descr="https://mail.google.com/mail/u/0/images/cleardot.gif">
          <a:extLst>
            <a:ext uri="{FF2B5EF4-FFF2-40B4-BE49-F238E27FC236}">
              <a16:creationId xmlns:a16="http://schemas.microsoft.com/office/drawing/2014/main" id="{B3704785-F799-4421-95CF-6BB699E4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3" name="Picture 542" descr="https://mail.google.com/mail/u/0/images/cleardot.gif">
          <a:extLst>
            <a:ext uri="{FF2B5EF4-FFF2-40B4-BE49-F238E27FC236}">
              <a16:creationId xmlns:a16="http://schemas.microsoft.com/office/drawing/2014/main" id="{3A990F82-2657-4646-9ADD-C5B84AE73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4" name="Picture 543" descr="https://mail.google.com/mail/u/0/images/cleardot.gif">
          <a:extLst>
            <a:ext uri="{FF2B5EF4-FFF2-40B4-BE49-F238E27FC236}">
              <a16:creationId xmlns:a16="http://schemas.microsoft.com/office/drawing/2014/main" id="{FECC0C9E-366B-4BCC-8F66-B65B00FB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5" name="Picture 544" descr="https://mail.google.com/mail/u/0/images/cleardot.gif">
          <a:extLst>
            <a:ext uri="{FF2B5EF4-FFF2-40B4-BE49-F238E27FC236}">
              <a16:creationId xmlns:a16="http://schemas.microsoft.com/office/drawing/2014/main" id="{B3A977F3-AAFB-445A-8192-702FE1085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6" name="Picture 545" descr="https://mail.google.com/mail/u/0/images/cleardot.gif">
          <a:extLst>
            <a:ext uri="{FF2B5EF4-FFF2-40B4-BE49-F238E27FC236}">
              <a16:creationId xmlns:a16="http://schemas.microsoft.com/office/drawing/2014/main" id="{50A0A6D8-1D3C-4A65-8D09-5EFC5C8DC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7" name="Picture 546" descr="https://mail.google.com/mail/u/0/images/cleardot.gif">
          <a:extLst>
            <a:ext uri="{FF2B5EF4-FFF2-40B4-BE49-F238E27FC236}">
              <a16:creationId xmlns:a16="http://schemas.microsoft.com/office/drawing/2014/main" id="{E5575FC7-D2C7-4224-AFFB-9F298110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8" name="Picture 547" descr="https://mail.google.com/mail/u/0/images/cleardot.gif">
          <a:extLst>
            <a:ext uri="{FF2B5EF4-FFF2-40B4-BE49-F238E27FC236}">
              <a16:creationId xmlns:a16="http://schemas.microsoft.com/office/drawing/2014/main" id="{0482CAD0-AA4A-4192-AACA-B739E5699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49" name="Picture 548" descr="https://mail.google.com/mail/u/0/images/cleardot.gif">
          <a:extLst>
            <a:ext uri="{FF2B5EF4-FFF2-40B4-BE49-F238E27FC236}">
              <a16:creationId xmlns:a16="http://schemas.microsoft.com/office/drawing/2014/main" id="{CE958062-D205-4FD4-AD74-75086BBFF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0" name="Picture 549" descr="https://mail.google.com/mail/u/0/images/cleardot.gif">
          <a:extLst>
            <a:ext uri="{FF2B5EF4-FFF2-40B4-BE49-F238E27FC236}">
              <a16:creationId xmlns:a16="http://schemas.microsoft.com/office/drawing/2014/main" id="{A848ED50-D568-4953-97B6-BA6CA10C2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1" name="Picture 550" descr="https://mail.google.com/mail/u/0/images/cleardot.gif">
          <a:extLst>
            <a:ext uri="{FF2B5EF4-FFF2-40B4-BE49-F238E27FC236}">
              <a16:creationId xmlns:a16="http://schemas.microsoft.com/office/drawing/2014/main" id="{EDCD5410-0B1F-4610-9F9C-5B92B70EB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2" name="Picture 551" descr="https://mail.google.com/mail/u/0/images/cleardot.gif">
          <a:extLst>
            <a:ext uri="{FF2B5EF4-FFF2-40B4-BE49-F238E27FC236}">
              <a16:creationId xmlns:a16="http://schemas.microsoft.com/office/drawing/2014/main" id="{0E892275-1753-48A3-AB18-BA5F38FD3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3" name="Picture 552" descr="https://mail.google.com/mail/u/0/images/cleardot.gif">
          <a:extLst>
            <a:ext uri="{FF2B5EF4-FFF2-40B4-BE49-F238E27FC236}">
              <a16:creationId xmlns:a16="http://schemas.microsoft.com/office/drawing/2014/main" id="{74F9AC64-4FF4-41A2-A346-DE05B70D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4" name="Picture 553" descr="https://mail.google.com/mail/u/0/images/cleardot.gif">
          <a:extLst>
            <a:ext uri="{FF2B5EF4-FFF2-40B4-BE49-F238E27FC236}">
              <a16:creationId xmlns:a16="http://schemas.microsoft.com/office/drawing/2014/main" id="{4C8DE713-0A2F-408C-B1CC-02A18F58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5" name="Picture 554" descr="https://mail.google.com/mail/u/0/images/cleardot.gif">
          <a:extLst>
            <a:ext uri="{FF2B5EF4-FFF2-40B4-BE49-F238E27FC236}">
              <a16:creationId xmlns:a16="http://schemas.microsoft.com/office/drawing/2014/main" id="{D39576C8-9B29-4C55-83A6-60A056FCF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6" name="Picture 555" descr="https://mail.google.com/mail/u/0/images/cleardot.gif">
          <a:extLst>
            <a:ext uri="{FF2B5EF4-FFF2-40B4-BE49-F238E27FC236}">
              <a16:creationId xmlns:a16="http://schemas.microsoft.com/office/drawing/2014/main" id="{0F0B3111-860F-4D21-81D6-9C9D734F8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7" name="Picture 556" descr="https://mail.google.com/mail/u/0/images/cleardot.gif">
          <a:extLst>
            <a:ext uri="{FF2B5EF4-FFF2-40B4-BE49-F238E27FC236}">
              <a16:creationId xmlns:a16="http://schemas.microsoft.com/office/drawing/2014/main" id="{9BA4575D-8E59-40BB-8E46-214A36F6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8" name="Picture 557" descr="https://mail.google.com/mail/u/0/images/cleardot.gif">
          <a:extLst>
            <a:ext uri="{FF2B5EF4-FFF2-40B4-BE49-F238E27FC236}">
              <a16:creationId xmlns:a16="http://schemas.microsoft.com/office/drawing/2014/main" id="{FFE0059C-423A-46A7-A744-665A60923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59" name="Picture 558" descr="https://mail.google.com/mail/u/0/images/cleardot.gif">
          <a:extLst>
            <a:ext uri="{FF2B5EF4-FFF2-40B4-BE49-F238E27FC236}">
              <a16:creationId xmlns:a16="http://schemas.microsoft.com/office/drawing/2014/main" id="{E74902D9-29DD-4AA7-A753-A62E0042A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0" name="Picture 559" descr="https://mail.google.com/mail/u/0/images/cleardot.gif">
          <a:extLst>
            <a:ext uri="{FF2B5EF4-FFF2-40B4-BE49-F238E27FC236}">
              <a16:creationId xmlns:a16="http://schemas.microsoft.com/office/drawing/2014/main" id="{A97868E0-63BC-4F71-98CE-E108345F6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1" name="Picture 560" descr="https://mail.google.com/mail/u/0/images/cleardot.gif">
          <a:extLst>
            <a:ext uri="{FF2B5EF4-FFF2-40B4-BE49-F238E27FC236}">
              <a16:creationId xmlns:a16="http://schemas.microsoft.com/office/drawing/2014/main" id="{4B95E5A3-0771-4C29-BC27-9F5CAE5E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2" name="Picture 561" descr="https://mail.google.com/mail/u/0/images/cleardot.gif">
          <a:extLst>
            <a:ext uri="{FF2B5EF4-FFF2-40B4-BE49-F238E27FC236}">
              <a16:creationId xmlns:a16="http://schemas.microsoft.com/office/drawing/2014/main" id="{B68676E6-2287-4AD6-9667-73EFD2B6F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3" name="Picture 562" descr="https://mail.google.com/mail/u/0/images/cleardot.gif">
          <a:extLst>
            <a:ext uri="{FF2B5EF4-FFF2-40B4-BE49-F238E27FC236}">
              <a16:creationId xmlns:a16="http://schemas.microsoft.com/office/drawing/2014/main" id="{98A46EEC-82ED-4E5E-AB7D-7FCB4B64A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4" name="Picture 563" descr="https://mail.google.com/mail/u/0/images/cleardot.gif">
          <a:extLst>
            <a:ext uri="{FF2B5EF4-FFF2-40B4-BE49-F238E27FC236}">
              <a16:creationId xmlns:a16="http://schemas.microsoft.com/office/drawing/2014/main" id="{BAE3CA90-EA29-40D8-A9D1-179FE36D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5" name="Picture 564" descr="https://mail.google.com/mail/u/0/images/cleardot.gif">
          <a:extLst>
            <a:ext uri="{FF2B5EF4-FFF2-40B4-BE49-F238E27FC236}">
              <a16:creationId xmlns:a16="http://schemas.microsoft.com/office/drawing/2014/main" id="{70442DB2-D421-4D11-903A-78F90EE4E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6" name="Picture 565" descr="https://mail.google.com/mail/u/0/images/cleardot.gif">
          <a:extLst>
            <a:ext uri="{FF2B5EF4-FFF2-40B4-BE49-F238E27FC236}">
              <a16:creationId xmlns:a16="http://schemas.microsoft.com/office/drawing/2014/main" id="{443D9437-3CEE-4558-A91C-4A54CCE4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7" name="Picture 566" descr="https://mail.google.com/mail/u/0/images/cleardot.gif">
          <a:extLst>
            <a:ext uri="{FF2B5EF4-FFF2-40B4-BE49-F238E27FC236}">
              <a16:creationId xmlns:a16="http://schemas.microsoft.com/office/drawing/2014/main" id="{DE7D4B1C-A654-4113-A8D8-15A875C9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8" name="Picture 567" descr="https://mail.google.com/mail/u/0/images/cleardot.gif">
          <a:extLst>
            <a:ext uri="{FF2B5EF4-FFF2-40B4-BE49-F238E27FC236}">
              <a16:creationId xmlns:a16="http://schemas.microsoft.com/office/drawing/2014/main" id="{06729444-5482-4D56-A01A-ED5D9BE8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69" name="Picture 568" descr="https://mail.google.com/mail/u/0/images/cleardot.gif">
          <a:extLst>
            <a:ext uri="{FF2B5EF4-FFF2-40B4-BE49-F238E27FC236}">
              <a16:creationId xmlns:a16="http://schemas.microsoft.com/office/drawing/2014/main" id="{86E14DA4-B210-413C-92D7-3936B58FD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0" name="Picture 569" descr="https://mail.google.com/mail/u/0/images/cleardot.gif">
          <a:extLst>
            <a:ext uri="{FF2B5EF4-FFF2-40B4-BE49-F238E27FC236}">
              <a16:creationId xmlns:a16="http://schemas.microsoft.com/office/drawing/2014/main" id="{FBFD204C-7C9D-4CEC-99AE-9E7ED527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1" name="Picture 570" descr="https://mail.google.com/mail/u/0/images/cleardot.gif">
          <a:extLst>
            <a:ext uri="{FF2B5EF4-FFF2-40B4-BE49-F238E27FC236}">
              <a16:creationId xmlns:a16="http://schemas.microsoft.com/office/drawing/2014/main" id="{87C85429-559F-4ACD-99AB-E843DA23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2" name="Picture 571" descr="https://mail.google.com/mail/u/0/images/cleardot.gif">
          <a:extLst>
            <a:ext uri="{FF2B5EF4-FFF2-40B4-BE49-F238E27FC236}">
              <a16:creationId xmlns:a16="http://schemas.microsoft.com/office/drawing/2014/main" id="{EFD28A2F-D1D7-46B5-AFF7-53FB10DA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3" name="Picture 572" descr="https://mail.google.com/mail/u/0/images/cleardot.gif">
          <a:extLst>
            <a:ext uri="{FF2B5EF4-FFF2-40B4-BE49-F238E27FC236}">
              <a16:creationId xmlns:a16="http://schemas.microsoft.com/office/drawing/2014/main" id="{3E0D42D8-9A53-4D11-A86A-F0B85D40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4" name="Picture 573" descr="https://mail.google.com/mail/u/0/images/cleardot.gif">
          <a:extLst>
            <a:ext uri="{FF2B5EF4-FFF2-40B4-BE49-F238E27FC236}">
              <a16:creationId xmlns:a16="http://schemas.microsoft.com/office/drawing/2014/main" id="{1C7941CE-9207-4894-884F-427A3BC9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5" name="Picture 574" descr="https://mail.google.com/mail/u/0/images/cleardot.gif">
          <a:extLst>
            <a:ext uri="{FF2B5EF4-FFF2-40B4-BE49-F238E27FC236}">
              <a16:creationId xmlns:a16="http://schemas.microsoft.com/office/drawing/2014/main" id="{1246CC94-C028-46B3-AFD4-0293F962B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6" name="Picture 575" descr="https://mail.google.com/mail/u/0/images/cleardot.gif">
          <a:extLst>
            <a:ext uri="{FF2B5EF4-FFF2-40B4-BE49-F238E27FC236}">
              <a16:creationId xmlns:a16="http://schemas.microsoft.com/office/drawing/2014/main" id="{EEF7E62A-2C44-46DA-B8D2-108496B53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7" name="Picture 576" descr="https://mail.google.com/mail/u/0/images/cleardot.gif">
          <a:extLst>
            <a:ext uri="{FF2B5EF4-FFF2-40B4-BE49-F238E27FC236}">
              <a16:creationId xmlns:a16="http://schemas.microsoft.com/office/drawing/2014/main" id="{B7F0FC20-F03A-447A-87B5-350C0F50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8" name="Picture 577" descr="https://mail.google.com/mail/u/0/images/cleardot.gif">
          <a:extLst>
            <a:ext uri="{FF2B5EF4-FFF2-40B4-BE49-F238E27FC236}">
              <a16:creationId xmlns:a16="http://schemas.microsoft.com/office/drawing/2014/main" id="{52947A9D-36FB-4775-86DF-576541F8D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79" name="Picture 578" descr="https://mail.google.com/mail/u/0/images/cleardot.gif">
          <a:extLst>
            <a:ext uri="{FF2B5EF4-FFF2-40B4-BE49-F238E27FC236}">
              <a16:creationId xmlns:a16="http://schemas.microsoft.com/office/drawing/2014/main" id="{06D0169A-2560-47DB-8023-BC81B8B8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0" name="Picture 579" descr="https://mail.google.com/mail/u/0/images/cleardot.gif">
          <a:extLst>
            <a:ext uri="{FF2B5EF4-FFF2-40B4-BE49-F238E27FC236}">
              <a16:creationId xmlns:a16="http://schemas.microsoft.com/office/drawing/2014/main" id="{A4C24E71-A628-4374-A415-45D0BB3ED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1" name="Picture 580" descr="https://mail.google.com/mail/u/0/images/cleardot.gif">
          <a:extLst>
            <a:ext uri="{FF2B5EF4-FFF2-40B4-BE49-F238E27FC236}">
              <a16:creationId xmlns:a16="http://schemas.microsoft.com/office/drawing/2014/main" id="{9BDFB3F2-4899-402E-9FB8-99C1675A9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2" name="Picture 581" descr="https://mail.google.com/mail/u/0/images/cleardot.gif">
          <a:extLst>
            <a:ext uri="{FF2B5EF4-FFF2-40B4-BE49-F238E27FC236}">
              <a16:creationId xmlns:a16="http://schemas.microsoft.com/office/drawing/2014/main" id="{4D2D7CE2-ECE4-4CE2-8D1C-5927E81E1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3" name="Picture 582" descr="https://mail.google.com/mail/u/0/images/cleardot.gif">
          <a:extLst>
            <a:ext uri="{FF2B5EF4-FFF2-40B4-BE49-F238E27FC236}">
              <a16:creationId xmlns:a16="http://schemas.microsoft.com/office/drawing/2014/main" id="{5845447F-FF74-4B2E-B3C3-53620C25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4" name="Picture 583" descr="https://mail.google.com/mail/u/0/images/cleardot.gif">
          <a:extLst>
            <a:ext uri="{FF2B5EF4-FFF2-40B4-BE49-F238E27FC236}">
              <a16:creationId xmlns:a16="http://schemas.microsoft.com/office/drawing/2014/main" id="{632CD65D-5AB7-484F-97A1-FB4FD421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5" name="Picture 584" descr="https://mail.google.com/mail/u/0/images/cleardot.gif">
          <a:extLst>
            <a:ext uri="{FF2B5EF4-FFF2-40B4-BE49-F238E27FC236}">
              <a16:creationId xmlns:a16="http://schemas.microsoft.com/office/drawing/2014/main" id="{AA497536-F3F6-485D-8697-F00CD648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6" name="Picture 585" descr="https://mail.google.com/mail/u/0/images/cleardot.gif">
          <a:extLst>
            <a:ext uri="{FF2B5EF4-FFF2-40B4-BE49-F238E27FC236}">
              <a16:creationId xmlns:a16="http://schemas.microsoft.com/office/drawing/2014/main" id="{19E6320B-D068-4117-840B-365172A3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7" name="Picture 586" descr="https://mail.google.com/mail/u/0/images/cleardot.gif">
          <a:extLst>
            <a:ext uri="{FF2B5EF4-FFF2-40B4-BE49-F238E27FC236}">
              <a16:creationId xmlns:a16="http://schemas.microsoft.com/office/drawing/2014/main" id="{30E1D338-CE93-4E1F-AF55-FC572DC2F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8" name="Picture 587" descr="https://mail.google.com/mail/u/0/images/cleardot.gif">
          <a:extLst>
            <a:ext uri="{FF2B5EF4-FFF2-40B4-BE49-F238E27FC236}">
              <a16:creationId xmlns:a16="http://schemas.microsoft.com/office/drawing/2014/main" id="{F618A397-9D67-4CA2-90E6-CBB105A81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89" name="Picture 588" descr="https://mail.google.com/mail/u/0/images/cleardot.gif">
          <a:extLst>
            <a:ext uri="{FF2B5EF4-FFF2-40B4-BE49-F238E27FC236}">
              <a16:creationId xmlns:a16="http://schemas.microsoft.com/office/drawing/2014/main" id="{CD0AA2B8-0DDB-42D3-882E-06A2693F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0" name="Picture 589" descr="https://mail.google.com/mail/u/0/images/cleardot.gif">
          <a:extLst>
            <a:ext uri="{FF2B5EF4-FFF2-40B4-BE49-F238E27FC236}">
              <a16:creationId xmlns:a16="http://schemas.microsoft.com/office/drawing/2014/main" id="{B2D1CAC7-68C4-4B0A-9379-D23D40F0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1" name="Picture 590" descr="https://mail.google.com/mail/u/0/images/cleardot.gif">
          <a:extLst>
            <a:ext uri="{FF2B5EF4-FFF2-40B4-BE49-F238E27FC236}">
              <a16:creationId xmlns:a16="http://schemas.microsoft.com/office/drawing/2014/main" id="{32A4CA6C-6EFB-448F-A615-8AB22C9A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2" name="Picture 591" descr="https://mail.google.com/mail/u/0/images/cleardot.gif">
          <a:extLst>
            <a:ext uri="{FF2B5EF4-FFF2-40B4-BE49-F238E27FC236}">
              <a16:creationId xmlns:a16="http://schemas.microsoft.com/office/drawing/2014/main" id="{63A083B1-EDDD-4C5B-B8DA-07383F62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3" name="Picture 592" descr="https://mail.google.com/mail/u/0/images/cleardot.gif">
          <a:extLst>
            <a:ext uri="{FF2B5EF4-FFF2-40B4-BE49-F238E27FC236}">
              <a16:creationId xmlns:a16="http://schemas.microsoft.com/office/drawing/2014/main" id="{756A1135-E52B-4B66-8BF0-2500BE0A5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4" name="Picture 593" descr="https://mail.google.com/mail/u/0/images/cleardot.gif">
          <a:extLst>
            <a:ext uri="{FF2B5EF4-FFF2-40B4-BE49-F238E27FC236}">
              <a16:creationId xmlns:a16="http://schemas.microsoft.com/office/drawing/2014/main" id="{CA3F61F8-EC2D-41AC-945E-B8B40942F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5" name="Picture 594" descr="https://mail.google.com/mail/u/0/images/cleardot.gif">
          <a:extLst>
            <a:ext uri="{FF2B5EF4-FFF2-40B4-BE49-F238E27FC236}">
              <a16:creationId xmlns:a16="http://schemas.microsoft.com/office/drawing/2014/main" id="{9491EB97-BF2C-4D94-B117-3130B05E8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6" name="Picture 595" descr="https://mail.google.com/mail/u/0/images/cleardot.gif">
          <a:extLst>
            <a:ext uri="{FF2B5EF4-FFF2-40B4-BE49-F238E27FC236}">
              <a16:creationId xmlns:a16="http://schemas.microsoft.com/office/drawing/2014/main" id="{673EE4B8-1DD8-4076-BFC1-A7A5B0D29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7" name="Picture 596" descr="https://mail.google.com/mail/u/0/images/cleardot.gif">
          <a:extLst>
            <a:ext uri="{FF2B5EF4-FFF2-40B4-BE49-F238E27FC236}">
              <a16:creationId xmlns:a16="http://schemas.microsoft.com/office/drawing/2014/main" id="{44AAEED7-5C95-4BA8-8B09-5F988328D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8" name="Picture 597" descr="https://mail.google.com/mail/u/0/images/cleardot.gif">
          <a:extLst>
            <a:ext uri="{FF2B5EF4-FFF2-40B4-BE49-F238E27FC236}">
              <a16:creationId xmlns:a16="http://schemas.microsoft.com/office/drawing/2014/main" id="{F21E889B-BF15-4BBD-9CBA-D334D68E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599" name="Picture 598" descr="https://mail.google.com/mail/u/0/images/cleardot.gif">
          <a:extLst>
            <a:ext uri="{FF2B5EF4-FFF2-40B4-BE49-F238E27FC236}">
              <a16:creationId xmlns:a16="http://schemas.microsoft.com/office/drawing/2014/main" id="{8F8E0AFA-699B-4F54-98F6-9A881E8E1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0" name="Picture 599" descr="https://mail.google.com/mail/u/0/images/cleardot.gif">
          <a:extLst>
            <a:ext uri="{FF2B5EF4-FFF2-40B4-BE49-F238E27FC236}">
              <a16:creationId xmlns:a16="http://schemas.microsoft.com/office/drawing/2014/main" id="{6C93FD96-9B94-463D-B3A7-09483E51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1" name="Picture 600" descr="https://mail.google.com/mail/u/0/images/cleardot.gif">
          <a:extLst>
            <a:ext uri="{FF2B5EF4-FFF2-40B4-BE49-F238E27FC236}">
              <a16:creationId xmlns:a16="http://schemas.microsoft.com/office/drawing/2014/main" id="{2FDE74C0-3768-44D0-BA4E-EBEF170A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2" name="Picture 601" descr="https://mail.google.com/mail/u/0/images/cleardot.gif">
          <a:extLst>
            <a:ext uri="{FF2B5EF4-FFF2-40B4-BE49-F238E27FC236}">
              <a16:creationId xmlns:a16="http://schemas.microsoft.com/office/drawing/2014/main" id="{ECB98250-0562-4EB9-9ECC-82B2AEC6A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3" name="Picture 602" descr="https://mail.google.com/mail/u/0/images/cleardot.gif">
          <a:extLst>
            <a:ext uri="{FF2B5EF4-FFF2-40B4-BE49-F238E27FC236}">
              <a16:creationId xmlns:a16="http://schemas.microsoft.com/office/drawing/2014/main" id="{DB74B724-A9F3-4ABC-9917-316ABCF9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4" name="Picture 603" descr="https://mail.google.com/mail/u/0/images/cleardot.gif">
          <a:extLst>
            <a:ext uri="{FF2B5EF4-FFF2-40B4-BE49-F238E27FC236}">
              <a16:creationId xmlns:a16="http://schemas.microsoft.com/office/drawing/2014/main" id="{0B1257CF-4A97-4206-B39D-5FA1F259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5" name="Picture 604" descr="https://mail.google.com/mail/u/0/images/cleardot.gif">
          <a:extLst>
            <a:ext uri="{FF2B5EF4-FFF2-40B4-BE49-F238E27FC236}">
              <a16:creationId xmlns:a16="http://schemas.microsoft.com/office/drawing/2014/main" id="{321C8111-7865-4717-A1FE-E806A6955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6" name="Picture 605" descr="https://mail.google.com/mail/u/0/images/cleardot.gif">
          <a:extLst>
            <a:ext uri="{FF2B5EF4-FFF2-40B4-BE49-F238E27FC236}">
              <a16:creationId xmlns:a16="http://schemas.microsoft.com/office/drawing/2014/main" id="{BEC75159-7D2B-4091-BF0B-2ECF88BF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7" name="Picture 606" descr="https://mail.google.com/mail/u/0/images/cleardot.gif">
          <a:extLst>
            <a:ext uri="{FF2B5EF4-FFF2-40B4-BE49-F238E27FC236}">
              <a16:creationId xmlns:a16="http://schemas.microsoft.com/office/drawing/2014/main" id="{F36B7192-127C-4264-AFB8-8191D7A4F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8" name="Picture 607" descr="https://mail.google.com/mail/u/0/images/cleardot.gif">
          <a:extLst>
            <a:ext uri="{FF2B5EF4-FFF2-40B4-BE49-F238E27FC236}">
              <a16:creationId xmlns:a16="http://schemas.microsoft.com/office/drawing/2014/main" id="{C6D59DD2-DECF-4337-8036-47B76562E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09" name="Picture 608" descr="https://mail.google.com/mail/u/0/images/cleardot.gif">
          <a:extLst>
            <a:ext uri="{FF2B5EF4-FFF2-40B4-BE49-F238E27FC236}">
              <a16:creationId xmlns:a16="http://schemas.microsoft.com/office/drawing/2014/main" id="{4CBBB11D-211C-46CA-808B-328368935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0" name="Picture 609" descr="https://mail.google.com/mail/u/0/images/cleardot.gif">
          <a:extLst>
            <a:ext uri="{FF2B5EF4-FFF2-40B4-BE49-F238E27FC236}">
              <a16:creationId xmlns:a16="http://schemas.microsoft.com/office/drawing/2014/main" id="{2362CEAA-628A-49BC-AF3E-13655AB49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1" name="Picture 610" descr="https://mail.google.com/mail/u/0/images/cleardot.gif">
          <a:extLst>
            <a:ext uri="{FF2B5EF4-FFF2-40B4-BE49-F238E27FC236}">
              <a16:creationId xmlns:a16="http://schemas.microsoft.com/office/drawing/2014/main" id="{4CEF61C9-FD7A-4C57-8892-20CB55AC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2" name="Picture 611" descr="https://mail.google.com/mail/u/0/images/cleardot.gif">
          <a:extLst>
            <a:ext uri="{FF2B5EF4-FFF2-40B4-BE49-F238E27FC236}">
              <a16:creationId xmlns:a16="http://schemas.microsoft.com/office/drawing/2014/main" id="{61A1542D-1519-4A95-ABFC-8BB77B424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3" name="Picture 612" descr="https://mail.google.com/mail/u/0/images/cleardot.gif">
          <a:extLst>
            <a:ext uri="{FF2B5EF4-FFF2-40B4-BE49-F238E27FC236}">
              <a16:creationId xmlns:a16="http://schemas.microsoft.com/office/drawing/2014/main" id="{9139EDAF-5DD0-42AB-9350-7F2B750F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4" name="Picture 613" descr="https://mail.google.com/mail/u/0/images/cleardot.gif">
          <a:extLst>
            <a:ext uri="{FF2B5EF4-FFF2-40B4-BE49-F238E27FC236}">
              <a16:creationId xmlns:a16="http://schemas.microsoft.com/office/drawing/2014/main" id="{A38C3697-08FA-4751-9205-1C40A7E4D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5" name="Picture 614" descr="https://mail.google.com/mail/u/0/images/cleardot.gif">
          <a:extLst>
            <a:ext uri="{FF2B5EF4-FFF2-40B4-BE49-F238E27FC236}">
              <a16:creationId xmlns:a16="http://schemas.microsoft.com/office/drawing/2014/main" id="{7B511713-4CB9-45ED-98C4-6E1C0FC2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6" name="Picture 615" descr="https://mail.google.com/mail/u/0/images/cleardot.gif">
          <a:extLst>
            <a:ext uri="{FF2B5EF4-FFF2-40B4-BE49-F238E27FC236}">
              <a16:creationId xmlns:a16="http://schemas.microsoft.com/office/drawing/2014/main" id="{148439F9-808B-4582-BAEA-6EECB8755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7" name="Picture 616" descr="https://mail.google.com/mail/u/0/images/cleardot.gif">
          <a:extLst>
            <a:ext uri="{FF2B5EF4-FFF2-40B4-BE49-F238E27FC236}">
              <a16:creationId xmlns:a16="http://schemas.microsoft.com/office/drawing/2014/main" id="{6511319F-9DA4-4920-BD82-318BE87A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8" name="Picture 617" descr="https://mail.google.com/mail/u/0/images/cleardot.gif">
          <a:extLst>
            <a:ext uri="{FF2B5EF4-FFF2-40B4-BE49-F238E27FC236}">
              <a16:creationId xmlns:a16="http://schemas.microsoft.com/office/drawing/2014/main" id="{B00EFD9A-C732-4857-B3DF-14B80ACC3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19" name="Picture 618" descr="https://mail.google.com/mail/u/0/images/cleardot.gif">
          <a:extLst>
            <a:ext uri="{FF2B5EF4-FFF2-40B4-BE49-F238E27FC236}">
              <a16:creationId xmlns:a16="http://schemas.microsoft.com/office/drawing/2014/main" id="{391A704C-D1F3-4937-9844-B4BA7F5E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0" name="Picture 619" descr="https://mail.google.com/mail/u/0/images/cleardot.gif">
          <a:extLst>
            <a:ext uri="{FF2B5EF4-FFF2-40B4-BE49-F238E27FC236}">
              <a16:creationId xmlns:a16="http://schemas.microsoft.com/office/drawing/2014/main" id="{2C71DAA7-4ADF-4802-812F-4A5D3C76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1" name="Picture 620" descr="https://mail.google.com/mail/u/0/images/cleardot.gif">
          <a:extLst>
            <a:ext uri="{FF2B5EF4-FFF2-40B4-BE49-F238E27FC236}">
              <a16:creationId xmlns:a16="http://schemas.microsoft.com/office/drawing/2014/main" id="{95224DBB-1C3A-4C48-B278-20252BD4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2" name="Picture 621" descr="https://mail.google.com/mail/u/0/images/cleardot.gif">
          <a:extLst>
            <a:ext uri="{FF2B5EF4-FFF2-40B4-BE49-F238E27FC236}">
              <a16:creationId xmlns:a16="http://schemas.microsoft.com/office/drawing/2014/main" id="{81EB3100-9D3E-4D65-A48B-8EE25C882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3" name="Picture 622" descr="https://mail.google.com/mail/u/0/images/cleardot.gif">
          <a:extLst>
            <a:ext uri="{FF2B5EF4-FFF2-40B4-BE49-F238E27FC236}">
              <a16:creationId xmlns:a16="http://schemas.microsoft.com/office/drawing/2014/main" id="{5CD996A4-8B42-4049-994B-58E5E19DC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4" name="Picture 623" descr="https://mail.google.com/mail/u/0/images/cleardot.gif">
          <a:extLst>
            <a:ext uri="{FF2B5EF4-FFF2-40B4-BE49-F238E27FC236}">
              <a16:creationId xmlns:a16="http://schemas.microsoft.com/office/drawing/2014/main" id="{A8C90269-39CF-4BAD-8ECA-873B63905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5" name="Picture 624" descr="https://mail.google.com/mail/u/0/images/cleardot.gif">
          <a:extLst>
            <a:ext uri="{FF2B5EF4-FFF2-40B4-BE49-F238E27FC236}">
              <a16:creationId xmlns:a16="http://schemas.microsoft.com/office/drawing/2014/main" id="{D191A824-88BC-4CFC-A3D6-FE114C013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6" name="Picture 625" descr="https://mail.google.com/mail/u/0/images/cleardot.gif">
          <a:extLst>
            <a:ext uri="{FF2B5EF4-FFF2-40B4-BE49-F238E27FC236}">
              <a16:creationId xmlns:a16="http://schemas.microsoft.com/office/drawing/2014/main" id="{D5F81EF6-D75F-4426-951D-3A7A50453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7" name="Picture 626" descr="https://mail.google.com/mail/u/0/images/cleardot.gif">
          <a:extLst>
            <a:ext uri="{FF2B5EF4-FFF2-40B4-BE49-F238E27FC236}">
              <a16:creationId xmlns:a16="http://schemas.microsoft.com/office/drawing/2014/main" id="{51A7A86C-2881-4B00-91C7-378B4DF30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8" name="Picture 627" descr="https://mail.google.com/mail/u/0/images/cleardot.gif">
          <a:extLst>
            <a:ext uri="{FF2B5EF4-FFF2-40B4-BE49-F238E27FC236}">
              <a16:creationId xmlns:a16="http://schemas.microsoft.com/office/drawing/2014/main" id="{7B839ACD-41FD-4FB4-967A-7F6E9D5B6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29" name="Picture 628" descr="https://mail.google.com/mail/u/0/images/cleardot.gif">
          <a:extLst>
            <a:ext uri="{FF2B5EF4-FFF2-40B4-BE49-F238E27FC236}">
              <a16:creationId xmlns:a16="http://schemas.microsoft.com/office/drawing/2014/main" id="{40DFD3D6-AECE-4C49-B76E-5ACCD9C7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0" name="Picture 629" descr="https://mail.google.com/mail/u/0/images/cleardot.gif">
          <a:extLst>
            <a:ext uri="{FF2B5EF4-FFF2-40B4-BE49-F238E27FC236}">
              <a16:creationId xmlns:a16="http://schemas.microsoft.com/office/drawing/2014/main" id="{EDCBE793-E61D-4F57-80F3-447E609D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1" name="Picture 630" descr="https://mail.google.com/mail/u/0/images/cleardot.gif">
          <a:extLst>
            <a:ext uri="{FF2B5EF4-FFF2-40B4-BE49-F238E27FC236}">
              <a16:creationId xmlns:a16="http://schemas.microsoft.com/office/drawing/2014/main" id="{DF27C412-16A3-41B0-B621-EEF38DC4B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2" name="Picture 631" descr="https://mail.google.com/mail/u/0/images/cleardot.gif">
          <a:extLst>
            <a:ext uri="{FF2B5EF4-FFF2-40B4-BE49-F238E27FC236}">
              <a16:creationId xmlns:a16="http://schemas.microsoft.com/office/drawing/2014/main" id="{64FBD4C4-685C-46AB-9BC3-D6B21A3DA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3" name="Picture 632" descr="https://mail.google.com/mail/u/0/images/cleardot.gif">
          <a:extLst>
            <a:ext uri="{FF2B5EF4-FFF2-40B4-BE49-F238E27FC236}">
              <a16:creationId xmlns:a16="http://schemas.microsoft.com/office/drawing/2014/main" id="{683F35F2-B698-4117-A1DC-6B7F7D87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4" name="Picture 633" descr="https://mail.google.com/mail/u/0/images/cleardot.gif">
          <a:extLst>
            <a:ext uri="{FF2B5EF4-FFF2-40B4-BE49-F238E27FC236}">
              <a16:creationId xmlns:a16="http://schemas.microsoft.com/office/drawing/2014/main" id="{BDECE83C-E0AC-4311-8EE8-36BC9118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5" name="Picture 634" descr="https://mail.google.com/mail/u/0/images/cleardot.gif">
          <a:extLst>
            <a:ext uri="{FF2B5EF4-FFF2-40B4-BE49-F238E27FC236}">
              <a16:creationId xmlns:a16="http://schemas.microsoft.com/office/drawing/2014/main" id="{3B356B82-A976-4B46-8C65-09684369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6" name="Picture 635" descr="https://mail.google.com/mail/u/0/images/cleardot.gif">
          <a:extLst>
            <a:ext uri="{FF2B5EF4-FFF2-40B4-BE49-F238E27FC236}">
              <a16:creationId xmlns:a16="http://schemas.microsoft.com/office/drawing/2014/main" id="{0F2B4C49-B8FE-4AB0-9A57-08A8E764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7" name="Picture 636" descr="https://mail.google.com/mail/u/0/images/cleardot.gif">
          <a:extLst>
            <a:ext uri="{FF2B5EF4-FFF2-40B4-BE49-F238E27FC236}">
              <a16:creationId xmlns:a16="http://schemas.microsoft.com/office/drawing/2014/main" id="{75F8789A-B52B-4A58-8FD8-653C7FEB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8" name="Picture 637" descr="https://mail.google.com/mail/u/0/images/cleardot.gif">
          <a:extLst>
            <a:ext uri="{FF2B5EF4-FFF2-40B4-BE49-F238E27FC236}">
              <a16:creationId xmlns:a16="http://schemas.microsoft.com/office/drawing/2014/main" id="{259D3BD4-9322-4182-8926-E4B0281CE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39" name="Picture 638" descr="https://mail.google.com/mail/u/0/images/cleardot.gif">
          <a:extLst>
            <a:ext uri="{FF2B5EF4-FFF2-40B4-BE49-F238E27FC236}">
              <a16:creationId xmlns:a16="http://schemas.microsoft.com/office/drawing/2014/main" id="{2F463E4C-DA17-4EE2-B68A-EEE41342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0" name="Picture 639" descr="https://mail.google.com/mail/u/0/images/cleardot.gif">
          <a:extLst>
            <a:ext uri="{FF2B5EF4-FFF2-40B4-BE49-F238E27FC236}">
              <a16:creationId xmlns:a16="http://schemas.microsoft.com/office/drawing/2014/main" id="{3129A3DA-75AD-4B89-8673-57CD0CF6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1" name="Picture 640" descr="https://mail.google.com/mail/u/0/images/cleardot.gif">
          <a:extLst>
            <a:ext uri="{FF2B5EF4-FFF2-40B4-BE49-F238E27FC236}">
              <a16:creationId xmlns:a16="http://schemas.microsoft.com/office/drawing/2014/main" id="{6E9C1EDD-031B-472B-8C4C-365E0C911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2" name="Picture 641" descr="https://mail.google.com/mail/u/0/images/cleardot.gif">
          <a:extLst>
            <a:ext uri="{FF2B5EF4-FFF2-40B4-BE49-F238E27FC236}">
              <a16:creationId xmlns:a16="http://schemas.microsoft.com/office/drawing/2014/main" id="{3EE340AA-77E7-4E0B-9F2D-97A45313B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3" name="Picture 642" descr="https://mail.google.com/mail/u/0/images/cleardot.gif">
          <a:extLst>
            <a:ext uri="{FF2B5EF4-FFF2-40B4-BE49-F238E27FC236}">
              <a16:creationId xmlns:a16="http://schemas.microsoft.com/office/drawing/2014/main" id="{E8B2E638-3B35-4CB4-8D3C-F14154D7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4" name="Picture 643" descr="https://mail.google.com/mail/u/0/images/cleardot.gif">
          <a:extLst>
            <a:ext uri="{FF2B5EF4-FFF2-40B4-BE49-F238E27FC236}">
              <a16:creationId xmlns:a16="http://schemas.microsoft.com/office/drawing/2014/main" id="{656C06EF-ABE2-4549-B818-EDBAC487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5" name="Picture 644" descr="https://mail.google.com/mail/u/0/images/cleardot.gif">
          <a:extLst>
            <a:ext uri="{FF2B5EF4-FFF2-40B4-BE49-F238E27FC236}">
              <a16:creationId xmlns:a16="http://schemas.microsoft.com/office/drawing/2014/main" id="{288C0021-2E8D-4E8E-8F7C-FBE406506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6" name="Picture 645" descr="https://mail.google.com/mail/u/0/images/cleardot.gif">
          <a:extLst>
            <a:ext uri="{FF2B5EF4-FFF2-40B4-BE49-F238E27FC236}">
              <a16:creationId xmlns:a16="http://schemas.microsoft.com/office/drawing/2014/main" id="{892098DA-9D54-481E-8330-A8352ECE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7" name="Picture 646" descr="https://mail.google.com/mail/u/0/images/cleardot.gif">
          <a:extLst>
            <a:ext uri="{FF2B5EF4-FFF2-40B4-BE49-F238E27FC236}">
              <a16:creationId xmlns:a16="http://schemas.microsoft.com/office/drawing/2014/main" id="{D87C6505-FA29-459E-8E28-7D9DE259C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8" name="Picture 647" descr="https://mail.google.com/mail/u/0/images/cleardot.gif">
          <a:extLst>
            <a:ext uri="{FF2B5EF4-FFF2-40B4-BE49-F238E27FC236}">
              <a16:creationId xmlns:a16="http://schemas.microsoft.com/office/drawing/2014/main" id="{3AC30FA4-621D-427B-BD73-FFD821AD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49" name="Picture 648" descr="https://mail.google.com/mail/u/0/images/cleardot.gif">
          <a:extLst>
            <a:ext uri="{FF2B5EF4-FFF2-40B4-BE49-F238E27FC236}">
              <a16:creationId xmlns:a16="http://schemas.microsoft.com/office/drawing/2014/main" id="{29381D4A-64A4-4CD0-8831-CC3EF5580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0" name="Picture 649" descr="https://mail.google.com/mail/u/0/images/cleardot.gif">
          <a:extLst>
            <a:ext uri="{FF2B5EF4-FFF2-40B4-BE49-F238E27FC236}">
              <a16:creationId xmlns:a16="http://schemas.microsoft.com/office/drawing/2014/main" id="{0A5AE8BE-016A-46C6-A250-D6BC7DB63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1" name="Picture 650" descr="https://mail.google.com/mail/u/0/images/cleardot.gif">
          <a:extLst>
            <a:ext uri="{FF2B5EF4-FFF2-40B4-BE49-F238E27FC236}">
              <a16:creationId xmlns:a16="http://schemas.microsoft.com/office/drawing/2014/main" id="{D3D29596-0B78-4B48-BC76-FF74EBB02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2" name="Picture 651" descr="https://mail.google.com/mail/u/0/images/cleardot.gif">
          <a:extLst>
            <a:ext uri="{FF2B5EF4-FFF2-40B4-BE49-F238E27FC236}">
              <a16:creationId xmlns:a16="http://schemas.microsoft.com/office/drawing/2014/main" id="{7CA9EAB1-8887-4D90-8610-30394814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3" name="Picture 652" descr="https://mail.google.com/mail/u/0/images/cleardot.gif">
          <a:extLst>
            <a:ext uri="{FF2B5EF4-FFF2-40B4-BE49-F238E27FC236}">
              <a16:creationId xmlns:a16="http://schemas.microsoft.com/office/drawing/2014/main" id="{D5C12683-E65A-43F4-B28E-A2DA27C0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4" name="Picture 653" descr="https://mail.google.com/mail/u/0/images/cleardot.gif">
          <a:extLst>
            <a:ext uri="{FF2B5EF4-FFF2-40B4-BE49-F238E27FC236}">
              <a16:creationId xmlns:a16="http://schemas.microsoft.com/office/drawing/2014/main" id="{D05E139E-853B-47A7-98BD-E66F11AA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5" name="Picture 654" descr="https://mail.google.com/mail/u/0/images/cleardot.gif">
          <a:extLst>
            <a:ext uri="{FF2B5EF4-FFF2-40B4-BE49-F238E27FC236}">
              <a16:creationId xmlns:a16="http://schemas.microsoft.com/office/drawing/2014/main" id="{1CA84079-7DE1-4014-B52E-17C0D373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6" name="Picture 655" descr="https://mail.google.com/mail/u/0/images/cleardot.gif">
          <a:extLst>
            <a:ext uri="{FF2B5EF4-FFF2-40B4-BE49-F238E27FC236}">
              <a16:creationId xmlns:a16="http://schemas.microsoft.com/office/drawing/2014/main" id="{851404D5-15D8-4082-B859-00F23A9C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7" name="Picture 656" descr="https://mail.google.com/mail/u/0/images/cleardot.gif">
          <a:extLst>
            <a:ext uri="{FF2B5EF4-FFF2-40B4-BE49-F238E27FC236}">
              <a16:creationId xmlns:a16="http://schemas.microsoft.com/office/drawing/2014/main" id="{66CEECE3-DEEB-481E-A27E-2E8484961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8" name="Picture 657" descr="https://mail.google.com/mail/u/0/images/cleardot.gif">
          <a:extLst>
            <a:ext uri="{FF2B5EF4-FFF2-40B4-BE49-F238E27FC236}">
              <a16:creationId xmlns:a16="http://schemas.microsoft.com/office/drawing/2014/main" id="{C2D9E230-5F38-4E19-BAC8-44A83C21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59" name="Picture 658" descr="https://mail.google.com/mail/u/0/images/cleardot.gif">
          <a:extLst>
            <a:ext uri="{FF2B5EF4-FFF2-40B4-BE49-F238E27FC236}">
              <a16:creationId xmlns:a16="http://schemas.microsoft.com/office/drawing/2014/main" id="{018B7426-C133-438A-9A2E-F1685D8C2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0" name="Picture 659" descr="https://mail.google.com/mail/u/0/images/cleardot.gif">
          <a:extLst>
            <a:ext uri="{FF2B5EF4-FFF2-40B4-BE49-F238E27FC236}">
              <a16:creationId xmlns:a16="http://schemas.microsoft.com/office/drawing/2014/main" id="{DC9347A4-A1E4-4521-B383-C709191EC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1" name="Picture 660" descr="https://mail.google.com/mail/u/0/images/cleardot.gif">
          <a:extLst>
            <a:ext uri="{FF2B5EF4-FFF2-40B4-BE49-F238E27FC236}">
              <a16:creationId xmlns:a16="http://schemas.microsoft.com/office/drawing/2014/main" id="{8DC2C874-36E1-48B5-809A-AB7AD753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2" name="Picture 661" descr="https://mail.google.com/mail/u/0/images/cleardot.gif">
          <a:extLst>
            <a:ext uri="{FF2B5EF4-FFF2-40B4-BE49-F238E27FC236}">
              <a16:creationId xmlns:a16="http://schemas.microsoft.com/office/drawing/2014/main" id="{C1FD891A-8200-49EF-BDBF-58940BA1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3" name="Picture 662" descr="https://mail.google.com/mail/u/0/images/cleardot.gif">
          <a:extLst>
            <a:ext uri="{FF2B5EF4-FFF2-40B4-BE49-F238E27FC236}">
              <a16:creationId xmlns:a16="http://schemas.microsoft.com/office/drawing/2014/main" id="{04CB8CD1-D457-4F04-882D-DAE14483F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4" name="Picture 663" descr="https://mail.google.com/mail/u/0/images/cleardot.gif">
          <a:extLst>
            <a:ext uri="{FF2B5EF4-FFF2-40B4-BE49-F238E27FC236}">
              <a16:creationId xmlns:a16="http://schemas.microsoft.com/office/drawing/2014/main" id="{732BFB1F-42B0-4889-87B1-15161CD08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5" name="Picture 664" descr="https://mail.google.com/mail/u/0/images/cleardot.gif">
          <a:extLst>
            <a:ext uri="{FF2B5EF4-FFF2-40B4-BE49-F238E27FC236}">
              <a16:creationId xmlns:a16="http://schemas.microsoft.com/office/drawing/2014/main" id="{88161E75-B4C5-4A64-A634-34866DDE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6" name="Picture 665" descr="https://mail.google.com/mail/u/0/images/cleardot.gif">
          <a:extLst>
            <a:ext uri="{FF2B5EF4-FFF2-40B4-BE49-F238E27FC236}">
              <a16:creationId xmlns:a16="http://schemas.microsoft.com/office/drawing/2014/main" id="{3F68B57C-B15A-4836-BC4E-A4836F74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7" name="Picture 666" descr="https://mail.google.com/mail/u/0/images/cleardot.gif">
          <a:extLst>
            <a:ext uri="{FF2B5EF4-FFF2-40B4-BE49-F238E27FC236}">
              <a16:creationId xmlns:a16="http://schemas.microsoft.com/office/drawing/2014/main" id="{2C6F4A00-35A7-43BD-A5F1-1F7F385C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8" name="Picture 667" descr="https://mail.google.com/mail/u/0/images/cleardot.gif">
          <a:extLst>
            <a:ext uri="{FF2B5EF4-FFF2-40B4-BE49-F238E27FC236}">
              <a16:creationId xmlns:a16="http://schemas.microsoft.com/office/drawing/2014/main" id="{41A0F2E9-2624-438C-BC32-BF9ADA337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69" name="Picture 668" descr="https://mail.google.com/mail/u/0/images/cleardot.gif">
          <a:extLst>
            <a:ext uri="{FF2B5EF4-FFF2-40B4-BE49-F238E27FC236}">
              <a16:creationId xmlns:a16="http://schemas.microsoft.com/office/drawing/2014/main" id="{9334EF7E-9C75-4B11-8144-B01A082A6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0" name="Picture 669" descr="https://mail.google.com/mail/u/0/images/cleardot.gif">
          <a:extLst>
            <a:ext uri="{FF2B5EF4-FFF2-40B4-BE49-F238E27FC236}">
              <a16:creationId xmlns:a16="http://schemas.microsoft.com/office/drawing/2014/main" id="{09D410B6-3620-4CAB-8635-DBCD7D18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1" name="Picture 670" descr="https://mail.google.com/mail/u/0/images/cleardot.gif">
          <a:extLst>
            <a:ext uri="{FF2B5EF4-FFF2-40B4-BE49-F238E27FC236}">
              <a16:creationId xmlns:a16="http://schemas.microsoft.com/office/drawing/2014/main" id="{24A5CD08-C3D3-4DCE-A594-739E5D59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2" name="Picture 671" descr="https://mail.google.com/mail/u/0/images/cleardot.gif">
          <a:extLst>
            <a:ext uri="{FF2B5EF4-FFF2-40B4-BE49-F238E27FC236}">
              <a16:creationId xmlns:a16="http://schemas.microsoft.com/office/drawing/2014/main" id="{26881D3E-07D3-4A67-B03F-EA1AEB6E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3" name="Picture 672" descr="https://mail.google.com/mail/u/0/images/cleardot.gif">
          <a:extLst>
            <a:ext uri="{FF2B5EF4-FFF2-40B4-BE49-F238E27FC236}">
              <a16:creationId xmlns:a16="http://schemas.microsoft.com/office/drawing/2014/main" id="{089E1926-AD2A-4F24-A15E-284F1A6E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4" name="Picture 673" descr="https://mail.google.com/mail/u/0/images/cleardot.gif">
          <a:extLst>
            <a:ext uri="{FF2B5EF4-FFF2-40B4-BE49-F238E27FC236}">
              <a16:creationId xmlns:a16="http://schemas.microsoft.com/office/drawing/2014/main" id="{39C83A08-8501-475F-BFF8-30DB0F7C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5" name="Picture 674" descr="https://mail.google.com/mail/u/0/images/cleardot.gif">
          <a:extLst>
            <a:ext uri="{FF2B5EF4-FFF2-40B4-BE49-F238E27FC236}">
              <a16:creationId xmlns:a16="http://schemas.microsoft.com/office/drawing/2014/main" id="{D6A26EA2-8F9C-42AE-AB60-87D2EBA1F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6" name="Picture 675" descr="https://mail.google.com/mail/u/0/images/cleardot.gif">
          <a:extLst>
            <a:ext uri="{FF2B5EF4-FFF2-40B4-BE49-F238E27FC236}">
              <a16:creationId xmlns:a16="http://schemas.microsoft.com/office/drawing/2014/main" id="{B743B259-0E8A-45CE-8E15-7B72CA2AD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7" name="Picture 676" descr="https://mail.google.com/mail/u/0/images/cleardot.gif">
          <a:extLst>
            <a:ext uri="{FF2B5EF4-FFF2-40B4-BE49-F238E27FC236}">
              <a16:creationId xmlns:a16="http://schemas.microsoft.com/office/drawing/2014/main" id="{9EFBD6FD-5120-4B4D-A2E8-E54CA8B6B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8" name="Picture 677" descr="https://mail.google.com/mail/u/0/images/cleardot.gif">
          <a:extLst>
            <a:ext uri="{FF2B5EF4-FFF2-40B4-BE49-F238E27FC236}">
              <a16:creationId xmlns:a16="http://schemas.microsoft.com/office/drawing/2014/main" id="{821CB730-D746-4FDA-B18B-0B24C092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79" name="Picture 678" descr="https://mail.google.com/mail/u/0/images/cleardot.gif">
          <a:extLst>
            <a:ext uri="{FF2B5EF4-FFF2-40B4-BE49-F238E27FC236}">
              <a16:creationId xmlns:a16="http://schemas.microsoft.com/office/drawing/2014/main" id="{55F9C0F3-3721-4D8E-A555-C8F8C82E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0" name="Picture 679" descr="https://mail.google.com/mail/u/0/images/cleardot.gif">
          <a:extLst>
            <a:ext uri="{FF2B5EF4-FFF2-40B4-BE49-F238E27FC236}">
              <a16:creationId xmlns:a16="http://schemas.microsoft.com/office/drawing/2014/main" id="{B728DE89-1227-49C9-97C8-F3ADCDF7C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1" name="Picture 680" descr="https://mail.google.com/mail/u/0/images/cleardot.gif">
          <a:extLst>
            <a:ext uri="{FF2B5EF4-FFF2-40B4-BE49-F238E27FC236}">
              <a16:creationId xmlns:a16="http://schemas.microsoft.com/office/drawing/2014/main" id="{C30E6555-F863-455B-9A7B-464CA13D6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2" name="Picture 681" descr="https://mail.google.com/mail/u/0/images/cleardot.gif">
          <a:extLst>
            <a:ext uri="{FF2B5EF4-FFF2-40B4-BE49-F238E27FC236}">
              <a16:creationId xmlns:a16="http://schemas.microsoft.com/office/drawing/2014/main" id="{5837E995-8818-4A33-B804-E4E559067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3" name="Picture 682" descr="https://mail.google.com/mail/u/0/images/cleardot.gif">
          <a:extLst>
            <a:ext uri="{FF2B5EF4-FFF2-40B4-BE49-F238E27FC236}">
              <a16:creationId xmlns:a16="http://schemas.microsoft.com/office/drawing/2014/main" id="{1D36730E-ED1F-4897-8048-C80E33AC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4" name="Picture 683" descr="https://mail.google.com/mail/u/0/images/cleardot.gif">
          <a:extLst>
            <a:ext uri="{FF2B5EF4-FFF2-40B4-BE49-F238E27FC236}">
              <a16:creationId xmlns:a16="http://schemas.microsoft.com/office/drawing/2014/main" id="{88BDA919-B6C2-4217-9EB2-EE79C122D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5" name="Picture 684" descr="https://mail.google.com/mail/u/0/images/cleardot.gif">
          <a:extLst>
            <a:ext uri="{FF2B5EF4-FFF2-40B4-BE49-F238E27FC236}">
              <a16:creationId xmlns:a16="http://schemas.microsoft.com/office/drawing/2014/main" id="{336F3874-32A2-46C9-B47F-5A82E520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6" name="Picture 685" descr="https://mail.google.com/mail/u/0/images/cleardot.gif">
          <a:extLst>
            <a:ext uri="{FF2B5EF4-FFF2-40B4-BE49-F238E27FC236}">
              <a16:creationId xmlns:a16="http://schemas.microsoft.com/office/drawing/2014/main" id="{33D8893B-EC34-4481-AE7E-C7C431CA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7" name="Picture 686" descr="https://mail.google.com/mail/u/0/images/cleardot.gif">
          <a:extLst>
            <a:ext uri="{FF2B5EF4-FFF2-40B4-BE49-F238E27FC236}">
              <a16:creationId xmlns:a16="http://schemas.microsoft.com/office/drawing/2014/main" id="{C29DA776-86F8-4E3A-94BE-BB6427F36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8" name="Picture 687" descr="https://mail.google.com/mail/u/0/images/cleardot.gif">
          <a:extLst>
            <a:ext uri="{FF2B5EF4-FFF2-40B4-BE49-F238E27FC236}">
              <a16:creationId xmlns:a16="http://schemas.microsoft.com/office/drawing/2014/main" id="{5B109910-A795-47E6-BB11-D7868970B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89" name="Picture 688" descr="https://mail.google.com/mail/u/0/images/cleardot.gif">
          <a:extLst>
            <a:ext uri="{FF2B5EF4-FFF2-40B4-BE49-F238E27FC236}">
              <a16:creationId xmlns:a16="http://schemas.microsoft.com/office/drawing/2014/main" id="{B1324648-A5CA-4444-BB96-58BB295AC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0" name="Picture 689" descr="https://mail.google.com/mail/u/0/images/cleardot.gif">
          <a:extLst>
            <a:ext uri="{FF2B5EF4-FFF2-40B4-BE49-F238E27FC236}">
              <a16:creationId xmlns:a16="http://schemas.microsoft.com/office/drawing/2014/main" id="{18CF9DD6-BC5C-4B24-85EA-0A0186BFD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1" name="Picture 690" descr="https://mail.google.com/mail/u/0/images/cleardot.gif">
          <a:extLst>
            <a:ext uri="{FF2B5EF4-FFF2-40B4-BE49-F238E27FC236}">
              <a16:creationId xmlns:a16="http://schemas.microsoft.com/office/drawing/2014/main" id="{F29908DC-38F9-4E53-9EC4-CCD3F73D4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2" name="Picture 691" descr="https://mail.google.com/mail/u/0/images/cleardot.gif">
          <a:extLst>
            <a:ext uri="{FF2B5EF4-FFF2-40B4-BE49-F238E27FC236}">
              <a16:creationId xmlns:a16="http://schemas.microsoft.com/office/drawing/2014/main" id="{3A5E1A59-1A28-45CD-AF7A-1E7072AF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3" name="Picture 692" descr="https://mail.google.com/mail/u/0/images/cleardot.gif">
          <a:extLst>
            <a:ext uri="{FF2B5EF4-FFF2-40B4-BE49-F238E27FC236}">
              <a16:creationId xmlns:a16="http://schemas.microsoft.com/office/drawing/2014/main" id="{A9C2E275-97C4-46DA-855F-C9892C1C3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4" name="Picture 693" descr="https://mail.google.com/mail/u/0/images/cleardot.gif">
          <a:extLst>
            <a:ext uri="{FF2B5EF4-FFF2-40B4-BE49-F238E27FC236}">
              <a16:creationId xmlns:a16="http://schemas.microsoft.com/office/drawing/2014/main" id="{9DCFDE25-AF95-4C59-B6BE-65B3CF67A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5" name="Picture 694" descr="https://mail.google.com/mail/u/0/images/cleardot.gif">
          <a:extLst>
            <a:ext uri="{FF2B5EF4-FFF2-40B4-BE49-F238E27FC236}">
              <a16:creationId xmlns:a16="http://schemas.microsoft.com/office/drawing/2014/main" id="{EEC935DE-5C5B-4E5A-B134-80CF49A41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6" name="Picture 695" descr="https://mail.google.com/mail/u/0/images/cleardot.gif">
          <a:extLst>
            <a:ext uri="{FF2B5EF4-FFF2-40B4-BE49-F238E27FC236}">
              <a16:creationId xmlns:a16="http://schemas.microsoft.com/office/drawing/2014/main" id="{32F31D40-8747-441F-9B23-9A1D81F4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7" name="Picture 696" descr="https://mail.google.com/mail/u/0/images/cleardot.gif">
          <a:extLst>
            <a:ext uri="{FF2B5EF4-FFF2-40B4-BE49-F238E27FC236}">
              <a16:creationId xmlns:a16="http://schemas.microsoft.com/office/drawing/2014/main" id="{20B9C373-D967-4EDD-B1C7-1EF86747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8" name="Picture 697" descr="https://mail.google.com/mail/u/0/images/cleardot.gif">
          <a:extLst>
            <a:ext uri="{FF2B5EF4-FFF2-40B4-BE49-F238E27FC236}">
              <a16:creationId xmlns:a16="http://schemas.microsoft.com/office/drawing/2014/main" id="{2658BC3B-A720-470C-AFCD-60FFA0969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699" name="Picture 698" descr="https://mail.google.com/mail/u/0/images/cleardot.gif">
          <a:extLst>
            <a:ext uri="{FF2B5EF4-FFF2-40B4-BE49-F238E27FC236}">
              <a16:creationId xmlns:a16="http://schemas.microsoft.com/office/drawing/2014/main" id="{D261C131-CCC4-4CB4-A54D-D086F2A28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0" name="Picture 699" descr="https://mail.google.com/mail/u/0/images/cleardot.gif">
          <a:extLst>
            <a:ext uri="{FF2B5EF4-FFF2-40B4-BE49-F238E27FC236}">
              <a16:creationId xmlns:a16="http://schemas.microsoft.com/office/drawing/2014/main" id="{2B8AE637-351B-40A3-9204-59E60C5B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1" name="Picture 700" descr="https://mail.google.com/mail/u/0/images/cleardot.gif">
          <a:extLst>
            <a:ext uri="{FF2B5EF4-FFF2-40B4-BE49-F238E27FC236}">
              <a16:creationId xmlns:a16="http://schemas.microsoft.com/office/drawing/2014/main" id="{3677E4DC-4EBE-467E-B53F-DC0319553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2" name="Picture 701" descr="https://mail.google.com/mail/u/0/images/cleardot.gif">
          <a:extLst>
            <a:ext uri="{FF2B5EF4-FFF2-40B4-BE49-F238E27FC236}">
              <a16:creationId xmlns:a16="http://schemas.microsoft.com/office/drawing/2014/main" id="{811C7D22-BD60-43DB-9BCF-4D1BC2F8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3" name="Picture 702" descr="https://mail.google.com/mail/u/0/images/cleardot.gif">
          <a:extLst>
            <a:ext uri="{FF2B5EF4-FFF2-40B4-BE49-F238E27FC236}">
              <a16:creationId xmlns:a16="http://schemas.microsoft.com/office/drawing/2014/main" id="{17065080-D395-420A-9D39-34035C94D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4" name="Picture 703" descr="https://mail.google.com/mail/u/0/images/cleardot.gif">
          <a:extLst>
            <a:ext uri="{FF2B5EF4-FFF2-40B4-BE49-F238E27FC236}">
              <a16:creationId xmlns:a16="http://schemas.microsoft.com/office/drawing/2014/main" id="{3CB64499-AB39-4362-B377-D5BABB5F6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5" name="Picture 704" descr="https://mail.google.com/mail/u/0/images/cleardot.gif">
          <a:extLst>
            <a:ext uri="{FF2B5EF4-FFF2-40B4-BE49-F238E27FC236}">
              <a16:creationId xmlns:a16="http://schemas.microsoft.com/office/drawing/2014/main" id="{EACB5E4F-BCD2-4BA6-8D94-DBE5172A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6" name="Picture 705" descr="https://mail.google.com/mail/u/0/images/cleardot.gif">
          <a:extLst>
            <a:ext uri="{FF2B5EF4-FFF2-40B4-BE49-F238E27FC236}">
              <a16:creationId xmlns:a16="http://schemas.microsoft.com/office/drawing/2014/main" id="{819138A3-5BE0-476E-930C-926011CC5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7" name="Picture 706" descr="https://mail.google.com/mail/u/0/images/cleardot.gif">
          <a:extLst>
            <a:ext uri="{FF2B5EF4-FFF2-40B4-BE49-F238E27FC236}">
              <a16:creationId xmlns:a16="http://schemas.microsoft.com/office/drawing/2014/main" id="{22A1F112-0B93-41A1-84ED-9FC82DCBA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8" name="Picture 707" descr="https://mail.google.com/mail/u/0/images/cleardot.gif">
          <a:extLst>
            <a:ext uri="{FF2B5EF4-FFF2-40B4-BE49-F238E27FC236}">
              <a16:creationId xmlns:a16="http://schemas.microsoft.com/office/drawing/2014/main" id="{367C0AE7-4303-48E9-A67E-98F00B17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09" name="Picture 708" descr="https://mail.google.com/mail/u/0/images/cleardot.gif">
          <a:extLst>
            <a:ext uri="{FF2B5EF4-FFF2-40B4-BE49-F238E27FC236}">
              <a16:creationId xmlns:a16="http://schemas.microsoft.com/office/drawing/2014/main" id="{9DCDEDFE-518E-4688-98BA-55BBAA533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0" name="Picture 709" descr="https://mail.google.com/mail/u/0/images/cleardot.gif">
          <a:extLst>
            <a:ext uri="{FF2B5EF4-FFF2-40B4-BE49-F238E27FC236}">
              <a16:creationId xmlns:a16="http://schemas.microsoft.com/office/drawing/2014/main" id="{C376EBC5-DA20-4B10-9695-AF6927F1F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1" name="Picture 710" descr="https://mail.google.com/mail/u/0/images/cleardot.gif">
          <a:extLst>
            <a:ext uri="{FF2B5EF4-FFF2-40B4-BE49-F238E27FC236}">
              <a16:creationId xmlns:a16="http://schemas.microsoft.com/office/drawing/2014/main" id="{EB932980-EA64-43F9-AC73-FB3538AD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2" name="Picture 711" descr="https://mail.google.com/mail/u/0/images/cleardot.gif">
          <a:extLst>
            <a:ext uri="{FF2B5EF4-FFF2-40B4-BE49-F238E27FC236}">
              <a16:creationId xmlns:a16="http://schemas.microsoft.com/office/drawing/2014/main" id="{EB2A2DA3-0AE5-474B-9D7D-BCEC22ED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3" name="Picture 712" descr="https://mail.google.com/mail/u/0/images/cleardot.gif">
          <a:extLst>
            <a:ext uri="{FF2B5EF4-FFF2-40B4-BE49-F238E27FC236}">
              <a16:creationId xmlns:a16="http://schemas.microsoft.com/office/drawing/2014/main" id="{EF8B151E-59AD-4FE1-9FA6-53F2D34DB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4" name="Picture 713" descr="https://mail.google.com/mail/u/0/images/cleardot.gif">
          <a:extLst>
            <a:ext uri="{FF2B5EF4-FFF2-40B4-BE49-F238E27FC236}">
              <a16:creationId xmlns:a16="http://schemas.microsoft.com/office/drawing/2014/main" id="{7744FBAE-321F-426D-84B1-7AC530C93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5" name="Picture 714" descr="https://mail.google.com/mail/u/0/images/cleardot.gif">
          <a:extLst>
            <a:ext uri="{FF2B5EF4-FFF2-40B4-BE49-F238E27FC236}">
              <a16:creationId xmlns:a16="http://schemas.microsoft.com/office/drawing/2014/main" id="{1CE7CE12-A3C6-4BE6-AAC5-3B52411DF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6" name="Picture 715" descr="https://mail.google.com/mail/u/0/images/cleardot.gif">
          <a:extLst>
            <a:ext uri="{FF2B5EF4-FFF2-40B4-BE49-F238E27FC236}">
              <a16:creationId xmlns:a16="http://schemas.microsoft.com/office/drawing/2014/main" id="{6E2B1E3C-7991-4823-BF9B-03999CF2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7" name="Picture 716" descr="https://mail.google.com/mail/u/0/images/cleardot.gif">
          <a:extLst>
            <a:ext uri="{FF2B5EF4-FFF2-40B4-BE49-F238E27FC236}">
              <a16:creationId xmlns:a16="http://schemas.microsoft.com/office/drawing/2014/main" id="{9F54F866-969C-4B7C-8CCA-2C4AECF43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8" name="Picture 717" descr="https://mail.google.com/mail/u/0/images/cleardot.gif">
          <a:extLst>
            <a:ext uri="{FF2B5EF4-FFF2-40B4-BE49-F238E27FC236}">
              <a16:creationId xmlns:a16="http://schemas.microsoft.com/office/drawing/2014/main" id="{D732D537-B9C0-47A1-970C-F3D72608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19" name="Picture 718" descr="https://mail.google.com/mail/u/0/images/cleardot.gif">
          <a:extLst>
            <a:ext uri="{FF2B5EF4-FFF2-40B4-BE49-F238E27FC236}">
              <a16:creationId xmlns:a16="http://schemas.microsoft.com/office/drawing/2014/main" id="{62376375-FB0D-4847-AEC1-1F585CE4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0" name="Picture 719" descr="https://mail.google.com/mail/u/0/images/cleardot.gif">
          <a:extLst>
            <a:ext uri="{FF2B5EF4-FFF2-40B4-BE49-F238E27FC236}">
              <a16:creationId xmlns:a16="http://schemas.microsoft.com/office/drawing/2014/main" id="{A533ACCD-C421-4227-848D-1BBD1E4B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1" name="Picture 720" descr="https://mail.google.com/mail/u/0/images/cleardot.gif">
          <a:extLst>
            <a:ext uri="{FF2B5EF4-FFF2-40B4-BE49-F238E27FC236}">
              <a16:creationId xmlns:a16="http://schemas.microsoft.com/office/drawing/2014/main" id="{04D8D858-11B4-4528-BA0C-B994D0B0C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2" name="Picture 721" descr="https://mail.google.com/mail/u/0/images/cleardot.gif">
          <a:extLst>
            <a:ext uri="{FF2B5EF4-FFF2-40B4-BE49-F238E27FC236}">
              <a16:creationId xmlns:a16="http://schemas.microsoft.com/office/drawing/2014/main" id="{70CCB070-0D3A-43E2-8E16-06F7E388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3" name="Picture 722" descr="https://mail.google.com/mail/u/0/images/cleardot.gif">
          <a:extLst>
            <a:ext uri="{FF2B5EF4-FFF2-40B4-BE49-F238E27FC236}">
              <a16:creationId xmlns:a16="http://schemas.microsoft.com/office/drawing/2014/main" id="{C867662A-04C0-4260-AAD6-FF1B41B24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4" name="Picture 723" descr="https://mail.google.com/mail/u/0/images/cleardot.gif">
          <a:extLst>
            <a:ext uri="{FF2B5EF4-FFF2-40B4-BE49-F238E27FC236}">
              <a16:creationId xmlns:a16="http://schemas.microsoft.com/office/drawing/2014/main" id="{DC920BFE-ED5F-4F41-94F6-AA612B9E5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5" name="Picture 724" descr="https://mail.google.com/mail/u/0/images/cleardot.gif">
          <a:extLst>
            <a:ext uri="{FF2B5EF4-FFF2-40B4-BE49-F238E27FC236}">
              <a16:creationId xmlns:a16="http://schemas.microsoft.com/office/drawing/2014/main" id="{F871E909-E68C-40DB-99A4-5883B9CA4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6" name="Picture 725" descr="https://mail.google.com/mail/u/0/images/cleardot.gif">
          <a:extLst>
            <a:ext uri="{FF2B5EF4-FFF2-40B4-BE49-F238E27FC236}">
              <a16:creationId xmlns:a16="http://schemas.microsoft.com/office/drawing/2014/main" id="{6EE2474C-96B8-42CA-9D4A-418EE156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7" name="Picture 726" descr="https://mail.google.com/mail/u/0/images/cleardot.gif">
          <a:extLst>
            <a:ext uri="{FF2B5EF4-FFF2-40B4-BE49-F238E27FC236}">
              <a16:creationId xmlns:a16="http://schemas.microsoft.com/office/drawing/2014/main" id="{D92939BB-2D92-46B0-8428-62AD6FD2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8" name="Picture 727" descr="https://mail.google.com/mail/u/0/images/cleardot.gif">
          <a:extLst>
            <a:ext uri="{FF2B5EF4-FFF2-40B4-BE49-F238E27FC236}">
              <a16:creationId xmlns:a16="http://schemas.microsoft.com/office/drawing/2014/main" id="{0BA80B1F-7C75-4B09-837A-AB19FA4B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29" name="Picture 728" descr="https://mail.google.com/mail/u/0/images/cleardot.gif">
          <a:extLst>
            <a:ext uri="{FF2B5EF4-FFF2-40B4-BE49-F238E27FC236}">
              <a16:creationId xmlns:a16="http://schemas.microsoft.com/office/drawing/2014/main" id="{0AE477CC-7D45-4A78-A120-64F995F9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0" name="Picture 729" descr="https://mail.google.com/mail/u/0/images/cleardot.gif">
          <a:extLst>
            <a:ext uri="{FF2B5EF4-FFF2-40B4-BE49-F238E27FC236}">
              <a16:creationId xmlns:a16="http://schemas.microsoft.com/office/drawing/2014/main" id="{76E6D5DA-67EC-4B4E-8A42-A0524A399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1" name="Picture 730" descr="https://mail.google.com/mail/u/0/images/cleardot.gif">
          <a:extLst>
            <a:ext uri="{FF2B5EF4-FFF2-40B4-BE49-F238E27FC236}">
              <a16:creationId xmlns:a16="http://schemas.microsoft.com/office/drawing/2014/main" id="{352316A6-F2D0-4F71-AB3B-CCDE7C6A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2" name="Picture 731" descr="https://mail.google.com/mail/u/0/images/cleardot.gif">
          <a:extLst>
            <a:ext uri="{FF2B5EF4-FFF2-40B4-BE49-F238E27FC236}">
              <a16:creationId xmlns:a16="http://schemas.microsoft.com/office/drawing/2014/main" id="{6EBC0F64-1FE8-47A3-8BD8-AED7E2A33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3" name="Picture 732" descr="https://mail.google.com/mail/u/0/images/cleardot.gif">
          <a:extLst>
            <a:ext uri="{FF2B5EF4-FFF2-40B4-BE49-F238E27FC236}">
              <a16:creationId xmlns:a16="http://schemas.microsoft.com/office/drawing/2014/main" id="{16AEA837-8F6E-4CFA-9B33-889D7EF59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4" name="Picture 733" descr="https://mail.google.com/mail/u/0/images/cleardot.gif">
          <a:extLst>
            <a:ext uri="{FF2B5EF4-FFF2-40B4-BE49-F238E27FC236}">
              <a16:creationId xmlns:a16="http://schemas.microsoft.com/office/drawing/2014/main" id="{F8D32CDA-68D1-4686-8361-B0B5C02D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5" name="Picture 734" descr="https://mail.google.com/mail/u/0/images/cleardot.gif">
          <a:extLst>
            <a:ext uri="{FF2B5EF4-FFF2-40B4-BE49-F238E27FC236}">
              <a16:creationId xmlns:a16="http://schemas.microsoft.com/office/drawing/2014/main" id="{1FBBA608-0803-4BDF-BB05-B15BA609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6" name="Picture 735" descr="https://mail.google.com/mail/u/0/images/cleardot.gif">
          <a:extLst>
            <a:ext uri="{FF2B5EF4-FFF2-40B4-BE49-F238E27FC236}">
              <a16:creationId xmlns:a16="http://schemas.microsoft.com/office/drawing/2014/main" id="{58AB3238-8C11-429C-9D8D-CA23AC94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7" name="Picture 736" descr="https://mail.google.com/mail/u/0/images/cleardot.gif">
          <a:extLst>
            <a:ext uri="{FF2B5EF4-FFF2-40B4-BE49-F238E27FC236}">
              <a16:creationId xmlns:a16="http://schemas.microsoft.com/office/drawing/2014/main" id="{FE3FF6FC-4133-4849-B3B3-0D5C7790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8" name="Picture 737" descr="https://mail.google.com/mail/u/0/images/cleardot.gif">
          <a:extLst>
            <a:ext uri="{FF2B5EF4-FFF2-40B4-BE49-F238E27FC236}">
              <a16:creationId xmlns:a16="http://schemas.microsoft.com/office/drawing/2014/main" id="{E047F225-9579-4CA9-8BB3-F75C77958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39" name="Picture 738" descr="https://mail.google.com/mail/u/0/images/cleardot.gif">
          <a:extLst>
            <a:ext uri="{FF2B5EF4-FFF2-40B4-BE49-F238E27FC236}">
              <a16:creationId xmlns:a16="http://schemas.microsoft.com/office/drawing/2014/main" id="{F7674746-4754-4232-8109-174897A46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0" name="Picture 739" descr="https://mail.google.com/mail/u/0/images/cleardot.gif">
          <a:extLst>
            <a:ext uri="{FF2B5EF4-FFF2-40B4-BE49-F238E27FC236}">
              <a16:creationId xmlns:a16="http://schemas.microsoft.com/office/drawing/2014/main" id="{71B4B3D3-B9D2-4E6B-9919-1C6069A8E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1" name="Picture 740" descr="https://mail.google.com/mail/u/0/images/cleardot.gif">
          <a:extLst>
            <a:ext uri="{FF2B5EF4-FFF2-40B4-BE49-F238E27FC236}">
              <a16:creationId xmlns:a16="http://schemas.microsoft.com/office/drawing/2014/main" id="{1FFFB05B-48B2-4514-810F-920B814C6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2" name="Picture 741" descr="https://mail.google.com/mail/u/0/images/cleardot.gif">
          <a:extLst>
            <a:ext uri="{FF2B5EF4-FFF2-40B4-BE49-F238E27FC236}">
              <a16:creationId xmlns:a16="http://schemas.microsoft.com/office/drawing/2014/main" id="{291BD46D-D210-46D2-999F-D4207B09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3" name="Picture 742" descr="https://mail.google.com/mail/u/0/images/cleardot.gif">
          <a:extLst>
            <a:ext uri="{FF2B5EF4-FFF2-40B4-BE49-F238E27FC236}">
              <a16:creationId xmlns:a16="http://schemas.microsoft.com/office/drawing/2014/main" id="{0F60A07E-AB71-4267-9A8A-F75B244B1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4" name="Picture 743" descr="https://mail.google.com/mail/u/0/images/cleardot.gif">
          <a:extLst>
            <a:ext uri="{FF2B5EF4-FFF2-40B4-BE49-F238E27FC236}">
              <a16:creationId xmlns:a16="http://schemas.microsoft.com/office/drawing/2014/main" id="{4C7C76F4-5C78-4C58-AA8E-F659489D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5" name="Picture 744" descr="https://mail.google.com/mail/u/0/images/cleardot.gif">
          <a:extLst>
            <a:ext uri="{FF2B5EF4-FFF2-40B4-BE49-F238E27FC236}">
              <a16:creationId xmlns:a16="http://schemas.microsoft.com/office/drawing/2014/main" id="{BF5CE980-7382-4C83-92E5-923868FC3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6" name="Picture 745" descr="https://mail.google.com/mail/u/0/images/cleardot.gif">
          <a:extLst>
            <a:ext uri="{FF2B5EF4-FFF2-40B4-BE49-F238E27FC236}">
              <a16:creationId xmlns:a16="http://schemas.microsoft.com/office/drawing/2014/main" id="{F98C06A2-B4EF-417C-B612-F5EC34F70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7" name="Picture 746" descr="https://mail.google.com/mail/u/0/images/cleardot.gif">
          <a:extLst>
            <a:ext uri="{FF2B5EF4-FFF2-40B4-BE49-F238E27FC236}">
              <a16:creationId xmlns:a16="http://schemas.microsoft.com/office/drawing/2014/main" id="{B134C781-35C2-4CB8-93AC-289508AAF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8" name="Picture 747" descr="https://mail.google.com/mail/u/0/images/cleardot.gif">
          <a:extLst>
            <a:ext uri="{FF2B5EF4-FFF2-40B4-BE49-F238E27FC236}">
              <a16:creationId xmlns:a16="http://schemas.microsoft.com/office/drawing/2014/main" id="{B0316AAC-0296-4A34-91B1-94D199F6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49" name="Picture 748" descr="https://mail.google.com/mail/u/0/images/cleardot.gif">
          <a:extLst>
            <a:ext uri="{FF2B5EF4-FFF2-40B4-BE49-F238E27FC236}">
              <a16:creationId xmlns:a16="http://schemas.microsoft.com/office/drawing/2014/main" id="{61D304CF-642F-4D4F-AA15-81BBF2CB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0" name="Picture 749" descr="https://mail.google.com/mail/u/0/images/cleardot.gif">
          <a:extLst>
            <a:ext uri="{FF2B5EF4-FFF2-40B4-BE49-F238E27FC236}">
              <a16:creationId xmlns:a16="http://schemas.microsoft.com/office/drawing/2014/main" id="{3BB063BE-47C8-481F-85C7-2B2C726F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1" name="Picture 750" descr="https://mail.google.com/mail/u/0/images/cleardot.gif">
          <a:extLst>
            <a:ext uri="{FF2B5EF4-FFF2-40B4-BE49-F238E27FC236}">
              <a16:creationId xmlns:a16="http://schemas.microsoft.com/office/drawing/2014/main" id="{1BF65EDD-291A-497D-9BC4-7E4A9C90F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2" name="Picture 751" descr="https://mail.google.com/mail/u/0/images/cleardot.gif">
          <a:extLst>
            <a:ext uri="{FF2B5EF4-FFF2-40B4-BE49-F238E27FC236}">
              <a16:creationId xmlns:a16="http://schemas.microsoft.com/office/drawing/2014/main" id="{B7FF2E0B-6878-428D-9696-736EA11E3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3" name="Picture 752" descr="https://mail.google.com/mail/u/0/images/cleardot.gif">
          <a:extLst>
            <a:ext uri="{FF2B5EF4-FFF2-40B4-BE49-F238E27FC236}">
              <a16:creationId xmlns:a16="http://schemas.microsoft.com/office/drawing/2014/main" id="{3C68E3CB-8D85-4929-9F90-838CD9EAC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4" name="Picture 753" descr="https://mail.google.com/mail/u/0/images/cleardot.gif">
          <a:extLst>
            <a:ext uri="{FF2B5EF4-FFF2-40B4-BE49-F238E27FC236}">
              <a16:creationId xmlns:a16="http://schemas.microsoft.com/office/drawing/2014/main" id="{5999D9F1-EB8C-4A8A-9D21-01543FE0A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5" name="Picture 754" descr="https://mail.google.com/mail/u/0/images/cleardot.gif">
          <a:extLst>
            <a:ext uri="{FF2B5EF4-FFF2-40B4-BE49-F238E27FC236}">
              <a16:creationId xmlns:a16="http://schemas.microsoft.com/office/drawing/2014/main" id="{AC4A6E2E-A582-47B3-8805-461376F67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6" name="Picture 755" descr="https://mail.google.com/mail/u/0/images/cleardot.gif">
          <a:extLst>
            <a:ext uri="{FF2B5EF4-FFF2-40B4-BE49-F238E27FC236}">
              <a16:creationId xmlns:a16="http://schemas.microsoft.com/office/drawing/2014/main" id="{03AE6EB9-D63B-4A07-829E-765DF8BBB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7" name="Picture 756" descr="https://mail.google.com/mail/u/0/images/cleardot.gif">
          <a:extLst>
            <a:ext uri="{FF2B5EF4-FFF2-40B4-BE49-F238E27FC236}">
              <a16:creationId xmlns:a16="http://schemas.microsoft.com/office/drawing/2014/main" id="{FB8EEFB1-32E1-4A76-885C-42332CCC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8" name="Picture 757" descr="https://mail.google.com/mail/u/0/images/cleardot.gif">
          <a:extLst>
            <a:ext uri="{FF2B5EF4-FFF2-40B4-BE49-F238E27FC236}">
              <a16:creationId xmlns:a16="http://schemas.microsoft.com/office/drawing/2014/main" id="{AAE8E520-8F08-4B79-AFD1-818B79F96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59" name="Picture 758" descr="https://mail.google.com/mail/u/0/images/cleardot.gif">
          <a:extLst>
            <a:ext uri="{FF2B5EF4-FFF2-40B4-BE49-F238E27FC236}">
              <a16:creationId xmlns:a16="http://schemas.microsoft.com/office/drawing/2014/main" id="{69D2D305-AF6D-4BBA-AACA-A513DA02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0" name="Picture 759" descr="https://mail.google.com/mail/u/0/images/cleardot.gif">
          <a:extLst>
            <a:ext uri="{FF2B5EF4-FFF2-40B4-BE49-F238E27FC236}">
              <a16:creationId xmlns:a16="http://schemas.microsoft.com/office/drawing/2014/main" id="{AB9519AD-F566-458F-823F-DA0807790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1" name="Picture 760" descr="https://mail.google.com/mail/u/0/images/cleardot.gif">
          <a:extLst>
            <a:ext uri="{FF2B5EF4-FFF2-40B4-BE49-F238E27FC236}">
              <a16:creationId xmlns:a16="http://schemas.microsoft.com/office/drawing/2014/main" id="{07CFECCA-179D-4481-8EF2-700EE642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2" name="Picture 761" descr="https://mail.google.com/mail/u/0/images/cleardot.gif">
          <a:extLst>
            <a:ext uri="{FF2B5EF4-FFF2-40B4-BE49-F238E27FC236}">
              <a16:creationId xmlns:a16="http://schemas.microsoft.com/office/drawing/2014/main" id="{C7469CF7-24E1-4A2E-B828-CCFEEFD94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3" name="Picture 762" descr="https://mail.google.com/mail/u/0/images/cleardot.gif">
          <a:extLst>
            <a:ext uri="{FF2B5EF4-FFF2-40B4-BE49-F238E27FC236}">
              <a16:creationId xmlns:a16="http://schemas.microsoft.com/office/drawing/2014/main" id="{011C87D4-1D0A-442F-95B9-B0D98A373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4" name="Picture 763" descr="https://mail.google.com/mail/u/0/images/cleardot.gif">
          <a:extLst>
            <a:ext uri="{FF2B5EF4-FFF2-40B4-BE49-F238E27FC236}">
              <a16:creationId xmlns:a16="http://schemas.microsoft.com/office/drawing/2014/main" id="{ECDEAE1E-6372-440C-8A4E-3BC03B2F8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5" name="Picture 764" descr="https://mail.google.com/mail/u/0/images/cleardot.gif">
          <a:extLst>
            <a:ext uri="{FF2B5EF4-FFF2-40B4-BE49-F238E27FC236}">
              <a16:creationId xmlns:a16="http://schemas.microsoft.com/office/drawing/2014/main" id="{4148BAE1-3BA4-4FB8-9F4E-ABB35A1B8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6" name="Picture 765" descr="https://mail.google.com/mail/u/0/images/cleardot.gif">
          <a:extLst>
            <a:ext uri="{FF2B5EF4-FFF2-40B4-BE49-F238E27FC236}">
              <a16:creationId xmlns:a16="http://schemas.microsoft.com/office/drawing/2014/main" id="{8FE587FE-FC34-419C-8A94-275A38B7D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7" name="Picture 766" descr="https://mail.google.com/mail/u/0/images/cleardot.gif">
          <a:extLst>
            <a:ext uri="{FF2B5EF4-FFF2-40B4-BE49-F238E27FC236}">
              <a16:creationId xmlns:a16="http://schemas.microsoft.com/office/drawing/2014/main" id="{07EBC1F1-8C4B-4E48-AB49-CAC6925B3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8" name="Picture 767" descr="https://mail.google.com/mail/u/0/images/cleardot.gif">
          <a:extLst>
            <a:ext uri="{FF2B5EF4-FFF2-40B4-BE49-F238E27FC236}">
              <a16:creationId xmlns:a16="http://schemas.microsoft.com/office/drawing/2014/main" id="{1254F82E-941B-4C6F-833A-7C1406BF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69" name="Picture 768" descr="https://mail.google.com/mail/u/0/images/cleardot.gif">
          <a:extLst>
            <a:ext uri="{FF2B5EF4-FFF2-40B4-BE49-F238E27FC236}">
              <a16:creationId xmlns:a16="http://schemas.microsoft.com/office/drawing/2014/main" id="{DA8F3B77-FDC7-412A-9604-AD8EA8396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0" name="Picture 769" descr="https://mail.google.com/mail/u/0/images/cleardot.gif">
          <a:extLst>
            <a:ext uri="{FF2B5EF4-FFF2-40B4-BE49-F238E27FC236}">
              <a16:creationId xmlns:a16="http://schemas.microsoft.com/office/drawing/2014/main" id="{0E2AA840-9E1B-4EC2-99A3-803F9A4B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1" name="Picture 770" descr="https://mail.google.com/mail/u/0/images/cleardot.gif">
          <a:extLst>
            <a:ext uri="{FF2B5EF4-FFF2-40B4-BE49-F238E27FC236}">
              <a16:creationId xmlns:a16="http://schemas.microsoft.com/office/drawing/2014/main" id="{198823CF-6141-4DBE-8308-731CE2FFE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2" name="Picture 771" descr="https://mail.google.com/mail/u/0/images/cleardot.gif">
          <a:extLst>
            <a:ext uri="{FF2B5EF4-FFF2-40B4-BE49-F238E27FC236}">
              <a16:creationId xmlns:a16="http://schemas.microsoft.com/office/drawing/2014/main" id="{B6B1599F-AA3C-4353-A107-A5C27BF34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3" name="Picture 772" descr="https://mail.google.com/mail/u/0/images/cleardot.gif">
          <a:extLst>
            <a:ext uri="{FF2B5EF4-FFF2-40B4-BE49-F238E27FC236}">
              <a16:creationId xmlns:a16="http://schemas.microsoft.com/office/drawing/2014/main" id="{EA7D9101-3A1B-4114-8008-212C564AD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4" name="Picture 773" descr="https://mail.google.com/mail/u/0/images/cleardot.gif">
          <a:extLst>
            <a:ext uri="{FF2B5EF4-FFF2-40B4-BE49-F238E27FC236}">
              <a16:creationId xmlns:a16="http://schemas.microsoft.com/office/drawing/2014/main" id="{4676C392-7B76-47E6-89D3-7F7FBA708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5" name="Picture 774" descr="https://mail.google.com/mail/u/0/images/cleardot.gif">
          <a:extLst>
            <a:ext uri="{FF2B5EF4-FFF2-40B4-BE49-F238E27FC236}">
              <a16:creationId xmlns:a16="http://schemas.microsoft.com/office/drawing/2014/main" id="{6684CF48-C054-498A-B0C1-2457EC700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6" name="Picture 775" descr="https://mail.google.com/mail/u/0/images/cleardot.gif">
          <a:extLst>
            <a:ext uri="{FF2B5EF4-FFF2-40B4-BE49-F238E27FC236}">
              <a16:creationId xmlns:a16="http://schemas.microsoft.com/office/drawing/2014/main" id="{43F5E20B-5C4C-457F-880E-72D2624E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7" name="Picture 776" descr="https://mail.google.com/mail/u/0/images/cleardot.gif">
          <a:extLst>
            <a:ext uri="{FF2B5EF4-FFF2-40B4-BE49-F238E27FC236}">
              <a16:creationId xmlns:a16="http://schemas.microsoft.com/office/drawing/2014/main" id="{D42E2DDA-6BB1-4E51-AFE8-6ED00F84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8" name="Picture 777" descr="https://mail.google.com/mail/u/0/images/cleardot.gif">
          <a:extLst>
            <a:ext uri="{FF2B5EF4-FFF2-40B4-BE49-F238E27FC236}">
              <a16:creationId xmlns:a16="http://schemas.microsoft.com/office/drawing/2014/main" id="{FD2F0A52-2FB1-4CD0-874C-3A15D5AD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79" name="Picture 778" descr="https://mail.google.com/mail/u/0/images/cleardot.gif">
          <a:extLst>
            <a:ext uri="{FF2B5EF4-FFF2-40B4-BE49-F238E27FC236}">
              <a16:creationId xmlns:a16="http://schemas.microsoft.com/office/drawing/2014/main" id="{F01A02AC-435B-4A5D-A04D-14146B62D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0" name="Picture 779" descr="https://mail.google.com/mail/u/0/images/cleardot.gif">
          <a:extLst>
            <a:ext uri="{FF2B5EF4-FFF2-40B4-BE49-F238E27FC236}">
              <a16:creationId xmlns:a16="http://schemas.microsoft.com/office/drawing/2014/main" id="{8B84B8DC-DF88-4D02-97D9-1CD56A95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1" name="Picture 780" descr="https://mail.google.com/mail/u/0/images/cleardot.gif">
          <a:extLst>
            <a:ext uri="{FF2B5EF4-FFF2-40B4-BE49-F238E27FC236}">
              <a16:creationId xmlns:a16="http://schemas.microsoft.com/office/drawing/2014/main" id="{D42A8B95-FF72-4D19-AC9E-C5EAE6766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2" name="Picture 781" descr="https://mail.google.com/mail/u/0/images/cleardot.gif">
          <a:extLst>
            <a:ext uri="{FF2B5EF4-FFF2-40B4-BE49-F238E27FC236}">
              <a16:creationId xmlns:a16="http://schemas.microsoft.com/office/drawing/2014/main" id="{01680D99-BE4F-41E9-83C0-616A9705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3" name="Picture 782" descr="https://mail.google.com/mail/u/0/images/cleardot.gif">
          <a:extLst>
            <a:ext uri="{FF2B5EF4-FFF2-40B4-BE49-F238E27FC236}">
              <a16:creationId xmlns:a16="http://schemas.microsoft.com/office/drawing/2014/main" id="{EA23FEA4-9EF5-4EBC-B2F7-67C60EB5E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4" name="Picture 783" descr="https://mail.google.com/mail/u/0/images/cleardot.gif">
          <a:extLst>
            <a:ext uri="{FF2B5EF4-FFF2-40B4-BE49-F238E27FC236}">
              <a16:creationId xmlns:a16="http://schemas.microsoft.com/office/drawing/2014/main" id="{6BE96C56-2782-4396-8C42-4164759B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5" name="Picture 784" descr="https://mail.google.com/mail/u/0/images/cleardot.gif">
          <a:extLst>
            <a:ext uri="{FF2B5EF4-FFF2-40B4-BE49-F238E27FC236}">
              <a16:creationId xmlns:a16="http://schemas.microsoft.com/office/drawing/2014/main" id="{2715AB3C-55AA-496B-97ED-83405DF1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2F79DE7E-99A9-4C71-B5B6-2991517FC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7" name="Picture 786" descr="https://mail.google.com/mail/u/0/images/cleardot.gif">
          <a:extLst>
            <a:ext uri="{FF2B5EF4-FFF2-40B4-BE49-F238E27FC236}">
              <a16:creationId xmlns:a16="http://schemas.microsoft.com/office/drawing/2014/main" id="{D3534A42-76AB-493B-8197-6429D2C64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8" name="Picture 787" descr="https://mail.google.com/mail/u/0/images/cleardot.gif">
          <a:extLst>
            <a:ext uri="{FF2B5EF4-FFF2-40B4-BE49-F238E27FC236}">
              <a16:creationId xmlns:a16="http://schemas.microsoft.com/office/drawing/2014/main" id="{DFB2A4E4-68E9-4BCA-8972-A57806C54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89" name="Picture 788" descr="https://mail.google.com/mail/u/0/images/cleardot.gif">
          <a:extLst>
            <a:ext uri="{FF2B5EF4-FFF2-40B4-BE49-F238E27FC236}">
              <a16:creationId xmlns:a16="http://schemas.microsoft.com/office/drawing/2014/main" id="{4132261C-D4E7-40A7-9A03-17F535B5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0" name="Picture 789" descr="https://mail.google.com/mail/u/0/images/cleardot.gif">
          <a:extLst>
            <a:ext uri="{FF2B5EF4-FFF2-40B4-BE49-F238E27FC236}">
              <a16:creationId xmlns:a16="http://schemas.microsoft.com/office/drawing/2014/main" id="{FA6B3460-50D0-4A8D-AB88-0A68218D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1" name="Picture 790" descr="https://mail.google.com/mail/u/0/images/cleardot.gif">
          <a:extLst>
            <a:ext uri="{FF2B5EF4-FFF2-40B4-BE49-F238E27FC236}">
              <a16:creationId xmlns:a16="http://schemas.microsoft.com/office/drawing/2014/main" id="{FBCFEBEE-E03E-41BA-A203-6243D75E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2" name="Picture 791" descr="https://mail.google.com/mail/u/0/images/cleardot.gif">
          <a:extLst>
            <a:ext uri="{FF2B5EF4-FFF2-40B4-BE49-F238E27FC236}">
              <a16:creationId xmlns:a16="http://schemas.microsoft.com/office/drawing/2014/main" id="{3C5749A4-41E4-4825-A933-A7AD06CD6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3" name="Picture 792" descr="https://mail.google.com/mail/u/0/images/cleardot.gif">
          <a:extLst>
            <a:ext uri="{FF2B5EF4-FFF2-40B4-BE49-F238E27FC236}">
              <a16:creationId xmlns:a16="http://schemas.microsoft.com/office/drawing/2014/main" id="{940A6660-A2EC-43D9-8854-8C4F3424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4" name="Picture 793" descr="https://mail.google.com/mail/u/0/images/cleardot.gif">
          <a:extLst>
            <a:ext uri="{FF2B5EF4-FFF2-40B4-BE49-F238E27FC236}">
              <a16:creationId xmlns:a16="http://schemas.microsoft.com/office/drawing/2014/main" id="{0881582E-55E8-4FE6-A6DE-F29AA52E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5" name="Picture 794" descr="https://mail.google.com/mail/u/0/images/cleardot.gif">
          <a:extLst>
            <a:ext uri="{FF2B5EF4-FFF2-40B4-BE49-F238E27FC236}">
              <a16:creationId xmlns:a16="http://schemas.microsoft.com/office/drawing/2014/main" id="{F0A34868-B85D-4DC9-8EAD-2352413D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6" name="Picture 795" descr="https://mail.google.com/mail/u/0/images/cleardot.gif">
          <a:extLst>
            <a:ext uri="{FF2B5EF4-FFF2-40B4-BE49-F238E27FC236}">
              <a16:creationId xmlns:a16="http://schemas.microsoft.com/office/drawing/2014/main" id="{DF0F5ADB-7F5B-4B6C-A62F-24E1FB12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7" name="Picture 796" descr="https://mail.google.com/mail/u/0/images/cleardot.gif">
          <a:extLst>
            <a:ext uri="{FF2B5EF4-FFF2-40B4-BE49-F238E27FC236}">
              <a16:creationId xmlns:a16="http://schemas.microsoft.com/office/drawing/2014/main" id="{D5FD9AFF-F3A2-4073-B016-17FCDDD6B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8" name="Picture 797" descr="https://mail.google.com/mail/u/0/images/cleardot.gif">
          <a:extLst>
            <a:ext uri="{FF2B5EF4-FFF2-40B4-BE49-F238E27FC236}">
              <a16:creationId xmlns:a16="http://schemas.microsoft.com/office/drawing/2014/main" id="{849B4994-0694-45F0-A80A-28872BF6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799" name="Picture 798" descr="https://mail.google.com/mail/u/0/images/cleardot.gif">
          <a:extLst>
            <a:ext uri="{FF2B5EF4-FFF2-40B4-BE49-F238E27FC236}">
              <a16:creationId xmlns:a16="http://schemas.microsoft.com/office/drawing/2014/main" id="{038B6466-7B6F-452A-8627-F9192C62D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0" name="Picture 799" descr="https://mail.google.com/mail/u/0/images/cleardot.gif">
          <a:extLst>
            <a:ext uri="{FF2B5EF4-FFF2-40B4-BE49-F238E27FC236}">
              <a16:creationId xmlns:a16="http://schemas.microsoft.com/office/drawing/2014/main" id="{CDFAA6CF-DF9B-4933-B960-B09F9223F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1" name="Picture 800" descr="https://mail.google.com/mail/u/0/images/cleardot.gif">
          <a:extLst>
            <a:ext uri="{FF2B5EF4-FFF2-40B4-BE49-F238E27FC236}">
              <a16:creationId xmlns:a16="http://schemas.microsoft.com/office/drawing/2014/main" id="{0565BC9F-94AC-43C4-9AD4-185088284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2" name="Picture 801" descr="https://mail.google.com/mail/u/0/images/cleardot.gif">
          <a:extLst>
            <a:ext uri="{FF2B5EF4-FFF2-40B4-BE49-F238E27FC236}">
              <a16:creationId xmlns:a16="http://schemas.microsoft.com/office/drawing/2014/main" id="{C2E2BACE-86CA-4ED4-B53C-BAB5EA8C9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3" name="Picture 802" descr="https://mail.google.com/mail/u/0/images/cleardot.gif">
          <a:extLst>
            <a:ext uri="{FF2B5EF4-FFF2-40B4-BE49-F238E27FC236}">
              <a16:creationId xmlns:a16="http://schemas.microsoft.com/office/drawing/2014/main" id="{BDE68365-3242-411D-B9FB-11F6F26C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4" name="Picture 803" descr="https://mail.google.com/mail/u/0/images/cleardot.gif">
          <a:extLst>
            <a:ext uri="{FF2B5EF4-FFF2-40B4-BE49-F238E27FC236}">
              <a16:creationId xmlns:a16="http://schemas.microsoft.com/office/drawing/2014/main" id="{FA0F068C-BCED-4034-BE11-3D93E33D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5" name="Picture 804" descr="https://mail.google.com/mail/u/0/images/cleardot.gif">
          <a:extLst>
            <a:ext uri="{FF2B5EF4-FFF2-40B4-BE49-F238E27FC236}">
              <a16:creationId xmlns:a16="http://schemas.microsoft.com/office/drawing/2014/main" id="{605B12DF-8A03-46BC-8032-3E7B84FB2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6" name="Picture 805" descr="https://mail.google.com/mail/u/0/images/cleardot.gif">
          <a:extLst>
            <a:ext uri="{FF2B5EF4-FFF2-40B4-BE49-F238E27FC236}">
              <a16:creationId xmlns:a16="http://schemas.microsoft.com/office/drawing/2014/main" id="{907A2644-E4E1-4EDB-B3BE-56479AC5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7" name="Picture 806" descr="https://mail.google.com/mail/u/0/images/cleardot.gif">
          <a:extLst>
            <a:ext uri="{FF2B5EF4-FFF2-40B4-BE49-F238E27FC236}">
              <a16:creationId xmlns:a16="http://schemas.microsoft.com/office/drawing/2014/main" id="{8865C202-308C-4D63-A121-3B6E7FE1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8" name="Picture 807" descr="https://mail.google.com/mail/u/0/images/cleardot.gif">
          <a:extLst>
            <a:ext uri="{FF2B5EF4-FFF2-40B4-BE49-F238E27FC236}">
              <a16:creationId xmlns:a16="http://schemas.microsoft.com/office/drawing/2014/main" id="{4D5E9078-4593-4F8A-A957-ACBCA86BB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09" name="Picture 808" descr="https://mail.google.com/mail/u/0/images/cleardot.gif">
          <a:extLst>
            <a:ext uri="{FF2B5EF4-FFF2-40B4-BE49-F238E27FC236}">
              <a16:creationId xmlns:a16="http://schemas.microsoft.com/office/drawing/2014/main" id="{6B226060-F21B-4118-A735-E79657CC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0" name="Picture 809" descr="https://mail.google.com/mail/u/0/images/cleardot.gif">
          <a:extLst>
            <a:ext uri="{FF2B5EF4-FFF2-40B4-BE49-F238E27FC236}">
              <a16:creationId xmlns:a16="http://schemas.microsoft.com/office/drawing/2014/main" id="{E9A9098E-4E6C-4B15-9136-2C546EF9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1" name="Picture 810" descr="https://mail.google.com/mail/u/0/images/cleardot.gif">
          <a:extLst>
            <a:ext uri="{FF2B5EF4-FFF2-40B4-BE49-F238E27FC236}">
              <a16:creationId xmlns:a16="http://schemas.microsoft.com/office/drawing/2014/main" id="{85F2F7F2-CD18-4C68-AE31-177ABA10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2" name="Picture 811" descr="https://mail.google.com/mail/u/0/images/cleardot.gif">
          <a:extLst>
            <a:ext uri="{FF2B5EF4-FFF2-40B4-BE49-F238E27FC236}">
              <a16:creationId xmlns:a16="http://schemas.microsoft.com/office/drawing/2014/main" id="{70CC2C19-91F6-43E7-B16C-D4462D8E1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3" name="Picture 812" descr="https://mail.google.com/mail/u/0/images/cleardot.gif">
          <a:extLst>
            <a:ext uri="{FF2B5EF4-FFF2-40B4-BE49-F238E27FC236}">
              <a16:creationId xmlns:a16="http://schemas.microsoft.com/office/drawing/2014/main" id="{EB9440AC-7785-45D7-A0E5-81ADFBD9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4" name="Picture 813" descr="https://mail.google.com/mail/u/0/images/cleardot.gif">
          <a:extLst>
            <a:ext uri="{FF2B5EF4-FFF2-40B4-BE49-F238E27FC236}">
              <a16:creationId xmlns:a16="http://schemas.microsoft.com/office/drawing/2014/main" id="{5D4A6088-00F1-434D-9989-03473697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5" name="Picture 814" descr="https://mail.google.com/mail/u/0/images/cleardot.gif">
          <a:extLst>
            <a:ext uri="{FF2B5EF4-FFF2-40B4-BE49-F238E27FC236}">
              <a16:creationId xmlns:a16="http://schemas.microsoft.com/office/drawing/2014/main" id="{296A0A79-CB7D-4944-8BB7-650CF137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6" name="Picture 815" descr="https://mail.google.com/mail/u/0/images/cleardot.gif">
          <a:extLst>
            <a:ext uri="{FF2B5EF4-FFF2-40B4-BE49-F238E27FC236}">
              <a16:creationId xmlns:a16="http://schemas.microsoft.com/office/drawing/2014/main" id="{129BC3FC-98C5-4CC9-BC9A-B880299B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7" name="Picture 816" descr="https://mail.google.com/mail/u/0/images/cleardot.gif">
          <a:extLst>
            <a:ext uri="{FF2B5EF4-FFF2-40B4-BE49-F238E27FC236}">
              <a16:creationId xmlns:a16="http://schemas.microsoft.com/office/drawing/2014/main" id="{BB1DFAAE-21BB-4952-A3CE-9EAC0CFEB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8" name="Picture 817" descr="https://mail.google.com/mail/u/0/images/cleardot.gif">
          <a:extLst>
            <a:ext uri="{FF2B5EF4-FFF2-40B4-BE49-F238E27FC236}">
              <a16:creationId xmlns:a16="http://schemas.microsoft.com/office/drawing/2014/main" id="{9F036A22-6FBB-48D5-9C3B-C083B766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19" name="Picture 818" descr="https://mail.google.com/mail/u/0/images/cleardot.gif">
          <a:extLst>
            <a:ext uri="{FF2B5EF4-FFF2-40B4-BE49-F238E27FC236}">
              <a16:creationId xmlns:a16="http://schemas.microsoft.com/office/drawing/2014/main" id="{128F6245-16C4-4051-B851-759978EA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0" name="Picture 819" descr="https://mail.google.com/mail/u/0/images/cleardot.gif">
          <a:extLst>
            <a:ext uri="{FF2B5EF4-FFF2-40B4-BE49-F238E27FC236}">
              <a16:creationId xmlns:a16="http://schemas.microsoft.com/office/drawing/2014/main" id="{88214F78-5D56-4AD0-90C2-514A90088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1" name="Picture 820" descr="https://mail.google.com/mail/u/0/images/cleardot.gif">
          <a:extLst>
            <a:ext uri="{FF2B5EF4-FFF2-40B4-BE49-F238E27FC236}">
              <a16:creationId xmlns:a16="http://schemas.microsoft.com/office/drawing/2014/main" id="{5390B798-9099-4787-80CD-C63D5449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2" name="Picture 821" descr="https://mail.google.com/mail/u/0/images/cleardot.gif">
          <a:extLst>
            <a:ext uri="{FF2B5EF4-FFF2-40B4-BE49-F238E27FC236}">
              <a16:creationId xmlns:a16="http://schemas.microsoft.com/office/drawing/2014/main" id="{B76F7799-DE07-4DCC-8876-96B57D7A4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3" name="Picture 822" descr="https://mail.google.com/mail/u/0/images/cleardot.gif">
          <a:extLst>
            <a:ext uri="{FF2B5EF4-FFF2-40B4-BE49-F238E27FC236}">
              <a16:creationId xmlns:a16="http://schemas.microsoft.com/office/drawing/2014/main" id="{4E347121-1750-4D28-A023-445BDB78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4" name="Picture 823" descr="https://mail.google.com/mail/u/0/images/cleardot.gif">
          <a:extLst>
            <a:ext uri="{FF2B5EF4-FFF2-40B4-BE49-F238E27FC236}">
              <a16:creationId xmlns:a16="http://schemas.microsoft.com/office/drawing/2014/main" id="{63E49E91-6928-4D87-B7BA-602D10AF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5" name="Picture 824" descr="https://mail.google.com/mail/u/0/images/cleardot.gif">
          <a:extLst>
            <a:ext uri="{FF2B5EF4-FFF2-40B4-BE49-F238E27FC236}">
              <a16:creationId xmlns:a16="http://schemas.microsoft.com/office/drawing/2014/main" id="{4F46F7E6-0EBF-47C2-B67D-930728AF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6" name="Picture 825" descr="https://mail.google.com/mail/u/0/images/cleardot.gif">
          <a:extLst>
            <a:ext uri="{FF2B5EF4-FFF2-40B4-BE49-F238E27FC236}">
              <a16:creationId xmlns:a16="http://schemas.microsoft.com/office/drawing/2014/main" id="{F2A08CEB-C481-4862-8731-DE6A1E4A7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7" name="Picture 826" descr="https://mail.google.com/mail/u/0/images/cleardot.gif">
          <a:extLst>
            <a:ext uri="{FF2B5EF4-FFF2-40B4-BE49-F238E27FC236}">
              <a16:creationId xmlns:a16="http://schemas.microsoft.com/office/drawing/2014/main" id="{4EF560D6-FE3F-42D0-B8AD-8B0A8205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8" name="Picture 827" descr="https://mail.google.com/mail/u/0/images/cleardot.gif">
          <a:extLst>
            <a:ext uri="{FF2B5EF4-FFF2-40B4-BE49-F238E27FC236}">
              <a16:creationId xmlns:a16="http://schemas.microsoft.com/office/drawing/2014/main" id="{632A32FF-1DED-428A-8A20-1821C6C0A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29" name="Picture 828" descr="https://mail.google.com/mail/u/0/images/cleardot.gif">
          <a:extLst>
            <a:ext uri="{FF2B5EF4-FFF2-40B4-BE49-F238E27FC236}">
              <a16:creationId xmlns:a16="http://schemas.microsoft.com/office/drawing/2014/main" id="{8F9267C3-27E2-4E00-B6D0-CC60DD79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0" name="Picture 829" descr="https://mail.google.com/mail/u/0/images/cleardot.gif">
          <a:extLst>
            <a:ext uri="{FF2B5EF4-FFF2-40B4-BE49-F238E27FC236}">
              <a16:creationId xmlns:a16="http://schemas.microsoft.com/office/drawing/2014/main" id="{4B38288A-ABF2-40E5-B3C9-7B491C2B3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1" name="Picture 830" descr="https://mail.google.com/mail/u/0/images/cleardot.gif">
          <a:extLst>
            <a:ext uri="{FF2B5EF4-FFF2-40B4-BE49-F238E27FC236}">
              <a16:creationId xmlns:a16="http://schemas.microsoft.com/office/drawing/2014/main" id="{615F63DD-5490-4E91-81D0-153F4C60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2" name="Picture 831" descr="https://mail.google.com/mail/u/0/images/cleardot.gif">
          <a:extLst>
            <a:ext uri="{FF2B5EF4-FFF2-40B4-BE49-F238E27FC236}">
              <a16:creationId xmlns:a16="http://schemas.microsoft.com/office/drawing/2014/main" id="{1E3C3A12-159A-4C57-999C-1DD21BD4B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3" name="Picture 832" descr="https://mail.google.com/mail/u/0/images/cleardot.gif">
          <a:extLst>
            <a:ext uri="{FF2B5EF4-FFF2-40B4-BE49-F238E27FC236}">
              <a16:creationId xmlns:a16="http://schemas.microsoft.com/office/drawing/2014/main" id="{35E4A5B4-0CB6-46C3-9C0D-81E75D8D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4" name="Picture 833" descr="https://mail.google.com/mail/u/0/images/cleardot.gif">
          <a:extLst>
            <a:ext uri="{FF2B5EF4-FFF2-40B4-BE49-F238E27FC236}">
              <a16:creationId xmlns:a16="http://schemas.microsoft.com/office/drawing/2014/main" id="{5C393116-E54E-4B98-BEB0-CB9CA7EA1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5" name="Picture 834" descr="https://mail.google.com/mail/u/0/images/cleardot.gif">
          <a:extLst>
            <a:ext uri="{FF2B5EF4-FFF2-40B4-BE49-F238E27FC236}">
              <a16:creationId xmlns:a16="http://schemas.microsoft.com/office/drawing/2014/main" id="{D22C0C16-48E5-4169-AB07-A4FBC989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6" name="Picture 835" descr="https://mail.google.com/mail/u/0/images/cleardot.gif">
          <a:extLst>
            <a:ext uri="{FF2B5EF4-FFF2-40B4-BE49-F238E27FC236}">
              <a16:creationId xmlns:a16="http://schemas.microsoft.com/office/drawing/2014/main" id="{B1A18D99-1D23-44FC-B305-87C93CA62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7" name="Picture 836" descr="https://mail.google.com/mail/u/0/images/cleardot.gif">
          <a:extLst>
            <a:ext uri="{FF2B5EF4-FFF2-40B4-BE49-F238E27FC236}">
              <a16:creationId xmlns:a16="http://schemas.microsoft.com/office/drawing/2014/main" id="{8BD2DAE3-3574-4E0B-9E5C-97A035802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8" name="Picture 837" descr="https://mail.google.com/mail/u/0/images/cleardot.gif">
          <a:extLst>
            <a:ext uri="{FF2B5EF4-FFF2-40B4-BE49-F238E27FC236}">
              <a16:creationId xmlns:a16="http://schemas.microsoft.com/office/drawing/2014/main" id="{1C024015-E097-4B63-BFAE-2E2E2A59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39" name="Picture 838" descr="https://mail.google.com/mail/u/0/images/cleardot.gif">
          <a:extLst>
            <a:ext uri="{FF2B5EF4-FFF2-40B4-BE49-F238E27FC236}">
              <a16:creationId xmlns:a16="http://schemas.microsoft.com/office/drawing/2014/main" id="{0A244F69-1EB0-4928-84E3-FCF8DF0F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40" name="Picture 839" descr="https://mail.google.com/mail/u/0/images/cleardot.gif">
          <a:extLst>
            <a:ext uri="{FF2B5EF4-FFF2-40B4-BE49-F238E27FC236}">
              <a16:creationId xmlns:a16="http://schemas.microsoft.com/office/drawing/2014/main" id="{8F7774C9-0C67-4401-827A-4D5518C2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12700" cy="12700"/>
    <xdr:pic>
      <xdr:nvPicPr>
        <xdr:cNvPr id="841" name="Picture 840" descr="https://mail.google.com/mail/u/0/images/cleardot.gif">
          <a:extLst>
            <a:ext uri="{FF2B5EF4-FFF2-40B4-BE49-F238E27FC236}">
              <a16:creationId xmlns:a16="http://schemas.microsoft.com/office/drawing/2014/main" id="{0880CFE3-C449-4C63-8CA3-4729E7D3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113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972B1109-7131-4BE0-8632-9C3A0BE0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9EB965DC-8952-489B-82A1-1CC20C65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02E72610-87DB-4660-9755-5395D2547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E2068AE5-3A0B-44AE-B60D-BA6E7B45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9CAE41FA-51FB-44CA-9AE6-1A7C3BE01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B30D61BE-42EE-48F6-B939-7D53BC32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638E386A-7266-4C4C-B3FF-E4F3EF9D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EDB4A4BB-1346-4358-8522-9F58FFE87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16298468-0887-4210-AA05-A53599892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A1A92497-53E0-4312-A4EB-2A7414E5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8366C379-108B-4F09-AA0E-77362B99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C1911671-ED56-44FC-8BCB-044BDB5BD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AC35340D-8075-465C-9E5C-9C82356F8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6322B414-BF38-45F1-A35D-F13DF01AA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65E77331-38C8-490D-9749-37F857A2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4EBFEBCD-1676-40F6-BD79-84E60F5D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63AD3DEE-10FF-48F1-B19A-0151C027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9CB1C2EA-260B-468A-9D97-758D591AE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257D286B-7D3B-4619-95FA-597BDCCFA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3F563274-793A-4C7C-B1E6-E65C860C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288E6872-B3C4-4068-840B-C71D27615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2833A051-20AB-4CDA-8EDF-99961EB0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E7FDF22B-0355-4BF6-981D-D43EA1F59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D5B656ED-0775-4DC7-A3ED-AEA04881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01D2C9C5-E271-471C-ACCD-B533FB69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F711F99E-5CD7-4435-B446-A69F95B9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E7EF159A-7B66-4CF7-8CCB-394F19706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D0CC91DF-8E04-43FC-BC0C-8BC469703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92117EB0-F7C4-4E03-876C-F77125A9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0818B15C-7D46-4E2C-A238-F60084BC5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28E39692-C172-4649-B59D-C825E2B40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1EC75F94-314B-42B4-8EF3-33221D69A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21A3E17E-E978-4223-AC8C-2B923948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0BEBE6F7-936A-49DF-967E-D64CB9B3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C1FF3376-D0FE-421B-A7ED-71A9582B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36006701-F775-4595-A2EE-156A0386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5C632745-FB1C-4FB0-829C-82FCF1CE0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E422667E-5F81-4D2E-B2FF-EDAFA6A8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9C52D139-1649-4DD5-ADA1-BB26A234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52314810-6C8A-4EF4-AD76-8D02DB29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5714E273-A356-4BFD-BA2A-D4E4A4BF6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7E3B4265-8649-4236-831C-E3867CF68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6F2FF4E1-BB2F-4AB2-AC45-4FC6808E8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23A74A1E-9450-40B2-8209-A231498B3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938BEEBC-AC40-4EB7-B9DB-566FA6531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23702F06-54D9-4A1E-9CDC-E7E3A5A4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2E1639A7-9041-4906-A565-903128B2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D22B3809-1F45-4CC8-8985-54F4F4F0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75D426B4-00A8-465A-94AE-011C2ABA0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8C61053A-BC6C-486E-AB64-C554B7913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2DF75494-F7DD-4D76-887E-AB6A1955B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05D62439-A2C4-4942-A71D-B39196B9F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90F9BE38-9889-4926-AD5C-B0523AC2D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235A6F90-C4ED-4FB3-86DA-B8CBFDDE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3CC16BE2-A474-494A-9B33-00A71A8A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077C8039-5A30-42AA-8638-2FE9F7B62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040E93B4-7AF8-45EA-B840-455F785CE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B9FA317E-A8A8-4D19-80AE-35272434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B3F260C1-1AA3-4669-A03A-23ABA8DD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6189E7FD-D541-455E-9014-585CA31B9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B7FA4FE4-1805-49ED-B537-6BE86A840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2935CECB-85E4-4268-9CD2-1519B2AF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C4194B5B-2C51-41A7-B325-6E3988E9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E7F5DFA9-D227-4BA1-BAEA-9FF9F7BA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688A2082-185C-4B0D-BCE9-98290B8C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5E7B78BA-B05D-4B7C-9324-ED0B45EC8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B9A347F7-552E-400E-997B-DC7CD2A26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45CE4712-EF3B-459E-AC3D-ADD0D9DCE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3F5AB9B0-8C13-4CDF-A538-CD51B647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A319EB13-F0C2-40AE-8B2E-9A1C16D2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5C957DF7-FBBC-4738-83D7-C86C22415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E23130E0-4F07-48E4-9A4C-1474BC55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8234FDA5-1593-401A-9B91-BB51488C5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F8A648CC-D0FD-472F-A4BE-60C35E517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B71BD87F-0C15-4032-9A38-0D47E0BC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217157BE-B344-44A7-BE62-807E64A2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ACBCCD93-8F3C-46F5-AC08-33E71F64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21A6BF3F-C61C-449D-8EA0-F7D09929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8EC9EDBB-3231-4BC1-AA52-5331CEA38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EF7DD63B-9834-4664-84DC-DEAB8B29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57D4035E-1B91-47AD-A1DD-C53B6CE06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7F77FC58-5C02-4FE2-BCF7-7529ACD68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7D4A6410-4837-446A-8701-9838AF436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8C62D994-6A04-4A0F-946C-3B8BCA8EE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6319928C-8D2F-41E4-8D7F-BD730223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DF8989F5-F157-4BF2-ADB3-DCB765CC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1F0D5487-58BA-4B47-8976-20C135E4E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A0DF61FC-97C2-42D4-A206-2B257D4B8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1714C4A5-933A-4BE2-A455-00022309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34B18A35-FF4D-4A7D-8136-9FB238991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FAB6DF07-6A42-4CB0-B68C-E4F41E7B7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FE44445F-44D4-4507-910F-DD98C7B2C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249AC2B0-7DA6-4400-89E8-D38BF54F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451669E0-B11B-4437-AB08-E96AFC10D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9DD1134B-37E0-4C44-A5A8-B7C08FC6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A4AA3501-CBAE-4018-BFF3-F2EE375B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B94E96FE-BC49-4FEF-A73E-53463294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13CEFE3F-DAE9-4BD5-8CB3-F2EAFBF9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64FC4309-7037-4147-8FF2-37C6D9219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00A9CC22-3E2C-4941-8CA0-CA6AD57C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7539FADB-7F52-47CD-A474-CA3CC633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C68A061E-FE19-463F-A913-4EAEF5CF4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A020E9FD-60C3-4336-992B-C1748FE2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BCF12A16-AC0D-459F-8A18-406D05BE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064F27CA-0807-4E9F-9002-93F049B8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CB15A6C5-41EA-4C8D-B84A-7ED83D57A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3E52A757-4236-410E-8204-B3E83CCAD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1A6FD5CF-9A30-4B99-832A-F96CF6EC1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C8A3DC60-72CE-4399-94B8-D5BB506C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17A7B752-CCC5-4946-BEB8-4776D7DA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ECF4D7E8-EF42-48B9-A22B-99D91A9E5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62190F7B-B715-4153-8DCB-9EE349D1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C39D819D-EBBB-49F4-85D1-F3DE4227B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35AA59E1-0E3C-41D0-9ABF-23379FDE7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8BF6106F-BC96-4E22-9CDE-17F0F01F7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36B6C482-C861-44B5-98C3-485EF2C7F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5C6DAD9A-CC1B-4E86-AB18-91423FD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97091C32-E285-4763-BA1E-EA8BA7F4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6B7B04AF-229B-4DBC-AA5A-A3E7CCC5B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DB1DBA06-DA9C-4340-B4AE-A7E265460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E5426D1D-C6EF-438A-BEE8-BF5D4643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5D50E4F1-2EDE-427D-A2E4-71A3905DD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04CCD9BD-295A-4B12-A6AB-2FF8306F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B891D203-1CB6-4CCD-8BF7-3F2AADE86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A27575A1-1139-425A-8DB7-F651D682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79F5DF1C-A1CA-4986-91C2-71F9336A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BB0870C2-A36A-41FF-BF50-A9621AF2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6F4C6C57-81B1-4E0C-96BD-952EE5F8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5BB4048F-9C19-471B-8F2A-164D3C761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1484ADF2-273A-446C-BB45-E36C3520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1222B677-B2BF-4A39-ADC9-ED3B6E56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1BE1DF00-B135-4499-84DA-63D5B8381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9BB99D60-445C-494E-8D4A-9FC3C2EB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484EF5F4-D31A-4962-8548-156BAAB5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06D95CB8-4009-4F10-9FEC-8CA04C4D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F1C0E4FE-F4D2-4001-973F-36D62D18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19005322-CDC4-4C70-9754-73AA35345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E36987CA-E58D-4A1A-9C35-1BBE0367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07D09705-2DFB-467C-BF82-3C475D4D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2C60B1A9-9A52-4F38-BD54-F017F344E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E1FBE909-FB14-4F36-A0B3-69D07FAFE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1085646B-39B7-484F-B621-375BE8B58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B0D774EB-7E10-4181-9878-89C50FDE8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78EBAA22-8A7C-49DE-9F8C-82463D51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C927308D-4441-407A-90A3-DB55610CB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140C67F4-C970-405C-B120-B2AEE8D47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5FC0A929-D2F1-4EDB-A0EB-B80E8662C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F3D7CE5A-0FD3-4025-BBA4-487070045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6606607D-A0D1-4F5E-A22B-7987B353D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E929400A-8AFD-4EFF-A342-70C5722A3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2B6C7B61-8DAB-4A18-BE72-648DA1745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934C0A1A-EEED-4E03-86B8-2C3768B5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52788E14-435C-4536-A7EA-9C7383503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19847F81-A941-415A-95D1-BD737B78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D2077ECB-F1FA-4491-88D5-D86453B4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272DC7DE-2601-4C45-813E-81811012E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174A066A-7F7C-4A49-9176-01F4A972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C2CBDC6E-09E0-4FAF-82B8-D145076D1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F63918D3-9044-439A-B6FE-24787B12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769BDA74-965E-4DD3-B01E-3959DABEB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4D8B07EB-50B9-41A6-9744-5A6A2F081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3DA56A7B-F5BF-4638-8C4E-BA436B54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5818A1A8-9F7F-4BEA-87F4-61999FB39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28920902-A1FC-4DFA-9458-C0D70C30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3F6083FB-1F87-4CD8-B814-9A3733AD9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F39EE681-845B-4D85-9D8B-C26EF1F7F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7965799F-5D64-4C90-B830-909A4CD7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BBB11BA7-B42E-4F10-B334-3E61DAE7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38D530BA-35C5-4903-B6E7-4CA8BA19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B1E43117-84C9-4526-A4BE-1AD384F6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E470BF20-353A-443F-B958-6D9CC667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2C32D86B-292C-4C66-A658-78939AAF4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729C35EB-F5A4-4428-8E9F-D014AE88F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05325081-09CA-4C4E-8099-F2E23E5D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AA6D14B0-CEE9-4630-B24D-0BDBB5F77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727B72E4-4552-4516-A6B1-BCB9C066C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B2750F6E-5D51-458C-A34F-D47ADA527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A6E2AA06-0296-44A2-9979-087BDD2B3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CE00C580-4B41-4ACB-B38B-52304937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D894F6CA-01AE-491C-AF96-0ECA437C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062F947E-4831-4979-BAF5-CD1D47A2A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4F8B61DE-8F87-4E93-9075-FF30B55F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2D31C31C-908E-4A22-AAA4-451499F2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6C3960B2-8890-43D2-A106-79B26328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5514F4D2-A35B-4475-86BA-0D77E2920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C1B77EA4-51BB-4FEE-B07C-A0BDDC38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673282F4-532B-4798-AEB5-75810D0D2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66D9EEBC-2A57-4B70-9597-22A31103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E9A7D532-2641-4828-A3E1-4FA733406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3557887B-8869-4D91-A123-94863E621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0452B33F-96DD-4944-A1BC-B407FA7F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B286D0DA-2885-4BD0-A152-544E7529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0F5D5A26-6A6A-41A8-A1C2-27DBDF3D9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B1BAF882-DFFC-42BC-BC78-9B9A8C620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9B1B7650-DAB1-4C2C-A06A-D575EB31F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8CD064A5-040F-4000-A2E9-95643C683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ED599C11-B75B-4949-B431-5F1DBB72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D5D540C1-F715-41F8-9E74-101BF0EFF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5CE95726-BB05-4A07-89BA-CE9AA4A68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06FA5DF3-5D9F-47EC-BCE4-9DC04243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F7CDF19A-5A3B-446C-BA72-55A09E22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C8B2509B-3DCA-43F3-9AAC-4E2D6126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DED75B65-401A-433C-B7EF-CEA91486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4828B369-91DC-4ADE-9DE9-408E59656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C3E13C45-40C2-4404-8591-DF0193128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3A327FDF-45B0-4FA6-929E-07F7520E5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20CAE2D4-2A2E-4A9B-A90D-D49B6F5A2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E192217F-234E-481D-ADE0-1BD98949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B57F576F-A0E7-4515-A06D-81CC3052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9E7464C6-0310-4BA5-9B35-0FA1F86E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7F5769C3-91B3-46FB-897E-7D7FA76F9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5DD4C813-2DF4-477A-97F1-123D377E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77221317-F647-4771-9D5C-33DAD7583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EABFFE43-8E1B-4C78-BF97-0E158129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6F673EEF-64B4-4D13-9910-6A728BEE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E8F3F7E2-8202-4345-953B-ABDA96DA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35B0E612-0313-481A-84CB-CB4F360F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56E183BD-F9A2-4F08-9565-13A368C0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FF98D36A-0926-444E-B32A-5D70038E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9C004F85-2B5F-457A-800E-12131EB43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D5EFA856-FD41-4387-ACFC-5E8464FF1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F4E9AD4E-E24C-4D31-9BFA-189D3A760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87354C02-1282-46E6-8306-D1359C1B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94A458FE-128F-4888-8A0D-D3348802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A6BD9DAD-8F62-44C8-A865-491EA297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41AFDD33-9074-4F78-A5CF-5D3B5EAB9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8618902B-DD11-4CE0-BB8D-FB6805C6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58D1C8B0-4D3F-4119-990C-781B7DEA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EEAF7A28-A191-4BDB-BD41-46CCE540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AEE7BA82-EF3B-404C-AB19-B93327A07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73E3B19B-8745-4918-8AC7-FC8AE90D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0C80759A-DF70-4BCD-8324-E968FA435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A55D5E87-CB98-4DA0-9803-D11F7E37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7034ECDA-4022-4D3B-B8DD-EEFE9E19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86D71987-01D4-4170-8B0A-081D1C0A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B5DC5100-FD48-4B0F-8027-D5C4075D1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B5A6A559-D1AF-40C5-A578-C41E56B7F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9F7874F4-1AF1-40AD-ADAA-3D2F37E94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E625D2E3-0E76-493B-BE02-99D344ED5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5BF040E4-54FB-439A-9FE7-ECF479D1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B61F870E-1A70-4F63-8E40-EB57DA43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4EB3457C-ADFF-4B60-AF91-2F14F7BB6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B09A9050-C3EE-4D57-9B74-60177BA4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285D79C4-EBEC-45B6-B3FA-CDD093200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98F0A929-2316-4A59-A5A2-13251559A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87AE62F0-13D6-4DF8-9ED0-92C98F360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C40FB97C-E2FC-4E61-AF1D-7DCD8DE31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963F2291-7486-4317-B84D-7BC1E9EDB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E7BED233-2EB9-42DF-A904-C139BA69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9D6F985F-6286-4B83-8F0A-8EF2DB5C5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A7080215-E6C6-4925-A81C-317CB6E7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5BAAE55C-657E-472D-A4CE-3DC888C3B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201968EB-6525-4671-94C9-2BB00F33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6755AD97-71E7-44B3-985A-F53F44F0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70BF2466-BBA7-4229-A974-65BC7998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19182F08-B2E4-4723-A66F-4653464F3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0C718830-854C-4CD6-83D0-DE821C27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A88939E6-19C7-45F4-9B76-9BE01357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40BA1C17-57DD-4749-B2B2-1FD06CF01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B92A2CB5-B714-4C44-AFD6-650596228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39C2FD8D-8847-43E9-98E7-CE383905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A2782C48-8B55-4B13-A331-AB5EA4E28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6EFDC93B-A13F-414D-BBFF-2C701B78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49D23FED-D084-4476-B82A-D1D6B5BF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FD066DA7-D345-4D63-AF2A-890820A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4E59BC61-2792-41A9-9F76-DA65013B0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E00650AA-2860-45C9-84FF-8616CF97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CF48DCA0-2659-424C-A32C-09EA6F8E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F0E0B28C-05BA-4123-8110-067D4DB2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9983E5A0-3105-48CB-9732-DF68BED2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D539C145-5AEE-40D7-922F-B78059CF1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96A174E3-CA9E-4454-877B-343548219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BB59165E-904A-4841-8B96-F4D80B701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D8799352-BA88-47E1-97FB-ED3914D7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790D6C1F-B57A-4F98-80F6-F6D2F2B7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B55EC0AC-5EBF-4D2D-8E9C-4931A5D26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D1C8D99A-2097-4BF5-9435-DD50F16F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BD98878A-44C3-4FF2-9A1E-CF6114348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F6755724-DFFD-4400-A28A-49887E4F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11700C1F-C48D-4C34-8635-0D73920E1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BC6C64B3-FC4B-4861-9159-45F68A8FE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89DF53F4-2134-4008-9401-E8797552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976DAAE4-7C55-432E-999B-D83ADE92F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D1099022-B4DE-4CE9-860E-53F26070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4A15CEDF-83AA-40FB-AEA9-0C62EA9D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6E98DE22-D2DB-4CDF-B903-27A78D436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FB7ACD7A-5BF4-46ED-836D-2ED97D6A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5F72A470-476E-431B-B130-8CC23F8F6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461418F4-FCEC-4353-A033-817378F4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D3E3348F-C5AD-4D8C-8AF1-CED51E463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F68DFFFF-CC8F-4CD3-BED4-83A8D17B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1835D735-CCA3-42A4-8432-EA424720A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07B3DD1A-7A88-4926-AF64-1BBF73001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3A25DDBB-8BCB-4FCA-8B0D-9773CAD9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1079B6E6-8461-4FB4-89E6-5F30F38B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593C405B-2987-40F3-B768-CFBD6BD6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8" name="Picture 297" descr="https://mail.google.com/mail/u/0/images/cleardot.gif">
          <a:extLst>
            <a:ext uri="{FF2B5EF4-FFF2-40B4-BE49-F238E27FC236}">
              <a16:creationId xmlns:a16="http://schemas.microsoft.com/office/drawing/2014/main" id="{22B0683E-4B13-4B31-B147-C3775E2F7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299" name="Picture 298" descr="https://mail.google.com/mail/u/0/images/cleardot.gif">
          <a:extLst>
            <a:ext uri="{FF2B5EF4-FFF2-40B4-BE49-F238E27FC236}">
              <a16:creationId xmlns:a16="http://schemas.microsoft.com/office/drawing/2014/main" id="{E8E63DCB-FF34-47D6-B3DA-26EAE0541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0" name="Picture 299" descr="https://mail.google.com/mail/u/0/images/cleardot.gif">
          <a:extLst>
            <a:ext uri="{FF2B5EF4-FFF2-40B4-BE49-F238E27FC236}">
              <a16:creationId xmlns:a16="http://schemas.microsoft.com/office/drawing/2014/main" id="{DFD6B023-8885-44F3-8F10-55085411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1" name="Picture 300" descr="https://mail.google.com/mail/u/0/images/cleardot.gif">
          <a:extLst>
            <a:ext uri="{FF2B5EF4-FFF2-40B4-BE49-F238E27FC236}">
              <a16:creationId xmlns:a16="http://schemas.microsoft.com/office/drawing/2014/main" id="{77185814-31C5-4E89-8FFF-549AF479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2" name="Picture 301" descr="https://mail.google.com/mail/u/0/images/cleardot.gif">
          <a:extLst>
            <a:ext uri="{FF2B5EF4-FFF2-40B4-BE49-F238E27FC236}">
              <a16:creationId xmlns:a16="http://schemas.microsoft.com/office/drawing/2014/main" id="{A33EDD44-031E-4BB0-8DC4-272BCE6A5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3" name="Picture 302" descr="https://mail.google.com/mail/u/0/images/cleardot.gif">
          <a:extLst>
            <a:ext uri="{FF2B5EF4-FFF2-40B4-BE49-F238E27FC236}">
              <a16:creationId xmlns:a16="http://schemas.microsoft.com/office/drawing/2014/main" id="{1D55BCAB-F6D1-40A8-AC07-11B8546C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4" name="Picture 303" descr="https://mail.google.com/mail/u/0/images/cleardot.gif">
          <a:extLst>
            <a:ext uri="{FF2B5EF4-FFF2-40B4-BE49-F238E27FC236}">
              <a16:creationId xmlns:a16="http://schemas.microsoft.com/office/drawing/2014/main" id="{3FEB4E7B-7DB5-4B55-A0A1-9066EC3E0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5" name="Picture 304" descr="https://mail.google.com/mail/u/0/images/cleardot.gif">
          <a:extLst>
            <a:ext uri="{FF2B5EF4-FFF2-40B4-BE49-F238E27FC236}">
              <a16:creationId xmlns:a16="http://schemas.microsoft.com/office/drawing/2014/main" id="{643024EE-6EF1-497F-A50D-992CB495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6" name="Picture 305" descr="https://mail.google.com/mail/u/0/images/cleardot.gif">
          <a:extLst>
            <a:ext uri="{FF2B5EF4-FFF2-40B4-BE49-F238E27FC236}">
              <a16:creationId xmlns:a16="http://schemas.microsoft.com/office/drawing/2014/main" id="{C0440551-A301-427A-A4B8-83E303DE9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7" name="Picture 306" descr="https://mail.google.com/mail/u/0/images/cleardot.gif">
          <a:extLst>
            <a:ext uri="{FF2B5EF4-FFF2-40B4-BE49-F238E27FC236}">
              <a16:creationId xmlns:a16="http://schemas.microsoft.com/office/drawing/2014/main" id="{FC8F0D76-3946-42D0-985D-858E76342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8" name="Picture 307" descr="https://mail.google.com/mail/u/0/images/cleardot.gif">
          <a:extLst>
            <a:ext uri="{FF2B5EF4-FFF2-40B4-BE49-F238E27FC236}">
              <a16:creationId xmlns:a16="http://schemas.microsoft.com/office/drawing/2014/main" id="{A1D677FC-8A19-44E4-BF1C-171563FD0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09" name="Picture 308" descr="https://mail.google.com/mail/u/0/images/cleardot.gif">
          <a:extLst>
            <a:ext uri="{FF2B5EF4-FFF2-40B4-BE49-F238E27FC236}">
              <a16:creationId xmlns:a16="http://schemas.microsoft.com/office/drawing/2014/main" id="{54A3B9D3-2E16-4104-9F0E-1CF4667A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0" name="Picture 309" descr="https://mail.google.com/mail/u/0/images/cleardot.gif">
          <a:extLst>
            <a:ext uri="{FF2B5EF4-FFF2-40B4-BE49-F238E27FC236}">
              <a16:creationId xmlns:a16="http://schemas.microsoft.com/office/drawing/2014/main" id="{483FDCED-9141-4FD5-AAE6-D77C48EE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1" name="Picture 310" descr="https://mail.google.com/mail/u/0/images/cleardot.gif">
          <a:extLst>
            <a:ext uri="{FF2B5EF4-FFF2-40B4-BE49-F238E27FC236}">
              <a16:creationId xmlns:a16="http://schemas.microsoft.com/office/drawing/2014/main" id="{14BFA7B0-6D2E-4CA7-A725-5CD323099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2" name="Picture 311" descr="https://mail.google.com/mail/u/0/images/cleardot.gif">
          <a:extLst>
            <a:ext uri="{FF2B5EF4-FFF2-40B4-BE49-F238E27FC236}">
              <a16:creationId xmlns:a16="http://schemas.microsoft.com/office/drawing/2014/main" id="{5183BF8E-30E6-4870-A3A0-C83ABC97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3" name="Picture 312" descr="https://mail.google.com/mail/u/0/images/cleardot.gif">
          <a:extLst>
            <a:ext uri="{FF2B5EF4-FFF2-40B4-BE49-F238E27FC236}">
              <a16:creationId xmlns:a16="http://schemas.microsoft.com/office/drawing/2014/main" id="{EA5549A8-9EEA-457A-80A4-C5AAC56C8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4" name="Picture 313" descr="https://mail.google.com/mail/u/0/images/cleardot.gif">
          <a:extLst>
            <a:ext uri="{FF2B5EF4-FFF2-40B4-BE49-F238E27FC236}">
              <a16:creationId xmlns:a16="http://schemas.microsoft.com/office/drawing/2014/main" id="{B2737718-030E-42BF-A136-6E62DF384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5" name="Picture 314" descr="https://mail.google.com/mail/u/0/images/cleardot.gif">
          <a:extLst>
            <a:ext uri="{FF2B5EF4-FFF2-40B4-BE49-F238E27FC236}">
              <a16:creationId xmlns:a16="http://schemas.microsoft.com/office/drawing/2014/main" id="{05C178DE-3731-4818-8B85-68BC72C0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6" name="Picture 315" descr="https://mail.google.com/mail/u/0/images/cleardot.gif">
          <a:extLst>
            <a:ext uri="{FF2B5EF4-FFF2-40B4-BE49-F238E27FC236}">
              <a16:creationId xmlns:a16="http://schemas.microsoft.com/office/drawing/2014/main" id="{60335381-6C0E-448B-A5CC-8625A66E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7" name="Picture 316" descr="https://mail.google.com/mail/u/0/images/cleardot.gif">
          <a:extLst>
            <a:ext uri="{FF2B5EF4-FFF2-40B4-BE49-F238E27FC236}">
              <a16:creationId xmlns:a16="http://schemas.microsoft.com/office/drawing/2014/main" id="{99A04C59-ED3F-4676-AABA-30CE706B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8" name="Picture 317" descr="https://mail.google.com/mail/u/0/images/cleardot.gif">
          <a:extLst>
            <a:ext uri="{FF2B5EF4-FFF2-40B4-BE49-F238E27FC236}">
              <a16:creationId xmlns:a16="http://schemas.microsoft.com/office/drawing/2014/main" id="{56F98865-68E6-44F9-8C06-6AB5F4CC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19" name="Picture 318" descr="https://mail.google.com/mail/u/0/images/cleardot.gif">
          <a:extLst>
            <a:ext uri="{FF2B5EF4-FFF2-40B4-BE49-F238E27FC236}">
              <a16:creationId xmlns:a16="http://schemas.microsoft.com/office/drawing/2014/main" id="{462D9903-22A4-45AD-8FEF-32F6E10E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0" name="Picture 319" descr="https://mail.google.com/mail/u/0/images/cleardot.gif">
          <a:extLst>
            <a:ext uri="{FF2B5EF4-FFF2-40B4-BE49-F238E27FC236}">
              <a16:creationId xmlns:a16="http://schemas.microsoft.com/office/drawing/2014/main" id="{F665E3DD-C163-4861-AADB-FE08A6828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1" name="Picture 320" descr="https://mail.google.com/mail/u/0/images/cleardot.gif">
          <a:extLst>
            <a:ext uri="{FF2B5EF4-FFF2-40B4-BE49-F238E27FC236}">
              <a16:creationId xmlns:a16="http://schemas.microsoft.com/office/drawing/2014/main" id="{90478FD5-30A2-4DE8-9E72-55F30F898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2" name="Picture 321" descr="https://mail.google.com/mail/u/0/images/cleardot.gif">
          <a:extLst>
            <a:ext uri="{FF2B5EF4-FFF2-40B4-BE49-F238E27FC236}">
              <a16:creationId xmlns:a16="http://schemas.microsoft.com/office/drawing/2014/main" id="{C2BD236D-71B9-4D97-9973-A6D67DBB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3" name="Picture 322" descr="https://mail.google.com/mail/u/0/images/cleardot.gif">
          <a:extLst>
            <a:ext uri="{FF2B5EF4-FFF2-40B4-BE49-F238E27FC236}">
              <a16:creationId xmlns:a16="http://schemas.microsoft.com/office/drawing/2014/main" id="{3EE4ABDE-50FB-4806-B946-A91ED17E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4" name="Picture 323" descr="https://mail.google.com/mail/u/0/images/cleardot.gif">
          <a:extLst>
            <a:ext uri="{FF2B5EF4-FFF2-40B4-BE49-F238E27FC236}">
              <a16:creationId xmlns:a16="http://schemas.microsoft.com/office/drawing/2014/main" id="{605F8CEC-B1CC-449E-B0ED-4F67D3D5E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5" name="Picture 324" descr="https://mail.google.com/mail/u/0/images/cleardot.gif">
          <a:extLst>
            <a:ext uri="{FF2B5EF4-FFF2-40B4-BE49-F238E27FC236}">
              <a16:creationId xmlns:a16="http://schemas.microsoft.com/office/drawing/2014/main" id="{072FE7B5-610E-4D6D-8121-5D275A84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6" name="Picture 325" descr="https://mail.google.com/mail/u/0/images/cleardot.gif">
          <a:extLst>
            <a:ext uri="{FF2B5EF4-FFF2-40B4-BE49-F238E27FC236}">
              <a16:creationId xmlns:a16="http://schemas.microsoft.com/office/drawing/2014/main" id="{180F3D05-9B3B-433B-AD6D-ABFAC5621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7" name="Picture 326" descr="https://mail.google.com/mail/u/0/images/cleardot.gif">
          <a:extLst>
            <a:ext uri="{FF2B5EF4-FFF2-40B4-BE49-F238E27FC236}">
              <a16:creationId xmlns:a16="http://schemas.microsoft.com/office/drawing/2014/main" id="{3F119809-EF42-4741-913A-02E76CAA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8" name="Picture 327" descr="https://mail.google.com/mail/u/0/images/cleardot.gif">
          <a:extLst>
            <a:ext uri="{FF2B5EF4-FFF2-40B4-BE49-F238E27FC236}">
              <a16:creationId xmlns:a16="http://schemas.microsoft.com/office/drawing/2014/main" id="{450D86E0-DDDC-4C3C-A325-C86901FC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29" name="Picture 328" descr="https://mail.google.com/mail/u/0/images/cleardot.gif">
          <a:extLst>
            <a:ext uri="{FF2B5EF4-FFF2-40B4-BE49-F238E27FC236}">
              <a16:creationId xmlns:a16="http://schemas.microsoft.com/office/drawing/2014/main" id="{D15FA2EF-47B4-46B4-970E-1EAFE56A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0" name="Picture 329" descr="https://mail.google.com/mail/u/0/images/cleardot.gif">
          <a:extLst>
            <a:ext uri="{FF2B5EF4-FFF2-40B4-BE49-F238E27FC236}">
              <a16:creationId xmlns:a16="http://schemas.microsoft.com/office/drawing/2014/main" id="{2B7172F1-24B3-4E72-9343-93E8EE0B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1" name="Picture 330" descr="https://mail.google.com/mail/u/0/images/cleardot.gif">
          <a:extLst>
            <a:ext uri="{FF2B5EF4-FFF2-40B4-BE49-F238E27FC236}">
              <a16:creationId xmlns:a16="http://schemas.microsoft.com/office/drawing/2014/main" id="{3C5BE42B-FA71-41AA-B0BC-CAD6544D1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2" name="Picture 331" descr="https://mail.google.com/mail/u/0/images/cleardot.gif">
          <a:extLst>
            <a:ext uri="{FF2B5EF4-FFF2-40B4-BE49-F238E27FC236}">
              <a16:creationId xmlns:a16="http://schemas.microsoft.com/office/drawing/2014/main" id="{C2DC50FB-8695-4BEC-9886-014266E6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3" name="Picture 332" descr="https://mail.google.com/mail/u/0/images/cleardot.gif">
          <a:extLst>
            <a:ext uri="{FF2B5EF4-FFF2-40B4-BE49-F238E27FC236}">
              <a16:creationId xmlns:a16="http://schemas.microsoft.com/office/drawing/2014/main" id="{45721164-03BA-4472-AE12-97AB8A54B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4" name="Picture 333" descr="https://mail.google.com/mail/u/0/images/cleardot.gif">
          <a:extLst>
            <a:ext uri="{FF2B5EF4-FFF2-40B4-BE49-F238E27FC236}">
              <a16:creationId xmlns:a16="http://schemas.microsoft.com/office/drawing/2014/main" id="{3C46A93D-A47E-4073-90B0-470F802CE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5" name="Picture 334" descr="https://mail.google.com/mail/u/0/images/cleardot.gif">
          <a:extLst>
            <a:ext uri="{FF2B5EF4-FFF2-40B4-BE49-F238E27FC236}">
              <a16:creationId xmlns:a16="http://schemas.microsoft.com/office/drawing/2014/main" id="{D047D846-DE6E-45D7-8CC1-5E30039A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6" name="Picture 335" descr="https://mail.google.com/mail/u/0/images/cleardot.gif">
          <a:extLst>
            <a:ext uri="{FF2B5EF4-FFF2-40B4-BE49-F238E27FC236}">
              <a16:creationId xmlns:a16="http://schemas.microsoft.com/office/drawing/2014/main" id="{D059FCD2-FAE9-46BB-8339-E6452636F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7" name="Picture 336" descr="https://mail.google.com/mail/u/0/images/cleardot.gif">
          <a:extLst>
            <a:ext uri="{FF2B5EF4-FFF2-40B4-BE49-F238E27FC236}">
              <a16:creationId xmlns:a16="http://schemas.microsoft.com/office/drawing/2014/main" id="{5B4A178B-9419-405C-8DA7-EE50AE721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8" name="Picture 337" descr="https://mail.google.com/mail/u/0/images/cleardot.gif">
          <a:extLst>
            <a:ext uri="{FF2B5EF4-FFF2-40B4-BE49-F238E27FC236}">
              <a16:creationId xmlns:a16="http://schemas.microsoft.com/office/drawing/2014/main" id="{314CEB8A-5FDF-42D7-A973-DB289AB9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39" name="Picture 338" descr="https://mail.google.com/mail/u/0/images/cleardot.gif">
          <a:extLst>
            <a:ext uri="{FF2B5EF4-FFF2-40B4-BE49-F238E27FC236}">
              <a16:creationId xmlns:a16="http://schemas.microsoft.com/office/drawing/2014/main" id="{BA947D0F-3947-43B6-95FD-9B63FFD2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0" name="Picture 339" descr="https://mail.google.com/mail/u/0/images/cleardot.gif">
          <a:extLst>
            <a:ext uri="{FF2B5EF4-FFF2-40B4-BE49-F238E27FC236}">
              <a16:creationId xmlns:a16="http://schemas.microsoft.com/office/drawing/2014/main" id="{6978AB51-8303-4ED9-84AB-0D449696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1" name="Picture 340" descr="https://mail.google.com/mail/u/0/images/cleardot.gif">
          <a:extLst>
            <a:ext uri="{FF2B5EF4-FFF2-40B4-BE49-F238E27FC236}">
              <a16:creationId xmlns:a16="http://schemas.microsoft.com/office/drawing/2014/main" id="{9AA828D8-CE93-4A8B-B360-C50DEF138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2" name="Picture 341" descr="https://mail.google.com/mail/u/0/images/cleardot.gif">
          <a:extLst>
            <a:ext uri="{FF2B5EF4-FFF2-40B4-BE49-F238E27FC236}">
              <a16:creationId xmlns:a16="http://schemas.microsoft.com/office/drawing/2014/main" id="{5C0F1748-3761-4F6B-9C6C-CF4873A1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3" name="Picture 342" descr="https://mail.google.com/mail/u/0/images/cleardot.gif">
          <a:extLst>
            <a:ext uri="{FF2B5EF4-FFF2-40B4-BE49-F238E27FC236}">
              <a16:creationId xmlns:a16="http://schemas.microsoft.com/office/drawing/2014/main" id="{BDD512D8-4372-4C8F-A0B6-E9A2E2BAD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4" name="Picture 343" descr="https://mail.google.com/mail/u/0/images/cleardot.gif">
          <a:extLst>
            <a:ext uri="{FF2B5EF4-FFF2-40B4-BE49-F238E27FC236}">
              <a16:creationId xmlns:a16="http://schemas.microsoft.com/office/drawing/2014/main" id="{14F04197-23BB-4E8C-8A4D-BBC427C8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5" name="Picture 344" descr="https://mail.google.com/mail/u/0/images/cleardot.gif">
          <a:extLst>
            <a:ext uri="{FF2B5EF4-FFF2-40B4-BE49-F238E27FC236}">
              <a16:creationId xmlns:a16="http://schemas.microsoft.com/office/drawing/2014/main" id="{EEB4A12E-1B76-4C8C-81FD-BFFC9CECA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6" name="Picture 345" descr="https://mail.google.com/mail/u/0/images/cleardot.gif">
          <a:extLst>
            <a:ext uri="{FF2B5EF4-FFF2-40B4-BE49-F238E27FC236}">
              <a16:creationId xmlns:a16="http://schemas.microsoft.com/office/drawing/2014/main" id="{AF92B90D-956B-4E99-9057-F4FCE443D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7" name="Picture 346" descr="https://mail.google.com/mail/u/0/images/cleardot.gif">
          <a:extLst>
            <a:ext uri="{FF2B5EF4-FFF2-40B4-BE49-F238E27FC236}">
              <a16:creationId xmlns:a16="http://schemas.microsoft.com/office/drawing/2014/main" id="{4DAEB5C4-2967-485F-A378-94B6D20C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8" name="Picture 347" descr="https://mail.google.com/mail/u/0/images/cleardot.gif">
          <a:extLst>
            <a:ext uri="{FF2B5EF4-FFF2-40B4-BE49-F238E27FC236}">
              <a16:creationId xmlns:a16="http://schemas.microsoft.com/office/drawing/2014/main" id="{0187D95E-DE5C-4BCA-B206-DF5A7AE80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49" name="Picture 348" descr="https://mail.google.com/mail/u/0/images/cleardot.gif">
          <a:extLst>
            <a:ext uri="{FF2B5EF4-FFF2-40B4-BE49-F238E27FC236}">
              <a16:creationId xmlns:a16="http://schemas.microsoft.com/office/drawing/2014/main" id="{E7AD94DE-403F-4C71-8629-63032453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0" name="Picture 349" descr="https://mail.google.com/mail/u/0/images/cleardot.gif">
          <a:extLst>
            <a:ext uri="{FF2B5EF4-FFF2-40B4-BE49-F238E27FC236}">
              <a16:creationId xmlns:a16="http://schemas.microsoft.com/office/drawing/2014/main" id="{B24A0107-D317-463B-A879-A9D59DF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1" name="Picture 350" descr="https://mail.google.com/mail/u/0/images/cleardot.gif">
          <a:extLst>
            <a:ext uri="{FF2B5EF4-FFF2-40B4-BE49-F238E27FC236}">
              <a16:creationId xmlns:a16="http://schemas.microsoft.com/office/drawing/2014/main" id="{C6C95CBB-FC0E-420A-9844-B19C3A06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2" name="Picture 351" descr="https://mail.google.com/mail/u/0/images/cleardot.gif">
          <a:extLst>
            <a:ext uri="{FF2B5EF4-FFF2-40B4-BE49-F238E27FC236}">
              <a16:creationId xmlns:a16="http://schemas.microsoft.com/office/drawing/2014/main" id="{93F1099F-66DE-41AE-96A0-DED47FD5F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3" name="Picture 352" descr="https://mail.google.com/mail/u/0/images/cleardot.gif">
          <a:extLst>
            <a:ext uri="{FF2B5EF4-FFF2-40B4-BE49-F238E27FC236}">
              <a16:creationId xmlns:a16="http://schemas.microsoft.com/office/drawing/2014/main" id="{AF3B089F-355B-4BE2-96A7-649190F4C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4" name="Picture 353" descr="https://mail.google.com/mail/u/0/images/cleardot.gif">
          <a:extLst>
            <a:ext uri="{FF2B5EF4-FFF2-40B4-BE49-F238E27FC236}">
              <a16:creationId xmlns:a16="http://schemas.microsoft.com/office/drawing/2014/main" id="{3952E854-03E0-4799-9699-B2168433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5" name="Picture 354" descr="https://mail.google.com/mail/u/0/images/cleardot.gif">
          <a:extLst>
            <a:ext uri="{FF2B5EF4-FFF2-40B4-BE49-F238E27FC236}">
              <a16:creationId xmlns:a16="http://schemas.microsoft.com/office/drawing/2014/main" id="{F621A5CE-AD27-49AB-8D17-F0F8D99A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6" name="Picture 355" descr="https://mail.google.com/mail/u/0/images/cleardot.gif">
          <a:extLst>
            <a:ext uri="{FF2B5EF4-FFF2-40B4-BE49-F238E27FC236}">
              <a16:creationId xmlns:a16="http://schemas.microsoft.com/office/drawing/2014/main" id="{77028EE8-FD24-4090-94B3-2061A31A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7" name="Picture 356" descr="https://mail.google.com/mail/u/0/images/cleardot.gif">
          <a:extLst>
            <a:ext uri="{FF2B5EF4-FFF2-40B4-BE49-F238E27FC236}">
              <a16:creationId xmlns:a16="http://schemas.microsoft.com/office/drawing/2014/main" id="{7BD4F63D-B7A2-4AE5-ADB9-7F1B85B66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8" name="Picture 357" descr="https://mail.google.com/mail/u/0/images/cleardot.gif">
          <a:extLst>
            <a:ext uri="{FF2B5EF4-FFF2-40B4-BE49-F238E27FC236}">
              <a16:creationId xmlns:a16="http://schemas.microsoft.com/office/drawing/2014/main" id="{5A7376FE-7C2D-4A24-A3C4-72DE1FCE2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59" name="Picture 358" descr="https://mail.google.com/mail/u/0/images/cleardot.gif">
          <a:extLst>
            <a:ext uri="{FF2B5EF4-FFF2-40B4-BE49-F238E27FC236}">
              <a16:creationId xmlns:a16="http://schemas.microsoft.com/office/drawing/2014/main" id="{44C10A6C-AAA9-4D7F-A448-1B55C70C6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0" name="Picture 359" descr="https://mail.google.com/mail/u/0/images/cleardot.gif">
          <a:extLst>
            <a:ext uri="{FF2B5EF4-FFF2-40B4-BE49-F238E27FC236}">
              <a16:creationId xmlns:a16="http://schemas.microsoft.com/office/drawing/2014/main" id="{0FE4C132-B559-4CC6-AF3E-F7583DBD7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1" name="Picture 360" descr="https://mail.google.com/mail/u/0/images/cleardot.gif">
          <a:extLst>
            <a:ext uri="{FF2B5EF4-FFF2-40B4-BE49-F238E27FC236}">
              <a16:creationId xmlns:a16="http://schemas.microsoft.com/office/drawing/2014/main" id="{7D011D75-0ED3-47CD-B228-75CF307F2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2" name="Picture 361" descr="https://mail.google.com/mail/u/0/images/cleardot.gif">
          <a:extLst>
            <a:ext uri="{FF2B5EF4-FFF2-40B4-BE49-F238E27FC236}">
              <a16:creationId xmlns:a16="http://schemas.microsoft.com/office/drawing/2014/main" id="{5351E7CC-34E5-4343-9299-C57F5C4B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3" name="Picture 362" descr="https://mail.google.com/mail/u/0/images/cleardot.gif">
          <a:extLst>
            <a:ext uri="{FF2B5EF4-FFF2-40B4-BE49-F238E27FC236}">
              <a16:creationId xmlns:a16="http://schemas.microsoft.com/office/drawing/2014/main" id="{C7964C64-40AA-4213-BE0D-123EAD88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4" name="Picture 363" descr="https://mail.google.com/mail/u/0/images/cleardot.gif">
          <a:extLst>
            <a:ext uri="{FF2B5EF4-FFF2-40B4-BE49-F238E27FC236}">
              <a16:creationId xmlns:a16="http://schemas.microsoft.com/office/drawing/2014/main" id="{9C66F1C5-D483-45A9-9FBD-5C66C84F7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5" name="Picture 364" descr="https://mail.google.com/mail/u/0/images/cleardot.gif">
          <a:extLst>
            <a:ext uri="{FF2B5EF4-FFF2-40B4-BE49-F238E27FC236}">
              <a16:creationId xmlns:a16="http://schemas.microsoft.com/office/drawing/2014/main" id="{43CBDDF0-B5F8-452C-8D34-586B3C35D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6" name="Picture 365" descr="https://mail.google.com/mail/u/0/images/cleardot.gif">
          <a:extLst>
            <a:ext uri="{FF2B5EF4-FFF2-40B4-BE49-F238E27FC236}">
              <a16:creationId xmlns:a16="http://schemas.microsoft.com/office/drawing/2014/main" id="{CF26B098-8645-481D-A5A8-91A0156E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7" name="Picture 366" descr="https://mail.google.com/mail/u/0/images/cleardot.gif">
          <a:extLst>
            <a:ext uri="{FF2B5EF4-FFF2-40B4-BE49-F238E27FC236}">
              <a16:creationId xmlns:a16="http://schemas.microsoft.com/office/drawing/2014/main" id="{0A4837B9-045A-4E8C-BEAC-36159B66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8" name="Picture 367" descr="https://mail.google.com/mail/u/0/images/cleardot.gif">
          <a:extLst>
            <a:ext uri="{FF2B5EF4-FFF2-40B4-BE49-F238E27FC236}">
              <a16:creationId xmlns:a16="http://schemas.microsoft.com/office/drawing/2014/main" id="{CC68EE15-3FF0-4BCC-9753-FC752BD6A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69" name="Picture 368" descr="https://mail.google.com/mail/u/0/images/cleardot.gif">
          <a:extLst>
            <a:ext uri="{FF2B5EF4-FFF2-40B4-BE49-F238E27FC236}">
              <a16:creationId xmlns:a16="http://schemas.microsoft.com/office/drawing/2014/main" id="{389ABAA0-8CD4-43C0-8399-458B7BB19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0" name="Picture 369" descr="https://mail.google.com/mail/u/0/images/cleardot.gif">
          <a:extLst>
            <a:ext uri="{FF2B5EF4-FFF2-40B4-BE49-F238E27FC236}">
              <a16:creationId xmlns:a16="http://schemas.microsoft.com/office/drawing/2014/main" id="{1049EEF0-63FC-4F16-A6E6-E57F80B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1" name="Picture 370" descr="https://mail.google.com/mail/u/0/images/cleardot.gif">
          <a:extLst>
            <a:ext uri="{FF2B5EF4-FFF2-40B4-BE49-F238E27FC236}">
              <a16:creationId xmlns:a16="http://schemas.microsoft.com/office/drawing/2014/main" id="{00F53F5B-B20E-422F-B867-3B80DC89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2" name="Picture 371" descr="https://mail.google.com/mail/u/0/images/cleardot.gif">
          <a:extLst>
            <a:ext uri="{FF2B5EF4-FFF2-40B4-BE49-F238E27FC236}">
              <a16:creationId xmlns:a16="http://schemas.microsoft.com/office/drawing/2014/main" id="{3DF84B68-C936-4CA0-95D9-D179DD68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3" name="Picture 372" descr="https://mail.google.com/mail/u/0/images/cleardot.gif">
          <a:extLst>
            <a:ext uri="{FF2B5EF4-FFF2-40B4-BE49-F238E27FC236}">
              <a16:creationId xmlns:a16="http://schemas.microsoft.com/office/drawing/2014/main" id="{BE4AC410-4D46-48BE-B252-8D0F0A2A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4" name="Picture 373" descr="https://mail.google.com/mail/u/0/images/cleardot.gif">
          <a:extLst>
            <a:ext uri="{FF2B5EF4-FFF2-40B4-BE49-F238E27FC236}">
              <a16:creationId xmlns:a16="http://schemas.microsoft.com/office/drawing/2014/main" id="{C7110525-165D-47E3-8DE3-5A9ABCAC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5" name="Picture 374" descr="https://mail.google.com/mail/u/0/images/cleardot.gif">
          <a:extLst>
            <a:ext uri="{FF2B5EF4-FFF2-40B4-BE49-F238E27FC236}">
              <a16:creationId xmlns:a16="http://schemas.microsoft.com/office/drawing/2014/main" id="{0FCD8662-9682-4856-9D10-DA098FB8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6" name="Picture 375" descr="https://mail.google.com/mail/u/0/images/cleardot.gif">
          <a:extLst>
            <a:ext uri="{FF2B5EF4-FFF2-40B4-BE49-F238E27FC236}">
              <a16:creationId xmlns:a16="http://schemas.microsoft.com/office/drawing/2014/main" id="{C0D8931B-354E-4EE7-95D0-5E62A2B0E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7" name="Picture 376" descr="https://mail.google.com/mail/u/0/images/cleardot.gif">
          <a:extLst>
            <a:ext uri="{FF2B5EF4-FFF2-40B4-BE49-F238E27FC236}">
              <a16:creationId xmlns:a16="http://schemas.microsoft.com/office/drawing/2014/main" id="{534EA6C5-605F-4A46-B369-A435D998D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8" name="Picture 377" descr="https://mail.google.com/mail/u/0/images/cleardot.gif">
          <a:extLst>
            <a:ext uri="{FF2B5EF4-FFF2-40B4-BE49-F238E27FC236}">
              <a16:creationId xmlns:a16="http://schemas.microsoft.com/office/drawing/2014/main" id="{941DE650-9C11-479D-A6F0-1B66BBE1C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79" name="Picture 378" descr="https://mail.google.com/mail/u/0/images/cleardot.gif">
          <a:extLst>
            <a:ext uri="{FF2B5EF4-FFF2-40B4-BE49-F238E27FC236}">
              <a16:creationId xmlns:a16="http://schemas.microsoft.com/office/drawing/2014/main" id="{76297648-7323-47F4-8E75-AD03C6D3A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0" name="Picture 379" descr="https://mail.google.com/mail/u/0/images/cleardot.gif">
          <a:extLst>
            <a:ext uri="{FF2B5EF4-FFF2-40B4-BE49-F238E27FC236}">
              <a16:creationId xmlns:a16="http://schemas.microsoft.com/office/drawing/2014/main" id="{A2B27DA1-FFB4-4DFE-BB1D-49C024606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1" name="Picture 380" descr="https://mail.google.com/mail/u/0/images/cleardot.gif">
          <a:extLst>
            <a:ext uri="{FF2B5EF4-FFF2-40B4-BE49-F238E27FC236}">
              <a16:creationId xmlns:a16="http://schemas.microsoft.com/office/drawing/2014/main" id="{030570AC-7D6E-4E10-A811-257F054F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2" name="Picture 381" descr="https://mail.google.com/mail/u/0/images/cleardot.gif">
          <a:extLst>
            <a:ext uri="{FF2B5EF4-FFF2-40B4-BE49-F238E27FC236}">
              <a16:creationId xmlns:a16="http://schemas.microsoft.com/office/drawing/2014/main" id="{8CD6AFAD-7D6E-477D-B780-B604F78BC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3" name="Picture 382" descr="https://mail.google.com/mail/u/0/images/cleardot.gif">
          <a:extLst>
            <a:ext uri="{FF2B5EF4-FFF2-40B4-BE49-F238E27FC236}">
              <a16:creationId xmlns:a16="http://schemas.microsoft.com/office/drawing/2014/main" id="{8CA250F0-8AA3-4063-AE02-9F54E7B19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4" name="Picture 383" descr="https://mail.google.com/mail/u/0/images/cleardot.gif">
          <a:extLst>
            <a:ext uri="{FF2B5EF4-FFF2-40B4-BE49-F238E27FC236}">
              <a16:creationId xmlns:a16="http://schemas.microsoft.com/office/drawing/2014/main" id="{3D688DD6-2BF8-47CA-A1E6-752F37CC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5" name="Picture 384" descr="https://mail.google.com/mail/u/0/images/cleardot.gif">
          <a:extLst>
            <a:ext uri="{FF2B5EF4-FFF2-40B4-BE49-F238E27FC236}">
              <a16:creationId xmlns:a16="http://schemas.microsoft.com/office/drawing/2014/main" id="{FFAE7247-A910-4782-84F2-A9BB898D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6" name="Picture 385" descr="https://mail.google.com/mail/u/0/images/cleardot.gif">
          <a:extLst>
            <a:ext uri="{FF2B5EF4-FFF2-40B4-BE49-F238E27FC236}">
              <a16:creationId xmlns:a16="http://schemas.microsoft.com/office/drawing/2014/main" id="{474E00F1-B0A3-47F0-A55D-4F03E7FE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7" name="Picture 386" descr="https://mail.google.com/mail/u/0/images/cleardot.gif">
          <a:extLst>
            <a:ext uri="{FF2B5EF4-FFF2-40B4-BE49-F238E27FC236}">
              <a16:creationId xmlns:a16="http://schemas.microsoft.com/office/drawing/2014/main" id="{C8097068-92E6-4032-9243-8701219A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8" name="Picture 387" descr="https://mail.google.com/mail/u/0/images/cleardot.gif">
          <a:extLst>
            <a:ext uri="{FF2B5EF4-FFF2-40B4-BE49-F238E27FC236}">
              <a16:creationId xmlns:a16="http://schemas.microsoft.com/office/drawing/2014/main" id="{C1CAFC6B-5AF2-4074-93B9-32FC17084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89" name="Picture 388" descr="https://mail.google.com/mail/u/0/images/cleardot.gif">
          <a:extLst>
            <a:ext uri="{FF2B5EF4-FFF2-40B4-BE49-F238E27FC236}">
              <a16:creationId xmlns:a16="http://schemas.microsoft.com/office/drawing/2014/main" id="{F7C1F7C8-089B-4EDD-B61C-DE7E3502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0" name="Picture 389" descr="https://mail.google.com/mail/u/0/images/cleardot.gif">
          <a:extLst>
            <a:ext uri="{FF2B5EF4-FFF2-40B4-BE49-F238E27FC236}">
              <a16:creationId xmlns:a16="http://schemas.microsoft.com/office/drawing/2014/main" id="{71406D65-1370-4646-8BE0-12CBA212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1" name="Picture 390" descr="https://mail.google.com/mail/u/0/images/cleardot.gif">
          <a:extLst>
            <a:ext uri="{FF2B5EF4-FFF2-40B4-BE49-F238E27FC236}">
              <a16:creationId xmlns:a16="http://schemas.microsoft.com/office/drawing/2014/main" id="{87B5A011-2248-4B6A-A548-96A87441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2" name="Picture 391" descr="https://mail.google.com/mail/u/0/images/cleardot.gif">
          <a:extLst>
            <a:ext uri="{FF2B5EF4-FFF2-40B4-BE49-F238E27FC236}">
              <a16:creationId xmlns:a16="http://schemas.microsoft.com/office/drawing/2014/main" id="{95C18971-CC3D-4FB8-B378-FD88A70AD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3" name="Picture 392" descr="https://mail.google.com/mail/u/0/images/cleardot.gif">
          <a:extLst>
            <a:ext uri="{FF2B5EF4-FFF2-40B4-BE49-F238E27FC236}">
              <a16:creationId xmlns:a16="http://schemas.microsoft.com/office/drawing/2014/main" id="{127AD2DD-0A4C-45AD-B25D-3BD68AE4F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4" name="Picture 393" descr="https://mail.google.com/mail/u/0/images/cleardot.gif">
          <a:extLst>
            <a:ext uri="{FF2B5EF4-FFF2-40B4-BE49-F238E27FC236}">
              <a16:creationId xmlns:a16="http://schemas.microsoft.com/office/drawing/2014/main" id="{C91544DE-0956-4C2F-9D35-2DBA74BA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5" name="Picture 394" descr="https://mail.google.com/mail/u/0/images/cleardot.gif">
          <a:extLst>
            <a:ext uri="{FF2B5EF4-FFF2-40B4-BE49-F238E27FC236}">
              <a16:creationId xmlns:a16="http://schemas.microsoft.com/office/drawing/2014/main" id="{535E5189-1FAE-4657-9BB6-DE907B90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6" name="Picture 395" descr="https://mail.google.com/mail/u/0/images/cleardot.gif">
          <a:extLst>
            <a:ext uri="{FF2B5EF4-FFF2-40B4-BE49-F238E27FC236}">
              <a16:creationId xmlns:a16="http://schemas.microsoft.com/office/drawing/2014/main" id="{E2CEBB37-3604-431C-BA56-793AB964D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7" name="Picture 396" descr="https://mail.google.com/mail/u/0/images/cleardot.gif">
          <a:extLst>
            <a:ext uri="{FF2B5EF4-FFF2-40B4-BE49-F238E27FC236}">
              <a16:creationId xmlns:a16="http://schemas.microsoft.com/office/drawing/2014/main" id="{F6514C1C-F834-4EF4-BCDE-8A18D7BC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8" name="Picture 397" descr="https://mail.google.com/mail/u/0/images/cleardot.gif">
          <a:extLst>
            <a:ext uri="{FF2B5EF4-FFF2-40B4-BE49-F238E27FC236}">
              <a16:creationId xmlns:a16="http://schemas.microsoft.com/office/drawing/2014/main" id="{C2EB93D1-B70B-4177-B1A5-24FD51B34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399" name="Picture 398" descr="https://mail.google.com/mail/u/0/images/cleardot.gif">
          <a:extLst>
            <a:ext uri="{FF2B5EF4-FFF2-40B4-BE49-F238E27FC236}">
              <a16:creationId xmlns:a16="http://schemas.microsoft.com/office/drawing/2014/main" id="{60F94E68-ACC6-41A9-9F34-58B9265C8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0" name="Picture 399" descr="https://mail.google.com/mail/u/0/images/cleardot.gif">
          <a:extLst>
            <a:ext uri="{FF2B5EF4-FFF2-40B4-BE49-F238E27FC236}">
              <a16:creationId xmlns:a16="http://schemas.microsoft.com/office/drawing/2014/main" id="{FFA7F353-F331-4521-AB4F-1CFA864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1" name="Picture 400" descr="https://mail.google.com/mail/u/0/images/cleardot.gif">
          <a:extLst>
            <a:ext uri="{FF2B5EF4-FFF2-40B4-BE49-F238E27FC236}">
              <a16:creationId xmlns:a16="http://schemas.microsoft.com/office/drawing/2014/main" id="{7259AB3C-D6DA-4044-B890-A8D381B5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2" name="Picture 401" descr="https://mail.google.com/mail/u/0/images/cleardot.gif">
          <a:extLst>
            <a:ext uri="{FF2B5EF4-FFF2-40B4-BE49-F238E27FC236}">
              <a16:creationId xmlns:a16="http://schemas.microsoft.com/office/drawing/2014/main" id="{39130AEA-8855-41C3-B90D-4DDFC2422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3" name="Picture 402" descr="https://mail.google.com/mail/u/0/images/cleardot.gif">
          <a:extLst>
            <a:ext uri="{FF2B5EF4-FFF2-40B4-BE49-F238E27FC236}">
              <a16:creationId xmlns:a16="http://schemas.microsoft.com/office/drawing/2014/main" id="{3B0A5682-FAC0-4EFC-BB4A-277486ED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4" name="Picture 403" descr="https://mail.google.com/mail/u/0/images/cleardot.gif">
          <a:extLst>
            <a:ext uri="{FF2B5EF4-FFF2-40B4-BE49-F238E27FC236}">
              <a16:creationId xmlns:a16="http://schemas.microsoft.com/office/drawing/2014/main" id="{915D90E4-7518-403A-A633-EF76DE5C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5" name="Picture 404" descr="https://mail.google.com/mail/u/0/images/cleardot.gif">
          <a:extLst>
            <a:ext uri="{FF2B5EF4-FFF2-40B4-BE49-F238E27FC236}">
              <a16:creationId xmlns:a16="http://schemas.microsoft.com/office/drawing/2014/main" id="{535C1957-F5AA-4706-9909-E38129A6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6" name="Picture 405" descr="https://mail.google.com/mail/u/0/images/cleardot.gif">
          <a:extLst>
            <a:ext uri="{FF2B5EF4-FFF2-40B4-BE49-F238E27FC236}">
              <a16:creationId xmlns:a16="http://schemas.microsoft.com/office/drawing/2014/main" id="{5386C031-73E0-4F93-9939-CB17AB59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7" name="Picture 406" descr="https://mail.google.com/mail/u/0/images/cleardot.gif">
          <a:extLst>
            <a:ext uri="{FF2B5EF4-FFF2-40B4-BE49-F238E27FC236}">
              <a16:creationId xmlns:a16="http://schemas.microsoft.com/office/drawing/2014/main" id="{774D2A52-3C26-42BE-B921-87C35D49B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8" name="Picture 407" descr="https://mail.google.com/mail/u/0/images/cleardot.gif">
          <a:extLst>
            <a:ext uri="{FF2B5EF4-FFF2-40B4-BE49-F238E27FC236}">
              <a16:creationId xmlns:a16="http://schemas.microsoft.com/office/drawing/2014/main" id="{8D64A732-AC25-4FC9-88A2-97A815046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09" name="Picture 408" descr="https://mail.google.com/mail/u/0/images/cleardot.gif">
          <a:extLst>
            <a:ext uri="{FF2B5EF4-FFF2-40B4-BE49-F238E27FC236}">
              <a16:creationId xmlns:a16="http://schemas.microsoft.com/office/drawing/2014/main" id="{C1A6D373-276D-4658-9F69-11F79ED5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0" name="Picture 409" descr="https://mail.google.com/mail/u/0/images/cleardot.gif">
          <a:extLst>
            <a:ext uri="{FF2B5EF4-FFF2-40B4-BE49-F238E27FC236}">
              <a16:creationId xmlns:a16="http://schemas.microsoft.com/office/drawing/2014/main" id="{F408ABE0-EBF0-4CBF-BA77-ED2841339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1" name="Picture 410" descr="https://mail.google.com/mail/u/0/images/cleardot.gif">
          <a:extLst>
            <a:ext uri="{FF2B5EF4-FFF2-40B4-BE49-F238E27FC236}">
              <a16:creationId xmlns:a16="http://schemas.microsoft.com/office/drawing/2014/main" id="{829D083B-55E0-4BF0-BC20-A2CA0BA5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2" name="Picture 411" descr="https://mail.google.com/mail/u/0/images/cleardot.gif">
          <a:extLst>
            <a:ext uri="{FF2B5EF4-FFF2-40B4-BE49-F238E27FC236}">
              <a16:creationId xmlns:a16="http://schemas.microsoft.com/office/drawing/2014/main" id="{67CA288B-4047-424B-AD1D-38D46289F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3" name="Picture 412" descr="https://mail.google.com/mail/u/0/images/cleardot.gif">
          <a:extLst>
            <a:ext uri="{FF2B5EF4-FFF2-40B4-BE49-F238E27FC236}">
              <a16:creationId xmlns:a16="http://schemas.microsoft.com/office/drawing/2014/main" id="{A04801B1-BB3C-410C-B61C-AE839C99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4" name="Picture 413" descr="https://mail.google.com/mail/u/0/images/cleardot.gif">
          <a:extLst>
            <a:ext uri="{FF2B5EF4-FFF2-40B4-BE49-F238E27FC236}">
              <a16:creationId xmlns:a16="http://schemas.microsoft.com/office/drawing/2014/main" id="{D38B5A5F-B649-4A5B-A8BA-DB2E402E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5" name="Picture 414" descr="https://mail.google.com/mail/u/0/images/cleardot.gif">
          <a:extLst>
            <a:ext uri="{FF2B5EF4-FFF2-40B4-BE49-F238E27FC236}">
              <a16:creationId xmlns:a16="http://schemas.microsoft.com/office/drawing/2014/main" id="{D246567F-2007-49B8-A69A-BB963545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6" name="Picture 415" descr="https://mail.google.com/mail/u/0/images/cleardot.gif">
          <a:extLst>
            <a:ext uri="{FF2B5EF4-FFF2-40B4-BE49-F238E27FC236}">
              <a16:creationId xmlns:a16="http://schemas.microsoft.com/office/drawing/2014/main" id="{A654AE7D-6685-4CD4-A3BF-224093142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7" name="Picture 416" descr="https://mail.google.com/mail/u/0/images/cleardot.gif">
          <a:extLst>
            <a:ext uri="{FF2B5EF4-FFF2-40B4-BE49-F238E27FC236}">
              <a16:creationId xmlns:a16="http://schemas.microsoft.com/office/drawing/2014/main" id="{9DA9818A-205D-4140-B0AE-DA116D7D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8" name="Picture 417" descr="https://mail.google.com/mail/u/0/images/cleardot.gif">
          <a:extLst>
            <a:ext uri="{FF2B5EF4-FFF2-40B4-BE49-F238E27FC236}">
              <a16:creationId xmlns:a16="http://schemas.microsoft.com/office/drawing/2014/main" id="{F95EC869-1885-41B5-ACD4-131E3552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19" name="Picture 418" descr="https://mail.google.com/mail/u/0/images/cleardot.gif">
          <a:extLst>
            <a:ext uri="{FF2B5EF4-FFF2-40B4-BE49-F238E27FC236}">
              <a16:creationId xmlns:a16="http://schemas.microsoft.com/office/drawing/2014/main" id="{2EDC75DD-B84F-41FE-950D-035BEFE7B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0" name="Picture 419" descr="https://mail.google.com/mail/u/0/images/cleardot.gif">
          <a:extLst>
            <a:ext uri="{FF2B5EF4-FFF2-40B4-BE49-F238E27FC236}">
              <a16:creationId xmlns:a16="http://schemas.microsoft.com/office/drawing/2014/main" id="{B9720E84-1AC6-40B5-9A27-F9C9CACC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1" name="Picture 420" descr="https://mail.google.com/mail/u/0/images/cleardot.gif">
          <a:extLst>
            <a:ext uri="{FF2B5EF4-FFF2-40B4-BE49-F238E27FC236}">
              <a16:creationId xmlns:a16="http://schemas.microsoft.com/office/drawing/2014/main" id="{3024DECD-812B-4425-B867-C988002BE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2" name="Picture 421" descr="https://mail.google.com/mail/u/0/images/cleardot.gif">
          <a:extLst>
            <a:ext uri="{FF2B5EF4-FFF2-40B4-BE49-F238E27FC236}">
              <a16:creationId xmlns:a16="http://schemas.microsoft.com/office/drawing/2014/main" id="{07B909FA-11D8-4D97-AEE6-435FC342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3" name="Picture 422" descr="https://mail.google.com/mail/u/0/images/cleardot.gif">
          <a:extLst>
            <a:ext uri="{FF2B5EF4-FFF2-40B4-BE49-F238E27FC236}">
              <a16:creationId xmlns:a16="http://schemas.microsoft.com/office/drawing/2014/main" id="{6B32A157-A5F9-4C75-958B-BD8ECF67E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4" name="Picture 423" descr="https://mail.google.com/mail/u/0/images/cleardot.gif">
          <a:extLst>
            <a:ext uri="{FF2B5EF4-FFF2-40B4-BE49-F238E27FC236}">
              <a16:creationId xmlns:a16="http://schemas.microsoft.com/office/drawing/2014/main" id="{ED82682E-4B16-432C-B4E1-EC6F88F29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5" name="Picture 424" descr="https://mail.google.com/mail/u/0/images/cleardot.gif">
          <a:extLst>
            <a:ext uri="{FF2B5EF4-FFF2-40B4-BE49-F238E27FC236}">
              <a16:creationId xmlns:a16="http://schemas.microsoft.com/office/drawing/2014/main" id="{7A76DA27-CB63-4BE0-A42A-C5FFE05B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6" name="Picture 425" descr="https://mail.google.com/mail/u/0/images/cleardot.gif">
          <a:extLst>
            <a:ext uri="{FF2B5EF4-FFF2-40B4-BE49-F238E27FC236}">
              <a16:creationId xmlns:a16="http://schemas.microsoft.com/office/drawing/2014/main" id="{253262C7-A4BA-4B1B-86A6-8E495AFE6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7" name="Picture 426" descr="https://mail.google.com/mail/u/0/images/cleardot.gif">
          <a:extLst>
            <a:ext uri="{FF2B5EF4-FFF2-40B4-BE49-F238E27FC236}">
              <a16:creationId xmlns:a16="http://schemas.microsoft.com/office/drawing/2014/main" id="{90F52CC6-20A9-4A47-BC64-3B112D10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8" name="Picture 427" descr="https://mail.google.com/mail/u/0/images/cleardot.gif">
          <a:extLst>
            <a:ext uri="{FF2B5EF4-FFF2-40B4-BE49-F238E27FC236}">
              <a16:creationId xmlns:a16="http://schemas.microsoft.com/office/drawing/2014/main" id="{8047B8CE-5A4A-45A5-B233-F69BF6D86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29" name="Picture 428" descr="https://mail.google.com/mail/u/0/images/cleardot.gif">
          <a:extLst>
            <a:ext uri="{FF2B5EF4-FFF2-40B4-BE49-F238E27FC236}">
              <a16:creationId xmlns:a16="http://schemas.microsoft.com/office/drawing/2014/main" id="{28144A36-85D1-4D8F-BFB9-4D08F59A2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0" name="Picture 429" descr="https://mail.google.com/mail/u/0/images/cleardot.gif">
          <a:extLst>
            <a:ext uri="{FF2B5EF4-FFF2-40B4-BE49-F238E27FC236}">
              <a16:creationId xmlns:a16="http://schemas.microsoft.com/office/drawing/2014/main" id="{8D395FB6-596E-4548-AF3C-C2DE4F9D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1" name="Picture 430" descr="https://mail.google.com/mail/u/0/images/cleardot.gif">
          <a:extLst>
            <a:ext uri="{FF2B5EF4-FFF2-40B4-BE49-F238E27FC236}">
              <a16:creationId xmlns:a16="http://schemas.microsoft.com/office/drawing/2014/main" id="{3254FE71-FDE6-4221-A649-0996679C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2" name="Picture 431" descr="https://mail.google.com/mail/u/0/images/cleardot.gif">
          <a:extLst>
            <a:ext uri="{FF2B5EF4-FFF2-40B4-BE49-F238E27FC236}">
              <a16:creationId xmlns:a16="http://schemas.microsoft.com/office/drawing/2014/main" id="{A12A4193-457F-4575-8FFA-8C869135E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3" name="Picture 432" descr="https://mail.google.com/mail/u/0/images/cleardot.gif">
          <a:extLst>
            <a:ext uri="{FF2B5EF4-FFF2-40B4-BE49-F238E27FC236}">
              <a16:creationId xmlns:a16="http://schemas.microsoft.com/office/drawing/2014/main" id="{DDDD2AC4-F447-4D7A-8BAA-2381419BB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4" name="Picture 433" descr="https://mail.google.com/mail/u/0/images/cleardot.gif">
          <a:extLst>
            <a:ext uri="{FF2B5EF4-FFF2-40B4-BE49-F238E27FC236}">
              <a16:creationId xmlns:a16="http://schemas.microsoft.com/office/drawing/2014/main" id="{504AEE88-DB3B-45AF-9941-FE1F5694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5" name="Picture 434" descr="https://mail.google.com/mail/u/0/images/cleardot.gif">
          <a:extLst>
            <a:ext uri="{FF2B5EF4-FFF2-40B4-BE49-F238E27FC236}">
              <a16:creationId xmlns:a16="http://schemas.microsoft.com/office/drawing/2014/main" id="{3D482A4B-B780-408D-94AC-E19780415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6" name="Picture 435" descr="https://mail.google.com/mail/u/0/images/cleardot.gif">
          <a:extLst>
            <a:ext uri="{FF2B5EF4-FFF2-40B4-BE49-F238E27FC236}">
              <a16:creationId xmlns:a16="http://schemas.microsoft.com/office/drawing/2014/main" id="{2F082A8D-3AD4-4702-B6A4-4BB86008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7" name="Picture 436" descr="https://mail.google.com/mail/u/0/images/cleardot.gif">
          <a:extLst>
            <a:ext uri="{FF2B5EF4-FFF2-40B4-BE49-F238E27FC236}">
              <a16:creationId xmlns:a16="http://schemas.microsoft.com/office/drawing/2014/main" id="{611B1E7A-D506-4F4E-9FEB-33A36AA0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8" name="Picture 437" descr="https://mail.google.com/mail/u/0/images/cleardot.gif">
          <a:extLst>
            <a:ext uri="{FF2B5EF4-FFF2-40B4-BE49-F238E27FC236}">
              <a16:creationId xmlns:a16="http://schemas.microsoft.com/office/drawing/2014/main" id="{2636B0BE-45A6-4115-9EC5-72E58DFAE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39" name="Picture 438" descr="https://mail.google.com/mail/u/0/images/cleardot.gif">
          <a:extLst>
            <a:ext uri="{FF2B5EF4-FFF2-40B4-BE49-F238E27FC236}">
              <a16:creationId xmlns:a16="http://schemas.microsoft.com/office/drawing/2014/main" id="{CB53FF54-A8DB-4EF3-8685-C8726B35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0" name="Picture 439" descr="https://mail.google.com/mail/u/0/images/cleardot.gif">
          <a:extLst>
            <a:ext uri="{FF2B5EF4-FFF2-40B4-BE49-F238E27FC236}">
              <a16:creationId xmlns:a16="http://schemas.microsoft.com/office/drawing/2014/main" id="{139E12A5-784B-4BC1-AF32-3FA4ADA44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1" name="Picture 440" descr="https://mail.google.com/mail/u/0/images/cleardot.gif">
          <a:extLst>
            <a:ext uri="{FF2B5EF4-FFF2-40B4-BE49-F238E27FC236}">
              <a16:creationId xmlns:a16="http://schemas.microsoft.com/office/drawing/2014/main" id="{213E7C5B-D100-4EBA-B005-4EA6ED01E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2" name="Picture 441" descr="https://mail.google.com/mail/u/0/images/cleardot.gif">
          <a:extLst>
            <a:ext uri="{FF2B5EF4-FFF2-40B4-BE49-F238E27FC236}">
              <a16:creationId xmlns:a16="http://schemas.microsoft.com/office/drawing/2014/main" id="{04F197C0-E5F4-4576-9881-357F19F55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3" name="Picture 442" descr="https://mail.google.com/mail/u/0/images/cleardot.gif">
          <a:extLst>
            <a:ext uri="{FF2B5EF4-FFF2-40B4-BE49-F238E27FC236}">
              <a16:creationId xmlns:a16="http://schemas.microsoft.com/office/drawing/2014/main" id="{B4BB4363-1BA5-463E-9BE1-2B4B7E56C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4" name="Picture 443" descr="https://mail.google.com/mail/u/0/images/cleardot.gif">
          <a:extLst>
            <a:ext uri="{FF2B5EF4-FFF2-40B4-BE49-F238E27FC236}">
              <a16:creationId xmlns:a16="http://schemas.microsoft.com/office/drawing/2014/main" id="{C7D777F8-D6F8-4487-8100-D7E390486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5" name="Picture 444" descr="https://mail.google.com/mail/u/0/images/cleardot.gif">
          <a:extLst>
            <a:ext uri="{FF2B5EF4-FFF2-40B4-BE49-F238E27FC236}">
              <a16:creationId xmlns:a16="http://schemas.microsoft.com/office/drawing/2014/main" id="{5F4C9879-AA09-4E9F-A9E5-C6E509FCA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6" name="Picture 445" descr="https://mail.google.com/mail/u/0/images/cleardot.gif">
          <a:extLst>
            <a:ext uri="{FF2B5EF4-FFF2-40B4-BE49-F238E27FC236}">
              <a16:creationId xmlns:a16="http://schemas.microsoft.com/office/drawing/2014/main" id="{E7D5835A-47A6-4A88-AD0C-38B5B264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7" name="Picture 446" descr="https://mail.google.com/mail/u/0/images/cleardot.gif">
          <a:extLst>
            <a:ext uri="{FF2B5EF4-FFF2-40B4-BE49-F238E27FC236}">
              <a16:creationId xmlns:a16="http://schemas.microsoft.com/office/drawing/2014/main" id="{CE9D351C-6B88-44C4-B999-16CAE4F3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8" name="Picture 447" descr="https://mail.google.com/mail/u/0/images/cleardot.gif">
          <a:extLst>
            <a:ext uri="{FF2B5EF4-FFF2-40B4-BE49-F238E27FC236}">
              <a16:creationId xmlns:a16="http://schemas.microsoft.com/office/drawing/2014/main" id="{80B91BF2-072E-4AEB-BD3F-2C7DFC8E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49" name="Picture 448" descr="https://mail.google.com/mail/u/0/images/cleardot.gif">
          <a:extLst>
            <a:ext uri="{FF2B5EF4-FFF2-40B4-BE49-F238E27FC236}">
              <a16:creationId xmlns:a16="http://schemas.microsoft.com/office/drawing/2014/main" id="{EE4E996E-5DC4-483A-93DC-5EDDAC3A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0" name="Picture 449" descr="https://mail.google.com/mail/u/0/images/cleardot.gif">
          <a:extLst>
            <a:ext uri="{FF2B5EF4-FFF2-40B4-BE49-F238E27FC236}">
              <a16:creationId xmlns:a16="http://schemas.microsoft.com/office/drawing/2014/main" id="{3E4A52F8-6142-40EF-BFD2-023436DD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1" name="Picture 450" descr="https://mail.google.com/mail/u/0/images/cleardot.gif">
          <a:extLst>
            <a:ext uri="{FF2B5EF4-FFF2-40B4-BE49-F238E27FC236}">
              <a16:creationId xmlns:a16="http://schemas.microsoft.com/office/drawing/2014/main" id="{9F237881-E0DF-4141-97C8-623A37F06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2" name="Picture 451" descr="https://mail.google.com/mail/u/0/images/cleardot.gif">
          <a:extLst>
            <a:ext uri="{FF2B5EF4-FFF2-40B4-BE49-F238E27FC236}">
              <a16:creationId xmlns:a16="http://schemas.microsoft.com/office/drawing/2014/main" id="{45DA3DB7-5056-488D-835D-2528FA5E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3" name="Picture 452" descr="https://mail.google.com/mail/u/0/images/cleardot.gif">
          <a:extLst>
            <a:ext uri="{FF2B5EF4-FFF2-40B4-BE49-F238E27FC236}">
              <a16:creationId xmlns:a16="http://schemas.microsoft.com/office/drawing/2014/main" id="{C4EF3E5E-AB41-405A-91A7-4333A61C0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4" name="Picture 453" descr="https://mail.google.com/mail/u/0/images/cleardot.gif">
          <a:extLst>
            <a:ext uri="{FF2B5EF4-FFF2-40B4-BE49-F238E27FC236}">
              <a16:creationId xmlns:a16="http://schemas.microsoft.com/office/drawing/2014/main" id="{298859FC-C550-42FC-80DF-FD3CEBF3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5" name="Picture 454" descr="https://mail.google.com/mail/u/0/images/cleardot.gif">
          <a:extLst>
            <a:ext uri="{FF2B5EF4-FFF2-40B4-BE49-F238E27FC236}">
              <a16:creationId xmlns:a16="http://schemas.microsoft.com/office/drawing/2014/main" id="{671D0A76-D974-4418-A7A1-C914635B5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6" name="Picture 455" descr="https://mail.google.com/mail/u/0/images/cleardot.gif">
          <a:extLst>
            <a:ext uri="{FF2B5EF4-FFF2-40B4-BE49-F238E27FC236}">
              <a16:creationId xmlns:a16="http://schemas.microsoft.com/office/drawing/2014/main" id="{F2855031-2DE0-413A-8BA0-0BAA3CE0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7" name="Picture 456" descr="https://mail.google.com/mail/u/0/images/cleardot.gif">
          <a:extLst>
            <a:ext uri="{FF2B5EF4-FFF2-40B4-BE49-F238E27FC236}">
              <a16:creationId xmlns:a16="http://schemas.microsoft.com/office/drawing/2014/main" id="{7981A906-E362-479E-9728-17BA67198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8" name="Picture 457" descr="https://mail.google.com/mail/u/0/images/cleardot.gif">
          <a:extLst>
            <a:ext uri="{FF2B5EF4-FFF2-40B4-BE49-F238E27FC236}">
              <a16:creationId xmlns:a16="http://schemas.microsoft.com/office/drawing/2014/main" id="{72774F89-3938-451E-B3A0-39A1C5B0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59" name="Picture 458" descr="https://mail.google.com/mail/u/0/images/cleardot.gif">
          <a:extLst>
            <a:ext uri="{FF2B5EF4-FFF2-40B4-BE49-F238E27FC236}">
              <a16:creationId xmlns:a16="http://schemas.microsoft.com/office/drawing/2014/main" id="{023AA872-811D-446F-9711-0E959A72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0" name="Picture 459" descr="https://mail.google.com/mail/u/0/images/cleardot.gif">
          <a:extLst>
            <a:ext uri="{FF2B5EF4-FFF2-40B4-BE49-F238E27FC236}">
              <a16:creationId xmlns:a16="http://schemas.microsoft.com/office/drawing/2014/main" id="{580FEBBE-A780-419D-A83E-73FCCC353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1" name="Picture 460" descr="https://mail.google.com/mail/u/0/images/cleardot.gif">
          <a:extLst>
            <a:ext uri="{FF2B5EF4-FFF2-40B4-BE49-F238E27FC236}">
              <a16:creationId xmlns:a16="http://schemas.microsoft.com/office/drawing/2014/main" id="{26848B8C-2550-42CF-BB86-AD496E8A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2" name="Picture 461" descr="https://mail.google.com/mail/u/0/images/cleardot.gif">
          <a:extLst>
            <a:ext uri="{FF2B5EF4-FFF2-40B4-BE49-F238E27FC236}">
              <a16:creationId xmlns:a16="http://schemas.microsoft.com/office/drawing/2014/main" id="{FA5C4F69-B0D0-492A-AFF7-96824767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3" name="Picture 462" descr="https://mail.google.com/mail/u/0/images/cleardot.gif">
          <a:extLst>
            <a:ext uri="{FF2B5EF4-FFF2-40B4-BE49-F238E27FC236}">
              <a16:creationId xmlns:a16="http://schemas.microsoft.com/office/drawing/2014/main" id="{E9C45600-EE72-4207-BAE3-64212E000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4" name="Picture 463" descr="https://mail.google.com/mail/u/0/images/cleardot.gif">
          <a:extLst>
            <a:ext uri="{FF2B5EF4-FFF2-40B4-BE49-F238E27FC236}">
              <a16:creationId xmlns:a16="http://schemas.microsoft.com/office/drawing/2014/main" id="{A5387CA0-9518-409A-84A5-81783273B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5" name="Picture 464" descr="https://mail.google.com/mail/u/0/images/cleardot.gif">
          <a:extLst>
            <a:ext uri="{FF2B5EF4-FFF2-40B4-BE49-F238E27FC236}">
              <a16:creationId xmlns:a16="http://schemas.microsoft.com/office/drawing/2014/main" id="{88273B5F-E444-4953-BF7F-F6FD94DB1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6" name="Picture 465" descr="https://mail.google.com/mail/u/0/images/cleardot.gif">
          <a:extLst>
            <a:ext uri="{FF2B5EF4-FFF2-40B4-BE49-F238E27FC236}">
              <a16:creationId xmlns:a16="http://schemas.microsoft.com/office/drawing/2014/main" id="{DF2104E6-37A0-495E-92F8-0F08848F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7" name="Picture 466" descr="https://mail.google.com/mail/u/0/images/cleardot.gif">
          <a:extLst>
            <a:ext uri="{FF2B5EF4-FFF2-40B4-BE49-F238E27FC236}">
              <a16:creationId xmlns:a16="http://schemas.microsoft.com/office/drawing/2014/main" id="{41307E99-178A-447A-8CBF-D32A3B84E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8" name="Picture 467" descr="https://mail.google.com/mail/u/0/images/cleardot.gif">
          <a:extLst>
            <a:ext uri="{FF2B5EF4-FFF2-40B4-BE49-F238E27FC236}">
              <a16:creationId xmlns:a16="http://schemas.microsoft.com/office/drawing/2014/main" id="{5F31F2B4-5B2F-4F1B-9449-A3E3DDE3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69" name="Picture 468" descr="https://mail.google.com/mail/u/0/images/cleardot.gif">
          <a:extLst>
            <a:ext uri="{FF2B5EF4-FFF2-40B4-BE49-F238E27FC236}">
              <a16:creationId xmlns:a16="http://schemas.microsoft.com/office/drawing/2014/main" id="{7F5C3CCE-69F6-4DFD-B14E-03AD351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0" name="Picture 469" descr="https://mail.google.com/mail/u/0/images/cleardot.gif">
          <a:extLst>
            <a:ext uri="{FF2B5EF4-FFF2-40B4-BE49-F238E27FC236}">
              <a16:creationId xmlns:a16="http://schemas.microsoft.com/office/drawing/2014/main" id="{30348526-78F5-407E-BD21-0545C677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1" name="Picture 470" descr="https://mail.google.com/mail/u/0/images/cleardot.gif">
          <a:extLst>
            <a:ext uri="{FF2B5EF4-FFF2-40B4-BE49-F238E27FC236}">
              <a16:creationId xmlns:a16="http://schemas.microsoft.com/office/drawing/2014/main" id="{FC581943-6070-41DE-8B47-7E370349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2" name="Picture 471" descr="https://mail.google.com/mail/u/0/images/cleardot.gif">
          <a:extLst>
            <a:ext uri="{FF2B5EF4-FFF2-40B4-BE49-F238E27FC236}">
              <a16:creationId xmlns:a16="http://schemas.microsoft.com/office/drawing/2014/main" id="{8F28AAED-A37A-45A2-93B8-26BC1924B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3" name="Picture 472" descr="https://mail.google.com/mail/u/0/images/cleardot.gif">
          <a:extLst>
            <a:ext uri="{FF2B5EF4-FFF2-40B4-BE49-F238E27FC236}">
              <a16:creationId xmlns:a16="http://schemas.microsoft.com/office/drawing/2014/main" id="{3F938209-CCC5-434E-B05B-4D52560E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4" name="Picture 473" descr="https://mail.google.com/mail/u/0/images/cleardot.gif">
          <a:extLst>
            <a:ext uri="{FF2B5EF4-FFF2-40B4-BE49-F238E27FC236}">
              <a16:creationId xmlns:a16="http://schemas.microsoft.com/office/drawing/2014/main" id="{A70DE1D4-D48F-4EBC-95D5-E8F08464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5" name="Picture 474" descr="https://mail.google.com/mail/u/0/images/cleardot.gif">
          <a:extLst>
            <a:ext uri="{FF2B5EF4-FFF2-40B4-BE49-F238E27FC236}">
              <a16:creationId xmlns:a16="http://schemas.microsoft.com/office/drawing/2014/main" id="{071EEF74-9DC5-4256-B912-5174CAC2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6" name="Picture 475" descr="https://mail.google.com/mail/u/0/images/cleardot.gif">
          <a:extLst>
            <a:ext uri="{FF2B5EF4-FFF2-40B4-BE49-F238E27FC236}">
              <a16:creationId xmlns:a16="http://schemas.microsoft.com/office/drawing/2014/main" id="{FC9B075F-D7F7-4B1F-B989-CFFE12AA8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7" name="Picture 476" descr="https://mail.google.com/mail/u/0/images/cleardot.gif">
          <a:extLst>
            <a:ext uri="{FF2B5EF4-FFF2-40B4-BE49-F238E27FC236}">
              <a16:creationId xmlns:a16="http://schemas.microsoft.com/office/drawing/2014/main" id="{D9754EFB-6A49-4BB6-B05D-9214CEDC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8" name="Picture 477" descr="https://mail.google.com/mail/u/0/images/cleardot.gif">
          <a:extLst>
            <a:ext uri="{FF2B5EF4-FFF2-40B4-BE49-F238E27FC236}">
              <a16:creationId xmlns:a16="http://schemas.microsoft.com/office/drawing/2014/main" id="{07A0091A-8060-452A-B247-6EAA2F6A1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79" name="Picture 478" descr="https://mail.google.com/mail/u/0/images/cleardot.gif">
          <a:extLst>
            <a:ext uri="{FF2B5EF4-FFF2-40B4-BE49-F238E27FC236}">
              <a16:creationId xmlns:a16="http://schemas.microsoft.com/office/drawing/2014/main" id="{654DBE07-64BE-4C8C-B4BD-5C12CA39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0" name="Picture 479" descr="https://mail.google.com/mail/u/0/images/cleardot.gif">
          <a:extLst>
            <a:ext uri="{FF2B5EF4-FFF2-40B4-BE49-F238E27FC236}">
              <a16:creationId xmlns:a16="http://schemas.microsoft.com/office/drawing/2014/main" id="{40F750CD-FC8E-4647-91EC-67169F6E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1" name="Picture 480" descr="https://mail.google.com/mail/u/0/images/cleardot.gif">
          <a:extLst>
            <a:ext uri="{FF2B5EF4-FFF2-40B4-BE49-F238E27FC236}">
              <a16:creationId xmlns:a16="http://schemas.microsoft.com/office/drawing/2014/main" id="{2A8CFA6A-05EE-4992-A966-F24D1EC6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2" name="Picture 481" descr="https://mail.google.com/mail/u/0/images/cleardot.gif">
          <a:extLst>
            <a:ext uri="{FF2B5EF4-FFF2-40B4-BE49-F238E27FC236}">
              <a16:creationId xmlns:a16="http://schemas.microsoft.com/office/drawing/2014/main" id="{68B264A5-3F69-4A6E-8B20-AE39C698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3" name="Picture 482" descr="https://mail.google.com/mail/u/0/images/cleardot.gif">
          <a:extLst>
            <a:ext uri="{FF2B5EF4-FFF2-40B4-BE49-F238E27FC236}">
              <a16:creationId xmlns:a16="http://schemas.microsoft.com/office/drawing/2014/main" id="{24AA1621-3A1F-4444-A1F3-60EE98EE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4" name="Picture 483" descr="https://mail.google.com/mail/u/0/images/cleardot.gif">
          <a:extLst>
            <a:ext uri="{FF2B5EF4-FFF2-40B4-BE49-F238E27FC236}">
              <a16:creationId xmlns:a16="http://schemas.microsoft.com/office/drawing/2014/main" id="{642A52D7-BBC5-49DA-B761-816A0680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5" name="Picture 484" descr="https://mail.google.com/mail/u/0/images/cleardot.gif">
          <a:extLst>
            <a:ext uri="{FF2B5EF4-FFF2-40B4-BE49-F238E27FC236}">
              <a16:creationId xmlns:a16="http://schemas.microsoft.com/office/drawing/2014/main" id="{360C6B05-5133-4B15-8BE1-B0857B03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6" name="Picture 485" descr="https://mail.google.com/mail/u/0/images/cleardot.gif">
          <a:extLst>
            <a:ext uri="{FF2B5EF4-FFF2-40B4-BE49-F238E27FC236}">
              <a16:creationId xmlns:a16="http://schemas.microsoft.com/office/drawing/2014/main" id="{F7B1E823-4504-4224-838C-663D27EF4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7" name="Picture 486" descr="https://mail.google.com/mail/u/0/images/cleardot.gif">
          <a:extLst>
            <a:ext uri="{FF2B5EF4-FFF2-40B4-BE49-F238E27FC236}">
              <a16:creationId xmlns:a16="http://schemas.microsoft.com/office/drawing/2014/main" id="{AF771848-703A-44D8-BAEC-152CEAAB5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8" name="Picture 487" descr="https://mail.google.com/mail/u/0/images/cleardot.gif">
          <a:extLst>
            <a:ext uri="{FF2B5EF4-FFF2-40B4-BE49-F238E27FC236}">
              <a16:creationId xmlns:a16="http://schemas.microsoft.com/office/drawing/2014/main" id="{C4A15E30-14AA-4704-A36A-624DE0A7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89" name="Picture 488" descr="https://mail.google.com/mail/u/0/images/cleardot.gif">
          <a:extLst>
            <a:ext uri="{FF2B5EF4-FFF2-40B4-BE49-F238E27FC236}">
              <a16:creationId xmlns:a16="http://schemas.microsoft.com/office/drawing/2014/main" id="{996E7AB5-7A40-46F6-A441-10D65A01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0" name="Picture 489" descr="https://mail.google.com/mail/u/0/images/cleardot.gif">
          <a:extLst>
            <a:ext uri="{FF2B5EF4-FFF2-40B4-BE49-F238E27FC236}">
              <a16:creationId xmlns:a16="http://schemas.microsoft.com/office/drawing/2014/main" id="{A199A773-BBBB-4D2E-8B92-7524560E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1" name="Picture 490" descr="https://mail.google.com/mail/u/0/images/cleardot.gif">
          <a:extLst>
            <a:ext uri="{FF2B5EF4-FFF2-40B4-BE49-F238E27FC236}">
              <a16:creationId xmlns:a16="http://schemas.microsoft.com/office/drawing/2014/main" id="{60263B03-9EB3-4B4E-9AAA-082410A41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2" name="Picture 491" descr="https://mail.google.com/mail/u/0/images/cleardot.gif">
          <a:extLst>
            <a:ext uri="{FF2B5EF4-FFF2-40B4-BE49-F238E27FC236}">
              <a16:creationId xmlns:a16="http://schemas.microsoft.com/office/drawing/2014/main" id="{C7956094-F772-40AC-9983-F2D4803AC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3" name="Picture 492" descr="https://mail.google.com/mail/u/0/images/cleardot.gif">
          <a:extLst>
            <a:ext uri="{FF2B5EF4-FFF2-40B4-BE49-F238E27FC236}">
              <a16:creationId xmlns:a16="http://schemas.microsoft.com/office/drawing/2014/main" id="{C2CD8B39-1558-49B9-94E9-E7A40DB01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4" name="Picture 493" descr="https://mail.google.com/mail/u/0/images/cleardot.gif">
          <a:extLst>
            <a:ext uri="{FF2B5EF4-FFF2-40B4-BE49-F238E27FC236}">
              <a16:creationId xmlns:a16="http://schemas.microsoft.com/office/drawing/2014/main" id="{E3B53F96-91EF-4640-9515-5B823E89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5" name="Picture 494" descr="https://mail.google.com/mail/u/0/images/cleardot.gif">
          <a:extLst>
            <a:ext uri="{FF2B5EF4-FFF2-40B4-BE49-F238E27FC236}">
              <a16:creationId xmlns:a16="http://schemas.microsoft.com/office/drawing/2014/main" id="{6A088229-9AB7-4376-9D11-96F0C2080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6" name="Picture 495" descr="https://mail.google.com/mail/u/0/images/cleardot.gif">
          <a:extLst>
            <a:ext uri="{FF2B5EF4-FFF2-40B4-BE49-F238E27FC236}">
              <a16:creationId xmlns:a16="http://schemas.microsoft.com/office/drawing/2014/main" id="{4549EB8F-F1A2-432D-996B-2A29AC150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7" name="Picture 496" descr="https://mail.google.com/mail/u/0/images/cleardot.gif">
          <a:extLst>
            <a:ext uri="{FF2B5EF4-FFF2-40B4-BE49-F238E27FC236}">
              <a16:creationId xmlns:a16="http://schemas.microsoft.com/office/drawing/2014/main" id="{5E17719A-A152-4B4F-BE5B-47CC1D70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8" name="Picture 497" descr="https://mail.google.com/mail/u/0/images/cleardot.gif">
          <a:extLst>
            <a:ext uri="{FF2B5EF4-FFF2-40B4-BE49-F238E27FC236}">
              <a16:creationId xmlns:a16="http://schemas.microsoft.com/office/drawing/2014/main" id="{53092FC8-2A04-4C38-B6D5-F8DA9A816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499" name="Picture 498" descr="https://mail.google.com/mail/u/0/images/cleardot.gif">
          <a:extLst>
            <a:ext uri="{FF2B5EF4-FFF2-40B4-BE49-F238E27FC236}">
              <a16:creationId xmlns:a16="http://schemas.microsoft.com/office/drawing/2014/main" id="{845ECE08-9289-4AD3-BA8E-02F6812E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0" name="Picture 499" descr="https://mail.google.com/mail/u/0/images/cleardot.gif">
          <a:extLst>
            <a:ext uri="{FF2B5EF4-FFF2-40B4-BE49-F238E27FC236}">
              <a16:creationId xmlns:a16="http://schemas.microsoft.com/office/drawing/2014/main" id="{FD9ECD64-5C7C-4BEC-AFD5-F272C306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1" name="Picture 500" descr="https://mail.google.com/mail/u/0/images/cleardot.gif">
          <a:extLst>
            <a:ext uri="{FF2B5EF4-FFF2-40B4-BE49-F238E27FC236}">
              <a16:creationId xmlns:a16="http://schemas.microsoft.com/office/drawing/2014/main" id="{7C078EBA-67BA-46FC-AE63-1384831C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2" name="Picture 501" descr="https://mail.google.com/mail/u/0/images/cleardot.gif">
          <a:extLst>
            <a:ext uri="{FF2B5EF4-FFF2-40B4-BE49-F238E27FC236}">
              <a16:creationId xmlns:a16="http://schemas.microsoft.com/office/drawing/2014/main" id="{B27AD6EB-C05B-49A9-99C7-C3D6D9C35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3" name="Picture 502" descr="https://mail.google.com/mail/u/0/images/cleardot.gif">
          <a:extLst>
            <a:ext uri="{FF2B5EF4-FFF2-40B4-BE49-F238E27FC236}">
              <a16:creationId xmlns:a16="http://schemas.microsoft.com/office/drawing/2014/main" id="{423E40FB-8FB1-450D-8B9A-A80B37E1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4" name="Picture 503" descr="https://mail.google.com/mail/u/0/images/cleardot.gif">
          <a:extLst>
            <a:ext uri="{FF2B5EF4-FFF2-40B4-BE49-F238E27FC236}">
              <a16:creationId xmlns:a16="http://schemas.microsoft.com/office/drawing/2014/main" id="{E6BDB8AA-96BC-41B6-8EAD-6E51AC728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5" name="Picture 504" descr="https://mail.google.com/mail/u/0/images/cleardot.gif">
          <a:extLst>
            <a:ext uri="{FF2B5EF4-FFF2-40B4-BE49-F238E27FC236}">
              <a16:creationId xmlns:a16="http://schemas.microsoft.com/office/drawing/2014/main" id="{8C0ED1C3-6D47-4EB0-B6FA-0D901028F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6" name="Picture 505" descr="https://mail.google.com/mail/u/0/images/cleardot.gif">
          <a:extLst>
            <a:ext uri="{FF2B5EF4-FFF2-40B4-BE49-F238E27FC236}">
              <a16:creationId xmlns:a16="http://schemas.microsoft.com/office/drawing/2014/main" id="{0923AF5D-C730-49D1-8F75-17F1FE71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7" name="Picture 506" descr="https://mail.google.com/mail/u/0/images/cleardot.gif">
          <a:extLst>
            <a:ext uri="{FF2B5EF4-FFF2-40B4-BE49-F238E27FC236}">
              <a16:creationId xmlns:a16="http://schemas.microsoft.com/office/drawing/2014/main" id="{D29C835F-73EC-4691-BDF3-E0207CE5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8" name="Picture 507" descr="https://mail.google.com/mail/u/0/images/cleardot.gif">
          <a:extLst>
            <a:ext uri="{FF2B5EF4-FFF2-40B4-BE49-F238E27FC236}">
              <a16:creationId xmlns:a16="http://schemas.microsoft.com/office/drawing/2014/main" id="{F509DEC3-595E-4AD7-9187-F5F3AD8CE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09" name="Picture 508" descr="https://mail.google.com/mail/u/0/images/cleardot.gif">
          <a:extLst>
            <a:ext uri="{FF2B5EF4-FFF2-40B4-BE49-F238E27FC236}">
              <a16:creationId xmlns:a16="http://schemas.microsoft.com/office/drawing/2014/main" id="{3335884D-B3BE-4723-9551-F82178723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0" name="Picture 509" descr="https://mail.google.com/mail/u/0/images/cleardot.gif">
          <a:extLst>
            <a:ext uri="{FF2B5EF4-FFF2-40B4-BE49-F238E27FC236}">
              <a16:creationId xmlns:a16="http://schemas.microsoft.com/office/drawing/2014/main" id="{1A94A1EB-51F5-4DD8-8ADF-019D486B5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1" name="Picture 510" descr="https://mail.google.com/mail/u/0/images/cleardot.gif">
          <a:extLst>
            <a:ext uri="{FF2B5EF4-FFF2-40B4-BE49-F238E27FC236}">
              <a16:creationId xmlns:a16="http://schemas.microsoft.com/office/drawing/2014/main" id="{AD4E4045-6E9F-42DF-BF31-1142CD25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2" name="Picture 511" descr="https://mail.google.com/mail/u/0/images/cleardot.gif">
          <a:extLst>
            <a:ext uri="{FF2B5EF4-FFF2-40B4-BE49-F238E27FC236}">
              <a16:creationId xmlns:a16="http://schemas.microsoft.com/office/drawing/2014/main" id="{7F7C68BF-8553-4F31-B6F4-7BAF9557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3" name="Picture 512" descr="https://mail.google.com/mail/u/0/images/cleardot.gif">
          <a:extLst>
            <a:ext uri="{FF2B5EF4-FFF2-40B4-BE49-F238E27FC236}">
              <a16:creationId xmlns:a16="http://schemas.microsoft.com/office/drawing/2014/main" id="{1D197E40-EB83-4939-B500-8742CDC59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4" name="Picture 513" descr="https://mail.google.com/mail/u/0/images/cleardot.gif">
          <a:extLst>
            <a:ext uri="{FF2B5EF4-FFF2-40B4-BE49-F238E27FC236}">
              <a16:creationId xmlns:a16="http://schemas.microsoft.com/office/drawing/2014/main" id="{1CDBD86E-509E-46FF-9B0D-9BD1E88BD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5" name="Picture 514" descr="https://mail.google.com/mail/u/0/images/cleardot.gif">
          <a:extLst>
            <a:ext uri="{FF2B5EF4-FFF2-40B4-BE49-F238E27FC236}">
              <a16:creationId xmlns:a16="http://schemas.microsoft.com/office/drawing/2014/main" id="{6CAA1DF3-AEFF-4E42-8E3A-72125CD6F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6" name="Picture 515" descr="https://mail.google.com/mail/u/0/images/cleardot.gif">
          <a:extLst>
            <a:ext uri="{FF2B5EF4-FFF2-40B4-BE49-F238E27FC236}">
              <a16:creationId xmlns:a16="http://schemas.microsoft.com/office/drawing/2014/main" id="{C3B1A31A-6B8D-47D8-8DF8-4AF3FCC4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7" name="Picture 516" descr="https://mail.google.com/mail/u/0/images/cleardot.gif">
          <a:extLst>
            <a:ext uri="{FF2B5EF4-FFF2-40B4-BE49-F238E27FC236}">
              <a16:creationId xmlns:a16="http://schemas.microsoft.com/office/drawing/2014/main" id="{6C1B023F-14F5-4E49-84F9-D73EC56C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8" name="Picture 517" descr="https://mail.google.com/mail/u/0/images/cleardot.gif">
          <a:extLst>
            <a:ext uri="{FF2B5EF4-FFF2-40B4-BE49-F238E27FC236}">
              <a16:creationId xmlns:a16="http://schemas.microsoft.com/office/drawing/2014/main" id="{CEE6B3FC-0335-41D1-BA67-A1557704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19" name="Picture 518" descr="https://mail.google.com/mail/u/0/images/cleardot.gif">
          <a:extLst>
            <a:ext uri="{FF2B5EF4-FFF2-40B4-BE49-F238E27FC236}">
              <a16:creationId xmlns:a16="http://schemas.microsoft.com/office/drawing/2014/main" id="{DECDBE9F-CCD8-4E5C-A373-AF349BF02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0" name="Picture 519" descr="https://mail.google.com/mail/u/0/images/cleardot.gif">
          <a:extLst>
            <a:ext uri="{FF2B5EF4-FFF2-40B4-BE49-F238E27FC236}">
              <a16:creationId xmlns:a16="http://schemas.microsoft.com/office/drawing/2014/main" id="{243DAE08-D756-4CC6-B28A-FE94A946D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1" name="Picture 520" descr="https://mail.google.com/mail/u/0/images/cleardot.gif">
          <a:extLst>
            <a:ext uri="{FF2B5EF4-FFF2-40B4-BE49-F238E27FC236}">
              <a16:creationId xmlns:a16="http://schemas.microsoft.com/office/drawing/2014/main" id="{1E0E312B-8EB5-447D-AADB-3229448D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2" name="Picture 521" descr="https://mail.google.com/mail/u/0/images/cleardot.gif">
          <a:extLst>
            <a:ext uri="{FF2B5EF4-FFF2-40B4-BE49-F238E27FC236}">
              <a16:creationId xmlns:a16="http://schemas.microsoft.com/office/drawing/2014/main" id="{A92FA1AA-7301-45D2-99C8-EF95D4F61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3" name="Picture 522" descr="https://mail.google.com/mail/u/0/images/cleardot.gif">
          <a:extLst>
            <a:ext uri="{FF2B5EF4-FFF2-40B4-BE49-F238E27FC236}">
              <a16:creationId xmlns:a16="http://schemas.microsoft.com/office/drawing/2014/main" id="{26781E2E-AC0E-4F1A-A8BF-4B45E6008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4" name="Picture 523" descr="https://mail.google.com/mail/u/0/images/cleardot.gif">
          <a:extLst>
            <a:ext uri="{FF2B5EF4-FFF2-40B4-BE49-F238E27FC236}">
              <a16:creationId xmlns:a16="http://schemas.microsoft.com/office/drawing/2014/main" id="{CBD284E2-0157-4E3D-B91F-6B61C9C4A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5" name="Picture 524" descr="https://mail.google.com/mail/u/0/images/cleardot.gif">
          <a:extLst>
            <a:ext uri="{FF2B5EF4-FFF2-40B4-BE49-F238E27FC236}">
              <a16:creationId xmlns:a16="http://schemas.microsoft.com/office/drawing/2014/main" id="{30A9FE49-0AE6-4EA5-BE40-99CAD91E8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6" name="Picture 525" descr="https://mail.google.com/mail/u/0/images/cleardot.gif">
          <a:extLst>
            <a:ext uri="{FF2B5EF4-FFF2-40B4-BE49-F238E27FC236}">
              <a16:creationId xmlns:a16="http://schemas.microsoft.com/office/drawing/2014/main" id="{632D705E-2299-41E9-A14C-7FF8A9DA4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7" name="Picture 526" descr="https://mail.google.com/mail/u/0/images/cleardot.gif">
          <a:extLst>
            <a:ext uri="{FF2B5EF4-FFF2-40B4-BE49-F238E27FC236}">
              <a16:creationId xmlns:a16="http://schemas.microsoft.com/office/drawing/2014/main" id="{4D8EDC7E-8F78-4560-9224-7FDAFB140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8" name="Picture 527" descr="https://mail.google.com/mail/u/0/images/cleardot.gif">
          <a:extLst>
            <a:ext uri="{FF2B5EF4-FFF2-40B4-BE49-F238E27FC236}">
              <a16:creationId xmlns:a16="http://schemas.microsoft.com/office/drawing/2014/main" id="{F3E047C5-8827-4FDF-B587-6F80A99DB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29" name="Picture 528" descr="https://mail.google.com/mail/u/0/images/cleardot.gif">
          <a:extLst>
            <a:ext uri="{FF2B5EF4-FFF2-40B4-BE49-F238E27FC236}">
              <a16:creationId xmlns:a16="http://schemas.microsoft.com/office/drawing/2014/main" id="{A0B76096-F12F-4DB6-8A7F-3340C487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0" name="Picture 529" descr="https://mail.google.com/mail/u/0/images/cleardot.gif">
          <a:extLst>
            <a:ext uri="{FF2B5EF4-FFF2-40B4-BE49-F238E27FC236}">
              <a16:creationId xmlns:a16="http://schemas.microsoft.com/office/drawing/2014/main" id="{2ED34E45-0DA9-40DB-B99E-6ECC77C7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1" name="Picture 530" descr="https://mail.google.com/mail/u/0/images/cleardot.gif">
          <a:extLst>
            <a:ext uri="{FF2B5EF4-FFF2-40B4-BE49-F238E27FC236}">
              <a16:creationId xmlns:a16="http://schemas.microsoft.com/office/drawing/2014/main" id="{C17461FF-360C-4C9D-9B67-3CA0284F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2" name="Picture 531" descr="https://mail.google.com/mail/u/0/images/cleardot.gif">
          <a:extLst>
            <a:ext uri="{FF2B5EF4-FFF2-40B4-BE49-F238E27FC236}">
              <a16:creationId xmlns:a16="http://schemas.microsoft.com/office/drawing/2014/main" id="{08D8E154-536E-4A3C-ADE5-8212EAD02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3" name="Picture 532" descr="https://mail.google.com/mail/u/0/images/cleardot.gif">
          <a:extLst>
            <a:ext uri="{FF2B5EF4-FFF2-40B4-BE49-F238E27FC236}">
              <a16:creationId xmlns:a16="http://schemas.microsoft.com/office/drawing/2014/main" id="{5022E229-3667-4F6E-9306-EBE754793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4" name="Picture 533" descr="https://mail.google.com/mail/u/0/images/cleardot.gif">
          <a:extLst>
            <a:ext uri="{FF2B5EF4-FFF2-40B4-BE49-F238E27FC236}">
              <a16:creationId xmlns:a16="http://schemas.microsoft.com/office/drawing/2014/main" id="{FA7A0CEC-D1AF-431D-8C76-085E5353F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5" name="Picture 534" descr="https://mail.google.com/mail/u/0/images/cleardot.gif">
          <a:extLst>
            <a:ext uri="{FF2B5EF4-FFF2-40B4-BE49-F238E27FC236}">
              <a16:creationId xmlns:a16="http://schemas.microsoft.com/office/drawing/2014/main" id="{0E25F9A4-E36C-4C78-98C5-480F6F6D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6" name="Picture 535" descr="https://mail.google.com/mail/u/0/images/cleardot.gif">
          <a:extLst>
            <a:ext uri="{FF2B5EF4-FFF2-40B4-BE49-F238E27FC236}">
              <a16:creationId xmlns:a16="http://schemas.microsoft.com/office/drawing/2014/main" id="{3B345B90-E16B-419C-8C33-D95E149B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7" name="Picture 536" descr="https://mail.google.com/mail/u/0/images/cleardot.gif">
          <a:extLst>
            <a:ext uri="{FF2B5EF4-FFF2-40B4-BE49-F238E27FC236}">
              <a16:creationId xmlns:a16="http://schemas.microsoft.com/office/drawing/2014/main" id="{EBD3A5BE-F838-46A8-A821-25AAE669B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8" name="Picture 537" descr="https://mail.google.com/mail/u/0/images/cleardot.gif">
          <a:extLst>
            <a:ext uri="{FF2B5EF4-FFF2-40B4-BE49-F238E27FC236}">
              <a16:creationId xmlns:a16="http://schemas.microsoft.com/office/drawing/2014/main" id="{7E5A639E-424D-44A2-8876-BAF62FF0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39" name="Picture 538" descr="https://mail.google.com/mail/u/0/images/cleardot.gif">
          <a:extLst>
            <a:ext uri="{FF2B5EF4-FFF2-40B4-BE49-F238E27FC236}">
              <a16:creationId xmlns:a16="http://schemas.microsoft.com/office/drawing/2014/main" id="{67DB9FE8-8BBC-4AB2-82C8-B6E5A0186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0" name="Picture 539" descr="https://mail.google.com/mail/u/0/images/cleardot.gif">
          <a:extLst>
            <a:ext uri="{FF2B5EF4-FFF2-40B4-BE49-F238E27FC236}">
              <a16:creationId xmlns:a16="http://schemas.microsoft.com/office/drawing/2014/main" id="{32CBD4FD-B3A7-45CE-8269-7557999F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1" name="Picture 540" descr="https://mail.google.com/mail/u/0/images/cleardot.gif">
          <a:extLst>
            <a:ext uri="{FF2B5EF4-FFF2-40B4-BE49-F238E27FC236}">
              <a16:creationId xmlns:a16="http://schemas.microsoft.com/office/drawing/2014/main" id="{B0A9D4A0-D866-4AC2-A69C-E3072615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2" name="Picture 541" descr="https://mail.google.com/mail/u/0/images/cleardot.gif">
          <a:extLst>
            <a:ext uri="{FF2B5EF4-FFF2-40B4-BE49-F238E27FC236}">
              <a16:creationId xmlns:a16="http://schemas.microsoft.com/office/drawing/2014/main" id="{B7C17E4A-761E-4E82-86F2-FAA01A8C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3" name="Picture 542" descr="https://mail.google.com/mail/u/0/images/cleardot.gif">
          <a:extLst>
            <a:ext uri="{FF2B5EF4-FFF2-40B4-BE49-F238E27FC236}">
              <a16:creationId xmlns:a16="http://schemas.microsoft.com/office/drawing/2014/main" id="{A16DF320-F7A2-4630-A428-BAEB10C5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4" name="Picture 543" descr="https://mail.google.com/mail/u/0/images/cleardot.gif">
          <a:extLst>
            <a:ext uri="{FF2B5EF4-FFF2-40B4-BE49-F238E27FC236}">
              <a16:creationId xmlns:a16="http://schemas.microsoft.com/office/drawing/2014/main" id="{77CE1014-F581-4277-A14D-F2DE0029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5" name="Picture 544" descr="https://mail.google.com/mail/u/0/images/cleardot.gif">
          <a:extLst>
            <a:ext uri="{FF2B5EF4-FFF2-40B4-BE49-F238E27FC236}">
              <a16:creationId xmlns:a16="http://schemas.microsoft.com/office/drawing/2014/main" id="{2D3E12C2-F697-4CF9-ACE2-03817F9F5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6" name="Picture 545" descr="https://mail.google.com/mail/u/0/images/cleardot.gif">
          <a:extLst>
            <a:ext uri="{FF2B5EF4-FFF2-40B4-BE49-F238E27FC236}">
              <a16:creationId xmlns:a16="http://schemas.microsoft.com/office/drawing/2014/main" id="{41E819C1-5583-4D22-9083-53C15100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7" name="Picture 546" descr="https://mail.google.com/mail/u/0/images/cleardot.gif">
          <a:extLst>
            <a:ext uri="{FF2B5EF4-FFF2-40B4-BE49-F238E27FC236}">
              <a16:creationId xmlns:a16="http://schemas.microsoft.com/office/drawing/2014/main" id="{1C366981-E5BD-4570-B5F1-FB7F4705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8" name="Picture 547" descr="https://mail.google.com/mail/u/0/images/cleardot.gif">
          <a:extLst>
            <a:ext uri="{FF2B5EF4-FFF2-40B4-BE49-F238E27FC236}">
              <a16:creationId xmlns:a16="http://schemas.microsoft.com/office/drawing/2014/main" id="{DC6A4389-D53F-477D-8C1A-28FC0D56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49" name="Picture 548" descr="https://mail.google.com/mail/u/0/images/cleardot.gif">
          <a:extLst>
            <a:ext uri="{FF2B5EF4-FFF2-40B4-BE49-F238E27FC236}">
              <a16:creationId xmlns:a16="http://schemas.microsoft.com/office/drawing/2014/main" id="{3CACDBA7-8E7F-46EC-8727-4C9C7CC8B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0" name="Picture 549" descr="https://mail.google.com/mail/u/0/images/cleardot.gif">
          <a:extLst>
            <a:ext uri="{FF2B5EF4-FFF2-40B4-BE49-F238E27FC236}">
              <a16:creationId xmlns:a16="http://schemas.microsoft.com/office/drawing/2014/main" id="{8BF3F43F-AFBC-409A-B615-43BB3C84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1" name="Picture 550" descr="https://mail.google.com/mail/u/0/images/cleardot.gif">
          <a:extLst>
            <a:ext uri="{FF2B5EF4-FFF2-40B4-BE49-F238E27FC236}">
              <a16:creationId xmlns:a16="http://schemas.microsoft.com/office/drawing/2014/main" id="{D29B9CA4-F269-45E4-BC4B-665A36F3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2" name="Picture 551" descr="https://mail.google.com/mail/u/0/images/cleardot.gif">
          <a:extLst>
            <a:ext uri="{FF2B5EF4-FFF2-40B4-BE49-F238E27FC236}">
              <a16:creationId xmlns:a16="http://schemas.microsoft.com/office/drawing/2014/main" id="{794D98DC-910F-4EC8-91E3-C5A9DC2A3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3" name="Picture 552" descr="https://mail.google.com/mail/u/0/images/cleardot.gif">
          <a:extLst>
            <a:ext uri="{FF2B5EF4-FFF2-40B4-BE49-F238E27FC236}">
              <a16:creationId xmlns:a16="http://schemas.microsoft.com/office/drawing/2014/main" id="{354D79FF-559D-4259-8AE6-E8839AF11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4" name="Picture 553" descr="https://mail.google.com/mail/u/0/images/cleardot.gif">
          <a:extLst>
            <a:ext uri="{FF2B5EF4-FFF2-40B4-BE49-F238E27FC236}">
              <a16:creationId xmlns:a16="http://schemas.microsoft.com/office/drawing/2014/main" id="{27BFEB79-BCC2-48F7-AFA4-F0943264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5" name="Picture 554" descr="https://mail.google.com/mail/u/0/images/cleardot.gif">
          <a:extLst>
            <a:ext uri="{FF2B5EF4-FFF2-40B4-BE49-F238E27FC236}">
              <a16:creationId xmlns:a16="http://schemas.microsoft.com/office/drawing/2014/main" id="{4F2BE572-8E1B-41D2-B8D1-1B8E1A78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6" name="Picture 555" descr="https://mail.google.com/mail/u/0/images/cleardot.gif">
          <a:extLst>
            <a:ext uri="{FF2B5EF4-FFF2-40B4-BE49-F238E27FC236}">
              <a16:creationId xmlns:a16="http://schemas.microsoft.com/office/drawing/2014/main" id="{23497C6D-145B-4ACC-BC0D-26B328A5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7" name="Picture 556" descr="https://mail.google.com/mail/u/0/images/cleardot.gif">
          <a:extLst>
            <a:ext uri="{FF2B5EF4-FFF2-40B4-BE49-F238E27FC236}">
              <a16:creationId xmlns:a16="http://schemas.microsoft.com/office/drawing/2014/main" id="{33111739-B54C-4BEE-8915-15CD50106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8" name="Picture 557" descr="https://mail.google.com/mail/u/0/images/cleardot.gif">
          <a:extLst>
            <a:ext uri="{FF2B5EF4-FFF2-40B4-BE49-F238E27FC236}">
              <a16:creationId xmlns:a16="http://schemas.microsoft.com/office/drawing/2014/main" id="{397EBB20-5612-4DCF-A33A-6DA158406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59" name="Picture 558" descr="https://mail.google.com/mail/u/0/images/cleardot.gif">
          <a:extLst>
            <a:ext uri="{FF2B5EF4-FFF2-40B4-BE49-F238E27FC236}">
              <a16:creationId xmlns:a16="http://schemas.microsoft.com/office/drawing/2014/main" id="{9FCD50A9-0FE5-443E-83C3-5052432D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0" name="Picture 559" descr="https://mail.google.com/mail/u/0/images/cleardot.gif">
          <a:extLst>
            <a:ext uri="{FF2B5EF4-FFF2-40B4-BE49-F238E27FC236}">
              <a16:creationId xmlns:a16="http://schemas.microsoft.com/office/drawing/2014/main" id="{3427DC19-3F1D-47CB-852A-5448AD6C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1" name="Picture 560" descr="https://mail.google.com/mail/u/0/images/cleardot.gif">
          <a:extLst>
            <a:ext uri="{FF2B5EF4-FFF2-40B4-BE49-F238E27FC236}">
              <a16:creationId xmlns:a16="http://schemas.microsoft.com/office/drawing/2014/main" id="{C4A0BE60-43E0-4819-8002-39E20F0E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2" name="Picture 561" descr="https://mail.google.com/mail/u/0/images/cleardot.gif">
          <a:extLst>
            <a:ext uri="{FF2B5EF4-FFF2-40B4-BE49-F238E27FC236}">
              <a16:creationId xmlns:a16="http://schemas.microsoft.com/office/drawing/2014/main" id="{4C277F4C-50DE-49A4-897F-839D3ED2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3" name="Picture 562" descr="https://mail.google.com/mail/u/0/images/cleardot.gif">
          <a:extLst>
            <a:ext uri="{FF2B5EF4-FFF2-40B4-BE49-F238E27FC236}">
              <a16:creationId xmlns:a16="http://schemas.microsoft.com/office/drawing/2014/main" id="{DD596E2A-A6AD-4D98-8C9E-E557EB33E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4" name="Picture 563" descr="https://mail.google.com/mail/u/0/images/cleardot.gif">
          <a:extLst>
            <a:ext uri="{FF2B5EF4-FFF2-40B4-BE49-F238E27FC236}">
              <a16:creationId xmlns:a16="http://schemas.microsoft.com/office/drawing/2014/main" id="{37A04562-6EDC-4734-8DA1-1211800F9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5" name="Picture 564" descr="https://mail.google.com/mail/u/0/images/cleardot.gif">
          <a:extLst>
            <a:ext uri="{FF2B5EF4-FFF2-40B4-BE49-F238E27FC236}">
              <a16:creationId xmlns:a16="http://schemas.microsoft.com/office/drawing/2014/main" id="{5573D3A2-B284-4F0D-814D-369307E53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6" name="Picture 565" descr="https://mail.google.com/mail/u/0/images/cleardot.gif">
          <a:extLst>
            <a:ext uri="{FF2B5EF4-FFF2-40B4-BE49-F238E27FC236}">
              <a16:creationId xmlns:a16="http://schemas.microsoft.com/office/drawing/2014/main" id="{6593B11A-4B61-4E6A-BC68-0E31F4EF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7" name="Picture 566" descr="https://mail.google.com/mail/u/0/images/cleardot.gif">
          <a:extLst>
            <a:ext uri="{FF2B5EF4-FFF2-40B4-BE49-F238E27FC236}">
              <a16:creationId xmlns:a16="http://schemas.microsoft.com/office/drawing/2014/main" id="{3DF400E6-207F-488C-B5B6-EABCF099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8" name="Picture 567" descr="https://mail.google.com/mail/u/0/images/cleardot.gif">
          <a:extLst>
            <a:ext uri="{FF2B5EF4-FFF2-40B4-BE49-F238E27FC236}">
              <a16:creationId xmlns:a16="http://schemas.microsoft.com/office/drawing/2014/main" id="{334B58D4-2CE0-4193-A381-EAFDD36CD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69" name="Picture 568" descr="https://mail.google.com/mail/u/0/images/cleardot.gif">
          <a:extLst>
            <a:ext uri="{FF2B5EF4-FFF2-40B4-BE49-F238E27FC236}">
              <a16:creationId xmlns:a16="http://schemas.microsoft.com/office/drawing/2014/main" id="{7A83A62A-A459-4257-99B5-DB07A7A2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0" name="Picture 569" descr="https://mail.google.com/mail/u/0/images/cleardot.gif">
          <a:extLst>
            <a:ext uri="{FF2B5EF4-FFF2-40B4-BE49-F238E27FC236}">
              <a16:creationId xmlns:a16="http://schemas.microsoft.com/office/drawing/2014/main" id="{0226BF15-0335-463E-8FF8-8A80D97D9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1" name="Picture 570" descr="https://mail.google.com/mail/u/0/images/cleardot.gif">
          <a:extLst>
            <a:ext uri="{FF2B5EF4-FFF2-40B4-BE49-F238E27FC236}">
              <a16:creationId xmlns:a16="http://schemas.microsoft.com/office/drawing/2014/main" id="{B3A7D7A0-496D-4EF4-A026-ABA0C5E37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2" name="Picture 571" descr="https://mail.google.com/mail/u/0/images/cleardot.gif">
          <a:extLst>
            <a:ext uri="{FF2B5EF4-FFF2-40B4-BE49-F238E27FC236}">
              <a16:creationId xmlns:a16="http://schemas.microsoft.com/office/drawing/2014/main" id="{D12814D0-109E-4BEB-A80E-2E257F2FA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3" name="Picture 572" descr="https://mail.google.com/mail/u/0/images/cleardot.gif">
          <a:extLst>
            <a:ext uri="{FF2B5EF4-FFF2-40B4-BE49-F238E27FC236}">
              <a16:creationId xmlns:a16="http://schemas.microsoft.com/office/drawing/2014/main" id="{2FF17409-EE6D-4230-A407-2ADA9BA41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4" name="Picture 573" descr="https://mail.google.com/mail/u/0/images/cleardot.gif">
          <a:extLst>
            <a:ext uri="{FF2B5EF4-FFF2-40B4-BE49-F238E27FC236}">
              <a16:creationId xmlns:a16="http://schemas.microsoft.com/office/drawing/2014/main" id="{1354AF8C-3863-42EB-8DE3-745AFFF58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5" name="Picture 574" descr="https://mail.google.com/mail/u/0/images/cleardot.gif">
          <a:extLst>
            <a:ext uri="{FF2B5EF4-FFF2-40B4-BE49-F238E27FC236}">
              <a16:creationId xmlns:a16="http://schemas.microsoft.com/office/drawing/2014/main" id="{F6C23862-47D8-49A3-AD57-81E3E93FC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6" name="Picture 575" descr="https://mail.google.com/mail/u/0/images/cleardot.gif">
          <a:extLst>
            <a:ext uri="{FF2B5EF4-FFF2-40B4-BE49-F238E27FC236}">
              <a16:creationId xmlns:a16="http://schemas.microsoft.com/office/drawing/2014/main" id="{D31C0302-28EC-47E2-8B5E-E9D3F444B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7" name="Picture 576" descr="https://mail.google.com/mail/u/0/images/cleardot.gif">
          <a:extLst>
            <a:ext uri="{FF2B5EF4-FFF2-40B4-BE49-F238E27FC236}">
              <a16:creationId xmlns:a16="http://schemas.microsoft.com/office/drawing/2014/main" id="{C9C13660-534C-42C0-9169-181F26DD6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8" name="Picture 577" descr="https://mail.google.com/mail/u/0/images/cleardot.gif">
          <a:extLst>
            <a:ext uri="{FF2B5EF4-FFF2-40B4-BE49-F238E27FC236}">
              <a16:creationId xmlns:a16="http://schemas.microsoft.com/office/drawing/2014/main" id="{9AFE45C2-383C-4590-9260-A535FEAE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79" name="Picture 578" descr="https://mail.google.com/mail/u/0/images/cleardot.gif">
          <a:extLst>
            <a:ext uri="{FF2B5EF4-FFF2-40B4-BE49-F238E27FC236}">
              <a16:creationId xmlns:a16="http://schemas.microsoft.com/office/drawing/2014/main" id="{D02489CD-ECC0-4361-B515-FBF907EB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0" name="Picture 579" descr="https://mail.google.com/mail/u/0/images/cleardot.gif">
          <a:extLst>
            <a:ext uri="{FF2B5EF4-FFF2-40B4-BE49-F238E27FC236}">
              <a16:creationId xmlns:a16="http://schemas.microsoft.com/office/drawing/2014/main" id="{B5934D26-9CEB-4945-BDFE-1C88D326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1" name="Picture 580" descr="https://mail.google.com/mail/u/0/images/cleardot.gif">
          <a:extLst>
            <a:ext uri="{FF2B5EF4-FFF2-40B4-BE49-F238E27FC236}">
              <a16:creationId xmlns:a16="http://schemas.microsoft.com/office/drawing/2014/main" id="{9CE197B7-2E24-41CB-B7EE-D3D15894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2" name="Picture 581" descr="https://mail.google.com/mail/u/0/images/cleardot.gif">
          <a:extLst>
            <a:ext uri="{FF2B5EF4-FFF2-40B4-BE49-F238E27FC236}">
              <a16:creationId xmlns:a16="http://schemas.microsoft.com/office/drawing/2014/main" id="{1EA59794-442E-4326-8F77-A61BEF5C3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3" name="Picture 582" descr="https://mail.google.com/mail/u/0/images/cleardot.gif">
          <a:extLst>
            <a:ext uri="{FF2B5EF4-FFF2-40B4-BE49-F238E27FC236}">
              <a16:creationId xmlns:a16="http://schemas.microsoft.com/office/drawing/2014/main" id="{86F0290C-C30A-42B8-B197-4944BB67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4" name="Picture 583" descr="https://mail.google.com/mail/u/0/images/cleardot.gif">
          <a:extLst>
            <a:ext uri="{FF2B5EF4-FFF2-40B4-BE49-F238E27FC236}">
              <a16:creationId xmlns:a16="http://schemas.microsoft.com/office/drawing/2014/main" id="{F04A9018-8FBB-4D67-BA72-3FAA30581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5" name="Picture 584" descr="https://mail.google.com/mail/u/0/images/cleardot.gif">
          <a:extLst>
            <a:ext uri="{FF2B5EF4-FFF2-40B4-BE49-F238E27FC236}">
              <a16:creationId xmlns:a16="http://schemas.microsoft.com/office/drawing/2014/main" id="{DDEFC1A4-9191-4445-AFDD-DF394587D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6" name="Picture 585" descr="https://mail.google.com/mail/u/0/images/cleardot.gif">
          <a:extLst>
            <a:ext uri="{FF2B5EF4-FFF2-40B4-BE49-F238E27FC236}">
              <a16:creationId xmlns:a16="http://schemas.microsoft.com/office/drawing/2014/main" id="{193F1092-4E38-45FD-95A2-73D0196FF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7" name="Picture 586" descr="https://mail.google.com/mail/u/0/images/cleardot.gif">
          <a:extLst>
            <a:ext uri="{FF2B5EF4-FFF2-40B4-BE49-F238E27FC236}">
              <a16:creationId xmlns:a16="http://schemas.microsoft.com/office/drawing/2014/main" id="{061E0123-01E6-41E3-9E37-B04663DCE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8" name="Picture 587" descr="https://mail.google.com/mail/u/0/images/cleardot.gif">
          <a:extLst>
            <a:ext uri="{FF2B5EF4-FFF2-40B4-BE49-F238E27FC236}">
              <a16:creationId xmlns:a16="http://schemas.microsoft.com/office/drawing/2014/main" id="{51617BB5-6ED6-448F-9BB0-C311961F0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89" name="Picture 588" descr="https://mail.google.com/mail/u/0/images/cleardot.gif">
          <a:extLst>
            <a:ext uri="{FF2B5EF4-FFF2-40B4-BE49-F238E27FC236}">
              <a16:creationId xmlns:a16="http://schemas.microsoft.com/office/drawing/2014/main" id="{95BC75AA-7FDB-4288-978A-62B1E6EC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0" name="Picture 589" descr="https://mail.google.com/mail/u/0/images/cleardot.gif">
          <a:extLst>
            <a:ext uri="{FF2B5EF4-FFF2-40B4-BE49-F238E27FC236}">
              <a16:creationId xmlns:a16="http://schemas.microsoft.com/office/drawing/2014/main" id="{C78D4462-B18E-4E09-8ECD-85B2098A2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1" name="Picture 590" descr="https://mail.google.com/mail/u/0/images/cleardot.gif">
          <a:extLst>
            <a:ext uri="{FF2B5EF4-FFF2-40B4-BE49-F238E27FC236}">
              <a16:creationId xmlns:a16="http://schemas.microsoft.com/office/drawing/2014/main" id="{1288DD8E-A5FA-4070-B82C-9301DE27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2" name="Picture 591" descr="https://mail.google.com/mail/u/0/images/cleardot.gif">
          <a:extLst>
            <a:ext uri="{FF2B5EF4-FFF2-40B4-BE49-F238E27FC236}">
              <a16:creationId xmlns:a16="http://schemas.microsoft.com/office/drawing/2014/main" id="{206CBCB4-885C-44ED-BCA6-F7022AD1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3" name="Picture 592" descr="https://mail.google.com/mail/u/0/images/cleardot.gif">
          <a:extLst>
            <a:ext uri="{FF2B5EF4-FFF2-40B4-BE49-F238E27FC236}">
              <a16:creationId xmlns:a16="http://schemas.microsoft.com/office/drawing/2014/main" id="{25B59FC1-F75D-42B7-8EE1-87999116A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4" name="Picture 593" descr="https://mail.google.com/mail/u/0/images/cleardot.gif">
          <a:extLst>
            <a:ext uri="{FF2B5EF4-FFF2-40B4-BE49-F238E27FC236}">
              <a16:creationId xmlns:a16="http://schemas.microsoft.com/office/drawing/2014/main" id="{6DD59A38-BB21-41FE-9AFE-2756182C7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5" name="Picture 594" descr="https://mail.google.com/mail/u/0/images/cleardot.gif">
          <a:extLst>
            <a:ext uri="{FF2B5EF4-FFF2-40B4-BE49-F238E27FC236}">
              <a16:creationId xmlns:a16="http://schemas.microsoft.com/office/drawing/2014/main" id="{607A3FCB-1B91-4D2C-9117-79F4C297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6" name="Picture 595" descr="https://mail.google.com/mail/u/0/images/cleardot.gif">
          <a:extLst>
            <a:ext uri="{FF2B5EF4-FFF2-40B4-BE49-F238E27FC236}">
              <a16:creationId xmlns:a16="http://schemas.microsoft.com/office/drawing/2014/main" id="{5FEA05BB-6AA5-41EA-9C85-D01F0BA6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7" name="Picture 596" descr="https://mail.google.com/mail/u/0/images/cleardot.gif">
          <a:extLst>
            <a:ext uri="{FF2B5EF4-FFF2-40B4-BE49-F238E27FC236}">
              <a16:creationId xmlns:a16="http://schemas.microsoft.com/office/drawing/2014/main" id="{4D1D9926-C26C-4C5A-819B-090F8BA5C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8" name="Picture 597" descr="https://mail.google.com/mail/u/0/images/cleardot.gif">
          <a:extLst>
            <a:ext uri="{FF2B5EF4-FFF2-40B4-BE49-F238E27FC236}">
              <a16:creationId xmlns:a16="http://schemas.microsoft.com/office/drawing/2014/main" id="{DAE9B99C-B236-422F-B04C-93CBADB3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599" name="Picture 598" descr="https://mail.google.com/mail/u/0/images/cleardot.gif">
          <a:extLst>
            <a:ext uri="{FF2B5EF4-FFF2-40B4-BE49-F238E27FC236}">
              <a16:creationId xmlns:a16="http://schemas.microsoft.com/office/drawing/2014/main" id="{C9C4A262-03E7-43BE-8FDB-8AA6DF9E5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0" name="Picture 599" descr="https://mail.google.com/mail/u/0/images/cleardot.gif">
          <a:extLst>
            <a:ext uri="{FF2B5EF4-FFF2-40B4-BE49-F238E27FC236}">
              <a16:creationId xmlns:a16="http://schemas.microsoft.com/office/drawing/2014/main" id="{29C787B8-B23A-4577-A0EB-7D7221C0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1" name="Picture 600" descr="https://mail.google.com/mail/u/0/images/cleardot.gif">
          <a:extLst>
            <a:ext uri="{FF2B5EF4-FFF2-40B4-BE49-F238E27FC236}">
              <a16:creationId xmlns:a16="http://schemas.microsoft.com/office/drawing/2014/main" id="{D7A444FB-EEF1-445F-8D50-6E8BEAA8A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2" name="Picture 601" descr="https://mail.google.com/mail/u/0/images/cleardot.gif">
          <a:extLst>
            <a:ext uri="{FF2B5EF4-FFF2-40B4-BE49-F238E27FC236}">
              <a16:creationId xmlns:a16="http://schemas.microsoft.com/office/drawing/2014/main" id="{4ABFC68F-FBD7-4CB7-98D6-6C25CF35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3" name="Picture 602" descr="https://mail.google.com/mail/u/0/images/cleardot.gif">
          <a:extLst>
            <a:ext uri="{FF2B5EF4-FFF2-40B4-BE49-F238E27FC236}">
              <a16:creationId xmlns:a16="http://schemas.microsoft.com/office/drawing/2014/main" id="{78666FDE-D0A2-467C-B024-F02C3AE7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4" name="Picture 603" descr="https://mail.google.com/mail/u/0/images/cleardot.gif">
          <a:extLst>
            <a:ext uri="{FF2B5EF4-FFF2-40B4-BE49-F238E27FC236}">
              <a16:creationId xmlns:a16="http://schemas.microsoft.com/office/drawing/2014/main" id="{8F9E171E-23CA-44A3-8F0E-70A7F8338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5" name="Picture 604" descr="https://mail.google.com/mail/u/0/images/cleardot.gif">
          <a:extLst>
            <a:ext uri="{FF2B5EF4-FFF2-40B4-BE49-F238E27FC236}">
              <a16:creationId xmlns:a16="http://schemas.microsoft.com/office/drawing/2014/main" id="{6B0081BD-749D-4A5B-A114-7CB6B0ED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6" name="Picture 605" descr="https://mail.google.com/mail/u/0/images/cleardot.gif">
          <a:extLst>
            <a:ext uri="{FF2B5EF4-FFF2-40B4-BE49-F238E27FC236}">
              <a16:creationId xmlns:a16="http://schemas.microsoft.com/office/drawing/2014/main" id="{9CC7BFBE-80E2-4EA9-AF82-49FBC795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7" name="Picture 606" descr="https://mail.google.com/mail/u/0/images/cleardot.gif">
          <a:extLst>
            <a:ext uri="{FF2B5EF4-FFF2-40B4-BE49-F238E27FC236}">
              <a16:creationId xmlns:a16="http://schemas.microsoft.com/office/drawing/2014/main" id="{EB4B39C2-AF5C-4605-BF88-F54F47093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8" name="Picture 607" descr="https://mail.google.com/mail/u/0/images/cleardot.gif">
          <a:extLst>
            <a:ext uri="{FF2B5EF4-FFF2-40B4-BE49-F238E27FC236}">
              <a16:creationId xmlns:a16="http://schemas.microsoft.com/office/drawing/2014/main" id="{20CC9300-C1B3-4C17-AFE3-1EE2D7D03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09" name="Picture 608" descr="https://mail.google.com/mail/u/0/images/cleardot.gif">
          <a:extLst>
            <a:ext uri="{FF2B5EF4-FFF2-40B4-BE49-F238E27FC236}">
              <a16:creationId xmlns:a16="http://schemas.microsoft.com/office/drawing/2014/main" id="{E0A262B3-F947-42D2-AD8E-9D00F937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0" name="Picture 609" descr="https://mail.google.com/mail/u/0/images/cleardot.gif">
          <a:extLst>
            <a:ext uri="{FF2B5EF4-FFF2-40B4-BE49-F238E27FC236}">
              <a16:creationId xmlns:a16="http://schemas.microsoft.com/office/drawing/2014/main" id="{9B13E2F6-D029-4D84-933C-3968A3C3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1" name="Picture 610" descr="https://mail.google.com/mail/u/0/images/cleardot.gif">
          <a:extLst>
            <a:ext uri="{FF2B5EF4-FFF2-40B4-BE49-F238E27FC236}">
              <a16:creationId xmlns:a16="http://schemas.microsoft.com/office/drawing/2014/main" id="{14749E3F-61BC-4A96-B60F-7F5C3346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2" name="Picture 611" descr="https://mail.google.com/mail/u/0/images/cleardot.gif">
          <a:extLst>
            <a:ext uri="{FF2B5EF4-FFF2-40B4-BE49-F238E27FC236}">
              <a16:creationId xmlns:a16="http://schemas.microsoft.com/office/drawing/2014/main" id="{AA27AAED-D191-43D1-B638-176C05168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3" name="Picture 612" descr="https://mail.google.com/mail/u/0/images/cleardot.gif">
          <a:extLst>
            <a:ext uri="{FF2B5EF4-FFF2-40B4-BE49-F238E27FC236}">
              <a16:creationId xmlns:a16="http://schemas.microsoft.com/office/drawing/2014/main" id="{624C82BD-11DE-4718-9EDB-B7EEEE1B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4" name="Picture 613" descr="https://mail.google.com/mail/u/0/images/cleardot.gif">
          <a:extLst>
            <a:ext uri="{FF2B5EF4-FFF2-40B4-BE49-F238E27FC236}">
              <a16:creationId xmlns:a16="http://schemas.microsoft.com/office/drawing/2014/main" id="{59A14364-A215-4ABF-B47D-67346FFEB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5" name="Picture 614" descr="https://mail.google.com/mail/u/0/images/cleardot.gif">
          <a:extLst>
            <a:ext uri="{FF2B5EF4-FFF2-40B4-BE49-F238E27FC236}">
              <a16:creationId xmlns:a16="http://schemas.microsoft.com/office/drawing/2014/main" id="{50C9C1F8-9230-467B-9E7C-A545A31DF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6" name="Picture 615" descr="https://mail.google.com/mail/u/0/images/cleardot.gif">
          <a:extLst>
            <a:ext uri="{FF2B5EF4-FFF2-40B4-BE49-F238E27FC236}">
              <a16:creationId xmlns:a16="http://schemas.microsoft.com/office/drawing/2014/main" id="{3579C43E-012F-41A3-9DDB-6651CD56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7" name="Picture 616" descr="https://mail.google.com/mail/u/0/images/cleardot.gif">
          <a:extLst>
            <a:ext uri="{FF2B5EF4-FFF2-40B4-BE49-F238E27FC236}">
              <a16:creationId xmlns:a16="http://schemas.microsoft.com/office/drawing/2014/main" id="{976A6C9D-FC7D-44D3-A5B4-4726BF36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8" name="Picture 617" descr="https://mail.google.com/mail/u/0/images/cleardot.gif">
          <a:extLst>
            <a:ext uri="{FF2B5EF4-FFF2-40B4-BE49-F238E27FC236}">
              <a16:creationId xmlns:a16="http://schemas.microsoft.com/office/drawing/2014/main" id="{7BD4150A-3028-47C0-BFF7-CA9B2A70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19" name="Picture 618" descr="https://mail.google.com/mail/u/0/images/cleardot.gif">
          <a:extLst>
            <a:ext uri="{FF2B5EF4-FFF2-40B4-BE49-F238E27FC236}">
              <a16:creationId xmlns:a16="http://schemas.microsoft.com/office/drawing/2014/main" id="{B4C37956-FA93-4707-AEEC-BBA2C7379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0" name="Picture 619" descr="https://mail.google.com/mail/u/0/images/cleardot.gif">
          <a:extLst>
            <a:ext uri="{FF2B5EF4-FFF2-40B4-BE49-F238E27FC236}">
              <a16:creationId xmlns:a16="http://schemas.microsoft.com/office/drawing/2014/main" id="{31E5C6E1-683B-4355-AE8F-1F1959E08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1" name="Picture 620" descr="https://mail.google.com/mail/u/0/images/cleardot.gif">
          <a:extLst>
            <a:ext uri="{FF2B5EF4-FFF2-40B4-BE49-F238E27FC236}">
              <a16:creationId xmlns:a16="http://schemas.microsoft.com/office/drawing/2014/main" id="{908B4654-C7B2-44CC-BE35-A0DBEF795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2" name="Picture 621" descr="https://mail.google.com/mail/u/0/images/cleardot.gif">
          <a:extLst>
            <a:ext uri="{FF2B5EF4-FFF2-40B4-BE49-F238E27FC236}">
              <a16:creationId xmlns:a16="http://schemas.microsoft.com/office/drawing/2014/main" id="{3BA310B1-9E2F-4D42-B941-5F9DDB757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3" name="Picture 622" descr="https://mail.google.com/mail/u/0/images/cleardot.gif">
          <a:extLst>
            <a:ext uri="{FF2B5EF4-FFF2-40B4-BE49-F238E27FC236}">
              <a16:creationId xmlns:a16="http://schemas.microsoft.com/office/drawing/2014/main" id="{C79F34D9-A043-4E1F-8B73-1EEE84CCD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4" name="Picture 623" descr="https://mail.google.com/mail/u/0/images/cleardot.gif">
          <a:extLst>
            <a:ext uri="{FF2B5EF4-FFF2-40B4-BE49-F238E27FC236}">
              <a16:creationId xmlns:a16="http://schemas.microsoft.com/office/drawing/2014/main" id="{7E87FC6A-30DA-4F77-A0D3-6234A6F0C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5" name="Picture 624" descr="https://mail.google.com/mail/u/0/images/cleardot.gif">
          <a:extLst>
            <a:ext uri="{FF2B5EF4-FFF2-40B4-BE49-F238E27FC236}">
              <a16:creationId xmlns:a16="http://schemas.microsoft.com/office/drawing/2014/main" id="{048C97B2-F992-41B7-9137-F8CA623C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6" name="Picture 625" descr="https://mail.google.com/mail/u/0/images/cleardot.gif">
          <a:extLst>
            <a:ext uri="{FF2B5EF4-FFF2-40B4-BE49-F238E27FC236}">
              <a16:creationId xmlns:a16="http://schemas.microsoft.com/office/drawing/2014/main" id="{9C31FF03-95B6-47F6-A4BE-D9D2BA9FF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7" name="Picture 626" descr="https://mail.google.com/mail/u/0/images/cleardot.gif">
          <a:extLst>
            <a:ext uri="{FF2B5EF4-FFF2-40B4-BE49-F238E27FC236}">
              <a16:creationId xmlns:a16="http://schemas.microsoft.com/office/drawing/2014/main" id="{65F8EC44-5E4E-4A7E-8A87-E67916F8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8" name="Picture 627" descr="https://mail.google.com/mail/u/0/images/cleardot.gif">
          <a:extLst>
            <a:ext uri="{FF2B5EF4-FFF2-40B4-BE49-F238E27FC236}">
              <a16:creationId xmlns:a16="http://schemas.microsoft.com/office/drawing/2014/main" id="{F54E8725-214C-419E-9D36-705DE1B2D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29" name="Picture 628" descr="https://mail.google.com/mail/u/0/images/cleardot.gif">
          <a:extLst>
            <a:ext uri="{FF2B5EF4-FFF2-40B4-BE49-F238E27FC236}">
              <a16:creationId xmlns:a16="http://schemas.microsoft.com/office/drawing/2014/main" id="{DA1FD2E1-AA94-459E-A4E8-15426087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0" name="Picture 629" descr="https://mail.google.com/mail/u/0/images/cleardot.gif">
          <a:extLst>
            <a:ext uri="{FF2B5EF4-FFF2-40B4-BE49-F238E27FC236}">
              <a16:creationId xmlns:a16="http://schemas.microsoft.com/office/drawing/2014/main" id="{E860C0AB-1DD2-4E90-8947-00B45C39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1" name="Picture 630" descr="https://mail.google.com/mail/u/0/images/cleardot.gif">
          <a:extLst>
            <a:ext uri="{FF2B5EF4-FFF2-40B4-BE49-F238E27FC236}">
              <a16:creationId xmlns:a16="http://schemas.microsoft.com/office/drawing/2014/main" id="{700E5510-B496-4C43-BF8A-DF8AE3034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2" name="Picture 631" descr="https://mail.google.com/mail/u/0/images/cleardot.gif">
          <a:extLst>
            <a:ext uri="{FF2B5EF4-FFF2-40B4-BE49-F238E27FC236}">
              <a16:creationId xmlns:a16="http://schemas.microsoft.com/office/drawing/2014/main" id="{29430D79-D9FD-4920-A7DE-F6C656B9E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3" name="Picture 632" descr="https://mail.google.com/mail/u/0/images/cleardot.gif">
          <a:extLst>
            <a:ext uri="{FF2B5EF4-FFF2-40B4-BE49-F238E27FC236}">
              <a16:creationId xmlns:a16="http://schemas.microsoft.com/office/drawing/2014/main" id="{C8EB59DD-B004-4277-8626-F17845744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4" name="Picture 633" descr="https://mail.google.com/mail/u/0/images/cleardot.gif">
          <a:extLst>
            <a:ext uri="{FF2B5EF4-FFF2-40B4-BE49-F238E27FC236}">
              <a16:creationId xmlns:a16="http://schemas.microsoft.com/office/drawing/2014/main" id="{AC40A4BE-0FBC-4E3E-AC63-A68FB7A18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5" name="Picture 634" descr="https://mail.google.com/mail/u/0/images/cleardot.gif">
          <a:extLst>
            <a:ext uri="{FF2B5EF4-FFF2-40B4-BE49-F238E27FC236}">
              <a16:creationId xmlns:a16="http://schemas.microsoft.com/office/drawing/2014/main" id="{D545D8A9-E19A-4E6E-A2D6-4A28D68F5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6" name="Picture 635" descr="https://mail.google.com/mail/u/0/images/cleardot.gif">
          <a:extLst>
            <a:ext uri="{FF2B5EF4-FFF2-40B4-BE49-F238E27FC236}">
              <a16:creationId xmlns:a16="http://schemas.microsoft.com/office/drawing/2014/main" id="{121C321D-ABAB-4E57-93EB-07DE6268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7" name="Picture 636" descr="https://mail.google.com/mail/u/0/images/cleardot.gif">
          <a:extLst>
            <a:ext uri="{FF2B5EF4-FFF2-40B4-BE49-F238E27FC236}">
              <a16:creationId xmlns:a16="http://schemas.microsoft.com/office/drawing/2014/main" id="{F92E48A4-7331-41CC-9CD1-9A336C913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8" name="Picture 637" descr="https://mail.google.com/mail/u/0/images/cleardot.gif">
          <a:extLst>
            <a:ext uri="{FF2B5EF4-FFF2-40B4-BE49-F238E27FC236}">
              <a16:creationId xmlns:a16="http://schemas.microsoft.com/office/drawing/2014/main" id="{68767077-0D7A-46CC-8E30-953DA934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39" name="Picture 638" descr="https://mail.google.com/mail/u/0/images/cleardot.gif">
          <a:extLst>
            <a:ext uri="{FF2B5EF4-FFF2-40B4-BE49-F238E27FC236}">
              <a16:creationId xmlns:a16="http://schemas.microsoft.com/office/drawing/2014/main" id="{D345465E-41FD-4FDB-9DAE-0AD176E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0" name="Picture 639" descr="https://mail.google.com/mail/u/0/images/cleardot.gif">
          <a:extLst>
            <a:ext uri="{FF2B5EF4-FFF2-40B4-BE49-F238E27FC236}">
              <a16:creationId xmlns:a16="http://schemas.microsoft.com/office/drawing/2014/main" id="{0A1876C9-F6A7-497A-B6C5-4CE687CBC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1" name="Picture 640" descr="https://mail.google.com/mail/u/0/images/cleardot.gif">
          <a:extLst>
            <a:ext uri="{FF2B5EF4-FFF2-40B4-BE49-F238E27FC236}">
              <a16:creationId xmlns:a16="http://schemas.microsoft.com/office/drawing/2014/main" id="{3A85E76C-4376-4464-9CB6-9CAB5382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2" name="Picture 641" descr="https://mail.google.com/mail/u/0/images/cleardot.gif">
          <a:extLst>
            <a:ext uri="{FF2B5EF4-FFF2-40B4-BE49-F238E27FC236}">
              <a16:creationId xmlns:a16="http://schemas.microsoft.com/office/drawing/2014/main" id="{F151A394-13EA-4B27-8DE8-4D3444DA6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3" name="Picture 642" descr="https://mail.google.com/mail/u/0/images/cleardot.gif">
          <a:extLst>
            <a:ext uri="{FF2B5EF4-FFF2-40B4-BE49-F238E27FC236}">
              <a16:creationId xmlns:a16="http://schemas.microsoft.com/office/drawing/2014/main" id="{BBC3D425-C5EF-4B94-8DE1-C2F9FFB3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4" name="Picture 643" descr="https://mail.google.com/mail/u/0/images/cleardot.gif">
          <a:extLst>
            <a:ext uri="{FF2B5EF4-FFF2-40B4-BE49-F238E27FC236}">
              <a16:creationId xmlns:a16="http://schemas.microsoft.com/office/drawing/2014/main" id="{17C7AB25-FEB3-4C47-AFF7-272796B5D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5" name="Picture 644" descr="https://mail.google.com/mail/u/0/images/cleardot.gif">
          <a:extLst>
            <a:ext uri="{FF2B5EF4-FFF2-40B4-BE49-F238E27FC236}">
              <a16:creationId xmlns:a16="http://schemas.microsoft.com/office/drawing/2014/main" id="{0795F433-5D46-444B-8987-8C87F5FDD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6" name="Picture 645" descr="https://mail.google.com/mail/u/0/images/cleardot.gif">
          <a:extLst>
            <a:ext uri="{FF2B5EF4-FFF2-40B4-BE49-F238E27FC236}">
              <a16:creationId xmlns:a16="http://schemas.microsoft.com/office/drawing/2014/main" id="{41309649-C161-4D2D-8595-A6DE6B5D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7" name="Picture 646" descr="https://mail.google.com/mail/u/0/images/cleardot.gif">
          <a:extLst>
            <a:ext uri="{FF2B5EF4-FFF2-40B4-BE49-F238E27FC236}">
              <a16:creationId xmlns:a16="http://schemas.microsoft.com/office/drawing/2014/main" id="{6F94F5D3-67CC-4B53-836E-28A99ACA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8" name="Picture 647" descr="https://mail.google.com/mail/u/0/images/cleardot.gif">
          <a:extLst>
            <a:ext uri="{FF2B5EF4-FFF2-40B4-BE49-F238E27FC236}">
              <a16:creationId xmlns:a16="http://schemas.microsoft.com/office/drawing/2014/main" id="{0049E794-6F79-4590-8ECE-607B038A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49" name="Picture 648" descr="https://mail.google.com/mail/u/0/images/cleardot.gif">
          <a:extLst>
            <a:ext uri="{FF2B5EF4-FFF2-40B4-BE49-F238E27FC236}">
              <a16:creationId xmlns:a16="http://schemas.microsoft.com/office/drawing/2014/main" id="{EBDFCCDF-E087-40FF-A833-2DB69F65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0" name="Picture 649" descr="https://mail.google.com/mail/u/0/images/cleardot.gif">
          <a:extLst>
            <a:ext uri="{FF2B5EF4-FFF2-40B4-BE49-F238E27FC236}">
              <a16:creationId xmlns:a16="http://schemas.microsoft.com/office/drawing/2014/main" id="{7A550527-8382-49B6-86FA-C81EDE24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1" name="Picture 650" descr="https://mail.google.com/mail/u/0/images/cleardot.gif">
          <a:extLst>
            <a:ext uri="{FF2B5EF4-FFF2-40B4-BE49-F238E27FC236}">
              <a16:creationId xmlns:a16="http://schemas.microsoft.com/office/drawing/2014/main" id="{0CF3BD44-C632-4057-B2A2-98E6BD82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2" name="Picture 651" descr="https://mail.google.com/mail/u/0/images/cleardot.gif">
          <a:extLst>
            <a:ext uri="{FF2B5EF4-FFF2-40B4-BE49-F238E27FC236}">
              <a16:creationId xmlns:a16="http://schemas.microsoft.com/office/drawing/2014/main" id="{F069CDAA-4E91-4201-B33F-A17531242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3" name="Picture 652" descr="https://mail.google.com/mail/u/0/images/cleardot.gif">
          <a:extLst>
            <a:ext uri="{FF2B5EF4-FFF2-40B4-BE49-F238E27FC236}">
              <a16:creationId xmlns:a16="http://schemas.microsoft.com/office/drawing/2014/main" id="{051FEFCD-DD24-4193-BC5F-DB4FC6BB0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4" name="Picture 653" descr="https://mail.google.com/mail/u/0/images/cleardot.gif">
          <a:extLst>
            <a:ext uri="{FF2B5EF4-FFF2-40B4-BE49-F238E27FC236}">
              <a16:creationId xmlns:a16="http://schemas.microsoft.com/office/drawing/2014/main" id="{CAFD557B-7F25-4043-9B49-C603F8663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5" name="Picture 654" descr="https://mail.google.com/mail/u/0/images/cleardot.gif">
          <a:extLst>
            <a:ext uri="{FF2B5EF4-FFF2-40B4-BE49-F238E27FC236}">
              <a16:creationId xmlns:a16="http://schemas.microsoft.com/office/drawing/2014/main" id="{9FA49D51-74A4-4952-8BD9-6B6B78329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6" name="Picture 655" descr="https://mail.google.com/mail/u/0/images/cleardot.gif">
          <a:extLst>
            <a:ext uri="{FF2B5EF4-FFF2-40B4-BE49-F238E27FC236}">
              <a16:creationId xmlns:a16="http://schemas.microsoft.com/office/drawing/2014/main" id="{4107345A-7BAB-4114-8084-6FCD9502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7" name="Picture 656" descr="https://mail.google.com/mail/u/0/images/cleardot.gif">
          <a:extLst>
            <a:ext uri="{FF2B5EF4-FFF2-40B4-BE49-F238E27FC236}">
              <a16:creationId xmlns:a16="http://schemas.microsoft.com/office/drawing/2014/main" id="{18B8FA94-3831-49F6-92D4-DD87072C9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8" name="Picture 657" descr="https://mail.google.com/mail/u/0/images/cleardot.gif">
          <a:extLst>
            <a:ext uri="{FF2B5EF4-FFF2-40B4-BE49-F238E27FC236}">
              <a16:creationId xmlns:a16="http://schemas.microsoft.com/office/drawing/2014/main" id="{AFD6B80D-45A4-448F-91E3-2FCC3971B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59" name="Picture 658" descr="https://mail.google.com/mail/u/0/images/cleardot.gif">
          <a:extLst>
            <a:ext uri="{FF2B5EF4-FFF2-40B4-BE49-F238E27FC236}">
              <a16:creationId xmlns:a16="http://schemas.microsoft.com/office/drawing/2014/main" id="{3A73E4BE-0260-498D-A774-80564590C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0" name="Picture 659" descr="https://mail.google.com/mail/u/0/images/cleardot.gif">
          <a:extLst>
            <a:ext uri="{FF2B5EF4-FFF2-40B4-BE49-F238E27FC236}">
              <a16:creationId xmlns:a16="http://schemas.microsoft.com/office/drawing/2014/main" id="{EC425251-CFA2-43E3-8FE4-573BCE0F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1" name="Picture 660" descr="https://mail.google.com/mail/u/0/images/cleardot.gif">
          <a:extLst>
            <a:ext uri="{FF2B5EF4-FFF2-40B4-BE49-F238E27FC236}">
              <a16:creationId xmlns:a16="http://schemas.microsoft.com/office/drawing/2014/main" id="{6C19A638-3F75-4F89-96E7-30A63AC66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2" name="Picture 661" descr="https://mail.google.com/mail/u/0/images/cleardot.gif">
          <a:extLst>
            <a:ext uri="{FF2B5EF4-FFF2-40B4-BE49-F238E27FC236}">
              <a16:creationId xmlns:a16="http://schemas.microsoft.com/office/drawing/2014/main" id="{42349465-77E6-4140-B47B-108901B4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3" name="Picture 662" descr="https://mail.google.com/mail/u/0/images/cleardot.gif">
          <a:extLst>
            <a:ext uri="{FF2B5EF4-FFF2-40B4-BE49-F238E27FC236}">
              <a16:creationId xmlns:a16="http://schemas.microsoft.com/office/drawing/2014/main" id="{C4C7CEA8-6238-4798-9786-73DE08F1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4" name="Picture 663" descr="https://mail.google.com/mail/u/0/images/cleardot.gif">
          <a:extLst>
            <a:ext uri="{FF2B5EF4-FFF2-40B4-BE49-F238E27FC236}">
              <a16:creationId xmlns:a16="http://schemas.microsoft.com/office/drawing/2014/main" id="{D3EE27CF-580D-428D-9B21-246F818D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5" name="Picture 664" descr="https://mail.google.com/mail/u/0/images/cleardot.gif">
          <a:extLst>
            <a:ext uri="{FF2B5EF4-FFF2-40B4-BE49-F238E27FC236}">
              <a16:creationId xmlns:a16="http://schemas.microsoft.com/office/drawing/2014/main" id="{DA5D084F-D517-4634-B540-14FD0339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6" name="Picture 665" descr="https://mail.google.com/mail/u/0/images/cleardot.gif">
          <a:extLst>
            <a:ext uri="{FF2B5EF4-FFF2-40B4-BE49-F238E27FC236}">
              <a16:creationId xmlns:a16="http://schemas.microsoft.com/office/drawing/2014/main" id="{4BF4BFE6-0E89-4444-BB2F-E2237A157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7" name="Picture 666" descr="https://mail.google.com/mail/u/0/images/cleardot.gif">
          <a:extLst>
            <a:ext uri="{FF2B5EF4-FFF2-40B4-BE49-F238E27FC236}">
              <a16:creationId xmlns:a16="http://schemas.microsoft.com/office/drawing/2014/main" id="{4AE9569A-6205-49CF-A02E-478EF247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8" name="Picture 667" descr="https://mail.google.com/mail/u/0/images/cleardot.gif">
          <a:extLst>
            <a:ext uri="{FF2B5EF4-FFF2-40B4-BE49-F238E27FC236}">
              <a16:creationId xmlns:a16="http://schemas.microsoft.com/office/drawing/2014/main" id="{91D05FF2-1167-41A8-B051-30FDD3F56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69" name="Picture 668" descr="https://mail.google.com/mail/u/0/images/cleardot.gif">
          <a:extLst>
            <a:ext uri="{FF2B5EF4-FFF2-40B4-BE49-F238E27FC236}">
              <a16:creationId xmlns:a16="http://schemas.microsoft.com/office/drawing/2014/main" id="{1AC2EC2F-1C88-4080-B8D7-9DC075B0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0" name="Picture 669" descr="https://mail.google.com/mail/u/0/images/cleardot.gif">
          <a:extLst>
            <a:ext uri="{FF2B5EF4-FFF2-40B4-BE49-F238E27FC236}">
              <a16:creationId xmlns:a16="http://schemas.microsoft.com/office/drawing/2014/main" id="{E6232768-55B2-4129-8F0E-7B717687F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1" name="Picture 670" descr="https://mail.google.com/mail/u/0/images/cleardot.gif">
          <a:extLst>
            <a:ext uri="{FF2B5EF4-FFF2-40B4-BE49-F238E27FC236}">
              <a16:creationId xmlns:a16="http://schemas.microsoft.com/office/drawing/2014/main" id="{5095ECC2-6EC4-4A53-889B-51D50C5D3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2" name="Picture 671" descr="https://mail.google.com/mail/u/0/images/cleardot.gif">
          <a:extLst>
            <a:ext uri="{FF2B5EF4-FFF2-40B4-BE49-F238E27FC236}">
              <a16:creationId xmlns:a16="http://schemas.microsoft.com/office/drawing/2014/main" id="{973A2ADB-A763-457D-ACCA-8F3B0909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3" name="Picture 672" descr="https://mail.google.com/mail/u/0/images/cleardot.gif">
          <a:extLst>
            <a:ext uri="{FF2B5EF4-FFF2-40B4-BE49-F238E27FC236}">
              <a16:creationId xmlns:a16="http://schemas.microsoft.com/office/drawing/2014/main" id="{96932AED-034F-462B-A826-9F9A1FC7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4" name="Picture 673" descr="https://mail.google.com/mail/u/0/images/cleardot.gif">
          <a:extLst>
            <a:ext uri="{FF2B5EF4-FFF2-40B4-BE49-F238E27FC236}">
              <a16:creationId xmlns:a16="http://schemas.microsoft.com/office/drawing/2014/main" id="{F87E8D2F-4299-4CF1-A30D-D0AB10E7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5" name="Picture 674" descr="https://mail.google.com/mail/u/0/images/cleardot.gif">
          <a:extLst>
            <a:ext uri="{FF2B5EF4-FFF2-40B4-BE49-F238E27FC236}">
              <a16:creationId xmlns:a16="http://schemas.microsoft.com/office/drawing/2014/main" id="{BF337AED-E346-4ACF-81A4-F144EA63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6" name="Picture 675" descr="https://mail.google.com/mail/u/0/images/cleardot.gif">
          <a:extLst>
            <a:ext uri="{FF2B5EF4-FFF2-40B4-BE49-F238E27FC236}">
              <a16:creationId xmlns:a16="http://schemas.microsoft.com/office/drawing/2014/main" id="{428F37E9-9B93-4E52-890D-960D84FC5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7" name="Picture 676" descr="https://mail.google.com/mail/u/0/images/cleardot.gif">
          <a:extLst>
            <a:ext uri="{FF2B5EF4-FFF2-40B4-BE49-F238E27FC236}">
              <a16:creationId xmlns:a16="http://schemas.microsoft.com/office/drawing/2014/main" id="{9C5A2AA6-2A66-44B3-A2A3-DBE6B1684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8" name="Picture 677" descr="https://mail.google.com/mail/u/0/images/cleardot.gif">
          <a:extLst>
            <a:ext uri="{FF2B5EF4-FFF2-40B4-BE49-F238E27FC236}">
              <a16:creationId xmlns:a16="http://schemas.microsoft.com/office/drawing/2014/main" id="{DFB30B03-A231-4F24-94CA-55C96375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79" name="Picture 678" descr="https://mail.google.com/mail/u/0/images/cleardot.gif">
          <a:extLst>
            <a:ext uri="{FF2B5EF4-FFF2-40B4-BE49-F238E27FC236}">
              <a16:creationId xmlns:a16="http://schemas.microsoft.com/office/drawing/2014/main" id="{8A01914F-931A-4CF2-AC83-FCE009541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0" name="Picture 679" descr="https://mail.google.com/mail/u/0/images/cleardot.gif">
          <a:extLst>
            <a:ext uri="{FF2B5EF4-FFF2-40B4-BE49-F238E27FC236}">
              <a16:creationId xmlns:a16="http://schemas.microsoft.com/office/drawing/2014/main" id="{FCFA8C52-1744-42CF-A43C-79940DCA5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1" name="Picture 680" descr="https://mail.google.com/mail/u/0/images/cleardot.gif">
          <a:extLst>
            <a:ext uri="{FF2B5EF4-FFF2-40B4-BE49-F238E27FC236}">
              <a16:creationId xmlns:a16="http://schemas.microsoft.com/office/drawing/2014/main" id="{FB76E0E1-5664-4791-B00D-DF3CB0FCC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2" name="Picture 681" descr="https://mail.google.com/mail/u/0/images/cleardot.gif">
          <a:extLst>
            <a:ext uri="{FF2B5EF4-FFF2-40B4-BE49-F238E27FC236}">
              <a16:creationId xmlns:a16="http://schemas.microsoft.com/office/drawing/2014/main" id="{311A74E0-1EB0-4BEF-A171-8F70B649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3" name="Picture 682" descr="https://mail.google.com/mail/u/0/images/cleardot.gif">
          <a:extLst>
            <a:ext uri="{FF2B5EF4-FFF2-40B4-BE49-F238E27FC236}">
              <a16:creationId xmlns:a16="http://schemas.microsoft.com/office/drawing/2014/main" id="{50DE4CB1-D3B5-4058-8653-FD6FE572A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4" name="Picture 683" descr="https://mail.google.com/mail/u/0/images/cleardot.gif">
          <a:extLst>
            <a:ext uri="{FF2B5EF4-FFF2-40B4-BE49-F238E27FC236}">
              <a16:creationId xmlns:a16="http://schemas.microsoft.com/office/drawing/2014/main" id="{E63BC66C-929A-4AD9-9ABC-C36EB7F73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5" name="Picture 684" descr="https://mail.google.com/mail/u/0/images/cleardot.gif">
          <a:extLst>
            <a:ext uri="{FF2B5EF4-FFF2-40B4-BE49-F238E27FC236}">
              <a16:creationId xmlns:a16="http://schemas.microsoft.com/office/drawing/2014/main" id="{B53228D7-001F-4828-B6F3-1CC2D7DF8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6" name="Picture 685" descr="https://mail.google.com/mail/u/0/images/cleardot.gif">
          <a:extLst>
            <a:ext uri="{FF2B5EF4-FFF2-40B4-BE49-F238E27FC236}">
              <a16:creationId xmlns:a16="http://schemas.microsoft.com/office/drawing/2014/main" id="{B7F4ECE8-DBDC-4278-BC51-5687EE99C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7" name="Picture 686" descr="https://mail.google.com/mail/u/0/images/cleardot.gif">
          <a:extLst>
            <a:ext uri="{FF2B5EF4-FFF2-40B4-BE49-F238E27FC236}">
              <a16:creationId xmlns:a16="http://schemas.microsoft.com/office/drawing/2014/main" id="{A04110A5-33BF-4FA1-8880-BB0A54B81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8" name="Picture 687" descr="https://mail.google.com/mail/u/0/images/cleardot.gif">
          <a:extLst>
            <a:ext uri="{FF2B5EF4-FFF2-40B4-BE49-F238E27FC236}">
              <a16:creationId xmlns:a16="http://schemas.microsoft.com/office/drawing/2014/main" id="{DCC22D51-52E7-459C-9CB3-385E887AB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89" name="Picture 688" descr="https://mail.google.com/mail/u/0/images/cleardot.gif">
          <a:extLst>
            <a:ext uri="{FF2B5EF4-FFF2-40B4-BE49-F238E27FC236}">
              <a16:creationId xmlns:a16="http://schemas.microsoft.com/office/drawing/2014/main" id="{DAAE7D02-D883-4404-864B-3B79B422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0" name="Picture 689" descr="https://mail.google.com/mail/u/0/images/cleardot.gif">
          <a:extLst>
            <a:ext uri="{FF2B5EF4-FFF2-40B4-BE49-F238E27FC236}">
              <a16:creationId xmlns:a16="http://schemas.microsoft.com/office/drawing/2014/main" id="{13F63C81-778E-4186-89AD-949335C8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1" name="Picture 690" descr="https://mail.google.com/mail/u/0/images/cleardot.gif">
          <a:extLst>
            <a:ext uri="{FF2B5EF4-FFF2-40B4-BE49-F238E27FC236}">
              <a16:creationId xmlns:a16="http://schemas.microsoft.com/office/drawing/2014/main" id="{239E0D28-F68B-4B1D-B7C0-9AD3987A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2" name="Picture 691" descr="https://mail.google.com/mail/u/0/images/cleardot.gif">
          <a:extLst>
            <a:ext uri="{FF2B5EF4-FFF2-40B4-BE49-F238E27FC236}">
              <a16:creationId xmlns:a16="http://schemas.microsoft.com/office/drawing/2014/main" id="{8C0A6567-0900-415E-95B9-B17299493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3" name="Picture 692" descr="https://mail.google.com/mail/u/0/images/cleardot.gif">
          <a:extLst>
            <a:ext uri="{FF2B5EF4-FFF2-40B4-BE49-F238E27FC236}">
              <a16:creationId xmlns:a16="http://schemas.microsoft.com/office/drawing/2014/main" id="{266200E7-55EC-4659-8911-D4F742E16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4" name="Picture 693" descr="https://mail.google.com/mail/u/0/images/cleardot.gif">
          <a:extLst>
            <a:ext uri="{FF2B5EF4-FFF2-40B4-BE49-F238E27FC236}">
              <a16:creationId xmlns:a16="http://schemas.microsoft.com/office/drawing/2014/main" id="{C0DE3D3F-D079-48E7-BF56-A6936805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5" name="Picture 694" descr="https://mail.google.com/mail/u/0/images/cleardot.gif">
          <a:extLst>
            <a:ext uri="{FF2B5EF4-FFF2-40B4-BE49-F238E27FC236}">
              <a16:creationId xmlns:a16="http://schemas.microsoft.com/office/drawing/2014/main" id="{210A65F9-37A1-4775-96CA-61C0E1615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6" name="Picture 695" descr="https://mail.google.com/mail/u/0/images/cleardot.gif">
          <a:extLst>
            <a:ext uri="{FF2B5EF4-FFF2-40B4-BE49-F238E27FC236}">
              <a16:creationId xmlns:a16="http://schemas.microsoft.com/office/drawing/2014/main" id="{1BDE9BB2-F29A-4F2A-B1C1-3A9183797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7" name="Picture 696" descr="https://mail.google.com/mail/u/0/images/cleardot.gif">
          <a:extLst>
            <a:ext uri="{FF2B5EF4-FFF2-40B4-BE49-F238E27FC236}">
              <a16:creationId xmlns:a16="http://schemas.microsoft.com/office/drawing/2014/main" id="{1812920F-3CC0-48AC-9CC0-959630A7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8" name="Picture 697" descr="https://mail.google.com/mail/u/0/images/cleardot.gif">
          <a:extLst>
            <a:ext uri="{FF2B5EF4-FFF2-40B4-BE49-F238E27FC236}">
              <a16:creationId xmlns:a16="http://schemas.microsoft.com/office/drawing/2014/main" id="{A46B84B2-D5EA-4658-B93F-2921C773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699" name="Picture 698" descr="https://mail.google.com/mail/u/0/images/cleardot.gif">
          <a:extLst>
            <a:ext uri="{FF2B5EF4-FFF2-40B4-BE49-F238E27FC236}">
              <a16:creationId xmlns:a16="http://schemas.microsoft.com/office/drawing/2014/main" id="{D1C815EF-D2EC-4755-9423-EC7E74DD8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0" name="Picture 699" descr="https://mail.google.com/mail/u/0/images/cleardot.gif">
          <a:extLst>
            <a:ext uri="{FF2B5EF4-FFF2-40B4-BE49-F238E27FC236}">
              <a16:creationId xmlns:a16="http://schemas.microsoft.com/office/drawing/2014/main" id="{26413597-9D75-4D79-988A-FFE9CD4D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1" name="Picture 700" descr="https://mail.google.com/mail/u/0/images/cleardot.gif">
          <a:extLst>
            <a:ext uri="{FF2B5EF4-FFF2-40B4-BE49-F238E27FC236}">
              <a16:creationId xmlns:a16="http://schemas.microsoft.com/office/drawing/2014/main" id="{6D93C927-C214-4D8B-A803-D99105769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2" name="Picture 701" descr="https://mail.google.com/mail/u/0/images/cleardot.gif">
          <a:extLst>
            <a:ext uri="{FF2B5EF4-FFF2-40B4-BE49-F238E27FC236}">
              <a16:creationId xmlns:a16="http://schemas.microsoft.com/office/drawing/2014/main" id="{C0F84258-BF09-4160-8167-B0569DDC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3" name="Picture 702" descr="https://mail.google.com/mail/u/0/images/cleardot.gif">
          <a:extLst>
            <a:ext uri="{FF2B5EF4-FFF2-40B4-BE49-F238E27FC236}">
              <a16:creationId xmlns:a16="http://schemas.microsoft.com/office/drawing/2014/main" id="{F63FE140-783C-40F3-90BC-8826A5984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4" name="Picture 703" descr="https://mail.google.com/mail/u/0/images/cleardot.gif">
          <a:extLst>
            <a:ext uri="{FF2B5EF4-FFF2-40B4-BE49-F238E27FC236}">
              <a16:creationId xmlns:a16="http://schemas.microsoft.com/office/drawing/2014/main" id="{F7113A9C-2BA0-47E7-9B07-6EF959CD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5" name="Picture 704" descr="https://mail.google.com/mail/u/0/images/cleardot.gif">
          <a:extLst>
            <a:ext uri="{FF2B5EF4-FFF2-40B4-BE49-F238E27FC236}">
              <a16:creationId xmlns:a16="http://schemas.microsoft.com/office/drawing/2014/main" id="{13FB9F4A-33BE-4492-8D02-E438972DC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6" name="Picture 705" descr="https://mail.google.com/mail/u/0/images/cleardot.gif">
          <a:extLst>
            <a:ext uri="{FF2B5EF4-FFF2-40B4-BE49-F238E27FC236}">
              <a16:creationId xmlns:a16="http://schemas.microsoft.com/office/drawing/2014/main" id="{44C1D290-5338-4B9C-B0B8-14560FF7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7" name="Picture 706" descr="https://mail.google.com/mail/u/0/images/cleardot.gif">
          <a:extLst>
            <a:ext uri="{FF2B5EF4-FFF2-40B4-BE49-F238E27FC236}">
              <a16:creationId xmlns:a16="http://schemas.microsoft.com/office/drawing/2014/main" id="{809BDB50-B1FA-4D04-9E62-17BAC32C9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8" name="Picture 707" descr="https://mail.google.com/mail/u/0/images/cleardot.gif">
          <a:extLst>
            <a:ext uri="{FF2B5EF4-FFF2-40B4-BE49-F238E27FC236}">
              <a16:creationId xmlns:a16="http://schemas.microsoft.com/office/drawing/2014/main" id="{261D26E1-C52D-48F5-A606-9B1E1811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09" name="Picture 708" descr="https://mail.google.com/mail/u/0/images/cleardot.gif">
          <a:extLst>
            <a:ext uri="{FF2B5EF4-FFF2-40B4-BE49-F238E27FC236}">
              <a16:creationId xmlns:a16="http://schemas.microsoft.com/office/drawing/2014/main" id="{3A76993D-C01E-407D-9C4D-25E342618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0" name="Picture 709" descr="https://mail.google.com/mail/u/0/images/cleardot.gif">
          <a:extLst>
            <a:ext uri="{FF2B5EF4-FFF2-40B4-BE49-F238E27FC236}">
              <a16:creationId xmlns:a16="http://schemas.microsoft.com/office/drawing/2014/main" id="{D9997BF3-9D4B-42AF-8D59-1F14E8CB6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1" name="Picture 710" descr="https://mail.google.com/mail/u/0/images/cleardot.gif">
          <a:extLst>
            <a:ext uri="{FF2B5EF4-FFF2-40B4-BE49-F238E27FC236}">
              <a16:creationId xmlns:a16="http://schemas.microsoft.com/office/drawing/2014/main" id="{839D3E0B-B8CE-4748-99B2-46465B39E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2" name="Picture 711" descr="https://mail.google.com/mail/u/0/images/cleardot.gif">
          <a:extLst>
            <a:ext uri="{FF2B5EF4-FFF2-40B4-BE49-F238E27FC236}">
              <a16:creationId xmlns:a16="http://schemas.microsoft.com/office/drawing/2014/main" id="{6D17705E-3FD9-4E6A-89B4-71001A32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3" name="Picture 712" descr="https://mail.google.com/mail/u/0/images/cleardot.gif">
          <a:extLst>
            <a:ext uri="{FF2B5EF4-FFF2-40B4-BE49-F238E27FC236}">
              <a16:creationId xmlns:a16="http://schemas.microsoft.com/office/drawing/2014/main" id="{620EBA5D-1FD2-4BED-A9DC-D3B567163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4" name="Picture 713" descr="https://mail.google.com/mail/u/0/images/cleardot.gif">
          <a:extLst>
            <a:ext uri="{FF2B5EF4-FFF2-40B4-BE49-F238E27FC236}">
              <a16:creationId xmlns:a16="http://schemas.microsoft.com/office/drawing/2014/main" id="{7571F125-6DB6-4D1F-877D-6BF4FE992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5" name="Picture 714" descr="https://mail.google.com/mail/u/0/images/cleardot.gif">
          <a:extLst>
            <a:ext uri="{FF2B5EF4-FFF2-40B4-BE49-F238E27FC236}">
              <a16:creationId xmlns:a16="http://schemas.microsoft.com/office/drawing/2014/main" id="{8518CD2E-39A8-4378-B314-912CB0053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6" name="Picture 715" descr="https://mail.google.com/mail/u/0/images/cleardot.gif">
          <a:extLst>
            <a:ext uri="{FF2B5EF4-FFF2-40B4-BE49-F238E27FC236}">
              <a16:creationId xmlns:a16="http://schemas.microsoft.com/office/drawing/2014/main" id="{871DF925-6D1A-4031-8563-F4A067C3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7" name="Picture 716" descr="https://mail.google.com/mail/u/0/images/cleardot.gif">
          <a:extLst>
            <a:ext uri="{FF2B5EF4-FFF2-40B4-BE49-F238E27FC236}">
              <a16:creationId xmlns:a16="http://schemas.microsoft.com/office/drawing/2014/main" id="{52B1A625-D9AD-4E99-B9CD-CE1F8C4FD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8" name="Picture 717" descr="https://mail.google.com/mail/u/0/images/cleardot.gif">
          <a:extLst>
            <a:ext uri="{FF2B5EF4-FFF2-40B4-BE49-F238E27FC236}">
              <a16:creationId xmlns:a16="http://schemas.microsoft.com/office/drawing/2014/main" id="{B38CFFBD-D11D-401D-BAA6-1A2A8888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19" name="Picture 718" descr="https://mail.google.com/mail/u/0/images/cleardot.gif">
          <a:extLst>
            <a:ext uri="{FF2B5EF4-FFF2-40B4-BE49-F238E27FC236}">
              <a16:creationId xmlns:a16="http://schemas.microsoft.com/office/drawing/2014/main" id="{C6577694-9F1E-4015-8B24-B8F6398A5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0" name="Picture 719" descr="https://mail.google.com/mail/u/0/images/cleardot.gif">
          <a:extLst>
            <a:ext uri="{FF2B5EF4-FFF2-40B4-BE49-F238E27FC236}">
              <a16:creationId xmlns:a16="http://schemas.microsoft.com/office/drawing/2014/main" id="{3666A90D-7635-4314-81D9-DBD12B99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1" name="Picture 720" descr="https://mail.google.com/mail/u/0/images/cleardot.gif">
          <a:extLst>
            <a:ext uri="{FF2B5EF4-FFF2-40B4-BE49-F238E27FC236}">
              <a16:creationId xmlns:a16="http://schemas.microsoft.com/office/drawing/2014/main" id="{97C2CDC2-7D1E-4C02-A70A-5CD19FA92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2" name="Picture 721" descr="https://mail.google.com/mail/u/0/images/cleardot.gif">
          <a:extLst>
            <a:ext uri="{FF2B5EF4-FFF2-40B4-BE49-F238E27FC236}">
              <a16:creationId xmlns:a16="http://schemas.microsoft.com/office/drawing/2014/main" id="{B55890B1-35BE-4375-BB1A-25308647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3" name="Picture 722" descr="https://mail.google.com/mail/u/0/images/cleardot.gif">
          <a:extLst>
            <a:ext uri="{FF2B5EF4-FFF2-40B4-BE49-F238E27FC236}">
              <a16:creationId xmlns:a16="http://schemas.microsoft.com/office/drawing/2014/main" id="{2CE8EDE5-1774-44C8-8584-0918E4AF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4" name="Picture 723" descr="https://mail.google.com/mail/u/0/images/cleardot.gif">
          <a:extLst>
            <a:ext uri="{FF2B5EF4-FFF2-40B4-BE49-F238E27FC236}">
              <a16:creationId xmlns:a16="http://schemas.microsoft.com/office/drawing/2014/main" id="{C8C6A83A-0F93-48C4-827F-FFA753D1C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5" name="Picture 724" descr="https://mail.google.com/mail/u/0/images/cleardot.gif">
          <a:extLst>
            <a:ext uri="{FF2B5EF4-FFF2-40B4-BE49-F238E27FC236}">
              <a16:creationId xmlns:a16="http://schemas.microsoft.com/office/drawing/2014/main" id="{4C33BBB5-311B-4E05-A400-18F390A7B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6" name="Picture 725" descr="https://mail.google.com/mail/u/0/images/cleardot.gif">
          <a:extLst>
            <a:ext uri="{FF2B5EF4-FFF2-40B4-BE49-F238E27FC236}">
              <a16:creationId xmlns:a16="http://schemas.microsoft.com/office/drawing/2014/main" id="{7038C75B-A59E-4A02-9440-D0B6D90E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7" name="Picture 726" descr="https://mail.google.com/mail/u/0/images/cleardot.gif">
          <a:extLst>
            <a:ext uri="{FF2B5EF4-FFF2-40B4-BE49-F238E27FC236}">
              <a16:creationId xmlns:a16="http://schemas.microsoft.com/office/drawing/2014/main" id="{E809536A-EA13-46E2-8751-5AE74120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8" name="Picture 727" descr="https://mail.google.com/mail/u/0/images/cleardot.gif">
          <a:extLst>
            <a:ext uri="{FF2B5EF4-FFF2-40B4-BE49-F238E27FC236}">
              <a16:creationId xmlns:a16="http://schemas.microsoft.com/office/drawing/2014/main" id="{BB33B7FE-95B6-437D-B506-6D34A661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29" name="Picture 728" descr="https://mail.google.com/mail/u/0/images/cleardot.gif">
          <a:extLst>
            <a:ext uri="{FF2B5EF4-FFF2-40B4-BE49-F238E27FC236}">
              <a16:creationId xmlns:a16="http://schemas.microsoft.com/office/drawing/2014/main" id="{28291901-01EE-4911-88A5-DD24872A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0" name="Picture 729" descr="https://mail.google.com/mail/u/0/images/cleardot.gif">
          <a:extLst>
            <a:ext uri="{FF2B5EF4-FFF2-40B4-BE49-F238E27FC236}">
              <a16:creationId xmlns:a16="http://schemas.microsoft.com/office/drawing/2014/main" id="{A267924F-0113-46A0-8C87-A3AF20D4D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1" name="Picture 730" descr="https://mail.google.com/mail/u/0/images/cleardot.gif">
          <a:extLst>
            <a:ext uri="{FF2B5EF4-FFF2-40B4-BE49-F238E27FC236}">
              <a16:creationId xmlns:a16="http://schemas.microsoft.com/office/drawing/2014/main" id="{1CD02B15-B75A-46C3-A011-BA7777DB5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2" name="Picture 731" descr="https://mail.google.com/mail/u/0/images/cleardot.gif">
          <a:extLst>
            <a:ext uri="{FF2B5EF4-FFF2-40B4-BE49-F238E27FC236}">
              <a16:creationId xmlns:a16="http://schemas.microsoft.com/office/drawing/2014/main" id="{8871CB01-135D-4610-A034-D66D6BA9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3" name="Picture 732" descr="https://mail.google.com/mail/u/0/images/cleardot.gif">
          <a:extLst>
            <a:ext uri="{FF2B5EF4-FFF2-40B4-BE49-F238E27FC236}">
              <a16:creationId xmlns:a16="http://schemas.microsoft.com/office/drawing/2014/main" id="{E47A08B5-2C9F-4AD3-988F-73703683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4" name="Picture 733" descr="https://mail.google.com/mail/u/0/images/cleardot.gif">
          <a:extLst>
            <a:ext uri="{FF2B5EF4-FFF2-40B4-BE49-F238E27FC236}">
              <a16:creationId xmlns:a16="http://schemas.microsoft.com/office/drawing/2014/main" id="{A741268B-7CB6-4ACF-946D-C0357168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5" name="Picture 734" descr="https://mail.google.com/mail/u/0/images/cleardot.gif">
          <a:extLst>
            <a:ext uri="{FF2B5EF4-FFF2-40B4-BE49-F238E27FC236}">
              <a16:creationId xmlns:a16="http://schemas.microsoft.com/office/drawing/2014/main" id="{67158AE1-4134-4182-B9B1-13F826B6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6" name="Picture 735" descr="https://mail.google.com/mail/u/0/images/cleardot.gif">
          <a:extLst>
            <a:ext uri="{FF2B5EF4-FFF2-40B4-BE49-F238E27FC236}">
              <a16:creationId xmlns:a16="http://schemas.microsoft.com/office/drawing/2014/main" id="{F3C9E14A-4784-4011-BF27-9661A4195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7" name="Picture 736" descr="https://mail.google.com/mail/u/0/images/cleardot.gif">
          <a:extLst>
            <a:ext uri="{FF2B5EF4-FFF2-40B4-BE49-F238E27FC236}">
              <a16:creationId xmlns:a16="http://schemas.microsoft.com/office/drawing/2014/main" id="{38400D1C-6844-4A81-9324-8312D849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8" name="Picture 737" descr="https://mail.google.com/mail/u/0/images/cleardot.gif">
          <a:extLst>
            <a:ext uri="{FF2B5EF4-FFF2-40B4-BE49-F238E27FC236}">
              <a16:creationId xmlns:a16="http://schemas.microsoft.com/office/drawing/2014/main" id="{E40785A3-124B-483E-9144-B456FA6D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39" name="Picture 738" descr="https://mail.google.com/mail/u/0/images/cleardot.gif">
          <a:extLst>
            <a:ext uri="{FF2B5EF4-FFF2-40B4-BE49-F238E27FC236}">
              <a16:creationId xmlns:a16="http://schemas.microsoft.com/office/drawing/2014/main" id="{0DA87FAA-D674-4B3D-945C-34ED5481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0" name="Picture 739" descr="https://mail.google.com/mail/u/0/images/cleardot.gif">
          <a:extLst>
            <a:ext uri="{FF2B5EF4-FFF2-40B4-BE49-F238E27FC236}">
              <a16:creationId xmlns:a16="http://schemas.microsoft.com/office/drawing/2014/main" id="{D077CB21-F566-4EB7-8464-89DB8DB9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1" name="Picture 740" descr="https://mail.google.com/mail/u/0/images/cleardot.gif">
          <a:extLst>
            <a:ext uri="{FF2B5EF4-FFF2-40B4-BE49-F238E27FC236}">
              <a16:creationId xmlns:a16="http://schemas.microsoft.com/office/drawing/2014/main" id="{37554409-2B1C-49CF-8D06-2271EE985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2" name="Picture 741" descr="https://mail.google.com/mail/u/0/images/cleardot.gif">
          <a:extLst>
            <a:ext uri="{FF2B5EF4-FFF2-40B4-BE49-F238E27FC236}">
              <a16:creationId xmlns:a16="http://schemas.microsoft.com/office/drawing/2014/main" id="{3DD3E4F5-4B8A-40AE-BB9E-B88D52E52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3" name="Picture 742" descr="https://mail.google.com/mail/u/0/images/cleardot.gif">
          <a:extLst>
            <a:ext uri="{FF2B5EF4-FFF2-40B4-BE49-F238E27FC236}">
              <a16:creationId xmlns:a16="http://schemas.microsoft.com/office/drawing/2014/main" id="{30588CBE-9133-4B09-B8D8-F8351BF1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4" name="Picture 743" descr="https://mail.google.com/mail/u/0/images/cleardot.gif">
          <a:extLst>
            <a:ext uri="{FF2B5EF4-FFF2-40B4-BE49-F238E27FC236}">
              <a16:creationId xmlns:a16="http://schemas.microsoft.com/office/drawing/2014/main" id="{8D2876E6-AA58-41B8-8EF6-3BA38ACE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5" name="Picture 744" descr="https://mail.google.com/mail/u/0/images/cleardot.gif">
          <a:extLst>
            <a:ext uri="{FF2B5EF4-FFF2-40B4-BE49-F238E27FC236}">
              <a16:creationId xmlns:a16="http://schemas.microsoft.com/office/drawing/2014/main" id="{C05EA084-A0E1-42DC-AB0D-9BFAD488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6" name="Picture 745" descr="https://mail.google.com/mail/u/0/images/cleardot.gif">
          <a:extLst>
            <a:ext uri="{FF2B5EF4-FFF2-40B4-BE49-F238E27FC236}">
              <a16:creationId xmlns:a16="http://schemas.microsoft.com/office/drawing/2014/main" id="{A70A2E28-7F14-4B41-9052-BB2A3E9A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7" name="Picture 746" descr="https://mail.google.com/mail/u/0/images/cleardot.gif">
          <a:extLst>
            <a:ext uri="{FF2B5EF4-FFF2-40B4-BE49-F238E27FC236}">
              <a16:creationId xmlns:a16="http://schemas.microsoft.com/office/drawing/2014/main" id="{8FB613F8-F017-4CDA-A25F-48E74365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8" name="Picture 747" descr="https://mail.google.com/mail/u/0/images/cleardot.gif">
          <a:extLst>
            <a:ext uri="{FF2B5EF4-FFF2-40B4-BE49-F238E27FC236}">
              <a16:creationId xmlns:a16="http://schemas.microsoft.com/office/drawing/2014/main" id="{654770C3-227F-4B8E-8181-EE7E670EB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49" name="Picture 748" descr="https://mail.google.com/mail/u/0/images/cleardot.gif">
          <a:extLst>
            <a:ext uri="{FF2B5EF4-FFF2-40B4-BE49-F238E27FC236}">
              <a16:creationId xmlns:a16="http://schemas.microsoft.com/office/drawing/2014/main" id="{9DA35CB7-2F5E-4E61-9AA9-510AB832D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0" name="Picture 749" descr="https://mail.google.com/mail/u/0/images/cleardot.gif">
          <a:extLst>
            <a:ext uri="{FF2B5EF4-FFF2-40B4-BE49-F238E27FC236}">
              <a16:creationId xmlns:a16="http://schemas.microsoft.com/office/drawing/2014/main" id="{E6B3775E-2327-413B-A813-482484E9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1" name="Picture 750" descr="https://mail.google.com/mail/u/0/images/cleardot.gif">
          <a:extLst>
            <a:ext uri="{FF2B5EF4-FFF2-40B4-BE49-F238E27FC236}">
              <a16:creationId xmlns:a16="http://schemas.microsoft.com/office/drawing/2014/main" id="{03CAA07C-AF4A-411F-9C07-D433D7155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2" name="Picture 751" descr="https://mail.google.com/mail/u/0/images/cleardot.gif">
          <a:extLst>
            <a:ext uri="{FF2B5EF4-FFF2-40B4-BE49-F238E27FC236}">
              <a16:creationId xmlns:a16="http://schemas.microsoft.com/office/drawing/2014/main" id="{CCEB0D92-D241-4A64-8449-EAD80C30B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3" name="Picture 752" descr="https://mail.google.com/mail/u/0/images/cleardot.gif">
          <a:extLst>
            <a:ext uri="{FF2B5EF4-FFF2-40B4-BE49-F238E27FC236}">
              <a16:creationId xmlns:a16="http://schemas.microsoft.com/office/drawing/2014/main" id="{CA2C554C-527D-4CB6-AFBE-1F85983A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4" name="Picture 753" descr="https://mail.google.com/mail/u/0/images/cleardot.gif">
          <a:extLst>
            <a:ext uri="{FF2B5EF4-FFF2-40B4-BE49-F238E27FC236}">
              <a16:creationId xmlns:a16="http://schemas.microsoft.com/office/drawing/2014/main" id="{F0DC4A35-039F-4174-B71D-9F33F10D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5" name="Picture 754" descr="https://mail.google.com/mail/u/0/images/cleardot.gif">
          <a:extLst>
            <a:ext uri="{FF2B5EF4-FFF2-40B4-BE49-F238E27FC236}">
              <a16:creationId xmlns:a16="http://schemas.microsoft.com/office/drawing/2014/main" id="{D64AF8EA-AF7A-4492-B2E1-6E119E22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6" name="Picture 755" descr="https://mail.google.com/mail/u/0/images/cleardot.gif">
          <a:extLst>
            <a:ext uri="{FF2B5EF4-FFF2-40B4-BE49-F238E27FC236}">
              <a16:creationId xmlns:a16="http://schemas.microsoft.com/office/drawing/2014/main" id="{47DB233E-5E1D-46DB-88AB-FDD7F549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7" name="Picture 756" descr="https://mail.google.com/mail/u/0/images/cleardot.gif">
          <a:extLst>
            <a:ext uri="{FF2B5EF4-FFF2-40B4-BE49-F238E27FC236}">
              <a16:creationId xmlns:a16="http://schemas.microsoft.com/office/drawing/2014/main" id="{B8F16EED-623D-4F85-87D5-C506F5B4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8" name="Picture 757" descr="https://mail.google.com/mail/u/0/images/cleardot.gif">
          <a:extLst>
            <a:ext uri="{FF2B5EF4-FFF2-40B4-BE49-F238E27FC236}">
              <a16:creationId xmlns:a16="http://schemas.microsoft.com/office/drawing/2014/main" id="{CFBC8DA3-775E-4028-B1BB-B46E58E2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59" name="Picture 758" descr="https://mail.google.com/mail/u/0/images/cleardot.gif">
          <a:extLst>
            <a:ext uri="{FF2B5EF4-FFF2-40B4-BE49-F238E27FC236}">
              <a16:creationId xmlns:a16="http://schemas.microsoft.com/office/drawing/2014/main" id="{7E15A2C6-2B0C-4A26-A3E9-9893D263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0" name="Picture 759" descr="https://mail.google.com/mail/u/0/images/cleardot.gif">
          <a:extLst>
            <a:ext uri="{FF2B5EF4-FFF2-40B4-BE49-F238E27FC236}">
              <a16:creationId xmlns:a16="http://schemas.microsoft.com/office/drawing/2014/main" id="{D6620280-6B30-468E-9FA0-8FFF4926E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1" name="Picture 760" descr="https://mail.google.com/mail/u/0/images/cleardot.gif">
          <a:extLst>
            <a:ext uri="{FF2B5EF4-FFF2-40B4-BE49-F238E27FC236}">
              <a16:creationId xmlns:a16="http://schemas.microsoft.com/office/drawing/2014/main" id="{5ADE5B44-CA7D-4E5C-979A-4C1364511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2" name="Picture 761" descr="https://mail.google.com/mail/u/0/images/cleardot.gif">
          <a:extLst>
            <a:ext uri="{FF2B5EF4-FFF2-40B4-BE49-F238E27FC236}">
              <a16:creationId xmlns:a16="http://schemas.microsoft.com/office/drawing/2014/main" id="{AA1544D0-C72D-479C-8F49-60AF9E3A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3" name="Picture 762" descr="https://mail.google.com/mail/u/0/images/cleardot.gif">
          <a:extLst>
            <a:ext uri="{FF2B5EF4-FFF2-40B4-BE49-F238E27FC236}">
              <a16:creationId xmlns:a16="http://schemas.microsoft.com/office/drawing/2014/main" id="{8717C83E-660F-4045-9B3B-B07EA46B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4" name="Picture 763" descr="https://mail.google.com/mail/u/0/images/cleardot.gif">
          <a:extLst>
            <a:ext uri="{FF2B5EF4-FFF2-40B4-BE49-F238E27FC236}">
              <a16:creationId xmlns:a16="http://schemas.microsoft.com/office/drawing/2014/main" id="{00DA6CE4-2A33-4B9A-8B9F-11DDE07B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5" name="Picture 764" descr="https://mail.google.com/mail/u/0/images/cleardot.gif">
          <a:extLst>
            <a:ext uri="{FF2B5EF4-FFF2-40B4-BE49-F238E27FC236}">
              <a16:creationId xmlns:a16="http://schemas.microsoft.com/office/drawing/2014/main" id="{00FC7256-5A58-4294-9284-38BEB128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6" name="Picture 765" descr="https://mail.google.com/mail/u/0/images/cleardot.gif">
          <a:extLst>
            <a:ext uri="{FF2B5EF4-FFF2-40B4-BE49-F238E27FC236}">
              <a16:creationId xmlns:a16="http://schemas.microsoft.com/office/drawing/2014/main" id="{14C8B1BD-6DB5-4E3C-91F9-2EBAA2224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7" name="Picture 766" descr="https://mail.google.com/mail/u/0/images/cleardot.gif">
          <a:extLst>
            <a:ext uri="{FF2B5EF4-FFF2-40B4-BE49-F238E27FC236}">
              <a16:creationId xmlns:a16="http://schemas.microsoft.com/office/drawing/2014/main" id="{1D3959B0-5E35-4333-A224-77CE40EC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8" name="Picture 767" descr="https://mail.google.com/mail/u/0/images/cleardot.gif">
          <a:extLst>
            <a:ext uri="{FF2B5EF4-FFF2-40B4-BE49-F238E27FC236}">
              <a16:creationId xmlns:a16="http://schemas.microsoft.com/office/drawing/2014/main" id="{D4B20A09-A948-49CF-9E18-6B1284D9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69" name="Picture 768" descr="https://mail.google.com/mail/u/0/images/cleardot.gif">
          <a:extLst>
            <a:ext uri="{FF2B5EF4-FFF2-40B4-BE49-F238E27FC236}">
              <a16:creationId xmlns:a16="http://schemas.microsoft.com/office/drawing/2014/main" id="{366B3591-F55B-4E5C-ABF6-496735BF8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0" name="Picture 769" descr="https://mail.google.com/mail/u/0/images/cleardot.gif">
          <a:extLst>
            <a:ext uri="{FF2B5EF4-FFF2-40B4-BE49-F238E27FC236}">
              <a16:creationId xmlns:a16="http://schemas.microsoft.com/office/drawing/2014/main" id="{E15EC206-D687-483A-AF0F-5D85A95C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1" name="Picture 770" descr="https://mail.google.com/mail/u/0/images/cleardot.gif">
          <a:extLst>
            <a:ext uri="{FF2B5EF4-FFF2-40B4-BE49-F238E27FC236}">
              <a16:creationId xmlns:a16="http://schemas.microsoft.com/office/drawing/2014/main" id="{AD2E4899-F996-421A-8B79-F8DD111A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2" name="Picture 771" descr="https://mail.google.com/mail/u/0/images/cleardot.gif">
          <a:extLst>
            <a:ext uri="{FF2B5EF4-FFF2-40B4-BE49-F238E27FC236}">
              <a16:creationId xmlns:a16="http://schemas.microsoft.com/office/drawing/2014/main" id="{BE2CC88B-1FDA-4210-AB81-123BEDBD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3" name="Picture 772" descr="https://mail.google.com/mail/u/0/images/cleardot.gif">
          <a:extLst>
            <a:ext uri="{FF2B5EF4-FFF2-40B4-BE49-F238E27FC236}">
              <a16:creationId xmlns:a16="http://schemas.microsoft.com/office/drawing/2014/main" id="{847EAA4E-CAC4-4215-A467-6425F3C6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4" name="Picture 773" descr="https://mail.google.com/mail/u/0/images/cleardot.gif">
          <a:extLst>
            <a:ext uri="{FF2B5EF4-FFF2-40B4-BE49-F238E27FC236}">
              <a16:creationId xmlns:a16="http://schemas.microsoft.com/office/drawing/2014/main" id="{48198A8F-4F1A-490C-A786-608ADAD2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5" name="Picture 774" descr="https://mail.google.com/mail/u/0/images/cleardot.gif">
          <a:extLst>
            <a:ext uri="{FF2B5EF4-FFF2-40B4-BE49-F238E27FC236}">
              <a16:creationId xmlns:a16="http://schemas.microsoft.com/office/drawing/2014/main" id="{DEA36882-10D7-4695-96FD-1E8FF8998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6" name="Picture 775" descr="https://mail.google.com/mail/u/0/images/cleardot.gif">
          <a:extLst>
            <a:ext uri="{FF2B5EF4-FFF2-40B4-BE49-F238E27FC236}">
              <a16:creationId xmlns:a16="http://schemas.microsoft.com/office/drawing/2014/main" id="{1275A652-B39A-443C-8731-5647AE991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7" name="Picture 776" descr="https://mail.google.com/mail/u/0/images/cleardot.gif">
          <a:extLst>
            <a:ext uri="{FF2B5EF4-FFF2-40B4-BE49-F238E27FC236}">
              <a16:creationId xmlns:a16="http://schemas.microsoft.com/office/drawing/2014/main" id="{C455848B-1769-4FF5-B21D-D4721B55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8" name="Picture 777" descr="https://mail.google.com/mail/u/0/images/cleardot.gif">
          <a:extLst>
            <a:ext uri="{FF2B5EF4-FFF2-40B4-BE49-F238E27FC236}">
              <a16:creationId xmlns:a16="http://schemas.microsoft.com/office/drawing/2014/main" id="{94109B36-E4B0-4B64-BDA9-795F28C2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79" name="Picture 778" descr="https://mail.google.com/mail/u/0/images/cleardot.gif">
          <a:extLst>
            <a:ext uri="{FF2B5EF4-FFF2-40B4-BE49-F238E27FC236}">
              <a16:creationId xmlns:a16="http://schemas.microsoft.com/office/drawing/2014/main" id="{269C9BAC-F9B8-44C3-B4D9-76C10CD73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0" name="Picture 779" descr="https://mail.google.com/mail/u/0/images/cleardot.gif">
          <a:extLst>
            <a:ext uri="{FF2B5EF4-FFF2-40B4-BE49-F238E27FC236}">
              <a16:creationId xmlns:a16="http://schemas.microsoft.com/office/drawing/2014/main" id="{6E7D49AA-658E-48EC-ABF6-D723BDAF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1" name="Picture 780" descr="https://mail.google.com/mail/u/0/images/cleardot.gif">
          <a:extLst>
            <a:ext uri="{FF2B5EF4-FFF2-40B4-BE49-F238E27FC236}">
              <a16:creationId xmlns:a16="http://schemas.microsoft.com/office/drawing/2014/main" id="{4A958324-451D-4115-A692-8A3518FAA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2" name="Picture 781" descr="https://mail.google.com/mail/u/0/images/cleardot.gif">
          <a:extLst>
            <a:ext uri="{FF2B5EF4-FFF2-40B4-BE49-F238E27FC236}">
              <a16:creationId xmlns:a16="http://schemas.microsoft.com/office/drawing/2014/main" id="{DA431F6C-0DB8-4215-8CCA-5689E2B9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3" name="Picture 782" descr="https://mail.google.com/mail/u/0/images/cleardot.gif">
          <a:extLst>
            <a:ext uri="{FF2B5EF4-FFF2-40B4-BE49-F238E27FC236}">
              <a16:creationId xmlns:a16="http://schemas.microsoft.com/office/drawing/2014/main" id="{1A8C43E6-9490-48BB-BCBA-A9AF105BA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4" name="Picture 783" descr="https://mail.google.com/mail/u/0/images/cleardot.gif">
          <a:extLst>
            <a:ext uri="{FF2B5EF4-FFF2-40B4-BE49-F238E27FC236}">
              <a16:creationId xmlns:a16="http://schemas.microsoft.com/office/drawing/2014/main" id="{E8FA5338-B217-4D2B-B1B0-BB145D978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5" name="Picture 784" descr="https://mail.google.com/mail/u/0/images/cleardot.gif">
          <a:extLst>
            <a:ext uri="{FF2B5EF4-FFF2-40B4-BE49-F238E27FC236}">
              <a16:creationId xmlns:a16="http://schemas.microsoft.com/office/drawing/2014/main" id="{AD1F0425-6AD3-44CE-8B97-84DC83582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EC27869E-0C30-4BCD-A191-9DD6ADED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7" name="Picture 786" descr="https://mail.google.com/mail/u/0/images/cleardot.gif">
          <a:extLst>
            <a:ext uri="{FF2B5EF4-FFF2-40B4-BE49-F238E27FC236}">
              <a16:creationId xmlns:a16="http://schemas.microsoft.com/office/drawing/2014/main" id="{763D8329-D8AE-41EA-B6F6-AC8776602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8" name="Picture 787" descr="https://mail.google.com/mail/u/0/images/cleardot.gif">
          <a:extLst>
            <a:ext uri="{FF2B5EF4-FFF2-40B4-BE49-F238E27FC236}">
              <a16:creationId xmlns:a16="http://schemas.microsoft.com/office/drawing/2014/main" id="{134CAC8B-D4EC-40BC-BECB-5AF50919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89" name="Picture 788" descr="https://mail.google.com/mail/u/0/images/cleardot.gif">
          <a:extLst>
            <a:ext uri="{FF2B5EF4-FFF2-40B4-BE49-F238E27FC236}">
              <a16:creationId xmlns:a16="http://schemas.microsoft.com/office/drawing/2014/main" id="{AB3A62D0-6A3F-4CEC-9DFC-455C6CACE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0" name="Picture 789" descr="https://mail.google.com/mail/u/0/images/cleardot.gif">
          <a:extLst>
            <a:ext uri="{FF2B5EF4-FFF2-40B4-BE49-F238E27FC236}">
              <a16:creationId xmlns:a16="http://schemas.microsoft.com/office/drawing/2014/main" id="{E3D19489-F88A-4A1C-8914-26C34D6D6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1" name="Picture 790" descr="https://mail.google.com/mail/u/0/images/cleardot.gif">
          <a:extLst>
            <a:ext uri="{FF2B5EF4-FFF2-40B4-BE49-F238E27FC236}">
              <a16:creationId xmlns:a16="http://schemas.microsoft.com/office/drawing/2014/main" id="{187FFD32-ED50-43A4-B74D-90CC6E8B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2" name="Picture 791" descr="https://mail.google.com/mail/u/0/images/cleardot.gif">
          <a:extLst>
            <a:ext uri="{FF2B5EF4-FFF2-40B4-BE49-F238E27FC236}">
              <a16:creationId xmlns:a16="http://schemas.microsoft.com/office/drawing/2014/main" id="{82775354-89D8-45C9-8821-FDFD2A5EF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3" name="Picture 792" descr="https://mail.google.com/mail/u/0/images/cleardot.gif">
          <a:extLst>
            <a:ext uri="{FF2B5EF4-FFF2-40B4-BE49-F238E27FC236}">
              <a16:creationId xmlns:a16="http://schemas.microsoft.com/office/drawing/2014/main" id="{D8AA399A-9A09-4BE6-BAF2-0931DA52C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4" name="Picture 793" descr="https://mail.google.com/mail/u/0/images/cleardot.gif">
          <a:extLst>
            <a:ext uri="{FF2B5EF4-FFF2-40B4-BE49-F238E27FC236}">
              <a16:creationId xmlns:a16="http://schemas.microsoft.com/office/drawing/2014/main" id="{FFA2E135-30EC-4013-9C61-DA1533353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5" name="Picture 794" descr="https://mail.google.com/mail/u/0/images/cleardot.gif">
          <a:extLst>
            <a:ext uri="{FF2B5EF4-FFF2-40B4-BE49-F238E27FC236}">
              <a16:creationId xmlns:a16="http://schemas.microsoft.com/office/drawing/2014/main" id="{F2AF0C0A-ED5F-4817-9185-8FAE358E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6" name="Picture 795" descr="https://mail.google.com/mail/u/0/images/cleardot.gif">
          <a:extLst>
            <a:ext uri="{FF2B5EF4-FFF2-40B4-BE49-F238E27FC236}">
              <a16:creationId xmlns:a16="http://schemas.microsoft.com/office/drawing/2014/main" id="{F011843A-9AC8-4A4B-8282-7C39F7D2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7" name="Picture 796" descr="https://mail.google.com/mail/u/0/images/cleardot.gif">
          <a:extLst>
            <a:ext uri="{FF2B5EF4-FFF2-40B4-BE49-F238E27FC236}">
              <a16:creationId xmlns:a16="http://schemas.microsoft.com/office/drawing/2014/main" id="{15FC5F78-E383-459A-83DD-596A5B64D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8" name="Picture 797" descr="https://mail.google.com/mail/u/0/images/cleardot.gif">
          <a:extLst>
            <a:ext uri="{FF2B5EF4-FFF2-40B4-BE49-F238E27FC236}">
              <a16:creationId xmlns:a16="http://schemas.microsoft.com/office/drawing/2014/main" id="{2ABA06DC-C1FD-427B-A376-82F25ADB8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799" name="Picture 798" descr="https://mail.google.com/mail/u/0/images/cleardot.gif">
          <a:extLst>
            <a:ext uri="{FF2B5EF4-FFF2-40B4-BE49-F238E27FC236}">
              <a16:creationId xmlns:a16="http://schemas.microsoft.com/office/drawing/2014/main" id="{48F1BB22-3751-4038-9970-1B9DE17A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0" name="Picture 799" descr="https://mail.google.com/mail/u/0/images/cleardot.gif">
          <a:extLst>
            <a:ext uri="{FF2B5EF4-FFF2-40B4-BE49-F238E27FC236}">
              <a16:creationId xmlns:a16="http://schemas.microsoft.com/office/drawing/2014/main" id="{48976D61-0663-4DB3-8E56-17981326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1" name="Picture 800" descr="https://mail.google.com/mail/u/0/images/cleardot.gif">
          <a:extLst>
            <a:ext uri="{FF2B5EF4-FFF2-40B4-BE49-F238E27FC236}">
              <a16:creationId xmlns:a16="http://schemas.microsoft.com/office/drawing/2014/main" id="{D39CF335-A4DA-4090-AE09-86DB499AC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2" name="Picture 801" descr="https://mail.google.com/mail/u/0/images/cleardot.gif">
          <a:extLst>
            <a:ext uri="{FF2B5EF4-FFF2-40B4-BE49-F238E27FC236}">
              <a16:creationId xmlns:a16="http://schemas.microsoft.com/office/drawing/2014/main" id="{518F86EA-6AE4-4213-964F-ABF4880D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3" name="Picture 802" descr="https://mail.google.com/mail/u/0/images/cleardot.gif">
          <a:extLst>
            <a:ext uri="{FF2B5EF4-FFF2-40B4-BE49-F238E27FC236}">
              <a16:creationId xmlns:a16="http://schemas.microsoft.com/office/drawing/2014/main" id="{2EE040FE-D9DE-40CA-A8AB-D2FE5E28E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4" name="Picture 803" descr="https://mail.google.com/mail/u/0/images/cleardot.gif">
          <a:extLst>
            <a:ext uri="{FF2B5EF4-FFF2-40B4-BE49-F238E27FC236}">
              <a16:creationId xmlns:a16="http://schemas.microsoft.com/office/drawing/2014/main" id="{AD98220C-FC8F-406D-B0AC-CAA48F508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5" name="Picture 804" descr="https://mail.google.com/mail/u/0/images/cleardot.gif">
          <a:extLst>
            <a:ext uri="{FF2B5EF4-FFF2-40B4-BE49-F238E27FC236}">
              <a16:creationId xmlns:a16="http://schemas.microsoft.com/office/drawing/2014/main" id="{F9FBAF3E-A099-46CF-A208-23865728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6" name="Picture 805" descr="https://mail.google.com/mail/u/0/images/cleardot.gif">
          <a:extLst>
            <a:ext uri="{FF2B5EF4-FFF2-40B4-BE49-F238E27FC236}">
              <a16:creationId xmlns:a16="http://schemas.microsoft.com/office/drawing/2014/main" id="{548F2E94-B9FB-4AC4-815F-3764640F4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7" name="Picture 806" descr="https://mail.google.com/mail/u/0/images/cleardot.gif">
          <a:extLst>
            <a:ext uri="{FF2B5EF4-FFF2-40B4-BE49-F238E27FC236}">
              <a16:creationId xmlns:a16="http://schemas.microsoft.com/office/drawing/2014/main" id="{66BBEC09-ACB0-4665-A426-53DC3CE7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8" name="Picture 807" descr="https://mail.google.com/mail/u/0/images/cleardot.gif">
          <a:extLst>
            <a:ext uri="{FF2B5EF4-FFF2-40B4-BE49-F238E27FC236}">
              <a16:creationId xmlns:a16="http://schemas.microsoft.com/office/drawing/2014/main" id="{78353C01-53C6-4945-85D8-3E46F436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09" name="Picture 808" descr="https://mail.google.com/mail/u/0/images/cleardot.gif">
          <a:extLst>
            <a:ext uri="{FF2B5EF4-FFF2-40B4-BE49-F238E27FC236}">
              <a16:creationId xmlns:a16="http://schemas.microsoft.com/office/drawing/2014/main" id="{18BDECC1-BAEA-4046-8790-5A37F5416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0" name="Picture 809" descr="https://mail.google.com/mail/u/0/images/cleardot.gif">
          <a:extLst>
            <a:ext uri="{FF2B5EF4-FFF2-40B4-BE49-F238E27FC236}">
              <a16:creationId xmlns:a16="http://schemas.microsoft.com/office/drawing/2014/main" id="{63CE0DCF-A8E2-44C5-AC38-B64AC8A2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1" name="Picture 810" descr="https://mail.google.com/mail/u/0/images/cleardot.gif">
          <a:extLst>
            <a:ext uri="{FF2B5EF4-FFF2-40B4-BE49-F238E27FC236}">
              <a16:creationId xmlns:a16="http://schemas.microsoft.com/office/drawing/2014/main" id="{532995C7-9C6A-40D5-A57B-8FC76860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2" name="Picture 811" descr="https://mail.google.com/mail/u/0/images/cleardot.gif">
          <a:extLst>
            <a:ext uri="{FF2B5EF4-FFF2-40B4-BE49-F238E27FC236}">
              <a16:creationId xmlns:a16="http://schemas.microsoft.com/office/drawing/2014/main" id="{F7A9ACBA-016E-4590-BAA9-B6AED8116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3" name="Picture 812" descr="https://mail.google.com/mail/u/0/images/cleardot.gif">
          <a:extLst>
            <a:ext uri="{FF2B5EF4-FFF2-40B4-BE49-F238E27FC236}">
              <a16:creationId xmlns:a16="http://schemas.microsoft.com/office/drawing/2014/main" id="{77344A80-0888-451B-A4D0-4FF82BCB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4" name="Picture 813" descr="https://mail.google.com/mail/u/0/images/cleardot.gif">
          <a:extLst>
            <a:ext uri="{FF2B5EF4-FFF2-40B4-BE49-F238E27FC236}">
              <a16:creationId xmlns:a16="http://schemas.microsoft.com/office/drawing/2014/main" id="{ECD89C10-7F82-4FD7-8C4A-B48B70A1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5" name="Picture 814" descr="https://mail.google.com/mail/u/0/images/cleardot.gif">
          <a:extLst>
            <a:ext uri="{FF2B5EF4-FFF2-40B4-BE49-F238E27FC236}">
              <a16:creationId xmlns:a16="http://schemas.microsoft.com/office/drawing/2014/main" id="{7A345872-524A-4333-8DAE-1334A6EE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6" name="Picture 815" descr="https://mail.google.com/mail/u/0/images/cleardot.gif">
          <a:extLst>
            <a:ext uri="{FF2B5EF4-FFF2-40B4-BE49-F238E27FC236}">
              <a16:creationId xmlns:a16="http://schemas.microsoft.com/office/drawing/2014/main" id="{10D117ED-67BE-447E-AAB7-4BB77A60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7" name="Picture 816" descr="https://mail.google.com/mail/u/0/images/cleardot.gif">
          <a:extLst>
            <a:ext uri="{FF2B5EF4-FFF2-40B4-BE49-F238E27FC236}">
              <a16:creationId xmlns:a16="http://schemas.microsoft.com/office/drawing/2014/main" id="{00BADD86-3B6B-4194-B9DD-4F017146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8" name="Picture 817" descr="https://mail.google.com/mail/u/0/images/cleardot.gif">
          <a:extLst>
            <a:ext uri="{FF2B5EF4-FFF2-40B4-BE49-F238E27FC236}">
              <a16:creationId xmlns:a16="http://schemas.microsoft.com/office/drawing/2014/main" id="{65869D11-F729-4C95-8D65-301B33DF8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19" name="Picture 818" descr="https://mail.google.com/mail/u/0/images/cleardot.gif">
          <a:extLst>
            <a:ext uri="{FF2B5EF4-FFF2-40B4-BE49-F238E27FC236}">
              <a16:creationId xmlns:a16="http://schemas.microsoft.com/office/drawing/2014/main" id="{2E74C927-1070-4E86-B632-FFC7110D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0" name="Picture 819" descr="https://mail.google.com/mail/u/0/images/cleardot.gif">
          <a:extLst>
            <a:ext uri="{FF2B5EF4-FFF2-40B4-BE49-F238E27FC236}">
              <a16:creationId xmlns:a16="http://schemas.microsoft.com/office/drawing/2014/main" id="{C6E6EDC4-7E16-4CC6-90A8-FDF92CC51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1" name="Picture 820" descr="https://mail.google.com/mail/u/0/images/cleardot.gif">
          <a:extLst>
            <a:ext uri="{FF2B5EF4-FFF2-40B4-BE49-F238E27FC236}">
              <a16:creationId xmlns:a16="http://schemas.microsoft.com/office/drawing/2014/main" id="{FD87F7D3-50B1-4F8F-AF7B-9AE589C0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2" name="Picture 821" descr="https://mail.google.com/mail/u/0/images/cleardot.gif">
          <a:extLst>
            <a:ext uri="{FF2B5EF4-FFF2-40B4-BE49-F238E27FC236}">
              <a16:creationId xmlns:a16="http://schemas.microsoft.com/office/drawing/2014/main" id="{CFE6479E-5E3E-469C-8825-CAF5252D3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3" name="Picture 822" descr="https://mail.google.com/mail/u/0/images/cleardot.gif">
          <a:extLst>
            <a:ext uri="{FF2B5EF4-FFF2-40B4-BE49-F238E27FC236}">
              <a16:creationId xmlns:a16="http://schemas.microsoft.com/office/drawing/2014/main" id="{C05135C0-AC64-49C4-A134-68C7E0F29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4" name="Picture 823" descr="https://mail.google.com/mail/u/0/images/cleardot.gif">
          <a:extLst>
            <a:ext uri="{FF2B5EF4-FFF2-40B4-BE49-F238E27FC236}">
              <a16:creationId xmlns:a16="http://schemas.microsoft.com/office/drawing/2014/main" id="{7207B8A9-735D-4F48-887E-A9A15B90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5" name="Picture 824" descr="https://mail.google.com/mail/u/0/images/cleardot.gif">
          <a:extLst>
            <a:ext uri="{FF2B5EF4-FFF2-40B4-BE49-F238E27FC236}">
              <a16:creationId xmlns:a16="http://schemas.microsoft.com/office/drawing/2014/main" id="{EEF8197F-7AF8-499C-A74A-06444FA23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6" name="Picture 825" descr="https://mail.google.com/mail/u/0/images/cleardot.gif">
          <a:extLst>
            <a:ext uri="{FF2B5EF4-FFF2-40B4-BE49-F238E27FC236}">
              <a16:creationId xmlns:a16="http://schemas.microsoft.com/office/drawing/2014/main" id="{E449BCB5-73D9-4701-BC3D-A39B0EA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7" name="Picture 826" descr="https://mail.google.com/mail/u/0/images/cleardot.gif">
          <a:extLst>
            <a:ext uri="{FF2B5EF4-FFF2-40B4-BE49-F238E27FC236}">
              <a16:creationId xmlns:a16="http://schemas.microsoft.com/office/drawing/2014/main" id="{496DF05C-C905-46FE-AF5B-70BEE1E7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8" name="Picture 827" descr="https://mail.google.com/mail/u/0/images/cleardot.gif">
          <a:extLst>
            <a:ext uri="{FF2B5EF4-FFF2-40B4-BE49-F238E27FC236}">
              <a16:creationId xmlns:a16="http://schemas.microsoft.com/office/drawing/2014/main" id="{09E29E02-3F43-4BEE-BF24-17647DEF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29" name="Picture 828" descr="https://mail.google.com/mail/u/0/images/cleardot.gif">
          <a:extLst>
            <a:ext uri="{FF2B5EF4-FFF2-40B4-BE49-F238E27FC236}">
              <a16:creationId xmlns:a16="http://schemas.microsoft.com/office/drawing/2014/main" id="{F8602084-FB41-4E8C-B39D-B31D6309E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0" name="Picture 829" descr="https://mail.google.com/mail/u/0/images/cleardot.gif">
          <a:extLst>
            <a:ext uri="{FF2B5EF4-FFF2-40B4-BE49-F238E27FC236}">
              <a16:creationId xmlns:a16="http://schemas.microsoft.com/office/drawing/2014/main" id="{F52E18D0-6FF1-4416-95FF-C109241E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1" name="Picture 830" descr="https://mail.google.com/mail/u/0/images/cleardot.gif">
          <a:extLst>
            <a:ext uri="{FF2B5EF4-FFF2-40B4-BE49-F238E27FC236}">
              <a16:creationId xmlns:a16="http://schemas.microsoft.com/office/drawing/2014/main" id="{2BE376D1-76B6-441F-9E4D-E2545EC2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2" name="Picture 831" descr="https://mail.google.com/mail/u/0/images/cleardot.gif">
          <a:extLst>
            <a:ext uri="{FF2B5EF4-FFF2-40B4-BE49-F238E27FC236}">
              <a16:creationId xmlns:a16="http://schemas.microsoft.com/office/drawing/2014/main" id="{983ACA62-B601-4854-BFCE-AF27B6255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3" name="Picture 832" descr="https://mail.google.com/mail/u/0/images/cleardot.gif">
          <a:extLst>
            <a:ext uri="{FF2B5EF4-FFF2-40B4-BE49-F238E27FC236}">
              <a16:creationId xmlns:a16="http://schemas.microsoft.com/office/drawing/2014/main" id="{3A72C6B3-3245-4492-AE33-07B7D71E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4" name="Picture 833" descr="https://mail.google.com/mail/u/0/images/cleardot.gif">
          <a:extLst>
            <a:ext uri="{FF2B5EF4-FFF2-40B4-BE49-F238E27FC236}">
              <a16:creationId xmlns:a16="http://schemas.microsoft.com/office/drawing/2014/main" id="{C819C0B8-8CB2-41B4-9CE4-6FE02D41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5" name="Picture 834" descr="https://mail.google.com/mail/u/0/images/cleardot.gif">
          <a:extLst>
            <a:ext uri="{FF2B5EF4-FFF2-40B4-BE49-F238E27FC236}">
              <a16:creationId xmlns:a16="http://schemas.microsoft.com/office/drawing/2014/main" id="{B8FC2053-A3D8-48AD-99A6-0BD2A924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6" name="Picture 835" descr="https://mail.google.com/mail/u/0/images/cleardot.gif">
          <a:extLst>
            <a:ext uri="{FF2B5EF4-FFF2-40B4-BE49-F238E27FC236}">
              <a16:creationId xmlns:a16="http://schemas.microsoft.com/office/drawing/2014/main" id="{8EBC6922-0F1C-4A1A-852E-58EEBC412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7" name="Picture 836" descr="https://mail.google.com/mail/u/0/images/cleardot.gif">
          <a:extLst>
            <a:ext uri="{FF2B5EF4-FFF2-40B4-BE49-F238E27FC236}">
              <a16:creationId xmlns:a16="http://schemas.microsoft.com/office/drawing/2014/main" id="{D0D7E0E3-C3CD-4E1C-B507-F7C6F5624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8" name="Picture 837" descr="https://mail.google.com/mail/u/0/images/cleardot.gif">
          <a:extLst>
            <a:ext uri="{FF2B5EF4-FFF2-40B4-BE49-F238E27FC236}">
              <a16:creationId xmlns:a16="http://schemas.microsoft.com/office/drawing/2014/main" id="{904E5946-4782-4A73-AF25-D186D35DF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39" name="Picture 838" descr="https://mail.google.com/mail/u/0/images/cleardot.gif">
          <a:extLst>
            <a:ext uri="{FF2B5EF4-FFF2-40B4-BE49-F238E27FC236}">
              <a16:creationId xmlns:a16="http://schemas.microsoft.com/office/drawing/2014/main" id="{B7AE578C-222E-4D0A-AC47-8770B1E49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0" name="Picture 839" descr="https://mail.google.com/mail/u/0/images/cleardot.gif">
          <a:extLst>
            <a:ext uri="{FF2B5EF4-FFF2-40B4-BE49-F238E27FC236}">
              <a16:creationId xmlns:a16="http://schemas.microsoft.com/office/drawing/2014/main" id="{6E99A8E9-19E6-48D2-8752-9DE975A3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1" name="Picture 840" descr="https://mail.google.com/mail/u/0/images/cleardot.gif">
          <a:extLst>
            <a:ext uri="{FF2B5EF4-FFF2-40B4-BE49-F238E27FC236}">
              <a16:creationId xmlns:a16="http://schemas.microsoft.com/office/drawing/2014/main" id="{F40BEE32-4A12-4EAA-AF74-3C3E7A9BA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62007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2" name="Picture 841" descr="https://mail.google.com/mail/u/0/images/cleardot.gif">
          <a:extLst>
            <a:ext uri="{FF2B5EF4-FFF2-40B4-BE49-F238E27FC236}">
              <a16:creationId xmlns:a16="http://schemas.microsoft.com/office/drawing/2014/main" id="{C0BF5DE7-DF4C-44AA-9281-90AA27427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3" name="Picture 842" descr="https://mail.google.com/mail/u/0/images/cleardot.gif">
          <a:extLst>
            <a:ext uri="{FF2B5EF4-FFF2-40B4-BE49-F238E27FC236}">
              <a16:creationId xmlns:a16="http://schemas.microsoft.com/office/drawing/2014/main" id="{7F5F55A3-E90C-4551-8E4B-E3F77CDC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4" name="Picture 843" descr="https://mail.google.com/mail/u/0/images/cleardot.gif">
          <a:extLst>
            <a:ext uri="{FF2B5EF4-FFF2-40B4-BE49-F238E27FC236}">
              <a16:creationId xmlns:a16="http://schemas.microsoft.com/office/drawing/2014/main" id="{80E1AE55-E89D-4A7D-B6A4-22BFE915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5" name="Picture 844" descr="https://mail.google.com/mail/u/0/images/cleardot.gif">
          <a:extLst>
            <a:ext uri="{FF2B5EF4-FFF2-40B4-BE49-F238E27FC236}">
              <a16:creationId xmlns:a16="http://schemas.microsoft.com/office/drawing/2014/main" id="{EECA74C2-8F2C-450D-A331-A7F9578F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6" name="Picture 845" descr="https://mail.google.com/mail/u/0/images/cleardot.gif">
          <a:extLst>
            <a:ext uri="{FF2B5EF4-FFF2-40B4-BE49-F238E27FC236}">
              <a16:creationId xmlns:a16="http://schemas.microsoft.com/office/drawing/2014/main" id="{64CED567-AA60-4979-A99E-8924D43B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7" name="Picture 846" descr="https://mail.google.com/mail/u/0/images/cleardot.gif">
          <a:extLst>
            <a:ext uri="{FF2B5EF4-FFF2-40B4-BE49-F238E27FC236}">
              <a16:creationId xmlns:a16="http://schemas.microsoft.com/office/drawing/2014/main" id="{299785F5-1698-498F-A39B-BFEA6CB7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8" name="Picture 847" descr="https://mail.google.com/mail/u/0/images/cleardot.gif">
          <a:extLst>
            <a:ext uri="{FF2B5EF4-FFF2-40B4-BE49-F238E27FC236}">
              <a16:creationId xmlns:a16="http://schemas.microsoft.com/office/drawing/2014/main" id="{CF2A6641-A2BD-43F3-97F1-43DEBCDB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49" name="Picture 848" descr="https://mail.google.com/mail/u/0/images/cleardot.gif">
          <a:extLst>
            <a:ext uri="{FF2B5EF4-FFF2-40B4-BE49-F238E27FC236}">
              <a16:creationId xmlns:a16="http://schemas.microsoft.com/office/drawing/2014/main" id="{F21EE35E-A5DE-4CA7-8A19-081742CA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0" name="Picture 849" descr="https://mail.google.com/mail/u/0/images/cleardot.gif">
          <a:extLst>
            <a:ext uri="{FF2B5EF4-FFF2-40B4-BE49-F238E27FC236}">
              <a16:creationId xmlns:a16="http://schemas.microsoft.com/office/drawing/2014/main" id="{1167D6BE-A171-48B4-9E93-9E9090C8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1" name="Picture 850" descr="https://mail.google.com/mail/u/0/images/cleardot.gif">
          <a:extLst>
            <a:ext uri="{FF2B5EF4-FFF2-40B4-BE49-F238E27FC236}">
              <a16:creationId xmlns:a16="http://schemas.microsoft.com/office/drawing/2014/main" id="{276EE8D1-266E-46E5-8974-1C8CC231F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2" name="Picture 851" descr="https://mail.google.com/mail/u/0/images/cleardot.gif">
          <a:extLst>
            <a:ext uri="{FF2B5EF4-FFF2-40B4-BE49-F238E27FC236}">
              <a16:creationId xmlns:a16="http://schemas.microsoft.com/office/drawing/2014/main" id="{6BA13ADF-FF48-44F0-AA96-DAEAD7F3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3" name="Picture 852" descr="https://mail.google.com/mail/u/0/images/cleardot.gif">
          <a:extLst>
            <a:ext uri="{FF2B5EF4-FFF2-40B4-BE49-F238E27FC236}">
              <a16:creationId xmlns:a16="http://schemas.microsoft.com/office/drawing/2014/main" id="{0B0A6BBF-C7B9-4420-8C6C-62619C29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4" name="Picture 853" descr="https://mail.google.com/mail/u/0/images/cleardot.gif">
          <a:extLst>
            <a:ext uri="{FF2B5EF4-FFF2-40B4-BE49-F238E27FC236}">
              <a16:creationId xmlns:a16="http://schemas.microsoft.com/office/drawing/2014/main" id="{235CFCAB-B4EC-4A0C-AA76-2B192F9E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5" name="Picture 854" descr="https://mail.google.com/mail/u/0/images/cleardot.gif">
          <a:extLst>
            <a:ext uri="{FF2B5EF4-FFF2-40B4-BE49-F238E27FC236}">
              <a16:creationId xmlns:a16="http://schemas.microsoft.com/office/drawing/2014/main" id="{EFEECBF5-F4CB-4B39-9783-60EB10F1B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6" name="Picture 855" descr="https://mail.google.com/mail/u/0/images/cleardot.gif">
          <a:extLst>
            <a:ext uri="{FF2B5EF4-FFF2-40B4-BE49-F238E27FC236}">
              <a16:creationId xmlns:a16="http://schemas.microsoft.com/office/drawing/2014/main" id="{C5C81266-DB4B-4CDB-8F98-CA4DD5210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7" name="Picture 856" descr="https://mail.google.com/mail/u/0/images/cleardot.gif">
          <a:extLst>
            <a:ext uri="{FF2B5EF4-FFF2-40B4-BE49-F238E27FC236}">
              <a16:creationId xmlns:a16="http://schemas.microsoft.com/office/drawing/2014/main" id="{2622C24E-1FE0-4B30-BE77-C9EC46BE9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8" name="Picture 857" descr="https://mail.google.com/mail/u/0/images/cleardot.gif">
          <a:extLst>
            <a:ext uri="{FF2B5EF4-FFF2-40B4-BE49-F238E27FC236}">
              <a16:creationId xmlns:a16="http://schemas.microsoft.com/office/drawing/2014/main" id="{201F2B0D-23B4-4665-8E53-4D282524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59" name="Picture 858" descr="https://mail.google.com/mail/u/0/images/cleardot.gif">
          <a:extLst>
            <a:ext uri="{FF2B5EF4-FFF2-40B4-BE49-F238E27FC236}">
              <a16:creationId xmlns:a16="http://schemas.microsoft.com/office/drawing/2014/main" id="{622F02DE-332F-466C-8A2E-E56698EF0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0" name="Picture 859" descr="https://mail.google.com/mail/u/0/images/cleardot.gif">
          <a:extLst>
            <a:ext uri="{FF2B5EF4-FFF2-40B4-BE49-F238E27FC236}">
              <a16:creationId xmlns:a16="http://schemas.microsoft.com/office/drawing/2014/main" id="{EE0AE243-9EB9-4FAC-B44B-B2576FFD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1" name="Picture 860" descr="https://mail.google.com/mail/u/0/images/cleardot.gif">
          <a:extLst>
            <a:ext uri="{FF2B5EF4-FFF2-40B4-BE49-F238E27FC236}">
              <a16:creationId xmlns:a16="http://schemas.microsoft.com/office/drawing/2014/main" id="{BA2BA65C-50A3-4E74-B0B6-0FA1326A3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2" name="Picture 861" descr="https://mail.google.com/mail/u/0/images/cleardot.gif">
          <a:extLst>
            <a:ext uri="{FF2B5EF4-FFF2-40B4-BE49-F238E27FC236}">
              <a16:creationId xmlns:a16="http://schemas.microsoft.com/office/drawing/2014/main" id="{B6948FD2-45B0-4015-89FC-C33B7A62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3" name="Picture 862" descr="https://mail.google.com/mail/u/0/images/cleardot.gif">
          <a:extLst>
            <a:ext uri="{FF2B5EF4-FFF2-40B4-BE49-F238E27FC236}">
              <a16:creationId xmlns:a16="http://schemas.microsoft.com/office/drawing/2014/main" id="{DAA170C5-85F7-4DA2-9B17-01FC48C7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4" name="Picture 863" descr="https://mail.google.com/mail/u/0/images/cleardot.gif">
          <a:extLst>
            <a:ext uri="{FF2B5EF4-FFF2-40B4-BE49-F238E27FC236}">
              <a16:creationId xmlns:a16="http://schemas.microsoft.com/office/drawing/2014/main" id="{63AB544B-5F77-444F-B2F7-E1011D157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5" name="Picture 864" descr="https://mail.google.com/mail/u/0/images/cleardot.gif">
          <a:extLst>
            <a:ext uri="{FF2B5EF4-FFF2-40B4-BE49-F238E27FC236}">
              <a16:creationId xmlns:a16="http://schemas.microsoft.com/office/drawing/2014/main" id="{E0A1132A-D568-488D-872C-8DC73007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6" name="Picture 865" descr="https://mail.google.com/mail/u/0/images/cleardot.gif">
          <a:extLst>
            <a:ext uri="{FF2B5EF4-FFF2-40B4-BE49-F238E27FC236}">
              <a16:creationId xmlns:a16="http://schemas.microsoft.com/office/drawing/2014/main" id="{09E8E90A-8465-4906-93BE-BBFB607BA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7" name="Picture 866" descr="https://mail.google.com/mail/u/0/images/cleardot.gif">
          <a:extLst>
            <a:ext uri="{FF2B5EF4-FFF2-40B4-BE49-F238E27FC236}">
              <a16:creationId xmlns:a16="http://schemas.microsoft.com/office/drawing/2014/main" id="{7ED2F088-7AAB-4FA4-929F-AE96917A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8" name="Picture 867" descr="https://mail.google.com/mail/u/0/images/cleardot.gif">
          <a:extLst>
            <a:ext uri="{FF2B5EF4-FFF2-40B4-BE49-F238E27FC236}">
              <a16:creationId xmlns:a16="http://schemas.microsoft.com/office/drawing/2014/main" id="{75A849EF-0890-468E-B4AD-74896D2C1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69" name="Picture 868" descr="https://mail.google.com/mail/u/0/images/cleardot.gif">
          <a:extLst>
            <a:ext uri="{FF2B5EF4-FFF2-40B4-BE49-F238E27FC236}">
              <a16:creationId xmlns:a16="http://schemas.microsoft.com/office/drawing/2014/main" id="{AC98441C-E2F2-44C9-94D3-98F21DDDE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0" name="Picture 869" descr="https://mail.google.com/mail/u/0/images/cleardot.gif">
          <a:extLst>
            <a:ext uri="{FF2B5EF4-FFF2-40B4-BE49-F238E27FC236}">
              <a16:creationId xmlns:a16="http://schemas.microsoft.com/office/drawing/2014/main" id="{9A131E11-F036-4928-A068-12922A24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1" name="Picture 870" descr="https://mail.google.com/mail/u/0/images/cleardot.gif">
          <a:extLst>
            <a:ext uri="{FF2B5EF4-FFF2-40B4-BE49-F238E27FC236}">
              <a16:creationId xmlns:a16="http://schemas.microsoft.com/office/drawing/2014/main" id="{F1F41DC0-35D2-4F92-B4E9-FE7475DE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2" name="Picture 871" descr="https://mail.google.com/mail/u/0/images/cleardot.gif">
          <a:extLst>
            <a:ext uri="{FF2B5EF4-FFF2-40B4-BE49-F238E27FC236}">
              <a16:creationId xmlns:a16="http://schemas.microsoft.com/office/drawing/2014/main" id="{4AFF3E35-43D5-4DF9-9DE4-BCDB1846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3" name="Picture 872" descr="https://mail.google.com/mail/u/0/images/cleardot.gif">
          <a:extLst>
            <a:ext uri="{FF2B5EF4-FFF2-40B4-BE49-F238E27FC236}">
              <a16:creationId xmlns:a16="http://schemas.microsoft.com/office/drawing/2014/main" id="{4D0B8721-BC6A-4C0E-AB36-033D9F54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4" name="Picture 873" descr="https://mail.google.com/mail/u/0/images/cleardot.gif">
          <a:extLst>
            <a:ext uri="{FF2B5EF4-FFF2-40B4-BE49-F238E27FC236}">
              <a16:creationId xmlns:a16="http://schemas.microsoft.com/office/drawing/2014/main" id="{FC1EFA97-B049-4847-8B7F-3EB62F6E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5" name="Picture 874" descr="https://mail.google.com/mail/u/0/images/cleardot.gif">
          <a:extLst>
            <a:ext uri="{FF2B5EF4-FFF2-40B4-BE49-F238E27FC236}">
              <a16:creationId xmlns:a16="http://schemas.microsoft.com/office/drawing/2014/main" id="{0514F373-3430-4AAD-BBC6-563C9AD3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6" name="Picture 875" descr="https://mail.google.com/mail/u/0/images/cleardot.gif">
          <a:extLst>
            <a:ext uri="{FF2B5EF4-FFF2-40B4-BE49-F238E27FC236}">
              <a16:creationId xmlns:a16="http://schemas.microsoft.com/office/drawing/2014/main" id="{25D9C80F-B219-4989-BD4B-0BFB07535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7" name="Picture 876" descr="https://mail.google.com/mail/u/0/images/cleardot.gif">
          <a:extLst>
            <a:ext uri="{FF2B5EF4-FFF2-40B4-BE49-F238E27FC236}">
              <a16:creationId xmlns:a16="http://schemas.microsoft.com/office/drawing/2014/main" id="{AECAB439-B982-4C8D-ADD3-F47A4ABA5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8" name="Picture 877" descr="https://mail.google.com/mail/u/0/images/cleardot.gif">
          <a:extLst>
            <a:ext uri="{FF2B5EF4-FFF2-40B4-BE49-F238E27FC236}">
              <a16:creationId xmlns:a16="http://schemas.microsoft.com/office/drawing/2014/main" id="{C4B922AA-F5BD-4465-B4C2-3BC8C2D7A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79" name="Picture 878" descr="https://mail.google.com/mail/u/0/images/cleardot.gif">
          <a:extLst>
            <a:ext uri="{FF2B5EF4-FFF2-40B4-BE49-F238E27FC236}">
              <a16:creationId xmlns:a16="http://schemas.microsoft.com/office/drawing/2014/main" id="{F91312B9-5CAE-450D-BC40-F24CBA91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0" name="Picture 879" descr="https://mail.google.com/mail/u/0/images/cleardot.gif">
          <a:extLst>
            <a:ext uri="{FF2B5EF4-FFF2-40B4-BE49-F238E27FC236}">
              <a16:creationId xmlns:a16="http://schemas.microsoft.com/office/drawing/2014/main" id="{38E6C801-0E41-4E48-B922-44523243E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1" name="Picture 880" descr="https://mail.google.com/mail/u/0/images/cleardot.gif">
          <a:extLst>
            <a:ext uri="{FF2B5EF4-FFF2-40B4-BE49-F238E27FC236}">
              <a16:creationId xmlns:a16="http://schemas.microsoft.com/office/drawing/2014/main" id="{19609DFD-D6FC-41A6-9309-D3FC13FE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2" name="Picture 881" descr="https://mail.google.com/mail/u/0/images/cleardot.gif">
          <a:extLst>
            <a:ext uri="{FF2B5EF4-FFF2-40B4-BE49-F238E27FC236}">
              <a16:creationId xmlns:a16="http://schemas.microsoft.com/office/drawing/2014/main" id="{57C17063-2819-4CB6-BD4D-189E86D6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3" name="Picture 882" descr="https://mail.google.com/mail/u/0/images/cleardot.gif">
          <a:extLst>
            <a:ext uri="{FF2B5EF4-FFF2-40B4-BE49-F238E27FC236}">
              <a16:creationId xmlns:a16="http://schemas.microsoft.com/office/drawing/2014/main" id="{7629DAE1-4255-434C-8C84-735081BD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4" name="Picture 883" descr="https://mail.google.com/mail/u/0/images/cleardot.gif">
          <a:extLst>
            <a:ext uri="{FF2B5EF4-FFF2-40B4-BE49-F238E27FC236}">
              <a16:creationId xmlns:a16="http://schemas.microsoft.com/office/drawing/2014/main" id="{740C2161-DB1D-41E2-AB20-6CCDD9F01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5" name="Picture 884" descr="https://mail.google.com/mail/u/0/images/cleardot.gif">
          <a:extLst>
            <a:ext uri="{FF2B5EF4-FFF2-40B4-BE49-F238E27FC236}">
              <a16:creationId xmlns:a16="http://schemas.microsoft.com/office/drawing/2014/main" id="{C3A74BF0-185B-4C02-A970-3EE237B7A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6" name="Picture 885" descr="https://mail.google.com/mail/u/0/images/cleardot.gif">
          <a:extLst>
            <a:ext uri="{FF2B5EF4-FFF2-40B4-BE49-F238E27FC236}">
              <a16:creationId xmlns:a16="http://schemas.microsoft.com/office/drawing/2014/main" id="{5D2264A3-4F65-42B2-BD03-490C53021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7" name="Picture 886" descr="https://mail.google.com/mail/u/0/images/cleardot.gif">
          <a:extLst>
            <a:ext uri="{FF2B5EF4-FFF2-40B4-BE49-F238E27FC236}">
              <a16:creationId xmlns:a16="http://schemas.microsoft.com/office/drawing/2014/main" id="{ADDEFD6B-FCA6-4472-B04E-E66FA4B3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8" name="Picture 887" descr="https://mail.google.com/mail/u/0/images/cleardot.gif">
          <a:extLst>
            <a:ext uri="{FF2B5EF4-FFF2-40B4-BE49-F238E27FC236}">
              <a16:creationId xmlns:a16="http://schemas.microsoft.com/office/drawing/2014/main" id="{4087D517-F6F4-48F2-858D-A3B646A4F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89" name="Picture 888" descr="https://mail.google.com/mail/u/0/images/cleardot.gif">
          <a:extLst>
            <a:ext uri="{FF2B5EF4-FFF2-40B4-BE49-F238E27FC236}">
              <a16:creationId xmlns:a16="http://schemas.microsoft.com/office/drawing/2014/main" id="{9EE34402-C143-40FA-8BE2-5AB7F83D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0" name="Picture 889" descr="https://mail.google.com/mail/u/0/images/cleardot.gif">
          <a:extLst>
            <a:ext uri="{FF2B5EF4-FFF2-40B4-BE49-F238E27FC236}">
              <a16:creationId xmlns:a16="http://schemas.microsoft.com/office/drawing/2014/main" id="{CE9C6D6F-994B-4120-AB76-6D2C9398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1" name="Picture 890" descr="https://mail.google.com/mail/u/0/images/cleardot.gif">
          <a:extLst>
            <a:ext uri="{FF2B5EF4-FFF2-40B4-BE49-F238E27FC236}">
              <a16:creationId xmlns:a16="http://schemas.microsoft.com/office/drawing/2014/main" id="{EA2C6405-E303-4F7B-9EBB-FE696818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2" name="Picture 891" descr="https://mail.google.com/mail/u/0/images/cleardot.gif">
          <a:extLst>
            <a:ext uri="{FF2B5EF4-FFF2-40B4-BE49-F238E27FC236}">
              <a16:creationId xmlns:a16="http://schemas.microsoft.com/office/drawing/2014/main" id="{048D0176-3B9A-40E6-865B-48D48D665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3" name="Picture 892" descr="https://mail.google.com/mail/u/0/images/cleardot.gif">
          <a:extLst>
            <a:ext uri="{FF2B5EF4-FFF2-40B4-BE49-F238E27FC236}">
              <a16:creationId xmlns:a16="http://schemas.microsoft.com/office/drawing/2014/main" id="{1401DE1A-10B9-40DC-A87E-846BA766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4" name="Picture 893" descr="https://mail.google.com/mail/u/0/images/cleardot.gif">
          <a:extLst>
            <a:ext uri="{FF2B5EF4-FFF2-40B4-BE49-F238E27FC236}">
              <a16:creationId xmlns:a16="http://schemas.microsoft.com/office/drawing/2014/main" id="{CAFAAB07-C2FB-42A6-AB03-785F8676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5" name="Picture 894" descr="https://mail.google.com/mail/u/0/images/cleardot.gif">
          <a:extLst>
            <a:ext uri="{FF2B5EF4-FFF2-40B4-BE49-F238E27FC236}">
              <a16:creationId xmlns:a16="http://schemas.microsoft.com/office/drawing/2014/main" id="{F242AA70-AD06-40FD-BD09-FD51E481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6" name="Picture 895" descr="https://mail.google.com/mail/u/0/images/cleardot.gif">
          <a:extLst>
            <a:ext uri="{FF2B5EF4-FFF2-40B4-BE49-F238E27FC236}">
              <a16:creationId xmlns:a16="http://schemas.microsoft.com/office/drawing/2014/main" id="{A3D10A2E-B16A-4D10-92C6-B8219C00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7" name="Picture 896" descr="https://mail.google.com/mail/u/0/images/cleardot.gif">
          <a:extLst>
            <a:ext uri="{FF2B5EF4-FFF2-40B4-BE49-F238E27FC236}">
              <a16:creationId xmlns:a16="http://schemas.microsoft.com/office/drawing/2014/main" id="{4D31945E-1341-4BAC-927C-C52B5D4E0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8" name="Picture 897" descr="https://mail.google.com/mail/u/0/images/cleardot.gif">
          <a:extLst>
            <a:ext uri="{FF2B5EF4-FFF2-40B4-BE49-F238E27FC236}">
              <a16:creationId xmlns:a16="http://schemas.microsoft.com/office/drawing/2014/main" id="{ACC80989-64B1-4300-9155-E56A2357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899" name="Picture 898" descr="https://mail.google.com/mail/u/0/images/cleardot.gif">
          <a:extLst>
            <a:ext uri="{FF2B5EF4-FFF2-40B4-BE49-F238E27FC236}">
              <a16:creationId xmlns:a16="http://schemas.microsoft.com/office/drawing/2014/main" id="{23BDCB2C-FE4E-46F5-80A2-43CFC4450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0" name="Picture 899" descr="https://mail.google.com/mail/u/0/images/cleardot.gif">
          <a:extLst>
            <a:ext uri="{FF2B5EF4-FFF2-40B4-BE49-F238E27FC236}">
              <a16:creationId xmlns:a16="http://schemas.microsoft.com/office/drawing/2014/main" id="{4E378766-B850-46C8-88E3-EFD9F70E7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1" name="Picture 900" descr="https://mail.google.com/mail/u/0/images/cleardot.gif">
          <a:extLst>
            <a:ext uri="{FF2B5EF4-FFF2-40B4-BE49-F238E27FC236}">
              <a16:creationId xmlns:a16="http://schemas.microsoft.com/office/drawing/2014/main" id="{9ABCCE4D-2B37-4DF5-BBF9-8784C6F7B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2" name="Picture 901" descr="https://mail.google.com/mail/u/0/images/cleardot.gif">
          <a:extLst>
            <a:ext uri="{FF2B5EF4-FFF2-40B4-BE49-F238E27FC236}">
              <a16:creationId xmlns:a16="http://schemas.microsoft.com/office/drawing/2014/main" id="{1992825A-C0DD-49BE-AF97-F61DA916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3" name="Picture 902" descr="https://mail.google.com/mail/u/0/images/cleardot.gif">
          <a:extLst>
            <a:ext uri="{FF2B5EF4-FFF2-40B4-BE49-F238E27FC236}">
              <a16:creationId xmlns:a16="http://schemas.microsoft.com/office/drawing/2014/main" id="{8D1C572C-DD1C-41F9-8DAF-FA07D806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4" name="Picture 903" descr="https://mail.google.com/mail/u/0/images/cleardot.gif">
          <a:extLst>
            <a:ext uri="{FF2B5EF4-FFF2-40B4-BE49-F238E27FC236}">
              <a16:creationId xmlns:a16="http://schemas.microsoft.com/office/drawing/2014/main" id="{9642FEB8-9F6C-495C-980C-030DA361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5" name="Picture 904" descr="https://mail.google.com/mail/u/0/images/cleardot.gif">
          <a:extLst>
            <a:ext uri="{FF2B5EF4-FFF2-40B4-BE49-F238E27FC236}">
              <a16:creationId xmlns:a16="http://schemas.microsoft.com/office/drawing/2014/main" id="{54ECA9FA-7D3E-4E39-BFCB-52DC648AC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6" name="Picture 905" descr="https://mail.google.com/mail/u/0/images/cleardot.gif">
          <a:extLst>
            <a:ext uri="{FF2B5EF4-FFF2-40B4-BE49-F238E27FC236}">
              <a16:creationId xmlns:a16="http://schemas.microsoft.com/office/drawing/2014/main" id="{DE5FA06E-DA11-472E-97D4-BAC924532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7" name="Picture 906" descr="https://mail.google.com/mail/u/0/images/cleardot.gif">
          <a:extLst>
            <a:ext uri="{FF2B5EF4-FFF2-40B4-BE49-F238E27FC236}">
              <a16:creationId xmlns:a16="http://schemas.microsoft.com/office/drawing/2014/main" id="{7178922F-4041-499D-8228-EA27F318D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8" name="Picture 907" descr="https://mail.google.com/mail/u/0/images/cleardot.gif">
          <a:extLst>
            <a:ext uri="{FF2B5EF4-FFF2-40B4-BE49-F238E27FC236}">
              <a16:creationId xmlns:a16="http://schemas.microsoft.com/office/drawing/2014/main" id="{D292B885-FED3-49A0-8BD5-433BEACC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09" name="Picture 908" descr="https://mail.google.com/mail/u/0/images/cleardot.gif">
          <a:extLst>
            <a:ext uri="{FF2B5EF4-FFF2-40B4-BE49-F238E27FC236}">
              <a16:creationId xmlns:a16="http://schemas.microsoft.com/office/drawing/2014/main" id="{8C93AAEE-8A31-4C41-9BC2-CAFD4EDCE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0" name="Picture 909" descr="https://mail.google.com/mail/u/0/images/cleardot.gif">
          <a:extLst>
            <a:ext uri="{FF2B5EF4-FFF2-40B4-BE49-F238E27FC236}">
              <a16:creationId xmlns:a16="http://schemas.microsoft.com/office/drawing/2014/main" id="{9E69890F-3EC4-455F-8C9B-16ED7E779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1" name="Picture 910" descr="https://mail.google.com/mail/u/0/images/cleardot.gif">
          <a:extLst>
            <a:ext uri="{FF2B5EF4-FFF2-40B4-BE49-F238E27FC236}">
              <a16:creationId xmlns:a16="http://schemas.microsoft.com/office/drawing/2014/main" id="{7CD5B6BE-7538-4BFD-A5C2-E6AE511A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2" name="Picture 911" descr="https://mail.google.com/mail/u/0/images/cleardot.gif">
          <a:extLst>
            <a:ext uri="{FF2B5EF4-FFF2-40B4-BE49-F238E27FC236}">
              <a16:creationId xmlns:a16="http://schemas.microsoft.com/office/drawing/2014/main" id="{72250847-6099-45B5-B324-64ED03771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3" name="Picture 912" descr="https://mail.google.com/mail/u/0/images/cleardot.gif">
          <a:extLst>
            <a:ext uri="{FF2B5EF4-FFF2-40B4-BE49-F238E27FC236}">
              <a16:creationId xmlns:a16="http://schemas.microsoft.com/office/drawing/2014/main" id="{3392DCED-21B1-4508-B3AD-7B1E98A7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4" name="Picture 913" descr="https://mail.google.com/mail/u/0/images/cleardot.gif">
          <a:extLst>
            <a:ext uri="{FF2B5EF4-FFF2-40B4-BE49-F238E27FC236}">
              <a16:creationId xmlns:a16="http://schemas.microsoft.com/office/drawing/2014/main" id="{2DD7F55B-C538-4953-95F5-A8E725A0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5" name="Picture 914" descr="https://mail.google.com/mail/u/0/images/cleardot.gif">
          <a:extLst>
            <a:ext uri="{FF2B5EF4-FFF2-40B4-BE49-F238E27FC236}">
              <a16:creationId xmlns:a16="http://schemas.microsoft.com/office/drawing/2014/main" id="{8EFC6C99-8D1E-4115-A77B-150769E3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6" name="Picture 915" descr="https://mail.google.com/mail/u/0/images/cleardot.gif">
          <a:extLst>
            <a:ext uri="{FF2B5EF4-FFF2-40B4-BE49-F238E27FC236}">
              <a16:creationId xmlns:a16="http://schemas.microsoft.com/office/drawing/2014/main" id="{A6EB926E-2F10-47A5-9F79-396F22DCC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7" name="Picture 916" descr="https://mail.google.com/mail/u/0/images/cleardot.gif">
          <a:extLst>
            <a:ext uri="{FF2B5EF4-FFF2-40B4-BE49-F238E27FC236}">
              <a16:creationId xmlns:a16="http://schemas.microsoft.com/office/drawing/2014/main" id="{15FB7C5D-3FE1-4BDF-906F-7ED832BC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8" name="Picture 917" descr="https://mail.google.com/mail/u/0/images/cleardot.gif">
          <a:extLst>
            <a:ext uri="{FF2B5EF4-FFF2-40B4-BE49-F238E27FC236}">
              <a16:creationId xmlns:a16="http://schemas.microsoft.com/office/drawing/2014/main" id="{C4072A42-B227-4A9F-8B67-D8B47E98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19" name="Picture 918" descr="https://mail.google.com/mail/u/0/images/cleardot.gif">
          <a:extLst>
            <a:ext uri="{FF2B5EF4-FFF2-40B4-BE49-F238E27FC236}">
              <a16:creationId xmlns:a16="http://schemas.microsoft.com/office/drawing/2014/main" id="{E27F76AE-5A48-48DF-8B8E-52DE9D17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0" name="Picture 919" descr="https://mail.google.com/mail/u/0/images/cleardot.gif">
          <a:extLst>
            <a:ext uri="{FF2B5EF4-FFF2-40B4-BE49-F238E27FC236}">
              <a16:creationId xmlns:a16="http://schemas.microsoft.com/office/drawing/2014/main" id="{4BD3B0B9-9AAB-400A-9616-2D64A0B7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1" name="Picture 920" descr="https://mail.google.com/mail/u/0/images/cleardot.gif">
          <a:extLst>
            <a:ext uri="{FF2B5EF4-FFF2-40B4-BE49-F238E27FC236}">
              <a16:creationId xmlns:a16="http://schemas.microsoft.com/office/drawing/2014/main" id="{9B082156-B78C-4238-BAA2-1881E9961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2" name="Picture 921" descr="https://mail.google.com/mail/u/0/images/cleardot.gif">
          <a:extLst>
            <a:ext uri="{FF2B5EF4-FFF2-40B4-BE49-F238E27FC236}">
              <a16:creationId xmlns:a16="http://schemas.microsoft.com/office/drawing/2014/main" id="{647D9A12-3BF2-4859-823D-C6859535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3" name="Picture 922" descr="https://mail.google.com/mail/u/0/images/cleardot.gif">
          <a:extLst>
            <a:ext uri="{FF2B5EF4-FFF2-40B4-BE49-F238E27FC236}">
              <a16:creationId xmlns:a16="http://schemas.microsoft.com/office/drawing/2014/main" id="{570F590D-D2CD-4F09-B304-DC6D6C97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4" name="Picture 923" descr="https://mail.google.com/mail/u/0/images/cleardot.gif">
          <a:extLst>
            <a:ext uri="{FF2B5EF4-FFF2-40B4-BE49-F238E27FC236}">
              <a16:creationId xmlns:a16="http://schemas.microsoft.com/office/drawing/2014/main" id="{F1BBE204-AAE4-45B8-9D81-AC4FDCFA9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5" name="Picture 924" descr="https://mail.google.com/mail/u/0/images/cleardot.gif">
          <a:extLst>
            <a:ext uri="{FF2B5EF4-FFF2-40B4-BE49-F238E27FC236}">
              <a16:creationId xmlns:a16="http://schemas.microsoft.com/office/drawing/2014/main" id="{A978242F-3780-4805-928B-A1DE5437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6" name="Picture 925" descr="https://mail.google.com/mail/u/0/images/cleardot.gif">
          <a:extLst>
            <a:ext uri="{FF2B5EF4-FFF2-40B4-BE49-F238E27FC236}">
              <a16:creationId xmlns:a16="http://schemas.microsoft.com/office/drawing/2014/main" id="{B35C7083-6217-45B8-BF47-CFC9C5A4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7" name="Picture 926" descr="https://mail.google.com/mail/u/0/images/cleardot.gif">
          <a:extLst>
            <a:ext uri="{FF2B5EF4-FFF2-40B4-BE49-F238E27FC236}">
              <a16:creationId xmlns:a16="http://schemas.microsoft.com/office/drawing/2014/main" id="{B4702FD6-0B72-4AEC-A48B-ABD5397CE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8" name="Picture 927" descr="https://mail.google.com/mail/u/0/images/cleardot.gif">
          <a:extLst>
            <a:ext uri="{FF2B5EF4-FFF2-40B4-BE49-F238E27FC236}">
              <a16:creationId xmlns:a16="http://schemas.microsoft.com/office/drawing/2014/main" id="{9AF4C9A5-25DC-48D2-824A-DA7D39DF1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29" name="Picture 928" descr="https://mail.google.com/mail/u/0/images/cleardot.gif">
          <a:extLst>
            <a:ext uri="{FF2B5EF4-FFF2-40B4-BE49-F238E27FC236}">
              <a16:creationId xmlns:a16="http://schemas.microsoft.com/office/drawing/2014/main" id="{98EC3F2F-4698-4976-A1F5-85F0687B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0" name="Picture 929" descr="https://mail.google.com/mail/u/0/images/cleardot.gif">
          <a:extLst>
            <a:ext uri="{FF2B5EF4-FFF2-40B4-BE49-F238E27FC236}">
              <a16:creationId xmlns:a16="http://schemas.microsoft.com/office/drawing/2014/main" id="{FAA75C04-65F2-4FEB-B6F2-ED099305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1" name="Picture 930" descr="https://mail.google.com/mail/u/0/images/cleardot.gif">
          <a:extLst>
            <a:ext uri="{FF2B5EF4-FFF2-40B4-BE49-F238E27FC236}">
              <a16:creationId xmlns:a16="http://schemas.microsoft.com/office/drawing/2014/main" id="{27EC9FA6-93B0-41B5-8646-4D60D280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2" name="Picture 931" descr="https://mail.google.com/mail/u/0/images/cleardot.gif">
          <a:extLst>
            <a:ext uri="{FF2B5EF4-FFF2-40B4-BE49-F238E27FC236}">
              <a16:creationId xmlns:a16="http://schemas.microsoft.com/office/drawing/2014/main" id="{D555F278-46DF-48BF-A082-2D853454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3" name="Picture 932" descr="https://mail.google.com/mail/u/0/images/cleardot.gif">
          <a:extLst>
            <a:ext uri="{FF2B5EF4-FFF2-40B4-BE49-F238E27FC236}">
              <a16:creationId xmlns:a16="http://schemas.microsoft.com/office/drawing/2014/main" id="{7039E72A-3E73-4FB4-95BE-3EB071CD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4" name="Picture 933" descr="https://mail.google.com/mail/u/0/images/cleardot.gif">
          <a:extLst>
            <a:ext uri="{FF2B5EF4-FFF2-40B4-BE49-F238E27FC236}">
              <a16:creationId xmlns:a16="http://schemas.microsoft.com/office/drawing/2014/main" id="{198EA47F-AC3F-44D7-B79C-74715B1D0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5" name="Picture 934" descr="https://mail.google.com/mail/u/0/images/cleardot.gif">
          <a:extLst>
            <a:ext uri="{FF2B5EF4-FFF2-40B4-BE49-F238E27FC236}">
              <a16:creationId xmlns:a16="http://schemas.microsoft.com/office/drawing/2014/main" id="{4B99ECD0-8692-4762-B4A1-CA611F073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6" name="Picture 935" descr="https://mail.google.com/mail/u/0/images/cleardot.gif">
          <a:extLst>
            <a:ext uri="{FF2B5EF4-FFF2-40B4-BE49-F238E27FC236}">
              <a16:creationId xmlns:a16="http://schemas.microsoft.com/office/drawing/2014/main" id="{0E592833-D686-4013-99CE-14574D3B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7" name="Picture 936" descr="https://mail.google.com/mail/u/0/images/cleardot.gif">
          <a:extLst>
            <a:ext uri="{FF2B5EF4-FFF2-40B4-BE49-F238E27FC236}">
              <a16:creationId xmlns:a16="http://schemas.microsoft.com/office/drawing/2014/main" id="{F4133CA2-6382-4EB8-8B95-2F101C7A4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8" name="Picture 937" descr="https://mail.google.com/mail/u/0/images/cleardot.gif">
          <a:extLst>
            <a:ext uri="{FF2B5EF4-FFF2-40B4-BE49-F238E27FC236}">
              <a16:creationId xmlns:a16="http://schemas.microsoft.com/office/drawing/2014/main" id="{BEDFD89C-0575-46CD-B228-5A49240D6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39" name="Picture 938" descr="https://mail.google.com/mail/u/0/images/cleardot.gif">
          <a:extLst>
            <a:ext uri="{FF2B5EF4-FFF2-40B4-BE49-F238E27FC236}">
              <a16:creationId xmlns:a16="http://schemas.microsoft.com/office/drawing/2014/main" id="{DF13C838-4C01-4097-BF52-2F1E099B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0" name="Picture 939" descr="https://mail.google.com/mail/u/0/images/cleardot.gif">
          <a:extLst>
            <a:ext uri="{FF2B5EF4-FFF2-40B4-BE49-F238E27FC236}">
              <a16:creationId xmlns:a16="http://schemas.microsoft.com/office/drawing/2014/main" id="{0674A750-DC07-4134-928B-31AC24CB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1" name="Picture 940" descr="https://mail.google.com/mail/u/0/images/cleardot.gif">
          <a:extLst>
            <a:ext uri="{FF2B5EF4-FFF2-40B4-BE49-F238E27FC236}">
              <a16:creationId xmlns:a16="http://schemas.microsoft.com/office/drawing/2014/main" id="{9F44EA2B-03D9-41E6-80AC-A2BA38AB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2" name="Picture 941" descr="https://mail.google.com/mail/u/0/images/cleardot.gif">
          <a:extLst>
            <a:ext uri="{FF2B5EF4-FFF2-40B4-BE49-F238E27FC236}">
              <a16:creationId xmlns:a16="http://schemas.microsoft.com/office/drawing/2014/main" id="{94780F67-724F-4A2F-A4D0-C6B9100A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3" name="Picture 942" descr="https://mail.google.com/mail/u/0/images/cleardot.gif">
          <a:extLst>
            <a:ext uri="{FF2B5EF4-FFF2-40B4-BE49-F238E27FC236}">
              <a16:creationId xmlns:a16="http://schemas.microsoft.com/office/drawing/2014/main" id="{A391DA1D-C02E-4338-AFED-443FCFAB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4" name="Picture 943" descr="https://mail.google.com/mail/u/0/images/cleardot.gif">
          <a:extLst>
            <a:ext uri="{FF2B5EF4-FFF2-40B4-BE49-F238E27FC236}">
              <a16:creationId xmlns:a16="http://schemas.microsoft.com/office/drawing/2014/main" id="{44223191-ABDB-4F97-B157-61F1119A6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5" name="Picture 944" descr="https://mail.google.com/mail/u/0/images/cleardot.gif">
          <a:extLst>
            <a:ext uri="{FF2B5EF4-FFF2-40B4-BE49-F238E27FC236}">
              <a16:creationId xmlns:a16="http://schemas.microsoft.com/office/drawing/2014/main" id="{10E445C7-7274-411E-8EE5-711325A4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6" name="Picture 945" descr="https://mail.google.com/mail/u/0/images/cleardot.gif">
          <a:extLst>
            <a:ext uri="{FF2B5EF4-FFF2-40B4-BE49-F238E27FC236}">
              <a16:creationId xmlns:a16="http://schemas.microsoft.com/office/drawing/2014/main" id="{695F9836-8DE3-4B02-8F20-D3AA30EFA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7" name="Picture 946" descr="https://mail.google.com/mail/u/0/images/cleardot.gif">
          <a:extLst>
            <a:ext uri="{FF2B5EF4-FFF2-40B4-BE49-F238E27FC236}">
              <a16:creationId xmlns:a16="http://schemas.microsoft.com/office/drawing/2014/main" id="{39E89C78-BF34-47AE-8C85-BE07E7EE2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8" name="Picture 947" descr="https://mail.google.com/mail/u/0/images/cleardot.gif">
          <a:extLst>
            <a:ext uri="{FF2B5EF4-FFF2-40B4-BE49-F238E27FC236}">
              <a16:creationId xmlns:a16="http://schemas.microsoft.com/office/drawing/2014/main" id="{12D8B037-6086-49A9-A85E-FC8F5034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49" name="Picture 948" descr="https://mail.google.com/mail/u/0/images/cleardot.gif">
          <a:extLst>
            <a:ext uri="{FF2B5EF4-FFF2-40B4-BE49-F238E27FC236}">
              <a16:creationId xmlns:a16="http://schemas.microsoft.com/office/drawing/2014/main" id="{FCB643C7-2321-4DF4-AD81-14F42CA5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0" name="Picture 949" descr="https://mail.google.com/mail/u/0/images/cleardot.gif">
          <a:extLst>
            <a:ext uri="{FF2B5EF4-FFF2-40B4-BE49-F238E27FC236}">
              <a16:creationId xmlns:a16="http://schemas.microsoft.com/office/drawing/2014/main" id="{10B848A1-5749-4B42-8858-37629050C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1" name="Picture 950" descr="https://mail.google.com/mail/u/0/images/cleardot.gif">
          <a:extLst>
            <a:ext uri="{FF2B5EF4-FFF2-40B4-BE49-F238E27FC236}">
              <a16:creationId xmlns:a16="http://schemas.microsoft.com/office/drawing/2014/main" id="{4D794599-A82A-481E-801B-59A00523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2" name="Picture 951" descr="https://mail.google.com/mail/u/0/images/cleardot.gif">
          <a:extLst>
            <a:ext uri="{FF2B5EF4-FFF2-40B4-BE49-F238E27FC236}">
              <a16:creationId xmlns:a16="http://schemas.microsoft.com/office/drawing/2014/main" id="{98B08A42-C15E-43B2-A675-535F7E87D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3" name="Picture 952" descr="https://mail.google.com/mail/u/0/images/cleardot.gif">
          <a:extLst>
            <a:ext uri="{FF2B5EF4-FFF2-40B4-BE49-F238E27FC236}">
              <a16:creationId xmlns:a16="http://schemas.microsoft.com/office/drawing/2014/main" id="{C65B2FB8-689A-4732-94A0-7CFE4C4F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4" name="Picture 953" descr="https://mail.google.com/mail/u/0/images/cleardot.gif">
          <a:extLst>
            <a:ext uri="{FF2B5EF4-FFF2-40B4-BE49-F238E27FC236}">
              <a16:creationId xmlns:a16="http://schemas.microsoft.com/office/drawing/2014/main" id="{44B8E561-6A60-4EBC-AFB6-84D948E92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5" name="Picture 954" descr="https://mail.google.com/mail/u/0/images/cleardot.gif">
          <a:extLst>
            <a:ext uri="{FF2B5EF4-FFF2-40B4-BE49-F238E27FC236}">
              <a16:creationId xmlns:a16="http://schemas.microsoft.com/office/drawing/2014/main" id="{B0035629-61A3-4035-9220-716FFB489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6" name="Picture 955" descr="https://mail.google.com/mail/u/0/images/cleardot.gif">
          <a:extLst>
            <a:ext uri="{FF2B5EF4-FFF2-40B4-BE49-F238E27FC236}">
              <a16:creationId xmlns:a16="http://schemas.microsoft.com/office/drawing/2014/main" id="{F8F284C4-E95D-41B4-8A8C-FBED73762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7" name="Picture 956" descr="https://mail.google.com/mail/u/0/images/cleardot.gif">
          <a:extLst>
            <a:ext uri="{FF2B5EF4-FFF2-40B4-BE49-F238E27FC236}">
              <a16:creationId xmlns:a16="http://schemas.microsoft.com/office/drawing/2014/main" id="{7C797EB1-CE25-4D1C-BEB3-27F588B81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8" name="Picture 957" descr="https://mail.google.com/mail/u/0/images/cleardot.gif">
          <a:extLst>
            <a:ext uri="{FF2B5EF4-FFF2-40B4-BE49-F238E27FC236}">
              <a16:creationId xmlns:a16="http://schemas.microsoft.com/office/drawing/2014/main" id="{3DD3CBB9-5E6A-4BB9-BFB1-EB5948EDA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59" name="Picture 958" descr="https://mail.google.com/mail/u/0/images/cleardot.gif">
          <a:extLst>
            <a:ext uri="{FF2B5EF4-FFF2-40B4-BE49-F238E27FC236}">
              <a16:creationId xmlns:a16="http://schemas.microsoft.com/office/drawing/2014/main" id="{06447EC1-639C-4492-968B-CA9D3FE0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0" name="Picture 959" descr="https://mail.google.com/mail/u/0/images/cleardot.gif">
          <a:extLst>
            <a:ext uri="{FF2B5EF4-FFF2-40B4-BE49-F238E27FC236}">
              <a16:creationId xmlns:a16="http://schemas.microsoft.com/office/drawing/2014/main" id="{431728CE-825C-4780-921C-D569A0FAB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1" name="Picture 960" descr="https://mail.google.com/mail/u/0/images/cleardot.gif">
          <a:extLst>
            <a:ext uri="{FF2B5EF4-FFF2-40B4-BE49-F238E27FC236}">
              <a16:creationId xmlns:a16="http://schemas.microsoft.com/office/drawing/2014/main" id="{C1D42F18-BFEF-4EF1-8DC1-598BA5B3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2" name="Picture 961" descr="https://mail.google.com/mail/u/0/images/cleardot.gif">
          <a:extLst>
            <a:ext uri="{FF2B5EF4-FFF2-40B4-BE49-F238E27FC236}">
              <a16:creationId xmlns:a16="http://schemas.microsoft.com/office/drawing/2014/main" id="{E2FC8AC1-1C2C-4D0E-BEEC-C739DBA8B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3" name="Picture 962" descr="https://mail.google.com/mail/u/0/images/cleardot.gif">
          <a:extLst>
            <a:ext uri="{FF2B5EF4-FFF2-40B4-BE49-F238E27FC236}">
              <a16:creationId xmlns:a16="http://schemas.microsoft.com/office/drawing/2014/main" id="{A511BA65-8368-4FC3-BC13-7207B9EF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4" name="Picture 963" descr="https://mail.google.com/mail/u/0/images/cleardot.gif">
          <a:extLst>
            <a:ext uri="{FF2B5EF4-FFF2-40B4-BE49-F238E27FC236}">
              <a16:creationId xmlns:a16="http://schemas.microsoft.com/office/drawing/2014/main" id="{578D7CB2-685F-41E6-9DD8-9789034EF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5" name="Picture 964" descr="https://mail.google.com/mail/u/0/images/cleardot.gif">
          <a:extLst>
            <a:ext uri="{FF2B5EF4-FFF2-40B4-BE49-F238E27FC236}">
              <a16:creationId xmlns:a16="http://schemas.microsoft.com/office/drawing/2014/main" id="{B7AB16DA-471B-46F0-8546-F1885776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6" name="Picture 965" descr="https://mail.google.com/mail/u/0/images/cleardot.gif">
          <a:extLst>
            <a:ext uri="{FF2B5EF4-FFF2-40B4-BE49-F238E27FC236}">
              <a16:creationId xmlns:a16="http://schemas.microsoft.com/office/drawing/2014/main" id="{F9B29927-9709-400E-9044-1F7F7E13C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7" name="Picture 966" descr="https://mail.google.com/mail/u/0/images/cleardot.gif">
          <a:extLst>
            <a:ext uri="{FF2B5EF4-FFF2-40B4-BE49-F238E27FC236}">
              <a16:creationId xmlns:a16="http://schemas.microsoft.com/office/drawing/2014/main" id="{FD508FB0-E0EA-420A-8FEA-71E431232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8" name="Picture 967" descr="https://mail.google.com/mail/u/0/images/cleardot.gif">
          <a:extLst>
            <a:ext uri="{FF2B5EF4-FFF2-40B4-BE49-F238E27FC236}">
              <a16:creationId xmlns:a16="http://schemas.microsoft.com/office/drawing/2014/main" id="{8775C90C-6880-4B89-8615-898F4D1B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69" name="Picture 968" descr="https://mail.google.com/mail/u/0/images/cleardot.gif">
          <a:extLst>
            <a:ext uri="{FF2B5EF4-FFF2-40B4-BE49-F238E27FC236}">
              <a16:creationId xmlns:a16="http://schemas.microsoft.com/office/drawing/2014/main" id="{D163A24B-E294-40F1-81CB-296BD472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0" name="Picture 969" descr="https://mail.google.com/mail/u/0/images/cleardot.gif">
          <a:extLst>
            <a:ext uri="{FF2B5EF4-FFF2-40B4-BE49-F238E27FC236}">
              <a16:creationId xmlns:a16="http://schemas.microsoft.com/office/drawing/2014/main" id="{51C4B597-13E9-4D6A-BD02-DD87C8C7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1" name="Picture 970" descr="https://mail.google.com/mail/u/0/images/cleardot.gif">
          <a:extLst>
            <a:ext uri="{FF2B5EF4-FFF2-40B4-BE49-F238E27FC236}">
              <a16:creationId xmlns:a16="http://schemas.microsoft.com/office/drawing/2014/main" id="{A609C2EE-4932-43F0-8757-ECA5EE2E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2" name="Picture 971" descr="https://mail.google.com/mail/u/0/images/cleardot.gif">
          <a:extLst>
            <a:ext uri="{FF2B5EF4-FFF2-40B4-BE49-F238E27FC236}">
              <a16:creationId xmlns:a16="http://schemas.microsoft.com/office/drawing/2014/main" id="{F2E6CDCA-6FBB-46C9-B681-405C4366A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3" name="Picture 972" descr="https://mail.google.com/mail/u/0/images/cleardot.gif">
          <a:extLst>
            <a:ext uri="{FF2B5EF4-FFF2-40B4-BE49-F238E27FC236}">
              <a16:creationId xmlns:a16="http://schemas.microsoft.com/office/drawing/2014/main" id="{5962C102-541C-4D92-B908-C623D0D79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4" name="Picture 973" descr="https://mail.google.com/mail/u/0/images/cleardot.gif">
          <a:extLst>
            <a:ext uri="{FF2B5EF4-FFF2-40B4-BE49-F238E27FC236}">
              <a16:creationId xmlns:a16="http://schemas.microsoft.com/office/drawing/2014/main" id="{3C4C76D1-43DC-494B-87B6-35BCCC00B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5" name="Picture 974" descr="https://mail.google.com/mail/u/0/images/cleardot.gif">
          <a:extLst>
            <a:ext uri="{FF2B5EF4-FFF2-40B4-BE49-F238E27FC236}">
              <a16:creationId xmlns:a16="http://schemas.microsoft.com/office/drawing/2014/main" id="{CC7D86F9-24D6-452D-897F-23C15490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6" name="Picture 975" descr="https://mail.google.com/mail/u/0/images/cleardot.gif">
          <a:extLst>
            <a:ext uri="{FF2B5EF4-FFF2-40B4-BE49-F238E27FC236}">
              <a16:creationId xmlns:a16="http://schemas.microsoft.com/office/drawing/2014/main" id="{5F0B18C8-015B-491B-8ADF-B8A9DB15E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7" name="Picture 976" descr="https://mail.google.com/mail/u/0/images/cleardot.gif">
          <a:extLst>
            <a:ext uri="{FF2B5EF4-FFF2-40B4-BE49-F238E27FC236}">
              <a16:creationId xmlns:a16="http://schemas.microsoft.com/office/drawing/2014/main" id="{0817960B-0340-4638-B363-A61F9BB14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8" name="Picture 977" descr="https://mail.google.com/mail/u/0/images/cleardot.gif">
          <a:extLst>
            <a:ext uri="{FF2B5EF4-FFF2-40B4-BE49-F238E27FC236}">
              <a16:creationId xmlns:a16="http://schemas.microsoft.com/office/drawing/2014/main" id="{DB45DB0D-7171-4044-86A3-BA1B7BEC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79" name="Picture 978" descr="https://mail.google.com/mail/u/0/images/cleardot.gif">
          <a:extLst>
            <a:ext uri="{FF2B5EF4-FFF2-40B4-BE49-F238E27FC236}">
              <a16:creationId xmlns:a16="http://schemas.microsoft.com/office/drawing/2014/main" id="{E20129DD-4AC1-41AA-A78F-E9783384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0" name="Picture 979" descr="https://mail.google.com/mail/u/0/images/cleardot.gif">
          <a:extLst>
            <a:ext uri="{FF2B5EF4-FFF2-40B4-BE49-F238E27FC236}">
              <a16:creationId xmlns:a16="http://schemas.microsoft.com/office/drawing/2014/main" id="{A5CA830F-BDD4-4A8D-8047-E50D91C0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1" name="Picture 980" descr="https://mail.google.com/mail/u/0/images/cleardot.gif">
          <a:extLst>
            <a:ext uri="{FF2B5EF4-FFF2-40B4-BE49-F238E27FC236}">
              <a16:creationId xmlns:a16="http://schemas.microsoft.com/office/drawing/2014/main" id="{204A355F-BFCB-4B5F-9CAB-A5F0F562F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2" name="Picture 981" descr="https://mail.google.com/mail/u/0/images/cleardot.gif">
          <a:extLst>
            <a:ext uri="{FF2B5EF4-FFF2-40B4-BE49-F238E27FC236}">
              <a16:creationId xmlns:a16="http://schemas.microsoft.com/office/drawing/2014/main" id="{711312A4-F423-45AC-947C-3EE1F71F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3" name="Picture 982" descr="https://mail.google.com/mail/u/0/images/cleardot.gif">
          <a:extLst>
            <a:ext uri="{FF2B5EF4-FFF2-40B4-BE49-F238E27FC236}">
              <a16:creationId xmlns:a16="http://schemas.microsoft.com/office/drawing/2014/main" id="{F2F0BA66-45EA-4ADF-8940-AC9DB5CB7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4" name="Picture 983" descr="https://mail.google.com/mail/u/0/images/cleardot.gif">
          <a:extLst>
            <a:ext uri="{FF2B5EF4-FFF2-40B4-BE49-F238E27FC236}">
              <a16:creationId xmlns:a16="http://schemas.microsoft.com/office/drawing/2014/main" id="{6596C81A-86B3-4599-919E-5B3F641E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5" name="Picture 984" descr="https://mail.google.com/mail/u/0/images/cleardot.gif">
          <a:extLst>
            <a:ext uri="{FF2B5EF4-FFF2-40B4-BE49-F238E27FC236}">
              <a16:creationId xmlns:a16="http://schemas.microsoft.com/office/drawing/2014/main" id="{8A6AAC74-C526-4CBE-89BF-0B3A6E4C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6" name="Picture 985" descr="https://mail.google.com/mail/u/0/images/cleardot.gif">
          <a:extLst>
            <a:ext uri="{FF2B5EF4-FFF2-40B4-BE49-F238E27FC236}">
              <a16:creationId xmlns:a16="http://schemas.microsoft.com/office/drawing/2014/main" id="{E7C4B8E7-AF3D-4DB1-8D30-AC7D2DF7A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7" name="Picture 986" descr="https://mail.google.com/mail/u/0/images/cleardot.gif">
          <a:extLst>
            <a:ext uri="{FF2B5EF4-FFF2-40B4-BE49-F238E27FC236}">
              <a16:creationId xmlns:a16="http://schemas.microsoft.com/office/drawing/2014/main" id="{D4697CDE-7936-4A83-970C-B384A4FDD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8" name="Picture 987" descr="https://mail.google.com/mail/u/0/images/cleardot.gif">
          <a:extLst>
            <a:ext uri="{FF2B5EF4-FFF2-40B4-BE49-F238E27FC236}">
              <a16:creationId xmlns:a16="http://schemas.microsoft.com/office/drawing/2014/main" id="{356CCA60-CF40-49D2-99BE-C3319098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89" name="Picture 988" descr="https://mail.google.com/mail/u/0/images/cleardot.gif">
          <a:extLst>
            <a:ext uri="{FF2B5EF4-FFF2-40B4-BE49-F238E27FC236}">
              <a16:creationId xmlns:a16="http://schemas.microsoft.com/office/drawing/2014/main" id="{0750C932-2136-4A02-B6C1-407C4CED0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0" name="Picture 989" descr="https://mail.google.com/mail/u/0/images/cleardot.gif">
          <a:extLst>
            <a:ext uri="{FF2B5EF4-FFF2-40B4-BE49-F238E27FC236}">
              <a16:creationId xmlns:a16="http://schemas.microsoft.com/office/drawing/2014/main" id="{4FAC8D15-B70D-4595-B09A-562F3B9A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1" name="Picture 990" descr="https://mail.google.com/mail/u/0/images/cleardot.gif">
          <a:extLst>
            <a:ext uri="{FF2B5EF4-FFF2-40B4-BE49-F238E27FC236}">
              <a16:creationId xmlns:a16="http://schemas.microsoft.com/office/drawing/2014/main" id="{BB0FD4E3-94AE-44D2-873A-70BF3C84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2" name="Picture 991" descr="https://mail.google.com/mail/u/0/images/cleardot.gif">
          <a:extLst>
            <a:ext uri="{FF2B5EF4-FFF2-40B4-BE49-F238E27FC236}">
              <a16:creationId xmlns:a16="http://schemas.microsoft.com/office/drawing/2014/main" id="{D175C4BB-831F-4F20-B945-CAEDB3D76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3" name="Picture 992" descr="https://mail.google.com/mail/u/0/images/cleardot.gif">
          <a:extLst>
            <a:ext uri="{FF2B5EF4-FFF2-40B4-BE49-F238E27FC236}">
              <a16:creationId xmlns:a16="http://schemas.microsoft.com/office/drawing/2014/main" id="{68AA6863-407C-400F-82D3-54DEB6FB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4" name="Picture 993" descr="https://mail.google.com/mail/u/0/images/cleardot.gif">
          <a:extLst>
            <a:ext uri="{FF2B5EF4-FFF2-40B4-BE49-F238E27FC236}">
              <a16:creationId xmlns:a16="http://schemas.microsoft.com/office/drawing/2014/main" id="{17A21CBB-592B-4942-B0D2-26603192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5" name="Picture 994" descr="https://mail.google.com/mail/u/0/images/cleardot.gif">
          <a:extLst>
            <a:ext uri="{FF2B5EF4-FFF2-40B4-BE49-F238E27FC236}">
              <a16:creationId xmlns:a16="http://schemas.microsoft.com/office/drawing/2014/main" id="{A4FF218F-3CC3-4725-A0EC-9E17F3536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6" name="Picture 995" descr="https://mail.google.com/mail/u/0/images/cleardot.gif">
          <a:extLst>
            <a:ext uri="{FF2B5EF4-FFF2-40B4-BE49-F238E27FC236}">
              <a16:creationId xmlns:a16="http://schemas.microsoft.com/office/drawing/2014/main" id="{62216BA5-7516-4EE1-AB5E-895E76FE4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7" name="Picture 996" descr="https://mail.google.com/mail/u/0/images/cleardot.gif">
          <a:extLst>
            <a:ext uri="{FF2B5EF4-FFF2-40B4-BE49-F238E27FC236}">
              <a16:creationId xmlns:a16="http://schemas.microsoft.com/office/drawing/2014/main" id="{2B534F59-60DF-4F36-8EAD-2C619332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8" name="Picture 997" descr="https://mail.google.com/mail/u/0/images/cleardot.gif">
          <a:extLst>
            <a:ext uri="{FF2B5EF4-FFF2-40B4-BE49-F238E27FC236}">
              <a16:creationId xmlns:a16="http://schemas.microsoft.com/office/drawing/2014/main" id="{DA2244B6-4464-4827-86DF-F2E66F078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999" name="Picture 998" descr="https://mail.google.com/mail/u/0/images/cleardot.gif">
          <a:extLst>
            <a:ext uri="{FF2B5EF4-FFF2-40B4-BE49-F238E27FC236}">
              <a16:creationId xmlns:a16="http://schemas.microsoft.com/office/drawing/2014/main" id="{D3B5CF66-BB46-4047-AC49-93AEB4293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0" name="Picture 999" descr="https://mail.google.com/mail/u/0/images/cleardot.gif">
          <a:extLst>
            <a:ext uri="{FF2B5EF4-FFF2-40B4-BE49-F238E27FC236}">
              <a16:creationId xmlns:a16="http://schemas.microsoft.com/office/drawing/2014/main" id="{5C2640D6-6A34-4E2C-BBCC-A71AFF8E1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1" name="Picture 1000" descr="https://mail.google.com/mail/u/0/images/cleardot.gif">
          <a:extLst>
            <a:ext uri="{FF2B5EF4-FFF2-40B4-BE49-F238E27FC236}">
              <a16:creationId xmlns:a16="http://schemas.microsoft.com/office/drawing/2014/main" id="{25340C05-0157-44E4-8705-7E50271D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2" name="Picture 1001" descr="https://mail.google.com/mail/u/0/images/cleardot.gif">
          <a:extLst>
            <a:ext uri="{FF2B5EF4-FFF2-40B4-BE49-F238E27FC236}">
              <a16:creationId xmlns:a16="http://schemas.microsoft.com/office/drawing/2014/main" id="{25C687E7-0B72-4005-B189-0480AE208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3" name="Picture 1002" descr="https://mail.google.com/mail/u/0/images/cleardot.gif">
          <a:extLst>
            <a:ext uri="{FF2B5EF4-FFF2-40B4-BE49-F238E27FC236}">
              <a16:creationId xmlns:a16="http://schemas.microsoft.com/office/drawing/2014/main" id="{2A6926BA-E0BB-4025-B664-96BE5F5FD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4" name="Picture 1003" descr="https://mail.google.com/mail/u/0/images/cleardot.gif">
          <a:extLst>
            <a:ext uri="{FF2B5EF4-FFF2-40B4-BE49-F238E27FC236}">
              <a16:creationId xmlns:a16="http://schemas.microsoft.com/office/drawing/2014/main" id="{E9C82AF7-A2E0-4E12-AFF4-7E42EA39D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5" name="Picture 1004" descr="https://mail.google.com/mail/u/0/images/cleardot.gif">
          <a:extLst>
            <a:ext uri="{FF2B5EF4-FFF2-40B4-BE49-F238E27FC236}">
              <a16:creationId xmlns:a16="http://schemas.microsoft.com/office/drawing/2014/main" id="{0ECC3945-88D0-495B-87C0-11418001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6" name="Picture 1005" descr="https://mail.google.com/mail/u/0/images/cleardot.gif">
          <a:extLst>
            <a:ext uri="{FF2B5EF4-FFF2-40B4-BE49-F238E27FC236}">
              <a16:creationId xmlns:a16="http://schemas.microsoft.com/office/drawing/2014/main" id="{35F7D111-9F55-4275-8DAC-683189DD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7" name="Picture 1006" descr="https://mail.google.com/mail/u/0/images/cleardot.gif">
          <a:extLst>
            <a:ext uri="{FF2B5EF4-FFF2-40B4-BE49-F238E27FC236}">
              <a16:creationId xmlns:a16="http://schemas.microsoft.com/office/drawing/2014/main" id="{D9C46B5B-6FE5-441E-AB58-7AEC87063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8" name="Picture 1007" descr="https://mail.google.com/mail/u/0/images/cleardot.gif">
          <a:extLst>
            <a:ext uri="{FF2B5EF4-FFF2-40B4-BE49-F238E27FC236}">
              <a16:creationId xmlns:a16="http://schemas.microsoft.com/office/drawing/2014/main" id="{E32F406C-3D78-450B-ACE0-72592AD3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09" name="Picture 1008" descr="https://mail.google.com/mail/u/0/images/cleardot.gif">
          <a:extLst>
            <a:ext uri="{FF2B5EF4-FFF2-40B4-BE49-F238E27FC236}">
              <a16:creationId xmlns:a16="http://schemas.microsoft.com/office/drawing/2014/main" id="{15820936-F84F-4A2F-83ED-1CD4B654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0" name="Picture 1009" descr="https://mail.google.com/mail/u/0/images/cleardot.gif">
          <a:extLst>
            <a:ext uri="{FF2B5EF4-FFF2-40B4-BE49-F238E27FC236}">
              <a16:creationId xmlns:a16="http://schemas.microsoft.com/office/drawing/2014/main" id="{9BBE22F0-60B4-4DE6-B4CB-275678DBD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1" name="Picture 1010" descr="https://mail.google.com/mail/u/0/images/cleardot.gif">
          <a:extLst>
            <a:ext uri="{FF2B5EF4-FFF2-40B4-BE49-F238E27FC236}">
              <a16:creationId xmlns:a16="http://schemas.microsoft.com/office/drawing/2014/main" id="{8BCCA2CF-4D11-41A0-89DE-8F640198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2" name="Picture 1011" descr="https://mail.google.com/mail/u/0/images/cleardot.gif">
          <a:extLst>
            <a:ext uri="{FF2B5EF4-FFF2-40B4-BE49-F238E27FC236}">
              <a16:creationId xmlns:a16="http://schemas.microsoft.com/office/drawing/2014/main" id="{08EA4709-8A39-45CB-B57F-6847883B7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3" name="Picture 1012" descr="https://mail.google.com/mail/u/0/images/cleardot.gif">
          <a:extLst>
            <a:ext uri="{FF2B5EF4-FFF2-40B4-BE49-F238E27FC236}">
              <a16:creationId xmlns:a16="http://schemas.microsoft.com/office/drawing/2014/main" id="{9354C921-11A9-4488-8F9C-0686E78B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4" name="Picture 1013" descr="https://mail.google.com/mail/u/0/images/cleardot.gif">
          <a:extLst>
            <a:ext uri="{FF2B5EF4-FFF2-40B4-BE49-F238E27FC236}">
              <a16:creationId xmlns:a16="http://schemas.microsoft.com/office/drawing/2014/main" id="{245E0122-0B61-4DC5-BFBB-16398083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5" name="Picture 1014" descr="https://mail.google.com/mail/u/0/images/cleardot.gif">
          <a:extLst>
            <a:ext uri="{FF2B5EF4-FFF2-40B4-BE49-F238E27FC236}">
              <a16:creationId xmlns:a16="http://schemas.microsoft.com/office/drawing/2014/main" id="{07005810-0125-4D54-81BB-77349C1D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6" name="Picture 1015" descr="https://mail.google.com/mail/u/0/images/cleardot.gif">
          <a:extLst>
            <a:ext uri="{FF2B5EF4-FFF2-40B4-BE49-F238E27FC236}">
              <a16:creationId xmlns:a16="http://schemas.microsoft.com/office/drawing/2014/main" id="{A3D4A101-C018-4E0D-80BD-010D10BA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7" name="Picture 1016" descr="https://mail.google.com/mail/u/0/images/cleardot.gif">
          <a:extLst>
            <a:ext uri="{FF2B5EF4-FFF2-40B4-BE49-F238E27FC236}">
              <a16:creationId xmlns:a16="http://schemas.microsoft.com/office/drawing/2014/main" id="{F2B83D2F-C08C-494E-A76B-291E2A8B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8" name="Picture 1017" descr="https://mail.google.com/mail/u/0/images/cleardot.gif">
          <a:extLst>
            <a:ext uri="{FF2B5EF4-FFF2-40B4-BE49-F238E27FC236}">
              <a16:creationId xmlns:a16="http://schemas.microsoft.com/office/drawing/2014/main" id="{DAADB6CA-2200-47AB-9FA4-E55679BF4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19" name="Picture 1018" descr="https://mail.google.com/mail/u/0/images/cleardot.gif">
          <a:extLst>
            <a:ext uri="{FF2B5EF4-FFF2-40B4-BE49-F238E27FC236}">
              <a16:creationId xmlns:a16="http://schemas.microsoft.com/office/drawing/2014/main" id="{AA69C5C5-9FB9-4687-B3A2-69B00A6C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0" name="Picture 1019" descr="https://mail.google.com/mail/u/0/images/cleardot.gif">
          <a:extLst>
            <a:ext uri="{FF2B5EF4-FFF2-40B4-BE49-F238E27FC236}">
              <a16:creationId xmlns:a16="http://schemas.microsoft.com/office/drawing/2014/main" id="{60978C0A-B722-4355-87AF-C07E3FA28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1" name="Picture 1020" descr="https://mail.google.com/mail/u/0/images/cleardot.gif">
          <a:extLst>
            <a:ext uri="{FF2B5EF4-FFF2-40B4-BE49-F238E27FC236}">
              <a16:creationId xmlns:a16="http://schemas.microsoft.com/office/drawing/2014/main" id="{1A48F319-E543-4165-8758-18148A03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2" name="Picture 1021" descr="https://mail.google.com/mail/u/0/images/cleardot.gif">
          <a:extLst>
            <a:ext uri="{FF2B5EF4-FFF2-40B4-BE49-F238E27FC236}">
              <a16:creationId xmlns:a16="http://schemas.microsoft.com/office/drawing/2014/main" id="{62F9058C-E89C-4CFB-8901-9D8B7957F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3" name="Picture 1022" descr="https://mail.google.com/mail/u/0/images/cleardot.gif">
          <a:extLst>
            <a:ext uri="{FF2B5EF4-FFF2-40B4-BE49-F238E27FC236}">
              <a16:creationId xmlns:a16="http://schemas.microsoft.com/office/drawing/2014/main" id="{1CAC203A-2C27-45B2-9A37-103715DAE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4" name="Picture 1023" descr="https://mail.google.com/mail/u/0/images/cleardot.gif">
          <a:extLst>
            <a:ext uri="{FF2B5EF4-FFF2-40B4-BE49-F238E27FC236}">
              <a16:creationId xmlns:a16="http://schemas.microsoft.com/office/drawing/2014/main" id="{010879D4-6BB0-4228-AA65-08FF11CF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5" name="Picture 1024" descr="https://mail.google.com/mail/u/0/images/cleardot.gif">
          <a:extLst>
            <a:ext uri="{FF2B5EF4-FFF2-40B4-BE49-F238E27FC236}">
              <a16:creationId xmlns:a16="http://schemas.microsoft.com/office/drawing/2014/main" id="{3D44F6EF-3284-4765-91AD-4AB3789CD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6" name="Picture 1025" descr="https://mail.google.com/mail/u/0/images/cleardot.gif">
          <a:extLst>
            <a:ext uri="{FF2B5EF4-FFF2-40B4-BE49-F238E27FC236}">
              <a16:creationId xmlns:a16="http://schemas.microsoft.com/office/drawing/2014/main" id="{44366B4E-82C9-41FF-84C3-4BB637FE1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7" name="Picture 1026" descr="https://mail.google.com/mail/u/0/images/cleardot.gif">
          <a:extLst>
            <a:ext uri="{FF2B5EF4-FFF2-40B4-BE49-F238E27FC236}">
              <a16:creationId xmlns:a16="http://schemas.microsoft.com/office/drawing/2014/main" id="{6E493EB8-E277-441A-8C88-DDD1FD38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8" name="Picture 1027" descr="https://mail.google.com/mail/u/0/images/cleardot.gif">
          <a:extLst>
            <a:ext uri="{FF2B5EF4-FFF2-40B4-BE49-F238E27FC236}">
              <a16:creationId xmlns:a16="http://schemas.microsoft.com/office/drawing/2014/main" id="{7D9E7B9E-A094-4633-A0B1-EE97D689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29" name="Picture 1028" descr="https://mail.google.com/mail/u/0/images/cleardot.gif">
          <a:extLst>
            <a:ext uri="{FF2B5EF4-FFF2-40B4-BE49-F238E27FC236}">
              <a16:creationId xmlns:a16="http://schemas.microsoft.com/office/drawing/2014/main" id="{C8335648-284F-472B-B065-931E622F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0" name="Picture 1029" descr="https://mail.google.com/mail/u/0/images/cleardot.gif">
          <a:extLst>
            <a:ext uri="{FF2B5EF4-FFF2-40B4-BE49-F238E27FC236}">
              <a16:creationId xmlns:a16="http://schemas.microsoft.com/office/drawing/2014/main" id="{C6DD83B4-4894-435E-A422-176AC873C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1" name="Picture 1030" descr="https://mail.google.com/mail/u/0/images/cleardot.gif">
          <a:extLst>
            <a:ext uri="{FF2B5EF4-FFF2-40B4-BE49-F238E27FC236}">
              <a16:creationId xmlns:a16="http://schemas.microsoft.com/office/drawing/2014/main" id="{B6C192BB-B446-4D97-AA36-43BBA4591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2" name="Picture 1031" descr="https://mail.google.com/mail/u/0/images/cleardot.gif">
          <a:extLst>
            <a:ext uri="{FF2B5EF4-FFF2-40B4-BE49-F238E27FC236}">
              <a16:creationId xmlns:a16="http://schemas.microsoft.com/office/drawing/2014/main" id="{1845D3B5-262F-4F79-954D-97667B6B4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3" name="Picture 1032" descr="https://mail.google.com/mail/u/0/images/cleardot.gif">
          <a:extLst>
            <a:ext uri="{FF2B5EF4-FFF2-40B4-BE49-F238E27FC236}">
              <a16:creationId xmlns:a16="http://schemas.microsoft.com/office/drawing/2014/main" id="{574C4CC0-DEB4-4A11-BA73-75CB98F6E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4" name="Picture 1033" descr="https://mail.google.com/mail/u/0/images/cleardot.gif">
          <a:extLst>
            <a:ext uri="{FF2B5EF4-FFF2-40B4-BE49-F238E27FC236}">
              <a16:creationId xmlns:a16="http://schemas.microsoft.com/office/drawing/2014/main" id="{15B6F30C-B035-48A0-8079-7E379D73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5" name="Picture 1034" descr="https://mail.google.com/mail/u/0/images/cleardot.gif">
          <a:extLst>
            <a:ext uri="{FF2B5EF4-FFF2-40B4-BE49-F238E27FC236}">
              <a16:creationId xmlns:a16="http://schemas.microsoft.com/office/drawing/2014/main" id="{0040BC22-2159-4480-8F87-53EA0558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6" name="Picture 1035" descr="https://mail.google.com/mail/u/0/images/cleardot.gif">
          <a:extLst>
            <a:ext uri="{FF2B5EF4-FFF2-40B4-BE49-F238E27FC236}">
              <a16:creationId xmlns:a16="http://schemas.microsoft.com/office/drawing/2014/main" id="{C4514230-476A-46B9-8D60-AE4603B3A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7" name="Picture 1036" descr="https://mail.google.com/mail/u/0/images/cleardot.gif">
          <a:extLst>
            <a:ext uri="{FF2B5EF4-FFF2-40B4-BE49-F238E27FC236}">
              <a16:creationId xmlns:a16="http://schemas.microsoft.com/office/drawing/2014/main" id="{DAAE86DF-E2B9-44B5-ADF2-EB6474FB2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8" name="Picture 1037" descr="https://mail.google.com/mail/u/0/images/cleardot.gif">
          <a:extLst>
            <a:ext uri="{FF2B5EF4-FFF2-40B4-BE49-F238E27FC236}">
              <a16:creationId xmlns:a16="http://schemas.microsoft.com/office/drawing/2014/main" id="{CD666A8C-9F7B-46C2-839A-EB13A98C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39" name="Picture 1038" descr="https://mail.google.com/mail/u/0/images/cleardot.gif">
          <a:extLst>
            <a:ext uri="{FF2B5EF4-FFF2-40B4-BE49-F238E27FC236}">
              <a16:creationId xmlns:a16="http://schemas.microsoft.com/office/drawing/2014/main" id="{034276BB-4739-4115-B317-B22F7E01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0" name="Picture 1039" descr="https://mail.google.com/mail/u/0/images/cleardot.gif">
          <a:extLst>
            <a:ext uri="{FF2B5EF4-FFF2-40B4-BE49-F238E27FC236}">
              <a16:creationId xmlns:a16="http://schemas.microsoft.com/office/drawing/2014/main" id="{732AD6C4-DC61-4438-89AF-07AD9B9C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1" name="Picture 1040" descr="https://mail.google.com/mail/u/0/images/cleardot.gif">
          <a:extLst>
            <a:ext uri="{FF2B5EF4-FFF2-40B4-BE49-F238E27FC236}">
              <a16:creationId xmlns:a16="http://schemas.microsoft.com/office/drawing/2014/main" id="{0A42CC28-D7BE-451C-9117-86359885B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2" name="Picture 1041" descr="https://mail.google.com/mail/u/0/images/cleardot.gif">
          <a:extLst>
            <a:ext uri="{FF2B5EF4-FFF2-40B4-BE49-F238E27FC236}">
              <a16:creationId xmlns:a16="http://schemas.microsoft.com/office/drawing/2014/main" id="{82DB2004-D5C1-40CC-9856-4B9F5951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3" name="Picture 1042" descr="https://mail.google.com/mail/u/0/images/cleardot.gif">
          <a:extLst>
            <a:ext uri="{FF2B5EF4-FFF2-40B4-BE49-F238E27FC236}">
              <a16:creationId xmlns:a16="http://schemas.microsoft.com/office/drawing/2014/main" id="{FB1FD6DE-BAFC-4FDC-9F4C-D5B75E3EC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4" name="Picture 1043" descr="https://mail.google.com/mail/u/0/images/cleardot.gif">
          <a:extLst>
            <a:ext uri="{FF2B5EF4-FFF2-40B4-BE49-F238E27FC236}">
              <a16:creationId xmlns:a16="http://schemas.microsoft.com/office/drawing/2014/main" id="{14BBC8DE-483E-4028-BD9C-7B0DFA157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5" name="Picture 1044" descr="https://mail.google.com/mail/u/0/images/cleardot.gif">
          <a:extLst>
            <a:ext uri="{FF2B5EF4-FFF2-40B4-BE49-F238E27FC236}">
              <a16:creationId xmlns:a16="http://schemas.microsoft.com/office/drawing/2014/main" id="{A721615C-9C87-4E86-90B2-F95F8861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6" name="Picture 1045" descr="https://mail.google.com/mail/u/0/images/cleardot.gif">
          <a:extLst>
            <a:ext uri="{FF2B5EF4-FFF2-40B4-BE49-F238E27FC236}">
              <a16:creationId xmlns:a16="http://schemas.microsoft.com/office/drawing/2014/main" id="{6B967CE5-414E-484A-9425-ED78BF6F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7" name="Picture 1046" descr="https://mail.google.com/mail/u/0/images/cleardot.gif">
          <a:extLst>
            <a:ext uri="{FF2B5EF4-FFF2-40B4-BE49-F238E27FC236}">
              <a16:creationId xmlns:a16="http://schemas.microsoft.com/office/drawing/2014/main" id="{EB04B8CD-9CFD-4446-B704-04DE17D9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8" name="Picture 1047" descr="https://mail.google.com/mail/u/0/images/cleardot.gif">
          <a:extLst>
            <a:ext uri="{FF2B5EF4-FFF2-40B4-BE49-F238E27FC236}">
              <a16:creationId xmlns:a16="http://schemas.microsoft.com/office/drawing/2014/main" id="{B3BAFA6C-6489-471B-885D-B010FB2C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49" name="Picture 1048" descr="https://mail.google.com/mail/u/0/images/cleardot.gif">
          <a:extLst>
            <a:ext uri="{FF2B5EF4-FFF2-40B4-BE49-F238E27FC236}">
              <a16:creationId xmlns:a16="http://schemas.microsoft.com/office/drawing/2014/main" id="{7DAC6591-1196-48B8-B8B0-9DA62D94F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0" name="Picture 1049" descr="https://mail.google.com/mail/u/0/images/cleardot.gif">
          <a:extLst>
            <a:ext uri="{FF2B5EF4-FFF2-40B4-BE49-F238E27FC236}">
              <a16:creationId xmlns:a16="http://schemas.microsoft.com/office/drawing/2014/main" id="{A68101C2-2FAD-4F79-9042-20B4F5BD4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1" name="Picture 1050" descr="https://mail.google.com/mail/u/0/images/cleardot.gif">
          <a:extLst>
            <a:ext uri="{FF2B5EF4-FFF2-40B4-BE49-F238E27FC236}">
              <a16:creationId xmlns:a16="http://schemas.microsoft.com/office/drawing/2014/main" id="{C5B64E40-1561-4A9B-B769-63D0AB88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2" name="Picture 1051" descr="https://mail.google.com/mail/u/0/images/cleardot.gif">
          <a:extLst>
            <a:ext uri="{FF2B5EF4-FFF2-40B4-BE49-F238E27FC236}">
              <a16:creationId xmlns:a16="http://schemas.microsoft.com/office/drawing/2014/main" id="{EC5C1087-5420-4B13-A6F8-BA5AB3B97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3" name="Picture 1052" descr="https://mail.google.com/mail/u/0/images/cleardot.gif">
          <a:extLst>
            <a:ext uri="{FF2B5EF4-FFF2-40B4-BE49-F238E27FC236}">
              <a16:creationId xmlns:a16="http://schemas.microsoft.com/office/drawing/2014/main" id="{BECC354A-98DA-4A9B-973A-8A55D964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4" name="Picture 1053" descr="https://mail.google.com/mail/u/0/images/cleardot.gif">
          <a:extLst>
            <a:ext uri="{FF2B5EF4-FFF2-40B4-BE49-F238E27FC236}">
              <a16:creationId xmlns:a16="http://schemas.microsoft.com/office/drawing/2014/main" id="{2268CEA5-8346-4782-AC95-64514799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5" name="Picture 1054" descr="https://mail.google.com/mail/u/0/images/cleardot.gif">
          <a:extLst>
            <a:ext uri="{FF2B5EF4-FFF2-40B4-BE49-F238E27FC236}">
              <a16:creationId xmlns:a16="http://schemas.microsoft.com/office/drawing/2014/main" id="{1B706352-04CC-4AFC-A7B1-EACF7FE5E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6" name="Picture 1055" descr="https://mail.google.com/mail/u/0/images/cleardot.gif">
          <a:extLst>
            <a:ext uri="{FF2B5EF4-FFF2-40B4-BE49-F238E27FC236}">
              <a16:creationId xmlns:a16="http://schemas.microsoft.com/office/drawing/2014/main" id="{7D3ADA36-4239-4522-BDB4-D5F4FE6F3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7" name="Picture 1056" descr="https://mail.google.com/mail/u/0/images/cleardot.gif">
          <a:extLst>
            <a:ext uri="{FF2B5EF4-FFF2-40B4-BE49-F238E27FC236}">
              <a16:creationId xmlns:a16="http://schemas.microsoft.com/office/drawing/2014/main" id="{881EE125-A9F3-4F91-A67E-D734753C1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8" name="Picture 1057" descr="https://mail.google.com/mail/u/0/images/cleardot.gif">
          <a:extLst>
            <a:ext uri="{FF2B5EF4-FFF2-40B4-BE49-F238E27FC236}">
              <a16:creationId xmlns:a16="http://schemas.microsoft.com/office/drawing/2014/main" id="{B0AC00E0-BD87-4DCE-B7FC-44E3B8C8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59" name="Picture 1058" descr="https://mail.google.com/mail/u/0/images/cleardot.gif">
          <a:extLst>
            <a:ext uri="{FF2B5EF4-FFF2-40B4-BE49-F238E27FC236}">
              <a16:creationId xmlns:a16="http://schemas.microsoft.com/office/drawing/2014/main" id="{A4ADC3CC-FD4A-40AC-B0EA-FC7AB008E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0" name="Picture 1059" descr="https://mail.google.com/mail/u/0/images/cleardot.gif">
          <a:extLst>
            <a:ext uri="{FF2B5EF4-FFF2-40B4-BE49-F238E27FC236}">
              <a16:creationId xmlns:a16="http://schemas.microsoft.com/office/drawing/2014/main" id="{A92368FB-C14C-49E3-8258-B69A86AB1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1" name="Picture 1060" descr="https://mail.google.com/mail/u/0/images/cleardot.gif">
          <a:extLst>
            <a:ext uri="{FF2B5EF4-FFF2-40B4-BE49-F238E27FC236}">
              <a16:creationId xmlns:a16="http://schemas.microsoft.com/office/drawing/2014/main" id="{18C89763-5868-40E1-B964-FA68F3587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2" name="Picture 1061" descr="https://mail.google.com/mail/u/0/images/cleardot.gif">
          <a:extLst>
            <a:ext uri="{FF2B5EF4-FFF2-40B4-BE49-F238E27FC236}">
              <a16:creationId xmlns:a16="http://schemas.microsoft.com/office/drawing/2014/main" id="{DF8CCBD1-BD5C-4B51-80D1-8AF8F64D3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3" name="Picture 1062" descr="https://mail.google.com/mail/u/0/images/cleardot.gif">
          <a:extLst>
            <a:ext uri="{FF2B5EF4-FFF2-40B4-BE49-F238E27FC236}">
              <a16:creationId xmlns:a16="http://schemas.microsoft.com/office/drawing/2014/main" id="{E0CB31FB-AD9F-4F69-B3DA-F2021756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4" name="Picture 1063" descr="https://mail.google.com/mail/u/0/images/cleardot.gif">
          <a:extLst>
            <a:ext uri="{FF2B5EF4-FFF2-40B4-BE49-F238E27FC236}">
              <a16:creationId xmlns:a16="http://schemas.microsoft.com/office/drawing/2014/main" id="{DD61441E-034C-476D-BC7C-8C94A9CC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5" name="Picture 1064" descr="https://mail.google.com/mail/u/0/images/cleardot.gif">
          <a:extLst>
            <a:ext uri="{FF2B5EF4-FFF2-40B4-BE49-F238E27FC236}">
              <a16:creationId xmlns:a16="http://schemas.microsoft.com/office/drawing/2014/main" id="{8BEB4683-B773-4721-A18F-953F48CE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6" name="Picture 1065" descr="https://mail.google.com/mail/u/0/images/cleardot.gif">
          <a:extLst>
            <a:ext uri="{FF2B5EF4-FFF2-40B4-BE49-F238E27FC236}">
              <a16:creationId xmlns:a16="http://schemas.microsoft.com/office/drawing/2014/main" id="{525A0552-8954-4FAD-936F-C6816B44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7" name="Picture 1066" descr="https://mail.google.com/mail/u/0/images/cleardot.gif">
          <a:extLst>
            <a:ext uri="{FF2B5EF4-FFF2-40B4-BE49-F238E27FC236}">
              <a16:creationId xmlns:a16="http://schemas.microsoft.com/office/drawing/2014/main" id="{DEEC5B6B-76D5-427B-9213-3F2DE829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8" name="Picture 1067" descr="https://mail.google.com/mail/u/0/images/cleardot.gif">
          <a:extLst>
            <a:ext uri="{FF2B5EF4-FFF2-40B4-BE49-F238E27FC236}">
              <a16:creationId xmlns:a16="http://schemas.microsoft.com/office/drawing/2014/main" id="{E7E7D46D-8670-4F64-978B-B42A3CCD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69" name="Picture 1068" descr="https://mail.google.com/mail/u/0/images/cleardot.gif">
          <a:extLst>
            <a:ext uri="{FF2B5EF4-FFF2-40B4-BE49-F238E27FC236}">
              <a16:creationId xmlns:a16="http://schemas.microsoft.com/office/drawing/2014/main" id="{7EE87BA2-0D39-40CA-9456-9B84B31F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0" name="Picture 1069" descr="https://mail.google.com/mail/u/0/images/cleardot.gif">
          <a:extLst>
            <a:ext uri="{FF2B5EF4-FFF2-40B4-BE49-F238E27FC236}">
              <a16:creationId xmlns:a16="http://schemas.microsoft.com/office/drawing/2014/main" id="{50307BC8-17F3-4051-8F89-0CD19CCDE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1" name="Picture 1070" descr="https://mail.google.com/mail/u/0/images/cleardot.gif">
          <a:extLst>
            <a:ext uri="{FF2B5EF4-FFF2-40B4-BE49-F238E27FC236}">
              <a16:creationId xmlns:a16="http://schemas.microsoft.com/office/drawing/2014/main" id="{FD7871D4-095A-45A5-8243-83397E0D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2" name="Picture 1071" descr="https://mail.google.com/mail/u/0/images/cleardot.gif">
          <a:extLst>
            <a:ext uri="{FF2B5EF4-FFF2-40B4-BE49-F238E27FC236}">
              <a16:creationId xmlns:a16="http://schemas.microsoft.com/office/drawing/2014/main" id="{3136C191-F2DC-48C5-B410-D816104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3" name="Picture 1072" descr="https://mail.google.com/mail/u/0/images/cleardot.gif">
          <a:extLst>
            <a:ext uri="{FF2B5EF4-FFF2-40B4-BE49-F238E27FC236}">
              <a16:creationId xmlns:a16="http://schemas.microsoft.com/office/drawing/2014/main" id="{AB5EDAE1-3879-46B9-987C-8A22576E0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4" name="Picture 1073" descr="https://mail.google.com/mail/u/0/images/cleardot.gif">
          <a:extLst>
            <a:ext uri="{FF2B5EF4-FFF2-40B4-BE49-F238E27FC236}">
              <a16:creationId xmlns:a16="http://schemas.microsoft.com/office/drawing/2014/main" id="{23B667E4-3FE1-4312-855E-7A9337B2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5" name="Picture 1074" descr="https://mail.google.com/mail/u/0/images/cleardot.gif">
          <a:extLst>
            <a:ext uri="{FF2B5EF4-FFF2-40B4-BE49-F238E27FC236}">
              <a16:creationId xmlns:a16="http://schemas.microsoft.com/office/drawing/2014/main" id="{8207018B-8F17-47AB-92F7-1B9F0F921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6" name="Picture 1075" descr="https://mail.google.com/mail/u/0/images/cleardot.gif">
          <a:extLst>
            <a:ext uri="{FF2B5EF4-FFF2-40B4-BE49-F238E27FC236}">
              <a16:creationId xmlns:a16="http://schemas.microsoft.com/office/drawing/2014/main" id="{14EFB4AE-2590-400A-B827-78B5A216A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7" name="Picture 1076" descr="https://mail.google.com/mail/u/0/images/cleardot.gif">
          <a:extLst>
            <a:ext uri="{FF2B5EF4-FFF2-40B4-BE49-F238E27FC236}">
              <a16:creationId xmlns:a16="http://schemas.microsoft.com/office/drawing/2014/main" id="{9B59CB8D-0168-48B5-AFE7-EAEC0E13D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8" name="Picture 1077" descr="https://mail.google.com/mail/u/0/images/cleardot.gif">
          <a:extLst>
            <a:ext uri="{FF2B5EF4-FFF2-40B4-BE49-F238E27FC236}">
              <a16:creationId xmlns:a16="http://schemas.microsoft.com/office/drawing/2014/main" id="{9EB79D55-CCDB-4936-A39C-7699E7776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79" name="Picture 1078" descr="https://mail.google.com/mail/u/0/images/cleardot.gif">
          <a:extLst>
            <a:ext uri="{FF2B5EF4-FFF2-40B4-BE49-F238E27FC236}">
              <a16:creationId xmlns:a16="http://schemas.microsoft.com/office/drawing/2014/main" id="{7BFAB0E9-1D5F-4E1A-99BB-D6E7300FC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0" name="Picture 1079" descr="https://mail.google.com/mail/u/0/images/cleardot.gif">
          <a:extLst>
            <a:ext uri="{FF2B5EF4-FFF2-40B4-BE49-F238E27FC236}">
              <a16:creationId xmlns:a16="http://schemas.microsoft.com/office/drawing/2014/main" id="{F3CC3F64-3C8A-4D9A-8B09-CCEBDD04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1" name="Picture 1080" descr="https://mail.google.com/mail/u/0/images/cleardot.gif">
          <a:extLst>
            <a:ext uri="{FF2B5EF4-FFF2-40B4-BE49-F238E27FC236}">
              <a16:creationId xmlns:a16="http://schemas.microsoft.com/office/drawing/2014/main" id="{14571D3D-65E5-4A2F-B54D-3B39D2094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2" name="Picture 1081" descr="https://mail.google.com/mail/u/0/images/cleardot.gif">
          <a:extLst>
            <a:ext uri="{FF2B5EF4-FFF2-40B4-BE49-F238E27FC236}">
              <a16:creationId xmlns:a16="http://schemas.microsoft.com/office/drawing/2014/main" id="{76434759-1B80-4B04-8A9C-5552AB302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3" name="Picture 1082" descr="https://mail.google.com/mail/u/0/images/cleardot.gif">
          <a:extLst>
            <a:ext uri="{FF2B5EF4-FFF2-40B4-BE49-F238E27FC236}">
              <a16:creationId xmlns:a16="http://schemas.microsoft.com/office/drawing/2014/main" id="{86517ADA-BEC3-40E6-8BDC-3F07CDE21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4" name="Picture 1083" descr="https://mail.google.com/mail/u/0/images/cleardot.gif">
          <a:extLst>
            <a:ext uri="{FF2B5EF4-FFF2-40B4-BE49-F238E27FC236}">
              <a16:creationId xmlns:a16="http://schemas.microsoft.com/office/drawing/2014/main" id="{5522A781-B258-4CFF-937C-BCE17D58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5" name="Picture 1084" descr="https://mail.google.com/mail/u/0/images/cleardot.gif">
          <a:extLst>
            <a:ext uri="{FF2B5EF4-FFF2-40B4-BE49-F238E27FC236}">
              <a16:creationId xmlns:a16="http://schemas.microsoft.com/office/drawing/2014/main" id="{12C7C8D4-D6C2-4C5F-8D3A-BCD7CFA3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6" name="Picture 1085" descr="https://mail.google.com/mail/u/0/images/cleardot.gif">
          <a:extLst>
            <a:ext uri="{FF2B5EF4-FFF2-40B4-BE49-F238E27FC236}">
              <a16:creationId xmlns:a16="http://schemas.microsoft.com/office/drawing/2014/main" id="{14FFBABD-5E4B-47BF-8DEA-E927C210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7" name="Picture 1086" descr="https://mail.google.com/mail/u/0/images/cleardot.gif">
          <a:extLst>
            <a:ext uri="{FF2B5EF4-FFF2-40B4-BE49-F238E27FC236}">
              <a16:creationId xmlns:a16="http://schemas.microsoft.com/office/drawing/2014/main" id="{06576311-2E8A-4C05-AA63-25865020F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8" name="Picture 1087" descr="https://mail.google.com/mail/u/0/images/cleardot.gif">
          <a:extLst>
            <a:ext uri="{FF2B5EF4-FFF2-40B4-BE49-F238E27FC236}">
              <a16:creationId xmlns:a16="http://schemas.microsoft.com/office/drawing/2014/main" id="{B3D5767C-88C3-42CD-B16D-70A351931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89" name="Picture 1088" descr="https://mail.google.com/mail/u/0/images/cleardot.gif">
          <a:extLst>
            <a:ext uri="{FF2B5EF4-FFF2-40B4-BE49-F238E27FC236}">
              <a16:creationId xmlns:a16="http://schemas.microsoft.com/office/drawing/2014/main" id="{57B95517-D21B-4BAC-BE2A-93229CBC3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0" name="Picture 1089" descr="https://mail.google.com/mail/u/0/images/cleardot.gif">
          <a:extLst>
            <a:ext uri="{FF2B5EF4-FFF2-40B4-BE49-F238E27FC236}">
              <a16:creationId xmlns:a16="http://schemas.microsoft.com/office/drawing/2014/main" id="{2738E2A3-F8C3-44BD-B7F1-A5156738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1" name="Picture 1090" descr="https://mail.google.com/mail/u/0/images/cleardot.gif">
          <a:extLst>
            <a:ext uri="{FF2B5EF4-FFF2-40B4-BE49-F238E27FC236}">
              <a16:creationId xmlns:a16="http://schemas.microsoft.com/office/drawing/2014/main" id="{C1A6F9C3-ABA4-491B-A22C-ECC582E6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2" name="Picture 1091" descr="https://mail.google.com/mail/u/0/images/cleardot.gif">
          <a:extLst>
            <a:ext uri="{FF2B5EF4-FFF2-40B4-BE49-F238E27FC236}">
              <a16:creationId xmlns:a16="http://schemas.microsoft.com/office/drawing/2014/main" id="{BBDA6BF4-668B-4359-8F4E-2AF8B2BE3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3" name="Picture 1092" descr="https://mail.google.com/mail/u/0/images/cleardot.gif">
          <a:extLst>
            <a:ext uri="{FF2B5EF4-FFF2-40B4-BE49-F238E27FC236}">
              <a16:creationId xmlns:a16="http://schemas.microsoft.com/office/drawing/2014/main" id="{AFB0646A-7FA5-44A0-80F7-B42BBB9AD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4" name="Picture 1093" descr="https://mail.google.com/mail/u/0/images/cleardot.gif">
          <a:extLst>
            <a:ext uri="{FF2B5EF4-FFF2-40B4-BE49-F238E27FC236}">
              <a16:creationId xmlns:a16="http://schemas.microsoft.com/office/drawing/2014/main" id="{3C79E484-88FF-4EF2-83D0-ADAF74CB4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5" name="Picture 1094" descr="https://mail.google.com/mail/u/0/images/cleardot.gif">
          <a:extLst>
            <a:ext uri="{FF2B5EF4-FFF2-40B4-BE49-F238E27FC236}">
              <a16:creationId xmlns:a16="http://schemas.microsoft.com/office/drawing/2014/main" id="{0D8BDDA0-1DC2-459A-80FB-07D7245E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6" name="Picture 1095" descr="https://mail.google.com/mail/u/0/images/cleardot.gif">
          <a:extLst>
            <a:ext uri="{FF2B5EF4-FFF2-40B4-BE49-F238E27FC236}">
              <a16:creationId xmlns:a16="http://schemas.microsoft.com/office/drawing/2014/main" id="{8DD9EF43-742C-4753-AD05-8D9AA3BB5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7" name="Picture 1096" descr="https://mail.google.com/mail/u/0/images/cleardot.gif">
          <a:extLst>
            <a:ext uri="{FF2B5EF4-FFF2-40B4-BE49-F238E27FC236}">
              <a16:creationId xmlns:a16="http://schemas.microsoft.com/office/drawing/2014/main" id="{28122014-80CC-4A57-816E-4D73F54B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8" name="Picture 1097" descr="https://mail.google.com/mail/u/0/images/cleardot.gif">
          <a:extLst>
            <a:ext uri="{FF2B5EF4-FFF2-40B4-BE49-F238E27FC236}">
              <a16:creationId xmlns:a16="http://schemas.microsoft.com/office/drawing/2014/main" id="{55E8634A-AC4A-4DF1-AF41-B7FCD7A6B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099" name="Picture 1098" descr="https://mail.google.com/mail/u/0/images/cleardot.gif">
          <a:extLst>
            <a:ext uri="{FF2B5EF4-FFF2-40B4-BE49-F238E27FC236}">
              <a16:creationId xmlns:a16="http://schemas.microsoft.com/office/drawing/2014/main" id="{7E6964DA-F9AB-4436-A3A6-D554EEC8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0" name="Picture 1099" descr="https://mail.google.com/mail/u/0/images/cleardot.gif">
          <a:extLst>
            <a:ext uri="{FF2B5EF4-FFF2-40B4-BE49-F238E27FC236}">
              <a16:creationId xmlns:a16="http://schemas.microsoft.com/office/drawing/2014/main" id="{B30F1AA8-CC98-47E8-89B1-3764203C7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1" name="Picture 1100" descr="https://mail.google.com/mail/u/0/images/cleardot.gif">
          <a:extLst>
            <a:ext uri="{FF2B5EF4-FFF2-40B4-BE49-F238E27FC236}">
              <a16:creationId xmlns:a16="http://schemas.microsoft.com/office/drawing/2014/main" id="{C5A59699-01D5-44D5-9B41-7E83D09F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2" name="Picture 1101" descr="https://mail.google.com/mail/u/0/images/cleardot.gif">
          <a:extLst>
            <a:ext uri="{FF2B5EF4-FFF2-40B4-BE49-F238E27FC236}">
              <a16:creationId xmlns:a16="http://schemas.microsoft.com/office/drawing/2014/main" id="{A99D8828-21B3-4A50-BC27-A7430AA1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3" name="Picture 1102" descr="https://mail.google.com/mail/u/0/images/cleardot.gif">
          <a:extLst>
            <a:ext uri="{FF2B5EF4-FFF2-40B4-BE49-F238E27FC236}">
              <a16:creationId xmlns:a16="http://schemas.microsoft.com/office/drawing/2014/main" id="{254BF761-7A20-4463-9024-008A6295D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4" name="Picture 1103" descr="https://mail.google.com/mail/u/0/images/cleardot.gif">
          <a:extLst>
            <a:ext uri="{FF2B5EF4-FFF2-40B4-BE49-F238E27FC236}">
              <a16:creationId xmlns:a16="http://schemas.microsoft.com/office/drawing/2014/main" id="{6CF1E70D-E785-4855-877F-123EF23CA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5" name="Picture 1104" descr="https://mail.google.com/mail/u/0/images/cleardot.gif">
          <a:extLst>
            <a:ext uri="{FF2B5EF4-FFF2-40B4-BE49-F238E27FC236}">
              <a16:creationId xmlns:a16="http://schemas.microsoft.com/office/drawing/2014/main" id="{B323CB01-4070-4569-9C21-97B6C055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6" name="Picture 1105" descr="https://mail.google.com/mail/u/0/images/cleardot.gif">
          <a:extLst>
            <a:ext uri="{FF2B5EF4-FFF2-40B4-BE49-F238E27FC236}">
              <a16:creationId xmlns:a16="http://schemas.microsoft.com/office/drawing/2014/main" id="{DBD51735-620A-47D6-89B8-3CCE5022D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7" name="Picture 1106" descr="https://mail.google.com/mail/u/0/images/cleardot.gif">
          <a:extLst>
            <a:ext uri="{FF2B5EF4-FFF2-40B4-BE49-F238E27FC236}">
              <a16:creationId xmlns:a16="http://schemas.microsoft.com/office/drawing/2014/main" id="{5F53DB72-D5C4-4399-A26F-04C2C8F1F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8" name="Picture 1107" descr="https://mail.google.com/mail/u/0/images/cleardot.gif">
          <a:extLst>
            <a:ext uri="{FF2B5EF4-FFF2-40B4-BE49-F238E27FC236}">
              <a16:creationId xmlns:a16="http://schemas.microsoft.com/office/drawing/2014/main" id="{9C5DC6CB-B9E7-4EC4-97CE-BFD73CBE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09" name="Picture 1108" descr="https://mail.google.com/mail/u/0/images/cleardot.gif">
          <a:extLst>
            <a:ext uri="{FF2B5EF4-FFF2-40B4-BE49-F238E27FC236}">
              <a16:creationId xmlns:a16="http://schemas.microsoft.com/office/drawing/2014/main" id="{8833848A-5B16-4BAE-97CB-B4C41101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0" name="Picture 1109" descr="https://mail.google.com/mail/u/0/images/cleardot.gif">
          <a:extLst>
            <a:ext uri="{FF2B5EF4-FFF2-40B4-BE49-F238E27FC236}">
              <a16:creationId xmlns:a16="http://schemas.microsoft.com/office/drawing/2014/main" id="{8E56B3E3-7A99-4D6F-A82D-D2CAFF32C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1" name="Picture 1110" descr="https://mail.google.com/mail/u/0/images/cleardot.gif">
          <a:extLst>
            <a:ext uri="{FF2B5EF4-FFF2-40B4-BE49-F238E27FC236}">
              <a16:creationId xmlns:a16="http://schemas.microsoft.com/office/drawing/2014/main" id="{FFACC069-2F57-43E8-9380-551905A09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2" name="Picture 1111" descr="https://mail.google.com/mail/u/0/images/cleardot.gif">
          <a:extLst>
            <a:ext uri="{FF2B5EF4-FFF2-40B4-BE49-F238E27FC236}">
              <a16:creationId xmlns:a16="http://schemas.microsoft.com/office/drawing/2014/main" id="{648E3DA0-88D9-4485-A63B-48ADA7AE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3" name="Picture 1112" descr="https://mail.google.com/mail/u/0/images/cleardot.gif">
          <a:extLst>
            <a:ext uri="{FF2B5EF4-FFF2-40B4-BE49-F238E27FC236}">
              <a16:creationId xmlns:a16="http://schemas.microsoft.com/office/drawing/2014/main" id="{F539B070-EF29-40A1-9A88-6BDAFDE33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4" name="Picture 1113" descr="https://mail.google.com/mail/u/0/images/cleardot.gif">
          <a:extLst>
            <a:ext uri="{FF2B5EF4-FFF2-40B4-BE49-F238E27FC236}">
              <a16:creationId xmlns:a16="http://schemas.microsoft.com/office/drawing/2014/main" id="{7A70707A-7EAF-4F77-AA7A-CC2C00522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5" name="Picture 1114" descr="https://mail.google.com/mail/u/0/images/cleardot.gif">
          <a:extLst>
            <a:ext uri="{FF2B5EF4-FFF2-40B4-BE49-F238E27FC236}">
              <a16:creationId xmlns:a16="http://schemas.microsoft.com/office/drawing/2014/main" id="{E0205D29-CEEA-41C5-AA52-EF2F6B28D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6" name="Picture 1115" descr="https://mail.google.com/mail/u/0/images/cleardot.gif">
          <a:extLst>
            <a:ext uri="{FF2B5EF4-FFF2-40B4-BE49-F238E27FC236}">
              <a16:creationId xmlns:a16="http://schemas.microsoft.com/office/drawing/2014/main" id="{746E2C56-096B-4F75-83C1-4A5B43165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7" name="Picture 1116" descr="https://mail.google.com/mail/u/0/images/cleardot.gif">
          <a:extLst>
            <a:ext uri="{FF2B5EF4-FFF2-40B4-BE49-F238E27FC236}">
              <a16:creationId xmlns:a16="http://schemas.microsoft.com/office/drawing/2014/main" id="{B09F5279-5D72-4648-A18C-A99DB91C5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8" name="Picture 1117" descr="https://mail.google.com/mail/u/0/images/cleardot.gif">
          <a:extLst>
            <a:ext uri="{FF2B5EF4-FFF2-40B4-BE49-F238E27FC236}">
              <a16:creationId xmlns:a16="http://schemas.microsoft.com/office/drawing/2014/main" id="{2C2DA8A1-B293-4427-8902-DA48B972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19" name="Picture 1118" descr="https://mail.google.com/mail/u/0/images/cleardot.gif">
          <a:extLst>
            <a:ext uri="{FF2B5EF4-FFF2-40B4-BE49-F238E27FC236}">
              <a16:creationId xmlns:a16="http://schemas.microsoft.com/office/drawing/2014/main" id="{D60C5AE8-8E97-4272-879F-FF10832D6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0" name="Picture 1119" descr="https://mail.google.com/mail/u/0/images/cleardot.gif">
          <a:extLst>
            <a:ext uri="{FF2B5EF4-FFF2-40B4-BE49-F238E27FC236}">
              <a16:creationId xmlns:a16="http://schemas.microsoft.com/office/drawing/2014/main" id="{576B5A60-C5D0-4CA5-BF57-6A2A7FABC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1" name="Picture 1120" descr="https://mail.google.com/mail/u/0/images/cleardot.gif">
          <a:extLst>
            <a:ext uri="{FF2B5EF4-FFF2-40B4-BE49-F238E27FC236}">
              <a16:creationId xmlns:a16="http://schemas.microsoft.com/office/drawing/2014/main" id="{6D897318-41AB-4033-AB7C-97467E91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2" name="Picture 1121" descr="https://mail.google.com/mail/u/0/images/cleardot.gif">
          <a:extLst>
            <a:ext uri="{FF2B5EF4-FFF2-40B4-BE49-F238E27FC236}">
              <a16:creationId xmlns:a16="http://schemas.microsoft.com/office/drawing/2014/main" id="{A4D9DD4C-B69C-4E9C-8702-2529D4B5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3" name="Picture 1122" descr="https://mail.google.com/mail/u/0/images/cleardot.gif">
          <a:extLst>
            <a:ext uri="{FF2B5EF4-FFF2-40B4-BE49-F238E27FC236}">
              <a16:creationId xmlns:a16="http://schemas.microsoft.com/office/drawing/2014/main" id="{E685079F-B80B-40F7-9A74-C4FD477B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4" name="Picture 1123" descr="https://mail.google.com/mail/u/0/images/cleardot.gif">
          <a:extLst>
            <a:ext uri="{FF2B5EF4-FFF2-40B4-BE49-F238E27FC236}">
              <a16:creationId xmlns:a16="http://schemas.microsoft.com/office/drawing/2014/main" id="{59E241A8-4CCC-451D-AAA3-300B80A78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5" name="Picture 1124" descr="https://mail.google.com/mail/u/0/images/cleardot.gif">
          <a:extLst>
            <a:ext uri="{FF2B5EF4-FFF2-40B4-BE49-F238E27FC236}">
              <a16:creationId xmlns:a16="http://schemas.microsoft.com/office/drawing/2014/main" id="{F09E4F76-8CEF-4C6C-AF65-326ECA2A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6" name="Picture 1125" descr="https://mail.google.com/mail/u/0/images/cleardot.gif">
          <a:extLst>
            <a:ext uri="{FF2B5EF4-FFF2-40B4-BE49-F238E27FC236}">
              <a16:creationId xmlns:a16="http://schemas.microsoft.com/office/drawing/2014/main" id="{41045B24-A062-4465-AFD2-754E592C1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7" name="Picture 1126" descr="https://mail.google.com/mail/u/0/images/cleardot.gif">
          <a:extLst>
            <a:ext uri="{FF2B5EF4-FFF2-40B4-BE49-F238E27FC236}">
              <a16:creationId xmlns:a16="http://schemas.microsoft.com/office/drawing/2014/main" id="{15BB7CD0-B2DC-45C4-AF44-C4AF6B0D9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8" name="Picture 1127" descr="https://mail.google.com/mail/u/0/images/cleardot.gif">
          <a:extLst>
            <a:ext uri="{FF2B5EF4-FFF2-40B4-BE49-F238E27FC236}">
              <a16:creationId xmlns:a16="http://schemas.microsoft.com/office/drawing/2014/main" id="{FA2EE133-30BA-482A-90E0-4A4699190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29" name="Picture 1128" descr="https://mail.google.com/mail/u/0/images/cleardot.gif">
          <a:extLst>
            <a:ext uri="{FF2B5EF4-FFF2-40B4-BE49-F238E27FC236}">
              <a16:creationId xmlns:a16="http://schemas.microsoft.com/office/drawing/2014/main" id="{628A8123-D09F-450D-8B46-884669217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0" name="Picture 1129" descr="https://mail.google.com/mail/u/0/images/cleardot.gif">
          <a:extLst>
            <a:ext uri="{FF2B5EF4-FFF2-40B4-BE49-F238E27FC236}">
              <a16:creationId xmlns:a16="http://schemas.microsoft.com/office/drawing/2014/main" id="{9EBDB1BC-733D-437E-9EB1-B0AA9B9C5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1" name="Picture 1130" descr="https://mail.google.com/mail/u/0/images/cleardot.gif">
          <a:extLst>
            <a:ext uri="{FF2B5EF4-FFF2-40B4-BE49-F238E27FC236}">
              <a16:creationId xmlns:a16="http://schemas.microsoft.com/office/drawing/2014/main" id="{9CAE4C42-DE08-4B19-8F93-9C2503CA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2" name="Picture 1131" descr="https://mail.google.com/mail/u/0/images/cleardot.gif">
          <a:extLst>
            <a:ext uri="{FF2B5EF4-FFF2-40B4-BE49-F238E27FC236}">
              <a16:creationId xmlns:a16="http://schemas.microsoft.com/office/drawing/2014/main" id="{D7C2A626-9A1F-4D52-8A3C-BE1CB0D23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3" name="Picture 1132" descr="https://mail.google.com/mail/u/0/images/cleardot.gif">
          <a:extLst>
            <a:ext uri="{FF2B5EF4-FFF2-40B4-BE49-F238E27FC236}">
              <a16:creationId xmlns:a16="http://schemas.microsoft.com/office/drawing/2014/main" id="{994FD6FF-5DB4-4101-992B-830060DC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4" name="Picture 1133" descr="https://mail.google.com/mail/u/0/images/cleardot.gif">
          <a:extLst>
            <a:ext uri="{FF2B5EF4-FFF2-40B4-BE49-F238E27FC236}">
              <a16:creationId xmlns:a16="http://schemas.microsoft.com/office/drawing/2014/main" id="{B61C70B8-C71E-40CD-A192-D26195AAD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5" name="Picture 1134" descr="https://mail.google.com/mail/u/0/images/cleardot.gif">
          <a:extLst>
            <a:ext uri="{FF2B5EF4-FFF2-40B4-BE49-F238E27FC236}">
              <a16:creationId xmlns:a16="http://schemas.microsoft.com/office/drawing/2014/main" id="{782D26C6-5DD0-4308-B916-E7D5036E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6" name="Picture 1135" descr="https://mail.google.com/mail/u/0/images/cleardot.gif">
          <a:extLst>
            <a:ext uri="{FF2B5EF4-FFF2-40B4-BE49-F238E27FC236}">
              <a16:creationId xmlns:a16="http://schemas.microsoft.com/office/drawing/2014/main" id="{DC7A6240-F991-4B76-BCC2-1ECAE3F9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7" name="Picture 1136" descr="https://mail.google.com/mail/u/0/images/cleardot.gif">
          <a:extLst>
            <a:ext uri="{FF2B5EF4-FFF2-40B4-BE49-F238E27FC236}">
              <a16:creationId xmlns:a16="http://schemas.microsoft.com/office/drawing/2014/main" id="{EF23A79B-575D-48AA-96F2-630BD419D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8" name="Picture 1137" descr="https://mail.google.com/mail/u/0/images/cleardot.gif">
          <a:extLst>
            <a:ext uri="{FF2B5EF4-FFF2-40B4-BE49-F238E27FC236}">
              <a16:creationId xmlns:a16="http://schemas.microsoft.com/office/drawing/2014/main" id="{3CC31EEB-70BA-451B-9047-023A7A589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39" name="Picture 1138" descr="https://mail.google.com/mail/u/0/images/cleardot.gif">
          <a:extLst>
            <a:ext uri="{FF2B5EF4-FFF2-40B4-BE49-F238E27FC236}">
              <a16:creationId xmlns:a16="http://schemas.microsoft.com/office/drawing/2014/main" id="{BD768659-174B-44D0-9B8E-0FA459F89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0" name="Picture 1139" descr="https://mail.google.com/mail/u/0/images/cleardot.gif">
          <a:extLst>
            <a:ext uri="{FF2B5EF4-FFF2-40B4-BE49-F238E27FC236}">
              <a16:creationId xmlns:a16="http://schemas.microsoft.com/office/drawing/2014/main" id="{E1A5B291-04E8-4268-B3B1-9754633B1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1" name="Picture 1140" descr="https://mail.google.com/mail/u/0/images/cleardot.gif">
          <a:extLst>
            <a:ext uri="{FF2B5EF4-FFF2-40B4-BE49-F238E27FC236}">
              <a16:creationId xmlns:a16="http://schemas.microsoft.com/office/drawing/2014/main" id="{308531C3-5DB1-413C-872F-CBF45C052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2" name="Picture 1141" descr="https://mail.google.com/mail/u/0/images/cleardot.gif">
          <a:extLst>
            <a:ext uri="{FF2B5EF4-FFF2-40B4-BE49-F238E27FC236}">
              <a16:creationId xmlns:a16="http://schemas.microsoft.com/office/drawing/2014/main" id="{441CD745-5BF6-44AD-BEFC-AB2885BA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3" name="Picture 1142" descr="https://mail.google.com/mail/u/0/images/cleardot.gif">
          <a:extLst>
            <a:ext uri="{FF2B5EF4-FFF2-40B4-BE49-F238E27FC236}">
              <a16:creationId xmlns:a16="http://schemas.microsoft.com/office/drawing/2014/main" id="{7CE13165-C0E0-4569-9D08-2941434B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4" name="Picture 1143" descr="https://mail.google.com/mail/u/0/images/cleardot.gif">
          <a:extLst>
            <a:ext uri="{FF2B5EF4-FFF2-40B4-BE49-F238E27FC236}">
              <a16:creationId xmlns:a16="http://schemas.microsoft.com/office/drawing/2014/main" id="{A92FAC8E-B075-490C-A21F-AA197DBE4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5" name="Picture 1144" descr="https://mail.google.com/mail/u/0/images/cleardot.gif">
          <a:extLst>
            <a:ext uri="{FF2B5EF4-FFF2-40B4-BE49-F238E27FC236}">
              <a16:creationId xmlns:a16="http://schemas.microsoft.com/office/drawing/2014/main" id="{B9108180-7640-4352-92B3-1171AF03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6" name="Picture 1145" descr="https://mail.google.com/mail/u/0/images/cleardot.gif">
          <a:extLst>
            <a:ext uri="{FF2B5EF4-FFF2-40B4-BE49-F238E27FC236}">
              <a16:creationId xmlns:a16="http://schemas.microsoft.com/office/drawing/2014/main" id="{AD305F86-6BDF-4445-A886-FFC6917E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7" name="Picture 1146" descr="https://mail.google.com/mail/u/0/images/cleardot.gif">
          <a:extLst>
            <a:ext uri="{FF2B5EF4-FFF2-40B4-BE49-F238E27FC236}">
              <a16:creationId xmlns:a16="http://schemas.microsoft.com/office/drawing/2014/main" id="{7FB7E520-0BD1-4915-8187-0DE54522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8" name="Picture 1147" descr="https://mail.google.com/mail/u/0/images/cleardot.gif">
          <a:extLst>
            <a:ext uri="{FF2B5EF4-FFF2-40B4-BE49-F238E27FC236}">
              <a16:creationId xmlns:a16="http://schemas.microsoft.com/office/drawing/2014/main" id="{3D2F8B8C-1034-4EFB-ABAF-0DB80594B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49" name="Picture 1148" descr="https://mail.google.com/mail/u/0/images/cleardot.gif">
          <a:extLst>
            <a:ext uri="{FF2B5EF4-FFF2-40B4-BE49-F238E27FC236}">
              <a16:creationId xmlns:a16="http://schemas.microsoft.com/office/drawing/2014/main" id="{BF42731E-AB87-4F85-B97D-AC0A36AFD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0" name="Picture 1149" descr="https://mail.google.com/mail/u/0/images/cleardot.gif">
          <a:extLst>
            <a:ext uri="{FF2B5EF4-FFF2-40B4-BE49-F238E27FC236}">
              <a16:creationId xmlns:a16="http://schemas.microsoft.com/office/drawing/2014/main" id="{FB50AE9B-44D3-468F-A70A-5E213C651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1" name="Picture 1150" descr="https://mail.google.com/mail/u/0/images/cleardot.gif">
          <a:extLst>
            <a:ext uri="{FF2B5EF4-FFF2-40B4-BE49-F238E27FC236}">
              <a16:creationId xmlns:a16="http://schemas.microsoft.com/office/drawing/2014/main" id="{B2964CF5-ABF9-43E8-8CD6-FD9E5FF6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2" name="Picture 1151" descr="https://mail.google.com/mail/u/0/images/cleardot.gif">
          <a:extLst>
            <a:ext uri="{FF2B5EF4-FFF2-40B4-BE49-F238E27FC236}">
              <a16:creationId xmlns:a16="http://schemas.microsoft.com/office/drawing/2014/main" id="{93D88B91-B2B6-42E8-BAD1-011C211B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3" name="Picture 1152" descr="https://mail.google.com/mail/u/0/images/cleardot.gif">
          <a:extLst>
            <a:ext uri="{FF2B5EF4-FFF2-40B4-BE49-F238E27FC236}">
              <a16:creationId xmlns:a16="http://schemas.microsoft.com/office/drawing/2014/main" id="{2529735D-31F7-4429-B7FF-78192FE5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4" name="Picture 1153" descr="https://mail.google.com/mail/u/0/images/cleardot.gif">
          <a:extLst>
            <a:ext uri="{FF2B5EF4-FFF2-40B4-BE49-F238E27FC236}">
              <a16:creationId xmlns:a16="http://schemas.microsoft.com/office/drawing/2014/main" id="{EDB6E9A1-2252-4210-9302-665E89997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5" name="Picture 1154" descr="https://mail.google.com/mail/u/0/images/cleardot.gif">
          <a:extLst>
            <a:ext uri="{FF2B5EF4-FFF2-40B4-BE49-F238E27FC236}">
              <a16:creationId xmlns:a16="http://schemas.microsoft.com/office/drawing/2014/main" id="{9D1AD177-9245-47BF-A57C-CDAAF61D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6" name="Picture 1155" descr="https://mail.google.com/mail/u/0/images/cleardot.gif">
          <a:extLst>
            <a:ext uri="{FF2B5EF4-FFF2-40B4-BE49-F238E27FC236}">
              <a16:creationId xmlns:a16="http://schemas.microsoft.com/office/drawing/2014/main" id="{E864B856-8F15-4CF3-A931-BFF09F33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7" name="Picture 1156" descr="https://mail.google.com/mail/u/0/images/cleardot.gif">
          <a:extLst>
            <a:ext uri="{FF2B5EF4-FFF2-40B4-BE49-F238E27FC236}">
              <a16:creationId xmlns:a16="http://schemas.microsoft.com/office/drawing/2014/main" id="{9F8807CB-CEAE-46AB-BF6D-B7AC65A3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8" name="Picture 1157" descr="https://mail.google.com/mail/u/0/images/cleardot.gif">
          <a:extLst>
            <a:ext uri="{FF2B5EF4-FFF2-40B4-BE49-F238E27FC236}">
              <a16:creationId xmlns:a16="http://schemas.microsoft.com/office/drawing/2014/main" id="{3B6DF166-6453-4DE3-B586-8362BC8E1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59" name="Picture 1158" descr="https://mail.google.com/mail/u/0/images/cleardot.gif">
          <a:extLst>
            <a:ext uri="{FF2B5EF4-FFF2-40B4-BE49-F238E27FC236}">
              <a16:creationId xmlns:a16="http://schemas.microsoft.com/office/drawing/2014/main" id="{522BB3D9-5E74-48C6-A13E-8995928E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0" name="Picture 1159" descr="https://mail.google.com/mail/u/0/images/cleardot.gif">
          <a:extLst>
            <a:ext uri="{FF2B5EF4-FFF2-40B4-BE49-F238E27FC236}">
              <a16:creationId xmlns:a16="http://schemas.microsoft.com/office/drawing/2014/main" id="{B1E4F2FA-A39E-46FC-ADB8-ECA45C23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1" name="Picture 1160" descr="https://mail.google.com/mail/u/0/images/cleardot.gif">
          <a:extLst>
            <a:ext uri="{FF2B5EF4-FFF2-40B4-BE49-F238E27FC236}">
              <a16:creationId xmlns:a16="http://schemas.microsoft.com/office/drawing/2014/main" id="{1033184F-2712-4BE3-B753-87C646B4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2" name="Picture 1161" descr="https://mail.google.com/mail/u/0/images/cleardot.gif">
          <a:extLst>
            <a:ext uri="{FF2B5EF4-FFF2-40B4-BE49-F238E27FC236}">
              <a16:creationId xmlns:a16="http://schemas.microsoft.com/office/drawing/2014/main" id="{2A199AAF-90C8-4224-A071-471C7A73F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3" name="Picture 1162" descr="https://mail.google.com/mail/u/0/images/cleardot.gif">
          <a:extLst>
            <a:ext uri="{FF2B5EF4-FFF2-40B4-BE49-F238E27FC236}">
              <a16:creationId xmlns:a16="http://schemas.microsoft.com/office/drawing/2014/main" id="{73E3D8A4-D79A-468B-84A3-1D22C56A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4" name="Picture 1163" descr="https://mail.google.com/mail/u/0/images/cleardot.gif">
          <a:extLst>
            <a:ext uri="{FF2B5EF4-FFF2-40B4-BE49-F238E27FC236}">
              <a16:creationId xmlns:a16="http://schemas.microsoft.com/office/drawing/2014/main" id="{D46A9AE4-C4DD-4A81-BCE3-A65D2CA56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5" name="Picture 1164" descr="https://mail.google.com/mail/u/0/images/cleardot.gif">
          <a:extLst>
            <a:ext uri="{FF2B5EF4-FFF2-40B4-BE49-F238E27FC236}">
              <a16:creationId xmlns:a16="http://schemas.microsoft.com/office/drawing/2014/main" id="{7AED50FF-30D3-4C52-90E7-B0587D97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6" name="Picture 1165" descr="https://mail.google.com/mail/u/0/images/cleardot.gif">
          <a:extLst>
            <a:ext uri="{FF2B5EF4-FFF2-40B4-BE49-F238E27FC236}">
              <a16:creationId xmlns:a16="http://schemas.microsoft.com/office/drawing/2014/main" id="{2DE78691-1BBE-4A26-A95C-A3820A6F7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7" name="Picture 1166" descr="https://mail.google.com/mail/u/0/images/cleardot.gif">
          <a:extLst>
            <a:ext uri="{FF2B5EF4-FFF2-40B4-BE49-F238E27FC236}">
              <a16:creationId xmlns:a16="http://schemas.microsoft.com/office/drawing/2014/main" id="{78666C40-FF13-40BE-B9D3-CB78013EF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8" name="Picture 1167" descr="https://mail.google.com/mail/u/0/images/cleardot.gif">
          <a:extLst>
            <a:ext uri="{FF2B5EF4-FFF2-40B4-BE49-F238E27FC236}">
              <a16:creationId xmlns:a16="http://schemas.microsoft.com/office/drawing/2014/main" id="{5FD89045-D3A4-4926-9212-E6CB5E2EE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69" name="Picture 1168" descr="https://mail.google.com/mail/u/0/images/cleardot.gif">
          <a:extLst>
            <a:ext uri="{FF2B5EF4-FFF2-40B4-BE49-F238E27FC236}">
              <a16:creationId xmlns:a16="http://schemas.microsoft.com/office/drawing/2014/main" id="{233AFC08-7AB8-4321-BA9E-EA24D033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0" name="Picture 1169" descr="https://mail.google.com/mail/u/0/images/cleardot.gif">
          <a:extLst>
            <a:ext uri="{FF2B5EF4-FFF2-40B4-BE49-F238E27FC236}">
              <a16:creationId xmlns:a16="http://schemas.microsoft.com/office/drawing/2014/main" id="{71CE2E59-23FF-4696-99E3-D8A702B9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1" name="Picture 1170" descr="https://mail.google.com/mail/u/0/images/cleardot.gif">
          <a:extLst>
            <a:ext uri="{FF2B5EF4-FFF2-40B4-BE49-F238E27FC236}">
              <a16:creationId xmlns:a16="http://schemas.microsoft.com/office/drawing/2014/main" id="{1D1A9937-6CAB-4E07-8C41-D5C80E63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2" name="Picture 1171" descr="https://mail.google.com/mail/u/0/images/cleardot.gif">
          <a:extLst>
            <a:ext uri="{FF2B5EF4-FFF2-40B4-BE49-F238E27FC236}">
              <a16:creationId xmlns:a16="http://schemas.microsoft.com/office/drawing/2014/main" id="{57C6B4E2-4D05-4240-9817-8D2D2840C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3" name="Picture 1172" descr="https://mail.google.com/mail/u/0/images/cleardot.gif">
          <a:extLst>
            <a:ext uri="{FF2B5EF4-FFF2-40B4-BE49-F238E27FC236}">
              <a16:creationId xmlns:a16="http://schemas.microsoft.com/office/drawing/2014/main" id="{20C3CD31-C5AA-48A1-B3CA-DE7896C3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4" name="Picture 1173" descr="https://mail.google.com/mail/u/0/images/cleardot.gif">
          <a:extLst>
            <a:ext uri="{FF2B5EF4-FFF2-40B4-BE49-F238E27FC236}">
              <a16:creationId xmlns:a16="http://schemas.microsoft.com/office/drawing/2014/main" id="{BACA7A5E-383F-40DB-8387-70CB88C97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5" name="Picture 1174" descr="https://mail.google.com/mail/u/0/images/cleardot.gif">
          <a:extLst>
            <a:ext uri="{FF2B5EF4-FFF2-40B4-BE49-F238E27FC236}">
              <a16:creationId xmlns:a16="http://schemas.microsoft.com/office/drawing/2014/main" id="{32B303CA-8D08-4EA5-98E9-D9B04F8F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6" name="Picture 1175" descr="https://mail.google.com/mail/u/0/images/cleardot.gif">
          <a:extLst>
            <a:ext uri="{FF2B5EF4-FFF2-40B4-BE49-F238E27FC236}">
              <a16:creationId xmlns:a16="http://schemas.microsoft.com/office/drawing/2014/main" id="{8FD85A9D-5F32-4846-A358-1C810A31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7" name="Picture 1176" descr="https://mail.google.com/mail/u/0/images/cleardot.gif">
          <a:extLst>
            <a:ext uri="{FF2B5EF4-FFF2-40B4-BE49-F238E27FC236}">
              <a16:creationId xmlns:a16="http://schemas.microsoft.com/office/drawing/2014/main" id="{FA700716-EE05-4BE9-B9DA-EEE764EC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8" name="Picture 1177" descr="https://mail.google.com/mail/u/0/images/cleardot.gif">
          <a:extLst>
            <a:ext uri="{FF2B5EF4-FFF2-40B4-BE49-F238E27FC236}">
              <a16:creationId xmlns:a16="http://schemas.microsoft.com/office/drawing/2014/main" id="{70F5DCDA-F142-434D-A9E9-B36F8DC7D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79" name="Picture 1178" descr="https://mail.google.com/mail/u/0/images/cleardot.gif">
          <a:extLst>
            <a:ext uri="{FF2B5EF4-FFF2-40B4-BE49-F238E27FC236}">
              <a16:creationId xmlns:a16="http://schemas.microsoft.com/office/drawing/2014/main" id="{A34E5FA4-EE5B-488B-8C34-FAFF6A4E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0" name="Picture 1179" descr="https://mail.google.com/mail/u/0/images/cleardot.gif">
          <a:extLst>
            <a:ext uri="{FF2B5EF4-FFF2-40B4-BE49-F238E27FC236}">
              <a16:creationId xmlns:a16="http://schemas.microsoft.com/office/drawing/2014/main" id="{044C06FC-5D8D-4703-A1C0-3153348B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1" name="Picture 1180" descr="https://mail.google.com/mail/u/0/images/cleardot.gif">
          <a:extLst>
            <a:ext uri="{FF2B5EF4-FFF2-40B4-BE49-F238E27FC236}">
              <a16:creationId xmlns:a16="http://schemas.microsoft.com/office/drawing/2014/main" id="{2D6204F4-F15B-469B-9808-0A066197B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2" name="Picture 1181" descr="https://mail.google.com/mail/u/0/images/cleardot.gif">
          <a:extLst>
            <a:ext uri="{FF2B5EF4-FFF2-40B4-BE49-F238E27FC236}">
              <a16:creationId xmlns:a16="http://schemas.microsoft.com/office/drawing/2014/main" id="{DEF12CD0-8219-4C3B-9D90-1A037570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3" name="Picture 1182" descr="https://mail.google.com/mail/u/0/images/cleardot.gif">
          <a:extLst>
            <a:ext uri="{FF2B5EF4-FFF2-40B4-BE49-F238E27FC236}">
              <a16:creationId xmlns:a16="http://schemas.microsoft.com/office/drawing/2014/main" id="{41B2B04F-40BD-4CC1-9A64-F09226089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4" name="Picture 1183" descr="https://mail.google.com/mail/u/0/images/cleardot.gif">
          <a:extLst>
            <a:ext uri="{FF2B5EF4-FFF2-40B4-BE49-F238E27FC236}">
              <a16:creationId xmlns:a16="http://schemas.microsoft.com/office/drawing/2014/main" id="{92D035CC-35F5-4B97-8C9D-83BB409D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5" name="Picture 1184" descr="https://mail.google.com/mail/u/0/images/cleardot.gif">
          <a:extLst>
            <a:ext uri="{FF2B5EF4-FFF2-40B4-BE49-F238E27FC236}">
              <a16:creationId xmlns:a16="http://schemas.microsoft.com/office/drawing/2014/main" id="{2FA05305-9615-4441-B148-13F1E31C3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6" name="Picture 1185" descr="https://mail.google.com/mail/u/0/images/cleardot.gif">
          <a:extLst>
            <a:ext uri="{FF2B5EF4-FFF2-40B4-BE49-F238E27FC236}">
              <a16:creationId xmlns:a16="http://schemas.microsoft.com/office/drawing/2014/main" id="{6E3E2AAC-6A11-479F-B479-E304FD66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7" name="Picture 1186" descr="https://mail.google.com/mail/u/0/images/cleardot.gif">
          <a:extLst>
            <a:ext uri="{FF2B5EF4-FFF2-40B4-BE49-F238E27FC236}">
              <a16:creationId xmlns:a16="http://schemas.microsoft.com/office/drawing/2014/main" id="{F79A90FB-FC5B-40AB-9DD8-3F775A42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8" name="Picture 1187" descr="https://mail.google.com/mail/u/0/images/cleardot.gif">
          <a:extLst>
            <a:ext uri="{FF2B5EF4-FFF2-40B4-BE49-F238E27FC236}">
              <a16:creationId xmlns:a16="http://schemas.microsoft.com/office/drawing/2014/main" id="{C2E8D24C-32ED-49AB-A440-371F5F147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89" name="Picture 1188" descr="https://mail.google.com/mail/u/0/images/cleardot.gif">
          <a:extLst>
            <a:ext uri="{FF2B5EF4-FFF2-40B4-BE49-F238E27FC236}">
              <a16:creationId xmlns:a16="http://schemas.microsoft.com/office/drawing/2014/main" id="{C95887DF-3C27-4C04-988C-D1FF52CE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0" name="Picture 1189" descr="https://mail.google.com/mail/u/0/images/cleardot.gif">
          <a:extLst>
            <a:ext uri="{FF2B5EF4-FFF2-40B4-BE49-F238E27FC236}">
              <a16:creationId xmlns:a16="http://schemas.microsoft.com/office/drawing/2014/main" id="{6C3086E6-CD5F-4A15-8257-2045219C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1" name="Picture 1190" descr="https://mail.google.com/mail/u/0/images/cleardot.gif">
          <a:extLst>
            <a:ext uri="{FF2B5EF4-FFF2-40B4-BE49-F238E27FC236}">
              <a16:creationId xmlns:a16="http://schemas.microsoft.com/office/drawing/2014/main" id="{70B51F45-2EDC-4798-BB46-A3FB0965D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2" name="Picture 1191" descr="https://mail.google.com/mail/u/0/images/cleardot.gif">
          <a:extLst>
            <a:ext uri="{FF2B5EF4-FFF2-40B4-BE49-F238E27FC236}">
              <a16:creationId xmlns:a16="http://schemas.microsoft.com/office/drawing/2014/main" id="{B973EF8F-83EF-40F6-9D9B-CF4504A3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3" name="Picture 1192" descr="https://mail.google.com/mail/u/0/images/cleardot.gif">
          <a:extLst>
            <a:ext uri="{FF2B5EF4-FFF2-40B4-BE49-F238E27FC236}">
              <a16:creationId xmlns:a16="http://schemas.microsoft.com/office/drawing/2014/main" id="{D0CC49C4-666E-4991-89B6-6780C855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4" name="Picture 1193" descr="https://mail.google.com/mail/u/0/images/cleardot.gif">
          <a:extLst>
            <a:ext uri="{FF2B5EF4-FFF2-40B4-BE49-F238E27FC236}">
              <a16:creationId xmlns:a16="http://schemas.microsoft.com/office/drawing/2014/main" id="{046151FC-88A1-4A4C-AC8F-FE165171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5" name="Picture 1194" descr="https://mail.google.com/mail/u/0/images/cleardot.gif">
          <a:extLst>
            <a:ext uri="{FF2B5EF4-FFF2-40B4-BE49-F238E27FC236}">
              <a16:creationId xmlns:a16="http://schemas.microsoft.com/office/drawing/2014/main" id="{7BEFB320-D4A7-48FB-83D1-A916CD2EB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6" name="Picture 1195" descr="https://mail.google.com/mail/u/0/images/cleardot.gif">
          <a:extLst>
            <a:ext uri="{FF2B5EF4-FFF2-40B4-BE49-F238E27FC236}">
              <a16:creationId xmlns:a16="http://schemas.microsoft.com/office/drawing/2014/main" id="{80CF0398-789D-49AF-8267-7D158767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7" name="Picture 1196" descr="https://mail.google.com/mail/u/0/images/cleardot.gif">
          <a:extLst>
            <a:ext uri="{FF2B5EF4-FFF2-40B4-BE49-F238E27FC236}">
              <a16:creationId xmlns:a16="http://schemas.microsoft.com/office/drawing/2014/main" id="{158EA99D-353A-40CA-BF75-730CE33D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8" name="Picture 1197" descr="https://mail.google.com/mail/u/0/images/cleardot.gif">
          <a:extLst>
            <a:ext uri="{FF2B5EF4-FFF2-40B4-BE49-F238E27FC236}">
              <a16:creationId xmlns:a16="http://schemas.microsoft.com/office/drawing/2014/main" id="{273AFF3F-E2BF-40AE-ACB9-C30EA67E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199" name="Picture 1198" descr="https://mail.google.com/mail/u/0/images/cleardot.gif">
          <a:extLst>
            <a:ext uri="{FF2B5EF4-FFF2-40B4-BE49-F238E27FC236}">
              <a16:creationId xmlns:a16="http://schemas.microsoft.com/office/drawing/2014/main" id="{C59A7B0C-5FFC-4829-8677-C8436ABC8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0" name="Picture 1199" descr="https://mail.google.com/mail/u/0/images/cleardot.gif">
          <a:extLst>
            <a:ext uri="{FF2B5EF4-FFF2-40B4-BE49-F238E27FC236}">
              <a16:creationId xmlns:a16="http://schemas.microsoft.com/office/drawing/2014/main" id="{07B480F8-0A83-4D68-8239-3483922E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1" name="Picture 1200" descr="https://mail.google.com/mail/u/0/images/cleardot.gif">
          <a:extLst>
            <a:ext uri="{FF2B5EF4-FFF2-40B4-BE49-F238E27FC236}">
              <a16:creationId xmlns:a16="http://schemas.microsoft.com/office/drawing/2014/main" id="{327E66EB-6443-48D1-B6DB-B653BA4DD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2" name="Picture 1201" descr="https://mail.google.com/mail/u/0/images/cleardot.gif">
          <a:extLst>
            <a:ext uri="{FF2B5EF4-FFF2-40B4-BE49-F238E27FC236}">
              <a16:creationId xmlns:a16="http://schemas.microsoft.com/office/drawing/2014/main" id="{6D843436-7607-40B0-A71C-56295917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3" name="Picture 1202" descr="https://mail.google.com/mail/u/0/images/cleardot.gif">
          <a:extLst>
            <a:ext uri="{FF2B5EF4-FFF2-40B4-BE49-F238E27FC236}">
              <a16:creationId xmlns:a16="http://schemas.microsoft.com/office/drawing/2014/main" id="{1C20C1DA-B092-409D-89B5-2E74C92D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4" name="Picture 1203" descr="https://mail.google.com/mail/u/0/images/cleardot.gif">
          <a:extLst>
            <a:ext uri="{FF2B5EF4-FFF2-40B4-BE49-F238E27FC236}">
              <a16:creationId xmlns:a16="http://schemas.microsoft.com/office/drawing/2014/main" id="{9A98A379-FF67-4350-83FE-3B6280B6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5" name="Picture 1204" descr="https://mail.google.com/mail/u/0/images/cleardot.gif">
          <a:extLst>
            <a:ext uri="{FF2B5EF4-FFF2-40B4-BE49-F238E27FC236}">
              <a16:creationId xmlns:a16="http://schemas.microsoft.com/office/drawing/2014/main" id="{C6EFF38A-1009-4E39-BC2D-01A925004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6" name="Picture 1205" descr="https://mail.google.com/mail/u/0/images/cleardot.gif">
          <a:extLst>
            <a:ext uri="{FF2B5EF4-FFF2-40B4-BE49-F238E27FC236}">
              <a16:creationId xmlns:a16="http://schemas.microsoft.com/office/drawing/2014/main" id="{5DFD87AE-2231-4AEC-859B-817AEEDC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7" name="Picture 1206" descr="https://mail.google.com/mail/u/0/images/cleardot.gif">
          <a:extLst>
            <a:ext uri="{FF2B5EF4-FFF2-40B4-BE49-F238E27FC236}">
              <a16:creationId xmlns:a16="http://schemas.microsoft.com/office/drawing/2014/main" id="{EC0064B1-8B8D-499F-8279-CC36AC23C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8" name="Picture 1207" descr="https://mail.google.com/mail/u/0/images/cleardot.gif">
          <a:extLst>
            <a:ext uri="{FF2B5EF4-FFF2-40B4-BE49-F238E27FC236}">
              <a16:creationId xmlns:a16="http://schemas.microsoft.com/office/drawing/2014/main" id="{CDB48B3E-6562-46BF-B462-56D19F31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09" name="Picture 1208" descr="https://mail.google.com/mail/u/0/images/cleardot.gif">
          <a:extLst>
            <a:ext uri="{FF2B5EF4-FFF2-40B4-BE49-F238E27FC236}">
              <a16:creationId xmlns:a16="http://schemas.microsoft.com/office/drawing/2014/main" id="{8635DF84-B86F-401F-86DF-82552505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0" name="Picture 1209" descr="https://mail.google.com/mail/u/0/images/cleardot.gif">
          <a:extLst>
            <a:ext uri="{FF2B5EF4-FFF2-40B4-BE49-F238E27FC236}">
              <a16:creationId xmlns:a16="http://schemas.microsoft.com/office/drawing/2014/main" id="{6F313791-BC29-4DAD-AA45-E2EDA721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1" name="Picture 1210" descr="https://mail.google.com/mail/u/0/images/cleardot.gif">
          <a:extLst>
            <a:ext uri="{FF2B5EF4-FFF2-40B4-BE49-F238E27FC236}">
              <a16:creationId xmlns:a16="http://schemas.microsoft.com/office/drawing/2014/main" id="{81721084-0835-4D57-A3F4-EB6CEB536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2" name="Picture 1211" descr="https://mail.google.com/mail/u/0/images/cleardot.gif">
          <a:extLst>
            <a:ext uri="{FF2B5EF4-FFF2-40B4-BE49-F238E27FC236}">
              <a16:creationId xmlns:a16="http://schemas.microsoft.com/office/drawing/2014/main" id="{992580FD-95A1-4A5B-8A9B-9483EAF1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3" name="Picture 1212" descr="https://mail.google.com/mail/u/0/images/cleardot.gif">
          <a:extLst>
            <a:ext uri="{FF2B5EF4-FFF2-40B4-BE49-F238E27FC236}">
              <a16:creationId xmlns:a16="http://schemas.microsoft.com/office/drawing/2014/main" id="{A188B924-1D4C-40D1-984D-CBD4D7A66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4" name="Picture 1213" descr="https://mail.google.com/mail/u/0/images/cleardot.gif">
          <a:extLst>
            <a:ext uri="{FF2B5EF4-FFF2-40B4-BE49-F238E27FC236}">
              <a16:creationId xmlns:a16="http://schemas.microsoft.com/office/drawing/2014/main" id="{F287EEA9-B145-4C8B-8A00-63DC29AF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5" name="Picture 1214" descr="https://mail.google.com/mail/u/0/images/cleardot.gif">
          <a:extLst>
            <a:ext uri="{FF2B5EF4-FFF2-40B4-BE49-F238E27FC236}">
              <a16:creationId xmlns:a16="http://schemas.microsoft.com/office/drawing/2014/main" id="{D708A8A4-FC63-4253-9D86-0AFE9BB1C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6" name="Picture 1215" descr="https://mail.google.com/mail/u/0/images/cleardot.gif">
          <a:extLst>
            <a:ext uri="{FF2B5EF4-FFF2-40B4-BE49-F238E27FC236}">
              <a16:creationId xmlns:a16="http://schemas.microsoft.com/office/drawing/2014/main" id="{32B86C95-B0E9-4ED5-91FE-F67EF8CCC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7" name="Picture 1216" descr="https://mail.google.com/mail/u/0/images/cleardot.gif">
          <a:extLst>
            <a:ext uri="{FF2B5EF4-FFF2-40B4-BE49-F238E27FC236}">
              <a16:creationId xmlns:a16="http://schemas.microsoft.com/office/drawing/2014/main" id="{F2BBBCFC-2B9A-4B7B-BDB4-D62A97BB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8" name="Picture 1217" descr="https://mail.google.com/mail/u/0/images/cleardot.gif">
          <a:extLst>
            <a:ext uri="{FF2B5EF4-FFF2-40B4-BE49-F238E27FC236}">
              <a16:creationId xmlns:a16="http://schemas.microsoft.com/office/drawing/2014/main" id="{5887FFC3-A48F-4140-A389-57E876E14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19" name="Picture 1218" descr="https://mail.google.com/mail/u/0/images/cleardot.gif">
          <a:extLst>
            <a:ext uri="{FF2B5EF4-FFF2-40B4-BE49-F238E27FC236}">
              <a16:creationId xmlns:a16="http://schemas.microsoft.com/office/drawing/2014/main" id="{C6ECAB8F-E165-4B33-8C4F-10C78D5C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0" name="Picture 1219" descr="https://mail.google.com/mail/u/0/images/cleardot.gif">
          <a:extLst>
            <a:ext uri="{FF2B5EF4-FFF2-40B4-BE49-F238E27FC236}">
              <a16:creationId xmlns:a16="http://schemas.microsoft.com/office/drawing/2014/main" id="{C60F0733-60C2-41AF-B1F2-4FE1B0181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1" name="Picture 1220" descr="https://mail.google.com/mail/u/0/images/cleardot.gif">
          <a:extLst>
            <a:ext uri="{FF2B5EF4-FFF2-40B4-BE49-F238E27FC236}">
              <a16:creationId xmlns:a16="http://schemas.microsoft.com/office/drawing/2014/main" id="{A17A18A0-1FA8-4572-9DCE-100B92D8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2" name="Picture 1221" descr="https://mail.google.com/mail/u/0/images/cleardot.gif">
          <a:extLst>
            <a:ext uri="{FF2B5EF4-FFF2-40B4-BE49-F238E27FC236}">
              <a16:creationId xmlns:a16="http://schemas.microsoft.com/office/drawing/2014/main" id="{86ADCF7A-5F35-41D6-B7A5-852237483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3" name="Picture 1222" descr="https://mail.google.com/mail/u/0/images/cleardot.gif">
          <a:extLst>
            <a:ext uri="{FF2B5EF4-FFF2-40B4-BE49-F238E27FC236}">
              <a16:creationId xmlns:a16="http://schemas.microsoft.com/office/drawing/2014/main" id="{EA066845-D14D-4A5C-86C1-FD4BB982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4" name="Picture 1223" descr="https://mail.google.com/mail/u/0/images/cleardot.gif">
          <a:extLst>
            <a:ext uri="{FF2B5EF4-FFF2-40B4-BE49-F238E27FC236}">
              <a16:creationId xmlns:a16="http://schemas.microsoft.com/office/drawing/2014/main" id="{58A35B61-6248-449D-8769-2457B991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5" name="Picture 1224" descr="https://mail.google.com/mail/u/0/images/cleardot.gif">
          <a:extLst>
            <a:ext uri="{FF2B5EF4-FFF2-40B4-BE49-F238E27FC236}">
              <a16:creationId xmlns:a16="http://schemas.microsoft.com/office/drawing/2014/main" id="{63A06788-198E-42AC-8B26-E298DB373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6" name="Picture 1225" descr="https://mail.google.com/mail/u/0/images/cleardot.gif">
          <a:extLst>
            <a:ext uri="{FF2B5EF4-FFF2-40B4-BE49-F238E27FC236}">
              <a16:creationId xmlns:a16="http://schemas.microsoft.com/office/drawing/2014/main" id="{B57B2CFB-24A5-49D1-9C1C-D23E4016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7" name="Picture 1226" descr="https://mail.google.com/mail/u/0/images/cleardot.gif">
          <a:extLst>
            <a:ext uri="{FF2B5EF4-FFF2-40B4-BE49-F238E27FC236}">
              <a16:creationId xmlns:a16="http://schemas.microsoft.com/office/drawing/2014/main" id="{0239EB23-23AD-46CE-9979-D0675055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8" name="Picture 1227" descr="https://mail.google.com/mail/u/0/images/cleardot.gif">
          <a:extLst>
            <a:ext uri="{FF2B5EF4-FFF2-40B4-BE49-F238E27FC236}">
              <a16:creationId xmlns:a16="http://schemas.microsoft.com/office/drawing/2014/main" id="{503492D1-1FA2-443C-BF73-05336A1DE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29" name="Picture 1228" descr="https://mail.google.com/mail/u/0/images/cleardot.gif">
          <a:extLst>
            <a:ext uri="{FF2B5EF4-FFF2-40B4-BE49-F238E27FC236}">
              <a16:creationId xmlns:a16="http://schemas.microsoft.com/office/drawing/2014/main" id="{7CC060A5-5117-47E9-ABF3-5FD0F8A4C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0" name="Picture 1229" descr="https://mail.google.com/mail/u/0/images/cleardot.gif">
          <a:extLst>
            <a:ext uri="{FF2B5EF4-FFF2-40B4-BE49-F238E27FC236}">
              <a16:creationId xmlns:a16="http://schemas.microsoft.com/office/drawing/2014/main" id="{1EB2BDBC-686C-4629-B579-629C41CE9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1" name="Picture 1230" descr="https://mail.google.com/mail/u/0/images/cleardot.gif">
          <a:extLst>
            <a:ext uri="{FF2B5EF4-FFF2-40B4-BE49-F238E27FC236}">
              <a16:creationId xmlns:a16="http://schemas.microsoft.com/office/drawing/2014/main" id="{A2BD5A32-DC29-4770-B4E8-CED27BC3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2" name="Picture 1231" descr="https://mail.google.com/mail/u/0/images/cleardot.gif">
          <a:extLst>
            <a:ext uri="{FF2B5EF4-FFF2-40B4-BE49-F238E27FC236}">
              <a16:creationId xmlns:a16="http://schemas.microsoft.com/office/drawing/2014/main" id="{C1DFA624-5FE6-4971-A2BC-58BD4F9D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3" name="Picture 1232" descr="https://mail.google.com/mail/u/0/images/cleardot.gif">
          <a:extLst>
            <a:ext uri="{FF2B5EF4-FFF2-40B4-BE49-F238E27FC236}">
              <a16:creationId xmlns:a16="http://schemas.microsoft.com/office/drawing/2014/main" id="{33868C6D-8D04-4CC0-AB82-2CFCA70A8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4" name="Picture 1233" descr="https://mail.google.com/mail/u/0/images/cleardot.gif">
          <a:extLst>
            <a:ext uri="{FF2B5EF4-FFF2-40B4-BE49-F238E27FC236}">
              <a16:creationId xmlns:a16="http://schemas.microsoft.com/office/drawing/2014/main" id="{7B1F1587-34C6-4ABF-B530-9D992561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5" name="Picture 1234" descr="https://mail.google.com/mail/u/0/images/cleardot.gif">
          <a:extLst>
            <a:ext uri="{FF2B5EF4-FFF2-40B4-BE49-F238E27FC236}">
              <a16:creationId xmlns:a16="http://schemas.microsoft.com/office/drawing/2014/main" id="{25355AB1-C9F0-42E7-A999-3D317CD0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6" name="Picture 1235" descr="https://mail.google.com/mail/u/0/images/cleardot.gif">
          <a:extLst>
            <a:ext uri="{FF2B5EF4-FFF2-40B4-BE49-F238E27FC236}">
              <a16:creationId xmlns:a16="http://schemas.microsoft.com/office/drawing/2014/main" id="{A99251A9-8E72-4727-A6F2-D10218145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7" name="Picture 1236" descr="https://mail.google.com/mail/u/0/images/cleardot.gif">
          <a:extLst>
            <a:ext uri="{FF2B5EF4-FFF2-40B4-BE49-F238E27FC236}">
              <a16:creationId xmlns:a16="http://schemas.microsoft.com/office/drawing/2014/main" id="{66C9C6CA-CB97-4FD3-BF9A-19AA130F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8" name="Picture 1237" descr="https://mail.google.com/mail/u/0/images/cleardot.gif">
          <a:extLst>
            <a:ext uri="{FF2B5EF4-FFF2-40B4-BE49-F238E27FC236}">
              <a16:creationId xmlns:a16="http://schemas.microsoft.com/office/drawing/2014/main" id="{3B65CCF2-7E51-44CA-A163-3C8AF52BA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39" name="Picture 1238" descr="https://mail.google.com/mail/u/0/images/cleardot.gif">
          <a:extLst>
            <a:ext uri="{FF2B5EF4-FFF2-40B4-BE49-F238E27FC236}">
              <a16:creationId xmlns:a16="http://schemas.microsoft.com/office/drawing/2014/main" id="{69195E60-D9AF-48A9-829B-672E210D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0" name="Picture 1239" descr="https://mail.google.com/mail/u/0/images/cleardot.gif">
          <a:extLst>
            <a:ext uri="{FF2B5EF4-FFF2-40B4-BE49-F238E27FC236}">
              <a16:creationId xmlns:a16="http://schemas.microsoft.com/office/drawing/2014/main" id="{75C64725-B51B-432E-8F0A-C59241F6D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1" name="Picture 1240" descr="https://mail.google.com/mail/u/0/images/cleardot.gif">
          <a:extLst>
            <a:ext uri="{FF2B5EF4-FFF2-40B4-BE49-F238E27FC236}">
              <a16:creationId xmlns:a16="http://schemas.microsoft.com/office/drawing/2014/main" id="{26755A36-A177-4D1C-9BE0-7F06BEF9B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2" name="Picture 1241" descr="https://mail.google.com/mail/u/0/images/cleardot.gif">
          <a:extLst>
            <a:ext uri="{FF2B5EF4-FFF2-40B4-BE49-F238E27FC236}">
              <a16:creationId xmlns:a16="http://schemas.microsoft.com/office/drawing/2014/main" id="{6153F23D-36F6-4A8B-8A8A-CA1CF85CE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3" name="Picture 1242" descr="https://mail.google.com/mail/u/0/images/cleardot.gif">
          <a:extLst>
            <a:ext uri="{FF2B5EF4-FFF2-40B4-BE49-F238E27FC236}">
              <a16:creationId xmlns:a16="http://schemas.microsoft.com/office/drawing/2014/main" id="{F4472CD2-DBAE-4AA3-BED6-E7A405AD2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4" name="Picture 1243" descr="https://mail.google.com/mail/u/0/images/cleardot.gif">
          <a:extLst>
            <a:ext uri="{FF2B5EF4-FFF2-40B4-BE49-F238E27FC236}">
              <a16:creationId xmlns:a16="http://schemas.microsoft.com/office/drawing/2014/main" id="{DC81F355-5706-487C-8378-59165E9A9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5" name="Picture 1244" descr="https://mail.google.com/mail/u/0/images/cleardot.gif">
          <a:extLst>
            <a:ext uri="{FF2B5EF4-FFF2-40B4-BE49-F238E27FC236}">
              <a16:creationId xmlns:a16="http://schemas.microsoft.com/office/drawing/2014/main" id="{91EC43C0-F96D-4689-8B92-AA88811E8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6" name="Picture 1245" descr="https://mail.google.com/mail/u/0/images/cleardot.gif">
          <a:extLst>
            <a:ext uri="{FF2B5EF4-FFF2-40B4-BE49-F238E27FC236}">
              <a16:creationId xmlns:a16="http://schemas.microsoft.com/office/drawing/2014/main" id="{96081C7F-B1FF-4B9B-88F0-35BE57BA0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7" name="Picture 1246" descr="https://mail.google.com/mail/u/0/images/cleardot.gif">
          <a:extLst>
            <a:ext uri="{FF2B5EF4-FFF2-40B4-BE49-F238E27FC236}">
              <a16:creationId xmlns:a16="http://schemas.microsoft.com/office/drawing/2014/main" id="{4F0EC0B1-3AF2-4365-9099-5193F58E2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8" name="Picture 1247" descr="https://mail.google.com/mail/u/0/images/cleardot.gif">
          <a:extLst>
            <a:ext uri="{FF2B5EF4-FFF2-40B4-BE49-F238E27FC236}">
              <a16:creationId xmlns:a16="http://schemas.microsoft.com/office/drawing/2014/main" id="{40CC3F05-FD0E-42D2-98CD-E885879B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49" name="Picture 1248" descr="https://mail.google.com/mail/u/0/images/cleardot.gif">
          <a:extLst>
            <a:ext uri="{FF2B5EF4-FFF2-40B4-BE49-F238E27FC236}">
              <a16:creationId xmlns:a16="http://schemas.microsoft.com/office/drawing/2014/main" id="{70B80350-FB99-4FA0-BC3E-546F7CC9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0" name="Picture 1249" descr="https://mail.google.com/mail/u/0/images/cleardot.gif">
          <a:extLst>
            <a:ext uri="{FF2B5EF4-FFF2-40B4-BE49-F238E27FC236}">
              <a16:creationId xmlns:a16="http://schemas.microsoft.com/office/drawing/2014/main" id="{2630FE14-F6EC-4622-8293-EF37248C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1" name="Picture 1250" descr="https://mail.google.com/mail/u/0/images/cleardot.gif">
          <a:extLst>
            <a:ext uri="{FF2B5EF4-FFF2-40B4-BE49-F238E27FC236}">
              <a16:creationId xmlns:a16="http://schemas.microsoft.com/office/drawing/2014/main" id="{852B9FB4-9A4C-4C59-BC8D-E7CAB712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2" name="Picture 1251" descr="https://mail.google.com/mail/u/0/images/cleardot.gif">
          <a:extLst>
            <a:ext uri="{FF2B5EF4-FFF2-40B4-BE49-F238E27FC236}">
              <a16:creationId xmlns:a16="http://schemas.microsoft.com/office/drawing/2014/main" id="{75CA4695-1A5D-48C1-BB36-2A690EEF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3" name="Picture 1252" descr="https://mail.google.com/mail/u/0/images/cleardot.gif">
          <a:extLst>
            <a:ext uri="{FF2B5EF4-FFF2-40B4-BE49-F238E27FC236}">
              <a16:creationId xmlns:a16="http://schemas.microsoft.com/office/drawing/2014/main" id="{6AA01DF0-6193-402E-A8CB-BB07591C2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4" name="Picture 1253" descr="https://mail.google.com/mail/u/0/images/cleardot.gif">
          <a:extLst>
            <a:ext uri="{FF2B5EF4-FFF2-40B4-BE49-F238E27FC236}">
              <a16:creationId xmlns:a16="http://schemas.microsoft.com/office/drawing/2014/main" id="{83046A73-40BB-4441-BFC8-8D3056A58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5" name="Picture 1254" descr="https://mail.google.com/mail/u/0/images/cleardot.gif">
          <a:extLst>
            <a:ext uri="{FF2B5EF4-FFF2-40B4-BE49-F238E27FC236}">
              <a16:creationId xmlns:a16="http://schemas.microsoft.com/office/drawing/2014/main" id="{555DF2AF-42F5-4DE7-8FDE-20146770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6" name="Picture 1255" descr="https://mail.google.com/mail/u/0/images/cleardot.gif">
          <a:extLst>
            <a:ext uri="{FF2B5EF4-FFF2-40B4-BE49-F238E27FC236}">
              <a16:creationId xmlns:a16="http://schemas.microsoft.com/office/drawing/2014/main" id="{4FAB514E-BD51-4928-88F4-4252030A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7" name="Picture 1256" descr="https://mail.google.com/mail/u/0/images/cleardot.gif">
          <a:extLst>
            <a:ext uri="{FF2B5EF4-FFF2-40B4-BE49-F238E27FC236}">
              <a16:creationId xmlns:a16="http://schemas.microsoft.com/office/drawing/2014/main" id="{3BC18852-6947-4FD0-9D98-9BF77D3C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8" name="Picture 1257" descr="https://mail.google.com/mail/u/0/images/cleardot.gif">
          <a:extLst>
            <a:ext uri="{FF2B5EF4-FFF2-40B4-BE49-F238E27FC236}">
              <a16:creationId xmlns:a16="http://schemas.microsoft.com/office/drawing/2014/main" id="{FE4F2108-B022-44D2-B6CA-6E133EF40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59" name="Picture 1258" descr="https://mail.google.com/mail/u/0/images/cleardot.gif">
          <a:extLst>
            <a:ext uri="{FF2B5EF4-FFF2-40B4-BE49-F238E27FC236}">
              <a16:creationId xmlns:a16="http://schemas.microsoft.com/office/drawing/2014/main" id="{9212239A-EF8D-4035-9494-5120004D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0" name="Picture 1259" descr="https://mail.google.com/mail/u/0/images/cleardot.gif">
          <a:extLst>
            <a:ext uri="{FF2B5EF4-FFF2-40B4-BE49-F238E27FC236}">
              <a16:creationId xmlns:a16="http://schemas.microsoft.com/office/drawing/2014/main" id="{AF8D997C-08AE-4204-879E-8DB5C98D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1" name="Picture 1260" descr="https://mail.google.com/mail/u/0/images/cleardot.gif">
          <a:extLst>
            <a:ext uri="{FF2B5EF4-FFF2-40B4-BE49-F238E27FC236}">
              <a16:creationId xmlns:a16="http://schemas.microsoft.com/office/drawing/2014/main" id="{8DB67F8C-286E-4CF0-920C-4B7FFB10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2" name="Picture 1261" descr="https://mail.google.com/mail/u/0/images/cleardot.gif">
          <a:extLst>
            <a:ext uri="{FF2B5EF4-FFF2-40B4-BE49-F238E27FC236}">
              <a16:creationId xmlns:a16="http://schemas.microsoft.com/office/drawing/2014/main" id="{8FA2B713-1F3F-414C-A41C-172C6952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3" name="Picture 1262" descr="https://mail.google.com/mail/u/0/images/cleardot.gif">
          <a:extLst>
            <a:ext uri="{FF2B5EF4-FFF2-40B4-BE49-F238E27FC236}">
              <a16:creationId xmlns:a16="http://schemas.microsoft.com/office/drawing/2014/main" id="{098BF775-CD08-451B-9FC3-8525D1EAB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4" name="Picture 1263" descr="https://mail.google.com/mail/u/0/images/cleardot.gif">
          <a:extLst>
            <a:ext uri="{FF2B5EF4-FFF2-40B4-BE49-F238E27FC236}">
              <a16:creationId xmlns:a16="http://schemas.microsoft.com/office/drawing/2014/main" id="{632F5B48-8699-44CC-B58B-A573270DE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5" name="Picture 1264" descr="https://mail.google.com/mail/u/0/images/cleardot.gif">
          <a:extLst>
            <a:ext uri="{FF2B5EF4-FFF2-40B4-BE49-F238E27FC236}">
              <a16:creationId xmlns:a16="http://schemas.microsoft.com/office/drawing/2014/main" id="{53F30C77-DEE5-46D6-A1A0-72872466B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6" name="Picture 1265" descr="https://mail.google.com/mail/u/0/images/cleardot.gif">
          <a:extLst>
            <a:ext uri="{FF2B5EF4-FFF2-40B4-BE49-F238E27FC236}">
              <a16:creationId xmlns:a16="http://schemas.microsoft.com/office/drawing/2014/main" id="{A22888DA-F4F2-4751-8B63-78F0A040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7" name="Picture 1266" descr="https://mail.google.com/mail/u/0/images/cleardot.gif">
          <a:extLst>
            <a:ext uri="{FF2B5EF4-FFF2-40B4-BE49-F238E27FC236}">
              <a16:creationId xmlns:a16="http://schemas.microsoft.com/office/drawing/2014/main" id="{523FA247-7C31-43F8-8DA0-B26DB41A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8" name="Picture 1267" descr="https://mail.google.com/mail/u/0/images/cleardot.gif">
          <a:extLst>
            <a:ext uri="{FF2B5EF4-FFF2-40B4-BE49-F238E27FC236}">
              <a16:creationId xmlns:a16="http://schemas.microsoft.com/office/drawing/2014/main" id="{2C0FCCFF-C4B2-4FCE-BB46-A8588BCB9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69" name="Picture 1268" descr="https://mail.google.com/mail/u/0/images/cleardot.gif">
          <a:extLst>
            <a:ext uri="{FF2B5EF4-FFF2-40B4-BE49-F238E27FC236}">
              <a16:creationId xmlns:a16="http://schemas.microsoft.com/office/drawing/2014/main" id="{D24B77AD-0959-4312-BF91-53C795A2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0" name="Picture 1269" descr="https://mail.google.com/mail/u/0/images/cleardot.gif">
          <a:extLst>
            <a:ext uri="{FF2B5EF4-FFF2-40B4-BE49-F238E27FC236}">
              <a16:creationId xmlns:a16="http://schemas.microsoft.com/office/drawing/2014/main" id="{789BC1D6-ABFB-44C1-8343-E10FAF2C3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1" name="Picture 1270" descr="https://mail.google.com/mail/u/0/images/cleardot.gif">
          <a:extLst>
            <a:ext uri="{FF2B5EF4-FFF2-40B4-BE49-F238E27FC236}">
              <a16:creationId xmlns:a16="http://schemas.microsoft.com/office/drawing/2014/main" id="{69E37443-D748-4366-A786-4E1E6CE8D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2" name="Picture 1271" descr="https://mail.google.com/mail/u/0/images/cleardot.gif">
          <a:extLst>
            <a:ext uri="{FF2B5EF4-FFF2-40B4-BE49-F238E27FC236}">
              <a16:creationId xmlns:a16="http://schemas.microsoft.com/office/drawing/2014/main" id="{93A88663-D49E-4654-9134-3D98726DE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3" name="Picture 1272" descr="https://mail.google.com/mail/u/0/images/cleardot.gif">
          <a:extLst>
            <a:ext uri="{FF2B5EF4-FFF2-40B4-BE49-F238E27FC236}">
              <a16:creationId xmlns:a16="http://schemas.microsoft.com/office/drawing/2014/main" id="{24979514-55F5-4771-9415-C4632037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4" name="Picture 1273" descr="https://mail.google.com/mail/u/0/images/cleardot.gif">
          <a:extLst>
            <a:ext uri="{FF2B5EF4-FFF2-40B4-BE49-F238E27FC236}">
              <a16:creationId xmlns:a16="http://schemas.microsoft.com/office/drawing/2014/main" id="{6068744A-524A-4DAE-8284-434E349F7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5" name="Picture 1274" descr="https://mail.google.com/mail/u/0/images/cleardot.gif">
          <a:extLst>
            <a:ext uri="{FF2B5EF4-FFF2-40B4-BE49-F238E27FC236}">
              <a16:creationId xmlns:a16="http://schemas.microsoft.com/office/drawing/2014/main" id="{09279102-655C-46BB-9395-6D53D8065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6" name="Picture 1275" descr="https://mail.google.com/mail/u/0/images/cleardot.gif">
          <a:extLst>
            <a:ext uri="{FF2B5EF4-FFF2-40B4-BE49-F238E27FC236}">
              <a16:creationId xmlns:a16="http://schemas.microsoft.com/office/drawing/2014/main" id="{2083B2EC-2DDA-46A2-8BC6-7B5CBAB3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7" name="Picture 1276" descr="https://mail.google.com/mail/u/0/images/cleardot.gif">
          <a:extLst>
            <a:ext uri="{FF2B5EF4-FFF2-40B4-BE49-F238E27FC236}">
              <a16:creationId xmlns:a16="http://schemas.microsoft.com/office/drawing/2014/main" id="{BA11BFAF-3D4A-4EDF-8CA4-8B3E5A12F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8" name="Picture 1277" descr="https://mail.google.com/mail/u/0/images/cleardot.gif">
          <a:extLst>
            <a:ext uri="{FF2B5EF4-FFF2-40B4-BE49-F238E27FC236}">
              <a16:creationId xmlns:a16="http://schemas.microsoft.com/office/drawing/2014/main" id="{94A42C78-75F7-41E2-A5DD-007025046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79" name="Picture 1278" descr="https://mail.google.com/mail/u/0/images/cleardot.gif">
          <a:extLst>
            <a:ext uri="{FF2B5EF4-FFF2-40B4-BE49-F238E27FC236}">
              <a16:creationId xmlns:a16="http://schemas.microsoft.com/office/drawing/2014/main" id="{F38D49CF-F7DE-4594-BEBF-07A3D3540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0" name="Picture 1279" descr="https://mail.google.com/mail/u/0/images/cleardot.gif">
          <a:extLst>
            <a:ext uri="{FF2B5EF4-FFF2-40B4-BE49-F238E27FC236}">
              <a16:creationId xmlns:a16="http://schemas.microsoft.com/office/drawing/2014/main" id="{69352640-8700-4F28-9A76-FD722A13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1" name="Picture 1280" descr="https://mail.google.com/mail/u/0/images/cleardot.gif">
          <a:extLst>
            <a:ext uri="{FF2B5EF4-FFF2-40B4-BE49-F238E27FC236}">
              <a16:creationId xmlns:a16="http://schemas.microsoft.com/office/drawing/2014/main" id="{4D70CDF5-80D4-4CEA-92CE-CCE06D71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2" name="Picture 1281" descr="https://mail.google.com/mail/u/0/images/cleardot.gif">
          <a:extLst>
            <a:ext uri="{FF2B5EF4-FFF2-40B4-BE49-F238E27FC236}">
              <a16:creationId xmlns:a16="http://schemas.microsoft.com/office/drawing/2014/main" id="{C96C1DF4-15AE-4B5B-81E7-04582293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3" name="Picture 1282" descr="https://mail.google.com/mail/u/0/images/cleardot.gif">
          <a:extLst>
            <a:ext uri="{FF2B5EF4-FFF2-40B4-BE49-F238E27FC236}">
              <a16:creationId xmlns:a16="http://schemas.microsoft.com/office/drawing/2014/main" id="{EA45C8D7-35A1-4103-B383-727A5124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4" name="Picture 1283" descr="https://mail.google.com/mail/u/0/images/cleardot.gif">
          <a:extLst>
            <a:ext uri="{FF2B5EF4-FFF2-40B4-BE49-F238E27FC236}">
              <a16:creationId xmlns:a16="http://schemas.microsoft.com/office/drawing/2014/main" id="{C524648B-852A-4609-BE4B-4B67B0B1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5" name="Picture 1284" descr="https://mail.google.com/mail/u/0/images/cleardot.gif">
          <a:extLst>
            <a:ext uri="{FF2B5EF4-FFF2-40B4-BE49-F238E27FC236}">
              <a16:creationId xmlns:a16="http://schemas.microsoft.com/office/drawing/2014/main" id="{EDDA6D1C-EA0A-4E76-9109-202B9E4A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6" name="Picture 1285" descr="https://mail.google.com/mail/u/0/images/cleardot.gif">
          <a:extLst>
            <a:ext uri="{FF2B5EF4-FFF2-40B4-BE49-F238E27FC236}">
              <a16:creationId xmlns:a16="http://schemas.microsoft.com/office/drawing/2014/main" id="{83516E17-E89E-4F77-A894-D68DF027C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7" name="Picture 1286" descr="https://mail.google.com/mail/u/0/images/cleardot.gif">
          <a:extLst>
            <a:ext uri="{FF2B5EF4-FFF2-40B4-BE49-F238E27FC236}">
              <a16:creationId xmlns:a16="http://schemas.microsoft.com/office/drawing/2014/main" id="{D0ABFC94-3D14-492E-9464-265C3D97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8" name="Picture 1287" descr="https://mail.google.com/mail/u/0/images/cleardot.gif">
          <a:extLst>
            <a:ext uri="{FF2B5EF4-FFF2-40B4-BE49-F238E27FC236}">
              <a16:creationId xmlns:a16="http://schemas.microsoft.com/office/drawing/2014/main" id="{3F7A5957-1A76-4D28-9BE6-549EE81E8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89" name="Picture 1288" descr="https://mail.google.com/mail/u/0/images/cleardot.gif">
          <a:extLst>
            <a:ext uri="{FF2B5EF4-FFF2-40B4-BE49-F238E27FC236}">
              <a16:creationId xmlns:a16="http://schemas.microsoft.com/office/drawing/2014/main" id="{F307133A-BB20-4B04-AAAF-E03F3B381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0" name="Picture 1289" descr="https://mail.google.com/mail/u/0/images/cleardot.gif">
          <a:extLst>
            <a:ext uri="{FF2B5EF4-FFF2-40B4-BE49-F238E27FC236}">
              <a16:creationId xmlns:a16="http://schemas.microsoft.com/office/drawing/2014/main" id="{8654E67E-BC62-42D6-BCC1-4115CA842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1" name="Picture 1290" descr="https://mail.google.com/mail/u/0/images/cleardot.gif">
          <a:extLst>
            <a:ext uri="{FF2B5EF4-FFF2-40B4-BE49-F238E27FC236}">
              <a16:creationId xmlns:a16="http://schemas.microsoft.com/office/drawing/2014/main" id="{4B388103-2F65-45EE-B6B0-8ED5F30F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2" name="Picture 1291" descr="https://mail.google.com/mail/u/0/images/cleardot.gif">
          <a:extLst>
            <a:ext uri="{FF2B5EF4-FFF2-40B4-BE49-F238E27FC236}">
              <a16:creationId xmlns:a16="http://schemas.microsoft.com/office/drawing/2014/main" id="{46397124-B8C6-49DD-8DE9-462A4DA72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3" name="Picture 1292" descr="https://mail.google.com/mail/u/0/images/cleardot.gif">
          <a:extLst>
            <a:ext uri="{FF2B5EF4-FFF2-40B4-BE49-F238E27FC236}">
              <a16:creationId xmlns:a16="http://schemas.microsoft.com/office/drawing/2014/main" id="{FE24E5E8-E6EB-4D83-8BBF-691D3D84D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4" name="Picture 1293" descr="https://mail.google.com/mail/u/0/images/cleardot.gif">
          <a:extLst>
            <a:ext uri="{FF2B5EF4-FFF2-40B4-BE49-F238E27FC236}">
              <a16:creationId xmlns:a16="http://schemas.microsoft.com/office/drawing/2014/main" id="{BC256EBF-EE40-45F7-806B-509BB697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5" name="Picture 1294" descr="https://mail.google.com/mail/u/0/images/cleardot.gif">
          <a:extLst>
            <a:ext uri="{FF2B5EF4-FFF2-40B4-BE49-F238E27FC236}">
              <a16:creationId xmlns:a16="http://schemas.microsoft.com/office/drawing/2014/main" id="{ED7EC95F-0B64-4675-86B3-9F25ED78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6" name="Picture 1295" descr="https://mail.google.com/mail/u/0/images/cleardot.gif">
          <a:extLst>
            <a:ext uri="{FF2B5EF4-FFF2-40B4-BE49-F238E27FC236}">
              <a16:creationId xmlns:a16="http://schemas.microsoft.com/office/drawing/2014/main" id="{D0B2ABEA-36AC-4988-A7F6-C7DB0B3C3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7" name="Picture 1296" descr="https://mail.google.com/mail/u/0/images/cleardot.gif">
          <a:extLst>
            <a:ext uri="{FF2B5EF4-FFF2-40B4-BE49-F238E27FC236}">
              <a16:creationId xmlns:a16="http://schemas.microsoft.com/office/drawing/2014/main" id="{538714C9-DF73-43AA-9D1E-8CD5F08D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8" name="Picture 1297" descr="https://mail.google.com/mail/u/0/images/cleardot.gif">
          <a:extLst>
            <a:ext uri="{FF2B5EF4-FFF2-40B4-BE49-F238E27FC236}">
              <a16:creationId xmlns:a16="http://schemas.microsoft.com/office/drawing/2014/main" id="{CE6D4339-EAAA-4E15-8568-CE8AF4DD8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299" name="Picture 1298" descr="https://mail.google.com/mail/u/0/images/cleardot.gif">
          <a:extLst>
            <a:ext uri="{FF2B5EF4-FFF2-40B4-BE49-F238E27FC236}">
              <a16:creationId xmlns:a16="http://schemas.microsoft.com/office/drawing/2014/main" id="{C98F915B-51E7-4A19-A321-F492720E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0" name="Picture 1299" descr="https://mail.google.com/mail/u/0/images/cleardot.gif">
          <a:extLst>
            <a:ext uri="{FF2B5EF4-FFF2-40B4-BE49-F238E27FC236}">
              <a16:creationId xmlns:a16="http://schemas.microsoft.com/office/drawing/2014/main" id="{B673191D-D440-440A-BF4E-BE1B8E1F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1" name="Picture 1300" descr="https://mail.google.com/mail/u/0/images/cleardot.gif">
          <a:extLst>
            <a:ext uri="{FF2B5EF4-FFF2-40B4-BE49-F238E27FC236}">
              <a16:creationId xmlns:a16="http://schemas.microsoft.com/office/drawing/2014/main" id="{FFF24C74-CE70-47FB-AE12-05DA7198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2" name="Picture 1301" descr="https://mail.google.com/mail/u/0/images/cleardot.gif">
          <a:extLst>
            <a:ext uri="{FF2B5EF4-FFF2-40B4-BE49-F238E27FC236}">
              <a16:creationId xmlns:a16="http://schemas.microsoft.com/office/drawing/2014/main" id="{86156786-9E2B-45DB-824D-078B23305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3" name="Picture 1302" descr="https://mail.google.com/mail/u/0/images/cleardot.gif">
          <a:extLst>
            <a:ext uri="{FF2B5EF4-FFF2-40B4-BE49-F238E27FC236}">
              <a16:creationId xmlns:a16="http://schemas.microsoft.com/office/drawing/2014/main" id="{C4D0993E-FA9D-4FEB-BB69-D7023CA1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4" name="Picture 1303" descr="https://mail.google.com/mail/u/0/images/cleardot.gif">
          <a:extLst>
            <a:ext uri="{FF2B5EF4-FFF2-40B4-BE49-F238E27FC236}">
              <a16:creationId xmlns:a16="http://schemas.microsoft.com/office/drawing/2014/main" id="{AA496B2D-5B59-4787-AC9A-EBC75DA6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5" name="Picture 1304" descr="https://mail.google.com/mail/u/0/images/cleardot.gif">
          <a:extLst>
            <a:ext uri="{FF2B5EF4-FFF2-40B4-BE49-F238E27FC236}">
              <a16:creationId xmlns:a16="http://schemas.microsoft.com/office/drawing/2014/main" id="{69859B8E-CA67-41B8-97BD-6C14B5CB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6" name="Picture 1305" descr="https://mail.google.com/mail/u/0/images/cleardot.gif">
          <a:extLst>
            <a:ext uri="{FF2B5EF4-FFF2-40B4-BE49-F238E27FC236}">
              <a16:creationId xmlns:a16="http://schemas.microsoft.com/office/drawing/2014/main" id="{FF3DA189-CB8A-4D36-A52F-DE7838B2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7" name="Picture 1306" descr="https://mail.google.com/mail/u/0/images/cleardot.gif">
          <a:extLst>
            <a:ext uri="{FF2B5EF4-FFF2-40B4-BE49-F238E27FC236}">
              <a16:creationId xmlns:a16="http://schemas.microsoft.com/office/drawing/2014/main" id="{778963D3-B9BF-4F02-A706-C7F9100B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8" name="Picture 1307" descr="https://mail.google.com/mail/u/0/images/cleardot.gif">
          <a:extLst>
            <a:ext uri="{FF2B5EF4-FFF2-40B4-BE49-F238E27FC236}">
              <a16:creationId xmlns:a16="http://schemas.microsoft.com/office/drawing/2014/main" id="{6992DB57-04EE-47AE-95F5-EF260CE2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09" name="Picture 1308" descr="https://mail.google.com/mail/u/0/images/cleardot.gif">
          <a:extLst>
            <a:ext uri="{FF2B5EF4-FFF2-40B4-BE49-F238E27FC236}">
              <a16:creationId xmlns:a16="http://schemas.microsoft.com/office/drawing/2014/main" id="{3B38E7AA-9724-4730-AE09-97F231808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0" name="Picture 1309" descr="https://mail.google.com/mail/u/0/images/cleardot.gif">
          <a:extLst>
            <a:ext uri="{FF2B5EF4-FFF2-40B4-BE49-F238E27FC236}">
              <a16:creationId xmlns:a16="http://schemas.microsoft.com/office/drawing/2014/main" id="{D17D1867-AB28-46D0-B5F6-580548372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1" name="Picture 1310" descr="https://mail.google.com/mail/u/0/images/cleardot.gif">
          <a:extLst>
            <a:ext uri="{FF2B5EF4-FFF2-40B4-BE49-F238E27FC236}">
              <a16:creationId xmlns:a16="http://schemas.microsoft.com/office/drawing/2014/main" id="{39D7D17D-BBC3-4CE2-A556-1DF34DA7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2" name="Picture 1311" descr="https://mail.google.com/mail/u/0/images/cleardot.gif">
          <a:extLst>
            <a:ext uri="{FF2B5EF4-FFF2-40B4-BE49-F238E27FC236}">
              <a16:creationId xmlns:a16="http://schemas.microsoft.com/office/drawing/2014/main" id="{683C903A-B7FD-410F-B7EE-ADE72B57B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3" name="Picture 1312" descr="https://mail.google.com/mail/u/0/images/cleardot.gif">
          <a:extLst>
            <a:ext uri="{FF2B5EF4-FFF2-40B4-BE49-F238E27FC236}">
              <a16:creationId xmlns:a16="http://schemas.microsoft.com/office/drawing/2014/main" id="{C3D4C9E9-F23B-4D87-8D57-8B938221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4" name="Picture 1313" descr="https://mail.google.com/mail/u/0/images/cleardot.gif">
          <a:extLst>
            <a:ext uri="{FF2B5EF4-FFF2-40B4-BE49-F238E27FC236}">
              <a16:creationId xmlns:a16="http://schemas.microsoft.com/office/drawing/2014/main" id="{E1BF2237-782C-4311-A436-82EEF3F9B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5" name="Picture 1314" descr="https://mail.google.com/mail/u/0/images/cleardot.gif">
          <a:extLst>
            <a:ext uri="{FF2B5EF4-FFF2-40B4-BE49-F238E27FC236}">
              <a16:creationId xmlns:a16="http://schemas.microsoft.com/office/drawing/2014/main" id="{CFABA273-1873-4F20-B18C-876B23FCA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6" name="Picture 1315" descr="https://mail.google.com/mail/u/0/images/cleardot.gif">
          <a:extLst>
            <a:ext uri="{FF2B5EF4-FFF2-40B4-BE49-F238E27FC236}">
              <a16:creationId xmlns:a16="http://schemas.microsoft.com/office/drawing/2014/main" id="{390B0FCB-B030-4E2D-92E3-C5C78CF5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7" name="Picture 1316" descr="https://mail.google.com/mail/u/0/images/cleardot.gif">
          <a:extLst>
            <a:ext uri="{FF2B5EF4-FFF2-40B4-BE49-F238E27FC236}">
              <a16:creationId xmlns:a16="http://schemas.microsoft.com/office/drawing/2014/main" id="{D4005736-9881-4575-A7A0-58DDA4438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8" name="Picture 1317" descr="https://mail.google.com/mail/u/0/images/cleardot.gif">
          <a:extLst>
            <a:ext uri="{FF2B5EF4-FFF2-40B4-BE49-F238E27FC236}">
              <a16:creationId xmlns:a16="http://schemas.microsoft.com/office/drawing/2014/main" id="{E3A18734-080B-4DCF-8642-4FF5AD85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19" name="Picture 1318" descr="https://mail.google.com/mail/u/0/images/cleardot.gif">
          <a:extLst>
            <a:ext uri="{FF2B5EF4-FFF2-40B4-BE49-F238E27FC236}">
              <a16:creationId xmlns:a16="http://schemas.microsoft.com/office/drawing/2014/main" id="{88F54BB1-3C4A-4C28-AA49-A910E10EB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0" name="Picture 1319" descr="https://mail.google.com/mail/u/0/images/cleardot.gif">
          <a:extLst>
            <a:ext uri="{FF2B5EF4-FFF2-40B4-BE49-F238E27FC236}">
              <a16:creationId xmlns:a16="http://schemas.microsoft.com/office/drawing/2014/main" id="{15B6400D-4327-4BB5-8E9C-EC8509C1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1" name="Picture 1320" descr="https://mail.google.com/mail/u/0/images/cleardot.gif">
          <a:extLst>
            <a:ext uri="{FF2B5EF4-FFF2-40B4-BE49-F238E27FC236}">
              <a16:creationId xmlns:a16="http://schemas.microsoft.com/office/drawing/2014/main" id="{8A105689-0E72-40A2-9DFA-F0F4272C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2" name="Picture 1321" descr="https://mail.google.com/mail/u/0/images/cleardot.gif">
          <a:extLst>
            <a:ext uri="{FF2B5EF4-FFF2-40B4-BE49-F238E27FC236}">
              <a16:creationId xmlns:a16="http://schemas.microsoft.com/office/drawing/2014/main" id="{BC7ECA02-DC79-4E64-9AA1-D3EB2337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3" name="Picture 1322" descr="https://mail.google.com/mail/u/0/images/cleardot.gif">
          <a:extLst>
            <a:ext uri="{FF2B5EF4-FFF2-40B4-BE49-F238E27FC236}">
              <a16:creationId xmlns:a16="http://schemas.microsoft.com/office/drawing/2014/main" id="{7E209EF8-B6A7-4E6C-8DE5-B7C627DE6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4" name="Picture 1323" descr="https://mail.google.com/mail/u/0/images/cleardot.gif">
          <a:extLst>
            <a:ext uri="{FF2B5EF4-FFF2-40B4-BE49-F238E27FC236}">
              <a16:creationId xmlns:a16="http://schemas.microsoft.com/office/drawing/2014/main" id="{473CAE44-3B1B-4651-BFCC-73014ED94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5" name="Picture 1324" descr="https://mail.google.com/mail/u/0/images/cleardot.gif">
          <a:extLst>
            <a:ext uri="{FF2B5EF4-FFF2-40B4-BE49-F238E27FC236}">
              <a16:creationId xmlns:a16="http://schemas.microsoft.com/office/drawing/2014/main" id="{CB2EEBF2-F4BD-464E-AE52-6F94EAEB9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6" name="Picture 1325" descr="https://mail.google.com/mail/u/0/images/cleardot.gif">
          <a:extLst>
            <a:ext uri="{FF2B5EF4-FFF2-40B4-BE49-F238E27FC236}">
              <a16:creationId xmlns:a16="http://schemas.microsoft.com/office/drawing/2014/main" id="{9926795D-34EB-4026-80B9-CFEBB07E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7" name="Picture 1326" descr="https://mail.google.com/mail/u/0/images/cleardot.gif">
          <a:extLst>
            <a:ext uri="{FF2B5EF4-FFF2-40B4-BE49-F238E27FC236}">
              <a16:creationId xmlns:a16="http://schemas.microsoft.com/office/drawing/2014/main" id="{6CD8115F-A988-4D35-83B0-D92A8A37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8" name="Picture 1327" descr="https://mail.google.com/mail/u/0/images/cleardot.gif">
          <a:extLst>
            <a:ext uri="{FF2B5EF4-FFF2-40B4-BE49-F238E27FC236}">
              <a16:creationId xmlns:a16="http://schemas.microsoft.com/office/drawing/2014/main" id="{07827B97-D22C-42C2-A4C6-8F645C0B2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29" name="Picture 1328" descr="https://mail.google.com/mail/u/0/images/cleardot.gif">
          <a:extLst>
            <a:ext uri="{FF2B5EF4-FFF2-40B4-BE49-F238E27FC236}">
              <a16:creationId xmlns:a16="http://schemas.microsoft.com/office/drawing/2014/main" id="{756D6272-E3CD-4C8E-B2BD-1687DC65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0" name="Picture 1329" descr="https://mail.google.com/mail/u/0/images/cleardot.gif">
          <a:extLst>
            <a:ext uri="{FF2B5EF4-FFF2-40B4-BE49-F238E27FC236}">
              <a16:creationId xmlns:a16="http://schemas.microsoft.com/office/drawing/2014/main" id="{AAEB880A-6F6D-447E-9F9A-B8019D92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1" name="Picture 1330" descr="https://mail.google.com/mail/u/0/images/cleardot.gif">
          <a:extLst>
            <a:ext uri="{FF2B5EF4-FFF2-40B4-BE49-F238E27FC236}">
              <a16:creationId xmlns:a16="http://schemas.microsoft.com/office/drawing/2014/main" id="{190B8B7D-E1DA-4072-A2F2-EDA29A83A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2" name="Picture 1331" descr="https://mail.google.com/mail/u/0/images/cleardot.gif">
          <a:extLst>
            <a:ext uri="{FF2B5EF4-FFF2-40B4-BE49-F238E27FC236}">
              <a16:creationId xmlns:a16="http://schemas.microsoft.com/office/drawing/2014/main" id="{E9684179-DFD5-4662-B249-09D3C450F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3" name="Picture 1332" descr="https://mail.google.com/mail/u/0/images/cleardot.gif">
          <a:extLst>
            <a:ext uri="{FF2B5EF4-FFF2-40B4-BE49-F238E27FC236}">
              <a16:creationId xmlns:a16="http://schemas.microsoft.com/office/drawing/2014/main" id="{C5185209-79F5-4E9D-BDA7-EB7308F1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4" name="Picture 1333" descr="https://mail.google.com/mail/u/0/images/cleardot.gif">
          <a:extLst>
            <a:ext uri="{FF2B5EF4-FFF2-40B4-BE49-F238E27FC236}">
              <a16:creationId xmlns:a16="http://schemas.microsoft.com/office/drawing/2014/main" id="{8B56D3CC-EEEB-4807-97F0-B4B1FC2A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5" name="Picture 1334" descr="https://mail.google.com/mail/u/0/images/cleardot.gif">
          <a:extLst>
            <a:ext uri="{FF2B5EF4-FFF2-40B4-BE49-F238E27FC236}">
              <a16:creationId xmlns:a16="http://schemas.microsoft.com/office/drawing/2014/main" id="{88546F0C-83FF-41CF-BA02-C7FFF165F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6" name="Picture 1335" descr="https://mail.google.com/mail/u/0/images/cleardot.gif">
          <a:extLst>
            <a:ext uri="{FF2B5EF4-FFF2-40B4-BE49-F238E27FC236}">
              <a16:creationId xmlns:a16="http://schemas.microsoft.com/office/drawing/2014/main" id="{5F0269BC-CB15-4C88-B8E6-BA0267E59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7" name="Picture 1336" descr="https://mail.google.com/mail/u/0/images/cleardot.gif">
          <a:extLst>
            <a:ext uri="{FF2B5EF4-FFF2-40B4-BE49-F238E27FC236}">
              <a16:creationId xmlns:a16="http://schemas.microsoft.com/office/drawing/2014/main" id="{4D54A6F9-B506-4822-B147-A601C37A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8" name="Picture 1337" descr="https://mail.google.com/mail/u/0/images/cleardot.gif">
          <a:extLst>
            <a:ext uri="{FF2B5EF4-FFF2-40B4-BE49-F238E27FC236}">
              <a16:creationId xmlns:a16="http://schemas.microsoft.com/office/drawing/2014/main" id="{0EE072E6-01B6-4F31-AA95-06437B517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39" name="Picture 1338" descr="https://mail.google.com/mail/u/0/images/cleardot.gif">
          <a:extLst>
            <a:ext uri="{FF2B5EF4-FFF2-40B4-BE49-F238E27FC236}">
              <a16:creationId xmlns:a16="http://schemas.microsoft.com/office/drawing/2014/main" id="{B295465C-86D6-4785-A48D-D4BDE19D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0" name="Picture 1339" descr="https://mail.google.com/mail/u/0/images/cleardot.gif">
          <a:extLst>
            <a:ext uri="{FF2B5EF4-FFF2-40B4-BE49-F238E27FC236}">
              <a16:creationId xmlns:a16="http://schemas.microsoft.com/office/drawing/2014/main" id="{6A41979C-DBD8-4D85-B221-8D6C9CE1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1" name="Picture 1340" descr="https://mail.google.com/mail/u/0/images/cleardot.gif">
          <a:extLst>
            <a:ext uri="{FF2B5EF4-FFF2-40B4-BE49-F238E27FC236}">
              <a16:creationId xmlns:a16="http://schemas.microsoft.com/office/drawing/2014/main" id="{B63E8E1B-B884-4721-AE00-15C4CF5F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2" name="Picture 1341" descr="https://mail.google.com/mail/u/0/images/cleardot.gif">
          <a:extLst>
            <a:ext uri="{FF2B5EF4-FFF2-40B4-BE49-F238E27FC236}">
              <a16:creationId xmlns:a16="http://schemas.microsoft.com/office/drawing/2014/main" id="{6F5588E6-F699-4975-9C41-53F888C7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3" name="Picture 1342" descr="https://mail.google.com/mail/u/0/images/cleardot.gif">
          <a:extLst>
            <a:ext uri="{FF2B5EF4-FFF2-40B4-BE49-F238E27FC236}">
              <a16:creationId xmlns:a16="http://schemas.microsoft.com/office/drawing/2014/main" id="{5A21DAC6-9872-410E-BF64-6BA721EE1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4" name="Picture 1343" descr="https://mail.google.com/mail/u/0/images/cleardot.gif">
          <a:extLst>
            <a:ext uri="{FF2B5EF4-FFF2-40B4-BE49-F238E27FC236}">
              <a16:creationId xmlns:a16="http://schemas.microsoft.com/office/drawing/2014/main" id="{16C250FB-36EB-4151-A28B-AB19AAAB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5" name="Picture 1344" descr="https://mail.google.com/mail/u/0/images/cleardot.gif">
          <a:extLst>
            <a:ext uri="{FF2B5EF4-FFF2-40B4-BE49-F238E27FC236}">
              <a16:creationId xmlns:a16="http://schemas.microsoft.com/office/drawing/2014/main" id="{F560C542-0D10-4F2B-AB14-B4B88CC9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6" name="Picture 1345" descr="https://mail.google.com/mail/u/0/images/cleardot.gif">
          <a:extLst>
            <a:ext uri="{FF2B5EF4-FFF2-40B4-BE49-F238E27FC236}">
              <a16:creationId xmlns:a16="http://schemas.microsoft.com/office/drawing/2014/main" id="{8C6C4796-4B43-47E4-A34B-29B665BB9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7" name="Picture 1346" descr="https://mail.google.com/mail/u/0/images/cleardot.gif">
          <a:extLst>
            <a:ext uri="{FF2B5EF4-FFF2-40B4-BE49-F238E27FC236}">
              <a16:creationId xmlns:a16="http://schemas.microsoft.com/office/drawing/2014/main" id="{26B9FE04-BFC8-4872-B395-B02B7441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8" name="Picture 1347" descr="https://mail.google.com/mail/u/0/images/cleardot.gif">
          <a:extLst>
            <a:ext uri="{FF2B5EF4-FFF2-40B4-BE49-F238E27FC236}">
              <a16:creationId xmlns:a16="http://schemas.microsoft.com/office/drawing/2014/main" id="{D2A153D6-6DD4-448C-9997-0B7DDCAA0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49" name="Picture 1348" descr="https://mail.google.com/mail/u/0/images/cleardot.gif">
          <a:extLst>
            <a:ext uri="{FF2B5EF4-FFF2-40B4-BE49-F238E27FC236}">
              <a16:creationId xmlns:a16="http://schemas.microsoft.com/office/drawing/2014/main" id="{4D9DE4BE-BB82-47A3-B95C-BAD0D2E8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0" name="Picture 1349" descr="https://mail.google.com/mail/u/0/images/cleardot.gif">
          <a:extLst>
            <a:ext uri="{FF2B5EF4-FFF2-40B4-BE49-F238E27FC236}">
              <a16:creationId xmlns:a16="http://schemas.microsoft.com/office/drawing/2014/main" id="{534046D8-7DE6-4B59-8123-86CEFC046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1" name="Picture 1350" descr="https://mail.google.com/mail/u/0/images/cleardot.gif">
          <a:extLst>
            <a:ext uri="{FF2B5EF4-FFF2-40B4-BE49-F238E27FC236}">
              <a16:creationId xmlns:a16="http://schemas.microsoft.com/office/drawing/2014/main" id="{68CD3A99-5CDA-4E70-AAD6-58E74E75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2" name="Picture 1351" descr="https://mail.google.com/mail/u/0/images/cleardot.gif">
          <a:extLst>
            <a:ext uri="{FF2B5EF4-FFF2-40B4-BE49-F238E27FC236}">
              <a16:creationId xmlns:a16="http://schemas.microsoft.com/office/drawing/2014/main" id="{9AEBD54F-A6B7-4742-8CDE-607DD837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3" name="Picture 1352" descr="https://mail.google.com/mail/u/0/images/cleardot.gif">
          <a:extLst>
            <a:ext uri="{FF2B5EF4-FFF2-40B4-BE49-F238E27FC236}">
              <a16:creationId xmlns:a16="http://schemas.microsoft.com/office/drawing/2014/main" id="{5B984758-C2CF-482A-BA7A-A99412C3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4" name="Picture 1353" descr="https://mail.google.com/mail/u/0/images/cleardot.gif">
          <a:extLst>
            <a:ext uri="{FF2B5EF4-FFF2-40B4-BE49-F238E27FC236}">
              <a16:creationId xmlns:a16="http://schemas.microsoft.com/office/drawing/2014/main" id="{E0D12B04-C46F-4661-9FA3-43DF4420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5" name="Picture 1354" descr="https://mail.google.com/mail/u/0/images/cleardot.gif">
          <a:extLst>
            <a:ext uri="{FF2B5EF4-FFF2-40B4-BE49-F238E27FC236}">
              <a16:creationId xmlns:a16="http://schemas.microsoft.com/office/drawing/2014/main" id="{13C352C8-7CE6-4C83-B12D-624074A96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6" name="Picture 1355" descr="https://mail.google.com/mail/u/0/images/cleardot.gif">
          <a:extLst>
            <a:ext uri="{FF2B5EF4-FFF2-40B4-BE49-F238E27FC236}">
              <a16:creationId xmlns:a16="http://schemas.microsoft.com/office/drawing/2014/main" id="{6EE8A8CC-D292-400F-BD7B-C7309248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7" name="Picture 1356" descr="https://mail.google.com/mail/u/0/images/cleardot.gif">
          <a:extLst>
            <a:ext uri="{FF2B5EF4-FFF2-40B4-BE49-F238E27FC236}">
              <a16:creationId xmlns:a16="http://schemas.microsoft.com/office/drawing/2014/main" id="{637D1AB4-8A13-4F78-A495-388167DB8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8" name="Picture 1357" descr="https://mail.google.com/mail/u/0/images/cleardot.gif">
          <a:extLst>
            <a:ext uri="{FF2B5EF4-FFF2-40B4-BE49-F238E27FC236}">
              <a16:creationId xmlns:a16="http://schemas.microsoft.com/office/drawing/2014/main" id="{9AD4362C-864F-4727-BC1B-1BC6B499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59" name="Picture 1358" descr="https://mail.google.com/mail/u/0/images/cleardot.gif">
          <a:extLst>
            <a:ext uri="{FF2B5EF4-FFF2-40B4-BE49-F238E27FC236}">
              <a16:creationId xmlns:a16="http://schemas.microsoft.com/office/drawing/2014/main" id="{67C04039-C69B-4165-AE4B-B143B306D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0" name="Picture 1359" descr="https://mail.google.com/mail/u/0/images/cleardot.gif">
          <a:extLst>
            <a:ext uri="{FF2B5EF4-FFF2-40B4-BE49-F238E27FC236}">
              <a16:creationId xmlns:a16="http://schemas.microsoft.com/office/drawing/2014/main" id="{5038F4F5-B672-4056-875C-7009EB86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1" name="Picture 1360" descr="https://mail.google.com/mail/u/0/images/cleardot.gif">
          <a:extLst>
            <a:ext uri="{FF2B5EF4-FFF2-40B4-BE49-F238E27FC236}">
              <a16:creationId xmlns:a16="http://schemas.microsoft.com/office/drawing/2014/main" id="{756C7DFA-0AEC-4FD0-8BD4-4F4E11CB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2" name="Picture 1361" descr="https://mail.google.com/mail/u/0/images/cleardot.gif">
          <a:extLst>
            <a:ext uri="{FF2B5EF4-FFF2-40B4-BE49-F238E27FC236}">
              <a16:creationId xmlns:a16="http://schemas.microsoft.com/office/drawing/2014/main" id="{1838968C-8E3F-4DBE-8A04-9C329E587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3" name="Picture 1362" descr="https://mail.google.com/mail/u/0/images/cleardot.gif">
          <a:extLst>
            <a:ext uri="{FF2B5EF4-FFF2-40B4-BE49-F238E27FC236}">
              <a16:creationId xmlns:a16="http://schemas.microsoft.com/office/drawing/2014/main" id="{964F8F63-C683-4E14-BD05-41B72A83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4" name="Picture 1363" descr="https://mail.google.com/mail/u/0/images/cleardot.gif">
          <a:extLst>
            <a:ext uri="{FF2B5EF4-FFF2-40B4-BE49-F238E27FC236}">
              <a16:creationId xmlns:a16="http://schemas.microsoft.com/office/drawing/2014/main" id="{D207E7D5-5F3D-427E-BA79-B153AE814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5" name="Picture 1364" descr="https://mail.google.com/mail/u/0/images/cleardot.gif">
          <a:extLst>
            <a:ext uri="{FF2B5EF4-FFF2-40B4-BE49-F238E27FC236}">
              <a16:creationId xmlns:a16="http://schemas.microsoft.com/office/drawing/2014/main" id="{6D909540-7F64-417C-BB2A-674BEB69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6" name="Picture 1365" descr="https://mail.google.com/mail/u/0/images/cleardot.gif">
          <a:extLst>
            <a:ext uri="{FF2B5EF4-FFF2-40B4-BE49-F238E27FC236}">
              <a16:creationId xmlns:a16="http://schemas.microsoft.com/office/drawing/2014/main" id="{56433EF4-4571-4D2E-BE35-95E306AB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7" name="Picture 1366" descr="https://mail.google.com/mail/u/0/images/cleardot.gif">
          <a:extLst>
            <a:ext uri="{FF2B5EF4-FFF2-40B4-BE49-F238E27FC236}">
              <a16:creationId xmlns:a16="http://schemas.microsoft.com/office/drawing/2014/main" id="{48C66D79-2E0E-4B1F-B04F-DEFE8D007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8" name="Picture 1367" descr="https://mail.google.com/mail/u/0/images/cleardot.gif">
          <a:extLst>
            <a:ext uri="{FF2B5EF4-FFF2-40B4-BE49-F238E27FC236}">
              <a16:creationId xmlns:a16="http://schemas.microsoft.com/office/drawing/2014/main" id="{E5B520F4-789E-493D-B1BB-FC8FABD20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69" name="Picture 1368" descr="https://mail.google.com/mail/u/0/images/cleardot.gif">
          <a:extLst>
            <a:ext uri="{FF2B5EF4-FFF2-40B4-BE49-F238E27FC236}">
              <a16:creationId xmlns:a16="http://schemas.microsoft.com/office/drawing/2014/main" id="{ECD18D4F-7CFD-42F8-9F59-578E1F59D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0" name="Picture 1369" descr="https://mail.google.com/mail/u/0/images/cleardot.gif">
          <a:extLst>
            <a:ext uri="{FF2B5EF4-FFF2-40B4-BE49-F238E27FC236}">
              <a16:creationId xmlns:a16="http://schemas.microsoft.com/office/drawing/2014/main" id="{1CC7937D-9EE2-41E9-BB31-5B770503B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1" name="Picture 1370" descr="https://mail.google.com/mail/u/0/images/cleardot.gif">
          <a:extLst>
            <a:ext uri="{FF2B5EF4-FFF2-40B4-BE49-F238E27FC236}">
              <a16:creationId xmlns:a16="http://schemas.microsoft.com/office/drawing/2014/main" id="{2ECCE2A8-332E-41A6-B58C-29D0F358F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2" name="Picture 1371" descr="https://mail.google.com/mail/u/0/images/cleardot.gif">
          <a:extLst>
            <a:ext uri="{FF2B5EF4-FFF2-40B4-BE49-F238E27FC236}">
              <a16:creationId xmlns:a16="http://schemas.microsoft.com/office/drawing/2014/main" id="{91886861-5675-41C3-82CA-4DA08122C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3" name="Picture 1372" descr="https://mail.google.com/mail/u/0/images/cleardot.gif">
          <a:extLst>
            <a:ext uri="{FF2B5EF4-FFF2-40B4-BE49-F238E27FC236}">
              <a16:creationId xmlns:a16="http://schemas.microsoft.com/office/drawing/2014/main" id="{30FED25F-8B59-4F9A-8665-700104B23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4" name="Picture 1373" descr="https://mail.google.com/mail/u/0/images/cleardot.gif">
          <a:extLst>
            <a:ext uri="{FF2B5EF4-FFF2-40B4-BE49-F238E27FC236}">
              <a16:creationId xmlns:a16="http://schemas.microsoft.com/office/drawing/2014/main" id="{2ACEB205-6215-4BC0-B7A5-54B9C317B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5" name="Picture 1374" descr="https://mail.google.com/mail/u/0/images/cleardot.gif">
          <a:extLst>
            <a:ext uri="{FF2B5EF4-FFF2-40B4-BE49-F238E27FC236}">
              <a16:creationId xmlns:a16="http://schemas.microsoft.com/office/drawing/2014/main" id="{E875ED39-9A9C-41AA-8189-469969EF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6" name="Picture 1375" descr="https://mail.google.com/mail/u/0/images/cleardot.gif">
          <a:extLst>
            <a:ext uri="{FF2B5EF4-FFF2-40B4-BE49-F238E27FC236}">
              <a16:creationId xmlns:a16="http://schemas.microsoft.com/office/drawing/2014/main" id="{85F7A5D8-396D-42F7-94C2-A4CBFDC7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7" name="Picture 1376" descr="https://mail.google.com/mail/u/0/images/cleardot.gif">
          <a:extLst>
            <a:ext uri="{FF2B5EF4-FFF2-40B4-BE49-F238E27FC236}">
              <a16:creationId xmlns:a16="http://schemas.microsoft.com/office/drawing/2014/main" id="{5F469AAA-301C-4D3D-A4CE-95DFDBB2F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8" name="Picture 1377" descr="https://mail.google.com/mail/u/0/images/cleardot.gif">
          <a:extLst>
            <a:ext uri="{FF2B5EF4-FFF2-40B4-BE49-F238E27FC236}">
              <a16:creationId xmlns:a16="http://schemas.microsoft.com/office/drawing/2014/main" id="{13B38784-FBB7-49E2-A67C-0E22A18DE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79" name="Picture 1378" descr="https://mail.google.com/mail/u/0/images/cleardot.gif">
          <a:extLst>
            <a:ext uri="{FF2B5EF4-FFF2-40B4-BE49-F238E27FC236}">
              <a16:creationId xmlns:a16="http://schemas.microsoft.com/office/drawing/2014/main" id="{803F7FC0-0DB1-4794-9AD2-5738FB53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0" name="Picture 1379" descr="https://mail.google.com/mail/u/0/images/cleardot.gif">
          <a:extLst>
            <a:ext uri="{FF2B5EF4-FFF2-40B4-BE49-F238E27FC236}">
              <a16:creationId xmlns:a16="http://schemas.microsoft.com/office/drawing/2014/main" id="{37E62CF6-3B23-4850-B6F6-AB18BA1A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1" name="Picture 1380" descr="https://mail.google.com/mail/u/0/images/cleardot.gif">
          <a:extLst>
            <a:ext uri="{FF2B5EF4-FFF2-40B4-BE49-F238E27FC236}">
              <a16:creationId xmlns:a16="http://schemas.microsoft.com/office/drawing/2014/main" id="{07E20368-B342-485C-A8A2-C6733F28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2" name="Picture 1381" descr="https://mail.google.com/mail/u/0/images/cleardot.gif">
          <a:extLst>
            <a:ext uri="{FF2B5EF4-FFF2-40B4-BE49-F238E27FC236}">
              <a16:creationId xmlns:a16="http://schemas.microsoft.com/office/drawing/2014/main" id="{3EBBD6CE-24A5-42F9-B2A2-F69F1EDA7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3" name="Picture 1382" descr="https://mail.google.com/mail/u/0/images/cleardot.gif">
          <a:extLst>
            <a:ext uri="{FF2B5EF4-FFF2-40B4-BE49-F238E27FC236}">
              <a16:creationId xmlns:a16="http://schemas.microsoft.com/office/drawing/2014/main" id="{E8E5FADF-59EA-4FBD-8F05-C788F0578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4" name="Picture 1383" descr="https://mail.google.com/mail/u/0/images/cleardot.gif">
          <a:extLst>
            <a:ext uri="{FF2B5EF4-FFF2-40B4-BE49-F238E27FC236}">
              <a16:creationId xmlns:a16="http://schemas.microsoft.com/office/drawing/2014/main" id="{6527EDA2-FD9D-44F6-9DF3-C5A312E6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5" name="Picture 1384" descr="https://mail.google.com/mail/u/0/images/cleardot.gif">
          <a:extLst>
            <a:ext uri="{FF2B5EF4-FFF2-40B4-BE49-F238E27FC236}">
              <a16:creationId xmlns:a16="http://schemas.microsoft.com/office/drawing/2014/main" id="{BD12CDD9-5475-4EFE-B519-047EEFE1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6" name="Picture 1385" descr="https://mail.google.com/mail/u/0/images/cleardot.gif">
          <a:extLst>
            <a:ext uri="{FF2B5EF4-FFF2-40B4-BE49-F238E27FC236}">
              <a16:creationId xmlns:a16="http://schemas.microsoft.com/office/drawing/2014/main" id="{36F41082-E617-4BD3-9494-D36BFBFD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7" name="Picture 1386" descr="https://mail.google.com/mail/u/0/images/cleardot.gif">
          <a:extLst>
            <a:ext uri="{FF2B5EF4-FFF2-40B4-BE49-F238E27FC236}">
              <a16:creationId xmlns:a16="http://schemas.microsoft.com/office/drawing/2014/main" id="{0C97FB0D-06B2-40CC-AC3F-F23C5EF1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8" name="Picture 1387" descr="https://mail.google.com/mail/u/0/images/cleardot.gif">
          <a:extLst>
            <a:ext uri="{FF2B5EF4-FFF2-40B4-BE49-F238E27FC236}">
              <a16:creationId xmlns:a16="http://schemas.microsoft.com/office/drawing/2014/main" id="{6F14E739-0651-4335-8794-A78CD8B9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89" name="Picture 1388" descr="https://mail.google.com/mail/u/0/images/cleardot.gif">
          <a:extLst>
            <a:ext uri="{FF2B5EF4-FFF2-40B4-BE49-F238E27FC236}">
              <a16:creationId xmlns:a16="http://schemas.microsoft.com/office/drawing/2014/main" id="{95B4C2ED-2644-4E56-B81C-01BBE29D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0" name="Picture 1389" descr="https://mail.google.com/mail/u/0/images/cleardot.gif">
          <a:extLst>
            <a:ext uri="{FF2B5EF4-FFF2-40B4-BE49-F238E27FC236}">
              <a16:creationId xmlns:a16="http://schemas.microsoft.com/office/drawing/2014/main" id="{15EF76B7-9CC3-468D-BC4D-4D501F1A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1" name="Picture 1390" descr="https://mail.google.com/mail/u/0/images/cleardot.gif">
          <a:extLst>
            <a:ext uri="{FF2B5EF4-FFF2-40B4-BE49-F238E27FC236}">
              <a16:creationId xmlns:a16="http://schemas.microsoft.com/office/drawing/2014/main" id="{B83DA19F-EE3D-41F4-BA51-274038C5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2" name="Picture 1391" descr="https://mail.google.com/mail/u/0/images/cleardot.gif">
          <a:extLst>
            <a:ext uri="{FF2B5EF4-FFF2-40B4-BE49-F238E27FC236}">
              <a16:creationId xmlns:a16="http://schemas.microsoft.com/office/drawing/2014/main" id="{433E4E27-8633-4AE3-A12C-21CD8F92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3" name="Picture 1392" descr="https://mail.google.com/mail/u/0/images/cleardot.gif">
          <a:extLst>
            <a:ext uri="{FF2B5EF4-FFF2-40B4-BE49-F238E27FC236}">
              <a16:creationId xmlns:a16="http://schemas.microsoft.com/office/drawing/2014/main" id="{53134CB2-AD0B-41EA-AFB2-B703CBF70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4" name="Picture 1393" descr="https://mail.google.com/mail/u/0/images/cleardot.gif">
          <a:extLst>
            <a:ext uri="{FF2B5EF4-FFF2-40B4-BE49-F238E27FC236}">
              <a16:creationId xmlns:a16="http://schemas.microsoft.com/office/drawing/2014/main" id="{62D106AE-AB1B-4DA3-9259-1DD194C0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5" name="Picture 1394" descr="https://mail.google.com/mail/u/0/images/cleardot.gif">
          <a:extLst>
            <a:ext uri="{FF2B5EF4-FFF2-40B4-BE49-F238E27FC236}">
              <a16:creationId xmlns:a16="http://schemas.microsoft.com/office/drawing/2014/main" id="{F039B144-2958-46A1-B86A-AC214508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6" name="Picture 1395" descr="https://mail.google.com/mail/u/0/images/cleardot.gif">
          <a:extLst>
            <a:ext uri="{FF2B5EF4-FFF2-40B4-BE49-F238E27FC236}">
              <a16:creationId xmlns:a16="http://schemas.microsoft.com/office/drawing/2014/main" id="{FED10B50-C0A4-4ED3-A2EB-919907AAE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7" name="Picture 1396" descr="https://mail.google.com/mail/u/0/images/cleardot.gif">
          <a:extLst>
            <a:ext uri="{FF2B5EF4-FFF2-40B4-BE49-F238E27FC236}">
              <a16:creationId xmlns:a16="http://schemas.microsoft.com/office/drawing/2014/main" id="{5BF0CBB9-D732-425D-A31D-3F0F91713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8" name="Picture 1397" descr="https://mail.google.com/mail/u/0/images/cleardot.gif">
          <a:extLst>
            <a:ext uri="{FF2B5EF4-FFF2-40B4-BE49-F238E27FC236}">
              <a16:creationId xmlns:a16="http://schemas.microsoft.com/office/drawing/2014/main" id="{533A6889-AA59-4B76-AC71-D9918131F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399" name="Picture 1398" descr="https://mail.google.com/mail/u/0/images/cleardot.gif">
          <a:extLst>
            <a:ext uri="{FF2B5EF4-FFF2-40B4-BE49-F238E27FC236}">
              <a16:creationId xmlns:a16="http://schemas.microsoft.com/office/drawing/2014/main" id="{CD398EB7-0C27-4A5E-9517-A366B376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0" name="Picture 1399" descr="https://mail.google.com/mail/u/0/images/cleardot.gif">
          <a:extLst>
            <a:ext uri="{FF2B5EF4-FFF2-40B4-BE49-F238E27FC236}">
              <a16:creationId xmlns:a16="http://schemas.microsoft.com/office/drawing/2014/main" id="{C7A7ED58-DE46-4D1E-A4B2-144F9ADC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1" name="Picture 1400" descr="https://mail.google.com/mail/u/0/images/cleardot.gif">
          <a:extLst>
            <a:ext uri="{FF2B5EF4-FFF2-40B4-BE49-F238E27FC236}">
              <a16:creationId xmlns:a16="http://schemas.microsoft.com/office/drawing/2014/main" id="{49381D6E-73FA-49E2-891C-9D8951EB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2" name="Picture 1401" descr="https://mail.google.com/mail/u/0/images/cleardot.gif">
          <a:extLst>
            <a:ext uri="{FF2B5EF4-FFF2-40B4-BE49-F238E27FC236}">
              <a16:creationId xmlns:a16="http://schemas.microsoft.com/office/drawing/2014/main" id="{DF20D4B9-BC1C-4885-BAB0-28C2CA88F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3" name="Picture 1402" descr="https://mail.google.com/mail/u/0/images/cleardot.gif">
          <a:extLst>
            <a:ext uri="{FF2B5EF4-FFF2-40B4-BE49-F238E27FC236}">
              <a16:creationId xmlns:a16="http://schemas.microsoft.com/office/drawing/2014/main" id="{094E9928-EBD9-4ECB-9547-0217BB6A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4" name="Picture 1403" descr="https://mail.google.com/mail/u/0/images/cleardot.gif">
          <a:extLst>
            <a:ext uri="{FF2B5EF4-FFF2-40B4-BE49-F238E27FC236}">
              <a16:creationId xmlns:a16="http://schemas.microsoft.com/office/drawing/2014/main" id="{52116D7C-F59C-4A01-ACBF-247EA889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5" name="Picture 1404" descr="https://mail.google.com/mail/u/0/images/cleardot.gif">
          <a:extLst>
            <a:ext uri="{FF2B5EF4-FFF2-40B4-BE49-F238E27FC236}">
              <a16:creationId xmlns:a16="http://schemas.microsoft.com/office/drawing/2014/main" id="{B35CD4E1-ECF4-44E6-9D80-0FC1FEEBA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6" name="Picture 1405" descr="https://mail.google.com/mail/u/0/images/cleardot.gif">
          <a:extLst>
            <a:ext uri="{FF2B5EF4-FFF2-40B4-BE49-F238E27FC236}">
              <a16:creationId xmlns:a16="http://schemas.microsoft.com/office/drawing/2014/main" id="{D7017C45-710A-4311-941F-2F9997512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7" name="Picture 1406" descr="https://mail.google.com/mail/u/0/images/cleardot.gif">
          <a:extLst>
            <a:ext uri="{FF2B5EF4-FFF2-40B4-BE49-F238E27FC236}">
              <a16:creationId xmlns:a16="http://schemas.microsoft.com/office/drawing/2014/main" id="{75191C26-2487-4929-B254-F3330FCD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8" name="Picture 1407" descr="https://mail.google.com/mail/u/0/images/cleardot.gif">
          <a:extLst>
            <a:ext uri="{FF2B5EF4-FFF2-40B4-BE49-F238E27FC236}">
              <a16:creationId xmlns:a16="http://schemas.microsoft.com/office/drawing/2014/main" id="{6A2C7EED-00F5-4780-A7CD-00248C278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09" name="Picture 1408" descr="https://mail.google.com/mail/u/0/images/cleardot.gif">
          <a:extLst>
            <a:ext uri="{FF2B5EF4-FFF2-40B4-BE49-F238E27FC236}">
              <a16:creationId xmlns:a16="http://schemas.microsoft.com/office/drawing/2014/main" id="{8502FD59-FC1B-4710-8D3E-8B5CE2FB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0" name="Picture 1409" descr="https://mail.google.com/mail/u/0/images/cleardot.gif">
          <a:extLst>
            <a:ext uri="{FF2B5EF4-FFF2-40B4-BE49-F238E27FC236}">
              <a16:creationId xmlns:a16="http://schemas.microsoft.com/office/drawing/2014/main" id="{110427A8-47F8-424C-8063-49F1C9C08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1" name="Picture 1410" descr="https://mail.google.com/mail/u/0/images/cleardot.gif">
          <a:extLst>
            <a:ext uri="{FF2B5EF4-FFF2-40B4-BE49-F238E27FC236}">
              <a16:creationId xmlns:a16="http://schemas.microsoft.com/office/drawing/2014/main" id="{A65A632E-9811-4BDC-88A1-1C9D86A4D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2" name="Picture 1411" descr="https://mail.google.com/mail/u/0/images/cleardot.gif">
          <a:extLst>
            <a:ext uri="{FF2B5EF4-FFF2-40B4-BE49-F238E27FC236}">
              <a16:creationId xmlns:a16="http://schemas.microsoft.com/office/drawing/2014/main" id="{727CA566-0DA5-4924-BDE2-8AEFD05D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3" name="Picture 1412" descr="https://mail.google.com/mail/u/0/images/cleardot.gif">
          <a:extLst>
            <a:ext uri="{FF2B5EF4-FFF2-40B4-BE49-F238E27FC236}">
              <a16:creationId xmlns:a16="http://schemas.microsoft.com/office/drawing/2014/main" id="{DC5258C8-55BA-46BD-BEA9-3B100093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4" name="Picture 1413" descr="https://mail.google.com/mail/u/0/images/cleardot.gif">
          <a:extLst>
            <a:ext uri="{FF2B5EF4-FFF2-40B4-BE49-F238E27FC236}">
              <a16:creationId xmlns:a16="http://schemas.microsoft.com/office/drawing/2014/main" id="{BFAF3066-F74D-4300-B8FC-01BF0A432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5" name="Picture 1414" descr="https://mail.google.com/mail/u/0/images/cleardot.gif">
          <a:extLst>
            <a:ext uri="{FF2B5EF4-FFF2-40B4-BE49-F238E27FC236}">
              <a16:creationId xmlns:a16="http://schemas.microsoft.com/office/drawing/2014/main" id="{2EDDBF44-BA43-45AB-9CAB-B1C0B132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6" name="Picture 1415" descr="https://mail.google.com/mail/u/0/images/cleardot.gif">
          <a:extLst>
            <a:ext uri="{FF2B5EF4-FFF2-40B4-BE49-F238E27FC236}">
              <a16:creationId xmlns:a16="http://schemas.microsoft.com/office/drawing/2014/main" id="{F7901307-69F0-419C-9710-DD0DF8934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7" name="Picture 1416" descr="https://mail.google.com/mail/u/0/images/cleardot.gif">
          <a:extLst>
            <a:ext uri="{FF2B5EF4-FFF2-40B4-BE49-F238E27FC236}">
              <a16:creationId xmlns:a16="http://schemas.microsoft.com/office/drawing/2014/main" id="{C8DC1D10-FB78-4FC0-A667-B223C8CD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8" name="Picture 1417" descr="https://mail.google.com/mail/u/0/images/cleardot.gif">
          <a:extLst>
            <a:ext uri="{FF2B5EF4-FFF2-40B4-BE49-F238E27FC236}">
              <a16:creationId xmlns:a16="http://schemas.microsoft.com/office/drawing/2014/main" id="{AE9FB9D0-2A1B-456A-BD36-BDC5ED27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19" name="Picture 1418" descr="https://mail.google.com/mail/u/0/images/cleardot.gif">
          <a:extLst>
            <a:ext uri="{FF2B5EF4-FFF2-40B4-BE49-F238E27FC236}">
              <a16:creationId xmlns:a16="http://schemas.microsoft.com/office/drawing/2014/main" id="{33DDB36B-FAD4-4792-9807-9F433DE1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0" name="Picture 1419" descr="https://mail.google.com/mail/u/0/images/cleardot.gif">
          <a:extLst>
            <a:ext uri="{FF2B5EF4-FFF2-40B4-BE49-F238E27FC236}">
              <a16:creationId xmlns:a16="http://schemas.microsoft.com/office/drawing/2014/main" id="{C10923F6-1F73-4771-AA05-CEA6678D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1" name="Picture 1420" descr="https://mail.google.com/mail/u/0/images/cleardot.gif">
          <a:extLst>
            <a:ext uri="{FF2B5EF4-FFF2-40B4-BE49-F238E27FC236}">
              <a16:creationId xmlns:a16="http://schemas.microsoft.com/office/drawing/2014/main" id="{F1D16E6E-9CD9-497B-9142-BFE619D67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2" name="Picture 1421" descr="https://mail.google.com/mail/u/0/images/cleardot.gif">
          <a:extLst>
            <a:ext uri="{FF2B5EF4-FFF2-40B4-BE49-F238E27FC236}">
              <a16:creationId xmlns:a16="http://schemas.microsoft.com/office/drawing/2014/main" id="{C4849433-E920-4EF2-8247-A6F0ED5C7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3" name="Picture 1422" descr="https://mail.google.com/mail/u/0/images/cleardot.gif">
          <a:extLst>
            <a:ext uri="{FF2B5EF4-FFF2-40B4-BE49-F238E27FC236}">
              <a16:creationId xmlns:a16="http://schemas.microsoft.com/office/drawing/2014/main" id="{EEAC5284-CC02-47AD-B272-CB1DE95C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4" name="Picture 1423" descr="https://mail.google.com/mail/u/0/images/cleardot.gif">
          <a:extLst>
            <a:ext uri="{FF2B5EF4-FFF2-40B4-BE49-F238E27FC236}">
              <a16:creationId xmlns:a16="http://schemas.microsoft.com/office/drawing/2014/main" id="{BEB1E803-9E79-4B95-95E4-7D777EDD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5" name="Picture 1424" descr="https://mail.google.com/mail/u/0/images/cleardot.gif">
          <a:extLst>
            <a:ext uri="{FF2B5EF4-FFF2-40B4-BE49-F238E27FC236}">
              <a16:creationId xmlns:a16="http://schemas.microsoft.com/office/drawing/2014/main" id="{71C901B4-CC06-4314-BD60-32E4479A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6" name="Picture 1425" descr="https://mail.google.com/mail/u/0/images/cleardot.gif">
          <a:extLst>
            <a:ext uri="{FF2B5EF4-FFF2-40B4-BE49-F238E27FC236}">
              <a16:creationId xmlns:a16="http://schemas.microsoft.com/office/drawing/2014/main" id="{B6AE5A00-4B16-4C18-A605-29B09E307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7" name="Picture 1426" descr="https://mail.google.com/mail/u/0/images/cleardot.gif">
          <a:extLst>
            <a:ext uri="{FF2B5EF4-FFF2-40B4-BE49-F238E27FC236}">
              <a16:creationId xmlns:a16="http://schemas.microsoft.com/office/drawing/2014/main" id="{DD41FB90-D024-4576-9EC1-7E05CF52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8" name="Picture 1427" descr="https://mail.google.com/mail/u/0/images/cleardot.gif">
          <a:extLst>
            <a:ext uri="{FF2B5EF4-FFF2-40B4-BE49-F238E27FC236}">
              <a16:creationId xmlns:a16="http://schemas.microsoft.com/office/drawing/2014/main" id="{AB7A089F-1866-44D7-B192-EFF44785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29" name="Picture 1428" descr="https://mail.google.com/mail/u/0/images/cleardot.gif">
          <a:extLst>
            <a:ext uri="{FF2B5EF4-FFF2-40B4-BE49-F238E27FC236}">
              <a16:creationId xmlns:a16="http://schemas.microsoft.com/office/drawing/2014/main" id="{3C45E71E-4A50-4036-B483-E49CC5845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0" name="Picture 1429" descr="https://mail.google.com/mail/u/0/images/cleardot.gif">
          <a:extLst>
            <a:ext uri="{FF2B5EF4-FFF2-40B4-BE49-F238E27FC236}">
              <a16:creationId xmlns:a16="http://schemas.microsoft.com/office/drawing/2014/main" id="{294350A0-7D5C-47A8-9124-E1AA12AF4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1" name="Picture 1430" descr="https://mail.google.com/mail/u/0/images/cleardot.gif">
          <a:extLst>
            <a:ext uri="{FF2B5EF4-FFF2-40B4-BE49-F238E27FC236}">
              <a16:creationId xmlns:a16="http://schemas.microsoft.com/office/drawing/2014/main" id="{655D4D34-D1FB-494A-8BC3-B5557E160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2" name="Picture 1431" descr="https://mail.google.com/mail/u/0/images/cleardot.gif">
          <a:extLst>
            <a:ext uri="{FF2B5EF4-FFF2-40B4-BE49-F238E27FC236}">
              <a16:creationId xmlns:a16="http://schemas.microsoft.com/office/drawing/2014/main" id="{2460E3E5-F0E1-40B8-82D4-11741FFD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3" name="Picture 1432" descr="https://mail.google.com/mail/u/0/images/cleardot.gif">
          <a:extLst>
            <a:ext uri="{FF2B5EF4-FFF2-40B4-BE49-F238E27FC236}">
              <a16:creationId xmlns:a16="http://schemas.microsoft.com/office/drawing/2014/main" id="{9199966A-E54F-439B-B6D6-80288520F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4" name="Picture 1433" descr="https://mail.google.com/mail/u/0/images/cleardot.gif">
          <a:extLst>
            <a:ext uri="{FF2B5EF4-FFF2-40B4-BE49-F238E27FC236}">
              <a16:creationId xmlns:a16="http://schemas.microsoft.com/office/drawing/2014/main" id="{D549523E-7488-444A-92F4-36C81A5F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5" name="Picture 1434" descr="https://mail.google.com/mail/u/0/images/cleardot.gif">
          <a:extLst>
            <a:ext uri="{FF2B5EF4-FFF2-40B4-BE49-F238E27FC236}">
              <a16:creationId xmlns:a16="http://schemas.microsoft.com/office/drawing/2014/main" id="{2EF57B7C-8B59-45E1-A92C-36FB4679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6" name="Picture 1435" descr="https://mail.google.com/mail/u/0/images/cleardot.gif">
          <a:extLst>
            <a:ext uri="{FF2B5EF4-FFF2-40B4-BE49-F238E27FC236}">
              <a16:creationId xmlns:a16="http://schemas.microsoft.com/office/drawing/2014/main" id="{219E4A3D-0895-4351-807F-2D476A22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7" name="Picture 1436" descr="https://mail.google.com/mail/u/0/images/cleardot.gif">
          <a:extLst>
            <a:ext uri="{FF2B5EF4-FFF2-40B4-BE49-F238E27FC236}">
              <a16:creationId xmlns:a16="http://schemas.microsoft.com/office/drawing/2014/main" id="{43639DE6-0C70-4D59-976F-D56E42BA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8" name="Picture 1437" descr="https://mail.google.com/mail/u/0/images/cleardot.gif">
          <a:extLst>
            <a:ext uri="{FF2B5EF4-FFF2-40B4-BE49-F238E27FC236}">
              <a16:creationId xmlns:a16="http://schemas.microsoft.com/office/drawing/2014/main" id="{4A386708-FFF0-439D-8735-E853B9060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39" name="Picture 1438" descr="https://mail.google.com/mail/u/0/images/cleardot.gif">
          <a:extLst>
            <a:ext uri="{FF2B5EF4-FFF2-40B4-BE49-F238E27FC236}">
              <a16:creationId xmlns:a16="http://schemas.microsoft.com/office/drawing/2014/main" id="{19F42DC8-9675-4FF0-A899-64D8C040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0" name="Picture 1439" descr="https://mail.google.com/mail/u/0/images/cleardot.gif">
          <a:extLst>
            <a:ext uri="{FF2B5EF4-FFF2-40B4-BE49-F238E27FC236}">
              <a16:creationId xmlns:a16="http://schemas.microsoft.com/office/drawing/2014/main" id="{5E7B2D1D-AE63-4866-B053-A93A1CC5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1" name="Picture 1440" descr="https://mail.google.com/mail/u/0/images/cleardot.gif">
          <a:extLst>
            <a:ext uri="{FF2B5EF4-FFF2-40B4-BE49-F238E27FC236}">
              <a16:creationId xmlns:a16="http://schemas.microsoft.com/office/drawing/2014/main" id="{24D20529-EE47-4B4C-AA83-45576375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2" name="Picture 1441" descr="https://mail.google.com/mail/u/0/images/cleardot.gif">
          <a:extLst>
            <a:ext uri="{FF2B5EF4-FFF2-40B4-BE49-F238E27FC236}">
              <a16:creationId xmlns:a16="http://schemas.microsoft.com/office/drawing/2014/main" id="{E92A12B0-60B7-40F7-96A1-09FEC509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3" name="Picture 1442" descr="https://mail.google.com/mail/u/0/images/cleardot.gif">
          <a:extLst>
            <a:ext uri="{FF2B5EF4-FFF2-40B4-BE49-F238E27FC236}">
              <a16:creationId xmlns:a16="http://schemas.microsoft.com/office/drawing/2014/main" id="{4A80A16B-BC63-43E3-8579-5B23496A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4" name="Picture 1443" descr="https://mail.google.com/mail/u/0/images/cleardot.gif">
          <a:extLst>
            <a:ext uri="{FF2B5EF4-FFF2-40B4-BE49-F238E27FC236}">
              <a16:creationId xmlns:a16="http://schemas.microsoft.com/office/drawing/2014/main" id="{F2421352-8A8F-4FDF-A284-30C84AB19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5" name="Picture 1444" descr="https://mail.google.com/mail/u/0/images/cleardot.gif">
          <a:extLst>
            <a:ext uri="{FF2B5EF4-FFF2-40B4-BE49-F238E27FC236}">
              <a16:creationId xmlns:a16="http://schemas.microsoft.com/office/drawing/2014/main" id="{6347973B-52C3-4079-8C66-82A8EC0B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6" name="Picture 1445" descr="https://mail.google.com/mail/u/0/images/cleardot.gif">
          <a:extLst>
            <a:ext uri="{FF2B5EF4-FFF2-40B4-BE49-F238E27FC236}">
              <a16:creationId xmlns:a16="http://schemas.microsoft.com/office/drawing/2014/main" id="{DE345B33-A610-4582-8B6B-C91A64835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7" name="Picture 1446" descr="https://mail.google.com/mail/u/0/images/cleardot.gif">
          <a:extLst>
            <a:ext uri="{FF2B5EF4-FFF2-40B4-BE49-F238E27FC236}">
              <a16:creationId xmlns:a16="http://schemas.microsoft.com/office/drawing/2014/main" id="{5AD5D32C-E3E2-4CB7-A9EB-3BCFA8FD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8" name="Picture 1447" descr="https://mail.google.com/mail/u/0/images/cleardot.gif">
          <a:extLst>
            <a:ext uri="{FF2B5EF4-FFF2-40B4-BE49-F238E27FC236}">
              <a16:creationId xmlns:a16="http://schemas.microsoft.com/office/drawing/2014/main" id="{B84ABB0B-5E77-42F5-9F19-AF1F6DB33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49" name="Picture 1448" descr="https://mail.google.com/mail/u/0/images/cleardot.gif">
          <a:extLst>
            <a:ext uri="{FF2B5EF4-FFF2-40B4-BE49-F238E27FC236}">
              <a16:creationId xmlns:a16="http://schemas.microsoft.com/office/drawing/2014/main" id="{3F51B623-CE4B-4EB7-9A22-C67155DFB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0" name="Picture 1449" descr="https://mail.google.com/mail/u/0/images/cleardot.gif">
          <a:extLst>
            <a:ext uri="{FF2B5EF4-FFF2-40B4-BE49-F238E27FC236}">
              <a16:creationId xmlns:a16="http://schemas.microsoft.com/office/drawing/2014/main" id="{AA77A5F3-B75A-4176-8630-E39BC2F90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1" name="Picture 1450" descr="https://mail.google.com/mail/u/0/images/cleardot.gif">
          <a:extLst>
            <a:ext uri="{FF2B5EF4-FFF2-40B4-BE49-F238E27FC236}">
              <a16:creationId xmlns:a16="http://schemas.microsoft.com/office/drawing/2014/main" id="{EC349691-10D8-4160-A010-79CF8C7EC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2" name="Picture 1451" descr="https://mail.google.com/mail/u/0/images/cleardot.gif">
          <a:extLst>
            <a:ext uri="{FF2B5EF4-FFF2-40B4-BE49-F238E27FC236}">
              <a16:creationId xmlns:a16="http://schemas.microsoft.com/office/drawing/2014/main" id="{1F684408-05E3-474C-8481-F9F8B0B7E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3" name="Picture 1452" descr="https://mail.google.com/mail/u/0/images/cleardot.gif">
          <a:extLst>
            <a:ext uri="{FF2B5EF4-FFF2-40B4-BE49-F238E27FC236}">
              <a16:creationId xmlns:a16="http://schemas.microsoft.com/office/drawing/2014/main" id="{2C2DC00B-131C-4EEA-878B-286CD4B2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4" name="Picture 1453" descr="https://mail.google.com/mail/u/0/images/cleardot.gif">
          <a:extLst>
            <a:ext uri="{FF2B5EF4-FFF2-40B4-BE49-F238E27FC236}">
              <a16:creationId xmlns:a16="http://schemas.microsoft.com/office/drawing/2014/main" id="{A248268D-0209-4DA8-BA57-B3FB77899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5" name="Picture 1454" descr="https://mail.google.com/mail/u/0/images/cleardot.gif">
          <a:extLst>
            <a:ext uri="{FF2B5EF4-FFF2-40B4-BE49-F238E27FC236}">
              <a16:creationId xmlns:a16="http://schemas.microsoft.com/office/drawing/2014/main" id="{3FA4BFCB-E369-47A4-887A-5F492DFF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6" name="Picture 1455" descr="https://mail.google.com/mail/u/0/images/cleardot.gif">
          <a:extLst>
            <a:ext uri="{FF2B5EF4-FFF2-40B4-BE49-F238E27FC236}">
              <a16:creationId xmlns:a16="http://schemas.microsoft.com/office/drawing/2014/main" id="{F36BB989-30A9-4E24-9134-913D519F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7" name="Picture 1456" descr="https://mail.google.com/mail/u/0/images/cleardot.gif">
          <a:extLst>
            <a:ext uri="{FF2B5EF4-FFF2-40B4-BE49-F238E27FC236}">
              <a16:creationId xmlns:a16="http://schemas.microsoft.com/office/drawing/2014/main" id="{9428D1F5-3F79-4A2D-B236-C0BF0A22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8" name="Picture 1457" descr="https://mail.google.com/mail/u/0/images/cleardot.gif">
          <a:extLst>
            <a:ext uri="{FF2B5EF4-FFF2-40B4-BE49-F238E27FC236}">
              <a16:creationId xmlns:a16="http://schemas.microsoft.com/office/drawing/2014/main" id="{DB2E0825-48E4-4A4D-A46C-D2648E42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59" name="Picture 1458" descr="https://mail.google.com/mail/u/0/images/cleardot.gif">
          <a:extLst>
            <a:ext uri="{FF2B5EF4-FFF2-40B4-BE49-F238E27FC236}">
              <a16:creationId xmlns:a16="http://schemas.microsoft.com/office/drawing/2014/main" id="{760CD77F-AB5B-4081-96D0-7D32E77F1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0" name="Picture 1459" descr="https://mail.google.com/mail/u/0/images/cleardot.gif">
          <a:extLst>
            <a:ext uri="{FF2B5EF4-FFF2-40B4-BE49-F238E27FC236}">
              <a16:creationId xmlns:a16="http://schemas.microsoft.com/office/drawing/2014/main" id="{FA62BAEF-EB6F-444F-9A38-A3BFD4718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1" name="Picture 1460" descr="https://mail.google.com/mail/u/0/images/cleardot.gif">
          <a:extLst>
            <a:ext uri="{FF2B5EF4-FFF2-40B4-BE49-F238E27FC236}">
              <a16:creationId xmlns:a16="http://schemas.microsoft.com/office/drawing/2014/main" id="{846F0C36-E69C-49C8-A398-A47C4CCD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2" name="Picture 1461" descr="https://mail.google.com/mail/u/0/images/cleardot.gif">
          <a:extLst>
            <a:ext uri="{FF2B5EF4-FFF2-40B4-BE49-F238E27FC236}">
              <a16:creationId xmlns:a16="http://schemas.microsoft.com/office/drawing/2014/main" id="{7F663C28-D049-47E8-8D6D-D896601B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3" name="Picture 1462" descr="https://mail.google.com/mail/u/0/images/cleardot.gif">
          <a:extLst>
            <a:ext uri="{FF2B5EF4-FFF2-40B4-BE49-F238E27FC236}">
              <a16:creationId xmlns:a16="http://schemas.microsoft.com/office/drawing/2014/main" id="{4B409684-C758-4CA6-855C-F045237AA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4" name="Picture 1463" descr="https://mail.google.com/mail/u/0/images/cleardot.gif">
          <a:extLst>
            <a:ext uri="{FF2B5EF4-FFF2-40B4-BE49-F238E27FC236}">
              <a16:creationId xmlns:a16="http://schemas.microsoft.com/office/drawing/2014/main" id="{AEF556D2-0568-4EDD-BB04-E9740D279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5" name="Picture 1464" descr="https://mail.google.com/mail/u/0/images/cleardot.gif">
          <a:extLst>
            <a:ext uri="{FF2B5EF4-FFF2-40B4-BE49-F238E27FC236}">
              <a16:creationId xmlns:a16="http://schemas.microsoft.com/office/drawing/2014/main" id="{A4340B6A-E69B-46DD-BC34-1FBC3A76A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6" name="Picture 1465" descr="https://mail.google.com/mail/u/0/images/cleardot.gif">
          <a:extLst>
            <a:ext uri="{FF2B5EF4-FFF2-40B4-BE49-F238E27FC236}">
              <a16:creationId xmlns:a16="http://schemas.microsoft.com/office/drawing/2014/main" id="{B511937A-D53B-4224-AE6D-96DE8BE97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7" name="Picture 1466" descr="https://mail.google.com/mail/u/0/images/cleardot.gif">
          <a:extLst>
            <a:ext uri="{FF2B5EF4-FFF2-40B4-BE49-F238E27FC236}">
              <a16:creationId xmlns:a16="http://schemas.microsoft.com/office/drawing/2014/main" id="{728E05D1-40F5-4D5C-B06A-7FE638D98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8" name="Picture 1467" descr="https://mail.google.com/mail/u/0/images/cleardot.gif">
          <a:extLst>
            <a:ext uri="{FF2B5EF4-FFF2-40B4-BE49-F238E27FC236}">
              <a16:creationId xmlns:a16="http://schemas.microsoft.com/office/drawing/2014/main" id="{3D6F70ED-6B4E-4A0E-94EE-D71F24F3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69" name="Picture 1468" descr="https://mail.google.com/mail/u/0/images/cleardot.gif">
          <a:extLst>
            <a:ext uri="{FF2B5EF4-FFF2-40B4-BE49-F238E27FC236}">
              <a16:creationId xmlns:a16="http://schemas.microsoft.com/office/drawing/2014/main" id="{31C5E03B-E5CA-4BD1-8782-CDA40E1C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0" name="Picture 1469" descr="https://mail.google.com/mail/u/0/images/cleardot.gif">
          <a:extLst>
            <a:ext uri="{FF2B5EF4-FFF2-40B4-BE49-F238E27FC236}">
              <a16:creationId xmlns:a16="http://schemas.microsoft.com/office/drawing/2014/main" id="{60DB4A70-5862-486A-BC0E-54ECBE66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1" name="Picture 1470" descr="https://mail.google.com/mail/u/0/images/cleardot.gif">
          <a:extLst>
            <a:ext uri="{FF2B5EF4-FFF2-40B4-BE49-F238E27FC236}">
              <a16:creationId xmlns:a16="http://schemas.microsoft.com/office/drawing/2014/main" id="{A7333CF2-2B3C-447F-BB01-4A2673074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2" name="Picture 1471" descr="https://mail.google.com/mail/u/0/images/cleardot.gif">
          <a:extLst>
            <a:ext uri="{FF2B5EF4-FFF2-40B4-BE49-F238E27FC236}">
              <a16:creationId xmlns:a16="http://schemas.microsoft.com/office/drawing/2014/main" id="{8856038B-A91A-41B7-848B-990A93606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3" name="Picture 1472" descr="https://mail.google.com/mail/u/0/images/cleardot.gif">
          <a:extLst>
            <a:ext uri="{FF2B5EF4-FFF2-40B4-BE49-F238E27FC236}">
              <a16:creationId xmlns:a16="http://schemas.microsoft.com/office/drawing/2014/main" id="{46421C0F-9920-4B82-9CF9-153CF6AE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4" name="Picture 1473" descr="https://mail.google.com/mail/u/0/images/cleardot.gif">
          <a:extLst>
            <a:ext uri="{FF2B5EF4-FFF2-40B4-BE49-F238E27FC236}">
              <a16:creationId xmlns:a16="http://schemas.microsoft.com/office/drawing/2014/main" id="{224FE5F8-714F-4F7E-B506-3EAD0E969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5" name="Picture 1474" descr="https://mail.google.com/mail/u/0/images/cleardot.gif">
          <a:extLst>
            <a:ext uri="{FF2B5EF4-FFF2-40B4-BE49-F238E27FC236}">
              <a16:creationId xmlns:a16="http://schemas.microsoft.com/office/drawing/2014/main" id="{05CBF1A8-91FA-4AB3-B815-7D18B2B09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6" name="Picture 1475" descr="https://mail.google.com/mail/u/0/images/cleardot.gif">
          <a:extLst>
            <a:ext uri="{FF2B5EF4-FFF2-40B4-BE49-F238E27FC236}">
              <a16:creationId xmlns:a16="http://schemas.microsoft.com/office/drawing/2014/main" id="{AAF4D0FD-D4E6-406D-A87F-6FBA6AF7D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7" name="Picture 1476" descr="https://mail.google.com/mail/u/0/images/cleardot.gif">
          <a:extLst>
            <a:ext uri="{FF2B5EF4-FFF2-40B4-BE49-F238E27FC236}">
              <a16:creationId xmlns:a16="http://schemas.microsoft.com/office/drawing/2014/main" id="{62F7E323-4665-4FBD-811C-2D39B2FC0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8" name="Picture 1477" descr="https://mail.google.com/mail/u/0/images/cleardot.gif">
          <a:extLst>
            <a:ext uri="{FF2B5EF4-FFF2-40B4-BE49-F238E27FC236}">
              <a16:creationId xmlns:a16="http://schemas.microsoft.com/office/drawing/2014/main" id="{2E63BA90-FA84-400E-B4C7-CE496CAA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79" name="Picture 1478" descr="https://mail.google.com/mail/u/0/images/cleardot.gif">
          <a:extLst>
            <a:ext uri="{FF2B5EF4-FFF2-40B4-BE49-F238E27FC236}">
              <a16:creationId xmlns:a16="http://schemas.microsoft.com/office/drawing/2014/main" id="{B88A709E-542A-4950-B0CC-95AFF99B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0" name="Picture 1479" descr="https://mail.google.com/mail/u/0/images/cleardot.gif">
          <a:extLst>
            <a:ext uri="{FF2B5EF4-FFF2-40B4-BE49-F238E27FC236}">
              <a16:creationId xmlns:a16="http://schemas.microsoft.com/office/drawing/2014/main" id="{DDE13F1E-4D86-4669-8AFB-56FACB1B7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1" name="Picture 1480" descr="https://mail.google.com/mail/u/0/images/cleardot.gif">
          <a:extLst>
            <a:ext uri="{FF2B5EF4-FFF2-40B4-BE49-F238E27FC236}">
              <a16:creationId xmlns:a16="http://schemas.microsoft.com/office/drawing/2014/main" id="{BFBA8897-480A-480C-BD27-1180474F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2" name="Picture 1481" descr="https://mail.google.com/mail/u/0/images/cleardot.gif">
          <a:extLst>
            <a:ext uri="{FF2B5EF4-FFF2-40B4-BE49-F238E27FC236}">
              <a16:creationId xmlns:a16="http://schemas.microsoft.com/office/drawing/2014/main" id="{9A66F698-1B59-411E-B596-6E0F4729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3" name="Picture 1482" descr="https://mail.google.com/mail/u/0/images/cleardot.gif">
          <a:extLst>
            <a:ext uri="{FF2B5EF4-FFF2-40B4-BE49-F238E27FC236}">
              <a16:creationId xmlns:a16="http://schemas.microsoft.com/office/drawing/2014/main" id="{BC2F85F5-B745-42B3-937F-9C184A35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4" name="Picture 1483" descr="https://mail.google.com/mail/u/0/images/cleardot.gif">
          <a:extLst>
            <a:ext uri="{FF2B5EF4-FFF2-40B4-BE49-F238E27FC236}">
              <a16:creationId xmlns:a16="http://schemas.microsoft.com/office/drawing/2014/main" id="{A2B50089-5848-43BC-BDD3-33390C707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5" name="Picture 1484" descr="https://mail.google.com/mail/u/0/images/cleardot.gif">
          <a:extLst>
            <a:ext uri="{FF2B5EF4-FFF2-40B4-BE49-F238E27FC236}">
              <a16:creationId xmlns:a16="http://schemas.microsoft.com/office/drawing/2014/main" id="{05FEA611-A419-4487-BD29-CFA239097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6" name="Picture 1485" descr="https://mail.google.com/mail/u/0/images/cleardot.gif">
          <a:extLst>
            <a:ext uri="{FF2B5EF4-FFF2-40B4-BE49-F238E27FC236}">
              <a16:creationId xmlns:a16="http://schemas.microsoft.com/office/drawing/2014/main" id="{7FE6BD3E-8E5A-44BC-B4D7-538E9677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7" name="Picture 1486" descr="https://mail.google.com/mail/u/0/images/cleardot.gif">
          <a:extLst>
            <a:ext uri="{FF2B5EF4-FFF2-40B4-BE49-F238E27FC236}">
              <a16:creationId xmlns:a16="http://schemas.microsoft.com/office/drawing/2014/main" id="{19FA2205-3989-4A9B-A507-AAF08A3B1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8" name="Picture 1487" descr="https://mail.google.com/mail/u/0/images/cleardot.gif">
          <a:extLst>
            <a:ext uri="{FF2B5EF4-FFF2-40B4-BE49-F238E27FC236}">
              <a16:creationId xmlns:a16="http://schemas.microsoft.com/office/drawing/2014/main" id="{FC97A9FA-2744-492A-B182-F693F47A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89" name="Picture 1488" descr="https://mail.google.com/mail/u/0/images/cleardot.gif">
          <a:extLst>
            <a:ext uri="{FF2B5EF4-FFF2-40B4-BE49-F238E27FC236}">
              <a16:creationId xmlns:a16="http://schemas.microsoft.com/office/drawing/2014/main" id="{1FEDB2E3-C652-4B73-BD9C-B4A9D55A6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0" name="Picture 1489" descr="https://mail.google.com/mail/u/0/images/cleardot.gif">
          <a:extLst>
            <a:ext uri="{FF2B5EF4-FFF2-40B4-BE49-F238E27FC236}">
              <a16:creationId xmlns:a16="http://schemas.microsoft.com/office/drawing/2014/main" id="{A989237D-F67C-4459-BE19-DA3723E8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1" name="Picture 1490" descr="https://mail.google.com/mail/u/0/images/cleardot.gif">
          <a:extLst>
            <a:ext uri="{FF2B5EF4-FFF2-40B4-BE49-F238E27FC236}">
              <a16:creationId xmlns:a16="http://schemas.microsoft.com/office/drawing/2014/main" id="{A59E4248-10F2-474F-8678-6650FA5F3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2" name="Picture 1491" descr="https://mail.google.com/mail/u/0/images/cleardot.gif">
          <a:extLst>
            <a:ext uri="{FF2B5EF4-FFF2-40B4-BE49-F238E27FC236}">
              <a16:creationId xmlns:a16="http://schemas.microsoft.com/office/drawing/2014/main" id="{164ED0C0-77F1-4B75-A5BF-B6E933CE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3" name="Picture 1492" descr="https://mail.google.com/mail/u/0/images/cleardot.gif">
          <a:extLst>
            <a:ext uri="{FF2B5EF4-FFF2-40B4-BE49-F238E27FC236}">
              <a16:creationId xmlns:a16="http://schemas.microsoft.com/office/drawing/2014/main" id="{CDB9CF8B-580B-42A0-A49F-937955094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4" name="Picture 1493" descr="https://mail.google.com/mail/u/0/images/cleardot.gif">
          <a:extLst>
            <a:ext uri="{FF2B5EF4-FFF2-40B4-BE49-F238E27FC236}">
              <a16:creationId xmlns:a16="http://schemas.microsoft.com/office/drawing/2014/main" id="{10E053B6-6BEF-4A1B-95AA-20E27C8D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5" name="Picture 1494" descr="https://mail.google.com/mail/u/0/images/cleardot.gif">
          <a:extLst>
            <a:ext uri="{FF2B5EF4-FFF2-40B4-BE49-F238E27FC236}">
              <a16:creationId xmlns:a16="http://schemas.microsoft.com/office/drawing/2014/main" id="{35CD8987-7310-4E5F-AA6E-34F57BD1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6" name="Picture 1495" descr="https://mail.google.com/mail/u/0/images/cleardot.gif">
          <a:extLst>
            <a:ext uri="{FF2B5EF4-FFF2-40B4-BE49-F238E27FC236}">
              <a16:creationId xmlns:a16="http://schemas.microsoft.com/office/drawing/2014/main" id="{2017D630-2E5C-4AD1-964A-804390002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7" name="Picture 1496" descr="https://mail.google.com/mail/u/0/images/cleardot.gif">
          <a:extLst>
            <a:ext uri="{FF2B5EF4-FFF2-40B4-BE49-F238E27FC236}">
              <a16:creationId xmlns:a16="http://schemas.microsoft.com/office/drawing/2014/main" id="{0C7E85E5-C813-4472-B207-C0C727E65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8" name="Picture 1497" descr="https://mail.google.com/mail/u/0/images/cleardot.gif">
          <a:extLst>
            <a:ext uri="{FF2B5EF4-FFF2-40B4-BE49-F238E27FC236}">
              <a16:creationId xmlns:a16="http://schemas.microsoft.com/office/drawing/2014/main" id="{1D25E7A8-00E0-43B2-B06D-9E583A3A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499" name="Picture 1498" descr="https://mail.google.com/mail/u/0/images/cleardot.gif">
          <a:extLst>
            <a:ext uri="{FF2B5EF4-FFF2-40B4-BE49-F238E27FC236}">
              <a16:creationId xmlns:a16="http://schemas.microsoft.com/office/drawing/2014/main" id="{2F2FC066-47E4-4E68-955C-00F3E356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0" name="Picture 1499" descr="https://mail.google.com/mail/u/0/images/cleardot.gif">
          <a:extLst>
            <a:ext uri="{FF2B5EF4-FFF2-40B4-BE49-F238E27FC236}">
              <a16:creationId xmlns:a16="http://schemas.microsoft.com/office/drawing/2014/main" id="{C26081AF-BFAB-4E2A-AE78-2CEF74413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1" name="Picture 1500" descr="https://mail.google.com/mail/u/0/images/cleardot.gif">
          <a:extLst>
            <a:ext uri="{FF2B5EF4-FFF2-40B4-BE49-F238E27FC236}">
              <a16:creationId xmlns:a16="http://schemas.microsoft.com/office/drawing/2014/main" id="{A3BFCCF5-193A-4E04-9B1D-EDC99186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2" name="Picture 1501" descr="https://mail.google.com/mail/u/0/images/cleardot.gif">
          <a:extLst>
            <a:ext uri="{FF2B5EF4-FFF2-40B4-BE49-F238E27FC236}">
              <a16:creationId xmlns:a16="http://schemas.microsoft.com/office/drawing/2014/main" id="{3F5EFC19-D47F-4B02-B206-2EB704D20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3" name="Picture 1502" descr="https://mail.google.com/mail/u/0/images/cleardot.gif">
          <a:extLst>
            <a:ext uri="{FF2B5EF4-FFF2-40B4-BE49-F238E27FC236}">
              <a16:creationId xmlns:a16="http://schemas.microsoft.com/office/drawing/2014/main" id="{6C6CB732-7943-4ABB-A7F1-C01F03D90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4" name="Picture 1503" descr="https://mail.google.com/mail/u/0/images/cleardot.gif">
          <a:extLst>
            <a:ext uri="{FF2B5EF4-FFF2-40B4-BE49-F238E27FC236}">
              <a16:creationId xmlns:a16="http://schemas.microsoft.com/office/drawing/2014/main" id="{1BE72D5F-5516-4B5F-B42C-3F827284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5" name="Picture 1504" descr="https://mail.google.com/mail/u/0/images/cleardot.gif">
          <a:extLst>
            <a:ext uri="{FF2B5EF4-FFF2-40B4-BE49-F238E27FC236}">
              <a16:creationId xmlns:a16="http://schemas.microsoft.com/office/drawing/2014/main" id="{62B28F36-2916-4669-9B20-F45CB7C4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6" name="Picture 1505" descr="https://mail.google.com/mail/u/0/images/cleardot.gif">
          <a:extLst>
            <a:ext uri="{FF2B5EF4-FFF2-40B4-BE49-F238E27FC236}">
              <a16:creationId xmlns:a16="http://schemas.microsoft.com/office/drawing/2014/main" id="{19C3B0D8-51BE-447F-A992-09030A84B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7" name="Picture 1506" descr="https://mail.google.com/mail/u/0/images/cleardot.gif">
          <a:extLst>
            <a:ext uri="{FF2B5EF4-FFF2-40B4-BE49-F238E27FC236}">
              <a16:creationId xmlns:a16="http://schemas.microsoft.com/office/drawing/2014/main" id="{B3F83DCE-00D9-47F5-A873-181069A57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8" name="Picture 1507" descr="https://mail.google.com/mail/u/0/images/cleardot.gif">
          <a:extLst>
            <a:ext uri="{FF2B5EF4-FFF2-40B4-BE49-F238E27FC236}">
              <a16:creationId xmlns:a16="http://schemas.microsoft.com/office/drawing/2014/main" id="{6364C17D-9D50-4423-B6EA-61299C37D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09" name="Picture 1508" descr="https://mail.google.com/mail/u/0/images/cleardot.gif">
          <a:extLst>
            <a:ext uri="{FF2B5EF4-FFF2-40B4-BE49-F238E27FC236}">
              <a16:creationId xmlns:a16="http://schemas.microsoft.com/office/drawing/2014/main" id="{09A03160-96F2-4DE9-A507-9D1C16F56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0" name="Picture 1509" descr="https://mail.google.com/mail/u/0/images/cleardot.gif">
          <a:extLst>
            <a:ext uri="{FF2B5EF4-FFF2-40B4-BE49-F238E27FC236}">
              <a16:creationId xmlns:a16="http://schemas.microsoft.com/office/drawing/2014/main" id="{D45BBE62-017A-49D4-975B-902D86B3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1" name="Picture 1510" descr="https://mail.google.com/mail/u/0/images/cleardot.gif">
          <a:extLst>
            <a:ext uri="{FF2B5EF4-FFF2-40B4-BE49-F238E27FC236}">
              <a16:creationId xmlns:a16="http://schemas.microsoft.com/office/drawing/2014/main" id="{21839DDE-294C-4A97-9CD1-1362228E2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2" name="Picture 1511" descr="https://mail.google.com/mail/u/0/images/cleardot.gif">
          <a:extLst>
            <a:ext uri="{FF2B5EF4-FFF2-40B4-BE49-F238E27FC236}">
              <a16:creationId xmlns:a16="http://schemas.microsoft.com/office/drawing/2014/main" id="{8291D4D4-6334-4CAF-A3C7-E4DF81D7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3" name="Picture 1512" descr="https://mail.google.com/mail/u/0/images/cleardot.gif">
          <a:extLst>
            <a:ext uri="{FF2B5EF4-FFF2-40B4-BE49-F238E27FC236}">
              <a16:creationId xmlns:a16="http://schemas.microsoft.com/office/drawing/2014/main" id="{F01E30C6-CBE2-4DCA-8CAA-E1F9E56B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4" name="Picture 1513" descr="https://mail.google.com/mail/u/0/images/cleardot.gif">
          <a:extLst>
            <a:ext uri="{FF2B5EF4-FFF2-40B4-BE49-F238E27FC236}">
              <a16:creationId xmlns:a16="http://schemas.microsoft.com/office/drawing/2014/main" id="{14B5FA73-E890-4F5B-9F55-42ECA0D3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5" name="Picture 1514" descr="https://mail.google.com/mail/u/0/images/cleardot.gif">
          <a:extLst>
            <a:ext uri="{FF2B5EF4-FFF2-40B4-BE49-F238E27FC236}">
              <a16:creationId xmlns:a16="http://schemas.microsoft.com/office/drawing/2014/main" id="{5D6A28EB-8005-4401-ADCA-52AC30E31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6" name="Picture 1515" descr="https://mail.google.com/mail/u/0/images/cleardot.gif">
          <a:extLst>
            <a:ext uri="{FF2B5EF4-FFF2-40B4-BE49-F238E27FC236}">
              <a16:creationId xmlns:a16="http://schemas.microsoft.com/office/drawing/2014/main" id="{3AC8EDBD-8A8A-4B96-A3EA-3FD27C6A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7" name="Picture 1516" descr="https://mail.google.com/mail/u/0/images/cleardot.gif">
          <a:extLst>
            <a:ext uri="{FF2B5EF4-FFF2-40B4-BE49-F238E27FC236}">
              <a16:creationId xmlns:a16="http://schemas.microsoft.com/office/drawing/2014/main" id="{DE08D4D3-B532-451B-BCC0-4494274AE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8" name="Picture 1517" descr="https://mail.google.com/mail/u/0/images/cleardot.gif">
          <a:extLst>
            <a:ext uri="{FF2B5EF4-FFF2-40B4-BE49-F238E27FC236}">
              <a16:creationId xmlns:a16="http://schemas.microsoft.com/office/drawing/2014/main" id="{E215FB77-B85F-4EB2-B6E8-45F58038A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19" name="Picture 1518" descr="https://mail.google.com/mail/u/0/images/cleardot.gif">
          <a:extLst>
            <a:ext uri="{FF2B5EF4-FFF2-40B4-BE49-F238E27FC236}">
              <a16:creationId xmlns:a16="http://schemas.microsoft.com/office/drawing/2014/main" id="{601D55B8-2CD7-448B-9C64-65926F8DF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0" name="Picture 1519" descr="https://mail.google.com/mail/u/0/images/cleardot.gif">
          <a:extLst>
            <a:ext uri="{FF2B5EF4-FFF2-40B4-BE49-F238E27FC236}">
              <a16:creationId xmlns:a16="http://schemas.microsoft.com/office/drawing/2014/main" id="{08426D0F-D855-4B5C-B79C-1CB6B0B40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1" name="Picture 1520" descr="https://mail.google.com/mail/u/0/images/cleardot.gif">
          <a:extLst>
            <a:ext uri="{FF2B5EF4-FFF2-40B4-BE49-F238E27FC236}">
              <a16:creationId xmlns:a16="http://schemas.microsoft.com/office/drawing/2014/main" id="{7C012C84-4C94-4F48-A37D-425399B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2" name="Picture 1521" descr="https://mail.google.com/mail/u/0/images/cleardot.gif">
          <a:extLst>
            <a:ext uri="{FF2B5EF4-FFF2-40B4-BE49-F238E27FC236}">
              <a16:creationId xmlns:a16="http://schemas.microsoft.com/office/drawing/2014/main" id="{41DF79F5-3190-4ADE-8BB1-A7BA101B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3" name="Picture 1522" descr="https://mail.google.com/mail/u/0/images/cleardot.gif">
          <a:extLst>
            <a:ext uri="{FF2B5EF4-FFF2-40B4-BE49-F238E27FC236}">
              <a16:creationId xmlns:a16="http://schemas.microsoft.com/office/drawing/2014/main" id="{3B01B661-A1EA-41D5-AEBB-1B010E976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4" name="Picture 1523" descr="https://mail.google.com/mail/u/0/images/cleardot.gif">
          <a:extLst>
            <a:ext uri="{FF2B5EF4-FFF2-40B4-BE49-F238E27FC236}">
              <a16:creationId xmlns:a16="http://schemas.microsoft.com/office/drawing/2014/main" id="{C07D76EC-F5A9-4C34-A282-0BB0E8D84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5" name="Picture 1524" descr="https://mail.google.com/mail/u/0/images/cleardot.gif">
          <a:extLst>
            <a:ext uri="{FF2B5EF4-FFF2-40B4-BE49-F238E27FC236}">
              <a16:creationId xmlns:a16="http://schemas.microsoft.com/office/drawing/2014/main" id="{8ADD8FD3-D74D-4459-9EC3-6287E0EF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6" name="Picture 1525" descr="https://mail.google.com/mail/u/0/images/cleardot.gif">
          <a:extLst>
            <a:ext uri="{FF2B5EF4-FFF2-40B4-BE49-F238E27FC236}">
              <a16:creationId xmlns:a16="http://schemas.microsoft.com/office/drawing/2014/main" id="{E2D278D1-CE35-470A-BCC1-22FA1BB4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7" name="Picture 1526" descr="https://mail.google.com/mail/u/0/images/cleardot.gif">
          <a:extLst>
            <a:ext uri="{FF2B5EF4-FFF2-40B4-BE49-F238E27FC236}">
              <a16:creationId xmlns:a16="http://schemas.microsoft.com/office/drawing/2014/main" id="{641FAE32-4EA1-49A2-A253-B7BF3920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8" name="Picture 1527" descr="https://mail.google.com/mail/u/0/images/cleardot.gif">
          <a:extLst>
            <a:ext uri="{FF2B5EF4-FFF2-40B4-BE49-F238E27FC236}">
              <a16:creationId xmlns:a16="http://schemas.microsoft.com/office/drawing/2014/main" id="{38A4A39F-7FF2-414F-849C-FEBC66ED5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29" name="Picture 1528" descr="https://mail.google.com/mail/u/0/images/cleardot.gif">
          <a:extLst>
            <a:ext uri="{FF2B5EF4-FFF2-40B4-BE49-F238E27FC236}">
              <a16:creationId xmlns:a16="http://schemas.microsoft.com/office/drawing/2014/main" id="{D2BB2928-3742-40F1-A112-0F827BD35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0" name="Picture 1529" descr="https://mail.google.com/mail/u/0/images/cleardot.gif">
          <a:extLst>
            <a:ext uri="{FF2B5EF4-FFF2-40B4-BE49-F238E27FC236}">
              <a16:creationId xmlns:a16="http://schemas.microsoft.com/office/drawing/2014/main" id="{3D3BEE8F-9676-4554-8306-8D856D87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1" name="Picture 1530" descr="https://mail.google.com/mail/u/0/images/cleardot.gif">
          <a:extLst>
            <a:ext uri="{FF2B5EF4-FFF2-40B4-BE49-F238E27FC236}">
              <a16:creationId xmlns:a16="http://schemas.microsoft.com/office/drawing/2014/main" id="{E6EE5E85-525F-416E-9ADF-8DBD74D9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2" name="Picture 1531" descr="https://mail.google.com/mail/u/0/images/cleardot.gif">
          <a:extLst>
            <a:ext uri="{FF2B5EF4-FFF2-40B4-BE49-F238E27FC236}">
              <a16:creationId xmlns:a16="http://schemas.microsoft.com/office/drawing/2014/main" id="{59C4111B-23FE-4673-B5F8-0CBBC1C5F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3" name="Picture 1532" descr="https://mail.google.com/mail/u/0/images/cleardot.gif">
          <a:extLst>
            <a:ext uri="{FF2B5EF4-FFF2-40B4-BE49-F238E27FC236}">
              <a16:creationId xmlns:a16="http://schemas.microsoft.com/office/drawing/2014/main" id="{6835B124-5BA0-469C-B9F0-0E9C6C0F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4" name="Picture 1533" descr="https://mail.google.com/mail/u/0/images/cleardot.gif">
          <a:extLst>
            <a:ext uri="{FF2B5EF4-FFF2-40B4-BE49-F238E27FC236}">
              <a16:creationId xmlns:a16="http://schemas.microsoft.com/office/drawing/2014/main" id="{F0C6ABD5-21DD-4352-927C-1B7F3E86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5" name="Picture 1534" descr="https://mail.google.com/mail/u/0/images/cleardot.gif">
          <a:extLst>
            <a:ext uri="{FF2B5EF4-FFF2-40B4-BE49-F238E27FC236}">
              <a16:creationId xmlns:a16="http://schemas.microsoft.com/office/drawing/2014/main" id="{DC42165A-9BD2-4E15-94F4-DCEA75F0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6" name="Picture 1535" descr="https://mail.google.com/mail/u/0/images/cleardot.gif">
          <a:extLst>
            <a:ext uri="{FF2B5EF4-FFF2-40B4-BE49-F238E27FC236}">
              <a16:creationId xmlns:a16="http://schemas.microsoft.com/office/drawing/2014/main" id="{2CE423A7-6EBA-4140-80E6-E031D0DD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7" name="Picture 1536" descr="https://mail.google.com/mail/u/0/images/cleardot.gif">
          <a:extLst>
            <a:ext uri="{FF2B5EF4-FFF2-40B4-BE49-F238E27FC236}">
              <a16:creationId xmlns:a16="http://schemas.microsoft.com/office/drawing/2014/main" id="{1384AD5B-452E-454E-8A81-C84EBE98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8" name="Picture 1537" descr="https://mail.google.com/mail/u/0/images/cleardot.gif">
          <a:extLst>
            <a:ext uri="{FF2B5EF4-FFF2-40B4-BE49-F238E27FC236}">
              <a16:creationId xmlns:a16="http://schemas.microsoft.com/office/drawing/2014/main" id="{24149808-528B-47BC-A18A-840A83985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39" name="Picture 1538" descr="https://mail.google.com/mail/u/0/images/cleardot.gif">
          <a:extLst>
            <a:ext uri="{FF2B5EF4-FFF2-40B4-BE49-F238E27FC236}">
              <a16:creationId xmlns:a16="http://schemas.microsoft.com/office/drawing/2014/main" id="{3CC9E515-63B9-4512-B1E7-E8DCE57B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0" name="Picture 1539" descr="https://mail.google.com/mail/u/0/images/cleardot.gif">
          <a:extLst>
            <a:ext uri="{FF2B5EF4-FFF2-40B4-BE49-F238E27FC236}">
              <a16:creationId xmlns:a16="http://schemas.microsoft.com/office/drawing/2014/main" id="{9EB26C83-5EB9-405B-B1DB-06796620A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1" name="Picture 1540" descr="https://mail.google.com/mail/u/0/images/cleardot.gif">
          <a:extLst>
            <a:ext uri="{FF2B5EF4-FFF2-40B4-BE49-F238E27FC236}">
              <a16:creationId xmlns:a16="http://schemas.microsoft.com/office/drawing/2014/main" id="{22DB6748-2F70-4EA9-9D9A-2440A2B8D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2" name="Picture 1541" descr="https://mail.google.com/mail/u/0/images/cleardot.gif">
          <a:extLst>
            <a:ext uri="{FF2B5EF4-FFF2-40B4-BE49-F238E27FC236}">
              <a16:creationId xmlns:a16="http://schemas.microsoft.com/office/drawing/2014/main" id="{35AEF360-3998-4490-A470-8B2AA949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3" name="Picture 1542" descr="https://mail.google.com/mail/u/0/images/cleardot.gif">
          <a:extLst>
            <a:ext uri="{FF2B5EF4-FFF2-40B4-BE49-F238E27FC236}">
              <a16:creationId xmlns:a16="http://schemas.microsoft.com/office/drawing/2014/main" id="{0D99A976-A33E-4360-89D9-E5DDA0E7B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4" name="Picture 1543" descr="https://mail.google.com/mail/u/0/images/cleardot.gif">
          <a:extLst>
            <a:ext uri="{FF2B5EF4-FFF2-40B4-BE49-F238E27FC236}">
              <a16:creationId xmlns:a16="http://schemas.microsoft.com/office/drawing/2014/main" id="{5A58F0B4-C526-4E28-A49C-D348B1DB7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5" name="Picture 1544" descr="https://mail.google.com/mail/u/0/images/cleardot.gif">
          <a:extLst>
            <a:ext uri="{FF2B5EF4-FFF2-40B4-BE49-F238E27FC236}">
              <a16:creationId xmlns:a16="http://schemas.microsoft.com/office/drawing/2014/main" id="{1C3A41AA-1CBC-4864-800E-CDCF1B493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6" name="Picture 1545" descr="https://mail.google.com/mail/u/0/images/cleardot.gif">
          <a:extLst>
            <a:ext uri="{FF2B5EF4-FFF2-40B4-BE49-F238E27FC236}">
              <a16:creationId xmlns:a16="http://schemas.microsoft.com/office/drawing/2014/main" id="{BE2DB43E-C2B4-431E-8001-AC65C1B5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7" name="Picture 1546" descr="https://mail.google.com/mail/u/0/images/cleardot.gif">
          <a:extLst>
            <a:ext uri="{FF2B5EF4-FFF2-40B4-BE49-F238E27FC236}">
              <a16:creationId xmlns:a16="http://schemas.microsoft.com/office/drawing/2014/main" id="{DAB4CC26-7E77-4272-B5A6-EC078C20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8" name="Picture 1547" descr="https://mail.google.com/mail/u/0/images/cleardot.gif">
          <a:extLst>
            <a:ext uri="{FF2B5EF4-FFF2-40B4-BE49-F238E27FC236}">
              <a16:creationId xmlns:a16="http://schemas.microsoft.com/office/drawing/2014/main" id="{FF975FE6-7BEA-4505-AE7E-4A0BFB10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49" name="Picture 1548" descr="https://mail.google.com/mail/u/0/images/cleardot.gif">
          <a:extLst>
            <a:ext uri="{FF2B5EF4-FFF2-40B4-BE49-F238E27FC236}">
              <a16:creationId xmlns:a16="http://schemas.microsoft.com/office/drawing/2014/main" id="{4057E6AA-5971-4554-80F0-D20AD7B7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0" name="Picture 1549" descr="https://mail.google.com/mail/u/0/images/cleardot.gif">
          <a:extLst>
            <a:ext uri="{FF2B5EF4-FFF2-40B4-BE49-F238E27FC236}">
              <a16:creationId xmlns:a16="http://schemas.microsoft.com/office/drawing/2014/main" id="{9767C978-459D-4CBF-9E56-B4F268A15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1" name="Picture 1550" descr="https://mail.google.com/mail/u/0/images/cleardot.gif">
          <a:extLst>
            <a:ext uri="{FF2B5EF4-FFF2-40B4-BE49-F238E27FC236}">
              <a16:creationId xmlns:a16="http://schemas.microsoft.com/office/drawing/2014/main" id="{5D22724D-19B3-467E-9521-549B8BB1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2" name="Picture 1551" descr="https://mail.google.com/mail/u/0/images/cleardot.gif">
          <a:extLst>
            <a:ext uri="{FF2B5EF4-FFF2-40B4-BE49-F238E27FC236}">
              <a16:creationId xmlns:a16="http://schemas.microsoft.com/office/drawing/2014/main" id="{C4E4BAF5-EC9A-45E9-B9F5-E65132297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3" name="Picture 1552" descr="https://mail.google.com/mail/u/0/images/cleardot.gif">
          <a:extLst>
            <a:ext uri="{FF2B5EF4-FFF2-40B4-BE49-F238E27FC236}">
              <a16:creationId xmlns:a16="http://schemas.microsoft.com/office/drawing/2014/main" id="{B22BB1E3-296A-4B38-B44E-CE9DE367A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4" name="Picture 1553" descr="https://mail.google.com/mail/u/0/images/cleardot.gif">
          <a:extLst>
            <a:ext uri="{FF2B5EF4-FFF2-40B4-BE49-F238E27FC236}">
              <a16:creationId xmlns:a16="http://schemas.microsoft.com/office/drawing/2014/main" id="{C7C8EC33-57B6-4166-8C94-EBD2F75C4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5" name="Picture 1554" descr="https://mail.google.com/mail/u/0/images/cleardot.gif">
          <a:extLst>
            <a:ext uri="{FF2B5EF4-FFF2-40B4-BE49-F238E27FC236}">
              <a16:creationId xmlns:a16="http://schemas.microsoft.com/office/drawing/2014/main" id="{F00C510F-6C72-4313-B4C6-87DCCD85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6" name="Picture 1555" descr="https://mail.google.com/mail/u/0/images/cleardot.gif">
          <a:extLst>
            <a:ext uri="{FF2B5EF4-FFF2-40B4-BE49-F238E27FC236}">
              <a16:creationId xmlns:a16="http://schemas.microsoft.com/office/drawing/2014/main" id="{1B63C63C-B3E6-4E5C-A352-A69864A0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7" name="Picture 1556" descr="https://mail.google.com/mail/u/0/images/cleardot.gif">
          <a:extLst>
            <a:ext uri="{FF2B5EF4-FFF2-40B4-BE49-F238E27FC236}">
              <a16:creationId xmlns:a16="http://schemas.microsoft.com/office/drawing/2014/main" id="{140D00FE-9AB5-4E14-B973-14F63F01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8" name="Picture 1557" descr="https://mail.google.com/mail/u/0/images/cleardot.gif">
          <a:extLst>
            <a:ext uri="{FF2B5EF4-FFF2-40B4-BE49-F238E27FC236}">
              <a16:creationId xmlns:a16="http://schemas.microsoft.com/office/drawing/2014/main" id="{51E8C696-8E63-4383-8E4C-C5122870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59" name="Picture 1558" descr="https://mail.google.com/mail/u/0/images/cleardot.gif">
          <a:extLst>
            <a:ext uri="{FF2B5EF4-FFF2-40B4-BE49-F238E27FC236}">
              <a16:creationId xmlns:a16="http://schemas.microsoft.com/office/drawing/2014/main" id="{4B663069-9515-4A9E-93AA-7B1C3CE3B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0" name="Picture 1559" descr="https://mail.google.com/mail/u/0/images/cleardot.gif">
          <a:extLst>
            <a:ext uri="{FF2B5EF4-FFF2-40B4-BE49-F238E27FC236}">
              <a16:creationId xmlns:a16="http://schemas.microsoft.com/office/drawing/2014/main" id="{20EE42A4-3913-4B73-9129-AAA8F40C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1" name="Picture 1560" descr="https://mail.google.com/mail/u/0/images/cleardot.gif">
          <a:extLst>
            <a:ext uri="{FF2B5EF4-FFF2-40B4-BE49-F238E27FC236}">
              <a16:creationId xmlns:a16="http://schemas.microsoft.com/office/drawing/2014/main" id="{59A73148-2098-41A6-BFC3-A3401BA3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2" name="Picture 1561" descr="https://mail.google.com/mail/u/0/images/cleardot.gif">
          <a:extLst>
            <a:ext uri="{FF2B5EF4-FFF2-40B4-BE49-F238E27FC236}">
              <a16:creationId xmlns:a16="http://schemas.microsoft.com/office/drawing/2014/main" id="{804870EE-E829-4B67-BA8E-CF20E3725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3" name="Picture 1562" descr="https://mail.google.com/mail/u/0/images/cleardot.gif">
          <a:extLst>
            <a:ext uri="{FF2B5EF4-FFF2-40B4-BE49-F238E27FC236}">
              <a16:creationId xmlns:a16="http://schemas.microsoft.com/office/drawing/2014/main" id="{98460615-CA8C-4038-A13D-8316E387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4" name="Picture 1563" descr="https://mail.google.com/mail/u/0/images/cleardot.gif">
          <a:extLst>
            <a:ext uri="{FF2B5EF4-FFF2-40B4-BE49-F238E27FC236}">
              <a16:creationId xmlns:a16="http://schemas.microsoft.com/office/drawing/2014/main" id="{692936F3-4269-478E-BC94-10F9DB051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5" name="Picture 1564" descr="https://mail.google.com/mail/u/0/images/cleardot.gif">
          <a:extLst>
            <a:ext uri="{FF2B5EF4-FFF2-40B4-BE49-F238E27FC236}">
              <a16:creationId xmlns:a16="http://schemas.microsoft.com/office/drawing/2014/main" id="{F9B42F8E-8922-49F7-9DCB-21D83467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6" name="Picture 1565" descr="https://mail.google.com/mail/u/0/images/cleardot.gif">
          <a:extLst>
            <a:ext uri="{FF2B5EF4-FFF2-40B4-BE49-F238E27FC236}">
              <a16:creationId xmlns:a16="http://schemas.microsoft.com/office/drawing/2014/main" id="{0180F11D-B4D8-4655-AF3A-F2206D02A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7" name="Picture 1566" descr="https://mail.google.com/mail/u/0/images/cleardot.gif">
          <a:extLst>
            <a:ext uri="{FF2B5EF4-FFF2-40B4-BE49-F238E27FC236}">
              <a16:creationId xmlns:a16="http://schemas.microsoft.com/office/drawing/2014/main" id="{471B6E24-E4AA-4FC2-951B-57A92EB5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8" name="Picture 1567" descr="https://mail.google.com/mail/u/0/images/cleardot.gif">
          <a:extLst>
            <a:ext uri="{FF2B5EF4-FFF2-40B4-BE49-F238E27FC236}">
              <a16:creationId xmlns:a16="http://schemas.microsoft.com/office/drawing/2014/main" id="{4B6B9EA0-6383-48EC-B592-C6DF3712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69" name="Picture 1568" descr="https://mail.google.com/mail/u/0/images/cleardot.gif">
          <a:extLst>
            <a:ext uri="{FF2B5EF4-FFF2-40B4-BE49-F238E27FC236}">
              <a16:creationId xmlns:a16="http://schemas.microsoft.com/office/drawing/2014/main" id="{9F3EED07-1E29-40D2-B71D-21BBE0F01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0" name="Picture 1569" descr="https://mail.google.com/mail/u/0/images/cleardot.gif">
          <a:extLst>
            <a:ext uri="{FF2B5EF4-FFF2-40B4-BE49-F238E27FC236}">
              <a16:creationId xmlns:a16="http://schemas.microsoft.com/office/drawing/2014/main" id="{DD09BA49-F047-4FC4-AAF5-8F2959BD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1" name="Picture 1570" descr="https://mail.google.com/mail/u/0/images/cleardot.gif">
          <a:extLst>
            <a:ext uri="{FF2B5EF4-FFF2-40B4-BE49-F238E27FC236}">
              <a16:creationId xmlns:a16="http://schemas.microsoft.com/office/drawing/2014/main" id="{2E24415F-2215-4698-B601-575E3C179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2" name="Picture 1571" descr="https://mail.google.com/mail/u/0/images/cleardot.gif">
          <a:extLst>
            <a:ext uri="{FF2B5EF4-FFF2-40B4-BE49-F238E27FC236}">
              <a16:creationId xmlns:a16="http://schemas.microsoft.com/office/drawing/2014/main" id="{BC73EBBF-BC9E-49D1-A1B1-49212D06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3" name="Picture 1572" descr="https://mail.google.com/mail/u/0/images/cleardot.gif">
          <a:extLst>
            <a:ext uri="{FF2B5EF4-FFF2-40B4-BE49-F238E27FC236}">
              <a16:creationId xmlns:a16="http://schemas.microsoft.com/office/drawing/2014/main" id="{5C9BCA0D-76FD-428C-A6FD-CABCAFF01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4" name="Picture 1573" descr="https://mail.google.com/mail/u/0/images/cleardot.gif">
          <a:extLst>
            <a:ext uri="{FF2B5EF4-FFF2-40B4-BE49-F238E27FC236}">
              <a16:creationId xmlns:a16="http://schemas.microsoft.com/office/drawing/2014/main" id="{359E43B6-156C-4C02-8CB9-67039283B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5" name="Picture 1574" descr="https://mail.google.com/mail/u/0/images/cleardot.gif">
          <a:extLst>
            <a:ext uri="{FF2B5EF4-FFF2-40B4-BE49-F238E27FC236}">
              <a16:creationId xmlns:a16="http://schemas.microsoft.com/office/drawing/2014/main" id="{C64075BE-7B6C-4B47-A1D8-AB2F9096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6" name="Picture 1575" descr="https://mail.google.com/mail/u/0/images/cleardot.gif">
          <a:extLst>
            <a:ext uri="{FF2B5EF4-FFF2-40B4-BE49-F238E27FC236}">
              <a16:creationId xmlns:a16="http://schemas.microsoft.com/office/drawing/2014/main" id="{047B0376-699D-4C46-87B7-1149D5F8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7" name="Picture 1576" descr="https://mail.google.com/mail/u/0/images/cleardot.gif">
          <a:extLst>
            <a:ext uri="{FF2B5EF4-FFF2-40B4-BE49-F238E27FC236}">
              <a16:creationId xmlns:a16="http://schemas.microsoft.com/office/drawing/2014/main" id="{4B263181-74B5-4E46-A51D-32D6DACD3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8" name="Picture 1577" descr="https://mail.google.com/mail/u/0/images/cleardot.gif">
          <a:extLst>
            <a:ext uri="{FF2B5EF4-FFF2-40B4-BE49-F238E27FC236}">
              <a16:creationId xmlns:a16="http://schemas.microsoft.com/office/drawing/2014/main" id="{25D32B66-31A0-4BB0-996A-C188695B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79" name="Picture 1578" descr="https://mail.google.com/mail/u/0/images/cleardot.gif">
          <a:extLst>
            <a:ext uri="{FF2B5EF4-FFF2-40B4-BE49-F238E27FC236}">
              <a16:creationId xmlns:a16="http://schemas.microsoft.com/office/drawing/2014/main" id="{4D7B54E6-1C79-41BE-8ACE-38B0F89E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0" name="Picture 1579" descr="https://mail.google.com/mail/u/0/images/cleardot.gif">
          <a:extLst>
            <a:ext uri="{FF2B5EF4-FFF2-40B4-BE49-F238E27FC236}">
              <a16:creationId xmlns:a16="http://schemas.microsoft.com/office/drawing/2014/main" id="{81BCA417-B492-4EC4-87FE-44FE05F7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1" name="Picture 1580" descr="https://mail.google.com/mail/u/0/images/cleardot.gif">
          <a:extLst>
            <a:ext uri="{FF2B5EF4-FFF2-40B4-BE49-F238E27FC236}">
              <a16:creationId xmlns:a16="http://schemas.microsoft.com/office/drawing/2014/main" id="{DCC23377-8F0B-4098-BAB4-3C4ABE07D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2" name="Picture 1581" descr="https://mail.google.com/mail/u/0/images/cleardot.gif">
          <a:extLst>
            <a:ext uri="{FF2B5EF4-FFF2-40B4-BE49-F238E27FC236}">
              <a16:creationId xmlns:a16="http://schemas.microsoft.com/office/drawing/2014/main" id="{3A747F4B-741E-4A2E-8B69-781C0D4A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3" name="Picture 1582" descr="https://mail.google.com/mail/u/0/images/cleardot.gif">
          <a:extLst>
            <a:ext uri="{FF2B5EF4-FFF2-40B4-BE49-F238E27FC236}">
              <a16:creationId xmlns:a16="http://schemas.microsoft.com/office/drawing/2014/main" id="{8712A4A6-7984-4001-A073-C6036249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4" name="Picture 1583" descr="https://mail.google.com/mail/u/0/images/cleardot.gif">
          <a:extLst>
            <a:ext uri="{FF2B5EF4-FFF2-40B4-BE49-F238E27FC236}">
              <a16:creationId xmlns:a16="http://schemas.microsoft.com/office/drawing/2014/main" id="{D40AB49A-A6BB-4EE8-A6D7-E78CC9A65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5" name="Picture 1584" descr="https://mail.google.com/mail/u/0/images/cleardot.gif">
          <a:extLst>
            <a:ext uri="{FF2B5EF4-FFF2-40B4-BE49-F238E27FC236}">
              <a16:creationId xmlns:a16="http://schemas.microsoft.com/office/drawing/2014/main" id="{0A451F96-0BC9-4D47-B990-09923C646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6" name="Picture 1585" descr="https://mail.google.com/mail/u/0/images/cleardot.gif">
          <a:extLst>
            <a:ext uri="{FF2B5EF4-FFF2-40B4-BE49-F238E27FC236}">
              <a16:creationId xmlns:a16="http://schemas.microsoft.com/office/drawing/2014/main" id="{3F97B80B-EF52-482E-A379-7B9A9EA9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7" name="Picture 1586" descr="https://mail.google.com/mail/u/0/images/cleardot.gif">
          <a:extLst>
            <a:ext uri="{FF2B5EF4-FFF2-40B4-BE49-F238E27FC236}">
              <a16:creationId xmlns:a16="http://schemas.microsoft.com/office/drawing/2014/main" id="{30512834-EF7D-44A0-95F9-E8CD7F071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8" name="Picture 1587" descr="https://mail.google.com/mail/u/0/images/cleardot.gif">
          <a:extLst>
            <a:ext uri="{FF2B5EF4-FFF2-40B4-BE49-F238E27FC236}">
              <a16:creationId xmlns:a16="http://schemas.microsoft.com/office/drawing/2014/main" id="{B529D0C8-63B1-485D-833D-DD46EEF76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89" name="Picture 1588" descr="https://mail.google.com/mail/u/0/images/cleardot.gif">
          <a:extLst>
            <a:ext uri="{FF2B5EF4-FFF2-40B4-BE49-F238E27FC236}">
              <a16:creationId xmlns:a16="http://schemas.microsoft.com/office/drawing/2014/main" id="{50D0FA8C-7ABC-48FF-8A6C-FAD1A5E6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0" name="Picture 1589" descr="https://mail.google.com/mail/u/0/images/cleardot.gif">
          <a:extLst>
            <a:ext uri="{FF2B5EF4-FFF2-40B4-BE49-F238E27FC236}">
              <a16:creationId xmlns:a16="http://schemas.microsoft.com/office/drawing/2014/main" id="{D9982374-ADA6-40A8-8925-5132B276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1" name="Picture 1590" descr="https://mail.google.com/mail/u/0/images/cleardot.gif">
          <a:extLst>
            <a:ext uri="{FF2B5EF4-FFF2-40B4-BE49-F238E27FC236}">
              <a16:creationId xmlns:a16="http://schemas.microsoft.com/office/drawing/2014/main" id="{D508E5D7-B138-4A18-B1BC-96B08A97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2" name="Picture 1591" descr="https://mail.google.com/mail/u/0/images/cleardot.gif">
          <a:extLst>
            <a:ext uri="{FF2B5EF4-FFF2-40B4-BE49-F238E27FC236}">
              <a16:creationId xmlns:a16="http://schemas.microsoft.com/office/drawing/2014/main" id="{2F16C3DA-6EA4-41D1-A90D-6ED69DF4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3" name="Picture 1592" descr="https://mail.google.com/mail/u/0/images/cleardot.gif">
          <a:extLst>
            <a:ext uri="{FF2B5EF4-FFF2-40B4-BE49-F238E27FC236}">
              <a16:creationId xmlns:a16="http://schemas.microsoft.com/office/drawing/2014/main" id="{CAE37645-D38D-400F-B6C4-E73A892D4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4" name="Picture 1593" descr="https://mail.google.com/mail/u/0/images/cleardot.gif">
          <a:extLst>
            <a:ext uri="{FF2B5EF4-FFF2-40B4-BE49-F238E27FC236}">
              <a16:creationId xmlns:a16="http://schemas.microsoft.com/office/drawing/2014/main" id="{647EC1D1-9C91-41A8-AEF3-0266EEB3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5" name="Picture 1594" descr="https://mail.google.com/mail/u/0/images/cleardot.gif">
          <a:extLst>
            <a:ext uri="{FF2B5EF4-FFF2-40B4-BE49-F238E27FC236}">
              <a16:creationId xmlns:a16="http://schemas.microsoft.com/office/drawing/2014/main" id="{91C79C2D-D4F0-40B1-97D2-55A1B3019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6" name="Picture 1595" descr="https://mail.google.com/mail/u/0/images/cleardot.gif">
          <a:extLst>
            <a:ext uri="{FF2B5EF4-FFF2-40B4-BE49-F238E27FC236}">
              <a16:creationId xmlns:a16="http://schemas.microsoft.com/office/drawing/2014/main" id="{0306231F-BED0-4F8C-B0BF-FEE25A78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7" name="Picture 1596" descr="https://mail.google.com/mail/u/0/images/cleardot.gif">
          <a:extLst>
            <a:ext uri="{FF2B5EF4-FFF2-40B4-BE49-F238E27FC236}">
              <a16:creationId xmlns:a16="http://schemas.microsoft.com/office/drawing/2014/main" id="{6A2C048F-9B98-456A-A99B-41BA5B68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8" name="Picture 1597" descr="https://mail.google.com/mail/u/0/images/cleardot.gif">
          <a:extLst>
            <a:ext uri="{FF2B5EF4-FFF2-40B4-BE49-F238E27FC236}">
              <a16:creationId xmlns:a16="http://schemas.microsoft.com/office/drawing/2014/main" id="{D55A89FE-AD2A-4554-B2BA-BEC4A503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599" name="Picture 1598" descr="https://mail.google.com/mail/u/0/images/cleardot.gif">
          <a:extLst>
            <a:ext uri="{FF2B5EF4-FFF2-40B4-BE49-F238E27FC236}">
              <a16:creationId xmlns:a16="http://schemas.microsoft.com/office/drawing/2014/main" id="{9CE7D34D-84A8-47F7-A444-A5EF1F57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0" name="Picture 1599" descr="https://mail.google.com/mail/u/0/images/cleardot.gif">
          <a:extLst>
            <a:ext uri="{FF2B5EF4-FFF2-40B4-BE49-F238E27FC236}">
              <a16:creationId xmlns:a16="http://schemas.microsoft.com/office/drawing/2014/main" id="{C468F1EB-B121-44C5-A262-52A2AD0AC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1" name="Picture 1600" descr="https://mail.google.com/mail/u/0/images/cleardot.gif">
          <a:extLst>
            <a:ext uri="{FF2B5EF4-FFF2-40B4-BE49-F238E27FC236}">
              <a16:creationId xmlns:a16="http://schemas.microsoft.com/office/drawing/2014/main" id="{CD67B77F-77A2-414A-BC0A-68EDDAED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2" name="Picture 1601" descr="https://mail.google.com/mail/u/0/images/cleardot.gif">
          <a:extLst>
            <a:ext uri="{FF2B5EF4-FFF2-40B4-BE49-F238E27FC236}">
              <a16:creationId xmlns:a16="http://schemas.microsoft.com/office/drawing/2014/main" id="{46F4DA74-1FC6-4040-8415-44BB6FBB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3" name="Picture 1602" descr="https://mail.google.com/mail/u/0/images/cleardot.gif">
          <a:extLst>
            <a:ext uri="{FF2B5EF4-FFF2-40B4-BE49-F238E27FC236}">
              <a16:creationId xmlns:a16="http://schemas.microsoft.com/office/drawing/2014/main" id="{07C03497-EE05-4860-AAA9-14BA07D0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4" name="Picture 1603" descr="https://mail.google.com/mail/u/0/images/cleardot.gif">
          <a:extLst>
            <a:ext uri="{FF2B5EF4-FFF2-40B4-BE49-F238E27FC236}">
              <a16:creationId xmlns:a16="http://schemas.microsoft.com/office/drawing/2014/main" id="{60E480EE-8070-4BAA-865A-6C0D8E37E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5" name="Picture 1604" descr="https://mail.google.com/mail/u/0/images/cleardot.gif">
          <a:extLst>
            <a:ext uri="{FF2B5EF4-FFF2-40B4-BE49-F238E27FC236}">
              <a16:creationId xmlns:a16="http://schemas.microsoft.com/office/drawing/2014/main" id="{C343DFD1-3F96-4C70-A999-B7D06E554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6" name="Picture 1605" descr="https://mail.google.com/mail/u/0/images/cleardot.gif">
          <a:extLst>
            <a:ext uri="{FF2B5EF4-FFF2-40B4-BE49-F238E27FC236}">
              <a16:creationId xmlns:a16="http://schemas.microsoft.com/office/drawing/2014/main" id="{88302941-42EA-488F-803A-B1FE7CAFA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7" name="Picture 1606" descr="https://mail.google.com/mail/u/0/images/cleardot.gif">
          <a:extLst>
            <a:ext uri="{FF2B5EF4-FFF2-40B4-BE49-F238E27FC236}">
              <a16:creationId xmlns:a16="http://schemas.microsoft.com/office/drawing/2014/main" id="{5BFBA3C8-B638-462D-911D-FE2556226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8" name="Picture 1607" descr="https://mail.google.com/mail/u/0/images/cleardot.gif">
          <a:extLst>
            <a:ext uri="{FF2B5EF4-FFF2-40B4-BE49-F238E27FC236}">
              <a16:creationId xmlns:a16="http://schemas.microsoft.com/office/drawing/2014/main" id="{7DAE1A76-2DCC-43A2-B2C4-BB1E6AC7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09" name="Picture 1608" descr="https://mail.google.com/mail/u/0/images/cleardot.gif">
          <a:extLst>
            <a:ext uri="{FF2B5EF4-FFF2-40B4-BE49-F238E27FC236}">
              <a16:creationId xmlns:a16="http://schemas.microsoft.com/office/drawing/2014/main" id="{9C4686FF-BA89-440C-8B9B-FD216519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0" name="Picture 1609" descr="https://mail.google.com/mail/u/0/images/cleardot.gif">
          <a:extLst>
            <a:ext uri="{FF2B5EF4-FFF2-40B4-BE49-F238E27FC236}">
              <a16:creationId xmlns:a16="http://schemas.microsoft.com/office/drawing/2014/main" id="{C321937C-E8ED-42B2-A7EC-E7D9375D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1" name="Picture 1610" descr="https://mail.google.com/mail/u/0/images/cleardot.gif">
          <a:extLst>
            <a:ext uri="{FF2B5EF4-FFF2-40B4-BE49-F238E27FC236}">
              <a16:creationId xmlns:a16="http://schemas.microsoft.com/office/drawing/2014/main" id="{B0C7EF32-644A-400A-8D0F-65F96A3D3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2" name="Picture 1611" descr="https://mail.google.com/mail/u/0/images/cleardot.gif">
          <a:extLst>
            <a:ext uri="{FF2B5EF4-FFF2-40B4-BE49-F238E27FC236}">
              <a16:creationId xmlns:a16="http://schemas.microsoft.com/office/drawing/2014/main" id="{D58E105E-1433-4A49-99D1-4246FE006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3" name="Picture 1612" descr="https://mail.google.com/mail/u/0/images/cleardot.gif">
          <a:extLst>
            <a:ext uri="{FF2B5EF4-FFF2-40B4-BE49-F238E27FC236}">
              <a16:creationId xmlns:a16="http://schemas.microsoft.com/office/drawing/2014/main" id="{048BF331-8D1D-4B4D-946F-096B6E865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4" name="Picture 1613" descr="https://mail.google.com/mail/u/0/images/cleardot.gif">
          <a:extLst>
            <a:ext uri="{FF2B5EF4-FFF2-40B4-BE49-F238E27FC236}">
              <a16:creationId xmlns:a16="http://schemas.microsoft.com/office/drawing/2014/main" id="{F88F8A18-7505-4505-81F0-4C7C86BB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5" name="Picture 1614" descr="https://mail.google.com/mail/u/0/images/cleardot.gif">
          <a:extLst>
            <a:ext uri="{FF2B5EF4-FFF2-40B4-BE49-F238E27FC236}">
              <a16:creationId xmlns:a16="http://schemas.microsoft.com/office/drawing/2014/main" id="{42122B9B-D2EE-4056-9654-BD68BDA8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6" name="Picture 1615" descr="https://mail.google.com/mail/u/0/images/cleardot.gif">
          <a:extLst>
            <a:ext uri="{FF2B5EF4-FFF2-40B4-BE49-F238E27FC236}">
              <a16:creationId xmlns:a16="http://schemas.microsoft.com/office/drawing/2014/main" id="{123BA33F-68C6-4AF9-8B43-67B67964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7" name="Picture 1616" descr="https://mail.google.com/mail/u/0/images/cleardot.gif">
          <a:extLst>
            <a:ext uri="{FF2B5EF4-FFF2-40B4-BE49-F238E27FC236}">
              <a16:creationId xmlns:a16="http://schemas.microsoft.com/office/drawing/2014/main" id="{A9D6ECD8-1430-4C17-A9D0-4070DCF9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8" name="Picture 1617" descr="https://mail.google.com/mail/u/0/images/cleardot.gif">
          <a:extLst>
            <a:ext uri="{FF2B5EF4-FFF2-40B4-BE49-F238E27FC236}">
              <a16:creationId xmlns:a16="http://schemas.microsoft.com/office/drawing/2014/main" id="{1490BF34-3B7C-43D4-9972-1947DA9C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19" name="Picture 1618" descr="https://mail.google.com/mail/u/0/images/cleardot.gif">
          <a:extLst>
            <a:ext uri="{FF2B5EF4-FFF2-40B4-BE49-F238E27FC236}">
              <a16:creationId xmlns:a16="http://schemas.microsoft.com/office/drawing/2014/main" id="{128A95CF-6141-4A69-A36E-7E155253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0" name="Picture 1619" descr="https://mail.google.com/mail/u/0/images/cleardot.gif">
          <a:extLst>
            <a:ext uri="{FF2B5EF4-FFF2-40B4-BE49-F238E27FC236}">
              <a16:creationId xmlns:a16="http://schemas.microsoft.com/office/drawing/2014/main" id="{5682DAE4-E3FB-45E9-A8F7-1BDAB8B9C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1" name="Picture 1620" descr="https://mail.google.com/mail/u/0/images/cleardot.gif">
          <a:extLst>
            <a:ext uri="{FF2B5EF4-FFF2-40B4-BE49-F238E27FC236}">
              <a16:creationId xmlns:a16="http://schemas.microsoft.com/office/drawing/2014/main" id="{292CC8BC-CB83-401A-AB49-CA46B1BA9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2" name="Picture 1621" descr="https://mail.google.com/mail/u/0/images/cleardot.gif">
          <a:extLst>
            <a:ext uri="{FF2B5EF4-FFF2-40B4-BE49-F238E27FC236}">
              <a16:creationId xmlns:a16="http://schemas.microsoft.com/office/drawing/2014/main" id="{92E11349-4C7A-4473-A770-AB20A1F4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3" name="Picture 1622" descr="https://mail.google.com/mail/u/0/images/cleardot.gif">
          <a:extLst>
            <a:ext uri="{FF2B5EF4-FFF2-40B4-BE49-F238E27FC236}">
              <a16:creationId xmlns:a16="http://schemas.microsoft.com/office/drawing/2014/main" id="{E57F9C50-EA61-4971-9881-ECFB1B42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4" name="Picture 1623" descr="https://mail.google.com/mail/u/0/images/cleardot.gif">
          <a:extLst>
            <a:ext uri="{FF2B5EF4-FFF2-40B4-BE49-F238E27FC236}">
              <a16:creationId xmlns:a16="http://schemas.microsoft.com/office/drawing/2014/main" id="{2B535E83-6F16-4836-87AD-C99E8C251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5" name="Picture 1624" descr="https://mail.google.com/mail/u/0/images/cleardot.gif">
          <a:extLst>
            <a:ext uri="{FF2B5EF4-FFF2-40B4-BE49-F238E27FC236}">
              <a16:creationId xmlns:a16="http://schemas.microsoft.com/office/drawing/2014/main" id="{A311B182-B7BA-42CD-BA67-5DC1DC1F7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6" name="Picture 1625" descr="https://mail.google.com/mail/u/0/images/cleardot.gif">
          <a:extLst>
            <a:ext uri="{FF2B5EF4-FFF2-40B4-BE49-F238E27FC236}">
              <a16:creationId xmlns:a16="http://schemas.microsoft.com/office/drawing/2014/main" id="{3F53BF75-536B-410C-A7F6-93755303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7" name="Picture 1626" descr="https://mail.google.com/mail/u/0/images/cleardot.gif">
          <a:extLst>
            <a:ext uri="{FF2B5EF4-FFF2-40B4-BE49-F238E27FC236}">
              <a16:creationId xmlns:a16="http://schemas.microsoft.com/office/drawing/2014/main" id="{136C116A-EAD1-4A69-9F62-FD684AE4F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8" name="Picture 1627" descr="https://mail.google.com/mail/u/0/images/cleardot.gif">
          <a:extLst>
            <a:ext uri="{FF2B5EF4-FFF2-40B4-BE49-F238E27FC236}">
              <a16:creationId xmlns:a16="http://schemas.microsoft.com/office/drawing/2014/main" id="{3C68FE7A-9A38-49E5-9DD9-A020A20D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29" name="Picture 1628" descr="https://mail.google.com/mail/u/0/images/cleardot.gif">
          <a:extLst>
            <a:ext uri="{FF2B5EF4-FFF2-40B4-BE49-F238E27FC236}">
              <a16:creationId xmlns:a16="http://schemas.microsoft.com/office/drawing/2014/main" id="{45E74DE9-4664-4322-9306-398547A58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0" name="Picture 1629" descr="https://mail.google.com/mail/u/0/images/cleardot.gif">
          <a:extLst>
            <a:ext uri="{FF2B5EF4-FFF2-40B4-BE49-F238E27FC236}">
              <a16:creationId xmlns:a16="http://schemas.microsoft.com/office/drawing/2014/main" id="{56924A40-7A80-4E99-96E0-3144C52B2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1" name="Picture 1630" descr="https://mail.google.com/mail/u/0/images/cleardot.gif">
          <a:extLst>
            <a:ext uri="{FF2B5EF4-FFF2-40B4-BE49-F238E27FC236}">
              <a16:creationId xmlns:a16="http://schemas.microsoft.com/office/drawing/2014/main" id="{73115720-3F7D-4557-9F95-A99D6154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2" name="Picture 1631" descr="https://mail.google.com/mail/u/0/images/cleardot.gif">
          <a:extLst>
            <a:ext uri="{FF2B5EF4-FFF2-40B4-BE49-F238E27FC236}">
              <a16:creationId xmlns:a16="http://schemas.microsoft.com/office/drawing/2014/main" id="{5F461348-624D-4AB7-8225-EF24C012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3" name="Picture 1632" descr="https://mail.google.com/mail/u/0/images/cleardot.gif">
          <a:extLst>
            <a:ext uri="{FF2B5EF4-FFF2-40B4-BE49-F238E27FC236}">
              <a16:creationId xmlns:a16="http://schemas.microsoft.com/office/drawing/2014/main" id="{1D643CFF-7622-48F4-8957-BE8B091B9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4" name="Picture 1633" descr="https://mail.google.com/mail/u/0/images/cleardot.gif">
          <a:extLst>
            <a:ext uri="{FF2B5EF4-FFF2-40B4-BE49-F238E27FC236}">
              <a16:creationId xmlns:a16="http://schemas.microsoft.com/office/drawing/2014/main" id="{7185F95B-C6B8-4D83-A013-870E48D9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5" name="Picture 1634" descr="https://mail.google.com/mail/u/0/images/cleardot.gif">
          <a:extLst>
            <a:ext uri="{FF2B5EF4-FFF2-40B4-BE49-F238E27FC236}">
              <a16:creationId xmlns:a16="http://schemas.microsoft.com/office/drawing/2014/main" id="{088452AF-5E3D-49B2-9D10-E72CE9FD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6" name="Picture 1635" descr="https://mail.google.com/mail/u/0/images/cleardot.gif">
          <a:extLst>
            <a:ext uri="{FF2B5EF4-FFF2-40B4-BE49-F238E27FC236}">
              <a16:creationId xmlns:a16="http://schemas.microsoft.com/office/drawing/2014/main" id="{CC3006CA-F1C3-4AB3-A1E0-7FF655737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7" name="Picture 1636" descr="https://mail.google.com/mail/u/0/images/cleardot.gif">
          <a:extLst>
            <a:ext uri="{FF2B5EF4-FFF2-40B4-BE49-F238E27FC236}">
              <a16:creationId xmlns:a16="http://schemas.microsoft.com/office/drawing/2014/main" id="{F4F1394D-8309-440F-933F-E71F2AEA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8" name="Picture 1637" descr="https://mail.google.com/mail/u/0/images/cleardot.gif">
          <a:extLst>
            <a:ext uri="{FF2B5EF4-FFF2-40B4-BE49-F238E27FC236}">
              <a16:creationId xmlns:a16="http://schemas.microsoft.com/office/drawing/2014/main" id="{628DBF4C-02FE-4E84-9591-B3B1F67E9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39" name="Picture 1638" descr="https://mail.google.com/mail/u/0/images/cleardot.gif">
          <a:extLst>
            <a:ext uri="{FF2B5EF4-FFF2-40B4-BE49-F238E27FC236}">
              <a16:creationId xmlns:a16="http://schemas.microsoft.com/office/drawing/2014/main" id="{58245DDF-EB54-495E-AD77-E66AC0A4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0" name="Picture 1639" descr="https://mail.google.com/mail/u/0/images/cleardot.gif">
          <a:extLst>
            <a:ext uri="{FF2B5EF4-FFF2-40B4-BE49-F238E27FC236}">
              <a16:creationId xmlns:a16="http://schemas.microsoft.com/office/drawing/2014/main" id="{081D012B-5C08-4F16-8CAB-ED5628602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1" name="Picture 1640" descr="https://mail.google.com/mail/u/0/images/cleardot.gif">
          <a:extLst>
            <a:ext uri="{FF2B5EF4-FFF2-40B4-BE49-F238E27FC236}">
              <a16:creationId xmlns:a16="http://schemas.microsoft.com/office/drawing/2014/main" id="{3C53B577-49D1-42C5-9C52-C770C9EE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2" name="Picture 1641" descr="https://mail.google.com/mail/u/0/images/cleardot.gif">
          <a:extLst>
            <a:ext uri="{FF2B5EF4-FFF2-40B4-BE49-F238E27FC236}">
              <a16:creationId xmlns:a16="http://schemas.microsoft.com/office/drawing/2014/main" id="{400CF73B-6400-4A16-BCC6-8AC67571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3" name="Picture 1642" descr="https://mail.google.com/mail/u/0/images/cleardot.gif">
          <a:extLst>
            <a:ext uri="{FF2B5EF4-FFF2-40B4-BE49-F238E27FC236}">
              <a16:creationId xmlns:a16="http://schemas.microsoft.com/office/drawing/2014/main" id="{4382C00E-167B-47CA-8BDA-FE769F622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4" name="Picture 1643" descr="https://mail.google.com/mail/u/0/images/cleardot.gif">
          <a:extLst>
            <a:ext uri="{FF2B5EF4-FFF2-40B4-BE49-F238E27FC236}">
              <a16:creationId xmlns:a16="http://schemas.microsoft.com/office/drawing/2014/main" id="{9B77C831-E38E-4274-92D0-182BAF95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5" name="Picture 1644" descr="https://mail.google.com/mail/u/0/images/cleardot.gif">
          <a:extLst>
            <a:ext uri="{FF2B5EF4-FFF2-40B4-BE49-F238E27FC236}">
              <a16:creationId xmlns:a16="http://schemas.microsoft.com/office/drawing/2014/main" id="{364DBEFE-FEE7-449E-8F38-39937A194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6" name="Picture 1645" descr="https://mail.google.com/mail/u/0/images/cleardot.gif">
          <a:extLst>
            <a:ext uri="{FF2B5EF4-FFF2-40B4-BE49-F238E27FC236}">
              <a16:creationId xmlns:a16="http://schemas.microsoft.com/office/drawing/2014/main" id="{C47E284B-EC34-4D7B-98E0-8384F06C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7" name="Picture 1646" descr="https://mail.google.com/mail/u/0/images/cleardot.gif">
          <a:extLst>
            <a:ext uri="{FF2B5EF4-FFF2-40B4-BE49-F238E27FC236}">
              <a16:creationId xmlns:a16="http://schemas.microsoft.com/office/drawing/2014/main" id="{FCA4B171-6DB6-4CF1-95AC-FC88155C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8" name="Picture 1647" descr="https://mail.google.com/mail/u/0/images/cleardot.gif">
          <a:extLst>
            <a:ext uri="{FF2B5EF4-FFF2-40B4-BE49-F238E27FC236}">
              <a16:creationId xmlns:a16="http://schemas.microsoft.com/office/drawing/2014/main" id="{9D31925B-0BA1-4089-81FD-B4C40532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49" name="Picture 1648" descr="https://mail.google.com/mail/u/0/images/cleardot.gif">
          <a:extLst>
            <a:ext uri="{FF2B5EF4-FFF2-40B4-BE49-F238E27FC236}">
              <a16:creationId xmlns:a16="http://schemas.microsoft.com/office/drawing/2014/main" id="{171E2C62-4987-460D-9A25-DF3C1944A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0" name="Picture 1649" descr="https://mail.google.com/mail/u/0/images/cleardot.gif">
          <a:extLst>
            <a:ext uri="{FF2B5EF4-FFF2-40B4-BE49-F238E27FC236}">
              <a16:creationId xmlns:a16="http://schemas.microsoft.com/office/drawing/2014/main" id="{301D2D8D-C212-43CA-A666-4EB94633C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1" name="Picture 1650" descr="https://mail.google.com/mail/u/0/images/cleardot.gif">
          <a:extLst>
            <a:ext uri="{FF2B5EF4-FFF2-40B4-BE49-F238E27FC236}">
              <a16:creationId xmlns:a16="http://schemas.microsoft.com/office/drawing/2014/main" id="{D9E594A0-D198-4F81-9027-6141FC64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2" name="Picture 1651" descr="https://mail.google.com/mail/u/0/images/cleardot.gif">
          <a:extLst>
            <a:ext uri="{FF2B5EF4-FFF2-40B4-BE49-F238E27FC236}">
              <a16:creationId xmlns:a16="http://schemas.microsoft.com/office/drawing/2014/main" id="{54E664A1-61A4-4407-905B-E03710BB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3" name="Picture 1652" descr="https://mail.google.com/mail/u/0/images/cleardot.gif">
          <a:extLst>
            <a:ext uri="{FF2B5EF4-FFF2-40B4-BE49-F238E27FC236}">
              <a16:creationId xmlns:a16="http://schemas.microsoft.com/office/drawing/2014/main" id="{AD73E855-1915-4886-A2BC-053E5A29C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4" name="Picture 1653" descr="https://mail.google.com/mail/u/0/images/cleardot.gif">
          <a:extLst>
            <a:ext uri="{FF2B5EF4-FFF2-40B4-BE49-F238E27FC236}">
              <a16:creationId xmlns:a16="http://schemas.microsoft.com/office/drawing/2014/main" id="{4BE17C47-E7BF-46A6-AB72-5D04556C0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5" name="Picture 1654" descr="https://mail.google.com/mail/u/0/images/cleardot.gif">
          <a:extLst>
            <a:ext uri="{FF2B5EF4-FFF2-40B4-BE49-F238E27FC236}">
              <a16:creationId xmlns:a16="http://schemas.microsoft.com/office/drawing/2014/main" id="{5F99A714-F81C-4FA9-B527-89A8C599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6" name="Picture 1655" descr="https://mail.google.com/mail/u/0/images/cleardot.gif">
          <a:extLst>
            <a:ext uri="{FF2B5EF4-FFF2-40B4-BE49-F238E27FC236}">
              <a16:creationId xmlns:a16="http://schemas.microsoft.com/office/drawing/2014/main" id="{041A1521-59D9-4E8E-9C0B-1D65857FC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7" name="Picture 1656" descr="https://mail.google.com/mail/u/0/images/cleardot.gif">
          <a:extLst>
            <a:ext uri="{FF2B5EF4-FFF2-40B4-BE49-F238E27FC236}">
              <a16:creationId xmlns:a16="http://schemas.microsoft.com/office/drawing/2014/main" id="{680CEC20-918A-4B8F-8B07-C6EEF8CD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8" name="Picture 1657" descr="https://mail.google.com/mail/u/0/images/cleardot.gif">
          <a:extLst>
            <a:ext uri="{FF2B5EF4-FFF2-40B4-BE49-F238E27FC236}">
              <a16:creationId xmlns:a16="http://schemas.microsoft.com/office/drawing/2014/main" id="{C4DB727D-04B3-4105-9C49-62588D84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59" name="Picture 1658" descr="https://mail.google.com/mail/u/0/images/cleardot.gif">
          <a:extLst>
            <a:ext uri="{FF2B5EF4-FFF2-40B4-BE49-F238E27FC236}">
              <a16:creationId xmlns:a16="http://schemas.microsoft.com/office/drawing/2014/main" id="{319C1EC9-912F-4D17-9C03-B8679B31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0" name="Picture 1659" descr="https://mail.google.com/mail/u/0/images/cleardot.gif">
          <a:extLst>
            <a:ext uri="{FF2B5EF4-FFF2-40B4-BE49-F238E27FC236}">
              <a16:creationId xmlns:a16="http://schemas.microsoft.com/office/drawing/2014/main" id="{A46A64AD-B3B2-4D29-A089-A35F27132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1" name="Picture 1660" descr="https://mail.google.com/mail/u/0/images/cleardot.gif">
          <a:extLst>
            <a:ext uri="{FF2B5EF4-FFF2-40B4-BE49-F238E27FC236}">
              <a16:creationId xmlns:a16="http://schemas.microsoft.com/office/drawing/2014/main" id="{5D03F8C2-67D4-454F-93EE-E682EAE1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2" name="Picture 1661" descr="https://mail.google.com/mail/u/0/images/cleardot.gif">
          <a:extLst>
            <a:ext uri="{FF2B5EF4-FFF2-40B4-BE49-F238E27FC236}">
              <a16:creationId xmlns:a16="http://schemas.microsoft.com/office/drawing/2014/main" id="{2293F801-2492-41D5-AE25-B646533D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3" name="Picture 1662" descr="https://mail.google.com/mail/u/0/images/cleardot.gif">
          <a:extLst>
            <a:ext uri="{FF2B5EF4-FFF2-40B4-BE49-F238E27FC236}">
              <a16:creationId xmlns:a16="http://schemas.microsoft.com/office/drawing/2014/main" id="{2D2AD0FA-46AA-49C5-9A0E-11E32EFED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4" name="Picture 1663" descr="https://mail.google.com/mail/u/0/images/cleardot.gif">
          <a:extLst>
            <a:ext uri="{FF2B5EF4-FFF2-40B4-BE49-F238E27FC236}">
              <a16:creationId xmlns:a16="http://schemas.microsoft.com/office/drawing/2014/main" id="{239C6A8E-3239-4B34-AD98-DCAA8B5B0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5" name="Picture 1664" descr="https://mail.google.com/mail/u/0/images/cleardot.gif">
          <a:extLst>
            <a:ext uri="{FF2B5EF4-FFF2-40B4-BE49-F238E27FC236}">
              <a16:creationId xmlns:a16="http://schemas.microsoft.com/office/drawing/2014/main" id="{B8E59672-929D-43F8-9587-715AB9BB6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6" name="Picture 1665" descr="https://mail.google.com/mail/u/0/images/cleardot.gif">
          <a:extLst>
            <a:ext uri="{FF2B5EF4-FFF2-40B4-BE49-F238E27FC236}">
              <a16:creationId xmlns:a16="http://schemas.microsoft.com/office/drawing/2014/main" id="{332E5631-AB0B-47FC-9D15-5AAD54A4A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7" name="Picture 1666" descr="https://mail.google.com/mail/u/0/images/cleardot.gif">
          <a:extLst>
            <a:ext uri="{FF2B5EF4-FFF2-40B4-BE49-F238E27FC236}">
              <a16:creationId xmlns:a16="http://schemas.microsoft.com/office/drawing/2014/main" id="{F957D716-5E27-48C7-B82E-9F0F4997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8" name="Picture 1667" descr="https://mail.google.com/mail/u/0/images/cleardot.gif">
          <a:extLst>
            <a:ext uri="{FF2B5EF4-FFF2-40B4-BE49-F238E27FC236}">
              <a16:creationId xmlns:a16="http://schemas.microsoft.com/office/drawing/2014/main" id="{174BE1DA-BED6-4A9C-ACF5-E9A4766D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69" name="Picture 1668" descr="https://mail.google.com/mail/u/0/images/cleardot.gif">
          <a:extLst>
            <a:ext uri="{FF2B5EF4-FFF2-40B4-BE49-F238E27FC236}">
              <a16:creationId xmlns:a16="http://schemas.microsoft.com/office/drawing/2014/main" id="{ED28D303-678C-45A8-8181-2AD9B3E0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0" name="Picture 1669" descr="https://mail.google.com/mail/u/0/images/cleardot.gif">
          <a:extLst>
            <a:ext uri="{FF2B5EF4-FFF2-40B4-BE49-F238E27FC236}">
              <a16:creationId xmlns:a16="http://schemas.microsoft.com/office/drawing/2014/main" id="{ACF96018-85D4-435A-BF1A-E30A81B2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1" name="Picture 1670" descr="https://mail.google.com/mail/u/0/images/cleardot.gif">
          <a:extLst>
            <a:ext uri="{FF2B5EF4-FFF2-40B4-BE49-F238E27FC236}">
              <a16:creationId xmlns:a16="http://schemas.microsoft.com/office/drawing/2014/main" id="{83F43604-433D-48F5-8CC3-778858AAC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2" name="Picture 1671" descr="https://mail.google.com/mail/u/0/images/cleardot.gif">
          <a:extLst>
            <a:ext uri="{FF2B5EF4-FFF2-40B4-BE49-F238E27FC236}">
              <a16:creationId xmlns:a16="http://schemas.microsoft.com/office/drawing/2014/main" id="{2B7A05D9-C9CB-4B0C-A707-14C9BE50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3" name="Picture 1672" descr="https://mail.google.com/mail/u/0/images/cleardot.gif">
          <a:extLst>
            <a:ext uri="{FF2B5EF4-FFF2-40B4-BE49-F238E27FC236}">
              <a16:creationId xmlns:a16="http://schemas.microsoft.com/office/drawing/2014/main" id="{6DDBA62E-270F-4C1A-A314-3ECECA25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4" name="Picture 1673" descr="https://mail.google.com/mail/u/0/images/cleardot.gif">
          <a:extLst>
            <a:ext uri="{FF2B5EF4-FFF2-40B4-BE49-F238E27FC236}">
              <a16:creationId xmlns:a16="http://schemas.microsoft.com/office/drawing/2014/main" id="{B21A08A2-E339-448D-A1F4-FFF124CDB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5" name="Picture 1674" descr="https://mail.google.com/mail/u/0/images/cleardot.gif">
          <a:extLst>
            <a:ext uri="{FF2B5EF4-FFF2-40B4-BE49-F238E27FC236}">
              <a16:creationId xmlns:a16="http://schemas.microsoft.com/office/drawing/2014/main" id="{02674F02-342D-4432-B2FA-120934FC0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6" name="Picture 1675" descr="https://mail.google.com/mail/u/0/images/cleardot.gif">
          <a:extLst>
            <a:ext uri="{FF2B5EF4-FFF2-40B4-BE49-F238E27FC236}">
              <a16:creationId xmlns:a16="http://schemas.microsoft.com/office/drawing/2014/main" id="{F343C2CF-43AA-4883-B04E-89426B68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7" name="Picture 1676" descr="https://mail.google.com/mail/u/0/images/cleardot.gif">
          <a:extLst>
            <a:ext uri="{FF2B5EF4-FFF2-40B4-BE49-F238E27FC236}">
              <a16:creationId xmlns:a16="http://schemas.microsoft.com/office/drawing/2014/main" id="{64561C32-A63D-4E7C-AEED-674C11A2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8" name="Picture 1677" descr="https://mail.google.com/mail/u/0/images/cleardot.gif">
          <a:extLst>
            <a:ext uri="{FF2B5EF4-FFF2-40B4-BE49-F238E27FC236}">
              <a16:creationId xmlns:a16="http://schemas.microsoft.com/office/drawing/2014/main" id="{526BC857-110E-44A4-BEFE-B0C23DDE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79" name="Picture 1678" descr="https://mail.google.com/mail/u/0/images/cleardot.gif">
          <a:extLst>
            <a:ext uri="{FF2B5EF4-FFF2-40B4-BE49-F238E27FC236}">
              <a16:creationId xmlns:a16="http://schemas.microsoft.com/office/drawing/2014/main" id="{56E31A81-BC52-4163-8FD4-4B6EA008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80" name="Picture 1679" descr="https://mail.google.com/mail/u/0/images/cleardot.gif">
          <a:extLst>
            <a:ext uri="{FF2B5EF4-FFF2-40B4-BE49-F238E27FC236}">
              <a16:creationId xmlns:a16="http://schemas.microsoft.com/office/drawing/2014/main" id="{64E09394-D7F7-4C86-8DC1-4D945E62B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12700" cy="12700"/>
    <xdr:pic>
      <xdr:nvPicPr>
        <xdr:cNvPr id="1681" name="Picture 1680" descr="https://mail.google.com/mail/u/0/images/cleardot.gif">
          <a:extLst>
            <a:ext uri="{FF2B5EF4-FFF2-40B4-BE49-F238E27FC236}">
              <a16:creationId xmlns:a16="http://schemas.microsoft.com/office/drawing/2014/main" id="{390E0B4B-0B9B-41CA-9F48-33DB59C2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6325" y="26746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um/AppData/Local/Microsoft/Windows/INetCache/Content.Outlook/0RW4F7CJ/MV_ACTION--Likasi_and_Kolwez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olwezi-038.25"/>
      <sheetName val="Sheet3"/>
      <sheetName val="Likasi-037.25"/>
      <sheetName val="Sheet2"/>
      <sheetName val="Sheet1"/>
    </sheetNames>
    <sheetDataSet>
      <sheetData sheetId="0">
        <row r="6">
          <cell r="F6">
            <v>3942500</v>
          </cell>
          <cell r="G6">
            <v>3950395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62E9-6C11-427B-8868-6A437A9E329B}">
  <dimension ref="A1:AS140"/>
  <sheetViews>
    <sheetView tabSelected="1" zoomScale="85" zoomScaleNormal="85" workbookViewId="0">
      <selection activeCell="E11" sqref="E11"/>
    </sheetView>
  </sheetViews>
  <sheetFormatPr defaultColWidth="9.28515625" defaultRowHeight="15"/>
  <cols>
    <col min="1" max="1" width="4.42578125" style="30" customWidth="1"/>
    <col min="2" max="2" width="11.7109375" style="30" customWidth="1"/>
    <col min="3" max="3" width="19" style="30" customWidth="1"/>
    <col min="4" max="4" width="19.140625" style="30" customWidth="1"/>
    <col min="5" max="5" width="36.42578125" style="30" customWidth="1"/>
    <col min="6" max="6" width="22.85546875" style="30" customWidth="1"/>
    <col min="7" max="7" width="25.5703125" style="30" customWidth="1"/>
    <col min="8" max="8" width="9.28515625" style="30" customWidth="1"/>
    <col min="9" max="9" width="10.42578125" style="30" customWidth="1"/>
    <col min="10" max="10" width="12.5703125" style="30" customWidth="1"/>
    <col min="11" max="11" width="21.28515625" style="30" customWidth="1"/>
    <col min="12" max="12" width="9.7109375" style="30" customWidth="1"/>
    <col min="13" max="13" width="12.42578125" style="30" customWidth="1"/>
    <col min="14" max="14" width="29.28515625" style="30" customWidth="1"/>
    <col min="15" max="15" width="22.28515625" style="30" customWidth="1"/>
    <col min="16" max="17" width="11.5703125" style="30" customWidth="1"/>
    <col min="18" max="18" width="12.42578125" style="30" customWidth="1"/>
    <col min="19" max="19" width="15.85546875" style="30" customWidth="1"/>
    <col min="20" max="20" width="13.28515625" style="30" customWidth="1"/>
    <col min="21" max="21" width="11.7109375" style="30" customWidth="1"/>
    <col min="22" max="22" width="13.28515625" style="30" customWidth="1"/>
    <col min="23" max="23" width="12.28515625" style="30" customWidth="1"/>
    <col min="24" max="24" width="14.28515625" style="30" customWidth="1"/>
    <col min="25" max="25" width="13.7109375" style="30" customWidth="1"/>
    <col min="26" max="26" width="11.7109375" style="30" customWidth="1"/>
    <col min="27" max="27" width="16.7109375" style="30" customWidth="1"/>
    <col min="28" max="28" width="15.28515625" style="30" customWidth="1"/>
    <col min="29" max="29" width="25.28515625" style="30" customWidth="1"/>
    <col min="30" max="31" width="9.28515625" style="30" customWidth="1"/>
    <col min="32" max="33" width="11.42578125" style="30" customWidth="1"/>
    <col min="34" max="34" width="12.7109375" style="6" customWidth="1"/>
    <col min="35" max="35" width="12" style="30" customWidth="1"/>
    <col min="36" max="36" width="9.28515625" style="30" customWidth="1"/>
    <col min="37" max="39" width="11.42578125" style="30" customWidth="1"/>
    <col min="40" max="40" width="14.5703125" style="30" customWidth="1"/>
    <col min="41" max="41" width="16.85546875" style="30" customWidth="1"/>
    <col min="42" max="42" width="18.7109375" style="30" customWidth="1"/>
    <col min="43" max="16384" width="9.28515625" style="30"/>
  </cols>
  <sheetData>
    <row r="1" spans="1:45" ht="24" thickBot="1">
      <c r="A1" s="21" t="s">
        <v>45</v>
      </c>
      <c r="B1" s="21"/>
      <c r="C1" s="21"/>
      <c r="D1" s="21"/>
      <c r="E1" s="22">
        <f ca="1">TODAY()</f>
        <v>46045</v>
      </c>
      <c r="F1" s="23" t="s">
        <v>95</v>
      </c>
      <c r="G1" s="23" t="s">
        <v>46</v>
      </c>
      <c r="H1" s="23">
        <f>3146+8</f>
        <v>3154</v>
      </c>
      <c r="I1" s="23">
        <f>+[1]Summary!F6</f>
        <v>3942500</v>
      </c>
      <c r="J1" s="23">
        <f>+[1]Summary!G6</f>
        <v>3950395</v>
      </c>
      <c r="K1" s="24"/>
      <c r="L1" s="25"/>
      <c r="M1" s="21"/>
      <c r="N1" s="26" t="s">
        <v>47</v>
      </c>
      <c r="O1" s="27"/>
      <c r="P1" s="27"/>
      <c r="Q1" s="28"/>
      <c r="R1" s="28"/>
      <c r="S1" s="29"/>
      <c r="T1" s="29"/>
      <c r="U1" s="26" t="s">
        <v>47</v>
      </c>
      <c r="V1" s="29"/>
      <c r="W1" s="29"/>
      <c r="Y1" s="29"/>
      <c r="Z1" s="29"/>
      <c r="AA1" s="29" t="s">
        <v>47</v>
      </c>
      <c r="AB1" s="29"/>
      <c r="AC1" s="29"/>
      <c r="AH1" s="5"/>
      <c r="AM1" s="177" t="s">
        <v>48</v>
      </c>
      <c r="AN1" s="178"/>
      <c r="AO1" s="179"/>
    </row>
    <row r="2" spans="1:45" ht="23.25">
      <c r="A2" s="31" t="s">
        <v>0</v>
      </c>
      <c r="B2" s="32" t="s">
        <v>1</v>
      </c>
      <c r="C2" s="32" t="s">
        <v>2</v>
      </c>
      <c r="D2" s="33" t="s">
        <v>3</v>
      </c>
      <c r="E2" s="33" t="s">
        <v>4</v>
      </c>
      <c r="F2" s="32" t="s">
        <v>5</v>
      </c>
      <c r="G2" s="33" t="s">
        <v>49</v>
      </c>
      <c r="H2" s="33" t="s">
        <v>50</v>
      </c>
      <c r="I2" s="33"/>
      <c r="J2" s="33" t="s">
        <v>50</v>
      </c>
      <c r="K2" s="33"/>
      <c r="L2" s="33"/>
      <c r="M2" s="32" t="s">
        <v>51</v>
      </c>
      <c r="N2" s="32" t="s">
        <v>52</v>
      </c>
      <c r="O2" s="32" t="s">
        <v>53</v>
      </c>
      <c r="P2" s="34" t="s">
        <v>54</v>
      </c>
      <c r="Q2" s="34" t="s">
        <v>55</v>
      </c>
      <c r="R2" s="34" t="s">
        <v>56</v>
      </c>
      <c r="S2" s="34" t="s">
        <v>57</v>
      </c>
      <c r="T2" s="34" t="s">
        <v>58</v>
      </c>
      <c r="U2" s="34" t="s">
        <v>189</v>
      </c>
      <c r="V2" s="34" t="s">
        <v>190</v>
      </c>
      <c r="W2" s="34"/>
      <c r="X2" s="35"/>
      <c r="Y2" s="34"/>
      <c r="Z2" s="34"/>
      <c r="AA2" s="34" t="s">
        <v>59</v>
      </c>
      <c r="AB2" s="34" t="s">
        <v>60</v>
      </c>
      <c r="AC2" s="34" t="s">
        <v>61</v>
      </c>
      <c r="AD2" s="180" t="s">
        <v>62</v>
      </c>
      <c r="AE2" s="180"/>
      <c r="AF2" s="180"/>
      <c r="AG2" s="180"/>
      <c r="AH2" s="18">
        <f>SUM(AH4:AH200)</f>
        <v>600</v>
      </c>
      <c r="AI2" s="180" t="s">
        <v>63</v>
      </c>
      <c r="AJ2" s="180"/>
      <c r="AK2" s="180"/>
      <c r="AL2" s="180"/>
      <c r="AM2" s="18">
        <f>SUM(AM4:AM200)</f>
        <v>2800</v>
      </c>
      <c r="AN2" s="19">
        <f>SUM(AN4:AN200)</f>
        <v>25</v>
      </c>
      <c r="AO2" s="20">
        <f>SUM(AH2:AN2)</f>
        <v>3425</v>
      </c>
      <c r="AP2" s="36"/>
      <c r="AQ2" s="1"/>
      <c r="AR2" s="1"/>
      <c r="AS2" s="1"/>
    </row>
    <row r="3" spans="1:45" s="1" customFormat="1" ht="33.950000000000003" customHeight="1">
      <c r="A3" s="38" t="s">
        <v>6</v>
      </c>
      <c r="B3" s="39" t="s">
        <v>7</v>
      </c>
      <c r="C3" s="39" t="s">
        <v>9</v>
      </c>
      <c r="D3" s="39" t="s">
        <v>10</v>
      </c>
      <c r="E3" s="39" t="s">
        <v>64</v>
      </c>
      <c r="F3" s="39" t="s">
        <v>11</v>
      </c>
      <c r="G3" s="39" t="s">
        <v>65</v>
      </c>
      <c r="H3" s="39" t="s">
        <v>12</v>
      </c>
      <c r="I3" s="39" t="s">
        <v>13</v>
      </c>
      <c r="J3" s="39" t="s">
        <v>14</v>
      </c>
      <c r="K3" s="39" t="s">
        <v>18</v>
      </c>
      <c r="L3" s="39" t="s">
        <v>8</v>
      </c>
      <c r="M3" s="39" t="s">
        <v>66</v>
      </c>
      <c r="N3" s="39" t="s">
        <v>67</v>
      </c>
      <c r="O3" s="39" t="s">
        <v>68</v>
      </c>
      <c r="P3" s="40" t="s">
        <v>69</v>
      </c>
      <c r="Q3" s="40" t="s">
        <v>70</v>
      </c>
      <c r="R3" s="40" t="s">
        <v>71</v>
      </c>
      <c r="S3" s="40" t="s">
        <v>72</v>
      </c>
      <c r="T3" s="40" t="s">
        <v>73</v>
      </c>
      <c r="U3" s="40" t="s">
        <v>74</v>
      </c>
      <c r="V3" s="40" t="s">
        <v>75</v>
      </c>
      <c r="W3" s="40" t="s">
        <v>76</v>
      </c>
      <c r="X3" s="40" t="s">
        <v>77</v>
      </c>
      <c r="Y3" s="40" t="s">
        <v>78</v>
      </c>
      <c r="Z3" s="40" t="s">
        <v>79</v>
      </c>
      <c r="AA3" s="40" t="s">
        <v>80</v>
      </c>
      <c r="AB3" s="40" t="s">
        <v>81</v>
      </c>
      <c r="AC3" s="40" t="s">
        <v>82</v>
      </c>
      <c r="AD3" s="41" t="s">
        <v>83</v>
      </c>
      <c r="AE3" s="41" t="s">
        <v>84</v>
      </c>
      <c r="AF3" s="41" t="s">
        <v>85</v>
      </c>
      <c r="AG3" s="41" t="s">
        <v>86</v>
      </c>
      <c r="AH3" s="42" t="s">
        <v>87</v>
      </c>
      <c r="AI3" s="41" t="s">
        <v>88</v>
      </c>
      <c r="AJ3" s="41" t="s">
        <v>84</v>
      </c>
      <c r="AK3" s="41" t="s">
        <v>85</v>
      </c>
      <c r="AL3" s="41" t="s">
        <v>86</v>
      </c>
      <c r="AM3" s="42" t="s">
        <v>89</v>
      </c>
      <c r="AN3" s="43" t="s">
        <v>90</v>
      </c>
      <c r="AO3" s="44" t="s">
        <v>91</v>
      </c>
    </row>
    <row r="4" spans="1:45" s="1" customFormat="1">
      <c r="A4" s="2">
        <f t="shared" ref="A4:A33" si="0">ROW()-3</f>
        <v>1</v>
      </c>
      <c r="B4" s="2">
        <v>696048438</v>
      </c>
      <c r="C4" s="4" t="s">
        <v>258</v>
      </c>
      <c r="D4" s="4" t="s">
        <v>267</v>
      </c>
      <c r="E4" s="3" t="s">
        <v>276</v>
      </c>
      <c r="F4" s="3" t="s">
        <v>373</v>
      </c>
      <c r="G4" s="2" t="s">
        <v>787</v>
      </c>
      <c r="H4" s="7">
        <v>28</v>
      </c>
      <c r="I4" s="3">
        <v>35000</v>
      </c>
      <c r="J4" s="3">
        <v>35070</v>
      </c>
      <c r="K4" s="2" t="s">
        <v>158</v>
      </c>
      <c r="L4" s="2" t="s">
        <v>18</v>
      </c>
      <c r="M4" s="119">
        <v>45729</v>
      </c>
      <c r="N4" s="119" t="s">
        <v>96</v>
      </c>
      <c r="O4" s="120" t="s">
        <v>97</v>
      </c>
      <c r="P4" s="119">
        <v>45733</v>
      </c>
      <c r="Q4" s="119">
        <v>45733</v>
      </c>
      <c r="R4" s="119">
        <v>45763</v>
      </c>
      <c r="S4" s="13">
        <v>45947</v>
      </c>
      <c r="T4" s="13">
        <v>45948</v>
      </c>
      <c r="U4" s="13">
        <v>46017</v>
      </c>
      <c r="V4" s="13">
        <v>46023</v>
      </c>
      <c r="W4" s="13">
        <v>46037</v>
      </c>
      <c r="X4" s="13"/>
      <c r="Y4" s="46"/>
      <c r="Z4" s="45"/>
      <c r="AA4" s="46"/>
      <c r="AB4" s="46"/>
      <c r="AC4" s="14" t="s">
        <v>786</v>
      </c>
      <c r="AD4" s="98">
        <f>MAX(0,X4-W4)</f>
        <v>0</v>
      </c>
      <c r="AE4" s="7">
        <v>7</v>
      </c>
      <c r="AF4" s="8">
        <f>MAX(0,AD4-AE4)</f>
        <v>0</v>
      </c>
      <c r="AG4" s="9">
        <v>200</v>
      </c>
      <c r="AH4" s="10">
        <f>MAX(0,AF4*AG4)</f>
        <v>0</v>
      </c>
      <c r="AI4" s="98">
        <f>MAX(0,AB4-AA4)</f>
        <v>0</v>
      </c>
      <c r="AJ4" s="7">
        <v>2</v>
      </c>
      <c r="AK4" s="8">
        <f>MAX(0,AI4-AJ4)</f>
        <v>0</v>
      </c>
      <c r="AL4" s="9">
        <v>200</v>
      </c>
      <c r="AM4" s="10">
        <f>MAX(0,AK4*AL4)</f>
        <v>0</v>
      </c>
      <c r="AN4" s="9"/>
      <c r="AO4" s="11">
        <f>AN4+AM4+AH4</f>
        <v>0</v>
      </c>
    </row>
    <row r="5" spans="1:45" s="12" customFormat="1" ht="14.25" customHeight="1">
      <c r="A5" s="140">
        <f t="shared" si="0"/>
        <v>2</v>
      </c>
      <c r="B5" s="140">
        <v>696048438</v>
      </c>
      <c r="C5" s="141" t="s">
        <v>724</v>
      </c>
      <c r="D5" s="141" t="s">
        <v>731</v>
      </c>
      <c r="E5" s="140" t="s">
        <v>735</v>
      </c>
      <c r="F5" s="142" t="s">
        <v>373</v>
      </c>
      <c r="G5" s="142" t="s">
        <v>81</v>
      </c>
      <c r="H5" s="143">
        <v>24</v>
      </c>
      <c r="I5" s="142">
        <v>30000</v>
      </c>
      <c r="J5" s="142">
        <v>30084</v>
      </c>
      <c r="K5" s="140" t="s">
        <v>158</v>
      </c>
      <c r="L5" s="140" t="s">
        <v>18</v>
      </c>
      <c r="M5" s="144">
        <v>45729</v>
      </c>
      <c r="N5" s="144" t="s">
        <v>96</v>
      </c>
      <c r="O5" s="145" t="s">
        <v>97</v>
      </c>
      <c r="P5" s="144">
        <v>45733</v>
      </c>
      <c r="Q5" s="144">
        <v>45733</v>
      </c>
      <c r="R5" s="144">
        <v>45763</v>
      </c>
      <c r="S5" s="146">
        <v>45958</v>
      </c>
      <c r="T5" s="146">
        <v>45958</v>
      </c>
      <c r="U5" s="147">
        <v>45969</v>
      </c>
      <c r="V5" s="147">
        <v>45972</v>
      </c>
      <c r="W5" s="147">
        <v>46010</v>
      </c>
      <c r="X5" s="147">
        <v>46013</v>
      </c>
      <c r="Y5" s="147">
        <v>46013</v>
      </c>
      <c r="Z5" s="147">
        <v>46014</v>
      </c>
      <c r="AA5" s="147">
        <v>46014</v>
      </c>
      <c r="AB5" s="147">
        <v>46015</v>
      </c>
      <c r="AC5" s="148" t="s">
        <v>251</v>
      </c>
      <c r="AD5" s="98">
        <f t="shared" ref="AD5" si="1">MAX(0,X5-W5)</f>
        <v>3</v>
      </c>
      <c r="AE5" s="7">
        <v>7</v>
      </c>
      <c r="AF5" s="8">
        <f t="shared" ref="AF5" si="2">MAX(0,AD5-AE5)</f>
        <v>0</v>
      </c>
      <c r="AG5" s="9">
        <v>200</v>
      </c>
      <c r="AH5" s="10">
        <f t="shared" ref="AH5" si="3">MAX(0,AF5*AG5)</f>
        <v>0</v>
      </c>
      <c r="AI5" s="98">
        <f>MAX(0,AB5-AA5)</f>
        <v>1</v>
      </c>
      <c r="AJ5" s="7">
        <v>2</v>
      </c>
      <c r="AK5" s="8">
        <f t="shared" ref="AK5" si="4">MAX(0,AI5-AJ5)</f>
        <v>0</v>
      </c>
      <c r="AL5" s="9">
        <v>200</v>
      </c>
      <c r="AM5" s="10">
        <f t="shared" ref="AM5" si="5">MAX(0,AK5*AL5)</f>
        <v>0</v>
      </c>
      <c r="AN5" s="9">
        <v>0</v>
      </c>
      <c r="AO5" s="11">
        <f t="shared" ref="AO5" si="6">AN5+AM5+AH5</f>
        <v>0</v>
      </c>
    </row>
    <row r="6" spans="1:45" s="12" customFormat="1" ht="15" customHeight="1">
      <c r="A6" s="140">
        <f t="shared" si="0"/>
        <v>3</v>
      </c>
      <c r="B6" s="140">
        <v>696048438</v>
      </c>
      <c r="C6" s="142" t="s">
        <v>763</v>
      </c>
      <c r="D6" s="142" t="s">
        <v>766</v>
      </c>
      <c r="E6" s="142" t="s">
        <v>767</v>
      </c>
      <c r="F6" s="142" t="s">
        <v>373</v>
      </c>
      <c r="G6" s="142" t="s">
        <v>81</v>
      </c>
      <c r="H6" s="143">
        <v>24</v>
      </c>
      <c r="I6" s="142">
        <v>30000</v>
      </c>
      <c r="J6" s="142">
        <v>30084</v>
      </c>
      <c r="K6" s="140" t="s">
        <v>158</v>
      </c>
      <c r="L6" s="140" t="s">
        <v>18</v>
      </c>
      <c r="M6" s="144">
        <v>45729</v>
      </c>
      <c r="N6" s="144" t="s">
        <v>96</v>
      </c>
      <c r="O6" s="145" t="s">
        <v>97</v>
      </c>
      <c r="P6" s="144">
        <v>45733</v>
      </c>
      <c r="Q6" s="144">
        <v>45733</v>
      </c>
      <c r="R6" s="144">
        <v>45763</v>
      </c>
      <c r="S6" s="146">
        <v>45967</v>
      </c>
      <c r="T6" s="146">
        <v>45969</v>
      </c>
      <c r="U6" s="146">
        <v>45972</v>
      </c>
      <c r="V6" s="146">
        <v>45977</v>
      </c>
      <c r="W6" s="147">
        <v>46010</v>
      </c>
      <c r="X6" s="147">
        <v>46013</v>
      </c>
      <c r="Y6" s="147">
        <v>46013</v>
      </c>
      <c r="Z6" s="147">
        <v>46014</v>
      </c>
      <c r="AA6" s="147">
        <v>46014</v>
      </c>
      <c r="AB6" s="147">
        <v>46015</v>
      </c>
      <c r="AC6" s="148" t="s">
        <v>251</v>
      </c>
      <c r="AD6" s="98">
        <f>MAX(0,X6-Z7)</f>
        <v>2</v>
      </c>
      <c r="AE6" s="7">
        <v>7</v>
      </c>
      <c r="AF6" s="8">
        <f>MAX(0,AD6-AE6)</f>
        <v>0</v>
      </c>
      <c r="AG6" s="9">
        <v>200</v>
      </c>
      <c r="AH6" s="10">
        <f>MAX(0,AF6*AG6)</f>
        <v>0</v>
      </c>
      <c r="AI6" s="98">
        <f>MAX(0,AB6-AA6)</f>
        <v>1</v>
      </c>
      <c r="AJ6" s="7">
        <v>2</v>
      </c>
      <c r="AK6" s="8">
        <f>MAX(0,AI6-AJ6)</f>
        <v>0</v>
      </c>
      <c r="AL6" s="9">
        <v>200</v>
      </c>
      <c r="AM6" s="10">
        <f>MAX(0,AK6*AL6)</f>
        <v>0</v>
      </c>
      <c r="AN6" s="9">
        <v>25</v>
      </c>
      <c r="AO6" s="11">
        <f>AN6+AM6+AH6</f>
        <v>25</v>
      </c>
    </row>
    <row r="7" spans="1:45" s="12" customFormat="1" ht="15" customHeight="1">
      <c r="A7" s="140">
        <f t="shared" si="0"/>
        <v>4</v>
      </c>
      <c r="B7" s="140">
        <v>696048438</v>
      </c>
      <c r="C7" s="141" t="s">
        <v>774</v>
      </c>
      <c r="D7" s="141" t="s">
        <v>780</v>
      </c>
      <c r="E7" s="142" t="s">
        <v>775</v>
      </c>
      <c r="F7" s="142" t="s">
        <v>373</v>
      </c>
      <c r="G7" s="142" t="s">
        <v>81</v>
      </c>
      <c r="H7" s="143">
        <v>28</v>
      </c>
      <c r="I7" s="142">
        <v>36250</v>
      </c>
      <c r="J7" s="142">
        <v>36323</v>
      </c>
      <c r="K7" s="140" t="s">
        <v>158</v>
      </c>
      <c r="L7" s="140" t="s">
        <v>18</v>
      </c>
      <c r="M7" s="144">
        <v>45729</v>
      </c>
      <c r="N7" s="144" t="s">
        <v>96</v>
      </c>
      <c r="O7" s="145" t="s">
        <v>97</v>
      </c>
      <c r="P7" s="144">
        <v>45733</v>
      </c>
      <c r="Q7" s="144">
        <v>45733</v>
      </c>
      <c r="R7" s="144">
        <v>45763</v>
      </c>
      <c r="S7" s="146">
        <v>45971</v>
      </c>
      <c r="T7" s="146">
        <v>45972</v>
      </c>
      <c r="U7" s="146">
        <v>45974</v>
      </c>
      <c r="V7" s="147">
        <v>46003</v>
      </c>
      <c r="W7" s="147">
        <v>46005</v>
      </c>
      <c r="X7" s="147">
        <v>46010</v>
      </c>
      <c r="Y7" s="147">
        <v>46010</v>
      </c>
      <c r="Z7" s="147">
        <v>46011</v>
      </c>
      <c r="AA7" s="147">
        <v>46013</v>
      </c>
      <c r="AB7" s="147">
        <v>46014</v>
      </c>
      <c r="AC7" s="148" t="s">
        <v>251</v>
      </c>
      <c r="AD7" s="98">
        <f>MAX(0,X7-W7)</f>
        <v>5</v>
      </c>
      <c r="AE7" s="7">
        <v>7</v>
      </c>
      <c r="AF7" s="8">
        <f>MAX(0,AD7-AE7)</f>
        <v>0</v>
      </c>
      <c r="AG7" s="9">
        <v>200</v>
      </c>
      <c r="AH7" s="10">
        <f>MAX(0,AF7*AG7)</f>
        <v>0</v>
      </c>
      <c r="AI7" s="98">
        <f>MAX(0,AB7-AA7)</f>
        <v>1</v>
      </c>
      <c r="AJ7" s="7">
        <v>2</v>
      </c>
      <c r="AK7" s="8">
        <f>MAX(0,AI7-AJ7)</f>
        <v>0</v>
      </c>
      <c r="AL7" s="9">
        <v>200</v>
      </c>
      <c r="AM7" s="10">
        <f>MAX(0,AK7*AL7)</f>
        <v>0</v>
      </c>
      <c r="AN7" s="9">
        <v>0</v>
      </c>
      <c r="AO7" s="11">
        <f>AN7+AM7+AH7</f>
        <v>0</v>
      </c>
    </row>
    <row r="8" spans="1:45" s="1" customFormat="1">
      <c r="A8" s="140">
        <f t="shared" si="0"/>
        <v>5</v>
      </c>
      <c r="B8" s="140">
        <v>696048438</v>
      </c>
      <c r="C8" s="141" t="s">
        <v>783</v>
      </c>
      <c r="D8" s="141" t="s">
        <v>784</v>
      </c>
      <c r="E8" s="140" t="s">
        <v>785</v>
      </c>
      <c r="F8" s="142" t="s">
        <v>373</v>
      </c>
      <c r="G8" s="142" t="s">
        <v>81</v>
      </c>
      <c r="H8" s="142">
        <v>29</v>
      </c>
      <c r="I8" s="149">
        <v>36250</v>
      </c>
      <c r="J8" s="149">
        <v>36323</v>
      </c>
      <c r="K8" s="140" t="s">
        <v>158</v>
      </c>
      <c r="L8" s="140" t="s">
        <v>18</v>
      </c>
      <c r="M8" s="144">
        <v>45729</v>
      </c>
      <c r="N8" s="144" t="s">
        <v>96</v>
      </c>
      <c r="O8" s="145" t="s">
        <v>97</v>
      </c>
      <c r="P8" s="144">
        <v>45733</v>
      </c>
      <c r="Q8" s="144">
        <v>45733</v>
      </c>
      <c r="R8" s="144">
        <v>45763</v>
      </c>
      <c r="S8" s="146">
        <v>45958</v>
      </c>
      <c r="T8" s="146">
        <v>45958</v>
      </c>
      <c r="U8" s="147">
        <v>45969</v>
      </c>
      <c r="V8" s="147">
        <v>45993</v>
      </c>
      <c r="W8" s="147">
        <v>45997</v>
      </c>
      <c r="X8" s="147">
        <v>45999</v>
      </c>
      <c r="Y8" s="147">
        <v>45999</v>
      </c>
      <c r="Z8" s="147">
        <v>46000</v>
      </c>
      <c r="AA8" s="147">
        <v>46001</v>
      </c>
      <c r="AB8" s="147">
        <v>46003</v>
      </c>
      <c r="AC8" s="148" t="s">
        <v>251</v>
      </c>
      <c r="AD8" s="98">
        <f t="shared" ref="AD8:AD12" si="7">MAX(0,X8-W8)</f>
        <v>2</v>
      </c>
      <c r="AE8" s="7">
        <v>7</v>
      </c>
      <c r="AF8" s="8">
        <f t="shared" ref="AF8:AF12" si="8">MAX(0,AD8-AE8)</f>
        <v>0</v>
      </c>
      <c r="AG8" s="9">
        <v>200</v>
      </c>
      <c r="AH8" s="10">
        <f t="shared" ref="AH8:AH12" si="9">MAX(0,AF8*AG8)</f>
        <v>0</v>
      </c>
      <c r="AI8" s="98">
        <f t="shared" ref="AI8:AI12" si="10">MAX(0,AB8-AA8)</f>
        <v>2</v>
      </c>
      <c r="AJ8" s="7">
        <v>2</v>
      </c>
      <c r="AK8" s="8">
        <f t="shared" ref="AK8:AK12" si="11">MAX(0,AI8-AJ8)</f>
        <v>0</v>
      </c>
      <c r="AL8" s="9">
        <v>200</v>
      </c>
      <c r="AM8" s="10">
        <f t="shared" ref="AM8" si="12">MAX(0,AK8*AL8)</f>
        <v>0</v>
      </c>
      <c r="AN8" s="9">
        <v>0</v>
      </c>
      <c r="AO8" s="11">
        <f t="shared" ref="AO8" si="13">AN8+AM8+AH8</f>
        <v>0</v>
      </c>
    </row>
    <row r="9" spans="1:45" s="12" customFormat="1" ht="15.75" customHeight="1">
      <c r="A9" s="140">
        <f t="shared" si="0"/>
        <v>6</v>
      </c>
      <c r="B9" s="140">
        <v>696048438</v>
      </c>
      <c r="C9" s="140" t="s">
        <v>317</v>
      </c>
      <c r="D9" s="140" t="s">
        <v>335</v>
      </c>
      <c r="E9" s="140" t="s">
        <v>327</v>
      </c>
      <c r="F9" s="142" t="s">
        <v>373</v>
      </c>
      <c r="G9" s="142" t="s">
        <v>81</v>
      </c>
      <c r="H9" s="143">
        <v>28</v>
      </c>
      <c r="I9" s="142">
        <v>35000</v>
      </c>
      <c r="J9" s="142">
        <v>35070</v>
      </c>
      <c r="K9" s="140" t="s">
        <v>158</v>
      </c>
      <c r="L9" s="140" t="s">
        <v>18</v>
      </c>
      <c r="M9" s="144">
        <v>45729</v>
      </c>
      <c r="N9" s="144" t="s">
        <v>96</v>
      </c>
      <c r="O9" s="145" t="s">
        <v>97</v>
      </c>
      <c r="P9" s="144">
        <v>45733</v>
      </c>
      <c r="Q9" s="144">
        <v>45733</v>
      </c>
      <c r="R9" s="144">
        <v>45763</v>
      </c>
      <c r="S9" s="146">
        <v>45953</v>
      </c>
      <c r="T9" s="147">
        <v>45954</v>
      </c>
      <c r="U9" s="147">
        <v>45957</v>
      </c>
      <c r="V9" s="147">
        <v>45994</v>
      </c>
      <c r="W9" s="147">
        <v>45997</v>
      </c>
      <c r="X9" s="147">
        <v>45999</v>
      </c>
      <c r="Y9" s="147">
        <v>46000</v>
      </c>
      <c r="Z9" s="147">
        <v>46000</v>
      </c>
      <c r="AA9" s="147">
        <v>46001</v>
      </c>
      <c r="AB9" s="147">
        <v>46002</v>
      </c>
      <c r="AC9" s="148" t="s">
        <v>251</v>
      </c>
      <c r="AD9" s="98">
        <f>MAX(0,X9-W9)</f>
        <v>2</v>
      </c>
      <c r="AE9" s="7">
        <v>7</v>
      </c>
      <c r="AF9" s="8">
        <f>MAX(0,AD9-AE9)</f>
        <v>0</v>
      </c>
      <c r="AG9" s="9">
        <v>200</v>
      </c>
      <c r="AH9" s="10">
        <f>MAX(0,AF9*AG9)</f>
        <v>0</v>
      </c>
      <c r="AI9" s="98">
        <f>MAX(0,AB9-AA9)</f>
        <v>1</v>
      </c>
      <c r="AJ9" s="7">
        <v>2</v>
      </c>
      <c r="AK9" s="8">
        <f>MAX(0,AI9-AJ9)</f>
        <v>0</v>
      </c>
      <c r="AL9" s="9">
        <v>200</v>
      </c>
      <c r="AM9" s="10">
        <f>MAX(0,AK9*AL9)</f>
        <v>0</v>
      </c>
      <c r="AN9" s="9">
        <v>0</v>
      </c>
      <c r="AO9" s="11">
        <f>AN9+AM9+AH9</f>
        <v>0</v>
      </c>
    </row>
    <row r="10" spans="1:45" s="12" customFormat="1" ht="15" customHeight="1">
      <c r="A10" s="140">
        <f t="shared" si="0"/>
        <v>7</v>
      </c>
      <c r="B10" s="140">
        <v>696048438</v>
      </c>
      <c r="C10" s="150" t="s">
        <v>747</v>
      </c>
      <c r="D10" s="142" t="s">
        <v>752</v>
      </c>
      <c r="E10" s="142" t="s">
        <v>758</v>
      </c>
      <c r="F10" s="142" t="s">
        <v>373</v>
      </c>
      <c r="G10" s="142" t="s">
        <v>81</v>
      </c>
      <c r="H10" s="143">
        <v>28</v>
      </c>
      <c r="I10" s="142">
        <v>35000</v>
      </c>
      <c r="J10" s="142">
        <v>35070</v>
      </c>
      <c r="K10" s="140" t="s">
        <v>158</v>
      </c>
      <c r="L10" s="140" t="s">
        <v>18</v>
      </c>
      <c r="M10" s="144">
        <v>45729</v>
      </c>
      <c r="N10" s="144" t="s">
        <v>96</v>
      </c>
      <c r="O10" s="145" t="s">
        <v>97</v>
      </c>
      <c r="P10" s="144">
        <v>45733</v>
      </c>
      <c r="Q10" s="144">
        <v>45733</v>
      </c>
      <c r="R10" s="144">
        <v>45763</v>
      </c>
      <c r="S10" s="146">
        <v>45967</v>
      </c>
      <c r="T10" s="146">
        <v>45969</v>
      </c>
      <c r="U10" s="146">
        <v>45972</v>
      </c>
      <c r="V10" s="146">
        <v>45977</v>
      </c>
      <c r="W10" s="146">
        <v>45989</v>
      </c>
      <c r="X10" s="146">
        <v>45997</v>
      </c>
      <c r="Y10" s="146">
        <v>45998</v>
      </c>
      <c r="Z10" s="146">
        <v>45998</v>
      </c>
      <c r="AA10" s="146">
        <v>45999</v>
      </c>
      <c r="AB10" s="146">
        <v>46001</v>
      </c>
      <c r="AC10" s="148" t="s">
        <v>251</v>
      </c>
      <c r="AD10" s="98">
        <f>MAX(0,X10-W10)</f>
        <v>8</v>
      </c>
      <c r="AE10" s="7">
        <v>7</v>
      </c>
      <c r="AF10" s="8">
        <f t="shared" ref="AF10" si="14">MAX(0,AD10-AE10)</f>
        <v>1</v>
      </c>
      <c r="AG10" s="9">
        <v>200</v>
      </c>
      <c r="AH10" s="10">
        <f t="shared" ref="AH10" si="15">MAX(0,AF10*AG10)</f>
        <v>200</v>
      </c>
      <c r="AI10" s="98">
        <f t="shared" ref="AI10" si="16">MAX(0,AB10-AA10)</f>
        <v>2</v>
      </c>
      <c r="AJ10" s="7">
        <v>2</v>
      </c>
      <c r="AK10" s="8">
        <f t="shared" ref="AK10" si="17">MAX(0,AI10-AJ10)</f>
        <v>0</v>
      </c>
      <c r="AL10" s="9">
        <v>200</v>
      </c>
      <c r="AM10" s="10">
        <f t="shared" ref="AM10:AM11" si="18">MAX(0,AK10*AL10)</f>
        <v>0</v>
      </c>
      <c r="AN10" s="9">
        <v>0</v>
      </c>
      <c r="AO10" s="11">
        <f t="shared" ref="AO10:AO11" si="19">AN10+AM10+AH10</f>
        <v>200</v>
      </c>
    </row>
    <row r="11" spans="1:45" s="1" customFormat="1">
      <c r="A11" s="140">
        <f t="shared" si="0"/>
        <v>8</v>
      </c>
      <c r="B11" s="140">
        <v>696048438</v>
      </c>
      <c r="C11" s="141" t="s">
        <v>228</v>
      </c>
      <c r="D11" s="141" t="s">
        <v>244</v>
      </c>
      <c r="E11" s="142" t="s">
        <v>229</v>
      </c>
      <c r="F11" s="142" t="s">
        <v>373</v>
      </c>
      <c r="G11" s="142" t="s">
        <v>81</v>
      </c>
      <c r="H11" s="140">
        <v>28</v>
      </c>
      <c r="I11" s="142">
        <v>35000</v>
      </c>
      <c r="J11" s="142">
        <v>35070</v>
      </c>
      <c r="K11" s="140" t="s">
        <v>158</v>
      </c>
      <c r="L11" s="140" t="s">
        <v>18</v>
      </c>
      <c r="M11" s="144">
        <v>45729</v>
      </c>
      <c r="N11" s="144" t="s">
        <v>96</v>
      </c>
      <c r="O11" s="145" t="s">
        <v>97</v>
      </c>
      <c r="P11" s="144">
        <v>45733</v>
      </c>
      <c r="Q11" s="144">
        <v>45733</v>
      </c>
      <c r="R11" s="144">
        <v>45763</v>
      </c>
      <c r="S11" s="147">
        <v>45945</v>
      </c>
      <c r="T11" s="147">
        <v>45946</v>
      </c>
      <c r="U11" s="146">
        <v>45956</v>
      </c>
      <c r="V11" s="147">
        <v>45967</v>
      </c>
      <c r="W11" s="146">
        <v>45982</v>
      </c>
      <c r="X11" s="146">
        <v>45991</v>
      </c>
      <c r="Y11" s="146">
        <v>45992</v>
      </c>
      <c r="Z11" s="146">
        <v>45993</v>
      </c>
      <c r="AA11" s="146">
        <v>45994</v>
      </c>
      <c r="AB11" s="146">
        <v>45994</v>
      </c>
      <c r="AC11" s="148" t="s">
        <v>251</v>
      </c>
      <c r="AD11" s="98">
        <f>MAX(0,X11-W11)</f>
        <v>9</v>
      </c>
      <c r="AE11" s="7">
        <v>7</v>
      </c>
      <c r="AF11" s="8">
        <f>MAX(0,AD11-AE11)</f>
        <v>2</v>
      </c>
      <c r="AG11" s="9">
        <v>200</v>
      </c>
      <c r="AH11" s="10">
        <f>MAX(0,AF11*AG11)</f>
        <v>400</v>
      </c>
      <c r="AI11" s="98">
        <f>MAX(0,AB11-AA11)</f>
        <v>0</v>
      </c>
      <c r="AJ11" s="7">
        <v>2</v>
      </c>
      <c r="AK11" s="8">
        <f>MAX(0,AI11-AJ11)</f>
        <v>0</v>
      </c>
      <c r="AL11" s="9">
        <v>200</v>
      </c>
      <c r="AM11" s="10">
        <f t="shared" si="18"/>
        <v>0</v>
      </c>
      <c r="AN11" s="9">
        <v>0</v>
      </c>
      <c r="AO11" s="11">
        <f t="shared" si="19"/>
        <v>400</v>
      </c>
    </row>
    <row r="12" spans="1:45" s="12" customFormat="1" ht="15" customHeight="1">
      <c r="A12" s="140">
        <f t="shared" si="0"/>
        <v>9</v>
      </c>
      <c r="B12" s="140">
        <v>696048438</v>
      </c>
      <c r="C12" s="150" t="s">
        <v>776</v>
      </c>
      <c r="D12" s="150" t="s">
        <v>777</v>
      </c>
      <c r="E12" s="142" t="s">
        <v>778</v>
      </c>
      <c r="F12" s="142" t="s">
        <v>373</v>
      </c>
      <c r="G12" s="142" t="s">
        <v>81</v>
      </c>
      <c r="H12" s="143">
        <v>24</v>
      </c>
      <c r="I12" s="142">
        <v>30000</v>
      </c>
      <c r="J12" s="142">
        <v>30084</v>
      </c>
      <c r="K12" s="140" t="s">
        <v>158</v>
      </c>
      <c r="L12" s="140" t="s">
        <v>18</v>
      </c>
      <c r="M12" s="144">
        <v>45729</v>
      </c>
      <c r="N12" s="144" t="s">
        <v>96</v>
      </c>
      <c r="O12" s="145" t="s">
        <v>97</v>
      </c>
      <c r="P12" s="144">
        <v>45733</v>
      </c>
      <c r="Q12" s="144">
        <v>45733</v>
      </c>
      <c r="R12" s="144">
        <v>45763</v>
      </c>
      <c r="S12" s="146">
        <v>45971</v>
      </c>
      <c r="T12" s="146">
        <v>45972</v>
      </c>
      <c r="U12" s="146">
        <v>45974</v>
      </c>
      <c r="V12" s="146">
        <v>45978</v>
      </c>
      <c r="W12" s="146">
        <v>45981</v>
      </c>
      <c r="X12" s="147">
        <v>45986</v>
      </c>
      <c r="Y12" s="147">
        <v>45986</v>
      </c>
      <c r="Z12" s="147">
        <v>45986</v>
      </c>
      <c r="AA12" s="147">
        <v>45987</v>
      </c>
      <c r="AB12" s="147">
        <v>45988</v>
      </c>
      <c r="AC12" s="148" t="s">
        <v>251</v>
      </c>
      <c r="AD12" s="98">
        <f t="shared" si="7"/>
        <v>5</v>
      </c>
      <c r="AE12" s="7">
        <v>7</v>
      </c>
      <c r="AF12" s="8">
        <f t="shared" si="8"/>
        <v>0</v>
      </c>
      <c r="AG12" s="9">
        <v>200</v>
      </c>
      <c r="AH12" s="10">
        <f t="shared" si="9"/>
        <v>0</v>
      </c>
      <c r="AI12" s="98">
        <f t="shared" si="10"/>
        <v>1</v>
      </c>
      <c r="AJ12" s="7">
        <v>2</v>
      </c>
      <c r="AK12" s="8">
        <f t="shared" si="11"/>
        <v>0</v>
      </c>
      <c r="AL12" s="9">
        <v>200</v>
      </c>
      <c r="AM12" s="10">
        <f t="shared" ref="AM12:AM16" si="20">MAX(0,AK12*AL12)</f>
        <v>0</v>
      </c>
      <c r="AN12" s="9">
        <v>0</v>
      </c>
      <c r="AO12" s="11">
        <f t="shared" ref="AO12:AO16" si="21">AN12+AM12+AH12</f>
        <v>0</v>
      </c>
    </row>
    <row r="13" spans="1:45" s="12" customFormat="1" ht="15" customHeight="1">
      <c r="A13" s="140">
        <f t="shared" si="0"/>
        <v>10</v>
      </c>
      <c r="B13" s="140">
        <v>696048438</v>
      </c>
      <c r="C13" s="141" t="s">
        <v>381</v>
      </c>
      <c r="D13" s="141" t="s">
        <v>382</v>
      </c>
      <c r="E13" s="146" t="s">
        <v>383</v>
      </c>
      <c r="F13" s="142" t="s">
        <v>373</v>
      </c>
      <c r="G13" s="142" t="s">
        <v>81</v>
      </c>
      <c r="H13" s="143">
        <v>28</v>
      </c>
      <c r="I13" s="142">
        <v>35000</v>
      </c>
      <c r="J13" s="142">
        <v>35070</v>
      </c>
      <c r="K13" s="140" t="s">
        <v>158</v>
      </c>
      <c r="L13" s="140" t="s">
        <v>18</v>
      </c>
      <c r="M13" s="144">
        <v>45729</v>
      </c>
      <c r="N13" s="144" t="s">
        <v>96</v>
      </c>
      <c r="O13" s="145" t="s">
        <v>97</v>
      </c>
      <c r="P13" s="144">
        <v>45733</v>
      </c>
      <c r="Q13" s="144">
        <v>45733</v>
      </c>
      <c r="R13" s="144">
        <v>45763</v>
      </c>
      <c r="S13" s="146">
        <v>45971</v>
      </c>
      <c r="T13" s="146">
        <v>45972</v>
      </c>
      <c r="U13" s="146">
        <v>45974</v>
      </c>
      <c r="V13" s="146">
        <v>45979</v>
      </c>
      <c r="W13" s="146">
        <v>45981</v>
      </c>
      <c r="X13" s="147">
        <v>45986</v>
      </c>
      <c r="Y13" s="147">
        <v>45986</v>
      </c>
      <c r="Z13" s="147">
        <v>45986</v>
      </c>
      <c r="AA13" s="147">
        <v>45987</v>
      </c>
      <c r="AB13" s="147">
        <v>45988</v>
      </c>
      <c r="AC13" s="148" t="s">
        <v>251</v>
      </c>
      <c r="AD13" s="98">
        <f>MAX(0,X13-W13)</f>
        <v>5</v>
      </c>
      <c r="AE13" s="7">
        <v>7</v>
      </c>
      <c r="AF13" s="8">
        <f>MAX(0,AD13-AE13)</f>
        <v>0</v>
      </c>
      <c r="AG13" s="9">
        <v>200</v>
      </c>
      <c r="AH13" s="10">
        <f>MAX(0,AF13*AG13)</f>
        <v>0</v>
      </c>
      <c r="AI13" s="98">
        <f>MAX(0,AB13-AA13)</f>
        <v>1</v>
      </c>
      <c r="AJ13" s="15">
        <v>2</v>
      </c>
      <c r="AK13" s="16">
        <f>MAX(0,AI13-AJ13)</f>
        <v>0</v>
      </c>
      <c r="AL13" s="17">
        <v>200</v>
      </c>
      <c r="AM13" s="10">
        <f t="shared" si="20"/>
        <v>0</v>
      </c>
      <c r="AN13" s="9">
        <v>0</v>
      </c>
      <c r="AO13" s="11">
        <f t="shared" si="21"/>
        <v>0</v>
      </c>
    </row>
    <row r="14" spans="1:45" s="12" customFormat="1" ht="15" customHeight="1">
      <c r="A14" s="140">
        <f t="shared" si="0"/>
        <v>11</v>
      </c>
      <c r="B14" s="140">
        <v>696048438</v>
      </c>
      <c r="C14" s="141" t="s">
        <v>703</v>
      </c>
      <c r="D14" s="141" t="s">
        <v>704</v>
      </c>
      <c r="E14" s="140" t="s">
        <v>705</v>
      </c>
      <c r="F14" s="142" t="s">
        <v>373</v>
      </c>
      <c r="G14" s="142" t="s">
        <v>81</v>
      </c>
      <c r="H14" s="143">
        <v>28</v>
      </c>
      <c r="I14" s="142">
        <v>35000</v>
      </c>
      <c r="J14" s="142">
        <v>35070</v>
      </c>
      <c r="K14" s="140" t="s">
        <v>158</v>
      </c>
      <c r="L14" s="140" t="s">
        <v>18</v>
      </c>
      <c r="M14" s="144">
        <v>45729</v>
      </c>
      <c r="N14" s="144" t="s">
        <v>96</v>
      </c>
      <c r="O14" s="145" t="s">
        <v>97</v>
      </c>
      <c r="P14" s="144">
        <v>45733</v>
      </c>
      <c r="Q14" s="144">
        <v>45733</v>
      </c>
      <c r="R14" s="144">
        <v>45763</v>
      </c>
      <c r="S14" s="146">
        <v>45971</v>
      </c>
      <c r="T14" s="146">
        <v>45972</v>
      </c>
      <c r="U14" s="146">
        <v>45974</v>
      </c>
      <c r="V14" s="146">
        <v>45978</v>
      </c>
      <c r="W14" s="146">
        <v>45981</v>
      </c>
      <c r="X14" s="147">
        <v>45986</v>
      </c>
      <c r="Y14" s="147">
        <v>45986</v>
      </c>
      <c r="Z14" s="147">
        <v>45986</v>
      </c>
      <c r="AA14" s="147">
        <v>45987</v>
      </c>
      <c r="AB14" s="147">
        <v>45988</v>
      </c>
      <c r="AC14" s="148" t="s">
        <v>251</v>
      </c>
      <c r="AD14" s="98">
        <f>MAX(0,X14-W14)</f>
        <v>5</v>
      </c>
      <c r="AE14" s="7">
        <v>7</v>
      </c>
      <c r="AF14" s="8">
        <f>MAX(0,AD14-AE14)</f>
        <v>0</v>
      </c>
      <c r="AG14" s="9">
        <v>200</v>
      </c>
      <c r="AH14" s="10">
        <f>MAX(0,AF14*AG14)</f>
        <v>0</v>
      </c>
      <c r="AI14" s="98">
        <f>MAX(0,AB14-AA14)</f>
        <v>1</v>
      </c>
      <c r="AJ14" s="7">
        <v>2</v>
      </c>
      <c r="AK14" s="8">
        <f>MAX(0,AI14-AJ14)</f>
        <v>0</v>
      </c>
      <c r="AL14" s="9">
        <v>200</v>
      </c>
      <c r="AM14" s="10">
        <f t="shared" si="20"/>
        <v>0</v>
      </c>
      <c r="AN14" s="9">
        <v>0</v>
      </c>
      <c r="AO14" s="11">
        <f t="shared" si="21"/>
        <v>0</v>
      </c>
    </row>
    <row r="15" spans="1:45" s="12" customFormat="1" ht="15" customHeight="1">
      <c r="A15" s="140">
        <f t="shared" si="0"/>
        <v>12</v>
      </c>
      <c r="B15" s="140">
        <v>696048438</v>
      </c>
      <c r="C15" s="141" t="s">
        <v>772</v>
      </c>
      <c r="D15" s="141" t="s">
        <v>779</v>
      </c>
      <c r="E15" s="142" t="s">
        <v>773</v>
      </c>
      <c r="F15" s="142" t="s">
        <v>373</v>
      </c>
      <c r="G15" s="142" t="s">
        <v>81</v>
      </c>
      <c r="H15" s="143">
        <v>28</v>
      </c>
      <c r="I15" s="142">
        <v>36250</v>
      </c>
      <c r="J15" s="142">
        <v>36323</v>
      </c>
      <c r="K15" s="140" t="s">
        <v>158</v>
      </c>
      <c r="L15" s="140" t="s">
        <v>18</v>
      </c>
      <c r="M15" s="144">
        <v>45729</v>
      </c>
      <c r="N15" s="144" t="s">
        <v>96</v>
      </c>
      <c r="O15" s="145" t="s">
        <v>97</v>
      </c>
      <c r="P15" s="144">
        <v>45733</v>
      </c>
      <c r="Q15" s="144">
        <v>45733</v>
      </c>
      <c r="R15" s="144">
        <v>45763</v>
      </c>
      <c r="S15" s="146">
        <v>45971</v>
      </c>
      <c r="T15" s="146">
        <v>45972</v>
      </c>
      <c r="U15" s="146">
        <v>45974</v>
      </c>
      <c r="V15" s="146">
        <v>45981</v>
      </c>
      <c r="W15" s="146">
        <v>45983</v>
      </c>
      <c r="X15" s="147">
        <v>45986</v>
      </c>
      <c r="Y15" s="147">
        <v>45986</v>
      </c>
      <c r="Z15" s="147">
        <v>45986</v>
      </c>
      <c r="AA15" s="147">
        <v>45987</v>
      </c>
      <c r="AB15" s="147">
        <v>45988</v>
      </c>
      <c r="AC15" s="148" t="s">
        <v>251</v>
      </c>
      <c r="AD15" s="98">
        <f>MAX(0,X15-W15)</f>
        <v>3</v>
      </c>
      <c r="AE15" s="7">
        <v>7</v>
      </c>
      <c r="AF15" s="8">
        <f>MAX(0,AD15-AE15)</f>
        <v>0</v>
      </c>
      <c r="AG15" s="9">
        <v>200</v>
      </c>
      <c r="AH15" s="10">
        <f>MAX(0,AF15*AG15)</f>
        <v>0</v>
      </c>
      <c r="AI15" s="98">
        <f>MAX(0,AB15-AA15)</f>
        <v>1</v>
      </c>
      <c r="AJ15" s="15">
        <v>2</v>
      </c>
      <c r="AK15" s="16">
        <f>MAX(0,AI15-AJ15)</f>
        <v>0</v>
      </c>
      <c r="AL15" s="17">
        <v>200</v>
      </c>
      <c r="AM15" s="10">
        <f t="shared" si="20"/>
        <v>0</v>
      </c>
      <c r="AN15" s="9">
        <v>0</v>
      </c>
      <c r="AO15" s="11">
        <f t="shared" si="21"/>
        <v>0</v>
      </c>
    </row>
    <row r="16" spans="1:45" s="12" customFormat="1" ht="15" customHeight="1">
      <c r="A16" s="140">
        <f t="shared" si="0"/>
        <v>13</v>
      </c>
      <c r="B16" s="140">
        <v>696048438</v>
      </c>
      <c r="C16" s="141" t="s">
        <v>765</v>
      </c>
      <c r="D16" s="141" t="s">
        <v>771</v>
      </c>
      <c r="E16" s="140" t="s">
        <v>769</v>
      </c>
      <c r="F16" s="142" t="s">
        <v>373</v>
      </c>
      <c r="G16" s="142" t="s">
        <v>81</v>
      </c>
      <c r="H16" s="143">
        <v>27</v>
      </c>
      <c r="I16" s="142">
        <v>33750</v>
      </c>
      <c r="J16" s="142">
        <v>33845</v>
      </c>
      <c r="K16" s="140" t="s">
        <v>158</v>
      </c>
      <c r="L16" s="140" t="s">
        <v>18</v>
      </c>
      <c r="M16" s="144">
        <v>45729</v>
      </c>
      <c r="N16" s="144" t="s">
        <v>96</v>
      </c>
      <c r="O16" s="145" t="s">
        <v>97</v>
      </c>
      <c r="P16" s="144">
        <v>45733</v>
      </c>
      <c r="Q16" s="144">
        <v>45733</v>
      </c>
      <c r="R16" s="144">
        <v>45763</v>
      </c>
      <c r="S16" s="146">
        <v>45967</v>
      </c>
      <c r="T16" s="146">
        <v>45969</v>
      </c>
      <c r="U16" s="146">
        <v>45972</v>
      </c>
      <c r="V16" s="146">
        <v>45981</v>
      </c>
      <c r="W16" s="147">
        <v>45983</v>
      </c>
      <c r="X16" s="147">
        <v>45986</v>
      </c>
      <c r="Y16" s="147">
        <v>45986</v>
      </c>
      <c r="Z16" s="147">
        <v>45986</v>
      </c>
      <c r="AA16" s="147">
        <v>45986</v>
      </c>
      <c r="AB16" s="147">
        <v>45987</v>
      </c>
      <c r="AC16" s="148" t="s">
        <v>251</v>
      </c>
      <c r="AD16" s="98">
        <f t="shared" ref="AD16:AD24" si="22">MAX(0,X16-W16)</f>
        <v>3</v>
      </c>
      <c r="AE16" s="7">
        <v>7</v>
      </c>
      <c r="AF16" s="8">
        <f t="shared" ref="AF16:AF24" si="23">MAX(0,AD16-AE16)</f>
        <v>0</v>
      </c>
      <c r="AG16" s="9">
        <v>200</v>
      </c>
      <c r="AH16" s="10">
        <f t="shared" ref="AH16:AH24" si="24">MAX(0,AF16*AG16)</f>
        <v>0</v>
      </c>
      <c r="AI16" s="98">
        <f t="shared" ref="AI16:AI19" si="25">MAX(0,AB16-AA16)</f>
        <v>1</v>
      </c>
      <c r="AJ16" s="7">
        <v>2</v>
      </c>
      <c r="AK16" s="8">
        <f t="shared" ref="AK16:AK24" si="26">MAX(0,AI16-AJ16)</f>
        <v>0</v>
      </c>
      <c r="AL16" s="9">
        <v>200</v>
      </c>
      <c r="AM16" s="10">
        <f t="shared" si="20"/>
        <v>0</v>
      </c>
      <c r="AN16" s="9">
        <v>0</v>
      </c>
      <c r="AO16" s="11">
        <f t="shared" si="21"/>
        <v>0</v>
      </c>
    </row>
    <row r="17" spans="1:41" s="12" customFormat="1" ht="15" customHeight="1">
      <c r="A17" s="140">
        <f t="shared" si="0"/>
        <v>14</v>
      </c>
      <c r="B17" s="140">
        <v>696048438</v>
      </c>
      <c r="C17" s="141" t="s">
        <v>751</v>
      </c>
      <c r="D17" s="141" t="s">
        <v>757</v>
      </c>
      <c r="E17" s="142" t="s">
        <v>762</v>
      </c>
      <c r="F17" s="142" t="s">
        <v>373</v>
      </c>
      <c r="G17" s="142" t="s">
        <v>81</v>
      </c>
      <c r="H17" s="143">
        <v>28</v>
      </c>
      <c r="I17" s="142">
        <v>35000</v>
      </c>
      <c r="J17" s="142">
        <v>35070</v>
      </c>
      <c r="K17" s="140" t="s">
        <v>158</v>
      </c>
      <c r="L17" s="140" t="s">
        <v>18</v>
      </c>
      <c r="M17" s="144">
        <v>45729</v>
      </c>
      <c r="N17" s="144" t="s">
        <v>96</v>
      </c>
      <c r="O17" s="145" t="s">
        <v>97</v>
      </c>
      <c r="P17" s="144">
        <v>45733</v>
      </c>
      <c r="Q17" s="144">
        <v>45733</v>
      </c>
      <c r="R17" s="144">
        <v>45763</v>
      </c>
      <c r="S17" s="146">
        <v>45969</v>
      </c>
      <c r="T17" s="146">
        <v>45969</v>
      </c>
      <c r="U17" s="146">
        <v>45972</v>
      </c>
      <c r="V17" s="146">
        <v>45979</v>
      </c>
      <c r="W17" s="146">
        <v>45981</v>
      </c>
      <c r="X17" s="146">
        <v>45984</v>
      </c>
      <c r="Y17" s="146">
        <v>45984</v>
      </c>
      <c r="Z17" s="146">
        <v>45984</v>
      </c>
      <c r="AA17" s="146">
        <v>45985</v>
      </c>
      <c r="AB17" s="146">
        <v>45987</v>
      </c>
      <c r="AC17" s="148" t="s">
        <v>251</v>
      </c>
      <c r="AD17" s="98">
        <f t="shared" si="22"/>
        <v>3</v>
      </c>
      <c r="AE17" s="7">
        <v>7</v>
      </c>
      <c r="AF17" s="8">
        <f t="shared" si="23"/>
        <v>0</v>
      </c>
      <c r="AG17" s="9">
        <v>200</v>
      </c>
      <c r="AH17" s="10">
        <f t="shared" si="24"/>
        <v>0</v>
      </c>
      <c r="AI17" s="98">
        <f t="shared" si="25"/>
        <v>2</v>
      </c>
      <c r="AJ17" s="15">
        <v>2</v>
      </c>
      <c r="AK17" s="16">
        <f t="shared" si="26"/>
        <v>0</v>
      </c>
      <c r="AL17" s="17">
        <v>200</v>
      </c>
      <c r="AM17" s="10">
        <f t="shared" ref="AM17:AM24" si="27">MAX(0,AK17*AL17)</f>
        <v>0</v>
      </c>
      <c r="AN17" s="9">
        <v>0</v>
      </c>
      <c r="AO17" s="11">
        <f t="shared" ref="AO17:AO24" si="28">AN17+AM17+AH17</f>
        <v>0</v>
      </c>
    </row>
    <row r="18" spans="1:41" s="12" customFormat="1" ht="15" customHeight="1">
      <c r="A18" s="140">
        <f t="shared" si="0"/>
        <v>15</v>
      </c>
      <c r="B18" s="140">
        <v>696048438</v>
      </c>
      <c r="C18" s="141" t="s">
        <v>748</v>
      </c>
      <c r="D18" s="141" t="s">
        <v>753</v>
      </c>
      <c r="E18" s="140" t="s">
        <v>759</v>
      </c>
      <c r="F18" s="142" t="s">
        <v>373</v>
      </c>
      <c r="G18" s="142" t="s">
        <v>81</v>
      </c>
      <c r="H18" s="143">
        <v>29</v>
      </c>
      <c r="I18" s="142">
        <v>36250</v>
      </c>
      <c r="J18" s="142">
        <v>36323</v>
      </c>
      <c r="K18" s="140" t="s">
        <v>158</v>
      </c>
      <c r="L18" s="140" t="s">
        <v>18</v>
      </c>
      <c r="M18" s="144">
        <v>45729</v>
      </c>
      <c r="N18" s="144" t="s">
        <v>96</v>
      </c>
      <c r="O18" s="145" t="s">
        <v>97</v>
      </c>
      <c r="P18" s="144">
        <v>45733</v>
      </c>
      <c r="Q18" s="144">
        <v>45733</v>
      </c>
      <c r="R18" s="144">
        <v>45763</v>
      </c>
      <c r="S18" s="146">
        <v>45969</v>
      </c>
      <c r="T18" s="146">
        <v>45969</v>
      </c>
      <c r="U18" s="146">
        <v>45972</v>
      </c>
      <c r="V18" s="146">
        <v>45978</v>
      </c>
      <c r="W18" s="146">
        <v>45981</v>
      </c>
      <c r="X18" s="146">
        <v>45984</v>
      </c>
      <c r="Y18" s="146">
        <v>45984</v>
      </c>
      <c r="Z18" s="146">
        <v>45984</v>
      </c>
      <c r="AA18" s="146">
        <v>45985</v>
      </c>
      <c r="AB18" s="146">
        <v>45987</v>
      </c>
      <c r="AC18" s="148" t="s">
        <v>251</v>
      </c>
      <c r="AD18" s="98">
        <f t="shared" si="22"/>
        <v>3</v>
      </c>
      <c r="AE18" s="7">
        <v>7</v>
      </c>
      <c r="AF18" s="8">
        <f t="shared" si="23"/>
        <v>0</v>
      </c>
      <c r="AG18" s="9">
        <v>200</v>
      </c>
      <c r="AH18" s="10">
        <f t="shared" si="24"/>
        <v>0</v>
      </c>
      <c r="AI18" s="98">
        <f t="shared" si="25"/>
        <v>2</v>
      </c>
      <c r="AJ18" s="15">
        <v>2</v>
      </c>
      <c r="AK18" s="16">
        <f t="shared" si="26"/>
        <v>0</v>
      </c>
      <c r="AL18" s="17">
        <v>200</v>
      </c>
      <c r="AM18" s="10">
        <f t="shared" si="27"/>
        <v>0</v>
      </c>
      <c r="AN18" s="9">
        <v>0</v>
      </c>
      <c r="AO18" s="11">
        <f t="shared" si="28"/>
        <v>0</v>
      </c>
    </row>
    <row r="19" spans="1:41" s="12" customFormat="1" ht="14.25" customHeight="1">
      <c r="A19" s="140">
        <f t="shared" si="0"/>
        <v>16</v>
      </c>
      <c r="B19" s="140">
        <v>696048438</v>
      </c>
      <c r="C19" s="141" t="s">
        <v>723</v>
      </c>
      <c r="D19" s="141" t="s">
        <v>742</v>
      </c>
      <c r="E19" s="140" t="s">
        <v>734</v>
      </c>
      <c r="F19" s="142" t="s">
        <v>373</v>
      </c>
      <c r="G19" s="142" t="s">
        <v>81</v>
      </c>
      <c r="H19" s="143">
        <v>27</v>
      </c>
      <c r="I19" s="142">
        <v>33750</v>
      </c>
      <c r="J19" s="142">
        <v>33845</v>
      </c>
      <c r="K19" s="140" t="s">
        <v>158</v>
      </c>
      <c r="L19" s="140" t="s">
        <v>18</v>
      </c>
      <c r="M19" s="144">
        <v>45729</v>
      </c>
      <c r="N19" s="144" t="s">
        <v>96</v>
      </c>
      <c r="O19" s="145" t="s">
        <v>97</v>
      </c>
      <c r="P19" s="144">
        <v>45733</v>
      </c>
      <c r="Q19" s="144">
        <v>45733</v>
      </c>
      <c r="R19" s="144">
        <v>45763</v>
      </c>
      <c r="S19" s="146">
        <v>45958</v>
      </c>
      <c r="T19" s="146">
        <v>45958</v>
      </c>
      <c r="U19" s="147">
        <v>45969</v>
      </c>
      <c r="V19" s="147">
        <v>45981</v>
      </c>
      <c r="W19" s="147">
        <v>45983</v>
      </c>
      <c r="X19" s="147">
        <v>45986</v>
      </c>
      <c r="Y19" s="147">
        <v>45986</v>
      </c>
      <c r="Z19" s="147">
        <v>45986</v>
      </c>
      <c r="AA19" s="147">
        <v>45986</v>
      </c>
      <c r="AB19" s="147">
        <v>45987</v>
      </c>
      <c r="AC19" s="148" t="s">
        <v>251</v>
      </c>
      <c r="AD19" s="98">
        <f t="shared" si="22"/>
        <v>3</v>
      </c>
      <c r="AE19" s="7">
        <v>7</v>
      </c>
      <c r="AF19" s="8">
        <f t="shared" si="23"/>
        <v>0</v>
      </c>
      <c r="AG19" s="9">
        <v>200</v>
      </c>
      <c r="AH19" s="10">
        <f t="shared" si="24"/>
        <v>0</v>
      </c>
      <c r="AI19" s="98">
        <f t="shared" si="25"/>
        <v>1</v>
      </c>
      <c r="AJ19" s="15">
        <v>2</v>
      </c>
      <c r="AK19" s="16">
        <f t="shared" si="26"/>
        <v>0</v>
      </c>
      <c r="AL19" s="17">
        <v>200</v>
      </c>
      <c r="AM19" s="10">
        <f t="shared" si="27"/>
        <v>0</v>
      </c>
      <c r="AN19" s="9">
        <v>0</v>
      </c>
      <c r="AO19" s="11">
        <f t="shared" si="28"/>
        <v>0</v>
      </c>
    </row>
    <row r="20" spans="1:41" s="12" customFormat="1" ht="15" customHeight="1">
      <c r="A20" s="140">
        <f t="shared" si="0"/>
        <v>17</v>
      </c>
      <c r="B20" s="140">
        <v>696048438</v>
      </c>
      <c r="C20" s="141" t="s">
        <v>764</v>
      </c>
      <c r="D20" s="141" t="s">
        <v>770</v>
      </c>
      <c r="E20" s="151" t="s">
        <v>768</v>
      </c>
      <c r="F20" s="142" t="s">
        <v>373</v>
      </c>
      <c r="G20" s="142" t="s">
        <v>81</v>
      </c>
      <c r="H20" s="143">
        <v>28</v>
      </c>
      <c r="I20" s="142">
        <v>35000</v>
      </c>
      <c r="J20" s="142">
        <v>35070</v>
      </c>
      <c r="K20" s="140" t="s">
        <v>158</v>
      </c>
      <c r="L20" s="140" t="s">
        <v>18</v>
      </c>
      <c r="M20" s="144">
        <v>45729</v>
      </c>
      <c r="N20" s="144" t="s">
        <v>96</v>
      </c>
      <c r="O20" s="145" t="s">
        <v>97</v>
      </c>
      <c r="P20" s="144">
        <v>45733</v>
      </c>
      <c r="Q20" s="144">
        <v>45733</v>
      </c>
      <c r="R20" s="144">
        <v>45763</v>
      </c>
      <c r="S20" s="146">
        <v>45967</v>
      </c>
      <c r="T20" s="146">
        <v>45969</v>
      </c>
      <c r="U20" s="146">
        <v>45972</v>
      </c>
      <c r="V20" s="146">
        <v>45977</v>
      </c>
      <c r="W20" s="146">
        <v>45980</v>
      </c>
      <c r="X20" s="146">
        <v>45984</v>
      </c>
      <c r="Y20" s="146">
        <v>45984</v>
      </c>
      <c r="Z20" s="146">
        <v>45985</v>
      </c>
      <c r="AA20" s="146">
        <v>45985</v>
      </c>
      <c r="AB20" s="146">
        <v>45986</v>
      </c>
      <c r="AC20" s="148" t="s">
        <v>251</v>
      </c>
      <c r="AD20" s="98">
        <f t="shared" si="22"/>
        <v>4</v>
      </c>
      <c r="AE20" s="7">
        <v>7</v>
      </c>
      <c r="AF20" s="8">
        <f t="shared" si="23"/>
        <v>0</v>
      </c>
      <c r="AG20" s="9">
        <v>200</v>
      </c>
      <c r="AH20" s="10">
        <f t="shared" si="24"/>
        <v>0</v>
      </c>
      <c r="AI20" s="98">
        <f t="shared" ref="AI20:AI27" si="29">MAX(0,AB20-AA20)</f>
        <v>1</v>
      </c>
      <c r="AJ20" s="15">
        <v>2</v>
      </c>
      <c r="AK20" s="16">
        <f t="shared" si="26"/>
        <v>0</v>
      </c>
      <c r="AL20" s="17">
        <v>200</v>
      </c>
      <c r="AM20" s="10">
        <f t="shared" si="27"/>
        <v>0</v>
      </c>
      <c r="AN20" s="9">
        <v>0</v>
      </c>
      <c r="AO20" s="11">
        <f t="shared" si="28"/>
        <v>0</v>
      </c>
    </row>
    <row r="21" spans="1:41" s="12" customFormat="1" ht="15" customHeight="1">
      <c r="A21" s="140">
        <f t="shared" si="0"/>
        <v>18</v>
      </c>
      <c r="B21" s="140">
        <v>696048438</v>
      </c>
      <c r="C21" s="141" t="s">
        <v>749</v>
      </c>
      <c r="D21" s="141" t="s">
        <v>754</v>
      </c>
      <c r="E21" s="140" t="s">
        <v>760</v>
      </c>
      <c r="F21" s="142" t="s">
        <v>373</v>
      </c>
      <c r="G21" s="142" t="s">
        <v>81</v>
      </c>
      <c r="H21" s="143">
        <v>27</v>
      </c>
      <c r="I21" s="142">
        <v>33750</v>
      </c>
      <c r="J21" s="142">
        <v>33845</v>
      </c>
      <c r="K21" s="140" t="s">
        <v>158</v>
      </c>
      <c r="L21" s="140" t="s">
        <v>18</v>
      </c>
      <c r="M21" s="144">
        <v>45729</v>
      </c>
      <c r="N21" s="144" t="s">
        <v>96</v>
      </c>
      <c r="O21" s="145" t="s">
        <v>97</v>
      </c>
      <c r="P21" s="144">
        <v>45733</v>
      </c>
      <c r="Q21" s="144">
        <v>45733</v>
      </c>
      <c r="R21" s="144">
        <v>45763</v>
      </c>
      <c r="S21" s="146">
        <v>45969</v>
      </c>
      <c r="T21" s="146">
        <v>45969</v>
      </c>
      <c r="U21" s="146">
        <v>45977</v>
      </c>
      <c r="V21" s="146">
        <v>45978</v>
      </c>
      <c r="W21" s="146">
        <v>45981</v>
      </c>
      <c r="X21" s="146">
        <v>45984</v>
      </c>
      <c r="Y21" s="146">
        <v>45984</v>
      </c>
      <c r="Z21" s="146">
        <v>45984</v>
      </c>
      <c r="AA21" s="146">
        <v>45985</v>
      </c>
      <c r="AB21" s="146">
        <v>45986</v>
      </c>
      <c r="AC21" s="148" t="s">
        <v>251</v>
      </c>
      <c r="AD21" s="98">
        <f t="shared" si="22"/>
        <v>3</v>
      </c>
      <c r="AE21" s="7">
        <v>7</v>
      </c>
      <c r="AF21" s="8">
        <f t="shared" si="23"/>
        <v>0</v>
      </c>
      <c r="AG21" s="9">
        <v>200</v>
      </c>
      <c r="AH21" s="10">
        <f t="shared" si="24"/>
        <v>0</v>
      </c>
      <c r="AI21" s="98">
        <f t="shared" si="29"/>
        <v>1</v>
      </c>
      <c r="AJ21" s="7">
        <v>2</v>
      </c>
      <c r="AK21" s="8">
        <f t="shared" si="26"/>
        <v>0</v>
      </c>
      <c r="AL21" s="9">
        <v>200</v>
      </c>
      <c r="AM21" s="10">
        <f t="shared" si="27"/>
        <v>0</v>
      </c>
      <c r="AN21" s="9">
        <v>0</v>
      </c>
      <c r="AO21" s="11">
        <f t="shared" si="28"/>
        <v>0</v>
      </c>
    </row>
    <row r="22" spans="1:41" s="12" customFormat="1" ht="15" customHeight="1">
      <c r="A22" s="140">
        <f t="shared" si="0"/>
        <v>19</v>
      </c>
      <c r="B22" s="140">
        <v>696048438</v>
      </c>
      <c r="C22" s="141" t="s">
        <v>405</v>
      </c>
      <c r="D22" s="141" t="s">
        <v>756</v>
      </c>
      <c r="E22" s="142" t="s">
        <v>407</v>
      </c>
      <c r="F22" s="142" t="s">
        <v>373</v>
      </c>
      <c r="G22" s="142" t="s">
        <v>81</v>
      </c>
      <c r="H22" s="143">
        <v>28</v>
      </c>
      <c r="I22" s="142">
        <v>35000</v>
      </c>
      <c r="J22" s="142">
        <v>35070</v>
      </c>
      <c r="K22" s="140" t="s">
        <v>158</v>
      </c>
      <c r="L22" s="140" t="s">
        <v>18</v>
      </c>
      <c r="M22" s="144">
        <v>45729</v>
      </c>
      <c r="N22" s="144" t="s">
        <v>96</v>
      </c>
      <c r="O22" s="145" t="s">
        <v>97</v>
      </c>
      <c r="P22" s="144">
        <v>45733</v>
      </c>
      <c r="Q22" s="144">
        <v>45733</v>
      </c>
      <c r="R22" s="144">
        <v>45763</v>
      </c>
      <c r="S22" s="146">
        <v>45969</v>
      </c>
      <c r="T22" s="146">
        <v>45969</v>
      </c>
      <c r="U22" s="146">
        <v>45972</v>
      </c>
      <c r="V22" s="146">
        <v>45979</v>
      </c>
      <c r="W22" s="146">
        <v>45982</v>
      </c>
      <c r="X22" s="146">
        <v>45984</v>
      </c>
      <c r="Y22" s="146">
        <v>45984</v>
      </c>
      <c r="Z22" s="146">
        <v>45984</v>
      </c>
      <c r="AA22" s="146">
        <v>45985</v>
      </c>
      <c r="AB22" s="146">
        <v>45986</v>
      </c>
      <c r="AC22" s="148" t="s">
        <v>251</v>
      </c>
      <c r="AD22" s="98">
        <f t="shared" si="22"/>
        <v>2</v>
      </c>
      <c r="AE22" s="7">
        <v>7</v>
      </c>
      <c r="AF22" s="8">
        <f t="shared" si="23"/>
        <v>0</v>
      </c>
      <c r="AG22" s="9">
        <v>200</v>
      </c>
      <c r="AH22" s="10">
        <f t="shared" si="24"/>
        <v>0</v>
      </c>
      <c r="AI22" s="98">
        <f t="shared" si="29"/>
        <v>1</v>
      </c>
      <c r="AJ22" s="7">
        <v>2</v>
      </c>
      <c r="AK22" s="8">
        <f t="shared" si="26"/>
        <v>0</v>
      </c>
      <c r="AL22" s="9">
        <v>200</v>
      </c>
      <c r="AM22" s="10">
        <f t="shared" si="27"/>
        <v>0</v>
      </c>
      <c r="AN22" s="9">
        <v>0</v>
      </c>
      <c r="AO22" s="11">
        <f t="shared" si="28"/>
        <v>0</v>
      </c>
    </row>
    <row r="23" spans="1:41" s="12" customFormat="1" ht="15" customHeight="1">
      <c r="A23" s="140">
        <f t="shared" si="0"/>
        <v>20</v>
      </c>
      <c r="B23" s="140">
        <v>696048438</v>
      </c>
      <c r="C23" s="141" t="s">
        <v>750</v>
      </c>
      <c r="D23" s="141" t="s">
        <v>755</v>
      </c>
      <c r="E23" s="142" t="s">
        <v>761</v>
      </c>
      <c r="F23" s="142" t="s">
        <v>373</v>
      </c>
      <c r="G23" s="142" t="s">
        <v>81</v>
      </c>
      <c r="H23" s="143">
        <v>29</v>
      </c>
      <c r="I23" s="142">
        <v>36250</v>
      </c>
      <c r="J23" s="142">
        <v>36323</v>
      </c>
      <c r="K23" s="140" t="s">
        <v>158</v>
      </c>
      <c r="L23" s="140" t="s">
        <v>18</v>
      </c>
      <c r="M23" s="144">
        <v>45729</v>
      </c>
      <c r="N23" s="144" t="s">
        <v>96</v>
      </c>
      <c r="O23" s="145" t="s">
        <v>97</v>
      </c>
      <c r="P23" s="144">
        <v>45733</v>
      </c>
      <c r="Q23" s="144">
        <v>45733</v>
      </c>
      <c r="R23" s="144">
        <v>45763</v>
      </c>
      <c r="S23" s="146">
        <v>45969</v>
      </c>
      <c r="T23" s="146">
        <v>45969</v>
      </c>
      <c r="U23" s="146">
        <v>45972</v>
      </c>
      <c r="V23" s="146">
        <v>45979</v>
      </c>
      <c r="W23" s="146">
        <v>45982</v>
      </c>
      <c r="X23" s="146">
        <v>45984</v>
      </c>
      <c r="Y23" s="146">
        <v>45984</v>
      </c>
      <c r="Z23" s="146">
        <v>45984</v>
      </c>
      <c r="AA23" s="146">
        <v>45985</v>
      </c>
      <c r="AB23" s="146">
        <v>45986</v>
      </c>
      <c r="AC23" s="148" t="s">
        <v>251</v>
      </c>
      <c r="AD23" s="98">
        <f t="shared" si="22"/>
        <v>2</v>
      </c>
      <c r="AE23" s="7">
        <v>7</v>
      </c>
      <c r="AF23" s="8">
        <f t="shared" si="23"/>
        <v>0</v>
      </c>
      <c r="AG23" s="9">
        <v>200</v>
      </c>
      <c r="AH23" s="10">
        <f t="shared" si="24"/>
        <v>0</v>
      </c>
      <c r="AI23" s="98">
        <f t="shared" si="29"/>
        <v>1</v>
      </c>
      <c r="AJ23" s="15">
        <v>2</v>
      </c>
      <c r="AK23" s="16">
        <f t="shared" si="26"/>
        <v>0</v>
      </c>
      <c r="AL23" s="17">
        <v>200</v>
      </c>
      <c r="AM23" s="10">
        <f t="shared" si="27"/>
        <v>0</v>
      </c>
      <c r="AN23" s="9">
        <v>0</v>
      </c>
      <c r="AO23" s="11">
        <f t="shared" si="28"/>
        <v>0</v>
      </c>
    </row>
    <row r="24" spans="1:41" s="12" customFormat="1" ht="15" customHeight="1">
      <c r="A24" s="140">
        <f t="shared" si="0"/>
        <v>21</v>
      </c>
      <c r="B24" s="140">
        <v>696048438</v>
      </c>
      <c r="C24" s="141" t="s">
        <v>730</v>
      </c>
      <c r="D24" s="141" t="s">
        <v>733</v>
      </c>
      <c r="E24" s="142" t="s">
        <v>741</v>
      </c>
      <c r="F24" s="142" t="s">
        <v>373</v>
      </c>
      <c r="G24" s="142" t="s">
        <v>81</v>
      </c>
      <c r="H24" s="143">
        <v>24</v>
      </c>
      <c r="I24" s="142">
        <v>30000</v>
      </c>
      <c r="J24" s="142">
        <v>30084</v>
      </c>
      <c r="K24" s="140" t="s">
        <v>158</v>
      </c>
      <c r="L24" s="140" t="s">
        <v>18</v>
      </c>
      <c r="M24" s="144">
        <v>45729</v>
      </c>
      <c r="N24" s="144" t="s">
        <v>96</v>
      </c>
      <c r="O24" s="145" t="s">
        <v>97</v>
      </c>
      <c r="P24" s="144">
        <v>45733</v>
      </c>
      <c r="Q24" s="144">
        <v>45733</v>
      </c>
      <c r="R24" s="144">
        <v>45763</v>
      </c>
      <c r="S24" s="146">
        <v>45958</v>
      </c>
      <c r="T24" s="146">
        <v>45958</v>
      </c>
      <c r="U24" s="147">
        <v>45969</v>
      </c>
      <c r="V24" s="147">
        <v>45975</v>
      </c>
      <c r="W24" s="147">
        <v>45978</v>
      </c>
      <c r="X24" s="147">
        <v>45983</v>
      </c>
      <c r="Y24" s="147">
        <v>45983</v>
      </c>
      <c r="Z24" s="147">
        <v>45984</v>
      </c>
      <c r="AA24" s="147">
        <v>45984</v>
      </c>
      <c r="AB24" s="147">
        <v>45985</v>
      </c>
      <c r="AC24" s="148" t="s">
        <v>251</v>
      </c>
      <c r="AD24" s="98">
        <f t="shared" si="22"/>
        <v>5</v>
      </c>
      <c r="AE24" s="7">
        <v>7</v>
      </c>
      <c r="AF24" s="8">
        <f t="shared" si="23"/>
        <v>0</v>
      </c>
      <c r="AG24" s="9">
        <v>200</v>
      </c>
      <c r="AH24" s="10">
        <f t="shared" si="24"/>
        <v>0</v>
      </c>
      <c r="AI24" s="98">
        <f t="shared" si="29"/>
        <v>1</v>
      </c>
      <c r="AJ24" s="7">
        <v>2</v>
      </c>
      <c r="AK24" s="8">
        <f t="shared" si="26"/>
        <v>0</v>
      </c>
      <c r="AL24" s="9">
        <v>200</v>
      </c>
      <c r="AM24" s="10">
        <f t="shared" si="27"/>
        <v>0</v>
      </c>
      <c r="AN24" s="9">
        <v>0</v>
      </c>
      <c r="AO24" s="11">
        <f t="shared" si="28"/>
        <v>0</v>
      </c>
    </row>
    <row r="25" spans="1:41" s="12" customFormat="1" ht="14.25" customHeight="1">
      <c r="A25" s="140">
        <f t="shared" si="0"/>
        <v>22</v>
      </c>
      <c r="B25" s="140">
        <v>696048438</v>
      </c>
      <c r="C25" s="141" t="s">
        <v>725</v>
      </c>
      <c r="D25" s="141" t="s">
        <v>743</v>
      </c>
      <c r="E25" s="140" t="s">
        <v>736</v>
      </c>
      <c r="F25" s="142" t="s">
        <v>373</v>
      </c>
      <c r="G25" s="142" t="s">
        <v>81</v>
      </c>
      <c r="H25" s="143">
        <v>29</v>
      </c>
      <c r="I25" s="142">
        <v>36250</v>
      </c>
      <c r="J25" s="142">
        <v>36323</v>
      </c>
      <c r="K25" s="140" t="s">
        <v>158</v>
      </c>
      <c r="L25" s="140" t="s">
        <v>18</v>
      </c>
      <c r="M25" s="144">
        <v>45729</v>
      </c>
      <c r="N25" s="144" t="s">
        <v>96</v>
      </c>
      <c r="O25" s="145" t="s">
        <v>97</v>
      </c>
      <c r="P25" s="144">
        <v>45733</v>
      </c>
      <c r="Q25" s="144">
        <v>45733</v>
      </c>
      <c r="R25" s="144">
        <v>45763</v>
      </c>
      <c r="S25" s="146">
        <v>45958</v>
      </c>
      <c r="T25" s="146">
        <v>45958</v>
      </c>
      <c r="U25" s="147">
        <v>45969</v>
      </c>
      <c r="V25" s="147">
        <v>45965</v>
      </c>
      <c r="W25" s="147">
        <v>45978</v>
      </c>
      <c r="X25" s="147">
        <v>45980</v>
      </c>
      <c r="Y25" s="147">
        <v>45980</v>
      </c>
      <c r="Z25" s="147">
        <v>45982</v>
      </c>
      <c r="AA25" s="147">
        <v>45982</v>
      </c>
      <c r="AB25" s="147">
        <v>45983</v>
      </c>
      <c r="AC25" s="148" t="s">
        <v>251</v>
      </c>
      <c r="AD25" s="98">
        <f t="shared" ref="AD25:AD33" si="30">MAX(0,X25-W25)</f>
        <v>2</v>
      </c>
      <c r="AE25" s="7">
        <v>7</v>
      </c>
      <c r="AF25" s="8">
        <f t="shared" ref="AF25:AF33" si="31">MAX(0,AD25-AE25)</f>
        <v>0</v>
      </c>
      <c r="AG25" s="9">
        <v>200</v>
      </c>
      <c r="AH25" s="10">
        <f t="shared" ref="AH25:AH33" si="32">MAX(0,AF25*AG25)</f>
        <v>0</v>
      </c>
      <c r="AI25" s="98">
        <f t="shared" si="29"/>
        <v>1</v>
      </c>
      <c r="AJ25" s="15">
        <v>2</v>
      </c>
      <c r="AK25" s="16">
        <f t="shared" ref="AK25:AK33" si="33">MAX(0,AI25-AJ25)</f>
        <v>0</v>
      </c>
      <c r="AL25" s="17">
        <v>200</v>
      </c>
      <c r="AM25" s="10">
        <f t="shared" ref="AM25:AM33" si="34">MAX(0,AK25*AL25)</f>
        <v>0</v>
      </c>
      <c r="AN25" s="9">
        <v>0</v>
      </c>
      <c r="AO25" s="11">
        <f t="shared" ref="AO25:AO33" si="35">AN25+AM25+AH25</f>
        <v>0</v>
      </c>
    </row>
    <row r="26" spans="1:41" s="12" customFormat="1" ht="16.5" customHeight="1">
      <c r="A26" s="140">
        <f t="shared" si="0"/>
        <v>23</v>
      </c>
      <c r="B26" s="140">
        <v>696048438</v>
      </c>
      <c r="C26" s="141" t="s">
        <v>728</v>
      </c>
      <c r="D26" s="141" t="s">
        <v>745</v>
      </c>
      <c r="E26" s="140" t="s">
        <v>739</v>
      </c>
      <c r="F26" s="142" t="s">
        <v>373</v>
      </c>
      <c r="G26" s="142" t="s">
        <v>81</v>
      </c>
      <c r="H26" s="143">
        <v>28</v>
      </c>
      <c r="I26" s="142">
        <v>35000</v>
      </c>
      <c r="J26" s="142">
        <v>35070</v>
      </c>
      <c r="K26" s="140" t="s">
        <v>158</v>
      </c>
      <c r="L26" s="140" t="s">
        <v>18</v>
      </c>
      <c r="M26" s="144">
        <v>45729</v>
      </c>
      <c r="N26" s="144" t="s">
        <v>96</v>
      </c>
      <c r="O26" s="145" t="s">
        <v>97</v>
      </c>
      <c r="P26" s="144">
        <v>45733</v>
      </c>
      <c r="Q26" s="144">
        <v>45733</v>
      </c>
      <c r="R26" s="144">
        <v>45763</v>
      </c>
      <c r="S26" s="146">
        <v>45958</v>
      </c>
      <c r="T26" s="146">
        <v>45958</v>
      </c>
      <c r="U26" s="147">
        <v>45969</v>
      </c>
      <c r="V26" s="147">
        <v>45972</v>
      </c>
      <c r="W26" s="147">
        <v>45974</v>
      </c>
      <c r="X26" s="147">
        <v>45976</v>
      </c>
      <c r="Y26" s="147">
        <v>45976</v>
      </c>
      <c r="Z26" s="147">
        <v>45978</v>
      </c>
      <c r="AA26" s="147">
        <v>45981</v>
      </c>
      <c r="AB26" s="147">
        <v>45983</v>
      </c>
      <c r="AC26" s="148" t="s">
        <v>251</v>
      </c>
      <c r="AD26" s="98">
        <f t="shared" si="30"/>
        <v>2</v>
      </c>
      <c r="AE26" s="7">
        <v>7</v>
      </c>
      <c r="AF26" s="8">
        <f t="shared" si="31"/>
        <v>0</v>
      </c>
      <c r="AG26" s="9">
        <v>200</v>
      </c>
      <c r="AH26" s="10">
        <f t="shared" si="32"/>
        <v>0</v>
      </c>
      <c r="AI26" s="98">
        <f t="shared" si="29"/>
        <v>2</v>
      </c>
      <c r="AJ26" s="7">
        <v>2</v>
      </c>
      <c r="AK26" s="8">
        <f t="shared" si="33"/>
        <v>0</v>
      </c>
      <c r="AL26" s="9">
        <v>200</v>
      </c>
      <c r="AM26" s="10">
        <f t="shared" si="34"/>
        <v>0</v>
      </c>
      <c r="AN26" s="9">
        <v>0</v>
      </c>
      <c r="AO26" s="11">
        <f t="shared" si="35"/>
        <v>0</v>
      </c>
    </row>
    <row r="27" spans="1:41" s="12" customFormat="1" ht="15" customHeight="1">
      <c r="A27" s="140">
        <f t="shared" si="0"/>
        <v>24</v>
      </c>
      <c r="B27" s="140">
        <v>696048438</v>
      </c>
      <c r="C27" s="141" t="s">
        <v>729</v>
      </c>
      <c r="D27" s="141" t="s">
        <v>746</v>
      </c>
      <c r="E27" s="140" t="s">
        <v>740</v>
      </c>
      <c r="F27" s="142" t="s">
        <v>373</v>
      </c>
      <c r="G27" s="142" t="s">
        <v>81</v>
      </c>
      <c r="H27" s="143">
        <v>28</v>
      </c>
      <c r="I27" s="142">
        <v>35000</v>
      </c>
      <c r="J27" s="142">
        <v>35070</v>
      </c>
      <c r="K27" s="140" t="s">
        <v>158</v>
      </c>
      <c r="L27" s="140" t="s">
        <v>18</v>
      </c>
      <c r="M27" s="144">
        <v>45729</v>
      </c>
      <c r="N27" s="144" t="s">
        <v>96</v>
      </c>
      <c r="O27" s="145" t="s">
        <v>97</v>
      </c>
      <c r="P27" s="144">
        <v>45733</v>
      </c>
      <c r="Q27" s="144">
        <v>45733</v>
      </c>
      <c r="R27" s="144">
        <v>45763</v>
      </c>
      <c r="S27" s="146">
        <v>45958</v>
      </c>
      <c r="T27" s="146">
        <v>45958</v>
      </c>
      <c r="U27" s="147">
        <v>45969</v>
      </c>
      <c r="V27" s="147">
        <v>45972</v>
      </c>
      <c r="W27" s="147">
        <v>45974</v>
      </c>
      <c r="X27" s="147">
        <v>45976</v>
      </c>
      <c r="Y27" s="147">
        <v>45976</v>
      </c>
      <c r="Z27" s="147">
        <v>45978</v>
      </c>
      <c r="AA27" s="147">
        <v>45981</v>
      </c>
      <c r="AB27" s="147">
        <v>45983</v>
      </c>
      <c r="AC27" s="148" t="s">
        <v>251</v>
      </c>
      <c r="AD27" s="98">
        <f t="shared" si="30"/>
        <v>2</v>
      </c>
      <c r="AE27" s="7">
        <v>7</v>
      </c>
      <c r="AF27" s="8">
        <f t="shared" si="31"/>
        <v>0</v>
      </c>
      <c r="AG27" s="9">
        <v>200</v>
      </c>
      <c r="AH27" s="10">
        <f t="shared" si="32"/>
        <v>0</v>
      </c>
      <c r="AI27" s="98">
        <f t="shared" si="29"/>
        <v>2</v>
      </c>
      <c r="AJ27" s="15">
        <v>2</v>
      </c>
      <c r="AK27" s="16">
        <f t="shared" si="33"/>
        <v>0</v>
      </c>
      <c r="AL27" s="17">
        <v>200</v>
      </c>
      <c r="AM27" s="10">
        <f t="shared" si="34"/>
        <v>0</v>
      </c>
      <c r="AN27" s="9">
        <v>0</v>
      </c>
      <c r="AO27" s="11">
        <f t="shared" si="35"/>
        <v>0</v>
      </c>
    </row>
    <row r="28" spans="1:41" s="1" customFormat="1">
      <c r="A28" s="140">
        <f t="shared" si="0"/>
        <v>25</v>
      </c>
      <c r="B28" s="140">
        <v>696048438</v>
      </c>
      <c r="C28" s="141" t="s">
        <v>256</v>
      </c>
      <c r="D28" s="150" t="s">
        <v>265</v>
      </c>
      <c r="E28" s="150" t="s">
        <v>274</v>
      </c>
      <c r="F28" s="142" t="s">
        <v>373</v>
      </c>
      <c r="G28" s="142" t="s">
        <v>81</v>
      </c>
      <c r="H28" s="140">
        <v>29</v>
      </c>
      <c r="I28" s="142">
        <v>36250</v>
      </c>
      <c r="J28" s="142">
        <v>36323</v>
      </c>
      <c r="K28" s="140" t="s">
        <v>158</v>
      </c>
      <c r="L28" s="140" t="s">
        <v>18</v>
      </c>
      <c r="M28" s="144">
        <v>45729</v>
      </c>
      <c r="N28" s="144" t="s">
        <v>96</v>
      </c>
      <c r="O28" s="145" t="s">
        <v>97</v>
      </c>
      <c r="P28" s="144">
        <v>45733</v>
      </c>
      <c r="Q28" s="144">
        <v>45733</v>
      </c>
      <c r="R28" s="144">
        <v>45763</v>
      </c>
      <c r="S28" s="147">
        <v>45947</v>
      </c>
      <c r="T28" s="147">
        <v>45948</v>
      </c>
      <c r="U28" s="147">
        <v>45952</v>
      </c>
      <c r="V28" s="147">
        <v>45968</v>
      </c>
      <c r="W28" s="147">
        <v>45970</v>
      </c>
      <c r="X28" s="147">
        <v>45974</v>
      </c>
      <c r="Y28" s="147">
        <v>45974</v>
      </c>
      <c r="Z28" s="147">
        <v>45975</v>
      </c>
      <c r="AA28" s="147">
        <v>45981</v>
      </c>
      <c r="AB28" s="147">
        <v>45983</v>
      </c>
      <c r="AC28" s="148" t="s">
        <v>251</v>
      </c>
      <c r="AD28" s="98">
        <f t="shared" si="30"/>
        <v>4</v>
      </c>
      <c r="AE28" s="7">
        <v>7</v>
      </c>
      <c r="AF28" s="8">
        <f t="shared" si="31"/>
        <v>0</v>
      </c>
      <c r="AG28" s="9">
        <v>200</v>
      </c>
      <c r="AH28" s="10">
        <f t="shared" si="32"/>
        <v>0</v>
      </c>
      <c r="AI28" s="98">
        <f>MAX(0,AB28-Y28)</f>
        <v>9</v>
      </c>
      <c r="AJ28" s="7">
        <v>2</v>
      </c>
      <c r="AK28" s="8">
        <f t="shared" si="33"/>
        <v>7</v>
      </c>
      <c r="AL28" s="9">
        <v>200</v>
      </c>
      <c r="AM28" s="10">
        <f t="shared" si="34"/>
        <v>1400</v>
      </c>
      <c r="AN28" s="9">
        <v>0</v>
      </c>
      <c r="AO28" s="11">
        <f t="shared" si="35"/>
        <v>1400</v>
      </c>
    </row>
    <row r="29" spans="1:41" s="12" customFormat="1" ht="15" customHeight="1">
      <c r="A29" s="140">
        <f t="shared" si="0"/>
        <v>26</v>
      </c>
      <c r="B29" s="140">
        <v>696048438</v>
      </c>
      <c r="C29" s="140" t="s">
        <v>310</v>
      </c>
      <c r="D29" s="140" t="s">
        <v>318</v>
      </c>
      <c r="E29" s="140" t="s">
        <v>320</v>
      </c>
      <c r="F29" s="142" t="s">
        <v>373</v>
      </c>
      <c r="G29" s="142" t="s">
        <v>81</v>
      </c>
      <c r="H29" s="143">
        <v>29</v>
      </c>
      <c r="I29" s="142">
        <v>36250</v>
      </c>
      <c r="J29" s="142">
        <v>36323</v>
      </c>
      <c r="K29" s="140" t="s">
        <v>158</v>
      </c>
      <c r="L29" s="140" t="s">
        <v>18</v>
      </c>
      <c r="M29" s="144">
        <v>45729</v>
      </c>
      <c r="N29" s="144" t="s">
        <v>96</v>
      </c>
      <c r="O29" s="145" t="s">
        <v>97</v>
      </c>
      <c r="P29" s="144">
        <v>45733</v>
      </c>
      <c r="Q29" s="144">
        <v>45733</v>
      </c>
      <c r="R29" s="144">
        <v>45763</v>
      </c>
      <c r="S29" s="146">
        <v>45953</v>
      </c>
      <c r="T29" s="147">
        <v>45954</v>
      </c>
      <c r="U29" s="147">
        <v>45965</v>
      </c>
      <c r="V29" s="147">
        <v>45967</v>
      </c>
      <c r="W29" s="147">
        <v>45970</v>
      </c>
      <c r="X29" s="147">
        <v>45974</v>
      </c>
      <c r="Y29" s="147">
        <v>45974</v>
      </c>
      <c r="Z29" s="147">
        <v>45975</v>
      </c>
      <c r="AA29" s="147">
        <v>45981</v>
      </c>
      <c r="AB29" s="147">
        <v>45983</v>
      </c>
      <c r="AC29" s="148" t="s">
        <v>251</v>
      </c>
      <c r="AD29" s="98">
        <f t="shared" si="30"/>
        <v>4</v>
      </c>
      <c r="AE29" s="7">
        <v>7</v>
      </c>
      <c r="AF29" s="8">
        <f t="shared" si="31"/>
        <v>0</v>
      </c>
      <c r="AG29" s="9">
        <v>200</v>
      </c>
      <c r="AH29" s="10">
        <f t="shared" si="32"/>
        <v>0</v>
      </c>
      <c r="AI29" s="98">
        <f>MAX(0,AB29-Y29)</f>
        <v>9</v>
      </c>
      <c r="AJ29" s="7">
        <v>2</v>
      </c>
      <c r="AK29" s="8">
        <f t="shared" si="33"/>
        <v>7</v>
      </c>
      <c r="AL29" s="9">
        <v>200</v>
      </c>
      <c r="AM29" s="10">
        <f t="shared" si="34"/>
        <v>1400</v>
      </c>
      <c r="AN29" s="9">
        <v>0</v>
      </c>
      <c r="AO29" s="11">
        <f t="shared" si="35"/>
        <v>1400</v>
      </c>
    </row>
    <row r="30" spans="1:41" s="12" customFormat="1" ht="15" customHeight="1">
      <c r="A30" s="140">
        <f t="shared" si="0"/>
        <v>27</v>
      </c>
      <c r="B30" s="140">
        <v>696048438</v>
      </c>
      <c r="C30" s="140" t="s">
        <v>311</v>
      </c>
      <c r="D30" s="140" t="s">
        <v>329</v>
      </c>
      <c r="E30" s="140" t="s">
        <v>321</v>
      </c>
      <c r="F30" s="142" t="s">
        <v>373</v>
      </c>
      <c r="G30" s="142" t="s">
        <v>81</v>
      </c>
      <c r="H30" s="143">
        <v>28</v>
      </c>
      <c r="I30" s="142">
        <v>35000</v>
      </c>
      <c r="J30" s="142">
        <v>35070</v>
      </c>
      <c r="K30" s="140" t="s">
        <v>158</v>
      </c>
      <c r="L30" s="140" t="s">
        <v>18</v>
      </c>
      <c r="M30" s="144">
        <v>45729</v>
      </c>
      <c r="N30" s="144" t="s">
        <v>96</v>
      </c>
      <c r="O30" s="145" t="s">
        <v>97</v>
      </c>
      <c r="P30" s="144">
        <v>45733</v>
      </c>
      <c r="Q30" s="144">
        <v>45733</v>
      </c>
      <c r="R30" s="144">
        <v>45763</v>
      </c>
      <c r="S30" s="146">
        <v>45953</v>
      </c>
      <c r="T30" s="147">
        <v>45954</v>
      </c>
      <c r="U30" s="147">
        <v>45965</v>
      </c>
      <c r="V30" s="147">
        <v>45971</v>
      </c>
      <c r="W30" s="147">
        <v>45973</v>
      </c>
      <c r="X30" s="147">
        <v>45975</v>
      </c>
      <c r="Y30" s="147">
        <v>45975</v>
      </c>
      <c r="Z30" s="147">
        <v>45976</v>
      </c>
      <c r="AA30" s="147">
        <v>45981</v>
      </c>
      <c r="AB30" s="147">
        <v>45983</v>
      </c>
      <c r="AC30" s="148" t="s">
        <v>251</v>
      </c>
      <c r="AD30" s="98">
        <f t="shared" si="30"/>
        <v>2</v>
      </c>
      <c r="AE30" s="7">
        <v>7</v>
      </c>
      <c r="AF30" s="8">
        <f t="shared" si="31"/>
        <v>0</v>
      </c>
      <c r="AG30" s="9">
        <v>200</v>
      </c>
      <c r="AH30" s="10">
        <f t="shared" si="32"/>
        <v>0</v>
      </c>
      <c r="AI30" s="98">
        <f>MAX(0,AB30-AA30)</f>
        <v>2</v>
      </c>
      <c r="AJ30" s="7">
        <v>2</v>
      </c>
      <c r="AK30" s="8">
        <f t="shared" si="33"/>
        <v>0</v>
      </c>
      <c r="AL30" s="9">
        <v>200</v>
      </c>
      <c r="AM30" s="10">
        <f t="shared" si="34"/>
        <v>0</v>
      </c>
      <c r="AN30" s="9">
        <v>0</v>
      </c>
      <c r="AO30" s="11">
        <f t="shared" si="35"/>
        <v>0</v>
      </c>
    </row>
    <row r="31" spans="1:41" s="12" customFormat="1" ht="18.75" customHeight="1">
      <c r="A31" s="140">
        <f t="shared" si="0"/>
        <v>28</v>
      </c>
      <c r="B31" s="140">
        <v>696048438</v>
      </c>
      <c r="C31" s="140" t="s">
        <v>312</v>
      </c>
      <c r="D31" s="140" t="s">
        <v>330</v>
      </c>
      <c r="E31" s="142" t="s">
        <v>322</v>
      </c>
      <c r="F31" s="142" t="s">
        <v>373</v>
      </c>
      <c r="G31" s="142" t="s">
        <v>81</v>
      </c>
      <c r="H31" s="143">
        <v>28</v>
      </c>
      <c r="I31" s="142">
        <v>35000</v>
      </c>
      <c r="J31" s="142">
        <v>35070</v>
      </c>
      <c r="K31" s="140" t="s">
        <v>158</v>
      </c>
      <c r="L31" s="140" t="s">
        <v>18</v>
      </c>
      <c r="M31" s="144">
        <v>45729</v>
      </c>
      <c r="N31" s="144" t="s">
        <v>96</v>
      </c>
      <c r="O31" s="145" t="s">
        <v>97</v>
      </c>
      <c r="P31" s="144">
        <v>45733</v>
      </c>
      <c r="Q31" s="144">
        <v>45733</v>
      </c>
      <c r="R31" s="144">
        <v>45763</v>
      </c>
      <c r="S31" s="146">
        <v>45953</v>
      </c>
      <c r="T31" s="147">
        <v>45954</v>
      </c>
      <c r="U31" s="147">
        <v>45969</v>
      </c>
      <c r="V31" s="147">
        <v>45972</v>
      </c>
      <c r="W31" s="147">
        <v>45974</v>
      </c>
      <c r="X31" s="147">
        <v>45976</v>
      </c>
      <c r="Y31" s="147">
        <v>45976</v>
      </c>
      <c r="Z31" s="147">
        <v>45978</v>
      </c>
      <c r="AA31" s="147">
        <v>45981</v>
      </c>
      <c r="AB31" s="147">
        <v>45983</v>
      </c>
      <c r="AC31" s="148" t="s">
        <v>251</v>
      </c>
      <c r="AD31" s="98">
        <f t="shared" si="30"/>
        <v>2</v>
      </c>
      <c r="AE31" s="7">
        <v>7</v>
      </c>
      <c r="AF31" s="8">
        <f t="shared" si="31"/>
        <v>0</v>
      </c>
      <c r="AG31" s="9">
        <v>200</v>
      </c>
      <c r="AH31" s="10">
        <f t="shared" si="32"/>
        <v>0</v>
      </c>
      <c r="AI31" s="98">
        <f>MAX(0,AB31-AA31)</f>
        <v>2</v>
      </c>
      <c r="AJ31" s="15">
        <v>2</v>
      </c>
      <c r="AK31" s="16">
        <f t="shared" si="33"/>
        <v>0</v>
      </c>
      <c r="AL31" s="17">
        <v>200</v>
      </c>
      <c r="AM31" s="10">
        <f t="shared" si="34"/>
        <v>0</v>
      </c>
      <c r="AN31" s="9">
        <v>0</v>
      </c>
      <c r="AO31" s="11">
        <f t="shared" si="35"/>
        <v>0</v>
      </c>
    </row>
    <row r="32" spans="1:41" s="12" customFormat="1" ht="15" customHeight="1">
      <c r="A32" s="140">
        <f t="shared" si="0"/>
        <v>29</v>
      </c>
      <c r="B32" s="140">
        <v>696048438</v>
      </c>
      <c r="C32" s="141" t="s">
        <v>726</v>
      </c>
      <c r="D32" s="141" t="s">
        <v>732</v>
      </c>
      <c r="E32" s="142" t="s">
        <v>737</v>
      </c>
      <c r="F32" s="142" t="s">
        <v>373</v>
      </c>
      <c r="G32" s="142" t="s">
        <v>81</v>
      </c>
      <c r="H32" s="143">
        <v>29</v>
      </c>
      <c r="I32" s="142">
        <v>36250</v>
      </c>
      <c r="J32" s="142">
        <v>36323</v>
      </c>
      <c r="K32" s="140" t="s">
        <v>158</v>
      </c>
      <c r="L32" s="140" t="s">
        <v>18</v>
      </c>
      <c r="M32" s="144">
        <v>45729</v>
      </c>
      <c r="N32" s="144" t="s">
        <v>96</v>
      </c>
      <c r="O32" s="145" t="s">
        <v>97</v>
      </c>
      <c r="P32" s="144">
        <v>45733</v>
      </c>
      <c r="Q32" s="144">
        <v>45733</v>
      </c>
      <c r="R32" s="144">
        <v>45763</v>
      </c>
      <c r="S32" s="146">
        <v>45958</v>
      </c>
      <c r="T32" s="146">
        <v>45958</v>
      </c>
      <c r="U32" s="147">
        <v>45969</v>
      </c>
      <c r="V32" s="147">
        <v>45972</v>
      </c>
      <c r="W32" s="147">
        <v>45974</v>
      </c>
      <c r="X32" s="147">
        <v>45976</v>
      </c>
      <c r="Y32" s="147">
        <v>45976</v>
      </c>
      <c r="Z32" s="147">
        <v>45978</v>
      </c>
      <c r="AA32" s="147">
        <v>45978</v>
      </c>
      <c r="AB32" s="147">
        <v>45980</v>
      </c>
      <c r="AC32" s="148" t="s">
        <v>251</v>
      </c>
      <c r="AD32" s="98">
        <f t="shared" si="30"/>
        <v>2</v>
      </c>
      <c r="AE32" s="7">
        <v>7</v>
      </c>
      <c r="AF32" s="8">
        <f t="shared" si="31"/>
        <v>0</v>
      </c>
      <c r="AG32" s="9">
        <v>200</v>
      </c>
      <c r="AH32" s="10">
        <f t="shared" si="32"/>
        <v>0</v>
      </c>
      <c r="AI32" s="98">
        <f>MAX(0,AB32-AA32)</f>
        <v>2</v>
      </c>
      <c r="AJ32" s="7">
        <v>2</v>
      </c>
      <c r="AK32" s="8">
        <f t="shared" si="33"/>
        <v>0</v>
      </c>
      <c r="AL32" s="9">
        <v>200</v>
      </c>
      <c r="AM32" s="10">
        <f t="shared" si="34"/>
        <v>0</v>
      </c>
      <c r="AN32" s="9">
        <v>0</v>
      </c>
      <c r="AO32" s="11">
        <f t="shared" si="35"/>
        <v>0</v>
      </c>
    </row>
    <row r="33" spans="1:41" s="12" customFormat="1" ht="15" customHeight="1">
      <c r="A33" s="140">
        <f t="shared" si="0"/>
        <v>30</v>
      </c>
      <c r="B33" s="140">
        <v>696048438</v>
      </c>
      <c r="C33" s="141" t="s">
        <v>727</v>
      </c>
      <c r="D33" s="141" t="s">
        <v>744</v>
      </c>
      <c r="E33" s="150" t="s">
        <v>738</v>
      </c>
      <c r="F33" s="142" t="s">
        <v>373</v>
      </c>
      <c r="G33" s="142" t="s">
        <v>81</v>
      </c>
      <c r="H33" s="143">
        <v>28</v>
      </c>
      <c r="I33" s="142">
        <v>35000</v>
      </c>
      <c r="J33" s="142">
        <v>35070</v>
      </c>
      <c r="K33" s="140" t="s">
        <v>158</v>
      </c>
      <c r="L33" s="140" t="s">
        <v>18</v>
      </c>
      <c r="M33" s="144">
        <v>45729</v>
      </c>
      <c r="N33" s="144" t="s">
        <v>96</v>
      </c>
      <c r="O33" s="145" t="s">
        <v>97</v>
      </c>
      <c r="P33" s="144">
        <v>45733</v>
      </c>
      <c r="Q33" s="144">
        <v>45733</v>
      </c>
      <c r="R33" s="144">
        <v>45763</v>
      </c>
      <c r="S33" s="146">
        <v>45958</v>
      </c>
      <c r="T33" s="146">
        <v>45958</v>
      </c>
      <c r="U33" s="147">
        <v>45969</v>
      </c>
      <c r="V33" s="147">
        <v>45972</v>
      </c>
      <c r="W33" s="147">
        <v>45974</v>
      </c>
      <c r="X33" s="147">
        <v>45976</v>
      </c>
      <c r="Y33" s="147">
        <v>45976</v>
      </c>
      <c r="Z33" s="147">
        <v>45978</v>
      </c>
      <c r="AA33" s="147">
        <v>45978</v>
      </c>
      <c r="AB33" s="147">
        <v>45979</v>
      </c>
      <c r="AC33" s="148" t="s">
        <v>251</v>
      </c>
      <c r="AD33" s="98">
        <f t="shared" si="30"/>
        <v>2</v>
      </c>
      <c r="AE33" s="7">
        <v>7</v>
      </c>
      <c r="AF33" s="8">
        <f t="shared" si="31"/>
        <v>0</v>
      </c>
      <c r="AG33" s="9">
        <v>200</v>
      </c>
      <c r="AH33" s="10">
        <f t="shared" si="32"/>
        <v>0</v>
      </c>
      <c r="AI33" s="98">
        <f>MAX(0,AB33-AA33)</f>
        <v>1</v>
      </c>
      <c r="AJ33" s="15">
        <v>2</v>
      </c>
      <c r="AK33" s="16">
        <f t="shared" si="33"/>
        <v>0</v>
      </c>
      <c r="AL33" s="17">
        <v>200</v>
      </c>
      <c r="AM33" s="10">
        <f t="shared" si="34"/>
        <v>0</v>
      </c>
      <c r="AN33" s="9">
        <v>0</v>
      </c>
      <c r="AO33" s="11">
        <f t="shared" si="35"/>
        <v>0</v>
      </c>
    </row>
    <row r="34" spans="1:41" s="1" customFormat="1" thickBot="1">
      <c r="B34" s="106"/>
      <c r="C34" s="106"/>
      <c r="D34" s="107"/>
      <c r="E34" s="106"/>
      <c r="F34" s="106"/>
      <c r="G34" s="106"/>
      <c r="AH34" s="105"/>
    </row>
    <row r="35" spans="1:41" s="1" customFormat="1" thickBot="1">
      <c r="B35" s="106"/>
      <c r="C35" s="106"/>
      <c r="D35" s="107"/>
      <c r="E35" s="106"/>
      <c r="F35" s="106"/>
      <c r="G35" s="106"/>
      <c r="AH35" s="105"/>
    </row>
    <row r="36" spans="1:41" s="1" customFormat="1" thickBot="1">
      <c r="B36" s="106"/>
      <c r="C36" s="106"/>
      <c r="D36" s="107"/>
      <c r="E36" s="106"/>
      <c r="F36" s="106"/>
      <c r="G36" s="106"/>
      <c r="AH36" s="105"/>
    </row>
    <row r="37" spans="1:41" s="1" customFormat="1" thickBot="1">
      <c r="B37" s="108"/>
      <c r="C37" s="108"/>
      <c r="D37" s="109"/>
      <c r="E37" s="108"/>
      <c r="F37" s="108"/>
      <c r="G37" s="108"/>
      <c r="AH37" s="105"/>
    </row>
    <row r="38" spans="1:41" s="1" customFormat="1" thickBot="1">
      <c r="B38" s="106"/>
      <c r="C38" s="106"/>
      <c r="D38" s="107"/>
      <c r="E38" s="106"/>
      <c r="F38" s="106"/>
      <c r="G38" s="106"/>
      <c r="AH38" s="105"/>
    </row>
    <row r="39" spans="1:41" s="1" customFormat="1" thickBot="1">
      <c r="B39" s="106"/>
      <c r="C39" s="106"/>
      <c r="D39" s="107"/>
      <c r="E39" s="106"/>
      <c r="F39" s="106"/>
      <c r="G39" s="106"/>
      <c r="AH39" s="105"/>
    </row>
    <row r="40" spans="1:41" s="1" customFormat="1" thickBot="1">
      <c r="B40" s="106"/>
      <c r="C40" s="106"/>
      <c r="D40" s="107"/>
      <c r="E40" s="106"/>
      <c r="F40" s="106"/>
      <c r="G40" s="106"/>
      <c r="AH40" s="105"/>
    </row>
    <row r="41" spans="1:41" s="1" customFormat="1" thickBot="1">
      <c r="B41" s="106"/>
      <c r="C41" s="106"/>
      <c r="D41" s="107"/>
      <c r="E41" s="106"/>
      <c r="F41" s="106"/>
      <c r="G41" s="106"/>
      <c r="AH41" s="105"/>
    </row>
    <row r="42" spans="1:41" s="1" customFormat="1" thickBot="1">
      <c r="B42" s="108"/>
      <c r="C42" s="108"/>
      <c r="D42" s="109"/>
      <c r="E42" s="108"/>
      <c r="F42" s="108"/>
      <c r="G42" s="108"/>
      <c r="AH42" s="105"/>
    </row>
    <row r="43" spans="1:41" s="1" customFormat="1" thickBot="1">
      <c r="B43" s="106"/>
      <c r="C43" s="106"/>
      <c r="D43" s="107"/>
      <c r="E43" s="106"/>
      <c r="F43" s="106"/>
      <c r="G43" s="106"/>
      <c r="AH43" s="105"/>
    </row>
    <row r="44" spans="1:41" s="1" customFormat="1" thickBot="1">
      <c r="B44" s="106"/>
      <c r="C44" s="106"/>
      <c r="D44" s="107"/>
      <c r="E44" s="106"/>
      <c r="F44" s="106"/>
      <c r="G44" s="106"/>
      <c r="AH44" s="105"/>
    </row>
    <row r="45" spans="1:41" s="1" customFormat="1" thickBot="1">
      <c r="B45" s="106"/>
      <c r="C45" s="106"/>
      <c r="D45" s="107"/>
      <c r="E45" s="106"/>
      <c r="F45" s="106"/>
      <c r="G45" s="106"/>
      <c r="AH45" s="105"/>
    </row>
    <row r="46" spans="1:41" s="1" customFormat="1" thickBot="1">
      <c r="B46" s="106"/>
      <c r="C46" s="106"/>
      <c r="D46" s="107"/>
      <c r="E46" s="106"/>
      <c r="F46" s="106"/>
      <c r="G46" s="106"/>
      <c r="AH46" s="105"/>
    </row>
    <row r="47" spans="1:41" s="1" customFormat="1" thickBot="1">
      <c r="B47" s="106"/>
      <c r="C47" s="106"/>
      <c r="D47" s="107"/>
      <c r="E47" s="106"/>
      <c r="F47" s="106"/>
      <c r="G47" s="106"/>
      <c r="AH47" s="105"/>
    </row>
    <row r="48" spans="1:41" s="1" customFormat="1" thickBot="1">
      <c r="B48" s="106"/>
      <c r="C48" s="106"/>
      <c r="D48" s="107"/>
      <c r="E48" s="106"/>
      <c r="F48" s="106"/>
      <c r="G48" s="106"/>
      <c r="AH48" s="105"/>
    </row>
    <row r="49" spans="2:34" s="1" customFormat="1" thickBot="1">
      <c r="B49" s="106"/>
      <c r="C49" s="106"/>
      <c r="D49" s="107"/>
      <c r="E49" s="106"/>
      <c r="F49" s="106"/>
      <c r="G49" s="106"/>
      <c r="AH49" s="105"/>
    </row>
    <row r="50" spans="2:34" s="1" customFormat="1" thickBot="1">
      <c r="B50" s="106"/>
      <c r="C50" s="106"/>
      <c r="D50" s="107"/>
      <c r="E50" s="106"/>
      <c r="F50" s="106"/>
      <c r="G50" s="106"/>
      <c r="AH50" s="105"/>
    </row>
    <row r="51" spans="2:34" s="1" customFormat="1" thickBot="1">
      <c r="B51" s="106"/>
      <c r="C51" s="106"/>
      <c r="D51" s="107"/>
      <c r="E51" s="106"/>
      <c r="F51" s="106"/>
      <c r="G51" s="106"/>
      <c r="AH51" s="105"/>
    </row>
    <row r="52" spans="2:34" s="1" customFormat="1" thickBot="1">
      <c r="B52" s="106"/>
      <c r="C52" s="106"/>
      <c r="D52" s="107"/>
      <c r="E52" s="106"/>
      <c r="F52" s="106"/>
      <c r="G52" s="106"/>
      <c r="AH52" s="105"/>
    </row>
    <row r="53" spans="2:34" s="1" customFormat="1" thickBot="1">
      <c r="B53" s="106"/>
      <c r="C53" s="106"/>
      <c r="D53" s="107"/>
      <c r="E53" s="106"/>
      <c r="F53" s="106"/>
      <c r="G53" s="106"/>
      <c r="AH53" s="105"/>
    </row>
    <row r="54" spans="2:34" s="1" customFormat="1" thickBot="1">
      <c r="B54" s="106"/>
      <c r="C54" s="106"/>
      <c r="D54" s="107"/>
      <c r="E54" s="106"/>
      <c r="F54" s="106"/>
      <c r="G54" s="106"/>
      <c r="AH54" s="105"/>
    </row>
    <row r="55" spans="2:34" s="1" customFormat="1" thickBot="1">
      <c r="B55" s="106"/>
      <c r="C55" s="106"/>
      <c r="D55" s="107"/>
      <c r="E55" s="106"/>
      <c r="F55" s="106"/>
      <c r="G55" s="106"/>
      <c r="AH55" s="105"/>
    </row>
    <row r="56" spans="2:34" s="1" customFormat="1" thickBot="1">
      <c r="B56" s="106"/>
      <c r="C56" s="106"/>
      <c r="D56" s="107"/>
      <c r="E56" s="106"/>
      <c r="F56" s="106"/>
      <c r="G56" s="106"/>
      <c r="AH56" s="105"/>
    </row>
    <row r="57" spans="2:34" s="1" customFormat="1" thickBot="1">
      <c r="B57" s="108"/>
      <c r="C57" s="108"/>
      <c r="D57" s="109"/>
      <c r="E57" s="108"/>
      <c r="F57" s="108"/>
      <c r="G57" s="108"/>
      <c r="AH57" s="105"/>
    </row>
    <row r="58" spans="2:34" s="1" customFormat="1" thickBot="1">
      <c r="B58" s="106"/>
      <c r="C58" s="106"/>
      <c r="D58" s="107"/>
      <c r="E58" s="106"/>
      <c r="F58" s="106"/>
      <c r="G58" s="106"/>
      <c r="AH58" s="105"/>
    </row>
    <row r="59" spans="2:34" s="1" customFormat="1" thickBot="1">
      <c r="B59" s="106"/>
      <c r="C59" s="106"/>
      <c r="D59" s="107"/>
      <c r="E59" s="106"/>
      <c r="F59" s="106"/>
      <c r="G59" s="106"/>
      <c r="AH59" s="105"/>
    </row>
    <row r="60" spans="2:34" s="1" customFormat="1" thickBot="1">
      <c r="B60" s="106"/>
      <c r="C60" s="106"/>
      <c r="D60" s="107"/>
      <c r="E60" s="106"/>
      <c r="F60" s="106"/>
      <c r="G60" s="106"/>
      <c r="AH60" s="105"/>
    </row>
    <row r="61" spans="2:34" s="1" customFormat="1" thickBot="1">
      <c r="B61" s="108"/>
      <c r="C61" s="108"/>
      <c r="D61" s="109"/>
      <c r="E61" s="108"/>
      <c r="F61" s="108"/>
      <c r="G61" s="108"/>
      <c r="AH61" s="105"/>
    </row>
    <row r="62" spans="2:34" s="1" customFormat="1" thickBot="1">
      <c r="B62" s="106"/>
      <c r="C62" s="106"/>
      <c r="D62" s="107"/>
      <c r="E62" s="106"/>
      <c r="F62" s="106"/>
      <c r="G62" s="106"/>
      <c r="AH62" s="105"/>
    </row>
    <row r="63" spans="2:34" s="1" customFormat="1" thickBot="1">
      <c r="B63" s="106"/>
      <c r="C63" s="106"/>
      <c r="D63" s="107"/>
      <c r="E63" s="106"/>
      <c r="F63" s="106"/>
      <c r="G63" s="106"/>
      <c r="AH63" s="105"/>
    </row>
    <row r="64" spans="2:34" s="1" customFormat="1" thickBot="1">
      <c r="B64" s="106"/>
      <c r="C64" s="106"/>
      <c r="D64" s="107"/>
      <c r="E64" s="106"/>
      <c r="F64" s="106"/>
      <c r="G64" s="106"/>
      <c r="AH64" s="105"/>
    </row>
    <row r="65" spans="2:34" s="1" customFormat="1" thickBot="1">
      <c r="B65" s="106"/>
      <c r="C65" s="106"/>
      <c r="D65" s="107"/>
      <c r="E65" s="106"/>
      <c r="F65" s="106"/>
      <c r="G65" s="106"/>
      <c r="AH65" s="105"/>
    </row>
    <row r="66" spans="2:34" s="1" customFormat="1" ht="12.75">
      <c r="C66" s="37"/>
      <c r="AH66" s="105"/>
    </row>
    <row r="67" spans="2:34" s="1" customFormat="1" ht="12.75">
      <c r="C67" s="110"/>
      <c r="AH67" s="105"/>
    </row>
    <row r="68" spans="2:34" s="1" customFormat="1" ht="12.75">
      <c r="C68" s="110"/>
      <c r="AH68" s="105"/>
    </row>
    <row r="69" spans="2:34" s="1" customFormat="1" ht="12.75">
      <c r="C69" s="112"/>
      <c r="AH69" s="105"/>
    </row>
    <row r="70" spans="2:34" s="1" customFormat="1" ht="12.75">
      <c r="C70" s="112"/>
      <c r="AH70" s="105"/>
    </row>
    <row r="71" spans="2:34" s="1" customFormat="1" ht="12.75">
      <c r="C71" s="112"/>
      <c r="AH71" s="105"/>
    </row>
    <row r="72" spans="2:34">
      <c r="C72" s="110"/>
    </row>
    <row r="73" spans="2:34">
      <c r="C73" s="111"/>
    </row>
    <row r="74" spans="2:34">
      <c r="C74" s="111"/>
    </row>
    <row r="75" spans="2:34">
      <c r="C75" s="110"/>
    </row>
    <row r="76" spans="2:34">
      <c r="C76" s="110"/>
    </row>
    <row r="77" spans="2:34">
      <c r="C77" s="110"/>
    </row>
    <row r="78" spans="2:34">
      <c r="C78" s="110"/>
    </row>
    <row r="79" spans="2:34">
      <c r="C79" s="110"/>
    </row>
    <row r="80" spans="2:34">
      <c r="C80" s="110"/>
    </row>
    <row r="81" spans="3:3">
      <c r="C81" s="110"/>
    </row>
    <row r="82" spans="3:3">
      <c r="C82" s="110"/>
    </row>
    <row r="83" spans="3:3">
      <c r="C83" s="110"/>
    </row>
    <row r="84" spans="3:3">
      <c r="C84" s="110"/>
    </row>
    <row r="85" spans="3:3">
      <c r="C85" s="110"/>
    </row>
    <row r="86" spans="3:3">
      <c r="C86" s="110"/>
    </row>
    <row r="87" spans="3:3">
      <c r="C87" s="110"/>
    </row>
    <row r="88" spans="3:3">
      <c r="C88" s="110"/>
    </row>
    <row r="89" spans="3:3">
      <c r="C89" s="110"/>
    </row>
    <row r="90" spans="3:3">
      <c r="C90" s="110"/>
    </row>
    <row r="91" spans="3:3">
      <c r="C91" s="110"/>
    </row>
    <row r="92" spans="3:3">
      <c r="C92" s="110"/>
    </row>
    <row r="93" spans="3:3">
      <c r="C93" s="110"/>
    </row>
    <row r="94" spans="3:3">
      <c r="C94" s="110"/>
    </row>
    <row r="95" spans="3:3">
      <c r="C95" s="110"/>
    </row>
    <row r="96" spans="3:3">
      <c r="C96" s="110"/>
    </row>
    <row r="97" spans="3:3">
      <c r="C97" s="110"/>
    </row>
    <row r="98" spans="3:3">
      <c r="C98" s="110"/>
    </row>
    <row r="99" spans="3:3">
      <c r="C99" s="110"/>
    </row>
    <row r="100" spans="3:3">
      <c r="C100" s="110"/>
    </row>
    <row r="101" spans="3:3">
      <c r="C101" s="110"/>
    </row>
    <row r="102" spans="3:3">
      <c r="C102" s="110"/>
    </row>
    <row r="103" spans="3:3">
      <c r="C103" s="47"/>
    </row>
    <row r="104" spans="3:3">
      <c r="C104" s="110"/>
    </row>
    <row r="105" spans="3:3">
      <c r="C105" s="110"/>
    </row>
    <row r="106" spans="3:3">
      <c r="C106" s="110"/>
    </row>
    <row r="107" spans="3:3">
      <c r="C107" s="110"/>
    </row>
    <row r="108" spans="3:3">
      <c r="C108" s="110"/>
    </row>
    <row r="109" spans="3:3">
      <c r="C109" s="110"/>
    </row>
    <row r="110" spans="3:3">
      <c r="C110" s="110"/>
    </row>
    <row r="111" spans="3:3">
      <c r="C111" s="110"/>
    </row>
    <row r="112" spans="3:3">
      <c r="C112" s="110"/>
    </row>
    <row r="113" spans="3:3">
      <c r="C113" s="110"/>
    </row>
    <row r="114" spans="3:3">
      <c r="C114" s="110"/>
    </row>
    <row r="115" spans="3:3">
      <c r="C115" s="110"/>
    </row>
    <row r="116" spans="3:3">
      <c r="C116" s="110"/>
    </row>
    <row r="117" spans="3:3">
      <c r="C117" s="37"/>
    </row>
    <row r="118" spans="3:3">
      <c r="C118" s="113"/>
    </row>
    <row r="119" spans="3:3">
      <c r="C119" s="110"/>
    </row>
    <row r="120" spans="3:3">
      <c r="C120" s="110"/>
    </row>
    <row r="121" spans="3:3">
      <c r="C121" s="110"/>
    </row>
    <row r="122" spans="3:3">
      <c r="C122" s="110"/>
    </row>
    <row r="123" spans="3:3">
      <c r="C123" s="110"/>
    </row>
    <row r="124" spans="3:3">
      <c r="C124" s="111"/>
    </row>
    <row r="125" spans="3:3">
      <c r="C125" s="110"/>
    </row>
    <row r="126" spans="3:3">
      <c r="C126" s="110"/>
    </row>
    <row r="127" spans="3:3">
      <c r="C127" s="114"/>
    </row>
    <row r="128" spans="3:3">
      <c r="C128" s="110"/>
    </row>
    <row r="129" spans="3:3">
      <c r="C129" s="110"/>
    </row>
    <row r="130" spans="3:3">
      <c r="C130" s="110"/>
    </row>
    <row r="131" spans="3:3">
      <c r="C131" s="110"/>
    </row>
    <row r="132" spans="3:3">
      <c r="C132" s="114"/>
    </row>
    <row r="133" spans="3:3">
      <c r="C133" s="111"/>
    </row>
    <row r="134" spans="3:3">
      <c r="C134" s="110"/>
    </row>
    <row r="135" spans="3:3">
      <c r="C135" s="110"/>
    </row>
    <row r="136" spans="3:3">
      <c r="C136" s="110"/>
    </row>
    <row r="137" spans="3:3">
      <c r="C137" s="110"/>
    </row>
    <row r="138" spans="3:3">
      <c r="C138" s="110"/>
    </row>
    <row r="139" spans="3:3">
      <c r="C139" s="110"/>
    </row>
    <row r="140" spans="3:3">
      <c r="C140" s="110"/>
    </row>
  </sheetData>
  <mergeCells count="3">
    <mergeCell ref="AM1:AO1"/>
    <mergeCell ref="AD2:AG2"/>
    <mergeCell ref="AI2:AL2"/>
  </mergeCells>
  <conditionalFormatting sqref="C4:C33">
    <cfRule type="duplicateValues" dxfId="5661" priority="25745"/>
  </conditionalFormatting>
  <conditionalFormatting sqref="C5">
    <cfRule type="duplicateValues" dxfId="5660" priority="2360"/>
    <cfRule type="duplicateValues" dxfId="5659" priority="2367"/>
    <cfRule type="duplicateValues" dxfId="5658" priority="2362"/>
    <cfRule type="duplicateValues" dxfId="5657" priority="2366"/>
    <cfRule type="duplicateValues" dxfId="5656" priority="2361"/>
    <cfRule type="duplicateValues" dxfId="5655" priority="2363"/>
    <cfRule type="duplicateValues" dxfId="5654" priority="2364"/>
    <cfRule type="duplicateValues" dxfId="5653" priority="2365"/>
  </conditionalFormatting>
  <conditionalFormatting sqref="C8">
    <cfRule type="duplicateValues" dxfId="5652" priority="12"/>
    <cfRule type="duplicateValues" dxfId="5651" priority="13"/>
    <cfRule type="duplicateValues" dxfId="5650" priority="14"/>
    <cfRule type="duplicateValues" dxfId="5649" priority="15"/>
    <cfRule type="duplicateValues" dxfId="5648" priority="16"/>
    <cfRule type="duplicateValues" dxfId="5647" priority="17"/>
    <cfRule type="duplicateValues" dxfId="5646" priority="18"/>
    <cfRule type="duplicateValues" dxfId="5645" priority="19"/>
    <cfRule type="duplicateValues" dxfId="5644" priority="20"/>
    <cfRule type="duplicateValues" dxfId="5643" priority="21"/>
    <cfRule type="duplicateValues" dxfId="5642" priority="22"/>
    <cfRule type="duplicateValues" dxfId="5641" priority="23"/>
    <cfRule type="duplicateValues" dxfId="5640" priority="24"/>
    <cfRule type="duplicateValues" dxfId="5639" priority="25"/>
    <cfRule type="duplicateValues" dxfId="5638" priority="26"/>
    <cfRule type="duplicateValues" dxfId="5637" priority="27"/>
    <cfRule type="duplicateValues" dxfId="5636" priority="28"/>
    <cfRule type="duplicateValues" dxfId="5635" priority="29"/>
    <cfRule type="duplicateValues" dxfId="5634" priority="4"/>
    <cfRule type="duplicateValues" dxfId="5633" priority="5"/>
    <cfRule type="duplicateValues" dxfId="5632" priority="6"/>
    <cfRule type="duplicateValues" dxfId="5631" priority="7"/>
    <cfRule type="duplicateValues" dxfId="5630" priority="8"/>
    <cfRule type="duplicateValues" dxfId="5629" priority="9"/>
    <cfRule type="duplicateValues" dxfId="5628" priority="10"/>
    <cfRule type="duplicateValues" dxfId="5627" priority="11"/>
  </conditionalFormatting>
  <conditionalFormatting sqref="C9 C4 C11">
    <cfRule type="duplicateValues" dxfId="5626" priority="19341"/>
  </conditionalFormatting>
  <conditionalFormatting sqref="C9 C11 C24:C27 C4:C5 C19 C32:C33">
    <cfRule type="duplicateValues" dxfId="5625" priority="24153"/>
  </conditionalFormatting>
  <conditionalFormatting sqref="C9 C141:C1048576 C1:C4 C11">
    <cfRule type="duplicateValues" dxfId="5624" priority="25740"/>
    <cfRule type="duplicateValues" dxfId="5623" priority="25738"/>
    <cfRule type="duplicateValues" dxfId="5622" priority="25737"/>
    <cfRule type="duplicateValues" dxfId="5621" priority="25736"/>
    <cfRule type="duplicateValues" dxfId="5620" priority="25735"/>
    <cfRule type="duplicateValues" dxfId="5619" priority="25734"/>
    <cfRule type="duplicateValues" dxfId="5618" priority="25739"/>
    <cfRule type="duplicateValues" dxfId="5617" priority="25732"/>
    <cfRule type="duplicateValues" dxfId="5616" priority="25731"/>
    <cfRule type="duplicateValues" dxfId="5615" priority="25741"/>
    <cfRule type="duplicateValues" dxfId="5614" priority="25733"/>
  </conditionalFormatting>
  <conditionalFormatting sqref="C9 C141:C1048576 C11 C1:C5 C19 C24:C27 C32:C33">
    <cfRule type="duplicateValues" dxfId="5613" priority="25722"/>
  </conditionalFormatting>
  <conditionalFormatting sqref="C9">
    <cfRule type="duplicateValues" dxfId="5612" priority="2404"/>
    <cfRule type="duplicateValues" dxfId="5611" priority="2403"/>
    <cfRule type="duplicateValues" dxfId="5610" priority="2399"/>
    <cfRule type="duplicateValues" dxfId="5609" priority="2408"/>
    <cfRule type="duplicateValues" dxfId="5608" priority="19332"/>
    <cfRule type="duplicateValues" dxfId="5607" priority="2402"/>
    <cfRule type="duplicateValues" dxfId="5606" priority="2401"/>
    <cfRule type="duplicateValues" dxfId="5605" priority="2400"/>
    <cfRule type="duplicateValues" dxfId="5604" priority="2407"/>
    <cfRule type="duplicateValues" dxfId="5603" priority="2406"/>
    <cfRule type="duplicateValues" dxfId="5602" priority="2405"/>
  </conditionalFormatting>
  <conditionalFormatting sqref="C9:C1048576 C1:C7">
    <cfRule type="duplicateValues" dxfId="5601" priority="26378"/>
  </conditionalFormatting>
  <conditionalFormatting sqref="C10">
    <cfRule type="duplicateValues" dxfId="5600" priority="2199"/>
    <cfRule type="duplicateValues" dxfId="5599" priority="2198"/>
    <cfRule type="duplicateValues" dxfId="5598" priority="2207"/>
    <cfRule type="duplicateValues" dxfId="5597" priority="2197"/>
    <cfRule type="duplicateValues" dxfId="5596" priority="2196"/>
    <cfRule type="duplicateValues" dxfId="5595" priority="2177"/>
    <cfRule type="duplicateValues" dxfId="5594" priority="2176"/>
    <cfRule type="duplicateValues" dxfId="5593" priority="2175"/>
    <cfRule type="duplicateValues" dxfId="5592" priority="2195"/>
    <cfRule type="duplicateValues" dxfId="5591" priority="2194"/>
    <cfRule type="duplicateValues" dxfId="5590" priority="2193"/>
    <cfRule type="duplicateValues" dxfId="5589" priority="2192"/>
    <cfRule type="duplicateValues" dxfId="5588" priority="2191"/>
    <cfRule type="duplicateValues" dxfId="5587" priority="2189"/>
    <cfRule type="duplicateValues" dxfId="5586" priority="2188"/>
    <cfRule type="duplicateValues" dxfId="5585" priority="2187"/>
    <cfRule type="duplicateValues" dxfId="5584" priority="2186"/>
    <cfRule type="duplicateValues" dxfId="5583" priority="2185"/>
    <cfRule type="duplicateValues" dxfId="5582" priority="2184"/>
    <cfRule type="duplicateValues" dxfId="5581" priority="2173"/>
    <cfRule type="duplicateValues" dxfId="5580" priority="2183"/>
    <cfRule type="duplicateValues" dxfId="5579" priority="2174"/>
    <cfRule type="duplicateValues" dxfId="5578" priority="2201"/>
    <cfRule type="duplicateValues" dxfId="5577" priority="2178"/>
    <cfRule type="duplicateValues" dxfId="5576" priority="2206"/>
    <cfRule type="duplicateValues" dxfId="5575" priority="2205"/>
    <cfRule type="duplicateValues" dxfId="5574" priority="2204"/>
    <cfRule type="duplicateValues" dxfId="5573" priority="2203"/>
    <cfRule type="duplicateValues" dxfId="5572" priority="2182"/>
    <cfRule type="duplicateValues" dxfId="5571" priority="2181"/>
    <cfRule type="duplicateValues" dxfId="5570" priority="2180"/>
    <cfRule type="duplicateValues" dxfId="5569" priority="2179"/>
    <cfRule type="duplicateValues" dxfId="5568" priority="2202"/>
    <cfRule type="duplicateValues" dxfId="5567" priority="2208"/>
    <cfRule type="duplicateValues" dxfId="5566" priority="2200"/>
    <cfRule type="duplicateValues" dxfId="5565" priority="2190"/>
  </conditionalFormatting>
  <conditionalFormatting sqref="C11 C4">
    <cfRule type="duplicateValues" dxfId="5564" priority="24638"/>
  </conditionalFormatting>
  <conditionalFormatting sqref="C11">
    <cfRule type="duplicateValues" dxfId="5563" priority="19375"/>
    <cfRule type="duplicateValues" dxfId="5562" priority="19374"/>
    <cfRule type="duplicateValues" dxfId="5561" priority="19386"/>
    <cfRule type="duplicateValues" dxfId="5560" priority="19385"/>
    <cfRule type="duplicateValues" dxfId="5559" priority="19379"/>
    <cfRule type="duplicateValues" dxfId="5558" priority="19384"/>
    <cfRule type="duplicateValues" dxfId="5557" priority="19383"/>
    <cfRule type="duplicateValues" dxfId="5556" priority="19382"/>
    <cfRule type="duplicateValues" dxfId="5555" priority="19370"/>
    <cfRule type="duplicateValues" dxfId="5554" priority="19373"/>
    <cfRule type="duplicateValues" dxfId="5553" priority="19372"/>
    <cfRule type="duplicateValues" dxfId="5552" priority="19371"/>
    <cfRule type="duplicateValues" dxfId="5551" priority="19381"/>
    <cfRule type="duplicateValues" dxfId="5550" priority="19369"/>
    <cfRule type="duplicateValues" dxfId="5549" priority="19368"/>
    <cfRule type="duplicateValues" dxfId="5548" priority="19367"/>
    <cfRule type="duplicateValues" dxfId="5547" priority="19366"/>
    <cfRule type="duplicateValues" dxfId="5546" priority="19365"/>
    <cfRule type="duplicateValues" dxfId="5545" priority="19364"/>
    <cfRule type="duplicateValues" dxfId="5544" priority="19363"/>
    <cfRule type="duplicateValues" dxfId="5543" priority="19361"/>
    <cfRule type="duplicateValues" dxfId="5542" priority="19360"/>
    <cfRule type="duplicateValues" dxfId="5541" priority="19359"/>
    <cfRule type="duplicateValues" dxfId="5540" priority="19358"/>
    <cfRule type="duplicateValues" dxfId="5539" priority="19357"/>
    <cfRule type="duplicateValues" dxfId="5538" priority="19356"/>
    <cfRule type="duplicateValues" dxfId="5537" priority="19355"/>
    <cfRule type="duplicateValues" dxfId="5536" priority="19354"/>
    <cfRule type="duplicateValues" dxfId="5535" priority="19353"/>
    <cfRule type="duplicateValues" dxfId="5534" priority="19352"/>
    <cfRule type="duplicateValues" dxfId="5533" priority="19351"/>
    <cfRule type="duplicateValues" dxfId="5532" priority="19350"/>
    <cfRule type="duplicateValues" dxfId="5531" priority="19349"/>
    <cfRule type="duplicateValues" dxfId="5530" priority="19348"/>
    <cfRule type="duplicateValues" dxfId="5529" priority="19347"/>
    <cfRule type="duplicateValues" dxfId="5528" priority="19346"/>
    <cfRule type="duplicateValues" dxfId="5527" priority="19345"/>
    <cfRule type="duplicateValues" dxfId="5526" priority="19344"/>
    <cfRule type="duplicateValues" dxfId="5525" priority="19380"/>
    <cfRule type="duplicateValues" dxfId="5524" priority="19376"/>
    <cfRule type="duplicateValues" dxfId="5523" priority="19377"/>
    <cfRule type="duplicateValues" dxfId="5522" priority="19378"/>
    <cfRule type="duplicateValues" dxfId="5521" priority="19362"/>
  </conditionalFormatting>
  <conditionalFormatting sqref="C12:C16 C7">
    <cfRule type="duplicateValues" dxfId="5520" priority="24620"/>
    <cfRule type="duplicateValues" dxfId="5519" priority="24633"/>
    <cfRule type="duplicateValues" dxfId="5518" priority="24613"/>
    <cfRule type="duplicateValues" dxfId="5517" priority="24614"/>
    <cfRule type="duplicateValues" dxfId="5516" priority="24615"/>
    <cfRule type="duplicateValues" dxfId="5515" priority="24616"/>
    <cfRule type="duplicateValues" dxfId="5514" priority="24617"/>
    <cfRule type="duplicateValues" dxfId="5513" priority="24618"/>
    <cfRule type="duplicateValues" dxfId="5512" priority="24619"/>
    <cfRule type="duplicateValues" dxfId="5511" priority="24626"/>
    <cfRule type="duplicateValues" dxfId="5510" priority="24634"/>
    <cfRule type="duplicateValues" dxfId="5509" priority="24621"/>
    <cfRule type="duplicateValues" dxfId="5508" priority="24622"/>
    <cfRule type="duplicateValues" dxfId="5507" priority="24623"/>
    <cfRule type="duplicateValues" dxfId="5506" priority="24612"/>
    <cfRule type="duplicateValues" dxfId="5505" priority="24635"/>
    <cfRule type="duplicateValues" dxfId="5504" priority="24624"/>
    <cfRule type="duplicateValues" dxfId="5503" priority="24625"/>
    <cfRule type="duplicateValues" dxfId="5502" priority="24627"/>
    <cfRule type="duplicateValues" dxfId="5501" priority="24628"/>
    <cfRule type="duplicateValues" dxfId="5500" priority="24629"/>
    <cfRule type="duplicateValues" dxfId="5499" priority="24630"/>
    <cfRule type="duplicateValues" dxfId="5498" priority="24631"/>
    <cfRule type="duplicateValues" dxfId="5497" priority="24632"/>
  </conditionalFormatting>
  <conditionalFormatting sqref="C17">
    <cfRule type="duplicateValues" dxfId="5496" priority="2110"/>
  </conditionalFormatting>
  <conditionalFormatting sqref="C18">
    <cfRule type="duplicateValues" dxfId="5495" priority="2217"/>
    <cfRule type="duplicateValues" dxfId="5494" priority="2209"/>
    <cfRule type="duplicateValues" dxfId="5493" priority="2218"/>
    <cfRule type="duplicateValues" dxfId="5492" priority="2210"/>
    <cfRule type="duplicateValues" dxfId="5491" priority="2211"/>
    <cfRule type="duplicateValues" dxfId="5490" priority="2212"/>
    <cfRule type="duplicateValues" dxfId="5489" priority="2213"/>
    <cfRule type="duplicateValues" dxfId="5488" priority="2214"/>
    <cfRule type="duplicateValues" dxfId="5487" priority="2215"/>
    <cfRule type="duplicateValues" dxfId="5486" priority="2216"/>
  </conditionalFormatting>
  <conditionalFormatting sqref="C19">
    <cfRule type="duplicateValues" dxfId="5485" priority="2368"/>
  </conditionalFormatting>
  <conditionalFormatting sqref="C20">
    <cfRule type="duplicateValues" dxfId="5484" priority="2068"/>
    <cfRule type="duplicateValues" dxfId="5483" priority="2061"/>
    <cfRule type="duplicateValues" dxfId="5482" priority="2075"/>
    <cfRule type="duplicateValues" dxfId="5481" priority="2074"/>
    <cfRule type="duplicateValues" dxfId="5480" priority="2073"/>
    <cfRule type="duplicateValues" dxfId="5479" priority="2072"/>
    <cfRule type="duplicateValues" dxfId="5478" priority="2071"/>
    <cfRule type="duplicateValues" dxfId="5477" priority="2070"/>
    <cfRule type="duplicateValues" dxfId="5476" priority="2064"/>
    <cfRule type="duplicateValues" dxfId="5475" priority="2062"/>
    <cfRule type="duplicateValues" dxfId="5474" priority="2065"/>
    <cfRule type="duplicateValues" dxfId="5473" priority="2066"/>
    <cfRule type="duplicateValues" dxfId="5472" priority="2067"/>
    <cfRule type="duplicateValues" dxfId="5471" priority="2079"/>
    <cfRule type="duplicateValues" dxfId="5470" priority="2078"/>
    <cfRule type="duplicateValues" dxfId="5469" priority="2077"/>
    <cfRule type="duplicateValues" dxfId="5468" priority="2081"/>
    <cfRule type="duplicateValues" dxfId="5467" priority="2082"/>
    <cfRule type="duplicateValues" dxfId="5466" priority="2083"/>
    <cfRule type="duplicateValues" dxfId="5465" priority="2084"/>
    <cfRule type="duplicateValues" dxfId="5464" priority="2085"/>
    <cfRule type="duplicateValues" dxfId="5463" priority="2086"/>
    <cfRule type="duplicateValues" dxfId="5462" priority="2087"/>
    <cfRule type="duplicateValues" dxfId="5461" priority="2063"/>
    <cfRule type="duplicateValues" dxfId="5460" priority="2080"/>
    <cfRule type="duplicateValues" dxfId="5459" priority="2088"/>
    <cfRule type="duplicateValues" dxfId="5458" priority="2089"/>
    <cfRule type="duplicateValues" dxfId="5457" priority="2090"/>
    <cfRule type="duplicateValues" dxfId="5456" priority="2069"/>
    <cfRule type="duplicateValues" dxfId="5455" priority="2076"/>
    <cfRule type="duplicateValues" dxfId="5454" priority="2091"/>
    <cfRule type="duplicateValues" dxfId="5453" priority="2092"/>
    <cfRule type="duplicateValues" dxfId="5452" priority="2093"/>
    <cfRule type="duplicateValues" dxfId="5451" priority="2094"/>
    <cfRule type="duplicateValues" dxfId="5450" priority="2095"/>
  </conditionalFormatting>
  <conditionalFormatting sqref="C21">
    <cfRule type="duplicateValues" dxfId="5449" priority="2162"/>
  </conditionalFormatting>
  <conditionalFormatting sqref="C22">
    <cfRule type="duplicateValues" dxfId="5448" priority="2123"/>
    <cfRule type="duplicateValues" dxfId="5447" priority="2122"/>
    <cfRule type="duplicateValues" dxfId="5446" priority="2121"/>
    <cfRule type="duplicateValues" dxfId="5445" priority="2120"/>
    <cfRule type="duplicateValues" dxfId="5444" priority="2119"/>
    <cfRule type="duplicateValues" dxfId="5443" priority="2118"/>
    <cfRule type="duplicateValues" dxfId="5442" priority="2117"/>
    <cfRule type="duplicateValues" dxfId="5441" priority="2116"/>
    <cfRule type="duplicateValues" dxfId="5440" priority="2115"/>
    <cfRule type="duplicateValues" dxfId="5439" priority="2113"/>
    <cfRule type="duplicateValues" dxfId="5438" priority="2112"/>
    <cfRule type="duplicateValues" dxfId="5437" priority="2111"/>
    <cfRule type="duplicateValues" dxfId="5436" priority="2114"/>
    <cfRule type="duplicateValues" dxfId="5435" priority="2148"/>
    <cfRule type="duplicateValues" dxfId="5434" priority="2161"/>
    <cfRule type="duplicateValues" dxfId="5433" priority="2160"/>
    <cfRule type="duplicateValues" dxfId="5432" priority="2159"/>
    <cfRule type="duplicateValues" dxfId="5431" priority="2158"/>
    <cfRule type="duplicateValues" dxfId="5430" priority="2157"/>
    <cfRule type="duplicateValues" dxfId="5429" priority="2156"/>
    <cfRule type="duplicateValues" dxfId="5428" priority="2155"/>
    <cfRule type="duplicateValues" dxfId="5427" priority="2154"/>
    <cfRule type="duplicateValues" dxfId="5426" priority="2153"/>
    <cfRule type="duplicateValues" dxfId="5425" priority="2152"/>
    <cfRule type="duplicateValues" dxfId="5424" priority="2151"/>
    <cfRule type="duplicateValues" dxfId="5423" priority="2150"/>
    <cfRule type="duplicateValues" dxfId="5422" priority="2149"/>
    <cfRule type="duplicateValues" dxfId="5421" priority="2147"/>
    <cfRule type="duplicateValues" dxfId="5420" priority="2146"/>
    <cfRule type="duplicateValues" dxfId="5419" priority="2145"/>
    <cfRule type="duplicateValues" dxfId="5418" priority="2144"/>
    <cfRule type="duplicateValues" dxfId="5417" priority="2143"/>
    <cfRule type="duplicateValues" dxfId="5416" priority="2142"/>
    <cfRule type="duplicateValues" dxfId="5415" priority="2141"/>
    <cfRule type="duplicateValues" dxfId="5414" priority="2140"/>
    <cfRule type="duplicateValues" dxfId="5413" priority="2139"/>
    <cfRule type="duplicateValues" dxfId="5412" priority="2138"/>
    <cfRule type="duplicateValues" dxfId="5411" priority="2137"/>
    <cfRule type="duplicateValues" dxfId="5410" priority="2136"/>
    <cfRule type="duplicateValues" dxfId="5409" priority="2135"/>
    <cfRule type="duplicateValues" dxfId="5408" priority="2134"/>
    <cfRule type="duplicateValues" dxfId="5407" priority="2133"/>
    <cfRule type="duplicateValues" dxfId="5406" priority="2132"/>
    <cfRule type="duplicateValues" dxfId="5405" priority="2131"/>
    <cfRule type="duplicateValues" dxfId="5404" priority="2130"/>
    <cfRule type="duplicateValues" dxfId="5403" priority="2129"/>
    <cfRule type="duplicateValues" dxfId="5402" priority="2128"/>
    <cfRule type="duplicateValues" dxfId="5401" priority="2127"/>
    <cfRule type="duplicateValues" dxfId="5400" priority="2126"/>
    <cfRule type="duplicateValues" dxfId="5399" priority="2125"/>
    <cfRule type="duplicateValues" dxfId="5398" priority="2124"/>
  </conditionalFormatting>
  <conditionalFormatting sqref="C23">
    <cfRule type="duplicateValues" dxfId="5397" priority="2163"/>
    <cfRule type="duplicateValues" dxfId="5396" priority="2169"/>
    <cfRule type="duplicateValues" dxfId="5395" priority="2170"/>
    <cfRule type="duplicateValues" dxfId="5394" priority="2168"/>
    <cfRule type="duplicateValues" dxfId="5393" priority="2164"/>
    <cfRule type="duplicateValues" dxfId="5392" priority="2172"/>
    <cfRule type="duplicateValues" dxfId="5391" priority="2167"/>
    <cfRule type="duplicateValues" dxfId="5390" priority="2166"/>
    <cfRule type="duplicateValues" dxfId="5389" priority="2165"/>
    <cfRule type="duplicateValues" dxfId="5388" priority="2171"/>
  </conditionalFormatting>
  <conditionalFormatting sqref="C24">
    <cfRule type="duplicateValues" dxfId="5387" priority="3906"/>
  </conditionalFormatting>
  <conditionalFormatting sqref="C25">
    <cfRule type="duplicateValues" dxfId="5386" priority="2352"/>
    <cfRule type="duplicateValues" dxfId="5385" priority="2351"/>
    <cfRule type="duplicateValues" dxfId="5384" priority="2350"/>
    <cfRule type="duplicateValues" dxfId="5383" priority="2359"/>
    <cfRule type="duplicateValues" dxfId="5382" priority="2358"/>
    <cfRule type="duplicateValues" dxfId="5381" priority="2347"/>
    <cfRule type="duplicateValues" dxfId="5380" priority="2333"/>
    <cfRule type="duplicateValues" dxfId="5379" priority="2334"/>
    <cfRule type="duplicateValues" dxfId="5378" priority="2339"/>
    <cfRule type="duplicateValues" dxfId="5377" priority="2335"/>
    <cfRule type="duplicateValues" dxfId="5376" priority="2336"/>
    <cfRule type="duplicateValues" dxfId="5375" priority="2337"/>
    <cfRule type="duplicateValues" dxfId="5374" priority="2348"/>
    <cfRule type="duplicateValues" dxfId="5373" priority="2357"/>
    <cfRule type="duplicateValues" dxfId="5372" priority="2356"/>
    <cfRule type="duplicateValues" dxfId="5371" priority="2355"/>
    <cfRule type="duplicateValues" dxfId="5370" priority="2354"/>
    <cfRule type="duplicateValues" dxfId="5369" priority="2338"/>
    <cfRule type="duplicateValues" dxfId="5368" priority="2340"/>
    <cfRule type="duplicateValues" dxfId="5367" priority="2349"/>
    <cfRule type="duplicateValues" dxfId="5366" priority="2341"/>
    <cfRule type="duplicateValues" dxfId="5365" priority="2342"/>
    <cfRule type="duplicateValues" dxfId="5364" priority="2343"/>
    <cfRule type="duplicateValues" dxfId="5363" priority="2344"/>
    <cfRule type="duplicateValues" dxfId="5362" priority="2345"/>
    <cfRule type="duplicateValues" dxfId="5361" priority="2346"/>
    <cfRule type="duplicateValues" dxfId="5360" priority="2353"/>
  </conditionalFormatting>
  <conditionalFormatting sqref="C26">
    <cfRule type="duplicateValues" dxfId="5359" priority="2279"/>
    <cfRule type="duplicateValues" dxfId="5358" priority="2290"/>
    <cfRule type="duplicateValues" dxfId="5357" priority="2291"/>
    <cfRule type="duplicateValues" dxfId="5356" priority="2293"/>
    <cfRule type="duplicateValues" dxfId="5355" priority="2294"/>
    <cfRule type="duplicateValues" dxfId="5354" priority="2273"/>
    <cfRule type="duplicateValues" dxfId="5353" priority="2274"/>
    <cfRule type="duplicateValues" dxfId="5352" priority="2275"/>
    <cfRule type="duplicateValues" dxfId="5351" priority="2276"/>
    <cfRule type="duplicateValues" dxfId="5350" priority="2277"/>
    <cfRule type="duplicateValues" dxfId="5349" priority="2287"/>
    <cfRule type="duplicateValues" dxfId="5348" priority="2292"/>
    <cfRule type="duplicateValues" dxfId="5347" priority="2288"/>
    <cfRule type="duplicateValues" dxfId="5346" priority="2289"/>
    <cfRule type="duplicateValues" dxfId="5345" priority="2286"/>
    <cfRule type="duplicateValues" dxfId="5344" priority="2295"/>
    <cfRule type="duplicateValues" dxfId="5343" priority="2285"/>
    <cfRule type="duplicateValues" dxfId="5342" priority="2284"/>
    <cfRule type="duplicateValues" dxfId="5341" priority="2283"/>
    <cfRule type="duplicateValues" dxfId="5340" priority="2281"/>
    <cfRule type="duplicateValues" dxfId="5339" priority="2280"/>
    <cfRule type="duplicateValues" dxfId="5338" priority="2278"/>
    <cfRule type="duplicateValues" dxfId="5337" priority="2282"/>
  </conditionalFormatting>
  <conditionalFormatting sqref="C27">
    <cfRule type="duplicateValues" dxfId="5336" priority="2266"/>
    <cfRule type="duplicateValues" dxfId="5335" priority="2267"/>
    <cfRule type="duplicateValues" dxfId="5334" priority="2268"/>
    <cfRule type="duplicateValues" dxfId="5333" priority="2270"/>
    <cfRule type="duplicateValues" dxfId="5332" priority="2271"/>
    <cfRule type="duplicateValues" dxfId="5331" priority="2272"/>
    <cfRule type="duplicateValues" dxfId="5330" priority="2269"/>
    <cfRule type="duplicateValues" dxfId="5329" priority="2260"/>
    <cfRule type="duplicateValues" dxfId="5328" priority="2261"/>
    <cfRule type="duplicateValues" dxfId="5327" priority="2262"/>
    <cfRule type="duplicateValues" dxfId="5326" priority="2263"/>
    <cfRule type="duplicateValues" dxfId="5325" priority="2249"/>
    <cfRule type="duplicateValues" dxfId="5324" priority="2250"/>
    <cfRule type="duplicateValues" dxfId="5323" priority="2251"/>
    <cfRule type="duplicateValues" dxfId="5322" priority="2252"/>
    <cfRule type="duplicateValues" dxfId="5321" priority="2253"/>
    <cfRule type="duplicateValues" dxfId="5320" priority="2264"/>
    <cfRule type="duplicateValues" dxfId="5319" priority="2254"/>
    <cfRule type="duplicateValues" dxfId="5318" priority="2255"/>
    <cfRule type="duplicateValues" dxfId="5317" priority="2256"/>
    <cfRule type="duplicateValues" dxfId="5316" priority="2257"/>
    <cfRule type="duplicateValues" dxfId="5315" priority="2265"/>
    <cfRule type="duplicateValues" dxfId="5314" priority="2259"/>
    <cfRule type="duplicateValues" dxfId="5313" priority="2258"/>
  </conditionalFormatting>
  <conditionalFormatting sqref="C28">
    <cfRule type="duplicateValues" dxfId="5312" priority="187"/>
    <cfRule type="duplicateValues" dxfId="5311" priority="188"/>
    <cfRule type="duplicateValues" dxfId="5310" priority="189"/>
    <cfRule type="duplicateValues" dxfId="5309" priority="190"/>
    <cfRule type="duplicateValues" dxfId="5308" priority="191"/>
    <cfRule type="duplicateValues" dxfId="5307" priority="192"/>
    <cfRule type="duplicateValues" dxfId="5306" priority="193"/>
    <cfRule type="duplicateValues" dxfId="5305" priority="194"/>
    <cfRule type="duplicateValues" dxfId="5304" priority="195"/>
    <cfRule type="duplicateValues" dxfId="5303" priority="196"/>
    <cfRule type="duplicateValues" dxfId="5302" priority="197"/>
    <cfRule type="duplicateValues" dxfId="5301" priority="198"/>
    <cfRule type="duplicateValues" dxfId="5300" priority="199"/>
    <cfRule type="duplicateValues" dxfId="5299" priority="200"/>
    <cfRule type="duplicateValues" dxfId="5298" priority="201"/>
    <cfRule type="duplicateValues" dxfId="5297" priority="202"/>
    <cfRule type="duplicateValues" dxfId="5296" priority="203"/>
    <cfRule type="duplicateValues" dxfId="5295" priority="204"/>
    <cfRule type="duplicateValues" dxfId="5294" priority="205"/>
    <cfRule type="duplicateValues" dxfId="5293" priority="206"/>
    <cfRule type="duplicateValues" dxfId="5292" priority="207"/>
    <cfRule type="duplicateValues" dxfId="5291" priority="208"/>
    <cfRule type="duplicateValues" dxfId="5290" priority="209"/>
    <cfRule type="duplicateValues" dxfId="5289" priority="210"/>
    <cfRule type="duplicateValues" dxfId="5288" priority="211"/>
    <cfRule type="duplicateValues" dxfId="5287" priority="212"/>
    <cfRule type="duplicateValues" dxfId="5286" priority="150"/>
    <cfRule type="duplicateValues" dxfId="5285" priority="154"/>
    <cfRule type="duplicateValues" dxfId="5284" priority="125"/>
    <cfRule type="duplicateValues" dxfId="5283" priority="126"/>
    <cfRule type="duplicateValues" dxfId="5282" priority="127"/>
    <cfRule type="duplicateValues" dxfId="5281" priority="128"/>
    <cfRule type="duplicateValues" dxfId="5280" priority="129"/>
    <cfRule type="duplicateValues" dxfId="5279" priority="130"/>
    <cfRule type="duplicateValues" dxfId="5278" priority="131"/>
    <cfRule type="duplicateValues" dxfId="5277" priority="132"/>
    <cfRule type="duplicateValues" dxfId="5276" priority="133"/>
    <cfRule type="duplicateValues" dxfId="5275" priority="134"/>
    <cfRule type="duplicateValues" dxfId="5274" priority="135"/>
    <cfRule type="duplicateValues" dxfId="5273" priority="136"/>
    <cfRule type="duplicateValues" dxfId="5272" priority="137"/>
    <cfRule type="duplicateValues" dxfId="5271" priority="138"/>
    <cfRule type="duplicateValues" dxfId="5270" priority="139"/>
    <cfRule type="duplicateValues" dxfId="5269" priority="140"/>
    <cfRule type="duplicateValues" dxfId="5268" priority="141"/>
    <cfRule type="duplicateValues" dxfId="5267" priority="142"/>
    <cfRule type="duplicateValues" dxfId="5266" priority="143"/>
    <cfRule type="duplicateValues" dxfId="5265" priority="144"/>
    <cfRule type="duplicateValues" dxfId="5264" priority="145"/>
    <cfRule type="duplicateValues" dxfId="5263" priority="146"/>
    <cfRule type="duplicateValues" dxfId="5262" priority="147"/>
    <cfRule type="duplicateValues" dxfId="5261" priority="148"/>
    <cfRule type="duplicateValues" dxfId="5260" priority="149"/>
    <cfRule type="duplicateValues" dxfId="5259" priority="151"/>
    <cfRule type="duplicateValues" dxfId="5258" priority="152"/>
    <cfRule type="duplicateValues" dxfId="5257" priority="153"/>
    <cfRule type="duplicateValues" dxfId="5256" priority="155"/>
    <cfRule type="duplicateValues" dxfId="5255" priority="156"/>
    <cfRule type="duplicateValues" dxfId="5254" priority="157"/>
    <cfRule type="duplicateValues" dxfId="5253" priority="158"/>
    <cfRule type="duplicateValues" dxfId="5252" priority="159"/>
    <cfRule type="duplicateValues" dxfId="5251" priority="160"/>
    <cfRule type="duplicateValues" dxfId="5250" priority="161"/>
    <cfRule type="duplicateValues" dxfId="5249" priority="162"/>
    <cfRule type="duplicateValues" dxfId="5248" priority="163"/>
    <cfRule type="duplicateValues" dxfId="5247" priority="164"/>
    <cfRule type="duplicateValues" dxfId="5246" priority="165"/>
    <cfRule type="duplicateValues" dxfId="5245" priority="166"/>
    <cfRule type="duplicateValues" dxfId="5244" priority="167"/>
    <cfRule type="duplicateValues" dxfId="5243" priority="168"/>
    <cfRule type="duplicateValues" dxfId="5242" priority="169"/>
    <cfRule type="duplicateValues" dxfId="5241" priority="170"/>
    <cfRule type="duplicateValues" dxfId="5240" priority="171"/>
    <cfRule type="duplicateValues" dxfId="5239" priority="172"/>
    <cfRule type="duplicateValues" dxfId="5238" priority="173"/>
    <cfRule type="duplicateValues" dxfId="5237" priority="174"/>
    <cfRule type="duplicateValues" dxfId="5236" priority="175"/>
    <cfRule type="duplicateValues" dxfId="5235" priority="176"/>
    <cfRule type="duplicateValues" dxfId="5234" priority="177"/>
    <cfRule type="duplicateValues" dxfId="5233" priority="178"/>
    <cfRule type="duplicateValues" dxfId="5232" priority="179"/>
    <cfRule type="duplicateValues" dxfId="5231" priority="180"/>
    <cfRule type="duplicateValues" dxfId="5230" priority="181"/>
    <cfRule type="duplicateValues" dxfId="5229" priority="182"/>
    <cfRule type="duplicateValues" dxfId="5228" priority="183"/>
    <cfRule type="duplicateValues" dxfId="5227" priority="184"/>
    <cfRule type="duplicateValues" dxfId="5226" priority="185"/>
    <cfRule type="duplicateValues" dxfId="5225" priority="186"/>
  </conditionalFormatting>
  <conditionalFormatting sqref="C29">
    <cfRule type="duplicateValues" dxfId="5224" priority="118"/>
    <cfRule type="duplicateValues" dxfId="5223" priority="117"/>
    <cfRule type="duplicateValues" dxfId="5222" priority="120"/>
    <cfRule type="duplicateValues" dxfId="5221" priority="119"/>
  </conditionalFormatting>
  <conditionalFormatting sqref="C29:C31">
    <cfRule type="duplicateValues" dxfId="5220" priority="60"/>
    <cfRule type="duplicateValues" dxfId="5219" priority="59"/>
    <cfRule type="duplicateValues" dxfId="5218" priority="58"/>
    <cfRule type="duplicateValues" dxfId="5217" priority="57"/>
    <cfRule type="duplicateValues" dxfId="5216" priority="56"/>
    <cfRule type="duplicateValues" dxfId="5215" priority="55"/>
    <cfRule type="duplicateValues" dxfId="5214" priority="54"/>
    <cfRule type="duplicateValues" dxfId="5213" priority="53"/>
    <cfRule type="duplicateValues" dxfId="5212" priority="52"/>
    <cfRule type="duplicateValues" dxfId="5211" priority="51"/>
    <cfRule type="duplicateValues" dxfId="5210" priority="50"/>
    <cfRule type="duplicateValues" dxfId="5209" priority="49"/>
    <cfRule type="duplicateValues" dxfId="5208" priority="48"/>
    <cfRule type="duplicateValues" dxfId="5207" priority="47"/>
    <cfRule type="duplicateValues" dxfId="5206" priority="46"/>
    <cfRule type="duplicateValues" dxfId="5205" priority="45"/>
    <cfRule type="duplicateValues" dxfId="5204" priority="61"/>
    <cfRule type="duplicateValues" dxfId="5203" priority="43"/>
    <cfRule type="duplicateValues" dxfId="5202" priority="42"/>
    <cfRule type="duplicateValues" dxfId="5201" priority="41"/>
    <cfRule type="duplicateValues" dxfId="5200" priority="40"/>
    <cfRule type="duplicateValues" dxfId="5199" priority="39"/>
    <cfRule type="duplicateValues" dxfId="5198" priority="38"/>
    <cfRule type="duplicateValues" dxfId="5197" priority="37"/>
    <cfRule type="duplicateValues" dxfId="5196" priority="36"/>
    <cfRule type="duplicateValues" dxfId="5195" priority="35"/>
    <cfRule type="duplicateValues" dxfId="5194" priority="79"/>
    <cfRule type="duplicateValues" dxfId="5193" priority="124"/>
    <cfRule type="duplicateValues" dxfId="5192" priority="123"/>
    <cfRule type="duplicateValues" dxfId="5191" priority="122"/>
    <cfRule type="duplicateValues" dxfId="5190" priority="121"/>
    <cfRule type="duplicateValues" dxfId="5189" priority="44"/>
    <cfRule type="duplicateValues" dxfId="5188" priority="66"/>
    <cfRule type="duplicateValues" dxfId="5187" priority="65"/>
    <cfRule type="duplicateValues" dxfId="5186" priority="64"/>
    <cfRule type="duplicateValues" dxfId="5185" priority="63"/>
    <cfRule type="duplicateValues" dxfId="5184" priority="62"/>
    <cfRule type="duplicateValues" dxfId="5183" priority="67"/>
    <cfRule type="duplicateValues" dxfId="5182" priority="89"/>
    <cfRule type="duplicateValues" dxfId="5181" priority="88"/>
    <cfRule type="duplicateValues" dxfId="5180" priority="87"/>
    <cfRule type="duplicateValues" dxfId="5179" priority="86"/>
    <cfRule type="duplicateValues" dxfId="5178" priority="85"/>
    <cfRule type="duplicateValues" dxfId="5177" priority="84"/>
    <cfRule type="duplicateValues" dxfId="5176" priority="83"/>
    <cfRule type="duplicateValues" dxfId="5175" priority="82"/>
    <cfRule type="duplicateValues" dxfId="5174" priority="81"/>
    <cfRule type="duplicateValues" dxfId="5173" priority="80"/>
    <cfRule type="duplicateValues" dxfId="5172" priority="78"/>
    <cfRule type="duplicateValues" dxfId="5171" priority="77"/>
    <cfRule type="duplicateValues" dxfId="5170" priority="76"/>
    <cfRule type="duplicateValues" dxfId="5169" priority="75"/>
    <cfRule type="duplicateValues" dxfId="5168" priority="74"/>
    <cfRule type="duplicateValues" dxfId="5167" priority="73"/>
    <cfRule type="duplicateValues" dxfId="5166" priority="72"/>
    <cfRule type="duplicateValues" dxfId="5165" priority="71"/>
    <cfRule type="duplicateValues" dxfId="5164" priority="70"/>
    <cfRule type="duplicateValues" dxfId="5163" priority="69"/>
    <cfRule type="duplicateValues" dxfId="5162" priority="68"/>
  </conditionalFormatting>
  <conditionalFormatting sqref="C30">
    <cfRule type="duplicateValues" dxfId="5161" priority="116"/>
  </conditionalFormatting>
  <conditionalFormatting sqref="C31">
    <cfRule type="duplicateValues" dxfId="5160" priority="115"/>
    <cfRule type="duplicateValues" dxfId="5159" priority="114"/>
    <cfRule type="duplicateValues" dxfId="5158" priority="113"/>
    <cfRule type="duplicateValues" dxfId="5157" priority="92"/>
    <cfRule type="duplicateValues" dxfId="5156" priority="104"/>
    <cfRule type="duplicateValues" dxfId="5155" priority="109"/>
    <cfRule type="duplicateValues" dxfId="5154" priority="94"/>
    <cfRule type="duplicateValues" dxfId="5153" priority="93"/>
    <cfRule type="duplicateValues" dxfId="5152" priority="112"/>
    <cfRule type="duplicateValues" dxfId="5151" priority="111"/>
    <cfRule type="duplicateValues" dxfId="5150" priority="110"/>
    <cfRule type="duplicateValues" dxfId="5149" priority="108"/>
    <cfRule type="duplicateValues" dxfId="5148" priority="107"/>
    <cfRule type="duplicateValues" dxfId="5147" priority="106"/>
    <cfRule type="duplicateValues" dxfId="5146" priority="105"/>
    <cfRule type="duplicateValues" dxfId="5145" priority="103"/>
    <cfRule type="duplicateValues" dxfId="5144" priority="102"/>
    <cfRule type="duplicateValues" dxfId="5143" priority="101"/>
    <cfRule type="duplicateValues" dxfId="5142" priority="100"/>
    <cfRule type="duplicateValues" dxfId="5141" priority="99"/>
    <cfRule type="duplicateValues" dxfId="5140" priority="98"/>
    <cfRule type="duplicateValues" dxfId="5139" priority="97"/>
    <cfRule type="duplicateValues" dxfId="5138" priority="96"/>
    <cfRule type="duplicateValues" dxfId="5137" priority="95"/>
  </conditionalFormatting>
  <conditionalFormatting sqref="C32">
    <cfRule type="duplicateValues" dxfId="5136" priority="2314"/>
    <cfRule type="duplicateValues" dxfId="5135" priority="2315"/>
    <cfRule type="duplicateValues" dxfId="5134" priority="2316"/>
    <cfRule type="duplicateValues" dxfId="5133" priority="2317"/>
    <cfRule type="duplicateValues" dxfId="5132" priority="2318"/>
    <cfRule type="duplicateValues" dxfId="5131" priority="2319"/>
    <cfRule type="duplicateValues" dxfId="5130" priority="2320"/>
    <cfRule type="duplicateValues" dxfId="5129" priority="2322"/>
    <cfRule type="duplicateValues" dxfId="5128" priority="2323"/>
    <cfRule type="duplicateValues" dxfId="5127" priority="2324"/>
    <cfRule type="duplicateValues" dxfId="5126" priority="2326"/>
    <cfRule type="duplicateValues" dxfId="5125" priority="2327"/>
    <cfRule type="duplicateValues" dxfId="5124" priority="2321"/>
    <cfRule type="duplicateValues" dxfId="5123" priority="2329"/>
    <cfRule type="duplicateValues" dxfId="5122" priority="2330"/>
    <cfRule type="duplicateValues" dxfId="5121" priority="2331"/>
    <cfRule type="duplicateValues" dxfId="5120" priority="2332"/>
    <cfRule type="duplicateValues" dxfId="5119" priority="2297"/>
    <cfRule type="duplicateValues" dxfId="5118" priority="2298"/>
    <cfRule type="duplicateValues" dxfId="5117" priority="2299"/>
    <cfRule type="duplicateValues" dxfId="5116" priority="2328"/>
    <cfRule type="duplicateValues" dxfId="5115" priority="2300"/>
    <cfRule type="duplicateValues" dxfId="5114" priority="2301"/>
    <cfRule type="duplicateValues" dxfId="5113" priority="2302"/>
    <cfRule type="duplicateValues" dxfId="5112" priority="2303"/>
    <cfRule type="duplicateValues" dxfId="5111" priority="2325"/>
    <cfRule type="duplicateValues" dxfId="5110" priority="2304"/>
    <cfRule type="duplicateValues" dxfId="5109" priority="2305"/>
    <cfRule type="duplicateValues" dxfId="5108" priority="2306"/>
    <cfRule type="duplicateValues" dxfId="5107" priority="2307"/>
    <cfRule type="duplicateValues" dxfId="5106" priority="2308"/>
    <cfRule type="duplicateValues" dxfId="5105" priority="2309"/>
    <cfRule type="duplicateValues" dxfId="5104" priority="2310"/>
    <cfRule type="duplicateValues" dxfId="5103" priority="2311"/>
    <cfRule type="duplicateValues" dxfId="5102" priority="2312"/>
    <cfRule type="duplicateValues" dxfId="5101" priority="2313"/>
  </conditionalFormatting>
  <conditionalFormatting sqref="C33">
    <cfRule type="duplicateValues" dxfId="5100" priority="2296"/>
  </conditionalFormatting>
  <conditionalFormatting sqref="C42:C1048576 C1:C7 C9:C33">
    <cfRule type="duplicateValues" dxfId="5099" priority="26381"/>
  </conditionalFormatting>
  <conditionalFormatting sqref="C47:C1048576 C1:C7 C9:C33">
    <cfRule type="duplicateValues" dxfId="5098" priority="26385"/>
    <cfRule type="duplicateValues" dxfId="5097" priority="26386"/>
    <cfRule type="duplicateValues" dxfId="5096" priority="26387"/>
  </conditionalFormatting>
  <conditionalFormatting sqref="C61:C1048576 C1:C7 C32:C33 C9:C27">
    <cfRule type="duplicateValues" dxfId="5095" priority="26397"/>
    <cfRule type="duplicateValues" dxfId="5094" priority="26398"/>
    <cfRule type="duplicateValues" dxfId="5093" priority="26399"/>
    <cfRule type="duplicateValues" dxfId="5092" priority="26400"/>
    <cfRule type="duplicateValues" dxfId="5091" priority="26401"/>
    <cfRule type="duplicateValues" dxfId="5090" priority="26402"/>
    <cfRule type="duplicateValues" dxfId="5089" priority="26403"/>
    <cfRule type="duplicateValues" dxfId="5088" priority="26404"/>
  </conditionalFormatting>
  <conditionalFormatting sqref="C66:C140">
    <cfRule type="duplicateValues" dxfId="5087" priority="461"/>
    <cfRule type="duplicateValues" dxfId="5086" priority="462"/>
    <cfRule type="duplicateValues" dxfId="5085" priority="464"/>
    <cfRule type="duplicateValues" dxfId="5084" priority="465"/>
    <cfRule type="duplicateValues" dxfId="5083" priority="466"/>
    <cfRule type="duplicateValues" dxfId="5082" priority="467"/>
    <cfRule type="duplicateValues" dxfId="5081" priority="468"/>
    <cfRule type="duplicateValues" dxfId="5080" priority="521"/>
    <cfRule type="duplicateValues" dxfId="5079" priority="522"/>
    <cfRule type="duplicateValues" dxfId="5078" priority="523"/>
    <cfRule type="duplicateValues" dxfId="5077" priority="524"/>
    <cfRule type="duplicateValues" dxfId="5076" priority="525"/>
    <cfRule type="duplicateValues" dxfId="5075" priority="526"/>
    <cfRule type="duplicateValues" dxfId="5074" priority="463"/>
    <cfRule type="duplicateValues" dxfId="5073" priority="395"/>
    <cfRule type="duplicateValues" dxfId="5072" priority="396"/>
    <cfRule type="duplicateValues" dxfId="5071" priority="397"/>
    <cfRule type="duplicateValues" dxfId="5070" priority="451"/>
    <cfRule type="duplicateValues" dxfId="5069" priority="452"/>
    <cfRule type="duplicateValues" dxfId="5068" priority="453"/>
    <cfRule type="duplicateValues" dxfId="5067" priority="454"/>
    <cfRule type="duplicateValues" dxfId="5066" priority="455"/>
    <cfRule type="duplicateValues" dxfId="5065" priority="456"/>
    <cfRule type="duplicateValues" dxfId="5064" priority="457"/>
    <cfRule type="duplicateValues" dxfId="5063" priority="458"/>
    <cfRule type="duplicateValues" dxfId="5062" priority="459"/>
    <cfRule type="duplicateValues" dxfId="5061" priority="460"/>
  </conditionalFormatting>
  <conditionalFormatting sqref="C66:C1048576 C1:C7 C32:C33 C9:C27">
    <cfRule type="duplicateValues" dxfId="5060" priority="26438"/>
    <cfRule type="duplicateValues" dxfId="5059" priority="26437"/>
  </conditionalFormatting>
  <conditionalFormatting sqref="C67">
    <cfRule type="duplicateValues" dxfId="5058" priority="540"/>
    <cfRule type="duplicateValues" dxfId="5057" priority="541"/>
    <cfRule type="duplicateValues" dxfId="5056" priority="542"/>
    <cfRule type="duplicateValues" dxfId="5055" priority="547"/>
    <cfRule type="duplicateValues" dxfId="5054" priority="543"/>
    <cfRule type="duplicateValues" dxfId="5053" priority="544"/>
    <cfRule type="duplicateValues" dxfId="5052" priority="545"/>
    <cfRule type="duplicateValues" dxfId="5051" priority="537"/>
    <cfRule type="duplicateValues" dxfId="5050" priority="552"/>
    <cfRule type="duplicateValues" dxfId="5049" priority="551"/>
    <cfRule type="duplicateValues" dxfId="5048" priority="550"/>
    <cfRule type="duplicateValues" dxfId="5047" priority="549"/>
    <cfRule type="duplicateValues" dxfId="5046" priority="529"/>
    <cfRule type="duplicateValues" dxfId="5045" priority="548"/>
    <cfRule type="duplicateValues" dxfId="5044" priority="539"/>
    <cfRule type="duplicateValues" dxfId="5043" priority="536"/>
    <cfRule type="duplicateValues" dxfId="5042" priority="535"/>
    <cfRule type="duplicateValues" dxfId="5041" priority="534"/>
    <cfRule type="duplicateValues" dxfId="5040" priority="556"/>
    <cfRule type="duplicateValues" dxfId="5039" priority="533"/>
    <cfRule type="duplicateValues" dxfId="5038" priority="532"/>
    <cfRule type="duplicateValues" dxfId="5037" priority="531"/>
    <cfRule type="duplicateValues" dxfId="5036" priority="530"/>
    <cfRule type="duplicateValues" dxfId="5035" priority="527"/>
    <cfRule type="duplicateValues" dxfId="5034" priority="528"/>
    <cfRule type="duplicateValues" dxfId="5033" priority="538"/>
    <cfRule type="duplicateValues" dxfId="5032" priority="561"/>
    <cfRule type="duplicateValues" dxfId="5031" priority="560"/>
    <cfRule type="duplicateValues" dxfId="5030" priority="559"/>
    <cfRule type="duplicateValues" dxfId="5029" priority="558"/>
    <cfRule type="duplicateValues" dxfId="5028" priority="557"/>
    <cfRule type="duplicateValues" dxfId="5027" priority="546"/>
    <cfRule type="duplicateValues" dxfId="5026" priority="555"/>
    <cfRule type="duplicateValues" dxfId="5025" priority="554"/>
    <cfRule type="duplicateValues" dxfId="5024" priority="553"/>
  </conditionalFormatting>
  <conditionalFormatting sqref="C68:C74">
    <cfRule type="duplicateValues" dxfId="5023" priority="1873"/>
    <cfRule type="duplicateValues" dxfId="5022" priority="1872"/>
    <cfRule type="duplicateValues" dxfId="5021" priority="1871"/>
    <cfRule type="duplicateValues" dxfId="5020" priority="1870"/>
    <cfRule type="duplicateValues" dxfId="5019" priority="1869"/>
    <cfRule type="duplicateValues" dxfId="5018" priority="1868"/>
    <cfRule type="duplicateValues" dxfId="5017" priority="1859"/>
    <cfRule type="duplicateValues" dxfId="5016" priority="1867"/>
    <cfRule type="duplicateValues" dxfId="5015" priority="1866"/>
    <cfRule type="duplicateValues" dxfId="5014" priority="1864"/>
    <cfRule type="duplicateValues" dxfId="5013" priority="1863"/>
    <cfRule type="duplicateValues" dxfId="5012" priority="1862"/>
    <cfRule type="duplicateValues" dxfId="5011" priority="1861"/>
    <cfRule type="duplicateValues" dxfId="5010" priority="1860"/>
    <cfRule type="duplicateValues" dxfId="5009" priority="1858"/>
    <cfRule type="duplicateValues" dxfId="5008" priority="1856"/>
    <cfRule type="duplicateValues" dxfId="5007" priority="1857"/>
    <cfRule type="duplicateValues" dxfId="5006" priority="1865"/>
    <cfRule type="duplicateValues" dxfId="5005" priority="1878"/>
    <cfRule type="duplicateValues" dxfId="5004" priority="1879"/>
    <cfRule type="duplicateValues" dxfId="5003" priority="1877"/>
    <cfRule type="duplicateValues" dxfId="5002" priority="1876"/>
    <cfRule type="duplicateValues" dxfId="5001" priority="1875"/>
    <cfRule type="duplicateValues" dxfId="5000" priority="1874"/>
  </conditionalFormatting>
  <conditionalFormatting sqref="C75">
    <cfRule type="duplicateValues" dxfId="4999" priority="579"/>
  </conditionalFormatting>
  <conditionalFormatting sqref="C75:C140">
    <cfRule type="duplicateValues" dxfId="4998" priority="578"/>
    <cfRule type="duplicateValues" dxfId="4997" priority="577"/>
    <cfRule type="duplicateValues" dxfId="4996" priority="576"/>
    <cfRule type="duplicateValues" dxfId="4995" priority="575"/>
    <cfRule type="duplicateValues" dxfId="4994" priority="573"/>
    <cfRule type="duplicateValues" dxfId="4993" priority="572"/>
    <cfRule type="duplicateValues" dxfId="4992" priority="571"/>
    <cfRule type="duplicateValues" dxfId="4991" priority="570"/>
    <cfRule type="duplicateValues" dxfId="4990" priority="569"/>
    <cfRule type="duplicateValues" dxfId="4989" priority="568"/>
    <cfRule type="duplicateValues" dxfId="4988" priority="567"/>
    <cfRule type="duplicateValues" dxfId="4987" priority="566"/>
    <cfRule type="duplicateValues" dxfId="4986" priority="565"/>
    <cfRule type="duplicateValues" dxfId="4985" priority="564"/>
    <cfRule type="duplicateValues" dxfId="4984" priority="563"/>
    <cfRule type="duplicateValues" dxfId="4983" priority="1885"/>
    <cfRule type="duplicateValues" dxfId="4982" priority="1884"/>
    <cfRule type="duplicateValues" dxfId="4981" priority="1883"/>
    <cfRule type="duplicateValues" dxfId="4980" priority="1882"/>
    <cfRule type="duplicateValues" dxfId="4979" priority="1881"/>
    <cfRule type="duplicateValues" dxfId="4978" priority="1880"/>
    <cfRule type="duplicateValues" dxfId="4977" priority="1888"/>
    <cfRule type="duplicateValues" dxfId="4976" priority="1899"/>
    <cfRule type="duplicateValues" dxfId="4975" priority="562"/>
    <cfRule type="duplicateValues" dxfId="4974" priority="1830"/>
    <cfRule type="duplicateValues" dxfId="4973" priority="1831"/>
    <cfRule type="duplicateValues" dxfId="4972" priority="1833"/>
    <cfRule type="duplicateValues" dxfId="4971" priority="1897"/>
    <cfRule type="duplicateValues" dxfId="4970" priority="1896"/>
    <cfRule type="duplicateValues" dxfId="4969" priority="1895"/>
    <cfRule type="duplicateValues" dxfId="4968" priority="1894"/>
    <cfRule type="duplicateValues" dxfId="4967" priority="1893"/>
    <cfRule type="duplicateValues" dxfId="4966" priority="574"/>
    <cfRule type="duplicateValues" dxfId="4965" priority="1892"/>
    <cfRule type="duplicateValues" dxfId="4964" priority="1891"/>
    <cfRule type="duplicateValues" dxfId="4963" priority="1890"/>
    <cfRule type="duplicateValues" dxfId="4962" priority="1889"/>
    <cfRule type="duplicateValues" dxfId="4961" priority="1898"/>
    <cfRule type="duplicateValues" dxfId="4960" priority="1886"/>
    <cfRule type="duplicateValues" dxfId="4959" priority="1900"/>
    <cfRule type="duplicateValues" dxfId="4958" priority="1887"/>
  </conditionalFormatting>
  <conditionalFormatting sqref="C76 C79:C140">
    <cfRule type="duplicateValues" dxfId="4957" priority="1848"/>
    <cfRule type="duplicateValues" dxfId="4956" priority="1849"/>
    <cfRule type="duplicateValues" dxfId="4955" priority="1855"/>
    <cfRule type="duplicateValues" dxfId="4954" priority="1853"/>
    <cfRule type="duplicateValues" dxfId="4953" priority="1850"/>
    <cfRule type="duplicateValues" dxfId="4952" priority="1852"/>
    <cfRule type="duplicateValues" dxfId="4951" priority="1851"/>
    <cfRule type="duplicateValues" dxfId="4950" priority="1854"/>
  </conditionalFormatting>
  <conditionalFormatting sqref="C77">
    <cfRule type="duplicateValues" dxfId="4949" priority="438"/>
    <cfRule type="duplicateValues" dxfId="4948" priority="437"/>
    <cfRule type="duplicateValues" dxfId="4947" priority="436"/>
    <cfRule type="duplicateValues" dxfId="4946" priority="435"/>
    <cfRule type="duplicateValues" dxfId="4945" priority="433"/>
    <cfRule type="duplicateValues" dxfId="4944" priority="432"/>
    <cfRule type="duplicateValues" dxfId="4943" priority="431"/>
    <cfRule type="duplicateValues" dxfId="4942" priority="430"/>
    <cfRule type="duplicateValues" dxfId="4941" priority="429"/>
    <cfRule type="duplicateValues" dxfId="4940" priority="428"/>
    <cfRule type="duplicateValues" dxfId="4939" priority="427"/>
    <cfRule type="duplicateValues" dxfId="4938" priority="426"/>
    <cfRule type="duplicateValues" dxfId="4937" priority="425"/>
    <cfRule type="duplicateValues" dxfId="4936" priority="424"/>
    <cfRule type="duplicateValues" dxfId="4935" priority="423"/>
    <cfRule type="duplicateValues" dxfId="4934" priority="422"/>
    <cfRule type="duplicateValues" dxfId="4933" priority="421"/>
    <cfRule type="duplicateValues" dxfId="4932" priority="420"/>
    <cfRule type="duplicateValues" dxfId="4931" priority="419"/>
    <cfRule type="duplicateValues" dxfId="4930" priority="418"/>
    <cfRule type="duplicateValues" dxfId="4929" priority="417"/>
    <cfRule type="duplicateValues" dxfId="4928" priority="416"/>
    <cfRule type="duplicateValues" dxfId="4927" priority="415"/>
    <cfRule type="duplicateValues" dxfId="4926" priority="414"/>
    <cfRule type="duplicateValues" dxfId="4925" priority="413"/>
    <cfRule type="duplicateValues" dxfId="4924" priority="412"/>
    <cfRule type="duplicateValues" dxfId="4923" priority="411"/>
    <cfRule type="duplicateValues" dxfId="4922" priority="410"/>
    <cfRule type="duplicateValues" dxfId="4921" priority="409"/>
    <cfRule type="duplicateValues" dxfId="4920" priority="408"/>
    <cfRule type="duplicateValues" dxfId="4919" priority="407"/>
    <cfRule type="duplicateValues" dxfId="4918" priority="406"/>
    <cfRule type="duplicateValues" dxfId="4917" priority="405"/>
    <cfRule type="duplicateValues" dxfId="4916" priority="404"/>
    <cfRule type="duplicateValues" dxfId="4915" priority="403"/>
    <cfRule type="duplicateValues" dxfId="4914" priority="402"/>
    <cfRule type="duplicateValues" dxfId="4913" priority="401"/>
    <cfRule type="duplicateValues" dxfId="4912" priority="400"/>
    <cfRule type="duplicateValues" dxfId="4911" priority="399"/>
    <cfRule type="containsText" dxfId="4910" priority="398" operator="containsText" text="TBA">
      <formula>NOT(ISERROR(SEARCH("TBA",C77)))</formula>
    </cfRule>
    <cfRule type="duplicateValues" dxfId="4909" priority="434"/>
    <cfRule type="duplicateValues" dxfId="4908" priority="448"/>
    <cfRule type="duplicateValues" dxfId="4907" priority="450"/>
    <cfRule type="duplicateValues" dxfId="4906" priority="449"/>
    <cfRule type="duplicateValues" dxfId="4905" priority="447"/>
    <cfRule type="duplicateValues" dxfId="4904" priority="446"/>
    <cfRule type="duplicateValues" dxfId="4903" priority="445"/>
    <cfRule type="duplicateValues" dxfId="4902" priority="444"/>
    <cfRule type="duplicateValues" dxfId="4901" priority="443"/>
    <cfRule type="duplicateValues" dxfId="4900" priority="442"/>
    <cfRule type="duplicateValues" dxfId="4899" priority="441"/>
    <cfRule type="duplicateValues" dxfId="4898" priority="440"/>
    <cfRule type="duplicateValues" dxfId="4897" priority="439"/>
  </conditionalFormatting>
  <conditionalFormatting sqref="C78">
    <cfRule type="duplicateValues" dxfId="4896" priority="582"/>
    <cfRule type="duplicateValues" dxfId="4895" priority="585"/>
    <cfRule type="duplicateValues" dxfId="4894" priority="584"/>
    <cfRule type="duplicateValues" dxfId="4893" priority="586"/>
    <cfRule type="duplicateValues" dxfId="4892" priority="587"/>
    <cfRule type="duplicateValues" dxfId="4891" priority="588"/>
    <cfRule type="duplicateValues" dxfId="4890" priority="589"/>
    <cfRule type="duplicateValues" dxfId="4889" priority="583"/>
    <cfRule type="duplicateValues" dxfId="4888" priority="580"/>
    <cfRule type="duplicateValues" dxfId="4887" priority="581"/>
  </conditionalFormatting>
  <conditionalFormatting sqref="C79:C140 C76">
    <cfRule type="duplicateValues" dxfId="4886" priority="1847"/>
  </conditionalFormatting>
  <conditionalFormatting sqref="C84:C85">
    <cfRule type="duplicateValues" dxfId="4885" priority="489"/>
    <cfRule type="duplicateValues" dxfId="4884" priority="490"/>
    <cfRule type="duplicateValues" dxfId="4883" priority="491"/>
    <cfRule type="duplicateValues" dxfId="4882" priority="492"/>
    <cfRule type="duplicateValues" dxfId="4881" priority="493"/>
    <cfRule type="duplicateValues" dxfId="4880" priority="494"/>
    <cfRule type="duplicateValues" dxfId="4879" priority="495"/>
    <cfRule type="duplicateValues" dxfId="4878" priority="496"/>
    <cfRule type="duplicateValues" dxfId="4877" priority="497"/>
    <cfRule type="duplicateValues" dxfId="4876" priority="498"/>
    <cfRule type="duplicateValues" dxfId="4875" priority="499"/>
    <cfRule type="duplicateValues" dxfId="4874" priority="500"/>
    <cfRule type="duplicateValues" dxfId="4873" priority="501"/>
    <cfRule type="duplicateValues" dxfId="4872" priority="502"/>
    <cfRule type="duplicateValues" dxfId="4871" priority="503"/>
    <cfRule type="duplicateValues" dxfId="4870" priority="504"/>
    <cfRule type="duplicateValues" dxfId="4869" priority="506"/>
    <cfRule type="duplicateValues" dxfId="4868" priority="477"/>
    <cfRule type="duplicateValues" dxfId="4867" priority="507"/>
    <cfRule type="duplicateValues" dxfId="4866" priority="508"/>
    <cfRule type="duplicateValues" dxfId="4865" priority="474"/>
    <cfRule type="duplicateValues" dxfId="4864" priority="505"/>
    <cfRule type="duplicateValues" dxfId="4863" priority="488"/>
    <cfRule type="duplicateValues" dxfId="4862" priority="487"/>
    <cfRule type="duplicateValues" dxfId="4861" priority="486"/>
    <cfRule type="duplicateValues" dxfId="4860" priority="485"/>
    <cfRule type="duplicateValues" dxfId="4859" priority="484"/>
    <cfRule type="duplicateValues" dxfId="4858" priority="483"/>
    <cfRule type="duplicateValues" dxfId="4857" priority="482"/>
    <cfRule type="duplicateValues" dxfId="4856" priority="481"/>
    <cfRule type="duplicateValues" dxfId="4855" priority="480"/>
    <cfRule type="duplicateValues" dxfId="4854" priority="479"/>
    <cfRule type="duplicateValues" dxfId="4853" priority="478"/>
    <cfRule type="duplicateValues" dxfId="4852" priority="470"/>
    <cfRule type="duplicateValues" dxfId="4851" priority="472"/>
    <cfRule type="duplicateValues" dxfId="4850" priority="476"/>
    <cfRule type="duplicateValues" dxfId="4849" priority="475"/>
    <cfRule type="duplicateValues" dxfId="4848" priority="473"/>
    <cfRule type="duplicateValues" dxfId="4847" priority="471"/>
    <cfRule type="duplicateValues" dxfId="4846" priority="469"/>
  </conditionalFormatting>
  <conditionalFormatting sqref="C87">
    <cfRule type="duplicateValues" dxfId="4845" priority="515"/>
    <cfRule type="duplicateValues" dxfId="4844" priority="520"/>
    <cfRule type="duplicateValues" dxfId="4843" priority="514"/>
    <cfRule type="duplicateValues" dxfId="4842" priority="519"/>
    <cfRule type="duplicateValues" dxfId="4841" priority="513"/>
    <cfRule type="duplicateValues" dxfId="4840" priority="518"/>
    <cfRule type="duplicateValues" dxfId="4839" priority="512"/>
    <cfRule type="duplicateValues" dxfId="4838" priority="511"/>
    <cfRule type="duplicateValues" dxfId="4837" priority="510"/>
    <cfRule type="duplicateValues" dxfId="4836" priority="509"/>
    <cfRule type="duplicateValues" dxfId="4835" priority="517"/>
    <cfRule type="duplicateValues" dxfId="4834" priority="516"/>
  </conditionalFormatting>
  <conditionalFormatting sqref="C88">
    <cfRule type="duplicateValues" dxfId="4833" priority="1838"/>
    <cfRule type="duplicateValues" dxfId="4832" priority="1840"/>
    <cfRule type="duplicateValues" dxfId="4831" priority="1841"/>
    <cfRule type="duplicateValues" dxfId="4830" priority="1842"/>
    <cfRule type="duplicateValues" dxfId="4829" priority="1843"/>
    <cfRule type="duplicateValues" dxfId="4828" priority="1837"/>
    <cfRule type="duplicateValues" dxfId="4827" priority="1839"/>
    <cfRule type="duplicateValues" dxfId="4826" priority="1836"/>
    <cfRule type="duplicateValues" dxfId="4825" priority="1835"/>
    <cfRule type="duplicateValues" dxfId="4824" priority="1834"/>
  </conditionalFormatting>
  <conditionalFormatting sqref="C89 C108 C138">
    <cfRule type="duplicateValues" dxfId="4823" priority="1705"/>
    <cfRule type="duplicateValues" dxfId="4822" priority="1699"/>
    <cfRule type="duplicateValues" dxfId="4821" priority="1700"/>
    <cfRule type="duplicateValues" dxfId="4820" priority="1704"/>
    <cfRule type="duplicateValues" dxfId="4819" priority="1697"/>
    <cfRule type="duplicateValues" dxfId="4818" priority="1698"/>
    <cfRule type="duplicateValues" dxfId="4817" priority="1706"/>
    <cfRule type="duplicateValues" dxfId="4816" priority="1701"/>
    <cfRule type="duplicateValues" dxfId="4815" priority="1702"/>
    <cfRule type="duplicateValues" dxfId="4814" priority="1703"/>
  </conditionalFormatting>
  <conditionalFormatting sqref="C89">
    <cfRule type="duplicateValues" dxfId="4813" priority="1506"/>
    <cfRule type="duplicateValues" dxfId="4812" priority="1505"/>
    <cfRule type="duplicateValues" dxfId="4811" priority="1504"/>
    <cfRule type="duplicateValues" dxfId="4810" priority="1461"/>
    <cfRule type="duplicateValues" dxfId="4809" priority="1460"/>
    <cfRule type="duplicateValues" dxfId="4808" priority="1459"/>
    <cfRule type="duplicateValues" dxfId="4807" priority="1458"/>
    <cfRule type="duplicateValues" dxfId="4806" priority="1457"/>
    <cfRule type="duplicateValues" dxfId="4805" priority="1456"/>
    <cfRule type="duplicateValues" dxfId="4804" priority="1455"/>
    <cfRule type="duplicateValues" dxfId="4803" priority="1454"/>
    <cfRule type="duplicateValues" dxfId="4802" priority="1503"/>
    <cfRule type="duplicateValues" dxfId="4801" priority="1502"/>
    <cfRule type="duplicateValues" dxfId="4800" priority="1501"/>
    <cfRule type="duplicateValues" dxfId="4799" priority="1500"/>
    <cfRule type="duplicateValues" dxfId="4798" priority="1499"/>
    <cfRule type="duplicateValues" dxfId="4797" priority="1497"/>
    <cfRule type="duplicateValues" dxfId="4796" priority="1498"/>
    <cfRule type="duplicateValues" dxfId="4795" priority="1476"/>
    <cfRule type="duplicateValues" dxfId="4794" priority="1508"/>
    <cfRule type="duplicateValues" dxfId="4793" priority="1496"/>
    <cfRule type="duplicateValues" dxfId="4792" priority="1495"/>
    <cfRule type="duplicateValues" dxfId="4791" priority="1494"/>
    <cfRule type="duplicateValues" dxfId="4790" priority="1493"/>
    <cfRule type="duplicateValues" dxfId="4789" priority="1492"/>
    <cfRule type="duplicateValues" dxfId="4788" priority="1491"/>
    <cfRule type="duplicateValues" dxfId="4787" priority="1490"/>
    <cfRule type="duplicateValues" dxfId="4786" priority="1489"/>
    <cfRule type="duplicateValues" dxfId="4785" priority="1488"/>
    <cfRule type="duplicateValues" dxfId="4784" priority="1487"/>
    <cfRule type="duplicateValues" dxfId="4783" priority="1486"/>
    <cfRule type="duplicateValues" dxfId="4782" priority="1485"/>
    <cfRule type="duplicateValues" dxfId="4781" priority="1484"/>
    <cfRule type="duplicateValues" dxfId="4780" priority="1483"/>
    <cfRule type="duplicateValues" dxfId="4779" priority="1482"/>
    <cfRule type="duplicateValues" dxfId="4778" priority="1481"/>
    <cfRule type="duplicateValues" dxfId="4777" priority="1479"/>
    <cfRule type="duplicateValues" dxfId="4776" priority="1480"/>
    <cfRule type="duplicateValues" dxfId="4775" priority="1507"/>
    <cfRule type="duplicateValues" dxfId="4774" priority="1477"/>
    <cfRule type="duplicateValues" dxfId="4773" priority="1475"/>
    <cfRule type="duplicateValues" dxfId="4772" priority="1474"/>
    <cfRule type="duplicateValues" dxfId="4771" priority="1473"/>
    <cfRule type="duplicateValues" dxfId="4770" priority="1472"/>
    <cfRule type="duplicateValues" dxfId="4769" priority="1471"/>
    <cfRule type="duplicateValues" dxfId="4768" priority="1470"/>
    <cfRule type="duplicateValues" dxfId="4767" priority="1478"/>
    <cfRule type="duplicateValues" dxfId="4766" priority="1468"/>
    <cfRule type="duplicateValues" dxfId="4765" priority="1467"/>
    <cfRule type="duplicateValues" dxfId="4764" priority="1466"/>
    <cfRule type="duplicateValues" dxfId="4763" priority="1465"/>
    <cfRule type="duplicateValues" dxfId="4762" priority="1464"/>
    <cfRule type="duplicateValues" dxfId="4761" priority="1463"/>
    <cfRule type="duplicateValues" dxfId="4760" priority="1462"/>
    <cfRule type="duplicateValues" dxfId="4759" priority="1469"/>
  </conditionalFormatting>
  <conditionalFormatting sqref="C90">
    <cfRule type="duplicateValues" dxfId="4758" priority="618"/>
    <cfRule type="duplicateValues" dxfId="4757" priority="617"/>
    <cfRule type="duplicateValues" dxfId="4756" priority="616"/>
    <cfRule type="duplicateValues" dxfId="4755" priority="615"/>
    <cfRule type="duplicateValues" dxfId="4754" priority="614"/>
    <cfRule type="duplicateValues" dxfId="4753" priority="613"/>
    <cfRule type="duplicateValues" dxfId="4752" priority="612"/>
    <cfRule type="duplicateValues" dxfId="4751" priority="611"/>
    <cfRule type="duplicateValues" dxfId="4750" priority="610"/>
    <cfRule type="duplicateValues" dxfId="4749" priority="609"/>
    <cfRule type="duplicateValues" dxfId="4748" priority="608"/>
    <cfRule type="duplicateValues" dxfId="4747" priority="607"/>
    <cfRule type="duplicateValues" dxfId="4746" priority="606"/>
    <cfRule type="duplicateValues" dxfId="4745" priority="605"/>
    <cfRule type="duplicateValues" dxfId="4744" priority="604"/>
    <cfRule type="duplicateValues" dxfId="4743" priority="603"/>
    <cfRule type="duplicateValues" dxfId="4742" priority="602"/>
    <cfRule type="duplicateValues" dxfId="4741" priority="601"/>
    <cfRule type="duplicateValues" dxfId="4740" priority="600"/>
    <cfRule type="duplicateValues" dxfId="4739" priority="599"/>
    <cfRule type="duplicateValues" dxfId="4738" priority="598"/>
    <cfRule type="duplicateValues" dxfId="4737" priority="597"/>
    <cfRule type="duplicateValues" dxfId="4736" priority="596"/>
    <cfRule type="duplicateValues" dxfId="4735" priority="595"/>
    <cfRule type="duplicateValues" dxfId="4734" priority="594"/>
    <cfRule type="duplicateValues" dxfId="4733" priority="593"/>
    <cfRule type="duplicateValues" dxfId="4732" priority="592"/>
    <cfRule type="duplicateValues" dxfId="4731" priority="591"/>
    <cfRule type="duplicateValues" dxfId="4730" priority="590"/>
    <cfRule type="duplicateValues" dxfId="4729" priority="627"/>
    <cfRule type="duplicateValues" dxfId="4728" priority="626"/>
    <cfRule type="duplicateValues" dxfId="4727" priority="634"/>
    <cfRule type="duplicateValues" dxfId="4726" priority="633"/>
    <cfRule type="duplicateValues" dxfId="4725" priority="632"/>
    <cfRule type="duplicateValues" dxfId="4724" priority="631"/>
    <cfRule type="duplicateValues" dxfId="4723" priority="630"/>
    <cfRule type="duplicateValues" dxfId="4722" priority="629"/>
    <cfRule type="duplicateValues" dxfId="4721" priority="628"/>
    <cfRule type="duplicateValues" dxfId="4720" priority="625"/>
    <cfRule type="duplicateValues" dxfId="4719" priority="624"/>
    <cfRule type="duplicateValues" dxfId="4718" priority="623"/>
    <cfRule type="duplicateValues" dxfId="4717" priority="622"/>
    <cfRule type="duplicateValues" dxfId="4716" priority="621"/>
    <cfRule type="duplicateValues" dxfId="4715" priority="620"/>
    <cfRule type="duplicateValues" dxfId="4714" priority="619"/>
  </conditionalFormatting>
  <conditionalFormatting sqref="C91 C87:C88">
    <cfRule type="duplicateValues" dxfId="4713" priority="693"/>
    <cfRule type="duplicateValues" dxfId="4712" priority="690"/>
    <cfRule type="duplicateValues" dxfId="4711" priority="689"/>
    <cfRule type="duplicateValues" dxfId="4710" priority="688"/>
    <cfRule type="duplicateValues" dxfId="4709" priority="687"/>
    <cfRule type="duplicateValues" dxfId="4708" priority="702"/>
    <cfRule type="duplicateValues" dxfId="4707" priority="686"/>
    <cfRule type="duplicateValues" dxfId="4706" priority="685"/>
    <cfRule type="duplicateValues" dxfId="4705" priority="700"/>
    <cfRule type="duplicateValues" dxfId="4704" priority="701"/>
    <cfRule type="duplicateValues" dxfId="4703" priority="684"/>
    <cfRule type="duplicateValues" dxfId="4702" priority="703"/>
    <cfRule type="duplicateValues" dxfId="4701" priority="704"/>
    <cfRule type="duplicateValues" dxfId="4700" priority="705"/>
    <cfRule type="duplicateValues" dxfId="4699" priority="706"/>
    <cfRule type="duplicateValues" dxfId="4698" priority="707"/>
    <cfRule type="duplicateValues" dxfId="4697" priority="708"/>
    <cfRule type="duplicateValues" dxfId="4696" priority="709"/>
    <cfRule type="duplicateValues" dxfId="4695" priority="683"/>
    <cfRule type="duplicateValues" dxfId="4694" priority="710"/>
    <cfRule type="duplicateValues" dxfId="4693" priority="711"/>
    <cfRule type="duplicateValues" dxfId="4692" priority="1845"/>
    <cfRule type="duplicateValues" dxfId="4691" priority="698"/>
    <cfRule type="duplicateValues" dxfId="4690" priority="699"/>
    <cfRule type="duplicateValues" dxfId="4689" priority="1844"/>
    <cfRule type="duplicateValues" dxfId="4688" priority="1846"/>
    <cfRule type="duplicateValues" dxfId="4687" priority="697"/>
    <cfRule type="duplicateValues" dxfId="4686" priority="696"/>
    <cfRule type="duplicateValues" dxfId="4685" priority="695"/>
    <cfRule type="duplicateValues" dxfId="4684" priority="694"/>
    <cfRule type="duplicateValues" dxfId="4683" priority="692"/>
    <cfRule type="duplicateValues" dxfId="4682" priority="691"/>
  </conditionalFormatting>
  <conditionalFormatting sqref="C91 C94 C87:C88">
    <cfRule type="duplicateValues" dxfId="4681" priority="1750"/>
  </conditionalFormatting>
  <conditionalFormatting sqref="C91">
    <cfRule type="duplicateValues" dxfId="4680" priority="680"/>
    <cfRule type="duplicateValues" dxfId="4679" priority="679"/>
    <cfRule type="duplicateValues" dxfId="4678" priority="678"/>
    <cfRule type="duplicateValues" dxfId="4677" priority="677"/>
    <cfRule type="duplicateValues" dxfId="4676" priority="674"/>
    <cfRule type="duplicateValues" dxfId="4675" priority="676"/>
    <cfRule type="duplicateValues" dxfId="4674" priority="681"/>
    <cfRule type="duplicateValues" dxfId="4673" priority="675"/>
    <cfRule type="duplicateValues" dxfId="4672" priority="1832"/>
    <cfRule type="duplicateValues" dxfId="4671" priority="682"/>
  </conditionalFormatting>
  <conditionalFormatting sqref="C94">
    <cfRule type="duplicateValues" dxfId="4670" priority="659"/>
    <cfRule type="duplicateValues" dxfId="4669" priority="643"/>
    <cfRule type="duplicateValues" dxfId="4668" priority="644"/>
    <cfRule type="duplicateValues" dxfId="4667" priority="645"/>
    <cfRule type="duplicateValues" dxfId="4666" priority="646"/>
    <cfRule type="duplicateValues" dxfId="4665" priority="648"/>
    <cfRule type="duplicateValues" dxfId="4664" priority="649"/>
    <cfRule type="duplicateValues" dxfId="4663" priority="650"/>
    <cfRule type="duplicateValues" dxfId="4662" priority="651"/>
    <cfRule type="duplicateValues" dxfId="4661" priority="652"/>
    <cfRule type="duplicateValues" dxfId="4660" priority="653"/>
    <cfRule type="duplicateValues" dxfId="4659" priority="654"/>
    <cfRule type="duplicateValues" dxfId="4658" priority="655"/>
    <cfRule type="duplicateValues" dxfId="4657" priority="656"/>
    <cfRule type="duplicateValues" dxfId="4656" priority="658"/>
    <cfRule type="duplicateValues" dxfId="4655" priority="660"/>
    <cfRule type="duplicateValues" dxfId="4654" priority="661"/>
    <cfRule type="duplicateValues" dxfId="4653" priority="662"/>
    <cfRule type="duplicateValues" dxfId="4652" priority="663"/>
    <cfRule type="duplicateValues" dxfId="4651" priority="664"/>
    <cfRule type="duplicateValues" dxfId="4650" priority="665"/>
    <cfRule type="duplicateValues" dxfId="4649" priority="666"/>
    <cfRule type="duplicateValues" dxfId="4648" priority="667"/>
    <cfRule type="duplicateValues" dxfId="4647" priority="668"/>
    <cfRule type="duplicateValues" dxfId="4646" priority="669"/>
    <cfRule type="duplicateValues" dxfId="4645" priority="670"/>
    <cfRule type="duplicateValues" dxfId="4644" priority="671"/>
    <cfRule type="duplicateValues" dxfId="4643" priority="672"/>
    <cfRule type="duplicateValues" dxfId="4642" priority="673"/>
    <cfRule type="duplicateValues" dxfId="4641" priority="647"/>
    <cfRule type="duplicateValues" dxfId="4640" priority="657"/>
    <cfRule type="duplicateValues" dxfId="4639" priority="635"/>
    <cfRule type="duplicateValues" dxfId="4638" priority="636"/>
    <cfRule type="duplicateValues" dxfId="4637" priority="637"/>
    <cfRule type="duplicateValues" dxfId="4636" priority="638"/>
    <cfRule type="duplicateValues" dxfId="4635" priority="639"/>
    <cfRule type="duplicateValues" dxfId="4634" priority="640"/>
    <cfRule type="duplicateValues" dxfId="4633" priority="641"/>
    <cfRule type="duplicateValues" dxfId="4632" priority="642"/>
  </conditionalFormatting>
  <conditionalFormatting sqref="C95">
    <cfRule type="duplicateValues" dxfId="4631" priority="1635"/>
    <cfRule type="duplicateValues" dxfId="4630" priority="1634"/>
  </conditionalFormatting>
  <conditionalFormatting sqref="C96">
    <cfRule type="duplicateValues" dxfId="4629" priority="1010"/>
    <cfRule type="duplicateValues" dxfId="4628" priority="1011"/>
    <cfRule type="duplicateValues" dxfId="4627" priority="1012"/>
    <cfRule type="duplicateValues" dxfId="4626" priority="1550"/>
    <cfRule type="duplicateValues" dxfId="4625" priority="1549"/>
    <cfRule type="duplicateValues" dxfId="4624" priority="1524"/>
    <cfRule type="duplicateValues" dxfId="4623" priority="1074"/>
    <cfRule type="duplicateValues" dxfId="4622" priority="1525"/>
    <cfRule type="duplicateValues" dxfId="4621" priority="1526"/>
    <cfRule type="duplicateValues" dxfId="4620" priority="1527"/>
    <cfRule type="duplicateValues" dxfId="4619" priority="1528"/>
    <cfRule type="duplicateValues" dxfId="4618" priority="1075"/>
    <cfRule type="duplicateValues" dxfId="4617" priority="1073"/>
    <cfRule type="duplicateValues" dxfId="4616" priority="1072"/>
    <cfRule type="duplicateValues" dxfId="4615" priority="1071"/>
    <cfRule type="duplicateValues" dxfId="4614" priority="1070"/>
    <cfRule type="duplicateValues" dxfId="4613" priority="1069"/>
    <cfRule type="duplicateValues" dxfId="4612" priority="1013"/>
    <cfRule type="duplicateValues" dxfId="4611" priority="1529"/>
    <cfRule type="duplicateValues" dxfId="4610" priority="1530"/>
    <cfRule type="duplicateValues" dxfId="4609" priority="1531"/>
    <cfRule type="duplicateValues" dxfId="4608" priority="1007"/>
    <cfRule type="duplicateValues" dxfId="4607" priority="1006"/>
    <cfRule type="duplicateValues" dxfId="4606" priority="1005"/>
    <cfRule type="duplicateValues" dxfId="4605" priority="1532"/>
    <cfRule type="duplicateValues" dxfId="4604" priority="1003"/>
    <cfRule type="duplicateValues" dxfId="4603" priority="1002"/>
    <cfRule type="duplicateValues" dxfId="4602" priority="1533"/>
    <cfRule type="duplicateValues" dxfId="4601" priority="1509"/>
    <cfRule type="duplicateValues" dxfId="4600" priority="1510"/>
    <cfRule type="duplicateValues" dxfId="4599" priority="1511"/>
    <cfRule type="duplicateValues" dxfId="4598" priority="1512"/>
    <cfRule type="duplicateValues" dxfId="4597" priority="1534"/>
    <cfRule type="duplicateValues" dxfId="4596" priority="1513"/>
    <cfRule type="duplicateValues" dxfId="4595" priority="1514"/>
    <cfRule type="duplicateValues" dxfId="4594" priority="1535"/>
    <cfRule type="duplicateValues" dxfId="4593" priority="1515"/>
    <cfRule type="duplicateValues" dxfId="4592" priority="1516"/>
    <cfRule type="duplicateValues" dxfId="4591" priority="1517"/>
    <cfRule type="duplicateValues" dxfId="4590" priority="1518"/>
    <cfRule type="duplicateValues" dxfId="4589" priority="1519"/>
    <cfRule type="duplicateValues" dxfId="4588" priority="1520"/>
    <cfRule type="duplicateValues" dxfId="4587" priority="1538"/>
    <cfRule type="duplicateValues" dxfId="4586" priority="1521"/>
    <cfRule type="duplicateValues" dxfId="4585" priority="1522"/>
    <cfRule type="duplicateValues" dxfId="4584" priority="1523"/>
    <cfRule type="duplicateValues" dxfId="4583" priority="1008"/>
    <cfRule type="duplicateValues" dxfId="4582" priority="1009"/>
    <cfRule type="duplicateValues" dxfId="4581" priority="1536"/>
    <cfRule type="duplicateValues" dxfId="4580" priority="1537"/>
    <cfRule type="duplicateValues" dxfId="4579" priority="1539"/>
    <cfRule type="duplicateValues" dxfId="4578" priority="1540"/>
    <cfRule type="duplicateValues" dxfId="4577" priority="1541"/>
    <cfRule type="duplicateValues" dxfId="4576" priority="1542"/>
    <cfRule type="duplicateValues" dxfId="4575" priority="1543"/>
    <cfRule type="duplicateValues" dxfId="4574" priority="1544"/>
    <cfRule type="duplicateValues" dxfId="4573" priority="1545"/>
    <cfRule type="duplicateValues" dxfId="4572" priority="1546"/>
    <cfRule type="duplicateValues" dxfId="4571" priority="1547"/>
    <cfRule type="duplicateValues" dxfId="4570" priority="1548"/>
    <cfRule type="duplicateValues" dxfId="4569" priority="1004"/>
  </conditionalFormatting>
  <conditionalFormatting sqref="C97">
    <cfRule type="duplicateValues" dxfId="4568" priority="1313"/>
    <cfRule type="duplicateValues" dxfId="4567" priority="1312"/>
    <cfRule type="duplicateValues" dxfId="4566" priority="1311"/>
    <cfRule type="duplicateValues" dxfId="4565" priority="1310"/>
    <cfRule type="duplicateValues" dxfId="4564" priority="1309"/>
    <cfRule type="duplicateValues" dxfId="4563" priority="1308"/>
    <cfRule type="duplicateValues" dxfId="4562" priority="1307"/>
    <cfRule type="duplicateValues" dxfId="4561" priority="1306"/>
    <cfRule type="duplicateValues" dxfId="4560" priority="1305"/>
    <cfRule type="duplicateValues" dxfId="4559" priority="1304"/>
    <cfRule type="duplicateValues" dxfId="4558" priority="1302"/>
    <cfRule type="duplicateValues" dxfId="4557" priority="1301"/>
    <cfRule type="duplicateValues" dxfId="4556" priority="1300"/>
    <cfRule type="duplicateValues" dxfId="4555" priority="1299"/>
    <cfRule type="duplicateValues" dxfId="4554" priority="1298"/>
    <cfRule type="duplicateValues" dxfId="4553" priority="1297"/>
    <cfRule type="duplicateValues" dxfId="4552" priority="1296"/>
    <cfRule type="duplicateValues" dxfId="4551" priority="1355"/>
    <cfRule type="duplicateValues" dxfId="4550" priority="1354"/>
    <cfRule type="duplicateValues" dxfId="4549" priority="1353"/>
    <cfRule type="duplicateValues" dxfId="4548" priority="1352"/>
    <cfRule type="duplicateValues" dxfId="4547" priority="1351"/>
    <cfRule type="duplicateValues" dxfId="4546" priority="1350"/>
    <cfRule type="duplicateValues" dxfId="4545" priority="1349"/>
    <cfRule type="duplicateValues" dxfId="4544" priority="1348"/>
    <cfRule type="duplicateValues" dxfId="4543" priority="1347"/>
    <cfRule type="duplicateValues" dxfId="4542" priority="1346"/>
    <cfRule type="duplicateValues" dxfId="4541" priority="1345"/>
    <cfRule type="duplicateValues" dxfId="4540" priority="1344"/>
    <cfRule type="duplicateValues" dxfId="4539" priority="1343"/>
    <cfRule type="duplicateValues" dxfId="4538" priority="1342"/>
    <cfRule type="duplicateValues" dxfId="4537" priority="1341"/>
    <cfRule type="duplicateValues" dxfId="4536" priority="1340"/>
    <cfRule type="duplicateValues" dxfId="4535" priority="1339"/>
    <cfRule type="duplicateValues" dxfId="4534" priority="1338"/>
    <cfRule type="duplicateValues" dxfId="4533" priority="1337"/>
    <cfRule type="duplicateValues" dxfId="4532" priority="1336"/>
    <cfRule type="duplicateValues" dxfId="4531" priority="1335"/>
    <cfRule type="duplicateValues" dxfId="4530" priority="1334"/>
    <cfRule type="duplicateValues" dxfId="4529" priority="1333"/>
    <cfRule type="duplicateValues" dxfId="4528" priority="1332"/>
    <cfRule type="duplicateValues" dxfId="4527" priority="1331"/>
    <cfRule type="duplicateValues" dxfId="4526" priority="1330"/>
    <cfRule type="duplicateValues" dxfId="4525" priority="1329"/>
    <cfRule type="duplicateValues" dxfId="4524" priority="1328"/>
    <cfRule type="duplicateValues" dxfId="4523" priority="1327"/>
    <cfRule type="duplicateValues" dxfId="4522" priority="1303"/>
    <cfRule type="duplicateValues" dxfId="4521" priority="1326"/>
    <cfRule type="duplicateValues" dxfId="4520" priority="1325"/>
    <cfRule type="duplicateValues" dxfId="4519" priority="1324"/>
    <cfRule type="duplicateValues" dxfId="4518" priority="1323"/>
    <cfRule type="duplicateValues" dxfId="4517" priority="1322"/>
    <cfRule type="duplicateValues" dxfId="4516" priority="1321"/>
    <cfRule type="duplicateValues" dxfId="4515" priority="1320"/>
    <cfRule type="duplicateValues" dxfId="4514" priority="1319"/>
    <cfRule type="duplicateValues" dxfId="4513" priority="1318"/>
    <cfRule type="duplicateValues" dxfId="4512" priority="1317"/>
    <cfRule type="duplicateValues" dxfId="4511" priority="1316"/>
    <cfRule type="duplicateValues" dxfId="4510" priority="1315"/>
    <cfRule type="duplicateValues" dxfId="4509" priority="1314"/>
  </conditionalFormatting>
  <conditionalFormatting sqref="C98 C113 C117:C118 C129 C131">
    <cfRule type="duplicateValues" dxfId="4508" priority="1597"/>
    <cfRule type="duplicateValues" dxfId="4507" priority="1596"/>
    <cfRule type="duplicateValues" dxfId="4506" priority="1595"/>
    <cfRule type="duplicateValues" dxfId="4505" priority="1594"/>
    <cfRule type="duplicateValues" dxfId="4504" priority="1593"/>
    <cfRule type="duplicateValues" dxfId="4503" priority="1592"/>
    <cfRule type="duplicateValues" dxfId="4502" priority="1591"/>
    <cfRule type="duplicateValues" dxfId="4501" priority="1584"/>
    <cfRule type="duplicateValues" dxfId="4500" priority="1585"/>
    <cfRule type="duplicateValues" dxfId="4499" priority="1586"/>
    <cfRule type="duplicateValues" dxfId="4498" priority="1587"/>
    <cfRule type="duplicateValues" dxfId="4497" priority="1588"/>
    <cfRule type="duplicateValues" dxfId="4496" priority="1605"/>
    <cfRule type="duplicateValues" dxfId="4495" priority="1589"/>
    <cfRule type="duplicateValues" dxfId="4494" priority="1603"/>
    <cfRule type="duplicateValues" dxfId="4493" priority="1602"/>
    <cfRule type="duplicateValues" dxfId="4492" priority="1601"/>
    <cfRule type="duplicateValues" dxfId="4491" priority="1600"/>
    <cfRule type="duplicateValues" dxfId="4490" priority="1599"/>
    <cfRule type="duplicateValues" dxfId="4489" priority="1598"/>
    <cfRule type="duplicateValues" dxfId="4488" priority="1590"/>
    <cfRule type="duplicateValues" dxfId="4487" priority="1604"/>
  </conditionalFormatting>
  <conditionalFormatting sqref="C98 C117:C118 C129 C131">
    <cfRule type="duplicateValues" dxfId="4486" priority="1583"/>
    <cfRule type="duplicateValues" dxfId="4485" priority="1573"/>
    <cfRule type="duplicateValues" dxfId="4484" priority="1551"/>
    <cfRule type="duplicateValues" dxfId="4483" priority="1552"/>
    <cfRule type="duplicateValues" dxfId="4482" priority="1553"/>
    <cfRule type="duplicateValues" dxfId="4481" priority="1554"/>
    <cfRule type="duplicateValues" dxfId="4480" priority="1555"/>
    <cfRule type="duplicateValues" dxfId="4479" priority="1556"/>
    <cfRule type="duplicateValues" dxfId="4478" priority="1557"/>
    <cfRule type="duplicateValues" dxfId="4477" priority="1558"/>
    <cfRule type="duplicateValues" dxfId="4476" priority="1559"/>
    <cfRule type="duplicateValues" dxfId="4475" priority="1560"/>
    <cfRule type="duplicateValues" dxfId="4474" priority="1561"/>
    <cfRule type="duplicateValues" dxfId="4473" priority="1562"/>
    <cfRule type="duplicateValues" dxfId="4472" priority="1563"/>
    <cfRule type="duplicateValues" dxfId="4471" priority="1564"/>
    <cfRule type="duplicateValues" dxfId="4470" priority="1565"/>
    <cfRule type="duplicateValues" dxfId="4469" priority="1566"/>
    <cfRule type="duplicateValues" dxfId="4468" priority="1567"/>
    <cfRule type="duplicateValues" dxfId="4467" priority="1568"/>
    <cfRule type="duplicateValues" dxfId="4466" priority="1569"/>
    <cfRule type="duplicateValues" dxfId="4465" priority="1570"/>
    <cfRule type="duplicateValues" dxfId="4464" priority="1571"/>
    <cfRule type="duplicateValues" dxfId="4463" priority="1572"/>
    <cfRule type="duplicateValues" dxfId="4462" priority="1574"/>
    <cfRule type="duplicateValues" dxfId="4461" priority="1575"/>
    <cfRule type="duplicateValues" dxfId="4460" priority="1576"/>
    <cfRule type="duplicateValues" dxfId="4459" priority="1577"/>
    <cfRule type="duplicateValues" dxfId="4458" priority="1578"/>
    <cfRule type="duplicateValues" dxfId="4457" priority="1579"/>
    <cfRule type="duplicateValues" dxfId="4456" priority="1580"/>
    <cfRule type="duplicateValues" dxfId="4455" priority="1581"/>
    <cfRule type="duplicateValues" dxfId="4454" priority="1582"/>
  </conditionalFormatting>
  <conditionalFormatting sqref="C98">
    <cfRule type="duplicateValues" dxfId="4453" priority="1359"/>
    <cfRule type="duplicateValues" dxfId="4452" priority="1361"/>
    <cfRule type="duplicateValues" dxfId="4451" priority="1360"/>
    <cfRule type="duplicateValues" dxfId="4450" priority="1358"/>
    <cfRule type="duplicateValues" dxfId="4449" priority="1357"/>
    <cfRule type="duplicateValues" dxfId="4448" priority="1356"/>
  </conditionalFormatting>
  <conditionalFormatting sqref="C99">
    <cfRule type="duplicateValues" dxfId="4447" priority="1728"/>
    <cfRule type="duplicateValues" dxfId="4446" priority="1727"/>
    <cfRule type="duplicateValues" dxfId="4445" priority="1707"/>
    <cfRule type="duplicateValues" dxfId="4444" priority="1708"/>
    <cfRule type="duplicateValues" dxfId="4443" priority="1710"/>
    <cfRule type="duplicateValues" dxfId="4442" priority="1712"/>
    <cfRule type="duplicateValues" dxfId="4441" priority="1738"/>
    <cfRule type="duplicateValues" dxfId="4440" priority="1713"/>
    <cfRule type="duplicateValues" dxfId="4439" priority="1714"/>
    <cfRule type="duplicateValues" dxfId="4438" priority="1725"/>
    <cfRule type="duplicateValues" dxfId="4437" priority="1724"/>
    <cfRule type="duplicateValues" dxfId="4436" priority="1723"/>
    <cfRule type="duplicateValues" dxfId="4435" priority="1722"/>
    <cfRule type="duplicateValues" dxfId="4434" priority="1721"/>
    <cfRule type="duplicateValues" dxfId="4433" priority="1720"/>
    <cfRule type="duplicateValues" dxfId="4432" priority="1726"/>
    <cfRule type="duplicateValues" dxfId="4431" priority="1715"/>
    <cfRule type="duplicateValues" dxfId="4430" priority="1717"/>
    <cfRule type="duplicateValues" dxfId="4429" priority="1716"/>
    <cfRule type="duplicateValues" dxfId="4428" priority="1711"/>
    <cfRule type="duplicateValues" dxfId="4427" priority="924"/>
    <cfRule type="duplicateValues" dxfId="4426" priority="925"/>
    <cfRule type="duplicateValues" dxfId="4425" priority="1719"/>
    <cfRule type="duplicateValues" dxfId="4424" priority="927"/>
    <cfRule type="duplicateValues" dxfId="4423" priority="928"/>
    <cfRule type="duplicateValues" dxfId="4422" priority="929"/>
    <cfRule type="duplicateValues" dxfId="4421" priority="930"/>
    <cfRule type="duplicateValues" dxfId="4420" priority="1718"/>
    <cfRule type="duplicateValues" dxfId="4419" priority="1709"/>
    <cfRule type="duplicateValues" dxfId="4418" priority="926"/>
    <cfRule type="duplicateValues" dxfId="4417" priority="1731"/>
    <cfRule type="duplicateValues" dxfId="4416" priority="1730"/>
    <cfRule type="duplicateValues" dxfId="4415" priority="1729"/>
    <cfRule type="duplicateValues" dxfId="4414" priority="1732"/>
    <cfRule type="duplicateValues" dxfId="4413" priority="1733"/>
    <cfRule type="duplicateValues" dxfId="4412" priority="1734"/>
    <cfRule type="duplicateValues" dxfId="4411" priority="1735"/>
    <cfRule type="duplicateValues" dxfId="4410" priority="1736"/>
    <cfRule type="duplicateValues" dxfId="4409" priority="1737"/>
    <cfRule type="duplicateValues" dxfId="4408" priority="1739"/>
    <cfRule type="duplicateValues" dxfId="4407" priority="1740"/>
    <cfRule type="duplicateValues" dxfId="4406" priority="1741"/>
    <cfRule type="duplicateValues" dxfId="4405" priority="1742"/>
    <cfRule type="duplicateValues" dxfId="4404" priority="1743"/>
    <cfRule type="duplicateValues" dxfId="4403" priority="1744"/>
    <cfRule type="duplicateValues" dxfId="4402" priority="1745"/>
    <cfRule type="duplicateValues" dxfId="4401" priority="1746"/>
    <cfRule type="duplicateValues" dxfId="4400" priority="1747"/>
    <cfRule type="duplicateValues" dxfId="4399" priority="1748"/>
    <cfRule type="duplicateValues" dxfId="4398" priority="1749"/>
  </conditionalFormatting>
  <conditionalFormatting sqref="C100 C124">
    <cfRule type="duplicateValues" dxfId="4397" priority="1630"/>
    <cfRule type="duplicateValues" dxfId="4396" priority="1629"/>
    <cfRule type="duplicateValues" dxfId="4395" priority="1628"/>
    <cfRule type="duplicateValues" dxfId="4394" priority="1627"/>
    <cfRule type="duplicateValues" dxfId="4393" priority="1626"/>
    <cfRule type="duplicateValues" dxfId="4392" priority="1625"/>
    <cfRule type="duplicateValues" dxfId="4391" priority="1624"/>
    <cfRule type="duplicateValues" dxfId="4390" priority="1623"/>
    <cfRule type="duplicateValues" dxfId="4389" priority="1621"/>
    <cfRule type="duplicateValues" dxfId="4388" priority="1620"/>
    <cfRule type="duplicateValues" dxfId="4387" priority="1618"/>
    <cfRule type="duplicateValues" dxfId="4386" priority="1617"/>
    <cfRule type="duplicateValues" dxfId="4385" priority="1616"/>
    <cfRule type="duplicateValues" dxfId="4384" priority="1615"/>
    <cfRule type="duplicateValues" dxfId="4383" priority="1614"/>
    <cfRule type="duplicateValues" dxfId="4382" priority="1613"/>
    <cfRule type="duplicateValues" dxfId="4381" priority="1622"/>
    <cfRule type="duplicateValues" dxfId="4380" priority="1612"/>
    <cfRule type="duplicateValues" dxfId="4379" priority="1619"/>
    <cfRule type="duplicateValues" dxfId="4378" priority="1610"/>
    <cfRule type="duplicateValues" dxfId="4377" priority="1609"/>
    <cfRule type="duplicateValues" dxfId="4376" priority="1608"/>
    <cfRule type="duplicateValues" dxfId="4375" priority="1607"/>
    <cfRule type="duplicateValues" dxfId="4374" priority="1606"/>
    <cfRule type="duplicateValues" dxfId="4373" priority="1611"/>
    <cfRule type="duplicateValues" dxfId="4372" priority="1633"/>
    <cfRule type="duplicateValues" dxfId="4371" priority="1631"/>
    <cfRule type="duplicateValues" dxfId="4370" priority="1632"/>
  </conditionalFormatting>
  <conditionalFormatting sqref="C100">
    <cfRule type="duplicateValues" dxfId="4369" priority="1403"/>
    <cfRule type="duplicateValues" dxfId="4368" priority="1402"/>
    <cfRule type="duplicateValues" dxfId="4367" priority="1401"/>
    <cfRule type="duplicateValues" dxfId="4366" priority="1405"/>
    <cfRule type="duplicateValues" dxfId="4365" priority="1407"/>
    <cfRule type="duplicateValues" dxfId="4364" priority="1406"/>
    <cfRule type="duplicateValues" dxfId="4363" priority="1404"/>
  </conditionalFormatting>
  <conditionalFormatting sqref="C101">
    <cfRule type="duplicateValues" dxfId="4362" priority="820"/>
    <cfRule type="duplicateValues" dxfId="4361" priority="819"/>
  </conditionalFormatting>
  <conditionalFormatting sqref="C102 C127">
    <cfRule type="duplicateValues" dxfId="4360" priority="909"/>
    <cfRule type="duplicateValues" dxfId="4359" priority="879"/>
    <cfRule type="duplicateValues" dxfId="4358" priority="911"/>
    <cfRule type="duplicateValues" dxfId="4357" priority="912"/>
    <cfRule type="duplicateValues" dxfId="4356" priority="913"/>
    <cfRule type="duplicateValues" dxfId="4355" priority="914"/>
    <cfRule type="duplicateValues" dxfId="4354" priority="915"/>
    <cfRule type="duplicateValues" dxfId="4353" priority="916"/>
    <cfRule type="duplicateValues" dxfId="4352" priority="917"/>
    <cfRule type="duplicateValues" dxfId="4351" priority="918"/>
    <cfRule type="duplicateValues" dxfId="4350" priority="919"/>
    <cfRule type="duplicateValues" dxfId="4349" priority="920"/>
    <cfRule type="duplicateValues" dxfId="4348" priority="921"/>
    <cfRule type="duplicateValues" dxfId="4347" priority="922"/>
    <cfRule type="duplicateValues" dxfId="4346" priority="923"/>
    <cfRule type="duplicateValues" dxfId="4345" priority="910"/>
    <cfRule type="duplicateValues" dxfId="4344" priority="877"/>
    <cfRule type="duplicateValues" dxfId="4343" priority="876"/>
    <cfRule type="duplicateValues" dxfId="4342" priority="875"/>
    <cfRule type="duplicateValues" dxfId="4341" priority="878"/>
    <cfRule type="duplicateValues" dxfId="4340" priority="874"/>
    <cfRule type="duplicateValues" dxfId="4339" priority="873"/>
    <cfRule type="duplicateValues" dxfId="4338" priority="867"/>
    <cfRule type="duplicateValues" dxfId="4337" priority="866"/>
    <cfRule type="duplicateValues" dxfId="4336" priority="865"/>
    <cfRule type="duplicateValues" dxfId="4335" priority="864"/>
    <cfRule type="duplicateValues" dxfId="4334" priority="863"/>
    <cfRule type="duplicateValues" dxfId="4333" priority="862"/>
    <cfRule type="duplicateValues" dxfId="4332" priority="872"/>
    <cfRule type="duplicateValues" dxfId="4331" priority="871"/>
    <cfRule type="duplicateValues" dxfId="4330" priority="870"/>
    <cfRule type="duplicateValues" dxfId="4329" priority="869"/>
    <cfRule type="duplicateValues" dxfId="4328" priority="868"/>
    <cfRule type="duplicateValues" dxfId="4327" priority="887"/>
    <cfRule type="duplicateValues" dxfId="4326" priority="889"/>
    <cfRule type="duplicateValues" dxfId="4325" priority="890"/>
    <cfRule type="duplicateValues" dxfId="4324" priority="886"/>
    <cfRule type="duplicateValues" dxfId="4323" priority="885"/>
    <cfRule type="duplicateValues" dxfId="4322" priority="884"/>
    <cfRule type="duplicateValues" dxfId="4321" priority="883"/>
    <cfRule type="duplicateValues" dxfId="4320" priority="882"/>
    <cfRule type="duplicateValues" dxfId="4319" priority="881"/>
    <cfRule type="duplicateValues" dxfId="4318" priority="880"/>
    <cfRule type="duplicateValues" dxfId="4317" priority="891"/>
    <cfRule type="duplicateValues" dxfId="4316" priority="892"/>
    <cfRule type="duplicateValues" dxfId="4315" priority="893"/>
    <cfRule type="duplicateValues" dxfId="4314" priority="894"/>
    <cfRule type="duplicateValues" dxfId="4313" priority="895"/>
    <cfRule type="duplicateValues" dxfId="4312" priority="896"/>
    <cfRule type="duplicateValues" dxfId="4311" priority="897"/>
    <cfRule type="duplicateValues" dxfId="4310" priority="898"/>
    <cfRule type="duplicateValues" dxfId="4309" priority="899"/>
    <cfRule type="duplicateValues" dxfId="4308" priority="900"/>
    <cfRule type="duplicateValues" dxfId="4307" priority="901"/>
    <cfRule type="duplicateValues" dxfId="4306" priority="902"/>
    <cfRule type="duplicateValues" dxfId="4305" priority="903"/>
    <cfRule type="duplicateValues" dxfId="4304" priority="904"/>
    <cfRule type="duplicateValues" dxfId="4303" priority="905"/>
    <cfRule type="duplicateValues" dxfId="4302" priority="906"/>
    <cfRule type="duplicateValues" dxfId="4301" priority="907"/>
    <cfRule type="duplicateValues" dxfId="4300" priority="908"/>
    <cfRule type="duplicateValues" dxfId="4299" priority="888"/>
  </conditionalFormatting>
  <conditionalFormatting sqref="C108 C138">
    <cfRule type="duplicateValues" dxfId="4298" priority="1431"/>
    <cfRule type="duplicateValues" dxfId="4297" priority="1432"/>
    <cfRule type="duplicateValues" dxfId="4296" priority="1433"/>
    <cfRule type="duplicateValues" dxfId="4295" priority="1434"/>
    <cfRule type="duplicateValues" dxfId="4294" priority="1435"/>
    <cfRule type="duplicateValues" dxfId="4293" priority="1436"/>
    <cfRule type="duplicateValues" dxfId="4292" priority="1437"/>
    <cfRule type="duplicateValues" dxfId="4291" priority="1438"/>
    <cfRule type="duplicateValues" dxfId="4290" priority="1439"/>
    <cfRule type="duplicateValues" dxfId="4289" priority="1440"/>
    <cfRule type="duplicateValues" dxfId="4288" priority="1442"/>
    <cfRule type="duplicateValues" dxfId="4287" priority="1443"/>
    <cfRule type="duplicateValues" dxfId="4286" priority="1444"/>
    <cfRule type="duplicateValues" dxfId="4285" priority="1445"/>
    <cfRule type="duplicateValues" dxfId="4284" priority="1446"/>
    <cfRule type="duplicateValues" dxfId="4283" priority="1447"/>
    <cfRule type="duplicateValues" dxfId="4282" priority="1448"/>
    <cfRule type="duplicateValues" dxfId="4281" priority="1449"/>
    <cfRule type="duplicateValues" dxfId="4280" priority="1450"/>
    <cfRule type="duplicateValues" dxfId="4279" priority="1451"/>
    <cfRule type="duplicateValues" dxfId="4278" priority="1452"/>
    <cfRule type="duplicateValues" dxfId="4277" priority="1453"/>
    <cfRule type="duplicateValues" dxfId="4276" priority="931"/>
    <cfRule type="duplicateValues" dxfId="4275" priority="932"/>
    <cfRule type="duplicateValues" dxfId="4274" priority="933"/>
    <cfRule type="duplicateValues" dxfId="4273" priority="934"/>
    <cfRule type="duplicateValues" dxfId="4272" priority="935"/>
    <cfRule type="duplicateValues" dxfId="4271" priority="936"/>
    <cfRule type="duplicateValues" dxfId="4270" priority="937"/>
    <cfRule type="duplicateValues" dxfId="4269" priority="938"/>
    <cfRule type="duplicateValues" dxfId="4268" priority="939"/>
    <cfRule type="duplicateValues" dxfId="4267" priority="940"/>
    <cfRule type="duplicateValues" dxfId="4266" priority="941"/>
    <cfRule type="duplicateValues" dxfId="4265" priority="942"/>
    <cfRule type="duplicateValues" dxfId="4264" priority="943"/>
    <cfRule type="duplicateValues" dxfId="4263" priority="1441"/>
    <cfRule type="duplicateValues" dxfId="4262" priority="1412"/>
    <cfRule type="duplicateValues" dxfId="4261" priority="1413"/>
    <cfRule type="duplicateValues" dxfId="4260" priority="1414"/>
    <cfRule type="duplicateValues" dxfId="4259" priority="1415"/>
    <cfRule type="duplicateValues" dxfId="4258" priority="1416"/>
    <cfRule type="duplicateValues" dxfId="4257" priority="1417"/>
    <cfRule type="duplicateValues" dxfId="4256" priority="1418"/>
    <cfRule type="duplicateValues" dxfId="4255" priority="1419"/>
    <cfRule type="duplicateValues" dxfId="4254" priority="1420"/>
    <cfRule type="duplicateValues" dxfId="4253" priority="1421"/>
    <cfRule type="duplicateValues" dxfId="4252" priority="1422"/>
    <cfRule type="duplicateValues" dxfId="4251" priority="1423"/>
    <cfRule type="duplicateValues" dxfId="4250" priority="1424"/>
    <cfRule type="duplicateValues" dxfId="4249" priority="1425"/>
    <cfRule type="duplicateValues" dxfId="4248" priority="1426"/>
    <cfRule type="duplicateValues" dxfId="4247" priority="1427"/>
    <cfRule type="duplicateValues" dxfId="4246" priority="1428"/>
    <cfRule type="duplicateValues" dxfId="4245" priority="1429"/>
    <cfRule type="duplicateValues" dxfId="4244" priority="1430"/>
  </conditionalFormatting>
  <conditionalFormatting sqref="C109">
    <cfRule type="duplicateValues" dxfId="4243" priority="1656"/>
    <cfRule type="duplicateValues" dxfId="4242" priority="1657"/>
    <cfRule type="duplicateValues" dxfId="4241" priority="1658"/>
    <cfRule type="duplicateValues" dxfId="4240" priority="1659"/>
    <cfRule type="duplicateValues" dxfId="4239" priority="1660"/>
    <cfRule type="duplicateValues" dxfId="4238" priority="1661"/>
    <cfRule type="duplicateValues" dxfId="4237" priority="1662"/>
    <cfRule type="duplicateValues" dxfId="4236" priority="1663"/>
    <cfRule type="duplicateValues" dxfId="4235" priority="1664"/>
    <cfRule type="duplicateValues" dxfId="4234" priority="1665"/>
    <cfRule type="duplicateValues" dxfId="4233" priority="1666"/>
    <cfRule type="duplicateValues" dxfId="4232" priority="1667"/>
    <cfRule type="duplicateValues" dxfId="4231" priority="1668"/>
    <cfRule type="duplicateValues" dxfId="4230" priority="1669"/>
    <cfRule type="duplicateValues" dxfId="4229" priority="1670"/>
    <cfRule type="duplicateValues" dxfId="4228" priority="1671"/>
    <cfRule type="duplicateValues" dxfId="4227" priority="1672"/>
    <cfRule type="duplicateValues" dxfId="4226" priority="1673"/>
    <cfRule type="duplicateValues" dxfId="4225" priority="1674"/>
    <cfRule type="duplicateValues" dxfId="4224" priority="1675"/>
    <cfRule type="duplicateValues" dxfId="4223" priority="1676"/>
    <cfRule type="duplicateValues" dxfId="4222" priority="1689"/>
    <cfRule type="duplicateValues" dxfId="4221" priority="1677"/>
    <cfRule type="duplicateValues" dxfId="4220" priority="1678"/>
    <cfRule type="duplicateValues" dxfId="4219" priority="1688"/>
    <cfRule type="duplicateValues" dxfId="4218" priority="1680"/>
    <cfRule type="duplicateValues" dxfId="4217" priority="1681"/>
    <cfRule type="duplicateValues" dxfId="4216" priority="1682"/>
    <cfRule type="duplicateValues" dxfId="4215" priority="1683"/>
    <cfRule type="duplicateValues" dxfId="4214" priority="1684"/>
    <cfRule type="duplicateValues" dxfId="4213" priority="1685"/>
    <cfRule type="duplicateValues" dxfId="4212" priority="1686"/>
    <cfRule type="duplicateValues" dxfId="4211" priority="1636"/>
    <cfRule type="duplicateValues" dxfId="4210" priority="1637"/>
    <cfRule type="duplicateValues" dxfId="4209" priority="1638"/>
    <cfRule type="duplicateValues" dxfId="4208" priority="1639"/>
    <cfRule type="duplicateValues" dxfId="4207" priority="1640"/>
    <cfRule type="duplicateValues" dxfId="4206" priority="1641"/>
    <cfRule type="duplicateValues" dxfId="4205" priority="1642"/>
    <cfRule type="duplicateValues" dxfId="4204" priority="1643"/>
    <cfRule type="duplicateValues" dxfId="4203" priority="1644"/>
    <cfRule type="duplicateValues" dxfId="4202" priority="1645"/>
    <cfRule type="duplicateValues" dxfId="4201" priority="1687"/>
    <cfRule type="duplicateValues" dxfId="4200" priority="1647"/>
    <cfRule type="duplicateValues" dxfId="4199" priority="1648"/>
    <cfRule type="duplicateValues" dxfId="4198" priority="1649"/>
    <cfRule type="duplicateValues" dxfId="4197" priority="1650"/>
    <cfRule type="duplicateValues" dxfId="4196" priority="1651"/>
    <cfRule type="duplicateValues" dxfId="4195" priority="1652"/>
    <cfRule type="duplicateValues" dxfId="4194" priority="1653"/>
    <cfRule type="duplicateValues" dxfId="4193" priority="1654"/>
    <cfRule type="duplicateValues" dxfId="4192" priority="1655"/>
    <cfRule type="duplicateValues" dxfId="4191" priority="1690"/>
    <cfRule type="duplicateValues" dxfId="4190" priority="1691"/>
    <cfRule type="duplicateValues" dxfId="4189" priority="1692"/>
    <cfRule type="duplicateValues" dxfId="4188" priority="1693"/>
    <cfRule type="duplicateValues" dxfId="4187" priority="1694"/>
    <cfRule type="duplicateValues" dxfId="4186" priority="1695"/>
    <cfRule type="duplicateValues" dxfId="4185" priority="1696"/>
    <cfRule type="duplicateValues" dxfId="4184" priority="1646"/>
    <cfRule type="duplicateValues" dxfId="4183" priority="1679"/>
  </conditionalFormatting>
  <conditionalFormatting sqref="C110">
    <cfRule type="duplicateValues" dxfId="4182" priority="1047"/>
    <cfRule type="duplicateValues" dxfId="4181" priority="1048"/>
    <cfRule type="duplicateValues" dxfId="4180" priority="1049"/>
    <cfRule type="duplicateValues" dxfId="4179" priority="1050"/>
    <cfRule type="duplicateValues" dxfId="4178" priority="1051"/>
    <cfRule type="duplicateValues" dxfId="4177" priority="1052"/>
    <cfRule type="duplicateValues" dxfId="4176" priority="1053"/>
    <cfRule type="duplicateValues" dxfId="4175" priority="1054"/>
    <cfRule type="duplicateValues" dxfId="4174" priority="1055"/>
    <cfRule type="duplicateValues" dxfId="4173" priority="1056"/>
    <cfRule type="duplicateValues" dxfId="4172" priority="1057"/>
    <cfRule type="duplicateValues" dxfId="4171" priority="1058"/>
    <cfRule type="duplicateValues" dxfId="4170" priority="1060"/>
    <cfRule type="duplicateValues" dxfId="4169" priority="1061"/>
    <cfRule type="duplicateValues" dxfId="4168" priority="1062"/>
    <cfRule type="duplicateValues" dxfId="4167" priority="1063"/>
    <cfRule type="duplicateValues" dxfId="4166" priority="1064"/>
    <cfRule type="duplicateValues" dxfId="4165" priority="1066"/>
    <cfRule type="duplicateValues" dxfId="4164" priority="1065"/>
    <cfRule type="duplicateValues" dxfId="4163" priority="1067"/>
    <cfRule type="duplicateValues" dxfId="4162" priority="1068"/>
    <cfRule type="duplicateValues" dxfId="4161" priority="1026"/>
    <cfRule type="duplicateValues" dxfId="4160" priority="1025"/>
    <cfRule type="duplicateValues" dxfId="4159" priority="1024"/>
    <cfRule type="duplicateValues" dxfId="4158" priority="1059"/>
    <cfRule type="duplicateValues" dxfId="4157" priority="1038"/>
    <cfRule type="duplicateValues" dxfId="4156" priority="1039"/>
    <cfRule type="duplicateValues" dxfId="4155" priority="1040"/>
    <cfRule type="duplicateValues" dxfId="4154" priority="1041"/>
    <cfRule type="duplicateValues" dxfId="4153" priority="1042"/>
    <cfRule type="duplicateValues" dxfId="4152" priority="1043"/>
    <cfRule type="duplicateValues" dxfId="4151" priority="1044"/>
    <cfRule type="duplicateValues" dxfId="4150" priority="1023"/>
    <cfRule type="duplicateValues" dxfId="4149" priority="1022"/>
    <cfRule type="duplicateValues" dxfId="4148" priority="1021"/>
    <cfRule type="duplicateValues" dxfId="4147" priority="1020"/>
    <cfRule type="duplicateValues" dxfId="4146" priority="1018"/>
    <cfRule type="duplicateValues" dxfId="4145" priority="1017"/>
    <cfRule type="duplicateValues" dxfId="4144" priority="1016"/>
    <cfRule type="duplicateValues" dxfId="4143" priority="1015"/>
    <cfRule type="duplicateValues" dxfId="4142" priority="1014"/>
    <cfRule type="duplicateValues" dxfId="4141" priority="1027"/>
    <cfRule type="duplicateValues" dxfId="4140" priority="1045"/>
    <cfRule type="duplicateValues" dxfId="4139" priority="1046"/>
    <cfRule type="duplicateValues" dxfId="4138" priority="1028"/>
    <cfRule type="duplicateValues" dxfId="4137" priority="1029"/>
    <cfRule type="duplicateValues" dxfId="4136" priority="1030"/>
    <cfRule type="duplicateValues" dxfId="4135" priority="1019"/>
    <cfRule type="duplicateValues" dxfId="4134" priority="1031"/>
    <cfRule type="duplicateValues" dxfId="4133" priority="1032"/>
    <cfRule type="duplicateValues" dxfId="4132" priority="1033"/>
    <cfRule type="duplicateValues" dxfId="4131" priority="1034"/>
    <cfRule type="duplicateValues" dxfId="4130" priority="1035"/>
    <cfRule type="duplicateValues" dxfId="4129" priority="1036"/>
    <cfRule type="duplicateValues" dxfId="4128" priority="1037"/>
  </conditionalFormatting>
  <conditionalFormatting sqref="C112 C104:C106">
    <cfRule type="duplicateValues" dxfId="4127" priority="1791"/>
    <cfRule type="duplicateValues" dxfId="4126" priority="1790"/>
    <cfRule type="duplicateValues" dxfId="4125" priority="1789"/>
    <cfRule type="duplicateValues" dxfId="4124" priority="1788"/>
    <cfRule type="duplicateValues" dxfId="4123" priority="1787"/>
    <cfRule type="duplicateValues" dxfId="4122" priority="1786"/>
    <cfRule type="duplicateValues" dxfId="4121" priority="1785"/>
  </conditionalFormatting>
  <conditionalFormatting sqref="C113">
    <cfRule type="duplicateValues" dxfId="4120" priority="1397"/>
  </conditionalFormatting>
  <conditionalFormatting sqref="C116 C133:C135 C114">
    <cfRule type="duplicateValues" dxfId="4119" priority="1780"/>
    <cfRule type="duplicateValues" dxfId="4118" priority="1779"/>
    <cfRule type="duplicateValues" dxfId="4117" priority="1782"/>
    <cfRule type="duplicateValues" dxfId="4116" priority="1783"/>
    <cfRule type="duplicateValues" dxfId="4115" priority="1784"/>
    <cfRule type="duplicateValues" dxfId="4114" priority="1778"/>
    <cfRule type="duplicateValues" dxfId="4113" priority="1777"/>
    <cfRule type="duplicateValues" dxfId="4112" priority="1776"/>
    <cfRule type="duplicateValues" dxfId="4111" priority="1775"/>
    <cfRule type="duplicateValues" dxfId="4110" priority="1781"/>
  </conditionalFormatting>
  <conditionalFormatting sqref="C116 C133:C135 C119 C114 C122">
    <cfRule type="duplicateValues" dxfId="4109" priority="1765"/>
    <cfRule type="duplicateValues" dxfId="4108" priority="1766"/>
    <cfRule type="duplicateValues" dxfId="4107" priority="1767"/>
    <cfRule type="duplicateValues" dxfId="4106" priority="1768"/>
    <cfRule type="duplicateValues" dxfId="4105" priority="1769"/>
    <cfRule type="duplicateValues" dxfId="4104" priority="1770"/>
    <cfRule type="duplicateValues" dxfId="4103" priority="1771"/>
    <cfRule type="duplicateValues" dxfId="4102" priority="1772"/>
    <cfRule type="duplicateValues" dxfId="4101" priority="1773"/>
    <cfRule type="duplicateValues" dxfId="4100" priority="1774"/>
    <cfRule type="duplicateValues" dxfId="4099" priority="1751"/>
    <cfRule type="duplicateValues" dxfId="4098" priority="1752"/>
    <cfRule type="duplicateValues" dxfId="4097" priority="1753"/>
    <cfRule type="duplicateValues" dxfId="4096" priority="1754"/>
    <cfRule type="duplicateValues" dxfId="4095" priority="1755"/>
    <cfRule type="duplicateValues" dxfId="4094" priority="1756"/>
    <cfRule type="duplicateValues" dxfId="4093" priority="1757"/>
    <cfRule type="duplicateValues" dxfId="4092" priority="1758"/>
    <cfRule type="duplicateValues" dxfId="4091" priority="1759"/>
    <cfRule type="duplicateValues" dxfId="4090" priority="1760"/>
    <cfRule type="duplicateValues" dxfId="4089" priority="1761"/>
    <cfRule type="duplicateValues" dxfId="4088" priority="1762"/>
    <cfRule type="duplicateValues" dxfId="4087" priority="1763"/>
    <cfRule type="duplicateValues" dxfId="4086" priority="1764"/>
  </conditionalFormatting>
  <conditionalFormatting sqref="C119 C122">
    <cfRule type="duplicateValues" dxfId="4085" priority="1411"/>
    <cfRule type="duplicateValues" dxfId="4084" priority="1410"/>
    <cfRule type="duplicateValues" dxfId="4083" priority="1409"/>
    <cfRule type="duplicateValues" dxfId="4082" priority="1408"/>
  </conditionalFormatting>
  <conditionalFormatting sqref="C119">
    <cfRule type="duplicateValues" dxfId="4081" priority="823"/>
    <cfRule type="duplicateValues" dxfId="4080" priority="824"/>
    <cfRule type="duplicateValues" dxfId="4079" priority="825"/>
    <cfRule type="duplicateValues" dxfId="4078" priority="826"/>
    <cfRule type="duplicateValues" dxfId="4077" priority="827"/>
    <cfRule type="duplicateValues" dxfId="4076" priority="828"/>
    <cfRule type="duplicateValues" dxfId="4075" priority="830"/>
    <cfRule type="duplicateValues" dxfId="4074" priority="829"/>
  </conditionalFormatting>
  <conditionalFormatting sqref="C120">
    <cfRule type="duplicateValues" dxfId="4073" priority="1395"/>
    <cfRule type="duplicateValues" dxfId="4072" priority="1396"/>
    <cfRule type="duplicateValues" dxfId="4071" priority="1369"/>
    <cfRule type="duplicateValues" dxfId="4070" priority="1370"/>
    <cfRule type="duplicateValues" dxfId="4069" priority="1371"/>
    <cfRule type="duplicateValues" dxfId="4068" priority="1372"/>
    <cfRule type="duplicateValues" dxfId="4067" priority="1373"/>
    <cfRule type="duplicateValues" dxfId="4066" priority="1374"/>
    <cfRule type="duplicateValues" dxfId="4065" priority="1375"/>
    <cfRule type="duplicateValues" dxfId="4064" priority="1376"/>
    <cfRule type="duplicateValues" dxfId="4063" priority="1377"/>
    <cfRule type="duplicateValues" dxfId="4062" priority="1378"/>
    <cfRule type="duplicateValues" dxfId="4061" priority="1379"/>
    <cfRule type="duplicateValues" dxfId="4060" priority="1380"/>
    <cfRule type="duplicateValues" dxfId="4059" priority="1381"/>
    <cfRule type="duplicateValues" dxfId="4058" priority="1382"/>
    <cfRule type="duplicateValues" dxfId="4057" priority="1383"/>
    <cfRule type="duplicateValues" dxfId="4056" priority="1384"/>
    <cfRule type="duplicateValues" dxfId="4055" priority="1385"/>
    <cfRule type="duplicateValues" dxfId="4054" priority="1386"/>
    <cfRule type="duplicateValues" dxfId="4053" priority="1387"/>
    <cfRule type="duplicateValues" dxfId="4052" priority="1388"/>
    <cfRule type="duplicateValues" dxfId="4051" priority="1389"/>
    <cfRule type="duplicateValues" dxfId="4050" priority="1390"/>
    <cfRule type="duplicateValues" dxfId="4049" priority="1391"/>
    <cfRule type="duplicateValues" dxfId="4048" priority="1392"/>
    <cfRule type="duplicateValues" dxfId="4047" priority="1393"/>
    <cfRule type="duplicateValues" dxfId="4046" priority="1394"/>
    <cfRule type="duplicateValues" dxfId="4045" priority="1362"/>
    <cfRule type="duplicateValues" dxfId="4044" priority="1363"/>
    <cfRule type="duplicateValues" dxfId="4043" priority="1364"/>
    <cfRule type="duplicateValues" dxfId="4042" priority="1365"/>
    <cfRule type="duplicateValues" dxfId="4041" priority="1366"/>
    <cfRule type="duplicateValues" dxfId="4040" priority="1367"/>
    <cfRule type="duplicateValues" dxfId="4039" priority="1368"/>
  </conditionalFormatting>
  <conditionalFormatting sqref="C121">
    <cfRule type="duplicateValues" dxfId="4038" priority="822"/>
    <cfRule type="duplicateValues" dxfId="4037" priority="821"/>
  </conditionalFormatting>
  <conditionalFormatting sqref="C122">
    <cfRule type="duplicateValues" dxfId="4036" priority="850"/>
    <cfRule type="duplicateValues" dxfId="4035" priority="853"/>
    <cfRule type="duplicateValues" dxfId="4034" priority="861"/>
    <cfRule type="duplicateValues" dxfId="4033" priority="833"/>
    <cfRule type="duplicateValues" dxfId="4032" priority="832"/>
    <cfRule type="duplicateValues" dxfId="4031" priority="831"/>
    <cfRule type="duplicateValues" dxfId="4030" priority="860"/>
    <cfRule type="duplicateValues" dxfId="4029" priority="859"/>
    <cfRule type="duplicateValues" dxfId="4028" priority="858"/>
    <cfRule type="duplicateValues" dxfId="4027" priority="845"/>
    <cfRule type="duplicateValues" dxfId="4026" priority="857"/>
    <cfRule type="duplicateValues" dxfId="4025" priority="856"/>
    <cfRule type="duplicateValues" dxfId="4024" priority="855"/>
    <cfRule type="duplicateValues" dxfId="4023" priority="854"/>
    <cfRule type="duplicateValues" dxfId="4022" priority="852"/>
    <cfRule type="duplicateValues" dxfId="4021" priority="851"/>
    <cfRule type="duplicateValues" dxfId="4020" priority="834"/>
    <cfRule type="duplicateValues" dxfId="4019" priority="835"/>
    <cfRule type="duplicateValues" dxfId="4018" priority="836"/>
    <cfRule type="duplicateValues" dxfId="4017" priority="837"/>
    <cfRule type="duplicateValues" dxfId="4016" priority="838"/>
    <cfRule type="duplicateValues" dxfId="4015" priority="839"/>
    <cfRule type="duplicateValues" dxfId="4014" priority="840"/>
    <cfRule type="duplicateValues" dxfId="4013" priority="841"/>
    <cfRule type="duplicateValues" dxfId="4012" priority="842"/>
    <cfRule type="duplicateValues" dxfId="4011" priority="843"/>
    <cfRule type="duplicateValues" dxfId="4010" priority="844"/>
    <cfRule type="duplicateValues" dxfId="4009" priority="846"/>
    <cfRule type="duplicateValues" dxfId="4008" priority="847"/>
    <cfRule type="duplicateValues" dxfId="4007" priority="848"/>
    <cfRule type="duplicateValues" dxfId="4006" priority="849"/>
  </conditionalFormatting>
  <conditionalFormatting sqref="C123">
    <cfRule type="duplicateValues" dxfId="4005" priority="1399"/>
    <cfRule type="duplicateValues" dxfId="4004" priority="1400"/>
    <cfRule type="duplicateValues" dxfId="4003" priority="1398"/>
  </conditionalFormatting>
  <conditionalFormatting sqref="C124">
    <cfRule type="duplicateValues" dxfId="4002" priority="1294"/>
    <cfRule type="duplicateValues" dxfId="4001" priority="1295"/>
    <cfRule type="duplicateValues" dxfId="4000" priority="1285"/>
    <cfRule type="duplicateValues" dxfId="3999" priority="1293"/>
    <cfRule type="duplicateValues" dxfId="3998" priority="1292"/>
    <cfRule type="duplicateValues" dxfId="3997" priority="1280"/>
    <cfRule type="duplicateValues" dxfId="3996" priority="1281"/>
    <cfRule type="duplicateValues" dxfId="3995" priority="1282"/>
    <cfRule type="duplicateValues" dxfId="3994" priority="1283"/>
    <cfRule type="duplicateValues" dxfId="3993" priority="1284"/>
    <cfRule type="duplicateValues" dxfId="3992" priority="1286"/>
    <cfRule type="duplicateValues" dxfId="3991" priority="1287"/>
    <cfRule type="duplicateValues" dxfId="3990" priority="1288"/>
    <cfRule type="duplicateValues" dxfId="3989" priority="1289"/>
    <cfRule type="duplicateValues" dxfId="3988" priority="1290"/>
    <cfRule type="duplicateValues" dxfId="3987" priority="1291"/>
  </conditionalFormatting>
  <conditionalFormatting sqref="C125">
    <cfRule type="duplicateValues" dxfId="3986" priority="782"/>
    <cfRule type="duplicateValues" dxfId="3985" priority="797"/>
    <cfRule type="duplicateValues" dxfId="3984" priority="798"/>
    <cfRule type="duplicateValues" dxfId="3983" priority="796"/>
    <cfRule type="duplicateValues" dxfId="3982" priority="799"/>
    <cfRule type="duplicateValues" dxfId="3981" priority="783"/>
    <cfRule type="duplicateValues" dxfId="3980" priority="784"/>
    <cfRule type="duplicateValues" dxfId="3979" priority="785"/>
    <cfRule type="duplicateValues" dxfId="3978" priority="786"/>
    <cfRule type="duplicateValues" dxfId="3977" priority="787"/>
    <cfRule type="duplicateValues" dxfId="3976" priority="816"/>
    <cfRule type="duplicateValues" dxfId="3975" priority="789"/>
    <cfRule type="duplicateValues" dxfId="3974" priority="800"/>
    <cfRule type="duplicateValues" dxfId="3973" priority="801"/>
    <cfRule type="duplicateValues" dxfId="3972" priority="802"/>
    <cfRule type="duplicateValues" dxfId="3971" priority="803"/>
    <cfRule type="duplicateValues" dxfId="3970" priority="804"/>
    <cfRule type="duplicateValues" dxfId="3969" priority="794"/>
    <cfRule type="duplicateValues" dxfId="3968" priority="805"/>
    <cfRule type="duplicateValues" dxfId="3967" priority="806"/>
    <cfRule type="duplicateValues" dxfId="3966" priority="808"/>
    <cfRule type="duplicateValues" dxfId="3965" priority="809"/>
    <cfRule type="duplicateValues" dxfId="3964" priority="810"/>
    <cfRule type="duplicateValues" dxfId="3963" priority="815"/>
    <cfRule type="duplicateValues" dxfId="3962" priority="807"/>
    <cfRule type="duplicateValues" dxfId="3961" priority="814"/>
    <cfRule type="duplicateValues" dxfId="3960" priority="813"/>
    <cfRule type="duplicateValues" dxfId="3959" priority="812"/>
    <cfRule type="duplicateValues" dxfId="3958" priority="811"/>
    <cfRule type="duplicateValues" dxfId="3957" priority="788"/>
    <cfRule type="duplicateValues" dxfId="3956" priority="795"/>
    <cfRule type="duplicateValues" dxfId="3955" priority="790"/>
    <cfRule type="duplicateValues" dxfId="3954" priority="791"/>
    <cfRule type="duplicateValues" dxfId="3953" priority="792"/>
    <cfRule type="duplicateValues" dxfId="3952" priority="793"/>
    <cfRule type="duplicateValues" dxfId="3951" priority="781"/>
  </conditionalFormatting>
  <conditionalFormatting sqref="C126">
    <cfRule type="duplicateValues" dxfId="3950" priority="712"/>
    <cfRule type="duplicateValues" dxfId="3949" priority="740"/>
    <cfRule type="duplicateValues" dxfId="3948" priority="769"/>
    <cfRule type="duplicateValues" dxfId="3947" priority="768"/>
    <cfRule type="duplicateValues" dxfId="3946" priority="767"/>
    <cfRule type="duplicateValues" dxfId="3945" priority="766"/>
    <cfRule type="duplicateValues" dxfId="3944" priority="765"/>
    <cfRule type="duplicateValues" dxfId="3943" priority="764"/>
    <cfRule type="duplicateValues" dxfId="3942" priority="763"/>
    <cfRule type="duplicateValues" dxfId="3941" priority="762"/>
    <cfRule type="duplicateValues" dxfId="3940" priority="761"/>
    <cfRule type="duplicateValues" dxfId="3939" priority="760"/>
    <cfRule type="duplicateValues" dxfId="3938" priority="759"/>
    <cfRule type="duplicateValues" dxfId="3937" priority="758"/>
    <cfRule type="duplicateValues" dxfId="3936" priority="757"/>
    <cfRule type="duplicateValues" dxfId="3935" priority="756"/>
    <cfRule type="duplicateValues" dxfId="3934" priority="755"/>
    <cfRule type="duplicateValues" dxfId="3933" priority="754"/>
    <cfRule type="duplicateValues" dxfId="3932" priority="753"/>
    <cfRule type="duplicateValues" dxfId="3931" priority="752"/>
    <cfRule type="duplicateValues" dxfId="3930" priority="751"/>
    <cfRule type="duplicateValues" dxfId="3929" priority="750"/>
    <cfRule type="duplicateValues" dxfId="3928" priority="749"/>
    <cfRule type="duplicateValues" dxfId="3927" priority="748"/>
    <cfRule type="duplicateValues" dxfId="3926" priority="747"/>
    <cfRule type="duplicateValues" dxfId="3925" priority="746"/>
    <cfRule type="duplicateValues" dxfId="3924" priority="745"/>
    <cfRule type="duplicateValues" dxfId="3923" priority="744"/>
    <cfRule type="duplicateValues" dxfId="3922" priority="743"/>
    <cfRule type="duplicateValues" dxfId="3921" priority="742"/>
    <cfRule type="duplicateValues" dxfId="3920" priority="741"/>
    <cfRule type="duplicateValues" dxfId="3919" priority="739"/>
    <cfRule type="duplicateValues" dxfId="3918" priority="738"/>
    <cfRule type="duplicateValues" dxfId="3917" priority="737"/>
    <cfRule type="duplicateValues" dxfId="3916" priority="736"/>
    <cfRule type="duplicateValues" dxfId="3915" priority="735"/>
    <cfRule type="duplicateValues" dxfId="3914" priority="734"/>
    <cfRule type="duplicateValues" dxfId="3913" priority="733"/>
    <cfRule type="duplicateValues" dxfId="3912" priority="732"/>
    <cfRule type="duplicateValues" dxfId="3911" priority="731"/>
    <cfRule type="duplicateValues" dxfId="3910" priority="730"/>
    <cfRule type="duplicateValues" dxfId="3909" priority="729"/>
    <cfRule type="duplicateValues" dxfId="3908" priority="728"/>
    <cfRule type="duplicateValues" dxfId="3907" priority="727"/>
    <cfRule type="duplicateValues" dxfId="3906" priority="726"/>
    <cfRule type="duplicateValues" dxfId="3905" priority="725"/>
    <cfRule type="duplicateValues" dxfId="3904" priority="724"/>
    <cfRule type="duplicateValues" dxfId="3903" priority="723"/>
    <cfRule type="duplicateValues" dxfId="3902" priority="722"/>
    <cfRule type="duplicateValues" dxfId="3901" priority="721"/>
    <cfRule type="duplicateValues" dxfId="3900" priority="720"/>
    <cfRule type="duplicateValues" dxfId="3899" priority="719"/>
    <cfRule type="duplicateValues" dxfId="3898" priority="718"/>
    <cfRule type="duplicateValues" dxfId="3897" priority="717"/>
    <cfRule type="duplicateValues" dxfId="3896" priority="716"/>
    <cfRule type="duplicateValues" dxfId="3895" priority="715"/>
    <cfRule type="duplicateValues" dxfId="3894" priority="714"/>
    <cfRule type="duplicateValues" dxfId="3893" priority="713"/>
  </conditionalFormatting>
  <conditionalFormatting sqref="C128">
    <cfRule type="duplicateValues" dxfId="3892" priority="1171"/>
    <cfRule type="duplicateValues" dxfId="3891" priority="1167"/>
    <cfRule type="duplicateValues" dxfId="3890" priority="1166"/>
    <cfRule type="duplicateValues" dxfId="3889" priority="1165"/>
    <cfRule type="duplicateValues" dxfId="3888" priority="1164"/>
    <cfRule type="duplicateValues" dxfId="3887" priority="1163"/>
    <cfRule type="duplicateValues" dxfId="3886" priority="1162"/>
    <cfRule type="duplicateValues" dxfId="3885" priority="1161"/>
    <cfRule type="duplicateValues" dxfId="3884" priority="1160"/>
    <cfRule type="duplicateValues" dxfId="3883" priority="1159"/>
    <cfRule type="duplicateValues" dxfId="3882" priority="1158"/>
    <cfRule type="duplicateValues" dxfId="3881" priority="1157"/>
    <cfRule type="duplicateValues" dxfId="3880" priority="1156"/>
    <cfRule type="duplicateValues" dxfId="3879" priority="1155"/>
    <cfRule type="duplicateValues" dxfId="3878" priority="1154"/>
    <cfRule type="duplicateValues" dxfId="3877" priority="1153"/>
    <cfRule type="duplicateValues" dxfId="3876" priority="1152"/>
    <cfRule type="duplicateValues" dxfId="3875" priority="1151"/>
    <cfRule type="duplicateValues" dxfId="3874" priority="1150"/>
    <cfRule type="duplicateValues" dxfId="3873" priority="1149"/>
    <cfRule type="duplicateValues" dxfId="3872" priority="1148"/>
    <cfRule type="duplicateValues" dxfId="3871" priority="1147"/>
    <cfRule type="duplicateValues" dxfId="3870" priority="1146"/>
    <cfRule type="duplicateValues" dxfId="3869" priority="1145"/>
    <cfRule type="duplicateValues" dxfId="3868" priority="1144"/>
    <cfRule type="duplicateValues" dxfId="3867" priority="1143"/>
    <cfRule type="duplicateValues" dxfId="3866" priority="1142"/>
    <cfRule type="duplicateValues" dxfId="3865" priority="1141"/>
    <cfRule type="duplicateValues" dxfId="3864" priority="1140"/>
    <cfRule type="duplicateValues" dxfId="3863" priority="1103"/>
    <cfRule type="duplicateValues" dxfId="3862" priority="1130"/>
    <cfRule type="duplicateValues" dxfId="3861" priority="1129"/>
    <cfRule type="duplicateValues" dxfId="3860" priority="1128"/>
    <cfRule type="duplicateValues" dxfId="3859" priority="1094"/>
    <cfRule type="duplicateValues" dxfId="3858" priority="1127"/>
    <cfRule type="duplicateValues" dxfId="3857" priority="1126"/>
    <cfRule type="duplicateValues" dxfId="3856" priority="1125"/>
    <cfRule type="duplicateValues" dxfId="3855" priority="1124"/>
    <cfRule type="duplicateValues" dxfId="3854" priority="1123"/>
    <cfRule type="duplicateValues" dxfId="3853" priority="1137"/>
    <cfRule type="duplicateValues" dxfId="3852" priority="1138"/>
    <cfRule type="duplicateValues" dxfId="3851" priority="1139"/>
    <cfRule type="duplicateValues" dxfId="3850" priority="1088"/>
    <cfRule type="duplicateValues" dxfId="3849" priority="1089"/>
    <cfRule type="duplicateValues" dxfId="3848" priority="1090"/>
    <cfRule type="duplicateValues" dxfId="3847" priority="1091"/>
    <cfRule type="duplicateValues" dxfId="3846" priority="1092"/>
    <cfRule type="duplicateValues" dxfId="3845" priority="1093"/>
    <cfRule type="duplicateValues" dxfId="3844" priority="1095"/>
    <cfRule type="duplicateValues" dxfId="3843" priority="1096"/>
    <cfRule type="duplicateValues" dxfId="3842" priority="1097"/>
    <cfRule type="duplicateValues" dxfId="3841" priority="1098"/>
    <cfRule type="duplicateValues" dxfId="3840" priority="1099"/>
    <cfRule type="duplicateValues" dxfId="3839" priority="1100"/>
    <cfRule type="duplicateValues" dxfId="3838" priority="1101"/>
    <cfRule type="duplicateValues" dxfId="3837" priority="1180"/>
    <cfRule type="duplicateValues" dxfId="3836" priority="1179"/>
    <cfRule type="duplicateValues" dxfId="3835" priority="1178"/>
    <cfRule type="duplicateValues" dxfId="3834" priority="1177"/>
    <cfRule type="duplicateValues" dxfId="3833" priority="1176"/>
    <cfRule type="duplicateValues" dxfId="3832" priority="1175"/>
    <cfRule type="duplicateValues" dxfId="3831" priority="1174"/>
    <cfRule type="duplicateValues" dxfId="3830" priority="1173"/>
    <cfRule type="duplicateValues" dxfId="3829" priority="1172"/>
    <cfRule type="duplicateValues" dxfId="3828" priority="1102"/>
    <cfRule type="duplicateValues" dxfId="3827" priority="1169"/>
    <cfRule type="duplicateValues" dxfId="3826" priority="1168"/>
    <cfRule type="duplicateValues" dxfId="3825" priority="1136"/>
    <cfRule type="duplicateValues" dxfId="3824" priority="1135"/>
    <cfRule type="duplicateValues" dxfId="3823" priority="1134"/>
    <cfRule type="duplicateValues" dxfId="3822" priority="1133"/>
    <cfRule type="duplicateValues" dxfId="3821" priority="1105"/>
    <cfRule type="duplicateValues" dxfId="3820" priority="1106"/>
    <cfRule type="duplicateValues" dxfId="3819" priority="1107"/>
    <cfRule type="duplicateValues" dxfId="3818" priority="1108"/>
    <cfRule type="duplicateValues" dxfId="3817" priority="1109"/>
    <cfRule type="duplicateValues" dxfId="3816" priority="1110"/>
    <cfRule type="duplicateValues" dxfId="3815" priority="1111"/>
    <cfRule type="duplicateValues" dxfId="3814" priority="1112"/>
    <cfRule type="duplicateValues" dxfId="3813" priority="1113"/>
    <cfRule type="duplicateValues" dxfId="3812" priority="1114"/>
    <cfRule type="duplicateValues" dxfId="3811" priority="1115"/>
    <cfRule type="duplicateValues" dxfId="3810" priority="1170"/>
    <cfRule type="duplicateValues" dxfId="3809" priority="1116"/>
    <cfRule type="duplicateValues" dxfId="3808" priority="1117"/>
    <cfRule type="duplicateValues" dxfId="3807" priority="1118"/>
    <cfRule type="duplicateValues" dxfId="3806" priority="1119"/>
    <cfRule type="duplicateValues" dxfId="3805" priority="1120"/>
    <cfRule type="duplicateValues" dxfId="3804" priority="1122"/>
    <cfRule type="duplicateValues" dxfId="3803" priority="1132"/>
    <cfRule type="duplicateValues" dxfId="3802" priority="1104"/>
    <cfRule type="duplicateValues" dxfId="3801" priority="1131"/>
    <cfRule type="duplicateValues" dxfId="3800" priority="1121"/>
    <cfRule type="duplicateValues" dxfId="3799" priority="1076"/>
    <cfRule type="duplicateValues" dxfId="3798" priority="1077"/>
    <cfRule type="duplicateValues" dxfId="3797" priority="1078"/>
    <cfRule type="duplicateValues" dxfId="3796" priority="1079"/>
    <cfRule type="duplicateValues" dxfId="3795" priority="1080"/>
    <cfRule type="duplicateValues" dxfId="3794" priority="1081"/>
    <cfRule type="duplicateValues" dxfId="3793" priority="1082"/>
    <cfRule type="duplicateValues" dxfId="3792" priority="1083"/>
    <cfRule type="duplicateValues" dxfId="3791" priority="1084"/>
    <cfRule type="duplicateValues" dxfId="3790" priority="1085"/>
    <cfRule type="duplicateValues" dxfId="3789" priority="1086"/>
    <cfRule type="duplicateValues" dxfId="3788" priority="1087"/>
  </conditionalFormatting>
  <conditionalFormatting sqref="C130">
    <cfRule type="duplicateValues" dxfId="3787" priority="1197"/>
    <cfRule type="duplicateValues" dxfId="3786" priority="1196"/>
    <cfRule type="duplicateValues" dxfId="3785" priority="1195"/>
    <cfRule type="duplicateValues" dxfId="3784" priority="1194"/>
    <cfRule type="duplicateValues" dxfId="3783" priority="1193"/>
    <cfRule type="duplicateValues" dxfId="3782" priority="1192"/>
    <cfRule type="duplicateValues" dxfId="3781" priority="1191"/>
    <cfRule type="duplicateValues" dxfId="3780" priority="1190"/>
    <cfRule type="duplicateValues" dxfId="3779" priority="1189"/>
    <cfRule type="duplicateValues" dxfId="3778" priority="1187"/>
    <cfRule type="duplicateValues" dxfId="3777" priority="1186"/>
    <cfRule type="duplicateValues" dxfId="3776" priority="1185"/>
    <cfRule type="duplicateValues" dxfId="3775" priority="1184"/>
    <cfRule type="duplicateValues" dxfId="3774" priority="1183"/>
    <cfRule type="duplicateValues" dxfId="3773" priority="1182"/>
    <cfRule type="duplicateValues" dxfId="3772" priority="1181"/>
    <cfRule type="duplicateValues" dxfId="3771" priority="1204"/>
    <cfRule type="duplicateValues" dxfId="3770" priority="1188"/>
    <cfRule type="duplicateValues" dxfId="3769" priority="1279"/>
    <cfRule type="duplicateValues" dxfId="3768" priority="1278"/>
    <cfRule type="duplicateValues" dxfId="3767" priority="1277"/>
    <cfRule type="duplicateValues" dxfId="3766" priority="1275"/>
    <cfRule type="duplicateValues" dxfId="3765" priority="1274"/>
    <cfRule type="duplicateValues" dxfId="3764" priority="1273"/>
    <cfRule type="duplicateValues" dxfId="3763" priority="1272"/>
    <cfRule type="duplicateValues" dxfId="3762" priority="1271"/>
    <cfRule type="duplicateValues" dxfId="3761" priority="1276"/>
    <cfRule type="duplicateValues" dxfId="3760" priority="1264"/>
    <cfRule type="duplicateValues" dxfId="3759" priority="1235"/>
    <cfRule type="duplicateValues" dxfId="3758" priority="1234"/>
    <cfRule type="duplicateValues" dxfId="3757" priority="1233"/>
    <cfRule type="duplicateValues" dxfId="3756" priority="1232"/>
    <cfRule type="duplicateValues" dxfId="3755" priority="1231"/>
    <cfRule type="duplicateValues" dxfId="3754" priority="1230"/>
    <cfRule type="duplicateValues" dxfId="3753" priority="1229"/>
    <cfRule type="duplicateValues" dxfId="3752" priority="1228"/>
    <cfRule type="duplicateValues" dxfId="3751" priority="1227"/>
    <cfRule type="duplicateValues" dxfId="3750" priority="1226"/>
    <cfRule type="duplicateValues" dxfId="3749" priority="1225"/>
    <cfRule type="duplicateValues" dxfId="3748" priority="1224"/>
    <cfRule type="duplicateValues" dxfId="3747" priority="1223"/>
    <cfRule type="duplicateValues" dxfId="3746" priority="1222"/>
    <cfRule type="duplicateValues" dxfId="3745" priority="1221"/>
    <cfRule type="duplicateValues" dxfId="3744" priority="1220"/>
    <cfRule type="duplicateValues" dxfId="3743" priority="1219"/>
    <cfRule type="duplicateValues" dxfId="3742" priority="1218"/>
    <cfRule type="duplicateValues" dxfId="3741" priority="1217"/>
    <cfRule type="duplicateValues" dxfId="3740" priority="1216"/>
    <cfRule type="duplicateValues" dxfId="3739" priority="1215"/>
    <cfRule type="duplicateValues" dxfId="3738" priority="1214"/>
    <cfRule type="duplicateValues" dxfId="3737" priority="1213"/>
    <cfRule type="duplicateValues" dxfId="3736" priority="1212"/>
    <cfRule type="duplicateValues" dxfId="3735" priority="1211"/>
    <cfRule type="duplicateValues" dxfId="3734" priority="1210"/>
    <cfRule type="duplicateValues" dxfId="3733" priority="1263"/>
    <cfRule type="duplicateValues" dxfId="3732" priority="1262"/>
    <cfRule type="duplicateValues" dxfId="3731" priority="1261"/>
    <cfRule type="duplicateValues" dxfId="3730" priority="1260"/>
    <cfRule type="duplicateValues" dxfId="3729" priority="1259"/>
    <cfRule type="duplicateValues" dxfId="3728" priority="1258"/>
    <cfRule type="duplicateValues" dxfId="3727" priority="1257"/>
    <cfRule type="duplicateValues" dxfId="3726" priority="1256"/>
    <cfRule type="duplicateValues" dxfId="3725" priority="1255"/>
    <cfRule type="duplicateValues" dxfId="3724" priority="1254"/>
    <cfRule type="duplicateValues" dxfId="3723" priority="1253"/>
    <cfRule type="duplicateValues" dxfId="3722" priority="1252"/>
    <cfRule type="duplicateValues" dxfId="3721" priority="1251"/>
    <cfRule type="duplicateValues" dxfId="3720" priority="1250"/>
    <cfRule type="duplicateValues" dxfId="3719" priority="1249"/>
    <cfRule type="duplicateValues" dxfId="3718" priority="1248"/>
    <cfRule type="duplicateValues" dxfId="3717" priority="1247"/>
    <cfRule type="duplicateValues" dxfId="3716" priority="1246"/>
    <cfRule type="duplicateValues" dxfId="3715" priority="1245"/>
    <cfRule type="duplicateValues" dxfId="3714" priority="1244"/>
    <cfRule type="duplicateValues" dxfId="3713" priority="1243"/>
    <cfRule type="duplicateValues" dxfId="3712" priority="1242"/>
    <cfRule type="duplicateValues" dxfId="3711" priority="1241"/>
    <cfRule type="duplicateValues" dxfId="3710" priority="1240"/>
    <cfRule type="duplicateValues" dxfId="3709" priority="1239"/>
    <cfRule type="duplicateValues" dxfId="3708" priority="1238"/>
    <cfRule type="duplicateValues" dxfId="3707" priority="1237"/>
    <cfRule type="duplicateValues" dxfId="3706" priority="1265"/>
    <cfRule type="duplicateValues" dxfId="3705" priority="1266"/>
    <cfRule type="duplicateValues" dxfId="3704" priority="1267"/>
    <cfRule type="duplicateValues" dxfId="3703" priority="1268"/>
    <cfRule type="duplicateValues" dxfId="3702" priority="1269"/>
    <cfRule type="duplicateValues" dxfId="3701" priority="1270"/>
    <cfRule type="duplicateValues" dxfId="3700" priority="1209"/>
    <cfRule type="duplicateValues" dxfId="3699" priority="1208"/>
    <cfRule type="duplicateValues" dxfId="3698" priority="1207"/>
    <cfRule type="duplicateValues" dxfId="3697" priority="1206"/>
    <cfRule type="duplicateValues" dxfId="3696" priority="1205"/>
    <cfRule type="duplicateValues" dxfId="3695" priority="1236"/>
    <cfRule type="duplicateValues" dxfId="3694" priority="1203"/>
    <cfRule type="duplicateValues" dxfId="3693" priority="1202"/>
    <cfRule type="duplicateValues" dxfId="3692" priority="1201"/>
    <cfRule type="duplicateValues" dxfId="3691" priority="1200"/>
    <cfRule type="duplicateValues" dxfId="3690" priority="1199"/>
    <cfRule type="duplicateValues" dxfId="3689" priority="1198"/>
  </conditionalFormatting>
  <conditionalFormatting sqref="C132">
    <cfRule type="duplicateValues" dxfId="3688" priority="960"/>
    <cfRule type="duplicateValues" dxfId="3687" priority="959"/>
    <cfRule type="duplicateValues" dxfId="3686" priority="958"/>
    <cfRule type="duplicateValues" dxfId="3685" priority="957"/>
    <cfRule type="duplicateValues" dxfId="3684" priority="952"/>
    <cfRule type="duplicateValues" dxfId="3683" priority="953"/>
    <cfRule type="duplicateValues" dxfId="3682" priority="956"/>
    <cfRule type="duplicateValues" dxfId="3681" priority="955"/>
    <cfRule type="duplicateValues" dxfId="3680" priority="954"/>
    <cfRule type="duplicateValues" dxfId="3679" priority="985"/>
    <cfRule type="duplicateValues" dxfId="3678" priority="986"/>
    <cfRule type="duplicateValues" dxfId="3677" priority="969"/>
    <cfRule type="duplicateValues" dxfId="3676" priority="987"/>
    <cfRule type="duplicateValues" dxfId="3675" priority="988"/>
    <cfRule type="duplicateValues" dxfId="3674" priority="989"/>
    <cfRule type="duplicateValues" dxfId="3673" priority="990"/>
    <cfRule type="duplicateValues" dxfId="3672" priority="991"/>
    <cfRule type="duplicateValues" dxfId="3671" priority="992"/>
    <cfRule type="duplicateValues" dxfId="3670" priority="944"/>
    <cfRule type="duplicateValues" dxfId="3669" priority="945"/>
    <cfRule type="duplicateValues" dxfId="3668" priority="946"/>
    <cfRule type="duplicateValues" dxfId="3667" priority="947"/>
    <cfRule type="duplicateValues" dxfId="3666" priority="948"/>
    <cfRule type="duplicateValues" dxfId="3665" priority="949"/>
    <cfRule type="duplicateValues" dxfId="3664" priority="970"/>
    <cfRule type="duplicateValues" dxfId="3663" priority="993"/>
    <cfRule type="duplicateValues" dxfId="3662" priority="950"/>
    <cfRule type="duplicateValues" dxfId="3661" priority="951"/>
    <cfRule type="duplicateValues" dxfId="3660" priority="994"/>
    <cfRule type="duplicateValues" dxfId="3659" priority="995"/>
    <cfRule type="duplicateValues" dxfId="3658" priority="968"/>
    <cfRule type="duplicateValues" dxfId="3657" priority="967"/>
    <cfRule type="duplicateValues" dxfId="3656" priority="966"/>
    <cfRule type="duplicateValues" dxfId="3655" priority="965"/>
    <cfRule type="duplicateValues" dxfId="3654" priority="964"/>
    <cfRule type="duplicateValues" dxfId="3653" priority="963"/>
    <cfRule type="duplicateValues" dxfId="3652" priority="962"/>
    <cfRule type="duplicateValues" dxfId="3651" priority="961"/>
    <cfRule type="duplicateValues" dxfId="3650" priority="971"/>
    <cfRule type="duplicateValues" dxfId="3649" priority="972"/>
    <cfRule type="duplicateValues" dxfId="3648" priority="974"/>
    <cfRule type="duplicateValues" dxfId="3647" priority="975"/>
    <cfRule type="duplicateValues" dxfId="3646" priority="976"/>
    <cfRule type="duplicateValues" dxfId="3645" priority="977"/>
    <cfRule type="duplicateValues" dxfId="3644" priority="978"/>
    <cfRule type="duplicateValues" dxfId="3643" priority="979"/>
    <cfRule type="duplicateValues" dxfId="3642" priority="980"/>
    <cfRule type="duplicateValues" dxfId="3641" priority="981"/>
    <cfRule type="duplicateValues" dxfId="3640" priority="982"/>
    <cfRule type="duplicateValues" dxfId="3639" priority="983"/>
    <cfRule type="duplicateValues" dxfId="3638" priority="984"/>
    <cfRule type="duplicateValues" dxfId="3637" priority="973"/>
    <cfRule type="duplicateValues" dxfId="3636" priority="1001"/>
    <cfRule type="duplicateValues" dxfId="3635" priority="1000"/>
    <cfRule type="duplicateValues" dxfId="3634" priority="999"/>
    <cfRule type="duplicateValues" dxfId="3633" priority="998"/>
    <cfRule type="duplicateValues" dxfId="3632" priority="997"/>
    <cfRule type="duplicateValues" dxfId="3631" priority="996"/>
  </conditionalFormatting>
  <conditionalFormatting sqref="C136">
    <cfRule type="duplicateValues" dxfId="3630" priority="777"/>
    <cfRule type="duplicateValues" dxfId="3629" priority="778"/>
    <cfRule type="duplicateValues" dxfId="3628" priority="776"/>
    <cfRule type="duplicateValues" dxfId="3627" priority="775"/>
    <cfRule type="duplicateValues" dxfId="3626" priority="774"/>
    <cfRule type="duplicateValues" dxfId="3625" priority="773"/>
    <cfRule type="duplicateValues" dxfId="3624" priority="772"/>
    <cfRule type="duplicateValues" dxfId="3623" priority="771"/>
    <cfRule type="duplicateValues" dxfId="3622" priority="770"/>
  </conditionalFormatting>
  <conditionalFormatting sqref="C137">
    <cfRule type="duplicateValues" dxfId="3621" priority="779"/>
    <cfRule type="duplicateValues" dxfId="3620" priority="780"/>
  </conditionalFormatting>
  <conditionalFormatting sqref="C139">
    <cfRule type="duplicateValues" dxfId="3619" priority="818"/>
    <cfRule type="duplicateValues" dxfId="3618" priority="817"/>
  </conditionalFormatting>
  <conditionalFormatting sqref="C140">
    <cfRule type="duplicateValues" dxfId="3617" priority="1802"/>
    <cfRule type="duplicateValues" dxfId="3616" priority="1801"/>
    <cfRule type="duplicateValues" dxfId="3615" priority="1800"/>
    <cfRule type="duplicateValues" dxfId="3614" priority="1798"/>
    <cfRule type="duplicateValues" dxfId="3613" priority="1797"/>
    <cfRule type="duplicateValues" dxfId="3612" priority="1796"/>
    <cfRule type="duplicateValues" dxfId="3611" priority="1795"/>
    <cfRule type="duplicateValues" dxfId="3610" priority="1794"/>
    <cfRule type="duplicateValues" dxfId="3609" priority="1818"/>
    <cfRule type="duplicateValues" dxfId="3608" priority="1793"/>
    <cfRule type="duplicateValues" dxfId="3607" priority="1808"/>
    <cfRule type="duplicateValues" dxfId="3606" priority="1809"/>
    <cfRule type="duplicateValues" dxfId="3605" priority="1810"/>
    <cfRule type="duplicateValues" dxfId="3604" priority="1811"/>
    <cfRule type="duplicateValues" dxfId="3603" priority="1812"/>
    <cfRule type="duplicateValues" dxfId="3602" priority="1813"/>
    <cfRule type="duplicateValues" dxfId="3601" priority="1814"/>
    <cfRule type="duplicateValues" dxfId="3600" priority="1815"/>
    <cfRule type="duplicateValues" dxfId="3599" priority="1792"/>
    <cfRule type="duplicateValues" dxfId="3598" priority="1817"/>
    <cfRule type="duplicateValues" dxfId="3597" priority="1805"/>
    <cfRule type="duplicateValues" dxfId="3596" priority="1819"/>
    <cfRule type="duplicateValues" dxfId="3595" priority="1820"/>
    <cfRule type="duplicateValues" dxfId="3594" priority="1821"/>
    <cfRule type="duplicateValues" dxfId="3593" priority="1822"/>
    <cfRule type="duplicateValues" dxfId="3592" priority="1823"/>
    <cfRule type="duplicateValues" dxfId="3591" priority="1824"/>
    <cfRule type="duplicateValues" dxfId="3590" priority="1816"/>
    <cfRule type="duplicateValues" dxfId="3589" priority="1826"/>
    <cfRule type="duplicateValues" dxfId="3588" priority="1827"/>
    <cfRule type="duplicateValues" dxfId="3587" priority="1828"/>
    <cfRule type="duplicateValues" dxfId="3586" priority="1829"/>
    <cfRule type="duplicateValues" dxfId="3585" priority="1825"/>
    <cfRule type="duplicateValues" dxfId="3584" priority="1799"/>
    <cfRule type="duplicateValues" dxfId="3583" priority="1803"/>
    <cfRule type="duplicateValues" dxfId="3582" priority="1807"/>
    <cfRule type="duplicateValues" dxfId="3581" priority="1806"/>
    <cfRule type="duplicateValues" dxfId="3580" priority="1804"/>
  </conditionalFormatting>
  <conditionalFormatting sqref="C141:C1048576 C1:C4 C11">
    <cfRule type="duplicateValues" dxfId="3579" priority="25424"/>
    <cfRule type="duplicateValues" dxfId="3578" priority="25423"/>
    <cfRule type="duplicateValues" dxfId="3577" priority="25422"/>
    <cfRule type="duplicateValues" dxfId="3576" priority="25421"/>
    <cfRule type="duplicateValues" dxfId="3575" priority="25419"/>
    <cfRule type="duplicateValues" dxfId="3574" priority="25418"/>
    <cfRule type="duplicateValues" dxfId="3573" priority="25438"/>
    <cfRule type="duplicateValues" dxfId="3572" priority="25420"/>
    <cfRule type="duplicateValues" dxfId="3571" priority="25446"/>
    <cfRule type="duplicateValues" dxfId="3570" priority="25445"/>
    <cfRule type="duplicateValues" dxfId="3569" priority="25444"/>
    <cfRule type="duplicateValues" dxfId="3568" priority="25443"/>
    <cfRule type="duplicateValues" dxfId="3567" priority="25442"/>
    <cfRule type="duplicateValues" dxfId="3566" priority="25441"/>
    <cfRule type="duplicateValues" dxfId="3565" priority="25440"/>
    <cfRule type="duplicateValues" dxfId="3564" priority="25439"/>
    <cfRule type="duplicateValues" dxfId="3563" priority="25437"/>
    <cfRule type="duplicateValues" dxfId="3562" priority="25436"/>
    <cfRule type="duplicateValues" dxfId="3561" priority="25434"/>
    <cfRule type="duplicateValues" dxfId="3560" priority="25433"/>
    <cfRule type="duplicateValues" dxfId="3559" priority="25432"/>
    <cfRule type="duplicateValues" dxfId="3558" priority="25431"/>
    <cfRule type="duplicateValues" dxfId="3557" priority="25435"/>
    <cfRule type="duplicateValues" dxfId="3556" priority="25430"/>
    <cfRule type="duplicateValues" dxfId="3555" priority="25429"/>
    <cfRule type="duplicateValues" dxfId="3554" priority="25428"/>
    <cfRule type="duplicateValues" dxfId="3553" priority="25427"/>
    <cfRule type="duplicateValues" dxfId="3552" priority="25426"/>
    <cfRule type="duplicateValues" dxfId="3551" priority="25425"/>
  </conditionalFormatting>
  <conditionalFormatting sqref="C141:C1048576 C1:C7 C32:C33 C9:C27">
    <cfRule type="duplicateValues" dxfId="3550" priority="26463"/>
    <cfRule type="duplicateValues" dxfId="3549" priority="26462"/>
    <cfRule type="duplicateValues" dxfId="3548" priority="26461"/>
    <cfRule type="duplicateValues" dxfId="3547" priority="26460"/>
    <cfRule type="duplicateValues" dxfId="3546" priority="26459"/>
    <cfRule type="duplicateValues" dxfId="3545" priority="26458"/>
    <cfRule type="duplicateValues" dxfId="3544" priority="26452"/>
    <cfRule type="duplicateValues" dxfId="3543" priority="26474"/>
    <cfRule type="duplicateValues" dxfId="3542" priority="26450"/>
    <cfRule type="duplicateValues" dxfId="3541" priority="26453"/>
    <cfRule type="duplicateValues" dxfId="3540" priority="26454"/>
    <cfRule type="duplicateValues" dxfId="3539" priority="26455"/>
    <cfRule type="duplicateValues" dxfId="3538" priority="26456"/>
    <cfRule type="duplicateValues" dxfId="3537" priority="26457"/>
    <cfRule type="duplicateValues" dxfId="3536" priority="26449"/>
    <cfRule type="duplicateValues" dxfId="3535" priority="26448"/>
    <cfRule type="duplicateValues" dxfId="3534" priority="26447"/>
    <cfRule type="duplicateValues" dxfId="3533" priority="26451"/>
    <cfRule type="duplicateValues" dxfId="3532" priority="26464"/>
    <cfRule type="duplicateValues" dxfId="3531" priority="26465"/>
    <cfRule type="duplicateValues" dxfId="3530" priority="26466"/>
    <cfRule type="duplicateValues" dxfId="3529" priority="26467"/>
    <cfRule type="duplicateValues" dxfId="3528" priority="26468"/>
    <cfRule type="duplicateValues" dxfId="3527" priority="26469"/>
    <cfRule type="duplicateValues" dxfId="3526" priority="26470"/>
    <cfRule type="duplicateValues" dxfId="3525" priority="26471"/>
    <cfRule type="duplicateValues" dxfId="3524" priority="26472"/>
    <cfRule type="duplicateValues" dxfId="3523" priority="26473"/>
  </conditionalFormatting>
  <conditionalFormatting sqref="C141:C1048576 C9:C11 C1:C5 C17:C19 C21:C27 C32:C33">
    <cfRule type="duplicateValues" dxfId="3522" priority="25137"/>
    <cfRule type="duplicateValues" dxfId="3521" priority="25138"/>
    <cfRule type="duplicateValues" dxfId="3520" priority="25133"/>
    <cfRule type="duplicateValues" dxfId="3519" priority="25134"/>
    <cfRule type="duplicateValues" dxfId="3518" priority="25135"/>
    <cfRule type="duplicateValues" dxfId="3517" priority="25136"/>
  </conditionalFormatting>
  <conditionalFormatting sqref="C141:C1048576">
    <cfRule type="duplicateValues" dxfId="3516" priority="2097"/>
    <cfRule type="duplicateValues" dxfId="3515" priority="2373"/>
    <cfRule type="duplicateValues" dxfId="3514" priority="1906"/>
    <cfRule type="duplicateValues" dxfId="3513" priority="2228"/>
    <cfRule type="duplicateValues" dxfId="3512" priority="2495"/>
    <cfRule type="duplicateValues" dxfId="3511" priority="1990"/>
    <cfRule type="duplicateValues" dxfId="3510" priority="1909"/>
    <cfRule type="duplicateValues" dxfId="3509" priority="1910"/>
    <cfRule type="duplicateValues" dxfId="3508" priority="2527"/>
    <cfRule type="duplicateValues" dxfId="3507" priority="1985"/>
    <cfRule type="duplicateValues" dxfId="3506" priority="1989"/>
    <cfRule type="duplicateValues" dxfId="3505" priority="2496"/>
    <cfRule type="duplicateValues" dxfId="3504" priority="2098"/>
    <cfRule type="duplicateValues" dxfId="3503" priority="1908"/>
    <cfRule type="duplicateValues" dxfId="3502" priority="1903"/>
    <cfRule type="duplicateValues" dxfId="3501" priority="1902"/>
    <cfRule type="duplicateValues" dxfId="3500" priority="2227"/>
  </conditionalFormatting>
  <conditionalFormatting sqref="D4">
    <cfRule type="duplicateValues" dxfId="3499" priority="2530"/>
    <cfRule type="duplicateValues" dxfId="3498" priority="2529"/>
    <cfRule type="duplicateValues" dxfId="3497" priority="2528"/>
  </conditionalFormatting>
  <conditionalFormatting sqref="D5">
    <cfRule type="duplicateValues" dxfId="3496" priority="2248"/>
  </conditionalFormatting>
  <conditionalFormatting sqref="D8">
    <cfRule type="duplicateValues" dxfId="3495" priority="3"/>
  </conditionalFormatting>
  <conditionalFormatting sqref="D10">
    <cfRule type="duplicateValues" dxfId="3494" priority="2107"/>
    <cfRule type="duplicateValues" dxfId="3493" priority="2106"/>
  </conditionalFormatting>
  <conditionalFormatting sqref="D11">
    <cfRule type="duplicateValues" dxfId="3492" priority="19988"/>
    <cfRule type="duplicateValues" dxfId="3491" priority="19987"/>
    <cfRule type="duplicateValues" dxfId="3490" priority="19986"/>
  </conditionalFormatting>
  <conditionalFormatting sqref="D16">
    <cfRule type="duplicateValues" dxfId="3489" priority="3938"/>
    <cfRule type="duplicateValues" dxfId="3488" priority="3937"/>
    <cfRule type="duplicateValues" dxfId="3487" priority="3936"/>
  </conditionalFormatting>
  <conditionalFormatting sqref="D18">
    <cfRule type="containsText" dxfId="3486" priority="2108" operator="containsText" text="TBA">
      <formula>NOT(ISERROR(SEARCH("TBA",D18)))</formula>
    </cfRule>
  </conditionalFormatting>
  <conditionalFormatting sqref="D20">
    <cfRule type="duplicateValues" dxfId="3485" priority="2059"/>
    <cfRule type="duplicateValues" dxfId="3484" priority="2058"/>
    <cfRule type="duplicateValues" dxfId="3483" priority="2057"/>
  </conditionalFormatting>
  <conditionalFormatting sqref="D22">
    <cfRule type="duplicateValues" dxfId="3482" priority="2105"/>
  </conditionalFormatting>
  <conditionalFormatting sqref="D25">
    <cfRule type="duplicateValues" dxfId="3481" priority="2247"/>
  </conditionalFormatting>
  <conditionalFormatting sqref="D28">
    <cfRule type="duplicateValues" dxfId="3480" priority="213"/>
    <cfRule type="duplicateValues" dxfId="3479" priority="214"/>
    <cfRule type="duplicateValues" dxfId="3478" priority="215"/>
  </conditionalFormatting>
  <conditionalFormatting sqref="D32">
    <cfRule type="duplicateValues" dxfId="3477" priority="2246"/>
    <cfRule type="duplicateValues" dxfId="3476" priority="2245"/>
  </conditionalFormatting>
  <conditionalFormatting sqref="D20:E20">
    <cfRule type="containsText" dxfId="3475" priority="2060" operator="containsText" text="TBA">
      <formula>NOT(ISERROR(SEARCH("TBA",D20)))</formula>
    </cfRule>
  </conditionalFormatting>
  <conditionalFormatting sqref="E4">
    <cfRule type="duplicateValues" dxfId="3474" priority="19989"/>
  </conditionalFormatting>
  <conditionalFormatting sqref="E5">
    <cfRule type="duplicateValues" dxfId="3473" priority="2244"/>
    <cfRule type="duplicateValues" dxfId="3472" priority="2243"/>
    <cfRule type="duplicateValues" dxfId="3471" priority="2242"/>
    <cfRule type="duplicateValues" dxfId="3470" priority="2241"/>
  </conditionalFormatting>
  <conditionalFormatting sqref="E6">
    <cfRule type="containsText" dxfId="3469" priority="2056" operator="containsText" text="TBA">
      <formula>NOT(ISERROR(SEARCH("TBA",E6)))</formula>
    </cfRule>
  </conditionalFormatting>
  <conditionalFormatting sqref="E9">
    <cfRule type="duplicateValues" dxfId="3468" priority="2380"/>
  </conditionalFormatting>
  <conditionalFormatting sqref="E16 D7 D12:D15">
    <cfRule type="duplicateValues" dxfId="3467" priority="3997"/>
    <cfRule type="duplicateValues" dxfId="3466" priority="3996"/>
    <cfRule type="duplicateValues" dxfId="3465" priority="3995"/>
    <cfRule type="duplicateValues" dxfId="3464" priority="3994"/>
    <cfRule type="duplicateValues" dxfId="3463" priority="3993"/>
    <cfRule type="duplicateValues" dxfId="3462" priority="3991"/>
    <cfRule type="duplicateValues" dxfId="3461" priority="3990"/>
    <cfRule type="duplicateValues" dxfId="3460" priority="3989"/>
    <cfRule type="duplicateValues" dxfId="3459" priority="3988"/>
    <cfRule type="duplicateValues" dxfId="3458" priority="3992"/>
  </conditionalFormatting>
  <conditionalFormatting sqref="E18">
    <cfRule type="duplicateValues" dxfId="3457" priority="2104"/>
  </conditionalFormatting>
  <conditionalFormatting sqref="E26">
    <cfRule type="duplicateValues" dxfId="3456" priority="2236"/>
    <cfRule type="duplicateValues" dxfId="3455" priority="2239"/>
    <cfRule type="duplicateValues" dxfId="3454" priority="2238"/>
    <cfRule type="duplicateValues" dxfId="3453" priority="2237"/>
    <cfRule type="duplicateValues" dxfId="3452" priority="2235"/>
    <cfRule type="duplicateValues" dxfId="3451" priority="2234"/>
    <cfRule type="duplicateValues" dxfId="3450" priority="2233"/>
    <cfRule type="duplicateValues" dxfId="3449" priority="2230"/>
    <cfRule type="duplicateValues" dxfId="3448" priority="2231"/>
    <cfRule type="duplicateValues" dxfId="3447" priority="2232"/>
  </conditionalFormatting>
  <conditionalFormatting sqref="E27">
    <cfRule type="duplicateValues" dxfId="3446" priority="2229"/>
  </conditionalFormatting>
  <conditionalFormatting sqref="E28">
    <cfRule type="duplicateValues" dxfId="3445" priority="216"/>
  </conditionalFormatting>
  <conditionalFormatting sqref="E29">
    <cfRule type="duplicateValues" dxfId="3444" priority="91"/>
  </conditionalFormatting>
  <conditionalFormatting sqref="E31">
    <cfRule type="duplicateValues" dxfId="3443" priority="90"/>
  </conditionalFormatting>
  <conditionalFormatting sqref="E32">
    <cfRule type="duplicateValues" dxfId="3442" priority="2240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CAFF-EF3F-4801-A611-24FE5D270830}">
  <dimension ref="A1:AT128"/>
  <sheetViews>
    <sheetView zoomScale="85" zoomScaleNormal="85" workbookViewId="0">
      <selection activeCell="G15" sqref="G15"/>
    </sheetView>
  </sheetViews>
  <sheetFormatPr defaultRowHeight="15"/>
  <cols>
    <col min="1" max="1" width="4.85546875" customWidth="1"/>
    <col min="2" max="2" width="13.85546875" customWidth="1"/>
    <col min="3" max="3" width="19.42578125" customWidth="1"/>
    <col min="4" max="4" width="20.28515625" customWidth="1"/>
    <col min="5" max="5" width="31.42578125" bestFit="1" customWidth="1"/>
    <col min="6" max="6" width="25.85546875" customWidth="1"/>
    <col min="7" max="7" width="20.85546875" bestFit="1" customWidth="1"/>
    <col min="13" max="13" width="12.28515625" customWidth="1"/>
    <col min="14" max="14" width="21.42578125" customWidth="1"/>
    <col min="15" max="15" width="12.85546875" customWidth="1"/>
    <col min="16" max="28" width="10.140625" customWidth="1"/>
    <col min="29" max="29" width="21" customWidth="1"/>
    <col min="32" max="32" width="10.85546875" customWidth="1"/>
    <col min="34" max="34" width="12.140625" bestFit="1" customWidth="1"/>
    <col min="39" max="39" width="12.140625" bestFit="1" customWidth="1"/>
    <col min="40" max="40" width="16.5703125" bestFit="1" customWidth="1"/>
    <col min="41" max="41" width="18.42578125" customWidth="1"/>
  </cols>
  <sheetData>
    <row r="1" spans="1:46" ht="24" thickBot="1">
      <c r="A1" s="48" t="s">
        <v>45</v>
      </c>
      <c r="B1" s="48"/>
      <c r="C1" s="48"/>
      <c r="D1" s="48"/>
      <c r="E1" s="66">
        <f ca="1">TODAY()</f>
        <v>46045</v>
      </c>
      <c r="F1" s="63" t="s">
        <v>336</v>
      </c>
      <c r="G1" s="63" t="s">
        <v>46</v>
      </c>
      <c r="H1" s="63">
        <v>3154</v>
      </c>
      <c r="I1" s="63">
        <v>3942500</v>
      </c>
      <c r="J1" s="63">
        <v>3950395</v>
      </c>
      <c r="K1" s="64"/>
      <c r="L1" s="65"/>
      <c r="M1" s="48"/>
      <c r="N1" s="49" t="s">
        <v>337</v>
      </c>
      <c r="O1" s="50"/>
      <c r="P1" s="50"/>
      <c r="Q1" s="51"/>
      <c r="R1" s="51"/>
      <c r="S1" s="29"/>
      <c r="T1" s="29"/>
      <c r="U1" s="49" t="s">
        <v>337</v>
      </c>
      <c r="V1" s="29"/>
      <c r="W1" s="29"/>
      <c r="Y1" s="29"/>
      <c r="Z1" s="29"/>
      <c r="AA1" s="29" t="s">
        <v>337</v>
      </c>
      <c r="AB1" s="29"/>
      <c r="AC1" s="29"/>
      <c r="AH1" s="69"/>
      <c r="AM1" s="177" t="s">
        <v>48</v>
      </c>
      <c r="AN1" s="178"/>
      <c r="AO1" s="179"/>
    </row>
    <row r="2" spans="1:46" ht="24" thickBot="1">
      <c r="A2" s="52" t="s">
        <v>338</v>
      </c>
      <c r="B2" s="53" t="s">
        <v>339</v>
      </c>
      <c r="C2" s="53" t="s">
        <v>340</v>
      </c>
      <c r="D2" s="54" t="s">
        <v>341</v>
      </c>
      <c r="E2" s="54" t="s">
        <v>342</v>
      </c>
      <c r="F2" s="53" t="s">
        <v>343</v>
      </c>
      <c r="G2" s="54" t="s">
        <v>344</v>
      </c>
      <c r="H2" s="54" t="s">
        <v>345</v>
      </c>
      <c r="I2" s="54"/>
      <c r="J2" s="54" t="s">
        <v>345</v>
      </c>
      <c r="K2" s="54"/>
      <c r="L2" s="54"/>
      <c r="M2" s="53" t="s">
        <v>346</v>
      </c>
      <c r="N2" s="53" t="s">
        <v>347</v>
      </c>
      <c r="O2" s="53" t="s">
        <v>348</v>
      </c>
      <c r="P2" s="55" t="s">
        <v>349</v>
      </c>
      <c r="Q2" s="55" t="s">
        <v>350</v>
      </c>
      <c r="R2" s="55" t="s">
        <v>351</v>
      </c>
      <c r="S2" s="55" t="s">
        <v>352</v>
      </c>
      <c r="T2" s="55" t="s">
        <v>353</v>
      </c>
      <c r="U2" s="56" t="s">
        <v>354</v>
      </c>
      <c r="V2" s="57" t="s">
        <v>355</v>
      </c>
      <c r="W2" s="57"/>
      <c r="X2" s="61"/>
      <c r="Y2" s="57"/>
      <c r="Z2" s="57"/>
      <c r="AA2" s="57" t="s">
        <v>356</v>
      </c>
      <c r="AB2" s="57" t="s">
        <v>357</v>
      </c>
      <c r="AC2" s="57" t="s">
        <v>358</v>
      </c>
      <c r="AD2" s="181" t="s">
        <v>62</v>
      </c>
      <c r="AE2" s="181"/>
      <c r="AF2" s="181"/>
      <c r="AG2" s="181"/>
      <c r="AH2" s="70">
        <f>SUM(AH4:AH121)</f>
        <v>11200</v>
      </c>
      <c r="AI2" s="181" t="s">
        <v>63</v>
      </c>
      <c r="AJ2" s="181"/>
      <c r="AK2" s="181"/>
      <c r="AL2" s="181"/>
      <c r="AM2" s="70">
        <f>SUM(AM4:AM121)</f>
        <v>5400</v>
      </c>
      <c r="AN2" s="70">
        <f>SUM(AN4:AN121)</f>
        <v>4800</v>
      </c>
      <c r="AO2" s="71">
        <f>SUM(AH2:AN2)</f>
        <v>21400</v>
      </c>
      <c r="AP2" s="36"/>
      <c r="AQ2" s="1"/>
      <c r="AR2" s="1"/>
      <c r="AS2" s="1"/>
    </row>
    <row r="3" spans="1:46" ht="47.45" customHeight="1">
      <c r="A3" s="58" t="s">
        <v>706</v>
      </c>
      <c r="B3" s="59" t="s">
        <v>707</v>
      </c>
      <c r="C3" s="59" t="s">
        <v>359</v>
      </c>
      <c r="D3" s="59" t="s">
        <v>360</v>
      </c>
      <c r="E3" s="59" t="s">
        <v>361</v>
      </c>
      <c r="F3" s="59" t="s">
        <v>362</v>
      </c>
      <c r="G3" s="59" t="s">
        <v>65</v>
      </c>
      <c r="H3" s="59" t="s">
        <v>12</v>
      </c>
      <c r="I3" s="59" t="s">
        <v>13</v>
      </c>
      <c r="J3" s="59" t="s">
        <v>14</v>
      </c>
      <c r="K3" s="59" t="s">
        <v>18</v>
      </c>
      <c r="L3" s="59" t="s">
        <v>8</v>
      </c>
      <c r="M3" s="59" t="s">
        <v>363</v>
      </c>
      <c r="N3" s="59" t="s">
        <v>364</v>
      </c>
      <c r="O3" s="59" t="s">
        <v>365</v>
      </c>
      <c r="P3" s="60" t="s">
        <v>366</v>
      </c>
      <c r="Q3" s="60" t="s">
        <v>367</v>
      </c>
      <c r="R3" s="60" t="s">
        <v>71</v>
      </c>
      <c r="S3" s="60" t="s">
        <v>72</v>
      </c>
      <c r="T3" s="60" t="s">
        <v>368</v>
      </c>
      <c r="U3" s="60" t="s">
        <v>74</v>
      </c>
      <c r="V3" s="60" t="s">
        <v>369</v>
      </c>
      <c r="W3" s="60" t="s">
        <v>76</v>
      </c>
      <c r="X3" s="60" t="s">
        <v>77</v>
      </c>
      <c r="Y3" s="60" t="s">
        <v>78</v>
      </c>
      <c r="Z3" s="60" t="s">
        <v>79</v>
      </c>
      <c r="AA3" s="60" t="s">
        <v>80</v>
      </c>
      <c r="AB3" s="60" t="s">
        <v>81</v>
      </c>
      <c r="AC3" s="60" t="s">
        <v>370</v>
      </c>
      <c r="AD3" s="72" t="s">
        <v>83</v>
      </c>
      <c r="AE3" s="72" t="s">
        <v>84</v>
      </c>
      <c r="AF3" s="72" t="s">
        <v>85</v>
      </c>
      <c r="AG3" s="72" t="s">
        <v>86</v>
      </c>
      <c r="AH3" s="73" t="s">
        <v>87</v>
      </c>
      <c r="AI3" s="72" t="s">
        <v>88</v>
      </c>
      <c r="AJ3" s="72" t="s">
        <v>84</v>
      </c>
      <c r="AK3" s="72" t="s">
        <v>85</v>
      </c>
      <c r="AL3" s="72" t="s">
        <v>86</v>
      </c>
      <c r="AM3" s="73" t="s">
        <v>89</v>
      </c>
      <c r="AN3" s="74" t="s">
        <v>90</v>
      </c>
      <c r="AO3" s="75" t="s">
        <v>91</v>
      </c>
      <c r="AQ3" s="1"/>
      <c r="AR3" s="1"/>
      <c r="AS3" s="1"/>
    </row>
    <row r="4" spans="1:46">
      <c r="A4" s="2">
        <f>ROW()-3</f>
        <v>1</v>
      </c>
      <c r="B4" s="68">
        <v>696066666</v>
      </c>
      <c r="C4" s="84" t="s">
        <v>371</v>
      </c>
      <c r="D4" s="84" t="s">
        <v>372</v>
      </c>
      <c r="E4" s="84" t="s">
        <v>35</v>
      </c>
      <c r="F4" s="84" t="s">
        <v>373</v>
      </c>
      <c r="G4" s="81" t="s">
        <v>81</v>
      </c>
      <c r="H4" s="68">
        <v>28</v>
      </c>
      <c r="I4" s="68">
        <v>35000</v>
      </c>
      <c r="J4" s="68">
        <v>35000</v>
      </c>
      <c r="K4" s="68" t="s">
        <v>92</v>
      </c>
      <c r="L4" s="68" t="s">
        <v>18</v>
      </c>
      <c r="M4" s="84">
        <v>45729</v>
      </c>
      <c r="N4" s="84" t="s">
        <v>96</v>
      </c>
      <c r="O4" s="85" t="s">
        <v>97</v>
      </c>
      <c r="P4" s="84">
        <v>45733</v>
      </c>
      <c r="Q4" s="84">
        <v>45733</v>
      </c>
      <c r="R4" s="84">
        <v>45763</v>
      </c>
      <c r="S4" s="84">
        <v>45852</v>
      </c>
      <c r="T4" s="84">
        <v>45853</v>
      </c>
      <c r="U4" s="84">
        <v>45857</v>
      </c>
      <c r="V4" s="84">
        <v>45861</v>
      </c>
      <c r="W4" s="84">
        <v>45897</v>
      </c>
      <c r="X4" s="84">
        <v>45957</v>
      </c>
      <c r="Y4" s="84">
        <v>45960</v>
      </c>
      <c r="Z4" s="84">
        <v>45965</v>
      </c>
      <c r="AA4" s="84">
        <v>45965</v>
      </c>
      <c r="AB4" s="84">
        <v>45968</v>
      </c>
      <c r="AC4" s="86" t="s">
        <v>377</v>
      </c>
      <c r="AD4" s="98">
        <f>MAX(0,X4-W4)</f>
        <v>60</v>
      </c>
      <c r="AE4" s="76">
        <v>7</v>
      </c>
      <c r="AF4" s="99">
        <f>MAX(0,AD4-AE4)</f>
        <v>53</v>
      </c>
      <c r="AG4" s="77">
        <v>200</v>
      </c>
      <c r="AH4" s="10">
        <f t="shared" ref="AH4:AH68" si="0">MAX(0,AF4*AG4)</f>
        <v>10600</v>
      </c>
      <c r="AI4" s="98">
        <f>MAX(0,AB4-AA4)</f>
        <v>3</v>
      </c>
      <c r="AJ4" s="76">
        <v>2</v>
      </c>
      <c r="AK4" s="99">
        <f>MAX(0,AI4-AJ4)</f>
        <v>1</v>
      </c>
      <c r="AL4" s="77">
        <v>200</v>
      </c>
      <c r="AM4" s="10">
        <f t="shared" ref="AM4:AM68" si="1">MAX(0,AK4*AL4)</f>
        <v>200</v>
      </c>
      <c r="AN4" s="77">
        <v>3500</v>
      </c>
      <c r="AO4" s="78">
        <f>+AH4+AM4+AN4</f>
        <v>14300</v>
      </c>
      <c r="AQ4" s="30"/>
      <c r="AR4" s="30"/>
      <c r="AS4" s="30"/>
      <c r="AT4" s="30"/>
    </row>
    <row r="5" spans="1:46">
      <c r="A5" s="2">
        <f>ROW()-3</f>
        <v>2</v>
      </c>
      <c r="B5" s="68">
        <v>696066666</v>
      </c>
      <c r="C5" s="80" t="s">
        <v>374</v>
      </c>
      <c r="D5" s="80" t="s">
        <v>375</v>
      </c>
      <c r="E5" s="81" t="s">
        <v>376</v>
      </c>
      <c r="F5" s="81" t="s">
        <v>93</v>
      </c>
      <c r="G5" s="81" t="s">
        <v>81</v>
      </c>
      <c r="H5" s="68">
        <v>24</v>
      </c>
      <c r="I5" s="67">
        <v>30000</v>
      </c>
      <c r="J5" s="94">
        <v>30060</v>
      </c>
      <c r="K5" s="68" t="s">
        <v>92</v>
      </c>
      <c r="L5" s="68" t="s">
        <v>18</v>
      </c>
      <c r="M5" s="84">
        <v>45729</v>
      </c>
      <c r="N5" s="84" t="s">
        <v>96</v>
      </c>
      <c r="O5" s="85" t="s">
        <v>97</v>
      </c>
      <c r="P5" s="84">
        <v>45733</v>
      </c>
      <c r="Q5" s="84">
        <v>45733</v>
      </c>
      <c r="R5" s="84">
        <v>45763</v>
      </c>
      <c r="S5" s="84">
        <v>45852</v>
      </c>
      <c r="T5" s="84">
        <v>45904</v>
      </c>
      <c r="U5" s="84">
        <v>45912</v>
      </c>
      <c r="V5" s="84">
        <v>45917</v>
      </c>
      <c r="W5" s="84">
        <v>45923</v>
      </c>
      <c r="X5" s="84">
        <v>45926</v>
      </c>
      <c r="Y5" s="84">
        <v>45926</v>
      </c>
      <c r="Z5" s="84">
        <v>45927</v>
      </c>
      <c r="AA5" s="84">
        <v>45928</v>
      </c>
      <c r="AB5" s="84">
        <v>45929</v>
      </c>
      <c r="AC5" s="86" t="s">
        <v>377</v>
      </c>
      <c r="AD5" s="98">
        <f>MAX(0,X5-W5)</f>
        <v>3</v>
      </c>
      <c r="AE5" s="76">
        <v>7</v>
      </c>
      <c r="AF5" s="99">
        <f>MAX(0,AD5-AE5)</f>
        <v>0</v>
      </c>
      <c r="AG5" s="77">
        <v>200</v>
      </c>
      <c r="AH5" s="10">
        <f t="shared" si="0"/>
        <v>0</v>
      </c>
      <c r="AI5" s="98">
        <f>MAX(0,AB5-AA5)</f>
        <v>1</v>
      </c>
      <c r="AJ5" s="76">
        <v>2</v>
      </c>
      <c r="AK5" s="99">
        <f>MAX(0,AI5-AJ5)</f>
        <v>0</v>
      </c>
      <c r="AL5" s="77">
        <v>200</v>
      </c>
      <c r="AM5" s="10">
        <f t="shared" si="1"/>
        <v>0</v>
      </c>
      <c r="AN5" s="77">
        <v>0</v>
      </c>
      <c r="AO5" s="78">
        <f>+AH5+AM5+AN5</f>
        <v>0</v>
      </c>
      <c r="AQ5" s="30"/>
      <c r="AR5" s="30"/>
      <c r="AS5" s="30"/>
      <c r="AT5" s="30"/>
    </row>
    <row r="6" spans="1:46">
      <c r="A6" s="2">
        <f t="shared" ref="A6:A69" si="2">ROW()-3</f>
        <v>3</v>
      </c>
      <c r="B6" s="68">
        <v>696066666</v>
      </c>
      <c r="C6" s="80" t="s">
        <v>378</v>
      </c>
      <c r="D6" s="62" t="s">
        <v>379</v>
      </c>
      <c r="E6" s="81" t="s">
        <v>380</v>
      </c>
      <c r="F6" s="81" t="s">
        <v>93</v>
      </c>
      <c r="G6" s="81" t="s">
        <v>81</v>
      </c>
      <c r="H6" s="68">
        <v>28</v>
      </c>
      <c r="I6" s="67">
        <v>35000</v>
      </c>
      <c r="J6" s="94">
        <v>35070</v>
      </c>
      <c r="K6" s="68" t="s">
        <v>92</v>
      </c>
      <c r="L6" s="68" t="s">
        <v>18</v>
      </c>
      <c r="M6" s="84">
        <v>45729</v>
      </c>
      <c r="N6" s="84" t="s">
        <v>96</v>
      </c>
      <c r="O6" s="85" t="s">
        <v>97</v>
      </c>
      <c r="P6" s="84">
        <v>45733</v>
      </c>
      <c r="Q6" s="84">
        <v>45733</v>
      </c>
      <c r="R6" s="84">
        <v>45763</v>
      </c>
      <c r="S6" s="84">
        <v>45852</v>
      </c>
      <c r="T6" s="84">
        <v>45904</v>
      </c>
      <c r="U6" s="84">
        <v>45908</v>
      </c>
      <c r="V6" s="84">
        <v>45915</v>
      </c>
      <c r="W6" s="84">
        <v>45919</v>
      </c>
      <c r="X6" s="84">
        <v>45924</v>
      </c>
      <c r="Y6" s="84">
        <v>45924</v>
      </c>
      <c r="Z6" s="84">
        <v>45925</v>
      </c>
      <c r="AA6" s="84">
        <v>45925</v>
      </c>
      <c r="AB6" s="84">
        <v>45927</v>
      </c>
      <c r="AC6" s="86" t="s">
        <v>377</v>
      </c>
      <c r="AD6" s="98">
        <f t="shared" ref="AD6:AD69" si="3">MAX(0,X6-W6)</f>
        <v>5</v>
      </c>
      <c r="AE6" s="76">
        <v>7</v>
      </c>
      <c r="AF6" s="99">
        <f>MAX(0,AD6-AE6)</f>
        <v>0</v>
      </c>
      <c r="AG6" s="77">
        <v>200</v>
      </c>
      <c r="AH6" s="10">
        <f t="shared" si="0"/>
        <v>0</v>
      </c>
      <c r="AI6" s="98">
        <f t="shared" ref="AI6:AI69" si="4">MAX(0,AB6-AA6)</f>
        <v>2</v>
      </c>
      <c r="AJ6" s="76">
        <v>2</v>
      </c>
      <c r="AK6" s="99">
        <f t="shared" ref="AK6:AK69" si="5">MAX(0,AI6-AJ6)</f>
        <v>0</v>
      </c>
      <c r="AL6" s="77">
        <v>200</v>
      </c>
      <c r="AM6" s="10">
        <f t="shared" si="1"/>
        <v>0</v>
      </c>
      <c r="AN6" s="77">
        <v>25</v>
      </c>
      <c r="AO6" s="78">
        <f>+AH6+AM6+AN6</f>
        <v>25</v>
      </c>
      <c r="AQ6" s="30"/>
      <c r="AR6" s="30"/>
      <c r="AS6" s="30"/>
      <c r="AT6" s="30"/>
    </row>
    <row r="7" spans="1:46">
      <c r="A7" s="2">
        <f t="shared" si="2"/>
        <v>4</v>
      </c>
      <c r="B7" s="68">
        <v>696066666</v>
      </c>
      <c r="C7" s="80" t="s">
        <v>381</v>
      </c>
      <c r="D7" s="80" t="s">
        <v>382</v>
      </c>
      <c r="E7" s="62" t="s">
        <v>383</v>
      </c>
      <c r="F7" s="81" t="s">
        <v>93</v>
      </c>
      <c r="G7" s="81" t="s">
        <v>81</v>
      </c>
      <c r="H7" s="68">
        <v>28</v>
      </c>
      <c r="I7" s="67">
        <v>35000</v>
      </c>
      <c r="J7" s="94">
        <v>35070</v>
      </c>
      <c r="K7" s="68" t="s">
        <v>92</v>
      </c>
      <c r="L7" s="68" t="s">
        <v>18</v>
      </c>
      <c r="M7" s="84">
        <v>45729</v>
      </c>
      <c r="N7" s="84" t="s">
        <v>96</v>
      </c>
      <c r="O7" s="85" t="s">
        <v>97</v>
      </c>
      <c r="P7" s="84">
        <v>45733</v>
      </c>
      <c r="Q7" s="84">
        <v>45733</v>
      </c>
      <c r="R7" s="84">
        <v>45763</v>
      </c>
      <c r="S7" s="84">
        <v>45852</v>
      </c>
      <c r="T7" s="84">
        <v>45904</v>
      </c>
      <c r="U7" s="84">
        <v>45908</v>
      </c>
      <c r="V7" s="84">
        <v>45916</v>
      </c>
      <c r="W7" s="84">
        <v>45919</v>
      </c>
      <c r="X7" s="84">
        <v>45925</v>
      </c>
      <c r="Y7" s="84">
        <v>45925</v>
      </c>
      <c r="Z7" s="84">
        <v>45926</v>
      </c>
      <c r="AA7" s="84">
        <v>45926</v>
      </c>
      <c r="AB7" s="84">
        <v>45927</v>
      </c>
      <c r="AC7" s="86" t="s">
        <v>377</v>
      </c>
      <c r="AD7" s="98">
        <f t="shared" si="3"/>
        <v>6</v>
      </c>
      <c r="AE7" s="76">
        <v>7</v>
      </c>
      <c r="AF7" s="99">
        <f t="shared" ref="AF7:AF70" si="6">MAX(0,AD7-AE7)</f>
        <v>0</v>
      </c>
      <c r="AG7" s="77">
        <v>200</v>
      </c>
      <c r="AH7" s="10">
        <f t="shared" si="0"/>
        <v>0</v>
      </c>
      <c r="AI7" s="98">
        <f t="shared" si="4"/>
        <v>1</v>
      </c>
      <c r="AJ7" s="76">
        <v>2</v>
      </c>
      <c r="AK7" s="99">
        <f t="shared" si="5"/>
        <v>0</v>
      </c>
      <c r="AL7" s="77">
        <v>200</v>
      </c>
      <c r="AM7" s="10">
        <f t="shared" si="1"/>
        <v>0</v>
      </c>
      <c r="AN7" s="77">
        <v>0</v>
      </c>
      <c r="AO7" s="78">
        <f t="shared" ref="AO7:AO70" si="7">+AH7+AM7+AN7</f>
        <v>0</v>
      </c>
      <c r="AQ7" s="30"/>
      <c r="AR7" s="30"/>
      <c r="AS7" s="30"/>
      <c r="AT7" s="30"/>
    </row>
    <row r="8" spans="1:46">
      <c r="A8" s="2">
        <f t="shared" si="2"/>
        <v>5</v>
      </c>
      <c r="B8" s="68">
        <v>696066666</v>
      </c>
      <c r="C8" s="96" t="s">
        <v>384</v>
      </c>
      <c r="D8" s="80" t="s">
        <v>385</v>
      </c>
      <c r="E8" s="68" t="s">
        <v>386</v>
      </c>
      <c r="F8" s="81" t="s">
        <v>93</v>
      </c>
      <c r="G8" s="81" t="s">
        <v>81</v>
      </c>
      <c r="H8" s="68">
        <v>24</v>
      </c>
      <c r="I8" s="67">
        <v>30000</v>
      </c>
      <c r="J8" s="94">
        <v>30060</v>
      </c>
      <c r="K8" s="68" t="s">
        <v>92</v>
      </c>
      <c r="L8" s="68" t="s">
        <v>18</v>
      </c>
      <c r="M8" s="84">
        <v>45729</v>
      </c>
      <c r="N8" s="84" t="s">
        <v>96</v>
      </c>
      <c r="O8" s="85" t="s">
        <v>97</v>
      </c>
      <c r="P8" s="84">
        <v>45733</v>
      </c>
      <c r="Q8" s="84">
        <v>45733</v>
      </c>
      <c r="R8" s="84">
        <v>45763</v>
      </c>
      <c r="S8" s="84">
        <v>45852</v>
      </c>
      <c r="T8" s="84">
        <v>45904</v>
      </c>
      <c r="U8" s="84">
        <v>45911</v>
      </c>
      <c r="V8" s="84">
        <v>45916</v>
      </c>
      <c r="W8" s="84">
        <v>45920</v>
      </c>
      <c r="X8" s="84">
        <v>45925</v>
      </c>
      <c r="Y8" s="84">
        <v>45925</v>
      </c>
      <c r="Z8" s="84">
        <v>45926</v>
      </c>
      <c r="AA8" s="84">
        <v>45926</v>
      </c>
      <c r="AB8" s="84">
        <v>45927</v>
      </c>
      <c r="AC8" s="86" t="s">
        <v>377</v>
      </c>
      <c r="AD8" s="98">
        <f t="shared" si="3"/>
        <v>5</v>
      </c>
      <c r="AE8" s="76">
        <v>7</v>
      </c>
      <c r="AF8" s="99">
        <f t="shared" si="6"/>
        <v>0</v>
      </c>
      <c r="AG8" s="77">
        <v>200</v>
      </c>
      <c r="AH8" s="10">
        <f t="shared" si="0"/>
        <v>0</v>
      </c>
      <c r="AI8" s="98">
        <f t="shared" si="4"/>
        <v>1</v>
      </c>
      <c r="AJ8" s="76">
        <v>2</v>
      </c>
      <c r="AK8" s="99">
        <f t="shared" si="5"/>
        <v>0</v>
      </c>
      <c r="AL8" s="77">
        <v>200</v>
      </c>
      <c r="AM8" s="10">
        <f t="shared" si="1"/>
        <v>0</v>
      </c>
      <c r="AN8" s="77">
        <v>50</v>
      </c>
      <c r="AO8" s="78">
        <f t="shared" si="7"/>
        <v>50</v>
      </c>
      <c r="AQ8" s="30"/>
      <c r="AR8" s="30"/>
      <c r="AS8" s="30"/>
      <c r="AT8" s="30"/>
    </row>
    <row r="9" spans="1:46">
      <c r="A9" s="2">
        <f t="shared" si="2"/>
        <v>6</v>
      </c>
      <c r="B9" s="68">
        <v>696066666</v>
      </c>
      <c r="C9" s="80" t="s">
        <v>387</v>
      </c>
      <c r="D9" s="80" t="s">
        <v>388</v>
      </c>
      <c r="E9" s="97" t="s">
        <v>389</v>
      </c>
      <c r="F9" s="81" t="s">
        <v>93</v>
      </c>
      <c r="G9" s="81" t="s">
        <v>81</v>
      </c>
      <c r="H9" s="68">
        <v>24</v>
      </c>
      <c r="I9" s="67">
        <v>30000</v>
      </c>
      <c r="J9" s="94">
        <v>30060</v>
      </c>
      <c r="K9" s="68" t="s">
        <v>92</v>
      </c>
      <c r="L9" s="68" t="s">
        <v>18</v>
      </c>
      <c r="M9" s="84">
        <v>45729</v>
      </c>
      <c r="N9" s="84" t="s">
        <v>96</v>
      </c>
      <c r="O9" s="85" t="s">
        <v>97</v>
      </c>
      <c r="P9" s="84">
        <v>45733</v>
      </c>
      <c r="Q9" s="84">
        <v>45733</v>
      </c>
      <c r="R9" s="84">
        <v>45763</v>
      </c>
      <c r="S9" s="84">
        <v>45852</v>
      </c>
      <c r="T9" s="84">
        <v>45904</v>
      </c>
      <c r="U9" s="84">
        <v>45908</v>
      </c>
      <c r="V9" s="84">
        <v>45916</v>
      </c>
      <c r="W9" s="84">
        <v>45919</v>
      </c>
      <c r="X9" s="84">
        <v>45924</v>
      </c>
      <c r="Y9" s="84">
        <v>45925</v>
      </c>
      <c r="Z9" s="84">
        <v>45925</v>
      </c>
      <c r="AA9" s="84">
        <v>45925</v>
      </c>
      <c r="AB9" s="84">
        <v>45927</v>
      </c>
      <c r="AC9" s="86" t="s">
        <v>377</v>
      </c>
      <c r="AD9" s="98">
        <f t="shared" si="3"/>
        <v>5</v>
      </c>
      <c r="AE9" s="76">
        <v>7</v>
      </c>
      <c r="AF9" s="99">
        <f t="shared" si="6"/>
        <v>0</v>
      </c>
      <c r="AG9" s="77">
        <v>200</v>
      </c>
      <c r="AH9" s="10">
        <f t="shared" si="0"/>
        <v>0</v>
      </c>
      <c r="AI9" s="98">
        <f t="shared" si="4"/>
        <v>2</v>
      </c>
      <c r="AJ9" s="76">
        <v>2</v>
      </c>
      <c r="AK9" s="99">
        <f t="shared" si="5"/>
        <v>0</v>
      </c>
      <c r="AL9" s="77">
        <v>200</v>
      </c>
      <c r="AM9" s="10">
        <f t="shared" si="1"/>
        <v>0</v>
      </c>
      <c r="AN9" s="77">
        <v>0</v>
      </c>
      <c r="AO9" s="78">
        <f t="shared" si="7"/>
        <v>0</v>
      </c>
      <c r="AQ9" s="30"/>
      <c r="AR9" s="30"/>
      <c r="AS9" s="30"/>
      <c r="AT9" s="30"/>
    </row>
    <row r="10" spans="1:46">
      <c r="A10" s="2">
        <f t="shared" si="2"/>
        <v>7</v>
      </c>
      <c r="B10" s="68">
        <v>696066666</v>
      </c>
      <c r="C10" s="80" t="s">
        <v>390</v>
      </c>
      <c r="D10" s="80" t="s">
        <v>391</v>
      </c>
      <c r="E10" s="68" t="s">
        <v>392</v>
      </c>
      <c r="F10" s="81" t="s">
        <v>93</v>
      </c>
      <c r="G10" s="81" t="s">
        <v>81</v>
      </c>
      <c r="H10" s="68">
        <v>25</v>
      </c>
      <c r="I10" s="81">
        <v>35000</v>
      </c>
      <c r="J10" s="81">
        <v>35070</v>
      </c>
      <c r="K10" s="68" t="s">
        <v>92</v>
      </c>
      <c r="L10" s="68" t="s">
        <v>18</v>
      </c>
      <c r="M10" s="84">
        <v>45729</v>
      </c>
      <c r="N10" s="84" t="s">
        <v>96</v>
      </c>
      <c r="O10" s="85" t="s">
        <v>97</v>
      </c>
      <c r="P10" s="84">
        <v>45733</v>
      </c>
      <c r="Q10" s="84">
        <v>45733</v>
      </c>
      <c r="R10" s="84">
        <v>45763</v>
      </c>
      <c r="S10" s="84">
        <v>45897</v>
      </c>
      <c r="T10" s="84">
        <v>45897</v>
      </c>
      <c r="U10" s="84">
        <v>45908</v>
      </c>
      <c r="V10" s="84">
        <v>45917</v>
      </c>
      <c r="W10" s="84">
        <v>45919</v>
      </c>
      <c r="X10" s="84">
        <v>45924</v>
      </c>
      <c r="Y10" s="84">
        <v>45925</v>
      </c>
      <c r="Z10" s="84">
        <v>45925</v>
      </c>
      <c r="AA10" s="84">
        <v>45925</v>
      </c>
      <c r="AB10" s="84">
        <v>45927</v>
      </c>
      <c r="AC10" s="86" t="s">
        <v>377</v>
      </c>
      <c r="AD10" s="98">
        <f t="shared" si="3"/>
        <v>5</v>
      </c>
      <c r="AE10" s="76">
        <v>7</v>
      </c>
      <c r="AF10" s="99">
        <f t="shared" si="6"/>
        <v>0</v>
      </c>
      <c r="AG10" s="77">
        <v>200</v>
      </c>
      <c r="AH10" s="10">
        <f t="shared" si="0"/>
        <v>0</v>
      </c>
      <c r="AI10" s="98">
        <f t="shared" si="4"/>
        <v>2</v>
      </c>
      <c r="AJ10" s="76">
        <v>2</v>
      </c>
      <c r="AK10" s="99">
        <f t="shared" si="5"/>
        <v>0</v>
      </c>
      <c r="AL10" s="77">
        <v>200</v>
      </c>
      <c r="AM10" s="10">
        <f t="shared" si="1"/>
        <v>0</v>
      </c>
      <c r="AN10" s="77">
        <v>25</v>
      </c>
      <c r="AO10" s="78">
        <f t="shared" si="7"/>
        <v>25</v>
      </c>
      <c r="AQ10" s="30"/>
      <c r="AR10" s="30"/>
      <c r="AS10" s="30"/>
      <c r="AT10" s="30"/>
    </row>
    <row r="11" spans="1:46">
      <c r="A11" s="2">
        <f t="shared" si="2"/>
        <v>8</v>
      </c>
      <c r="B11" s="68">
        <v>696066666</v>
      </c>
      <c r="C11" s="80" t="s">
        <v>393</v>
      </c>
      <c r="D11" s="80" t="s">
        <v>394</v>
      </c>
      <c r="E11" s="92" t="s">
        <v>395</v>
      </c>
      <c r="F11" s="81" t="s">
        <v>93</v>
      </c>
      <c r="G11" s="81" t="s">
        <v>81</v>
      </c>
      <c r="H11" s="68">
        <v>24</v>
      </c>
      <c r="I11" s="81">
        <v>30000</v>
      </c>
      <c r="J11" s="81">
        <v>30060</v>
      </c>
      <c r="K11" s="68" t="s">
        <v>92</v>
      </c>
      <c r="L11" s="68" t="s">
        <v>18</v>
      </c>
      <c r="M11" s="84">
        <v>45729</v>
      </c>
      <c r="N11" s="84" t="s">
        <v>96</v>
      </c>
      <c r="O11" s="85" t="s">
        <v>97</v>
      </c>
      <c r="P11" s="84">
        <v>45733</v>
      </c>
      <c r="Q11" s="84">
        <v>45733</v>
      </c>
      <c r="R11" s="84">
        <v>45763</v>
      </c>
      <c r="S11" s="84">
        <v>45897</v>
      </c>
      <c r="T11" s="84">
        <v>45898</v>
      </c>
      <c r="U11" s="84">
        <v>45903</v>
      </c>
      <c r="V11" s="84">
        <v>45917</v>
      </c>
      <c r="W11" s="84">
        <v>45920</v>
      </c>
      <c r="X11" s="84">
        <v>45924</v>
      </c>
      <c r="Y11" s="84">
        <v>45924</v>
      </c>
      <c r="Z11" s="84">
        <v>45925</v>
      </c>
      <c r="AA11" s="84">
        <v>45925</v>
      </c>
      <c r="AB11" s="84">
        <v>45927</v>
      </c>
      <c r="AC11" s="86" t="s">
        <v>377</v>
      </c>
      <c r="AD11" s="98">
        <f t="shared" si="3"/>
        <v>4</v>
      </c>
      <c r="AE11" s="76">
        <v>7</v>
      </c>
      <c r="AF11" s="99">
        <f t="shared" si="6"/>
        <v>0</v>
      </c>
      <c r="AG11" s="77">
        <v>200</v>
      </c>
      <c r="AH11" s="10">
        <f t="shared" si="0"/>
        <v>0</v>
      </c>
      <c r="AI11" s="98">
        <f t="shared" si="4"/>
        <v>2</v>
      </c>
      <c r="AJ11" s="76">
        <v>2</v>
      </c>
      <c r="AK11" s="99">
        <f t="shared" si="5"/>
        <v>0</v>
      </c>
      <c r="AL11" s="77">
        <v>200</v>
      </c>
      <c r="AM11" s="10">
        <f t="shared" si="1"/>
        <v>0</v>
      </c>
      <c r="AN11" s="77">
        <v>50</v>
      </c>
      <c r="AO11" s="78">
        <f t="shared" si="7"/>
        <v>50</v>
      </c>
      <c r="AQ11" s="30"/>
      <c r="AR11" s="30"/>
      <c r="AS11" s="30"/>
      <c r="AT11" s="30"/>
    </row>
    <row r="12" spans="1:46">
      <c r="A12" s="2">
        <f t="shared" si="2"/>
        <v>9</v>
      </c>
      <c r="B12" s="68">
        <v>696066666</v>
      </c>
      <c r="C12" s="80" t="s">
        <v>396</v>
      </c>
      <c r="D12" s="80" t="s">
        <v>397</v>
      </c>
      <c r="E12" s="81" t="s">
        <v>398</v>
      </c>
      <c r="F12" s="81" t="s">
        <v>93</v>
      </c>
      <c r="G12" s="81" t="s">
        <v>81</v>
      </c>
      <c r="H12" s="68">
        <v>28</v>
      </c>
      <c r="I12" s="67">
        <v>35000</v>
      </c>
      <c r="J12" s="94">
        <v>35070</v>
      </c>
      <c r="K12" s="68" t="s">
        <v>92</v>
      </c>
      <c r="L12" s="68" t="s">
        <v>18</v>
      </c>
      <c r="M12" s="84">
        <v>45729</v>
      </c>
      <c r="N12" s="84" t="s">
        <v>96</v>
      </c>
      <c r="O12" s="85" t="s">
        <v>97</v>
      </c>
      <c r="P12" s="84">
        <v>45733</v>
      </c>
      <c r="Q12" s="84">
        <v>45733</v>
      </c>
      <c r="R12" s="84">
        <v>45763</v>
      </c>
      <c r="S12" s="84">
        <v>45852</v>
      </c>
      <c r="T12" s="84">
        <v>45904</v>
      </c>
      <c r="U12" s="84">
        <v>45908</v>
      </c>
      <c r="V12" s="84">
        <v>45915</v>
      </c>
      <c r="W12" s="84">
        <v>45919</v>
      </c>
      <c r="X12" s="84">
        <v>45922</v>
      </c>
      <c r="Y12" s="84">
        <v>45923</v>
      </c>
      <c r="Z12" s="84">
        <v>45923</v>
      </c>
      <c r="AA12" s="84">
        <v>45923</v>
      </c>
      <c r="AB12" s="84">
        <v>45924</v>
      </c>
      <c r="AC12" s="86" t="s">
        <v>377</v>
      </c>
      <c r="AD12" s="98">
        <f t="shared" si="3"/>
        <v>3</v>
      </c>
      <c r="AE12" s="76">
        <v>7</v>
      </c>
      <c r="AF12" s="99">
        <f t="shared" si="6"/>
        <v>0</v>
      </c>
      <c r="AG12" s="77">
        <v>200</v>
      </c>
      <c r="AH12" s="10">
        <f t="shared" si="0"/>
        <v>0</v>
      </c>
      <c r="AI12" s="98">
        <f t="shared" si="4"/>
        <v>1</v>
      </c>
      <c r="AJ12" s="76">
        <v>2</v>
      </c>
      <c r="AK12" s="99">
        <f t="shared" si="5"/>
        <v>0</v>
      </c>
      <c r="AL12" s="77">
        <v>200</v>
      </c>
      <c r="AM12" s="10">
        <f t="shared" si="1"/>
        <v>0</v>
      </c>
      <c r="AN12" s="77">
        <v>0</v>
      </c>
      <c r="AO12" s="78">
        <f t="shared" si="7"/>
        <v>0</v>
      </c>
      <c r="AQ12" s="30"/>
      <c r="AR12" s="30"/>
      <c r="AS12" s="30"/>
      <c r="AT12" s="30"/>
    </row>
    <row r="13" spans="1:46">
      <c r="A13" s="2">
        <f t="shared" si="2"/>
        <v>10</v>
      </c>
      <c r="B13" s="68">
        <v>696066666</v>
      </c>
      <c r="C13" s="80" t="s">
        <v>399</v>
      </c>
      <c r="D13" s="80" t="s">
        <v>400</v>
      </c>
      <c r="E13" s="84" t="s">
        <v>401</v>
      </c>
      <c r="F13" s="81" t="s">
        <v>93</v>
      </c>
      <c r="G13" s="81" t="s">
        <v>81</v>
      </c>
      <c r="H13" s="68">
        <v>25</v>
      </c>
      <c r="I13" s="81">
        <v>31250</v>
      </c>
      <c r="J13" s="81">
        <v>31313</v>
      </c>
      <c r="K13" s="68" t="s">
        <v>92</v>
      </c>
      <c r="L13" s="68" t="s">
        <v>18</v>
      </c>
      <c r="M13" s="84">
        <v>45729</v>
      </c>
      <c r="N13" s="84" t="s">
        <v>96</v>
      </c>
      <c r="O13" s="85" t="s">
        <v>97</v>
      </c>
      <c r="P13" s="84">
        <v>45733</v>
      </c>
      <c r="Q13" s="84">
        <v>45733</v>
      </c>
      <c r="R13" s="84">
        <v>45763</v>
      </c>
      <c r="S13" s="84">
        <v>45897</v>
      </c>
      <c r="T13" s="84">
        <v>45897</v>
      </c>
      <c r="U13" s="84">
        <v>45902</v>
      </c>
      <c r="V13" s="84">
        <v>45908</v>
      </c>
      <c r="W13" s="84">
        <v>45911</v>
      </c>
      <c r="X13" s="84">
        <v>45918</v>
      </c>
      <c r="Y13" s="84">
        <v>45918</v>
      </c>
      <c r="Z13" s="84">
        <v>45919</v>
      </c>
      <c r="AA13" s="84">
        <v>45919</v>
      </c>
      <c r="AB13" s="84">
        <v>45920</v>
      </c>
      <c r="AC13" s="86" t="s">
        <v>377</v>
      </c>
      <c r="AD13" s="98">
        <f t="shared" si="3"/>
        <v>7</v>
      </c>
      <c r="AE13" s="76">
        <v>7</v>
      </c>
      <c r="AF13" s="99">
        <f t="shared" si="6"/>
        <v>0</v>
      </c>
      <c r="AG13" s="77">
        <v>200</v>
      </c>
      <c r="AH13" s="10">
        <f t="shared" si="0"/>
        <v>0</v>
      </c>
      <c r="AI13" s="98">
        <f t="shared" si="4"/>
        <v>1</v>
      </c>
      <c r="AJ13" s="76">
        <v>2</v>
      </c>
      <c r="AK13" s="99">
        <f t="shared" si="5"/>
        <v>0</v>
      </c>
      <c r="AL13" s="77">
        <v>200</v>
      </c>
      <c r="AM13" s="10">
        <f t="shared" si="1"/>
        <v>0</v>
      </c>
      <c r="AN13" s="77">
        <v>0</v>
      </c>
      <c r="AO13" s="78">
        <f t="shared" si="7"/>
        <v>0</v>
      </c>
      <c r="AQ13" s="30"/>
      <c r="AR13" s="30"/>
      <c r="AS13" s="30"/>
      <c r="AT13" s="30"/>
    </row>
    <row r="14" spans="1:46">
      <c r="A14" s="2">
        <f t="shared" si="2"/>
        <v>11</v>
      </c>
      <c r="B14" s="68">
        <v>696066666</v>
      </c>
      <c r="C14" s="80" t="s">
        <v>402</v>
      </c>
      <c r="D14" s="80" t="s">
        <v>403</v>
      </c>
      <c r="E14" s="84" t="s">
        <v>404</v>
      </c>
      <c r="F14" s="81" t="s">
        <v>93</v>
      </c>
      <c r="G14" s="81" t="s">
        <v>81</v>
      </c>
      <c r="H14" s="68">
        <v>24</v>
      </c>
      <c r="I14" s="81">
        <v>30000</v>
      </c>
      <c r="J14" s="81">
        <v>30060</v>
      </c>
      <c r="K14" s="68" t="s">
        <v>92</v>
      </c>
      <c r="L14" s="68" t="s">
        <v>18</v>
      </c>
      <c r="M14" s="84">
        <v>45729</v>
      </c>
      <c r="N14" s="84" t="s">
        <v>96</v>
      </c>
      <c r="O14" s="85" t="s">
        <v>97</v>
      </c>
      <c r="P14" s="84">
        <v>45733</v>
      </c>
      <c r="Q14" s="84">
        <v>45733</v>
      </c>
      <c r="R14" s="84">
        <v>45763</v>
      </c>
      <c r="S14" s="84">
        <v>45897</v>
      </c>
      <c r="T14" s="84">
        <v>45897</v>
      </c>
      <c r="U14" s="84">
        <v>45902</v>
      </c>
      <c r="V14" s="84">
        <v>45908</v>
      </c>
      <c r="W14" s="84">
        <v>45911</v>
      </c>
      <c r="X14" s="84">
        <v>45918</v>
      </c>
      <c r="Y14" s="84">
        <v>45918</v>
      </c>
      <c r="Z14" s="84">
        <v>45919</v>
      </c>
      <c r="AA14" s="84">
        <v>45919</v>
      </c>
      <c r="AB14" s="84">
        <v>45922</v>
      </c>
      <c r="AC14" s="86" t="s">
        <v>377</v>
      </c>
      <c r="AD14" s="98">
        <f t="shared" si="3"/>
        <v>7</v>
      </c>
      <c r="AE14" s="76">
        <v>7</v>
      </c>
      <c r="AF14" s="99">
        <f t="shared" si="6"/>
        <v>0</v>
      </c>
      <c r="AG14" s="77">
        <v>200</v>
      </c>
      <c r="AH14" s="10">
        <f t="shared" si="0"/>
        <v>0</v>
      </c>
      <c r="AI14" s="98">
        <f t="shared" si="4"/>
        <v>3</v>
      </c>
      <c r="AJ14" s="76">
        <v>2</v>
      </c>
      <c r="AK14" s="99">
        <f t="shared" si="5"/>
        <v>1</v>
      </c>
      <c r="AL14" s="77">
        <v>200</v>
      </c>
      <c r="AM14" s="10">
        <f t="shared" si="1"/>
        <v>200</v>
      </c>
      <c r="AN14" s="77">
        <v>0</v>
      </c>
      <c r="AO14" s="78">
        <f t="shared" si="7"/>
        <v>200</v>
      </c>
      <c r="AQ14" s="30"/>
      <c r="AR14" s="30"/>
      <c r="AS14" s="30"/>
      <c r="AT14" s="30"/>
    </row>
    <row r="15" spans="1:46">
      <c r="A15" s="2">
        <f t="shared" si="2"/>
        <v>12</v>
      </c>
      <c r="B15" s="68">
        <v>696066666</v>
      </c>
      <c r="C15" s="80" t="s">
        <v>405</v>
      </c>
      <c r="D15" s="80" t="s">
        <v>406</v>
      </c>
      <c r="E15" s="95" t="s">
        <v>407</v>
      </c>
      <c r="F15" s="81" t="s">
        <v>93</v>
      </c>
      <c r="G15" s="81" t="s">
        <v>81</v>
      </c>
      <c r="H15" s="68">
        <v>28</v>
      </c>
      <c r="I15" s="67">
        <v>35000</v>
      </c>
      <c r="J15" s="94">
        <v>35070</v>
      </c>
      <c r="K15" s="68" t="s">
        <v>92</v>
      </c>
      <c r="L15" s="68" t="s">
        <v>18</v>
      </c>
      <c r="M15" s="84">
        <v>45729</v>
      </c>
      <c r="N15" s="84" t="s">
        <v>96</v>
      </c>
      <c r="O15" s="85" t="s">
        <v>97</v>
      </c>
      <c r="P15" s="84">
        <v>45733</v>
      </c>
      <c r="Q15" s="84">
        <v>45733</v>
      </c>
      <c r="R15" s="84">
        <v>45763</v>
      </c>
      <c r="S15" s="84">
        <v>45852</v>
      </c>
      <c r="T15" s="84">
        <v>45904</v>
      </c>
      <c r="U15" s="84">
        <v>45908</v>
      </c>
      <c r="V15" s="84">
        <v>45913</v>
      </c>
      <c r="W15" s="84">
        <v>45915</v>
      </c>
      <c r="X15" s="84">
        <v>45920</v>
      </c>
      <c r="Y15" s="84">
        <v>45920</v>
      </c>
      <c r="Z15" s="84">
        <v>45920</v>
      </c>
      <c r="AA15" s="84">
        <v>45921</v>
      </c>
      <c r="AB15" s="84">
        <v>45922</v>
      </c>
      <c r="AC15" s="86" t="s">
        <v>377</v>
      </c>
      <c r="AD15" s="98">
        <f t="shared" si="3"/>
        <v>5</v>
      </c>
      <c r="AE15" s="76">
        <v>7</v>
      </c>
      <c r="AF15" s="99">
        <f t="shared" si="6"/>
        <v>0</v>
      </c>
      <c r="AG15" s="77">
        <v>200</v>
      </c>
      <c r="AH15" s="10">
        <f t="shared" si="0"/>
        <v>0</v>
      </c>
      <c r="AI15" s="98">
        <f t="shared" si="4"/>
        <v>1</v>
      </c>
      <c r="AJ15" s="76">
        <v>2</v>
      </c>
      <c r="AK15" s="99">
        <f t="shared" si="5"/>
        <v>0</v>
      </c>
      <c r="AL15" s="77">
        <v>200</v>
      </c>
      <c r="AM15" s="10">
        <f t="shared" si="1"/>
        <v>0</v>
      </c>
      <c r="AN15" s="77">
        <v>0</v>
      </c>
      <c r="AO15" s="78">
        <f t="shared" si="7"/>
        <v>0</v>
      </c>
      <c r="AQ15" s="30"/>
      <c r="AR15" s="30"/>
      <c r="AS15" s="30"/>
      <c r="AT15" s="30"/>
    </row>
    <row r="16" spans="1:46">
      <c r="A16" s="2">
        <f t="shared" si="2"/>
        <v>13</v>
      </c>
      <c r="B16" s="68">
        <v>696066666</v>
      </c>
      <c r="C16" s="80" t="s">
        <v>408</v>
      </c>
      <c r="D16" s="80" t="s">
        <v>409</v>
      </c>
      <c r="E16" s="80" t="s">
        <v>410</v>
      </c>
      <c r="F16" s="81" t="s">
        <v>93</v>
      </c>
      <c r="G16" s="81" t="s">
        <v>81</v>
      </c>
      <c r="H16" s="68">
        <v>28</v>
      </c>
      <c r="I16" s="81">
        <v>35000</v>
      </c>
      <c r="J16" s="81">
        <v>35070</v>
      </c>
      <c r="K16" s="68" t="s">
        <v>92</v>
      </c>
      <c r="L16" s="68" t="s">
        <v>18</v>
      </c>
      <c r="M16" s="84">
        <v>45729</v>
      </c>
      <c r="N16" s="84" t="s">
        <v>96</v>
      </c>
      <c r="O16" s="85" t="s">
        <v>97</v>
      </c>
      <c r="P16" s="84">
        <v>45733</v>
      </c>
      <c r="Q16" s="84">
        <v>45733</v>
      </c>
      <c r="R16" s="84">
        <v>45763</v>
      </c>
      <c r="S16" s="84">
        <v>45897</v>
      </c>
      <c r="T16" s="84">
        <v>45898</v>
      </c>
      <c r="U16" s="84">
        <v>45908</v>
      </c>
      <c r="V16" s="84">
        <v>45912</v>
      </c>
      <c r="W16" s="84">
        <v>45914</v>
      </c>
      <c r="X16" s="84">
        <v>45920</v>
      </c>
      <c r="Y16" s="84">
        <v>45920</v>
      </c>
      <c r="Z16" s="84">
        <v>45921</v>
      </c>
      <c r="AA16" s="84">
        <v>45921</v>
      </c>
      <c r="AB16" s="84">
        <v>45922</v>
      </c>
      <c r="AC16" s="86" t="s">
        <v>377</v>
      </c>
      <c r="AD16" s="98">
        <f t="shared" si="3"/>
        <v>6</v>
      </c>
      <c r="AE16" s="76">
        <v>7</v>
      </c>
      <c r="AF16" s="99">
        <f t="shared" si="6"/>
        <v>0</v>
      </c>
      <c r="AG16" s="77">
        <v>200</v>
      </c>
      <c r="AH16" s="10">
        <f t="shared" si="0"/>
        <v>0</v>
      </c>
      <c r="AI16" s="98">
        <f t="shared" si="4"/>
        <v>1</v>
      </c>
      <c r="AJ16" s="76">
        <v>2</v>
      </c>
      <c r="AK16" s="99">
        <f t="shared" si="5"/>
        <v>0</v>
      </c>
      <c r="AL16" s="77">
        <v>200</v>
      </c>
      <c r="AM16" s="10">
        <f t="shared" si="1"/>
        <v>0</v>
      </c>
      <c r="AN16" s="77">
        <v>0</v>
      </c>
      <c r="AO16" s="78">
        <f t="shared" si="7"/>
        <v>0</v>
      </c>
      <c r="AQ16" s="30"/>
      <c r="AR16" s="30"/>
      <c r="AS16" s="30"/>
      <c r="AT16" s="30"/>
    </row>
    <row r="17" spans="1:46">
      <c r="A17" s="2">
        <f t="shared" si="2"/>
        <v>14</v>
      </c>
      <c r="B17" s="68">
        <v>696066666</v>
      </c>
      <c r="C17" s="80" t="s">
        <v>411</v>
      </c>
      <c r="D17" s="80" t="s">
        <v>412</v>
      </c>
      <c r="E17" s="80" t="s">
        <v>413</v>
      </c>
      <c r="F17" s="81" t="s">
        <v>93</v>
      </c>
      <c r="G17" s="81" t="s">
        <v>81</v>
      </c>
      <c r="H17" s="68">
        <v>28</v>
      </c>
      <c r="I17" s="81">
        <v>35000</v>
      </c>
      <c r="J17" s="81">
        <v>35070</v>
      </c>
      <c r="K17" s="68" t="s">
        <v>92</v>
      </c>
      <c r="L17" s="68" t="s">
        <v>18</v>
      </c>
      <c r="M17" s="84">
        <v>45729</v>
      </c>
      <c r="N17" s="84" t="s">
        <v>96</v>
      </c>
      <c r="O17" s="85" t="s">
        <v>97</v>
      </c>
      <c r="P17" s="84">
        <v>45733</v>
      </c>
      <c r="Q17" s="84">
        <v>45733</v>
      </c>
      <c r="R17" s="84">
        <v>45763</v>
      </c>
      <c r="S17" s="84">
        <v>45897</v>
      </c>
      <c r="T17" s="84">
        <v>45898</v>
      </c>
      <c r="U17" s="84">
        <v>45905</v>
      </c>
      <c r="V17" s="84">
        <v>45912</v>
      </c>
      <c r="W17" s="84">
        <v>45915</v>
      </c>
      <c r="X17" s="84">
        <v>45920</v>
      </c>
      <c r="Y17" s="84">
        <v>45920</v>
      </c>
      <c r="Z17" s="84">
        <v>45921</v>
      </c>
      <c r="AA17" s="84">
        <v>45921</v>
      </c>
      <c r="AB17" s="84">
        <v>45922</v>
      </c>
      <c r="AC17" s="86" t="s">
        <v>377</v>
      </c>
      <c r="AD17" s="98">
        <f t="shared" si="3"/>
        <v>5</v>
      </c>
      <c r="AE17" s="76">
        <v>7</v>
      </c>
      <c r="AF17" s="99">
        <f t="shared" si="6"/>
        <v>0</v>
      </c>
      <c r="AG17" s="77">
        <v>200</v>
      </c>
      <c r="AH17" s="10">
        <f t="shared" si="0"/>
        <v>0</v>
      </c>
      <c r="AI17" s="98">
        <f t="shared" si="4"/>
        <v>1</v>
      </c>
      <c r="AJ17" s="76">
        <v>2</v>
      </c>
      <c r="AK17" s="99">
        <f t="shared" si="5"/>
        <v>0</v>
      </c>
      <c r="AL17" s="77">
        <v>200</v>
      </c>
      <c r="AM17" s="10">
        <f t="shared" si="1"/>
        <v>0</v>
      </c>
      <c r="AN17" s="77">
        <v>0</v>
      </c>
      <c r="AO17" s="78">
        <f t="shared" si="7"/>
        <v>0</v>
      </c>
      <c r="AQ17" s="30"/>
      <c r="AR17" s="30"/>
      <c r="AS17" s="30"/>
      <c r="AT17" s="30"/>
    </row>
    <row r="18" spans="1:46">
      <c r="A18" s="2">
        <f t="shared" si="2"/>
        <v>15</v>
      </c>
      <c r="B18" s="68">
        <v>696066666</v>
      </c>
      <c r="C18" s="80" t="s">
        <v>414</v>
      </c>
      <c r="D18" s="80" t="s">
        <v>415</v>
      </c>
      <c r="E18" s="92" t="s">
        <v>416</v>
      </c>
      <c r="F18" s="81" t="s">
        <v>93</v>
      </c>
      <c r="G18" s="81" t="s">
        <v>81</v>
      </c>
      <c r="H18" s="68">
        <v>25</v>
      </c>
      <c r="I18" s="81">
        <v>31250</v>
      </c>
      <c r="J18" s="81">
        <v>31313</v>
      </c>
      <c r="K18" s="68" t="s">
        <v>92</v>
      </c>
      <c r="L18" s="68" t="s">
        <v>18</v>
      </c>
      <c r="M18" s="84">
        <v>45729</v>
      </c>
      <c r="N18" s="84" t="s">
        <v>96</v>
      </c>
      <c r="O18" s="85" t="s">
        <v>97</v>
      </c>
      <c r="P18" s="84">
        <v>45733</v>
      </c>
      <c r="Q18" s="84">
        <v>45733</v>
      </c>
      <c r="R18" s="84">
        <v>45763</v>
      </c>
      <c r="S18" s="84">
        <v>45897</v>
      </c>
      <c r="T18" s="84">
        <v>45898</v>
      </c>
      <c r="U18" s="84">
        <v>45903</v>
      </c>
      <c r="V18" s="84">
        <v>45912</v>
      </c>
      <c r="W18" s="84">
        <v>45915</v>
      </c>
      <c r="X18" s="84">
        <v>45920</v>
      </c>
      <c r="Y18" s="84">
        <v>45920</v>
      </c>
      <c r="Z18" s="84">
        <v>45921</v>
      </c>
      <c r="AA18" s="84">
        <v>45921</v>
      </c>
      <c r="AB18" s="84">
        <v>45922</v>
      </c>
      <c r="AC18" s="86" t="s">
        <v>377</v>
      </c>
      <c r="AD18" s="98">
        <f t="shared" si="3"/>
        <v>5</v>
      </c>
      <c r="AE18" s="76">
        <v>7</v>
      </c>
      <c r="AF18" s="99">
        <f t="shared" si="6"/>
        <v>0</v>
      </c>
      <c r="AG18" s="77">
        <v>200</v>
      </c>
      <c r="AH18" s="10">
        <f t="shared" si="0"/>
        <v>0</v>
      </c>
      <c r="AI18" s="98">
        <f t="shared" si="4"/>
        <v>1</v>
      </c>
      <c r="AJ18" s="76">
        <v>2</v>
      </c>
      <c r="AK18" s="99">
        <f t="shared" si="5"/>
        <v>0</v>
      </c>
      <c r="AL18" s="77">
        <v>200</v>
      </c>
      <c r="AM18" s="10">
        <f t="shared" si="1"/>
        <v>0</v>
      </c>
      <c r="AN18" s="77">
        <v>0</v>
      </c>
      <c r="AO18" s="78">
        <f t="shared" si="7"/>
        <v>0</v>
      </c>
      <c r="AQ18" s="30"/>
      <c r="AR18" s="30"/>
      <c r="AS18" s="30"/>
      <c r="AT18" s="30"/>
    </row>
    <row r="19" spans="1:46">
      <c r="A19" s="2">
        <f t="shared" si="2"/>
        <v>16</v>
      </c>
      <c r="B19" s="68">
        <v>696066666</v>
      </c>
      <c r="C19" s="80" t="s">
        <v>417</v>
      </c>
      <c r="D19" s="80" t="s">
        <v>418</v>
      </c>
      <c r="E19" s="92" t="s">
        <v>419</v>
      </c>
      <c r="F19" s="81" t="s">
        <v>93</v>
      </c>
      <c r="G19" s="81" t="s">
        <v>81</v>
      </c>
      <c r="H19" s="68">
        <v>24</v>
      </c>
      <c r="I19" s="81">
        <v>30000</v>
      </c>
      <c r="J19" s="81">
        <v>30060</v>
      </c>
      <c r="K19" s="68" t="s">
        <v>92</v>
      </c>
      <c r="L19" s="68" t="s">
        <v>18</v>
      </c>
      <c r="M19" s="84">
        <v>45729</v>
      </c>
      <c r="N19" s="84" t="s">
        <v>96</v>
      </c>
      <c r="O19" s="85" t="s">
        <v>97</v>
      </c>
      <c r="P19" s="84">
        <v>45733</v>
      </c>
      <c r="Q19" s="84">
        <v>45733</v>
      </c>
      <c r="R19" s="84">
        <v>45763</v>
      </c>
      <c r="S19" s="84">
        <v>45897</v>
      </c>
      <c r="T19" s="84">
        <v>45898</v>
      </c>
      <c r="U19" s="84">
        <v>45903</v>
      </c>
      <c r="V19" s="84">
        <v>45912</v>
      </c>
      <c r="W19" s="84">
        <v>45914</v>
      </c>
      <c r="X19" s="84">
        <v>45920</v>
      </c>
      <c r="Y19" s="84">
        <v>45920</v>
      </c>
      <c r="Z19" s="84">
        <v>45921</v>
      </c>
      <c r="AA19" s="84">
        <v>45921</v>
      </c>
      <c r="AB19" s="84">
        <v>45922</v>
      </c>
      <c r="AC19" s="86" t="s">
        <v>377</v>
      </c>
      <c r="AD19" s="98">
        <f t="shared" si="3"/>
        <v>6</v>
      </c>
      <c r="AE19" s="76">
        <v>7</v>
      </c>
      <c r="AF19" s="99">
        <f t="shared" si="6"/>
        <v>0</v>
      </c>
      <c r="AG19" s="77">
        <v>200</v>
      </c>
      <c r="AH19" s="10">
        <f t="shared" si="0"/>
        <v>0</v>
      </c>
      <c r="AI19" s="98">
        <f t="shared" si="4"/>
        <v>1</v>
      </c>
      <c r="AJ19" s="76">
        <v>2</v>
      </c>
      <c r="AK19" s="99">
        <f t="shared" si="5"/>
        <v>0</v>
      </c>
      <c r="AL19" s="77">
        <v>200</v>
      </c>
      <c r="AM19" s="10">
        <f t="shared" si="1"/>
        <v>0</v>
      </c>
      <c r="AN19" s="77">
        <v>0</v>
      </c>
      <c r="AO19" s="78">
        <f t="shared" si="7"/>
        <v>0</v>
      </c>
      <c r="AQ19" s="30"/>
      <c r="AR19" s="30"/>
      <c r="AS19" s="30"/>
      <c r="AT19" s="30"/>
    </row>
    <row r="20" spans="1:46">
      <c r="A20" s="2">
        <f t="shared" si="2"/>
        <v>17</v>
      </c>
      <c r="B20" s="68">
        <v>696066666</v>
      </c>
      <c r="C20" s="80" t="s">
        <v>420</v>
      </c>
      <c r="D20" s="80" t="s">
        <v>421</v>
      </c>
      <c r="E20" s="92" t="s">
        <v>422</v>
      </c>
      <c r="F20" s="81" t="s">
        <v>93</v>
      </c>
      <c r="G20" s="81" t="s">
        <v>81</v>
      </c>
      <c r="H20" s="68">
        <v>25</v>
      </c>
      <c r="I20" s="81">
        <v>31250</v>
      </c>
      <c r="J20" s="81">
        <v>31313</v>
      </c>
      <c r="K20" s="68" t="s">
        <v>92</v>
      </c>
      <c r="L20" s="68" t="s">
        <v>18</v>
      </c>
      <c r="M20" s="84">
        <v>45729</v>
      </c>
      <c r="N20" s="84" t="s">
        <v>96</v>
      </c>
      <c r="O20" s="85" t="s">
        <v>97</v>
      </c>
      <c r="P20" s="84">
        <v>45733</v>
      </c>
      <c r="Q20" s="84">
        <v>45733</v>
      </c>
      <c r="R20" s="84">
        <v>45763</v>
      </c>
      <c r="S20" s="84">
        <v>45897</v>
      </c>
      <c r="T20" s="84">
        <v>45898</v>
      </c>
      <c r="U20" s="84">
        <v>45903</v>
      </c>
      <c r="V20" s="84">
        <v>45911</v>
      </c>
      <c r="W20" s="84">
        <v>45911</v>
      </c>
      <c r="X20" s="84">
        <v>45920</v>
      </c>
      <c r="Y20" s="84">
        <v>45920</v>
      </c>
      <c r="Z20" s="84">
        <v>45920</v>
      </c>
      <c r="AA20" s="84">
        <v>45921</v>
      </c>
      <c r="AB20" s="84">
        <v>45922</v>
      </c>
      <c r="AC20" s="86" t="s">
        <v>377</v>
      </c>
      <c r="AD20" s="98">
        <f t="shared" si="3"/>
        <v>9</v>
      </c>
      <c r="AE20" s="76">
        <v>7</v>
      </c>
      <c r="AF20" s="99">
        <f t="shared" si="6"/>
        <v>2</v>
      </c>
      <c r="AG20" s="77">
        <v>200</v>
      </c>
      <c r="AH20" s="10">
        <f t="shared" si="0"/>
        <v>400</v>
      </c>
      <c r="AI20" s="98">
        <f t="shared" si="4"/>
        <v>1</v>
      </c>
      <c r="AJ20" s="76">
        <v>2</v>
      </c>
      <c r="AK20" s="99">
        <f t="shared" si="5"/>
        <v>0</v>
      </c>
      <c r="AL20" s="77">
        <v>200</v>
      </c>
      <c r="AM20" s="10">
        <f t="shared" si="1"/>
        <v>0</v>
      </c>
      <c r="AN20" s="77">
        <v>0</v>
      </c>
      <c r="AO20" s="78">
        <f t="shared" si="7"/>
        <v>400</v>
      </c>
      <c r="AQ20" s="30"/>
      <c r="AR20" s="30"/>
      <c r="AS20" s="30"/>
      <c r="AT20" s="30"/>
    </row>
    <row r="21" spans="1:46">
      <c r="A21" s="2">
        <f t="shared" si="2"/>
        <v>18</v>
      </c>
      <c r="B21" s="68">
        <v>696066666</v>
      </c>
      <c r="C21" s="80" t="s">
        <v>423</v>
      </c>
      <c r="D21" s="80" t="s">
        <v>424</v>
      </c>
      <c r="E21" s="62" t="s">
        <v>425</v>
      </c>
      <c r="F21" s="81" t="s">
        <v>93</v>
      </c>
      <c r="G21" s="81" t="s">
        <v>81</v>
      </c>
      <c r="H21" s="68">
        <v>29</v>
      </c>
      <c r="I21" s="81">
        <v>36250</v>
      </c>
      <c r="J21" s="81">
        <v>36323</v>
      </c>
      <c r="K21" s="68" t="s">
        <v>92</v>
      </c>
      <c r="L21" s="68" t="s">
        <v>18</v>
      </c>
      <c r="M21" s="84">
        <v>45729</v>
      </c>
      <c r="N21" s="84" t="s">
        <v>96</v>
      </c>
      <c r="O21" s="85" t="s">
        <v>97</v>
      </c>
      <c r="P21" s="84">
        <v>45733</v>
      </c>
      <c r="Q21" s="84">
        <v>45733</v>
      </c>
      <c r="R21" s="84">
        <v>45763</v>
      </c>
      <c r="S21" s="84">
        <v>45897</v>
      </c>
      <c r="T21" s="84">
        <v>45898</v>
      </c>
      <c r="U21" s="84">
        <v>45902</v>
      </c>
      <c r="V21" s="84">
        <v>45908</v>
      </c>
      <c r="W21" s="84">
        <v>45911</v>
      </c>
      <c r="X21" s="84">
        <v>45918</v>
      </c>
      <c r="Y21" s="84">
        <v>45920</v>
      </c>
      <c r="Z21" s="84">
        <v>45920</v>
      </c>
      <c r="AA21" s="84">
        <v>45920</v>
      </c>
      <c r="AB21" s="84">
        <v>45922</v>
      </c>
      <c r="AC21" s="86" t="s">
        <v>377</v>
      </c>
      <c r="AD21" s="98">
        <f t="shared" si="3"/>
        <v>7</v>
      </c>
      <c r="AE21" s="76">
        <v>7</v>
      </c>
      <c r="AF21" s="99">
        <f t="shared" si="6"/>
        <v>0</v>
      </c>
      <c r="AG21" s="77">
        <v>200</v>
      </c>
      <c r="AH21" s="10">
        <f t="shared" si="0"/>
        <v>0</v>
      </c>
      <c r="AI21" s="98">
        <f t="shared" si="4"/>
        <v>2</v>
      </c>
      <c r="AJ21" s="76">
        <v>2</v>
      </c>
      <c r="AK21" s="99">
        <f t="shared" si="5"/>
        <v>0</v>
      </c>
      <c r="AL21" s="77">
        <v>200</v>
      </c>
      <c r="AM21" s="10">
        <f t="shared" si="1"/>
        <v>0</v>
      </c>
      <c r="AN21" s="77">
        <v>0</v>
      </c>
      <c r="AO21" s="78">
        <f t="shared" si="7"/>
        <v>0</v>
      </c>
      <c r="AQ21" s="30"/>
      <c r="AR21" s="30"/>
      <c r="AS21" s="30"/>
      <c r="AT21" s="30"/>
    </row>
    <row r="22" spans="1:46">
      <c r="A22" s="2">
        <f t="shared" si="2"/>
        <v>19</v>
      </c>
      <c r="B22" s="68">
        <v>696066666</v>
      </c>
      <c r="C22" s="80" t="s">
        <v>426</v>
      </c>
      <c r="D22" s="80" t="s">
        <v>427</v>
      </c>
      <c r="E22" s="92" t="s">
        <v>428</v>
      </c>
      <c r="F22" s="81" t="s">
        <v>93</v>
      </c>
      <c r="G22" s="81" t="s">
        <v>81</v>
      </c>
      <c r="H22" s="68">
        <v>24</v>
      </c>
      <c r="I22" s="81">
        <v>30000</v>
      </c>
      <c r="J22" s="81">
        <v>30060</v>
      </c>
      <c r="K22" s="68" t="s">
        <v>92</v>
      </c>
      <c r="L22" s="68" t="s">
        <v>18</v>
      </c>
      <c r="M22" s="84">
        <v>45729</v>
      </c>
      <c r="N22" s="84" t="s">
        <v>96</v>
      </c>
      <c r="O22" s="85" t="s">
        <v>97</v>
      </c>
      <c r="P22" s="84">
        <v>45733</v>
      </c>
      <c r="Q22" s="84">
        <v>45733</v>
      </c>
      <c r="R22" s="84">
        <v>45763</v>
      </c>
      <c r="S22" s="84">
        <v>45897</v>
      </c>
      <c r="T22" s="84">
        <v>45898</v>
      </c>
      <c r="U22" s="84">
        <v>45903</v>
      </c>
      <c r="V22" s="84">
        <v>45911</v>
      </c>
      <c r="W22" s="84">
        <v>45912</v>
      </c>
      <c r="X22" s="84">
        <v>45914</v>
      </c>
      <c r="Y22" s="84">
        <v>45920</v>
      </c>
      <c r="Z22" s="84">
        <v>45920</v>
      </c>
      <c r="AA22" s="84">
        <v>45921</v>
      </c>
      <c r="AB22" s="84">
        <v>45922</v>
      </c>
      <c r="AC22" s="86" t="s">
        <v>377</v>
      </c>
      <c r="AD22" s="98">
        <f t="shared" si="3"/>
        <v>2</v>
      </c>
      <c r="AE22" s="76">
        <v>7</v>
      </c>
      <c r="AF22" s="99">
        <f t="shared" si="6"/>
        <v>0</v>
      </c>
      <c r="AG22" s="77">
        <v>200</v>
      </c>
      <c r="AH22" s="10">
        <f t="shared" si="0"/>
        <v>0</v>
      </c>
      <c r="AI22" s="98">
        <f t="shared" si="4"/>
        <v>1</v>
      </c>
      <c r="AJ22" s="76">
        <v>2</v>
      </c>
      <c r="AK22" s="99">
        <f t="shared" si="5"/>
        <v>0</v>
      </c>
      <c r="AL22" s="77">
        <v>200</v>
      </c>
      <c r="AM22" s="10">
        <f t="shared" si="1"/>
        <v>0</v>
      </c>
      <c r="AN22" s="77">
        <v>0</v>
      </c>
      <c r="AO22" s="78">
        <f t="shared" si="7"/>
        <v>0</v>
      </c>
      <c r="AQ22" s="30"/>
      <c r="AR22" s="30"/>
      <c r="AS22" s="30"/>
      <c r="AT22" s="30"/>
    </row>
    <row r="23" spans="1:46">
      <c r="A23" s="2">
        <f t="shared" si="2"/>
        <v>20</v>
      </c>
      <c r="B23" s="68">
        <v>696066666</v>
      </c>
      <c r="C23" s="80" t="s">
        <v>429</v>
      </c>
      <c r="D23" s="80" t="s">
        <v>430</v>
      </c>
      <c r="E23" s="84" t="s">
        <v>431</v>
      </c>
      <c r="F23" s="81" t="s">
        <v>93</v>
      </c>
      <c r="G23" s="81" t="s">
        <v>81</v>
      </c>
      <c r="H23" s="68">
        <v>24</v>
      </c>
      <c r="I23" s="81">
        <v>30000</v>
      </c>
      <c r="J23" s="81">
        <v>30060</v>
      </c>
      <c r="K23" s="68" t="s">
        <v>92</v>
      </c>
      <c r="L23" s="68" t="s">
        <v>18</v>
      </c>
      <c r="M23" s="84">
        <v>45729</v>
      </c>
      <c r="N23" s="84" t="s">
        <v>96</v>
      </c>
      <c r="O23" s="85" t="s">
        <v>97</v>
      </c>
      <c r="P23" s="84">
        <v>45733</v>
      </c>
      <c r="Q23" s="84">
        <v>45733</v>
      </c>
      <c r="R23" s="84">
        <v>45763</v>
      </c>
      <c r="S23" s="84">
        <v>45897</v>
      </c>
      <c r="T23" s="84">
        <v>45897</v>
      </c>
      <c r="U23" s="84">
        <v>45902</v>
      </c>
      <c r="V23" s="84">
        <v>45908</v>
      </c>
      <c r="W23" s="84">
        <v>45911</v>
      </c>
      <c r="X23" s="84">
        <v>45915</v>
      </c>
      <c r="Y23" s="84">
        <v>45915</v>
      </c>
      <c r="Z23" s="84">
        <v>45916</v>
      </c>
      <c r="AA23" s="84">
        <v>45916</v>
      </c>
      <c r="AB23" s="84">
        <v>45917</v>
      </c>
      <c r="AC23" s="86" t="s">
        <v>377</v>
      </c>
      <c r="AD23" s="98">
        <f t="shared" si="3"/>
        <v>4</v>
      </c>
      <c r="AE23" s="76">
        <v>7</v>
      </c>
      <c r="AF23" s="99">
        <f t="shared" si="6"/>
        <v>0</v>
      </c>
      <c r="AG23" s="77">
        <v>200</v>
      </c>
      <c r="AH23" s="10">
        <f t="shared" si="0"/>
        <v>0</v>
      </c>
      <c r="AI23" s="98">
        <f t="shared" si="4"/>
        <v>1</v>
      </c>
      <c r="AJ23" s="76">
        <v>2</v>
      </c>
      <c r="AK23" s="99">
        <f t="shared" si="5"/>
        <v>0</v>
      </c>
      <c r="AL23" s="77">
        <v>200</v>
      </c>
      <c r="AM23" s="10">
        <f t="shared" si="1"/>
        <v>0</v>
      </c>
      <c r="AN23" s="77">
        <v>0</v>
      </c>
      <c r="AO23" s="78">
        <f t="shared" si="7"/>
        <v>0</v>
      </c>
      <c r="AQ23" s="30"/>
      <c r="AR23" s="30"/>
      <c r="AS23" s="30"/>
      <c r="AT23" s="30"/>
    </row>
    <row r="24" spans="1:46">
      <c r="A24" s="2">
        <f t="shared" si="2"/>
        <v>21</v>
      </c>
      <c r="B24" s="68">
        <v>696066666</v>
      </c>
      <c r="C24" s="80" t="s">
        <v>432</v>
      </c>
      <c r="D24" s="80" t="s">
        <v>433</v>
      </c>
      <c r="E24" s="92" t="s">
        <v>434</v>
      </c>
      <c r="F24" s="81" t="s">
        <v>93</v>
      </c>
      <c r="G24" s="81" t="s">
        <v>81</v>
      </c>
      <c r="H24" s="68">
        <v>25</v>
      </c>
      <c r="I24" s="81">
        <v>31250</v>
      </c>
      <c r="J24" s="81">
        <v>31313</v>
      </c>
      <c r="K24" s="68" t="s">
        <v>92</v>
      </c>
      <c r="L24" s="68" t="s">
        <v>18</v>
      </c>
      <c r="M24" s="84">
        <v>45729</v>
      </c>
      <c r="N24" s="84" t="s">
        <v>96</v>
      </c>
      <c r="O24" s="85" t="s">
        <v>97</v>
      </c>
      <c r="P24" s="84">
        <v>45733</v>
      </c>
      <c r="Q24" s="84">
        <v>45733</v>
      </c>
      <c r="R24" s="84">
        <v>45763</v>
      </c>
      <c r="S24" s="84">
        <v>45897</v>
      </c>
      <c r="T24" s="84">
        <v>45897</v>
      </c>
      <c r="U24" s="84">
        <v>45902</v>
      </c>
      <c r="V24" s="84">
        <v>45907</v>
      </c>
      <c r="W24" s="84">
        <v>45911</v>
      </c>
      <c r="X24" s="84">
        <v>45915</v>
      </c>
      <c r="Y24" s="84">
        <v>45915</v>
      </c>
      <c r="Z24" s="84">
        <v>45916</v>
      </c>
      <c r="AA24" s="84">
        <v>45916</v>
      </c>
      <c r="AB24" s="84">
        <v>45917</v>
      </c>
      <c r="AC24" s="86" t="s">
        <v>377</v>
      </c>
      <c r="AD24" s="98">
        <f t="shared" si="3"/>
        <v>4</v>
      </c>
      <c r="AE24" s="76">
        <v>7</v>
      </c>
      <c r="AF24" s="99">
        <f t="shared" si="6"/>
        <v>0</v>
      </c>
      <c r="AG24" s="77">
        <v>200</v>
      </c>
      <c r="AH24" s="10">
        <f t="shared" si="0"/>
        <v>0</v>
      </c>
      <c r="AI24" s="98">
        <f t="shared" si="4"/>
        <v>1</v>
      </c>
      <c r="AJ24" s="76">
        <v>2</v>
      </c>
      <c r="AK24" s="99">
        <f t="shared" si="5"/>
        <v>0</v>
      </c>
      <c r="AL24" s="77">
        <v>200</v>
      </c>
      <c r="AM24" s="10">
        <f t="shared" si="1"/>
        <v>0</v>
      </c>
      <c r="AN24" s="77">
        <v>0</v>
      </c>
      <c r="AO24" s="78">
        <f t="shared" si="7"/>
        <v>0</v>
      </c>
      <c r="AQ24" s="30"/>
      <c r="AR24" s="30"/>
      <c r="AS24" s="30"/>
      <c r="AT24" s="30"/>
    </row>
    <row r="25" spans="1:46">
      <c r="A25" s="2">
        <f t="shared" si="2"/>
        <v>22</v>
      </c>
      <c r="B25" s="68">
        <v>696066666</v>
      </c>
      <c r="C25" s="80" t="s">
        <v>435</v>
      </c>
      <c r="D25" s="80" t="s">
        <v>436</v>
      </c>
      <c r="E25" s="92" t="s">
        <v>437</v>
      </c>
      <c r="F25" s="81" t="s">
        <v>93</v>
      </c>
      <c r="G25" s="81" t="s">
        <v>81</v>
      </c>
      <c r="H25" s="68">
        <v>25</v>
      </c>
      <c r="I25" s="81">
        <v>31250</v>
      </c>
      <c r="J25" s="81">
        <v>31313</v>
      </c>
      <c r="K25" s="68" t="s">
        <v>92</v>
      </c>
      <c r="L25" s="68" t="s">
        <v>18</v>
      </c>
      <c r="M25" s="84">
        <v>45729</v>
      </c>
      <c r="N25" s="84" t="s">
        <v>96</v>
      </c>
      <c r="O25" s="85" t="s">
        <v>97</v>
      </c>
      <c r="P25" s="84">
        <v>45733</v>
      </c>
      <c r="Q25" s="84">
        <v>45733</v>
      </c>
      <c r="R25" s="84">
        <v>45763</v>
      </c>
      <c r="S25" s="84">
        <v>45897</v>
      </c>
      <c r="T25" s="84">
        <v>45897</v>
      </c>
      <c r="U25" s="84">
        <v>45902</v>
      </c>
      <c r="V25" s="84">
        <v>45908</v>
      </c>
      <c r="W25" s="84">
        <v>45911</v>
      </c>
      <c r="X25" s="84">
        <v>45915</v>
      </c>
      <c r="Y25" s="84">
        <v>45915</v>
      </c>
      <c r="Z25" s="84">
        <v>45916</v>
      </c>
      <c r="AA25" s="84">
        <v>45916</v>
      </c>
      <c r="AB25" s="84">
        <v>45917</v>
      </c>
      <c r="AC25" s="86" t="s">
        <v>377</v>
      </c>
      <c r="AD25" s="98">
        <f t="shared" si="3"/>
        <v>4</v>
      </c>
      <c r="AE25" s="76">
        <v>7</v>
      </c>
      <c r="AF25" s="99">
        <f t="shared" si="6"/>
        <v>0</v>
      </c>
      <c r="AG25" s="77">
        <v>200</v>
      </c>
      <c r="AH25" s="10">
        <f t="shared" si="0"/>
        <v>0</v>
      </c>
      <c r="AI25" s="98">
        <f t="shared" si="4"/>
        <v>1</v>
      </c>
      <c r="AJ25" s="76">
        <v>2</v>
      </c>
      <c r="AK25" s="99">
        <f t="shared" si="5"/>
        <v>0</v>
      </c>
      <c r="AL25" s="77">
        <v>200</v>
      </c>
      <c r="AM25" s="10">
        <f t="shared" si="1"/>
        <v>0</v>
      </c>
      <c r="AN25" s="77">
        <v>0</v>
      </c>
      <c r="AO25" s="78">
        <f t="shared" si="7"/>
        <v>0</v>
      </c>
      <c r="AQ25" s="30"/>
      <c r="AR25" s="30"/>
      <c r="AS25" s="30"/>
      <c r="AT25" s="30"/>
    </row>
    <row r="26" spans="1:46">
      <c r="A26" s="2">
        <f t="shared" si="2"/>
        <v>23</v>
      </c>
      <c r="B26" s="68">
        <v>696066666</v>
      </c>
      <c r="C26" s="80" t="s">
        <v>438</v>
      </c>
      <c r="D26" s="80" t="s">
        <v>439</v>
      </c>
      <c r="E26" s="92" t="s">
        <v>440</v>
      </c>
      <c r="F26" s="81" t="s">
        <v>93</v>
      </c>
      <c r="G26" s="81" t="s">
        <v>81</v>
      </c>
      <c r="H26" s="68">
        <v>24</v>
      </c>
      <c r="I26" s="81">
        <v>30000</v>
      </c>
      <c r="J26" s="81">
        <v>30060</v>
      </c>
      <c r="K26" s="68" t="s">
        <v>92</v>
      </c>
      <c r="L26" s="68" t="s">
        <v>18</v>
      </c>
      <c r="M26" s="84">
        <v>45729</v>
      </c>
      <c r="N26" s="84" t="s">
        <v>96</v>
      </c>
      <c r="O26" s="85" t="s">
        <v>97</v>
      </c>
      <c r="P26" s="84">
        <v>45733</v>
      </c>
      <c r="Q26" s="84">
        <v>45733</v>
      </c>
      <c r="R26" s="84">
        <v>45763</v>
      </c>
      <c r="S26" s="84">
        <v>45897</v>
      </c>
      <c r="T26" s="84">
        <v>45897</v>
      </c>
      <c r="U26" s="84">
        <v>45902</v>
      </c>
      <c r="V26" s="84">
        <v>45907</v>
      </c>
      <c r="W26" s="84">
        <v>45911</v>
      </c>
      <c r="X26" s="84">
        <v>45915</v>
      </c>
      <c r="Y26" s="84">
        <v>45915</v>
      </c>
      <c r="Z26" s="84">
        <v>45916</v>
      </c>
      <c r="AA26" s="84">
        <v>45916</v>
      </c>
      <c r="AB26" s="84">
        <v>45917</v>
      </c>
      <c r="AC26" s="86" t="s">
        <v>377</v>
      </c>
      <c r="AD26" s="98">
        <f t="shared" si="3"/>
        <v>4</v>
      </c>
      <c r="AE26" s="76">
        <v>7</v>
      </c>
      <c r="AF26" s="99">
        <f t="shared" si="6"/>
        <v>0</v>
      </c>
      <c r="AG26" s="77">
        <v>200</v>
      </c>
      <c r="AH26" s="10">
        <f t="shared" si="0"/>
        <v>0</v>
      </c>
      <c r="AI26" s="98">
        <f t="shared" si="4"/>
        <v>1</v>
      </c>
      <c r="AJ26" s="76">
        <v>2</v>
      </c>
      <c r="AK26" s="99">
        <f t="shared" si="5"/>
        <v>0</v>
      </c>
      <c r="AL26" s="77">
        <v>200</v>
      </c>
      <c r="AM26" s="10">
        <f t="shared" si="1"/>
        <v>0</v>
      </c>
      <c r="AN26" s="77">
        <v>0</v>
      </c>
      <c r="AO26" s="78">
        <f t="shared" si="7"/>
        <v>0</v>
      </c>
      <c r="AQ26" s="30"/>
      <c r="AR26" s="30"/>
      <c r="AS26" s="30"/>
      <c r="AT26" s="30"/>
    </row>
    <row r="27" spans="1:46">
      <c r="A27" s="2">
        <f t="shared" si="2"/>
        <v>24</v>
      </c>
      <c r="B27" s="68">
        <v>696066666</v>
      </c>
      <c r="C27" s="80" t="s">
        <v>441</v>
      </c>
      <c r="D27" s="80" t="s">
        <v>442</v>
      </c>
      <c r="E27" s="92" t="s">
        <v>443</v>
      </c>
      <c r="F27" s="81" t="s">
        <v>93</v>
      </c>
      <c r="G27" s="81" t="s">
        <v>81</v>
      </c>
      <c r="H27" s="68">
        <v>24</v>
      </c>
      <c r="I27" s="81">
        <v>30000</v>
      </c>
      <c r="J27" s="81">
        <v>30060</v>
      </c>
      <c r="K27" s="68" t="s">
        <v>92</v>
      </c>
      <c r="L27" s="68" t="s">
        <v>18</v>
      </c>
      <c r="M27" s="84">
        <v>45729</v>
      </c>
      <c r="N27" s="84" t="s">
        <v>96</v>
      </c>
      <c r="O27" s="85" t="s">
        <v>97</v>
      </c>
      <c r="P27" s="84">
        <v>45733</v>
      </c>
      <c r="Q27" s="84">
        <v>45733</v>
      </c>
      <c r="R27" s="84">
        <v>45763</v>
      </c>
      <c r="S27" s="84">
        <v>45897</v>
      </c>
      <c r="T27" s="84">
        <v>45897</v>
      </c>
      <c r="U27" s="84">
        <v>45902</v>
      </c>
      <c r="V27" s="84">
        <v>45908</v>
      </c>
      <c r="W27" s="84">
        <v>45911</v>
      </c>
      <c r="X27" s="84">
        <v>45915</v>
      </c>
      <c r="Y27" s="84">
        <v>45915</v>
      </c>
      <c r="Z27" s="84">
        <v>45916</v>
      </c>
      <c r="AA27" s="84">
        <v>45916</v>
      </c>
      <c r="AB27" s="84">
        <v>45917</v>
      </c>
      <c r="AC27" s="86" t="s">
        <v>377</v>
      </c>
      <c r="AD27" s="98">
        <f t="shared" si="3"/>
        <v>4</v>
      </c>
      <c r="AE27" s="76">
        <v>7</v>
      </c>
      <c r="AF27" s="99">
        <f t="shared" si="6"/>
        <v>0</v>
      </c>
      <c r="AG27" s="77">
        <v>200</v>
      </c>
      <c r="AH27" s="10">
        <f t="shared" si="0"/>
        <v>0</v>
      </c>
      <c r="AI27" s="98">
        <f t="shared" si="4"/>
        <v>1</v>
      </c>
      <c r="AJ27" s="76">
        <v>2</v>
      </c>
      <c r="AK27" s="99">
        <f t="shared" si="5"/>
        <v>0</v>
      </c>
      <c r="AL27" s="77">
        <v>200</v>
      </c>
      <c r="AM27" s="10">
        <f t="shared" si="1"/>
        <v>0</v>
      </c>
      <c r="AN27" s="77">
        <v>0</v>
      </c>
      <c r="AO27" s="78">
        <f t="shared" si="7"/>
        <v>0</v>
      </c>
      <c r="AQ27" s="30"/>
      <c r="AR27" s="30"/>
      <c r="AS27" s="30"/>
      <c r="AT27" s="30"/>
    </row>
    <row r="28" spans="1:46">
      <c r="A28" s="2">
        <f t="shared" si="2"/>
        <v>25</v>
      </c>
      <c r="B28" s="68">
        <v>696066666</v>
      </c>
      <c r="C28" s="80" t="s">
        <v>444</v>
      </c>
      <c r="D28" s="80" t="s">
        <v>445</v>
      </c>
      <c r="E28" s="84" t="s">
        <v>446</v>
      </c>
      <c r="F28" s="81" t="s">
        <v>93</v>
      </c>
      <c r="G28" s="81" t="s">
        <v>81</v>
      </c>
      <c r="H28" s="68">
        <v>25</v>
      </c>
      <c r="I28" s="81">
        <v>31250</v>
      </c>
      <c r="J28" s="81">
        <v>31313</v>
      </c>
      <c r="K28" s="68" t="s">
        <v>92</v>
      </c>
      <c r="L28" s="68" t="s">
        <v>18</v>
      </c>
      <c r="M28" s="84">
        <v>45729</v>
      </c>
      <c r="N28" s="84" t="s">
        <v>96</v>
      </c>
      <c r="O28" s="85" t="s">
        <v>97</v>
      </c>
      <c r="P28" s="84">
        <v>45733</v>
      </c>
      <c r="Q28" s="84">
        <v>45733</v>
      </c>
      <c r="R28" s="84">
        <v>45763</v>
      </c>
      <c r="S28" s="84">
        <v>45897</v>
      </c>
      <c r="T28" s="84">
        <v>45897</v>
      </c>
      <c r="U28" s="84">
        <v>45902</v>
      </c>
      <c r="V28" s="84">
        <v>45907</v>
      </c>
      <c r="W28" s="84">
        <v>45911</v>
      </c>
      <c r="X28" s="84">
        <v>45915</v>
      </c>
      <c r="Y28" s="84">
        <v>45915</v>
      </c>
      <c r="Z28" s="84">
        <v>45916</v>
      </c>
      <c r="AA28" s="84">
        <v>45916</v>
      </c>
      <c r="AB28" s="84">
        <v>45917</v>
      </c>
      <c r="AC28" s="86" t="s">
        <v>377</v>
      </c>
      <c r="AD28" s="98">
        <f t="shared" si="3"/>
        <v>4</v>
      </c>
      <c r="AE28" s="76">
        <v>7</v>
      </c>
      <c r="AF28" s="99">
        <f t="shared" si="6"/>
        <v>0</v>
      </c>
      <c r="AG28" s="77">
        <v>200</v>
      </c>
      <c r="AH28" s="10">
        <f t="shared" si="0"/>
        <v>0</v>
      </c>
      <c r="AI28" s="98">
        <f t="shared" si="4"/>
        <v>1</v>
      </c>
      <c r="AJ28" s="76">
        <v>2</v>
      </c>
      <c r="AK28" s="99">
        <f t="shared" si="5"/>
        <v>0</v>
      </c>
      <c r="AL28" s="77">
        <v>200</v>
      </c>
      <c r="AM28" s="10">
        <f t="shared" si="1"/>
        <v>0</v>
      </c>
      <c r="AN28" s="77">
        <v>0</v>
      </c>
      <c r="AO28" s="78">
        <f t="shared" si="7"/>
        <v>0</v>
      </c>
      <c r="AQ28" s="30"/>
      <c r="AR28" s="30"/>
      <c r="AS28" s="30"/>
      <c r="AT28" s="30"/>
    </row>
    <row r="29" spans="1:46">
      <c r="A29" s="2">
        <f t="shared" si="2"/>
        <v>26</v>
      </c>
      <c r="B29" s="68">
        <v>696066666</v>
      </c>
      <c r="C29" s="80" t="s">
        <v>447</v>
      </c>
      <c r="D29" s="80" t="s">
        <v>448</v>
      </c>
      <c r="E29" s="84" t="s">
        <v>449</v>
      </c>
      <c r="F29" s="81" t="s">
        <v>93</v>
      </c>
      <c r="G29" s="81" t="s">
        <v>81</v>
      </c>
      <c r="H29" s="68">
        <v>31</v>
      </c>
      <c r="I29" s="81">
        <v>31250</v>
      </c>
      <c r="J29" s="81">
        <v>31313</v>
      </c>
      <c r="K29" s="68" t="s">
        <v>92</v>
      </c>
      <c r="L29" s="68" t="s">
        <v>18</v>
      </c>
      <c r="M29" s="84">
        <v>45729</v>
      </c>
      <c r="N29" s="84" t="s">
        <v>96</v>
      </c>
      <c r="O29" s="85" t="s">
        <v>97</v>
      </c>
      <c r="P29" s="84">
        <v>45733</v>
      </c>
      <c r="Q29" s="84">
        <v>45733</v>
      </c>
      <c r="R29" s="84">
        <v>45763</v>
      </c>
      <c r="S29" s="84">
        <v>45897</v>
      </c>
      <c r="T29" s="84">
        <v>45897</v>
      </c>
      <c r="U29" s="84">
        <v>45902</v>
      </c>
      <c r="V29" s="84">
        <v>45907</v>
      </c>
      <c r="W29" s="84">
        <v>45910</v>
      </c>
      <c r="X29" s="84">
        <v>45912</v>
      </c>
      <c r="Y29" s="84">
        <v>45913</v>
      </c>
      <c r="Z29" s="84">
        <v>45913</v>
      </c>
      <c r="AA29" s="84">
        <v>45913</v>
      </c>
      <c r="AB29" s="84">
        <v>45915</v>
      </c>
      <c r="AC29" s="86" t="s">
        <v>377</v>
      </c>
      <c r="AD29" s="98">
        <f t="shared" si="3"/>
        <v>2</v>
      </c>
      <c r="AE29" s="76">
        <v>7</v>
      </c>
      <c r="AF29" s="99">
        <f t="shared" si="6"/>
        <v>0</v>
      </c>
      <c r="AG29" s="77">
        <v>200</v>
      </c>
      <c r="AH29" s="10">
        <f t="shared" si="0"/>
        <v>0</v>
      </c>
      <c r="AI29" s="98">
        <f t="shared" si="4"/>
        <v>2</v>
      </c>
      <c r="AJ29" s="76">
        <v>2</v>
      </c>
      <c r="AK29" s="99">
        <f t="shared" si="5"/>
        <v>0</v>
      </c>
      <c r="AL29" s="77">
        <v>200</v>
      </c>
      <c r="AM29" s="10">
        <f t="shared" si="1"/>
        <v>0</v>
      </c>
      <c r="AN29" s="77">
        <v>0</v>
      </c>
      <c r="AO29" s="78">
        <f t="shared" si="7"/>
        <v>0</v>
      </c>
      <c r="AQ29" s="30"/>
      <c r="AR29" s="30"/>
      <c r="AS29" s="30"/>
      <c r="AT29" s="30"/>
    </row>
    <row r="30" spans="1:46">
      <c r="A30" s="2">
        <f t="shared" si="2"/>
        <v>27</v>
      </c>
      <c r="B30" s="68">
        <v>696066666</v>
      </c>
      <c r="C30" s="80" t="s">
        <v>450</v>
      </c>
      <c r="D30" s="80" t="s">
        <v>451</v>
      </c>
      <c r="E30" s="80" t="s">
        <v>452</v>
      </c>
      <c r="F30" s="81" t="s">
        <v>93</v>
      </c>
      <c r="G30" s="81" t="s">
        <v>81</v>
      </c>
      <c r="H30" s="68">
        <v>29</v>
      </c>
      <c r="I30" s="81">
        <v>36250</v>
      </c>
      <c r="J30" s="81">
        <v>36323</v>
      </c>
      <c r="K30" s="68" t="s">
        <v>92</v>
      </c>
      <c r="L30" s="68" t="s">
        <v>18</v>
      </c>
      <c r="M30" s="84">
        <v>45729</v>
      </c>
      <c r="N30" s="84" t="s">
        <v>96</v>
      </c>
      <c r="O30" s="85" t="s">
        <v>97</v>
      </c>
      <c r="P30" s="84">
        <v>45733</v>
      </c>
      <c r="Q30" s="84">
        <v>45733</v>
      </c>
      <c r="R30" s="84">
        <v>45763</v>
      </c>
      <c r="S30" s="84">
        <v>45897</v>
      </c>
      <c r="T30" s="84">
        <v>45898</v>
      </c>
      <c r="U30" s="84">
        <v>45904</v>
      </c>
      <c r="V30" s="84">
        <v>45908</v>
      </c>
      <c r="W30" s="84">
        <v>45909</v>
      </c>
      <c r="X30" s="84">
        <v>45912</v>
      </c>
      <c r="Y30" s="84">
        <v>45913</v>
      </c>
      <c r="Z30" s="84">
        <v>45913</v>
      </c>
      <c r="AA30" s="84">
        <v>45913</v>
      </c>
      <c r="AB30" s="84">
        <v>45915</v>
      </c>
      <c r="AC30" s="86" t="s">
        <v>377</v>
      </c>
      <c r="AD30" s="98">
        <f t="shared" si="3"/>
        <v>3</v>
      </c>
      <c r="AE30" s="76">
        <v>7</v>
      </c>
      <c r="AF30" s="99">
        <f t="shared" si="6"/>
        <v>0</v>
      </c>
      <c r="AG30" s="77">
        <v>200</v>
      </c>
      <c r="AH30" s="10">
        <f t="shared" si="0"/>
        <v>0</v>
      </c>
      <c r="AI30" s="98">
        <f t="shared" si="4"/>
        <v>2</v>
      </c>
      <c r="AJ30" s="76">
        <v>2</v>
      </c>
      <c r="AK30" s="99">
        <f t="shared" si="5"/>
        <v>0</v>
      </c>
      <c r="AL30" s="77">
        <v>200</v>
      </c>
      <c r="AM30" s="10">
        <f t="shared" si="1"/>
        <v>0</v>
      </c>
      <c r="AN30" s="77">
        <v>25</v>
      </c>
      <c r="AO30" s="78">
        <f t="shared" si="7"/>
        <v>25</v>
      </c>
      <c r="AQ30" s="30"/>
      <c r="AR30" s="30"/>
      <c r="AS30" s="30"/>
      <c r="AT30" s="30"/>
    </row>
    <row r="31" spans="1:46">
      <c r="A31" s="2">
        <f t="shared" si="2"/>
        <v>28</v>
      </c>
      <c r="B31" s="68">
        <v>696066666</v>
      </c>
      <c r="C31" s="80" t="s">
        <v>453</v>
      </c>
      <c r="D31" s="80" t="s">
        <v>454</v>
      </c>
      <c r="E31" s="92" t="s">
        <v>455</v>
      </c>
      <c r="F31" s="81" t="s">
        <v>93</v>
      </c>
      <c r="G31" s="81" t="s">
        <v>81</v>
      </c>
      <c r="H31" s="68">
        <v>29</v>
      </c>
      <c r="I31" s="81">
        <v>36250</v>
      </c>
      <c r="J31" s="81">
        <v>36323</v>
      </c>
      <c r="K31" s="68" t="s">
        <v>92</v>
      </c>
      <c r="L31" s="68" t="s">
        <v>18</v>
      </c>
      <c r="M31" s="84">
        <v>45729</v>
      </c>
      <c r="N31" s="84" t="s">
        <v>96</v>
      </c>
      <c r="O31" s="85" t="s">
        <v>97</v>
      </c>
      <c r="P31" s="84">
        <v>45733</v>
      </c>
      <c r="Q31" s="84">
        <v>45733</v>
      </c>
      <c r="R31" s="84">
        <v>45763</v>
      </c>
      <c r="S31" s="84">
        <v>45897</v>
      </c>
      <c r="T31" s="84">
        <v>45898</v>
      </c>
      <c r="U31" s="84">
        <v>45903</v>
      </c>
      <c r="V31" s="84">
        <v>45908</v>
      </c>
      <c r="W31" s="84">
        <v>45909</v>
      </c>
      <c r="X31" s="84">
        <v>45912</v>
      </c>
      <c r="Y31" s="84">
        <v>45913</v>
      </c>
      <c r="Z31" s="84">
        <v>45913</v>
      </c>
      <c r="AA31" s="84">
        <v>45913</v>
      </c>
      <c r="AB31" s="84">
        <v>45915</v>
      </c>
      <c r="AC31" s="86" t="s">
        <v>377</v>
      </c>
      <c r="AD31" s="98">
        <f t="shared" si="3"/>
        <v>3</v>
      </c>
      <c r="AE31" s="76">
        <v>7</v>
      </c>
      <c r="AF31" s="99">
        <f t="shared" si="6"/>
        <v>0</v>
      </c>
      <c r="AG31" s="77">
        <v>200</v>
      </c>
      <c r="AH31" s="10">
        <f t="shared" si="0"/>
        <v>0</v>
      </c>
      <c r="AI31" s="98">
        <f t="shared" si="4"/>
        <v>2</v>
      </c>
      <c r="AJ31" s="76">
        <v>2</v>
      </c>
      <c r="AK31" s="99">
        <f t="shared" si="5"/>
        <v>0</v>
      </c>
      <c r="AL31" s="77">
        <v>200</v>
      </c>
      <c r="AM31" s="10">
        <f t="shared" si="1"/>
        <v>0</v>
      </c>
      <c r="AN31" s="77">
        <v>0</v>
      </c>
      <c r="AO31" s="78">
        <f t="shared" si="7"/>
        <v>0</v>
      </c>
      <c r="AQ31" s="30"/>
      <c r="AR31" s="30"/>
      <c r="AS31" s="30"/>
      <c r="AT31" s="30"/>
    </row>
    <row r="32" spans="1:46">
      <c r="A32" s="2">
        <f t="shared" si="2"/>
        <v>29</v>
      </c>
      <c r="B32" s="68">
        <v>696066666</v>
      </c>
      <c r="C32" s="84" t="s">
        <v>456</v>
      </c>
      <c r="D32" s="84" t="s">
        <v>457</v>
      </c>
      <c r="E32" s="84" t="s">
        <v>458</v>
      </c>
      <c r="F32" s="84" t="s">
        <v>93</v>
      </c>
      <c r="G32" s="84" t="s">
        <v>81</v>
      </c>
      <c r="H32" s="68">
        <v>28</v>
      </c>
      <c r="I32" s="68">
        <v>35000</v>
      </c>
      <c r="J32" s="68">
        <v>35070</v>
      </c>
      <c r="K32" s="68" t="s">
        <v>92</v>
      </c>
      <c r="L32" s="68" t="s">
        <v>18</v>
      </c>
      <c r="M32" s="84">
        <v>45729</v>
      </c>
      <c r="N32" s="84" t="s">
        <v>96</v>
      </c>
      <c r="O32" s="85" t="s">
        <v>97</v>
      </c>
      <c r="P32" s="84">
        <v>45733</v>
      </c>
      <c r="Q32" s="84">
        <v>45733</v>
      </c>
      <c r="R32" s="84">
        <v>45763</v>
      </c>
      <c r="S32" s="84">
        <v>45862</v>
      </c>
      <c r="T32" s="84">
        <v>45862</v>
      </c>
      <c r="U32" s="84">
        <v>45866</v>
      </c>
      <c r="V32" s="84">
        <v>45868</v>
      </c>
      <c r="W32" s="84">
        <v>45882</v>
      </c>
      <c r="X32" s="84">
        <v>45890</v>
      </c>
      <c r="Y32" s="84">
        <v>45895</v>
      </c>
      <c r="Z32" s="84">
        <v>45895</v>
      </c>
      <c r="AA32" s="84">
        <v>45895</v>
      </c>
      <c r="AB32" s="84">
        <v>45896</v>
      </c>
      <c r="AC32" s="86" t="s">
        <v>377</v>
      </c>
      <c r="AD32" s="98">
        <f t="shared" si="3"/>
        <v>8</v>
      </c>
      <c r="AE32" s="76">
        <v>7</v>
      </c>
      <c r="AF32" s="99">
        <f t="shared" si="6"/>
        <v>1</v>
      </c>
      <c r="AG32" s="77">
        <v>200</v>
      </c>
      <c r="AH32" s="10">
        <f t="shared" si="0"/>
        <v>200</v>
      </c>
      <c r="AI32" s="98">
        <f t="shared" si="4"/>
        <v>1</v>
      </c>
      <c r="AJ32" s="76">
        <v>2</v>
      </c>
      <c r="AK32" s="99">
        <f t="shared" si="5"/>
        <v>0</v>
      </c>
      <c r="AL32" s="77">
        <v>200</v>
      </c>
      <c r="AM32" s="10">
        <f t="shared" si="1"/>
        <v>0</v>
      </c>
      <c r="AN32" s="77">
        <v>300</v>
      </c>
      <c r="AO32" s="78">
        <f t="shared" si="7"/>
        <v>500</v>
      </c>
      <c r="AQ32" s="30"/>
      <c r="AR32" s="30"/>
      <c r="AS32" s="30"/>
      <c r="AT32" s="30"/>
    </row>
    <row r="33" spans="1:46">
      <c r="A33" s="2">
        <f t="shared" si="2"/>
        <v>30</v>
      </c>
      <c r="B33" s="68">
        <v>696066666</v>
      </c>
      <c r="C33" s="84" t="s">
        <v>221</v>
      </c>
      <c r="D33" s="84" t="s">
        <v>222</v>
      </c>
      <c r="E33" s="84" t="s">
        <v>223</v>
      </c>
      <c r="F33" s="84" t="s">
        <v>373</v>
      </c>
      <c r="G33" s="84" t="s">
        <v>81</v>
      </c>
      <c r="H33" s="68">
        <v>29</v>
      </c>
      <c r="I33" s="68">
        <v>36250</v>
      </c>
      <c r="J33" s="89">
        <v>36323</v>
      </c>
      <c r="K33" s="68" t="s">
        <v>92</v>
      </c>
      <c r="L33" s="68" t="s">
        <v>18</v>
      </c>
      <c r="M33" s="84">
        <v>45729</v>
      </c>
      <c r="N33" s="84" t="s">
        <v>96</v>
      </c>
      <c r="O33" s="85" t="s">
        <v>97</v>
      </c>
      <c r="P33" s="84">
        <v>45733</v>
      </c>
      <c r="Q33" s="84">
        <v>45733</v>
      </c>
      <c r="R33" s="84">
        <v>45763</v>
      </c>
      <c r="S33" s="84">
        <v>45864</v>
      </c>
      <c r="T33" s="84">
        <v>45868</v>
      </c>
      <c r="U33" s="84">
        <v>45872</v>
      </c>
      <c r="V33" s="84">
        <v>45878</v>
      </c>
      <c r="W33" s="84">
        <v>45882</v>
      </c>
      <c r="X33" s="84">
        <v>45885</v>
      </c>
      <c r="Y33" s="84">
        <v>45887</v>
      </c>
      <c r="Z33" s="84">
        <v>45887</v>
      </c>
      <c r="AA33" s="84">
        <v>45892</v>
      </c>
      <c r="AB33" s="84">
        <v>45894</v>
      </c>
      <c r="AC33" s="86" t="s">
        <v>377</v>
      </c>
      <c r="AD33" s="98">
        <f t="shared" si="3"/>
        <v>3</v>
      </c>
      <c r="AE33" s="76">
        <v>7</v>
      </c>
      <c r="AF33" s="99">
        <f t="shared" si="6"/>
        <v>0</v>
      </c>
      <c r="AG33" s="77">
        <v>200</v>
      </c>
      <c r="AH33" s="10">
        <f t="shared" si="0"/>
        <v>0</v>
      </c>
      <c r="AI33" s="98">
        <f t="shared" si="4"/>
        <v>2</v>
      </c>
      <c r="AJ33" s="76">
        <v>2</v>
      </c>
      <c r="AK33" s="99">
        <f t="shared" si="5"/>
        <v>0</v>
      </c>
      <c r="AL33" s="77">
        <v>200</v>
      </c>
      <c r="AM33" s="10">
        <f t="shared" si="1"/>
        <v>0</v>
      </c>
      <c r="AN33" s="77">
        <v>0</v>
      </c>
      <c r="AO33" s="78">
        <f t="shared" si="7"/>
        <v>0</v>
      </c>
      <c r="AQ33" s="30"/>
      <c r="AR33" s="30"/>
      <c r="AS33" s="30"/>
      <c r="AT33" s="30"/>
    </row>
    <row r="34" spans="1:46">
      <c r="A34" s="2">
        <f t="shared" si="2"/>
        <v>31</v>
      </c>
      <c r="B34" s="68">
        <v>696066666</v>
      </c>
      <c r="C34" s="84" t="s">
        <v>459</v>
      </c>
      <c r="D34" s="84" t="s">
        <v>460</v>
      </c>
      <c r="E34" s="84" t="s">
        <v>461</v>
      </c>
      <c r="F34" s="84" t="s">
        <v>373</v>
      </c>
      <c r="G34" s="84" t="s">
        <v>81</v>
      </c>
      <c r="H34" s="68">
        <v>28</v>
      </c>
      <c r="I34" s="68">
        <v>35000</v>
      </c>
      <c r="J34" s="68">
        <v>35070</v>
      </c>
      <c r="K34" s="68" t="s">
        <v>92</v>
      </c>
      <c r="L34" s="68" t="s">
        <v>18</v>
      </c>
      <c r="M34" s="84">
        <v>45729</v>
      </c>
      <c r="N34" s="84" t="s">
        <v>96</v>
      </c>
      <c r="O34" s="85" t="s">
        <v>97</v>
      </c>
      <c r="P34" s="84">
        <v>45733</v>
      </c>
      <c r="Q34" s="84">
        <v>45733</v>
      </c>
      <c r="R34" s="84">
        <v>45763</v>
      </c>
      <c r="S34" s="84">
        <v>45864</v>
      </c>
      <c r="T34" s="84">
        <v>45869</v>
      </c>
      <c r="U34" s="84">
        <v>45872</v>
      </c>
      <c r="V34" s="84">
        <v>45908</v>
      </c>
      <c r="W34" s="84">
        <v>45881</v>
      </c>
      <c r="X34" s="84">
        <v>45884</v>
      </c>
      <c r="Y34" s="84">
        <v>45891</v>
      </c>
      <c r="Z34" s="84">
        <v>45891</v>
      </c>
      <c r="AA34" s="84">
        <v>45891</v>
      </c>
      <c r="AB34" s="84">
        <v>45892</v>
      </c>
      <c r="AC34" s="86" t="s">
        <v>377</v>
      </c>
      <c r="AD34" s="98">
        <f t="shared" si="3"/>
        <v>3</v>
      </c>
      <c r="AE34" s="76">
        <v>7</v>
      </c>
      <c r="AF34" s="99">
        <f t="shared" si="6"/>
        <v>0</v>
      </c>
      <c r="AG34" s="77">
        <v>200</v>
      </c>
      <c r="AH34" s="10">
        <f t="shared" si="0"/>
        <v>0</v>
      </c>
      <c r="AI34" s="98">
        <f t="shared" si="4"/>
        <v>1</v>
      </c>
      <c r="AJ34" s="76">
        <v>2</v>
      </c>
      <c r="AK34" s="99">
        <f t="shared" si="5"/>
        <v>0</v>
      </c>
      <c r="AL34" s="77">
        <v>200</v>
      </c>
      <c r="AM34" s="10">
        <f t="shared" si="1"/>
        <v>0</v>
      </c>
      <c r="AN34" s="77">
        <v>0</v>
      </c>
      <c r="AO34" s="78">
        <f t="shared" si="7"/>
        <v>0</v>
      </c>
      <c r="AQ34" s="30"/>
      <c r="AR34" s="30"/>
      <c r="AS34" s="30"/>
      <c r="AT34" s="30"/>
    </row>
    <row r="35" spans="1:46">
      <c r="A35" s="2">
        <f t="shared" si="2"/>
        <v>32</v>
      </c>
      <c r="B35" s="68">
        <v>696066666</v>
      </c>
      <c r="C35" s="84" t="s">
        <v>462</v>
      </c>
      <c r="D35" s="84" t="s">
        <v>463</v>
      </c>
      <c r="E35" s="84" t="s">
        <v>464</v>
      </c>
      <c r="F35" s="84" t="s">
        <v>373</v>
      </c>
      <c r="G35" s="84" t="s">
        <v>81</v>
      </c>
      <c r="H35" s="68">
        <v>29</v>
      </c>
      <c r="I35" s="68">
        <v>36250</v>
      </c>
      <c r="J35" s="68">
        <v>36323</v>
      </c>
      <c r="K35" s="68" t="s">
        <v>92</v>
      </c>
      <c r="L35" s="68" t="s">
        <v>18</v>
      </c>
      <c r="M35" s="84">
        <v>45729</v>
      </c>
      <c r="N35" s="84" t="s">
        <v>96</v>
      </c>
      <c r="O35" s="85" t="s">
        <v>97</v>
      </c>
      <c r="P35" s="84">
        <v>45733</v>
      </c>
      <c r="Q35" s="84">
        <v>45733</v>
      </c>
      <c r="R35" s="84">
        <v>45763</v>
      </c>
      <c r="S35" s="84">
        <v>45864</v>
      </c>
      <c r="T35" s="84">
        <v>45868</v>
      </c>
      <c r="U35" s="84">
        <v>45871</v>
      </c>
      <c r="V35" s="84">
        <v>45885</v>
      </c>
      <c r="W35" s="84">
        <v>45888</v>
      </c>
      <c r="X35" s="84">
        <v>45890</v>
      </c>
      <c r="Y35" s="84">
        <v>45891</v>
      </c>
      <c r="Z35" s="84">
        <v>45891</v>
      </c>
      <c r="AA35" s="84">
        <v>45891</v>
      </c>
      <c r="AB35" s="84">
        <v>45892</v>
      </c>
      <c r="AC35" s="86" t="s">
        <v>377</v>
      </c>
      <c r="AD35" s="98">
        <f t="shared" si="3"/>
        <v>2</v>
      </c>
      <c r="AE35" s="76">
        <v>7</v>
      </c>
      <c r="AF35" s="99">
        <f t="shared" si="6"/>
        <v>0</v>
      </c>
      <c r="AG35" s="77">
        <v>200</v>
      </c>
      <c r="AH35" s="10">
        <f t="shared" si="0"/>
        <v>0</v>
      </c>
      <c r="AI35" s="98">
        <f t="shared" si="4"/>
        <v>1</v>
      </c>
      <c r="AJ35" s="76">
        <v>2</v>
      </c>
      <c r="AK35" s="99">
        <f t="shared" si="5"/>
        <v>0</v>
      </c>
      <c r="AL35" s="77">
        <v>200</v>
      </c>
      <c r="AM35" s="10">
        <f t="shared" si="1"/>
        <v>0</v>
      </c>
      <c r="AN35" s="77">
        <v>0</v>
      </c>
      <c r="AO35" s="78">
        <f t="shared" si="7"/>
        <v>0</v>
      </c>
      <c r="AQ35" s="30"/>
      <c r="AR35" s="30"/>
      <c r="AS35" s="30"/>
      <c r="AT35" s="30"/>
    </row>
    <row r="36" spans="1:46">
      <c r="A36" s="2">
        <f t="shared" si="2"/>
        <v>33</v>
      </c>
      <c r="B36" s="68">
        <v>696066666</v>
      </c>
      <c r="C36" s="84" t="s">
        <v>465</v>
      </c>
      <c r="D36" s="84" t="s">
        <v>466</v>
      </c>
      <c r="E36" s="84" t="s">
        <v>467</v>
      </c>
      <c r="F36" s="84" t="s">
        <v>373</v>
      </c>
      <c r="G36" s="84" t="s">
        <v>81</v>
      </c>
      <c r="H36" s="68">
        <v>28</v>
      </c>
      <c r="I36" s="68">
        <v>35000</v>
      </c>
      <c r="J36" s="68">
        <v>35070</v>
      </c>
      <c r="K36" s="68" t="s">
        <v>92</v>
      </c>
      <c r="L36" s="68" t="s">
        <v>18</v>
      </c>
      <c r="M36" s="84">
        <v>45729</v>
      </c>
      <c r="N36" s="84" t="s">
        <v>96</v>
      </c>
      <c r="O36" s="85" t="s">
        <v>97</v>
      </c>
      <c r="P36" s="84">
        <v>45733</v>
      </c>
      <c r="Q36" s="84">
        <v>45733</v>
      </c>
      <c r="R36" s="84">
        <v>45763</v>
      </c>
      <c r="S36" s="84">
        <v>45864</v>
      </c>
      <c r="T36" s="84">
        <v>45868</v>
      </c>
      <c r="U36" s="84">
        <v>45871</v>
      </c>
      <c r="V36" s="84">
        <v>45874</v>
      </c>
      <c r="W36" s="84">
        <v>45883</v>
      </c>
      <c r="X36" s="84">
        <v>45887</v>
      </c>
      <c r="Y36" s="84">
        <v>45888</v>
      </c>
      <c r="Z36" s="84">
        <v>45888</v>
      </c>
      <c r="AA36" s="84">
        <v>45888</v>
      </c>
      <c r="AB36" s="84">
        <v>45889</v>
      </c>
      <c r="AC36" s="86" t="s">
        <v>377</v>
      </c>
      <c r="AD36" s="98">
        <f t="shared" si="3"/>
        <v>4</v>
      </c>
      <c r="AE36" s="76">
        <v>7</v>
      </c>
      <c r="AF36" s="99">
        <f t="shared" si="6"/>
        <v>0</v>
      </c>
      <c r="AG36" s="77">
        <v>200</v>
      </c>
      <c r="AH36" s="10">
        <f t="shared" si="0"/>
        <v>0</v>
      </c>
      <c r="AI36" s="98">
        <f t="shared" si="4"/>
        <v>1</v>
      </c>
      <c r="AJ36" s="76">
        <v>2</v>
      </c>
      <c r="AK36" s="99">
        <f t="shared" si="5"/>
        <v>0</v>
      </c>
      <c r="AL36" s="77">
        <v>200</v>
      </c>
      <c r="AM36" s="10">
        <f t="shared" si="1"/>
        <v>0</v>
      </c>
      <c r="AN36" s="77">
        <v>0</v>
      </c>
      <c r="AO36" s="78">
        <f t="shared" si="7"/>
        <v>0</v>
      </c>
      <c r="AQ36" s="30"/>
      <c r="AR36" s="30"/>
      <c r="AS36" s="30"/>
      <c r="AT36" s="30"/>
    </row>
    <row r="37" spans="1:46">
      <c r="A37" s="2">
        <f t="shared" si="2"/>
        <v>34</v>
      </c>
      <c r="B37" s="68">
        <v>696066666</v>
      </c>
      <c r="C37" s="80" t="s">
        <v>468</v>
      </c>
      <c r="D37" s="80" t="s">
        <v>469</v>
      </c>
      <c r="E37" s="68" t="s">
        <v>470</v>
      </c>
      <c r="F37" s="81" t="s">
        <v>483</v>
      </c>
      <c r="G37" s="84" t="s">
        <v>81</v>
      </c>
      <c r="H37" s="68">
        <v>28</v>
      </c>
      <c r="I37" s="68">
        <v>35000</v>
      </c>
      <c r="J37" s="90">
        <v>35070</v>
      </c>
      <c r="K37" s="68" t="s">
        <v>92</v>
      </c>
      <c r="L37" s="68" t="s">
        <v>18</v>
      </c>
      <c r="M37" s="84">
        <v>45729</v>
      </c>
      <c r="N37" s="84" t="s">
        <v>96</v>
      </c>
      <c r="O37" s="85" t="s">
        <v>97</v>
      </c>
      <c r="P37" s="84">
        <v>45733</v>
      </c>
      <c r="Q37" s="84">
        <v>45733</v>
      </c>
      <c r="R37" s="84">
        <v>45763</v>
      </c>
      <c r="S37" s="84">
        <v>45871</v>
      </c>
      <c r="T37" s="84">
        <v>45873</v>
      </c>
      <c r="U37" s="84">
        <v>45876</v>
      </c>
      <c r="V37" s="84">
        <v>45878</v>
      </c>
      <c r="W37" s="84">
        <v>45880</v>
      </c>
      <c r="X37" s="84">
        <v>45887</v>
      </c>
      <c r="Y37" s="84">
        <v>45888</v>
      </c>
      <c r="Z37" s="84">
        <v>45888</v>
      </c>
      <c r="AA37" s="84">
        <v>45888</v>
      </c>
      <c r="AB37" s="84">
        <v>45888</v>
      </c>
      <c r="AC37" s="86" t="s">
        <v>377</v>
      </c>
      <c r="AD37" s="98">
        <f t="shared" si="3"/>
        <v>7</v>
      </c>
      <c r="AE37" s="76">
        <v>7</v>
      </c>
      <c r="AF37" s="99">
        <f t="shared" si="6"/>
        <v>0</v>
      </c>
      <c r="AG37" s="77">
        <v>200</v>
      </c>
      <c r="AH37" s="10">
        <f t="shared" si="0"/>
        <v>0</v>
      </c>
      <c r="AI37" s="98">
        <f t="shared" si="4"/>
        <v>0</v>
      </c>
      <c r="AJ37" s="76">
        <v>2</v>
      </c>
      <c r="AK37" s="99">
        <f t="shared" si="5"/>
        <v>0</v>
      </c>
      <c r="AL37" s="77">
        <v>200</v>
      </c>
      <c r="AM37" s="10">
        <f t="shared" si="1"/>
        <v>0</v>
      </c>
      <c r="AN37" s="77">
        <v>0</v>
      </c>
      <c r="AO37" s="78">
        <f t="shared" si="7"/>
        <v>0</v>
      </c>
      <c r="AQ37" s="30"/>
      <c r="AR37" s="30"/>
      <c r="AS37" s="30"/>
      <c r="AT37" s="30"/>
    </row>
    <row r="38" spans="1:46">
      <c r="A38" s="2">
        <f t="shared" si="2"/>
        <v>35</v>
      </c>
      <c r="B38" s="68">
        <v>696066666</v>
      </c>
      <c r="C38" s="84" t="s">
        <v>471</v>
      </c>
      <c r="D38" s="84" t="s">
        <v>472</v>
      </c>
      <c r="E38" s="84" t="s">
        <v>473</v>
      </c>
      <c r="F38" s="84" t="s">
        <v>93</v>
      </c>
      <c r="G38" s="84" t="s">
        <v>81</v>
      </c>
      <c r="H38" s="68">
        <v>25</v>
      </c>
      <c r="I38" s="68">
        <v>31250</v>
      </c>
      <c r="J38" s="89">
        <v>31313</v>
      </c>
      <c r="K38" s="68" t="s">
        <v>92</v>
      </c>
      <c r="L38" s="68" t="s">
        <v>18</v>
      </c>
      <c r="M38" s="84">
        <v>45729</v>
      </c>
      <c r="N38" s="84" t="s">
        <v>96</v>
      </c>
      <c r="O38" s="85" t="s">
        <v>97</v>
      </c>
      <c r="P38" s="84">
        <v>45733</v>
      </c>
      <c r="Q38" s="84">
        <v>45733</v>
      </c>
      <c r="R38" s="84">
        <v>45763</v>
      </c>
      <c r="S38" s="84">
        <v>45862</v>
      </c>
      <c r="T38" s="84">
        <v>45862</v>
      </c>
      <c r="U38" s="84">
        <v>45866</v>
      </c>
      <c r="V38" s="84">
        <v>45870</v>
      </c>
      <c r="W38" s="84">
        <v>45878</v>
      </c>
      <c r="X38" s="84">
        <v>45881</v>
      </c>
      <c r="Y38" s="84">
        <v>45883</v>
      </c>
      <c r="Z38" s="84">
        <v>45884</v>
      </c>
      <c r="AA38" s="84">
        <v>45884</v>
      </c>
      <c r="AB38" s="84">
        <v>45887</v>
      </c>
      <c r="AC38" s="86" t="s">
        <v>377</v>
      </c>
      <c r="AD38" s="98">
        <f t="shared" si="3"/>
        <v>3</v>
      </c>
      <c r="AE38" s="76">
        <v>7</v>
      </c>
      <c r="AF38" s="99">
        <f t="shared" si="6"/>
        <v>0</v>
      </c>
      <c r="AG38" s="77">
        <v>200</v>
      </c>
      <c r="AH38" s="10">
        <f t="shared" si="0"/>
        <v>0</v>
      </c>
      <c r="AI38" s="98">
        <f t="shared" si="4"/>
        <v>3</v>
      </c>
      <c r="AJ38" s="76">
        <v>2</v>
      </c>
      <c r="AK38" s="99">
        <f t="shared" si="5"/>
        <v>1</v>
      </c>
      <c r="AL38" s="77">
        <v>200</v>
      </c>
      <c r="AM38" s="10">
        <f t="shared" si="1"/>
        <v>200</v>
      </c>
      <c r="AN38" s="77">
        <v>0</v>
      </c>
      <c r="AO38" s="78">
        <f t="shared" si="7"/>
        <v>200</v>
      </c>
      <c r="AQ38" s="30"/>
      <c r="AR38" s="30"/>
      <c r="AS38" s="30"/>
      <c r="AT38" s="30"/>
    </row>
    <row r="39" spans="1:46">
      <c r="A39" s="2">
        <f t="shared" si="2"/>
        <v>36</v>
      </c>
      <c r="B39" s="68">
        <v>696066666</v>
      </c>
      <c r="C39" s="80" t="s">
        <v>474</v>
      </c>
      <c r="D39" s="80" t="s">
        <v>475</v>
      </c>
      <c r="E39" s="81" t="s">
        <v>476</v>
      </c>
      <c r="F39" s="81" t="s">
        <v>483</v>
      </c>
      <c r="G39" s="84" t="s">
        <v>81</v>
      </c>
      <c r="H39" s="68">
        <v>29</v>
      </c>
      <c r="I39" s="68">
        <v>36250</v>
      </c>
      <c r="J39" s="87">
        <v>36323</v>
      </c>
      <c r="K39" s="68" t="s">
        <v>92</v>
      </c>
      <c r="L39" s="68" t="s">
        <v>18</v>
      </c>
      <c r="M39" s="84">
        <v>45729</v>
      </c>
      <c r="N39" s="84" t="s">
        <v>96</v>
      </c>
      <c r="O39" s="85" t="s">
        <v>97</v>
      </c>
      <c r="P39" s="84">
        <v>45733</v>
      </c>
      <c r="Q39" s="84">
        <v>45733</v>
      </c>
      <c r="R39" s="84">
        <v>45763</v>
      </c>
      <c r="S39" s="84">
        <v>45871</v>
      </c>
      <c r="T39" s="84">
        <v>45873</v>
      </c>
      <c r="U39" s="84">
        <v>45876</v>
      </c>
      <c r="V39" s="84">
        <v>45878</v>
      </c>
      <c r="W39" s="84">
        <v>45881</v>
      </c>
      <c r="X39" s="84">
        <v>45885</v>
      </c>
      <c r="Y39" s="84">
        <v>45886</v>
      </c>
      <c r="Z39" s="84">
        <v>45886</v>
      </c>
      <c r="AA39" s="84">
        <v>45886</v>
      </c>
      <c r="AB39" s="84">
        <v>45887</v>
      </c>
      <c r="AC39" s="86" t="s">
        <v>377</v>
      </c>
      <c r="AD39" s="98">
        <f t="shared" si="3"/>
        <v>4</v>
      </c>
      <c r="AE39" s="76">
        <v>7</v>
      </c>
      <c r="AF39" s="99">
        <f t="shared" si="6"/>
        <v>0</v>
      </c>
      <c r="AG39" s="77">
        <v>200</v>
      </c>
      <c r="AH39" s="10">
        <f t="shared" si="0"/>
        <v>0</v>
      </c>
      <c r="AI39" s="98">
        <f t="shared" si="4"/>
        <v>1</v>
      </c>
      <c r="AJ39" s="76">
        <v>2</v>
      </c>
      <c r="AK39" s="99">
        <f t="shared" si="5"/>
        <v>0</v>
      </c>
      <c r="AL39" s="77">
        <v>200</v>
      </c>
      <c r="AM39" s="10">
        <f t="shared" si="1"/>
        <v>0</v>
      </c>
      <c r="AN39" s="77">
        <v>0</v>
      </c>
      <c r="AO39" s="78">
        <f t="shared" si="7"/>
        <v>0</v>
      </c>
      <c r="AQ39" s="30"/>
      <c r="AR39" s="30"/>
      <c r="AS39" s="30"/>
      <c r="AT39" s="30"/>
    </row>
    <row r="40" spans="1:46">
      <c r="A40" s="2">
        <f t="shared" si="2"/>
        <v>37</v>
      </c>
      <c r="B40" s="68">
        <v>696066666</v>
      </c>
      <c r="C40" s="84" t="s">
        <v>477</v>
      </c>
      <c r="D40" s="84" t="s">
        <v>478</v>
      </c>
      <c r="E40" s="84" t="s">
        <v>479</v>
      </c>
      <c r="F40" s="84" t="s">
        <v>373</v>
      </c>
      <c r="G40" s="84" t="s">
        <v>81</v>
      </c>
      <c r="H40" s="68">
        <v>28</v>
      </c>
      <c r="I40" s="68">
        <v>35000</v>
      </c>
      <c r="J40" s="89">
        <v>35070</v>
      </c>
      <c r="K40" s="68" t="s">
        <v>92</v>
      </c>
      <c r="L40" s="68" t="s">
        <v>18</v>
      </c>
      <c r="M40" s="84">
        <v>45729</v>
      </c>
      <c r="N40" s="84" t="s">
        <v>96</v>
      </c>
      <c r="O40" s="85" t="s">
        <v>97</v>
      </c>
      <c r="P40" s="84">
        <v>45733</v>
      </c>
      <c r="Q40" s="84">
        <v>45733</v>
      </c>
      <c r="R40" s="84">
        <v>45763</v>
      </c>
      <c r="S40" s="84">
        <v>45864</v>
      </c>
      <c r="T40" s="84">
        <v>45869</v>
      </c>
      <c r="U40" s="84">
        <v>45872</v>
      </c>
      <c r="V40" s="84">
        <v>45874</v>
      </c>
      <c r="W40" s="84">
        <v>45877</v>
      </c>
      <c r="X40" s="84">
        <v>45879</v>
      </c>
      <c r="Y40" s="84">
        <v>45881</v>
      </c>
      <c r="Z40" s="84">
        <v>45884</v>
      </c>
      <c r="AA40" s="84">
        <v>45885</v>
      </c>
      <c r="AB40" s="84">
        <v>45887</v>
      </c>
      <c r="AC40" s="86" t="s">
        <v>377</v>
      </c>
      <c r="AD40" s="98">
        <f t="shared" si="3"/>
        <v>2</v>
      </c>
      <c r="AE40" s="76">
        <v>7</v>
      </c>
      <c r="AF40" s="99">
        <f t="shared" si="6"/>
        <v>0</v>
      </c>
      <c r="AG40" s="77">
        <v>200</v>
      </c>
      <c r="AH40" s="10">
        <f t="shared" si="0"/>
        <v>0</v>
      </c>
      <c r="AI40" s="98">
        <f t="shared" si="4"/>
        <v>2</v>
      </c>
      <c r="AJ40" s="76">
        <v>2</v>
      </c>
      <c r="AK40" s="99">
        <f t="shared" si="5"/>
        <v>0</v>
      </c>
      <c r="AL40" s="77">
        <v>200</v>
      </c>
      <c r="AM40" s="10">
        <f t="shared" si="1"/>
        <v>0</v>
      </c>
      <c r="AN40" s="77">
        <v>0</v>
      </c>
      <c r="AO40" s="78">
        <f t="shared" si="7"/>
        <v>0</v>
      </c>
      <c r="AQ40" s="30"/>
      <c r="AR40" s="30"/>
      <c r="AS40" s="30"/>
      <c r="AT40" s="30"/>
    </row>
    <row r="41" spans="1:46">
      <c r="A41" s="2">
        <f t="shared" si="2"/>
        <v>38</v>
      </c>
      <c r="B41" s="68">
        <v>696066666</v>
      </c>
      <c r="C41" s="81" t="s">
        <v>480</v>
      </c>
      <c r="D41" s="81" t="s">
        <v>481</v>
      </c>
      <c r="E41" s="81" t="s">
        <v>482</v>
      </c>
      <c r="F41" s="81" t="s">
        <v>483</v>
      </c>
      <c r="G41" s="84" t="s">
        <v>81</v>
      </c>
      <c r="H41" s="68">
        <v>24</v>
      </c>
      <c r="I41" s="68">
        <v>30000</v>
      </c>
      <c r="J41" s="87">
        <v>30060</v>
      </c>
      <c r="K41" s="68" t="s">
        <v>92</v>
      </c>
      <c r="L41" s="68" t="s">
        <v>18</v>
      </c>
      <c r="M41" s="84">
        <v>45729</v>
      </c>
      <c r="N41" s="84" t="s">
        <v>96</v>
      </c>
      <c r="O41" s="85" t="s">
        <v>97</v>
      </c>
      <c r="P41" s="84">
        <v>45733</v>
      </c>
      <c r="Q41" s="84">
        <v>45733</v>
      </c>
      <c r="R41" s="84">
        <v>45763</v>
      </c>
      <c r="S41" s="84">
        <v>45871</v>
      </c>
      <c r="T41" s="84">
        <v>45873</v>
      </c>
      <c r="U41" s="84">
        <v>45876</v>
      </c>
      <c r="V41" s="84">
        <v>45879</v>
      </c>
      <c r="W41" s="84">
        <v>45881</v>
      </c>
      <c r="X41" s="84">
        <v>45886</v>
      </c>
      <c r="Y41" s="84">
        <v>45886</v>
      </c>
      <c r="Z41" s="84">
        <v>45886</v>
      </c>
      <c r="AA41" s="84">
        <v>45886</v>
      </c>
      <c r="AB41" s="84">
        <v>45887</v>
      </c>
      <c r="AC41" s="86" t="s">
        <v>377</v>
      </c>
      <c r="AD41" s="98">
        <f t="shared" si="3"/>
        <v>5</v>
      </c>
      <c r="AE41" s="76">
        <v>7</v>
      </c>
      <c r="AF41" s="99">
        <f t="shared" si="6"/>
        <v>0</v>
      </c>
      <c r="AG41" s="77">
        <v>200</v>
      </c>
      <c r="AH41" s="10">
        <f t="shared" si="0"/>
        <v>0</v>
      </c>
      <c r="AI41" s="98">
        <f t="shared" si="4"/>
        <v>1</v>
      </c>
      <c r="AJ41" s="76">
        <v>2</v>
      </c>
      <c r="AK41" s="99">
        <f t="shared" si="5"/>
        <v>0</v>
      </c>
      <c r="AL41" s="77">
        <v>200</v>
      </c>
      <c r="AM41" s="10">
        <f t="shared" si="1"/>
        <v>0</v>
      </c>
      <c r="AN41" s="77">
        <v>0</v>
      </c>
      <c r="AO41" s="78">
        <f t="shared" si="7"/>
        <v>0</v>
      </c>
      <c r="AQ41" s="30"/>
      <c r="AR41" s="30"/>
      <c r="AS41" s="30"/>
      <c r="AT41" s="30"/>
    </row>
    <row r="42" spans="1:46">
      <c r="A42" s="2">
        <f t="shared" si="2"/>
        <v>39</v>
      </c>
      <c r="B42" s="68">
        <v>696066666</v>
      </c>
      <c r="C42" s="81" t="s">
        <v>484</v>
      </c>
      <c r="D42" s="81" t="s">
        <v>485</v>
      </c>
      <c r="E42" s="81" t="s">
        <v>486</v>
      </c>
      <c r="F42" s="81" t="s">
        <v>483</v>
      </c>
      <c r="G42" s="84" t="s">
        <v>81</v>
      </c>
      <c r="H42" s="68">
        <v>24</v>
      </c>
      <c r="I42" s="68">
        <v>30000</v>
      </c>
      <c r="J42" s="87">
        <v>30060</v>
      </c>
      <c r="K42" s="68" t="s">
        <v>92</v>
      </c>
      <c r="L42" s="68" t="s">
        <v>18</v>
      </c>
      <c r="M42" s="84">
        <v>45729</v>
      </c>
      <c r="N42" s="84" t="s">
        <v>96</v>
      </c>
      <c r="O42" s="85" t="s">
        <v>97</v>
      </c>
      <c r="P42" s="84">
        <v>45733</v>
      </c>
      <c r="Q42" s="84">
        <v>45733</v>
      </c>
      <c r="R42" s="84">
        <v>45763</v>
      </c>
      <c r="S42" s="84">
        <v>45871</v>
      </c>
      <c r="T42" s="84">
        <v>45873</v>
      </c>
      <c r="U42" s="84">
        <v>45876</v>
      </c>
      <c r="V42" s="84">
        <v>45879</v>
      </c>
      <c r="W42" s="84">
        <v>45881</v>
      </c>
      <c r="X42" s="84">
        <v>45886</v>
      </c>
      <c r="Y42" s="84">
        <v>45886</v>
      </c>
      <c r="Z42" s="84">
        <v>45886</v>
      </c>
      <c r="AA42" s="84">
        <v>45886</v>
      </c>
      <c r="AB42" s="84">
        <v>45887</v>
      </c>
      <c r="AC42" s="86" t="s">
        <v>377</v>
      </c>
      <c r="AD42" s="98">
        <f t="shared" si="3"/>
        <v>5</v>
      </c>
      <c r="AE42" s="76">
        <v>7</v>
      </c>
      <c r="AF42" s="99">
        <f t="shared" si="6"/>
        <v>0</v>
      </c>
      <c r="AG42" s="77">
        <v>200</v>
      </c>
      <c r="AH42" s="10">
        <f t="shared" si="0"/>
        <v>0</v>
      </c>
      <c r="AI42" s="98">
        <f t="shared" si="4"/>
        <v>1</v>
      </c>
      <c r="AJ42" s="76">
        <v>2</v>
      </c>
      <c r="AK42" s="99">
        <f t="shared" si="5"/>
        <v>0</v>
      </c>
      <c r="AL42" s="77">
        <v>200</v>
      </c>
      <c r="AM42" s="10">
        <f t="shared" si="1"/>
        <v>0</v>
      </c>
      <c r="AN42" s="77">
        <v>0</v>
      </c>
      <c r="AO42" s="78">
        <f t="shared" si="7"/>
        <v>0</v>
      </c>
      <c r="AQ42" s="30"/>
      <c r="AR42" s="30"/>
      <c r="AS42" s="30"/>
      <c r="AT42" s="30"/>
    </row>
    <row r="43" spans="1:46">
      <c r="A43" s="2">
        <f t="shared" si="2"/>
        <v>40</v>
      </c>
      <c r="B43" s="68">
        <v>696066666</v>
      </c>
      <c r="C43" s="88" t="s">
        <v>487</v>
      </c>
      <c r="D43" s="88" t="s">
        <v>488</v>
      </c>
      <c r="E43" s="88" t="s">
        <v>489</v>
      </c>
      <c r="F43" s="81" t="s">
        <v>483</v>
      </c>
      <c r="G43" s="84" t="s">
        <v>81</v>
      </c>
      <c r="H43" s="68">
        <v>24</v>
      </c>
      <c r="I43" s="68">
        <v>30000</v>
      </c>
      <c r="J43" s="87">
        <v>30060</v>
      </c>
      <c r="K43" s="68" t="s">
        <v>92</v>
      </c>
      <c r="L43" s="68" t="s">
        <v>18</v>
      </c>
      <c r="M43" s="84">
        <v>45729</v>
      </c>
      <c r="N43" s="84" t="s">
        <v>96</v>
      </c>
      <c r="O43" s="85" t="s">
        <v>97</v>
      </c>
      <c r="P43" s="84">
        <v>45733</v>
      </c>
      <c r="Q43" s="84">
        <v>45733</v>
      </c>
      <c r="R43" s="84">
        <v>45763</v>
      </c>
      <c r="S43" s="84">
        <v>45871</v>
      </c>
      <c r="T43" s="84">
        <v>45873</v>
      </c>
      <c r="U43" s="84">
        <v>45876</v>
      </c>
      <c r="V43" s="84">
        <v>45879</v>
      </c>
      <c r="W43" s="84">
        <v>45881</v>
      </c>
      <c r="X43" s="84">
        <v>45886</v>
      </c>
      <c r="Y43" s="84">
        <v>45886</v>
      </c>
      <c r="Z43" s="84">
        <v>45886</v>
      </c>
      <c r="AA43" s="84">
        <v>45886</v>
      </c>
      <c r="AB43" s="84">
        <v>45887</v>
      </c>
      <c r="AC43" s="86" t="s">
        <v>377</v>
      </c>
      <c r="AD43" s="98">
        <f t="shared" si="3"/>
        <v>5</v>
      </c>
      <c r="AE43" s="76">
        <v>7</v>
      </c>
      <c r="AF43" s="99">
        <f t="shared" si="6"/>
        <v>0</v>
      </c>
      <c r="AG43" s="77">
        <v>200</v>
      </c>
      <c r="AH43" s="10">
        <f t="shared" si="0"/>
        <v>0</v>
      </c>
      <c r="AI43" s="98">
        <f t="shared" si="4"/>
        <v>1</v>
      </c>
      <c r="AJ43" s="76">
        <v>2</v>
      </c>
      <c r="AK43" s="99">
        <f t="shared" si="5"/>
        <v>0</v>
      </c>
      <c r="AL43" s="77">
        <v>200</v>
      </c>
      <c r="AM43" s="10">
        <f t="shared" si="1"/>
        <v>0</v>
      </c>
      <c r="AN43" s="77">
        <v>0</v>
      </c>
      <c r="AO43" s="78">
        <f t="shared" si="7"/>
        <v>0</v>
      </c>
      <c r="AQ43" s="30"/>
      <c r="AR43" s="30"/>
      <c r="AS43" s="30"/>
      <c r="AT43" s="30"/>
    </row>
    <row r="44" spans="1:46">
      <c r="A44" s="2">
        <f t="shared" si="2"/>
        <v>41</v>
      </c>
      <c r="B44" s="68">
        <v>696066666</v>
      </c>
      <c r="C44" s="88" t="s">
        <v>490</v>
      </c>
      <c r="D44" s="88" t="s">
        <v>491</v>
      </c>
      <c r="E44" s="88" t="s">
        <v>492</v>
      </c>
      <c r="F44" s="81" t="s">
        <v>483</v>
      </c>
      <c r="G44" s="84" t="s">
        <v>81</v>
      </c>
      <c r="H44" s="68">
        <v>24</v>
      </c>
      <c r="I44" s="68">
        <v>30000</v>
      </c>
      <c r="J44" s="90">
        <v>30060</v>
      </c>
      <c r="K44" s="68" t="s">
        <v>92</v>
      </c>
      <c r="L44" s="68" t="s">
        <v>18</v>
      </c>
      <c r="M44" s="84">
        <v>45729</v>
      </c>
      <c r="N44" s="84" t="s">
        <v>96</v>
      </c>
      <c r="O44" s="85" t="s">
        <v>97</v>
      </c>
      <c r="P44" s="84">
        <v>45733</v>
      </c>
      <c r="Q44" s="84">
        <v>45733</v>
      </c>
      <c r="R44" s="84">
        <v>45763</v>
      </c>
      <c r="S44" s="84">
        <v>45871</v>
      </c>
      <c r="T44" s="84">
        <v>45873</v>
      </c>
      <c r="U44" s="84">
        <v>45876</v>
      </c>
      <c r="V44" s="84">
        <v>45879</v>
      </c>
      <c r="W44" s="84">
        <v>45881</v>
      </c>
      <c r="X44" s="84">
        <v>45886</v>
      </c>
      <c r="Y44" s="84">
        <v>45886</v>
      </c>
      <c r="Z44" s="84">
        <v>45886</v>
      </c>
      <c r="AA44" s="84">
        <v>45886</v>
      </c>
      <c r="AB44" s="84">
        <v>45887</v>
      </c>
      <c r="AC44" s="86" t="s">
        <v>377</v>
      </c>
      <c r="AD44" s="98">
        <f t="shared" si="3"/>
        <v>5</v>
      </c>
      <c r="AE44" s="76">
        <v>7</v>
      </c>
      <c r="AF44" s="99">
        <f t="shared" si="6"/>
        <v>0</v>
      </c>
      <c r="AG44" s="77">
        <v>200</v>
      </c>
      <c r="AH44" s="10">
        <f t="shared" si="0"/>
        <v>0</v>
      </c>
      <c r="AI44" s="98">
        <f t="shared" si="4"/>
        <v>1</v>
      </c>
      <c r="AJ44" s="76">
        <v>2</v>
      </c>
      <c r="AK44" s="99">
        <f t="shared" si="5"/>
        <v>0</v>
      </c>
      <c r="AL44" s="77">
        <v>200</v>
      </c>
      <c r="AM44" s="10">
        <f t="shared" si="1"/>
        <v>0</v>
      </c>
      <c r="AN44" s="77">
        <v>0</v>
      </c>
      <c r="AO44" s="78">
        <f t="shared" si="7"/>
        <v>0</v>
      </c>
      <c r="AQ44" s="30"/>
      <c r="AR44" s="30"/>
      <c r="AS44" s="30"/>
      <c r="AT44" s="30"/>
    </row>
    <row r="45" spans="1:46">
      <c r="A45" s="2">
        <f t="shared" si="2"/>
        <v>42</v>
      </c>
      <c r="B45" s="68">
        <v>696066666</v>
      </c>
      <c r="C45" s="88" t="s">
        <v>493</v>
      </c>
      <c r="D45" s="88" t="s">
        <v>494</v>
      </c>
      <c r="E45" s="88" t="s">
        <v>495</v>
      </c>
      <c r="F45" s="81" t="s">
        <v>483</v>
      </c>
      <c r="G45" s="84" t="s">
        <v>81</v>
      </c>
      <c r="H45" s="68">
        <v>24</v>
      </c>
      <c r="I45" s="68">
        <v>30000</v>
      </c>
      <c r="J45" s="90">
        <v>30060</v>
      </c>
      <c r="K45" s="68" t="s">
        <v>92</v>
      </c>
      <c r="L45" s="68" t="s">
        <v>18</v>
      </c>
      <c r="M45" s="84">
        <v>45729</v>
      </c>
      <c r="N45" s="84" t="s">
        <v>96</v>
      </c>
      <c r="O45" s="85" t="s">
        <v>97</v>
      </c>
      <c r="P45" s="84">
        <v>45733</v>
      </c>
      <c r="Q45" s="84">
        <v>45733</v>
      </c>
      <c r="R45" s="84">
        <v>45763</v>
      </c>
      <c r="S45" s="84">
        <v>45871</v>
      </c>
      <c r="T45" s="84">
        <v>45873</v>
      </c>
      <c r="U45" s="84">
        <v>45876</v>
      </c>
      <c r="V45" s="84">
        <v>45879</v>
      </c>
      <c r="W45" s="84">
        <v>45881</v>
      </c>
      <c r="X45" s="84">
        <v>45886</v>
      </c>
      <c r="Y45" s="84">
        <v>45886</v>
      </c>
      <c r="Z45" s="84">
        <v>45886</v>
      </c>
      <c r="AA45" s="84">
        <v>45886</v>
      </c>
      <c r="AB45" s="84">
        <v>45887</v>
      </c>
      <c r="AC45" s="86" t="s">
        <v>377</v>
      </c>
      <c r="AD45" s="98">
        <f t="shared" si="3"/>
        <v>5</v>
      </c>
      <c r="AE45" s="76">
        <v>7</v>
      </c>
      <c r="AF45" s="99">
        <f t="shared" si="6"/>
        <v>0</v>
      </c>
      <c r="AG45" s="77">
        <v>200</v>
      </c>
      <c r="AH45" s="10">
        <f t="shared" si="0"/>
        <v>0</v>
      </c>
      <c r="AI45" s="98">
        <f t="shared" si="4"/>
        <v>1</v>
      </c>
      <c r="AJ45" s="76">
        <v>2</v>
      </c>
      <c r="AK45" s="99">
        <f t="shared" si="5"/>
        <v>0</v>
      </c>
      <c r="AL45" s="77">
        <v>200</v>
      </c>
      <c r="AM45" s="10">
        <f t="shared" si="1"/>
        <v>0</v>
      </c>
      <c r="AN45" s="77">
        <v>0</v>
      </c>
      <c r="AO45" s="78">
        <f t="shared" si="7"/>
        <v>0</v>
      </c>
      <c r="AQ45" s="30"/>
      <c r="AR45" s="30"/>
      <c r="AS45" s="30"/>
      <c r="AT45" s="30"/>
    </row>
    <row r="46" spans="1:46">
      <c r="A46" s="2">
        <f t="shared" si="2"/>
        <v>43</v>
      </c>
      <c r="B46" s="68">
        <v>696066666</v>
      </c>
      <c r="C46" s="88" t="s">
        <v>496</v>
      </c>
      <c r="D46" s="88" t="s">
        <v>497</v>
      </c>
      <c r="E46" s="88" t="s">
        <v>498</v>
      </c>
      <c r="F46" s="81" t="s">
        <v>483</v>
      </c>
      <c r="G46" s="84" t="s">
        <v>81</v>
      </c>
      <c r="H46" s="68">
        <v>24</v>
      </c>
      <c r="I46" s="68">
        <v>30000</v>
      </c>
      <c r="J46" s="90">
        <v>30060</v>
      </c>
      <c r="K46" s="68" t="s">
        <v>92</v>
      </c>
      <c r="L46" s="68" t="s">
        <v>18</v>
      </c>
      <c r="M46" s="84">
        <v>45729</v>
      </c>
      <c r="N46" s="84" t="s">
        <v>96</v>
      </c>
      <c r="O46" s="85" t="s">
        <v>97</v>
      </c>
      <c r="P46" s="84">
        <v>45733</v>
      </c>
      <c r="Q46" s="84">
        <v>45733</v>
      </c>
      <c r="R46" s="84">
        <v>45763</v>
      </c>
      <c r="S46" s="84">
        <v>45871</v>
      </c>
      <c r="T46" s="84">
        <v>45873</v>
      </c>
      <c r="U46" s="84">
        <v>45876</v>
      </c>
      <c r="V46" s="84">
        <v>45879</v>
      </c>
      <c r="W46" s="84">
        <v>45881</v>
      </c>
      <c r="X46" s="84">
        <v>45886</v>
      </c>
      <c r="Y46" s="84">
        <v>45886</v>
      </c>
      <c r="Z46" s="84">
        <v>45886</v>
      </c>
      <c r="AA46" s="84">
        <v>45886</v>
      </c>
      <c r="AB46" s="84">
        <v>45887</v>
      </c>
      <c r="AC46" s="86" t="s">
        <v>377</v>
      </c>
      <c r="AD46" s="98">
        <f t="shared" si="3"/>
        <v>5</v>
      </c>
      <c r="AE46" s="76">
        <v>7</v>
      </c>
      <c r="AF46" s="99">
        <f t="shared" si="6"/>
        <v>0</v>
      </c>
      <c r="AG46" s="77">
        <v>200</v>
      </c>
      <c r="AH46" s="10">
        <f t="shared" si="0"/>
        <v>0</v>
      </c>
      <c r="AI46" s="98">
        <f t="shared" si="4"/>
        <v>1</v>
      </c>
      <c r="AJ46" s="76">
        <v>2</v>
      </c>
      <c r="AK46" s="99">
        <f t="shared" si="5"/>
        <v>0</v>
      </c>
      <c r="AL46" s="77">
        <v>200</v>
      </c>
      <c r="AM46" s="10">
        <f t="shared" si="1"/>
        <v>0</v>
      </c>
      <c r="AN46" s="77">
        <v>0</v>
      </c>
      <c r="AO46" s="78">
        <f t="shared" si="7"/>
        <v>0</v>
      </c>
      <c r="AQ46" s="30"/>
      <c r="AR46" s="30"/>
      <c r="AS46" s="30"/>
      <c r="AT46" s="30"/>
    </row>
    <row r="47" spans="1:46">
      <c r="A47" s="2">
        <f t="shared" si="2"/>
        <v>44</v>
      </c>
      <c r="B47" s="68">
        <v>696066666</v>
      </c>
      <c r="C47" s="88" t="s">
        <v>499</v>
      </c>
      <c r="D47" s="88" t="s">
        <v>500</v>
      </c>
      <c r="E47" s="88" t="s">
        <v>501</v>
      </c>
      <c r="F47" s="81" t="s">
        <v>483</v>
      </c>
      <c r="G47" s="84" t="s">
        <v>81</v>
      </c>
      <c r="H47" s="68">
        <v>24</v>
      </c>
      <c r="I47" s="68">
        <v>30000</v>
      </c>
      <c r="J47" s="90">
        <v>30060</v>
      </c>
      <c r="K47" s="68" t="s">
        <v>92</v>
      </c>
      <c r="L47" s="68" t="s">
        <v>18</v>
      </c>
      <c r="M47" s="84">
        <v>45729</v>
      </c>
      <c r="N47" s="84" t="s">
        <v>96</v>
      </c>
      <c r="O47" s="85" t="s">
        <v>97</v>
      </c>
      <c r="P47" s="84">
        <v>45733</v>
      </c>
      <c r="Q47" s="84">
        <v>45733</v>
      </c>
      <c r="R47" s="84">
        <v>45763</v>
      </c>
      <c r="S47" s="84">
        <v>45871</v>
      </c>
      <c r="T47" s="84">
        <v>45873</v>
      </c>
      <c r="U47" s="84">
        <v>45876</v>
      </c>
      <c r="V47" s="84">
        <v>45881</v>
      </c>
      <c r="W47" s="84">
        <v>45883</v>
      </c>
      <c r="X47" s="84">
        <v>45886</v>
      </c>
      <c r="Y47" s="84">
        <v>45886</v>
      </c>
      <c r="Z47" s="84">
        <v>45886</v>
      </c>
      <c r="AA47" s="84">
        <v>45886</v>
      </c>
      <c r="AB47" s="84">
        <v>45887</v>
      </c>
      <c r="AC47" s="86" t="s">
        <v>377</v>
      </c>
      <c r="AD47" s="98">
        <f t="shared" si="3"/>
        <v>3</v>
      </c>
      <c r="AE47" s="76">
        <v>7</v>
      </c>
      <c r="AF47" s="99">
        <f t="shared" si="6"/>
        <v>0</v>
      </c>
      <c r="AG47" s="77">
        <v>200</v>
      </c>
      <c r="AH47" s="10">
        <f t="shared" si="0"/>
        <v>0</v>
      </c>
      <c r="AI47" s="98">
        <f t="shared" si="4"/>
        <v>1</v>
      </c>
      <c r="AJ47" s="76">
        <v>2</v>
      </c>
      <c r="AK47" s="99">
        <f t="shared" si="5"/>
        <v>0</v>
      </c>
      <c r="AL47" s="77">
        <v>200</v>
      </c>
      <c r="AM47" s="10">
        <f t="shared" si="1"/>
        <v>0</v>
      </c>
      <c r="AN47" s="77">
        <v>0</v>
      </c>
      <c r="AO47" s="78">
        <f t="shared" si="7"/>
        <v>0</v>
      </c>
      <c r="AQ47" s="30"/>
      <c r="AR47" s="30"/>
      <c r="AS47" s="30"/>
      <c r="AT47" s="30"/>
    </row>
    <row r="48" spans="1:46">
      <c r="A48" s="2">
        <f t="shared" si="2"/>
        <v>45</v>
      </c>
      <c r="B48" s="68">
        <v>696066666</v>
      </c>
      <c r="C48" s="88" t="s">
        <v>502</v>
      </c>
      <c r="D48" s="88" t="s">
        <v>503</v>
      </c>
      <c r="E48" s="88" t="s">
        <v>504</v>
      </c>
      <c r="F48" s="81" t="s">
        <v>483</v>
      </c>
      <c r="G48" s="84" t="s">
        <v>81</v>
      </c>
      <c r="H48" s="68">
        <v>24</v>
      </c>
      <c r="I48" s="68">
        <v>30000</v>
      </c>
      <c r="J48" s="90">
        <v>30060</v>
      </c>
      <c r="K48" s="68" t="s">
        <v>92</v>
      </c>
      <c r="L48" s="68" t="s">
        <v>18</v>
      </c>
      <c r="M48" s="84">
        <v>45729</v>
      </c>
      <c r="N48" s="84" t="s">
        <v>96</v>
      </c>
      <c r="O48" s="85" t="s">
        <v>97</v>
      </c>
      <c r="P48" s="84">
        <v>45733</v>
      </c>
      <c r="Q48" s="84">
        <v>45733</v>
      </c>
      <c r="R48" s="84">
        <v>45763</v>
      </c>
      <c r="S48" s="84">
        <v>45871</v>
      </c>
      <c r="T48" s="84">
        <v>45873</v>
      </c>
      <c r="U48" s="84">
        <v>45876</v>
      </c>
      <c r="V48" s="84">
        <v>45879</v>
      </c>
      <c r="W48" s="84">
        <v>45881</v>
      </c>
      <c r="X48" s="84">
        <v>45886</v>
      </c>
      <c r="Y48" s="84">
        <v>45886</v>
      </c>
      <c r="Z48" s="84">
        <v>45886</v>
      </c>
      <c r="AA48" s="84">
        <v>45886</v>
      </c>
      <c r="AB48" s="84">
        <v>45887</v>
      </c>
      <c r="AC48" s="86" t="s">
        <v>377</v>
      </c>
      <c r="AD48" s="98">
        <f t="shared" si="3"/>
        <v>5</v>
      </c>
      <c r="AE48" s="76">
        <v>7</v>
      </c>
      <c r="AF48" s="99">
        <f t="shared" si="6"/>
        <v>0</v>
      </c>
      <c r="AG48" s="77">
        <v>200</v>
      </c>
      <c r="AH48" s="10">
        <f t="shared" si="0"/>
        <v>0</v>
      </c>
      <c r="AI48" s="98">
        <f t="shared" si="4"/>
        <v>1</v>
      </c>
      <c r="AJ48" s="76">
        <v>2</v>
      </c>
      <c r="AK48" s="99">
        <f t="shared" si="5"/>
        <v>0</v>
      </c>
      <c r="AL48" s="77">
        <v>200</v>
      </c>
      <c r="AM48" s="10">
        <f t="shared" si="1"/>
        <v>0</v>
      </c>
      <c r="AN48" s="77">
        <v>0</v>
      </c>
      <c r="AO48" s="78">
        <f t="shared" si="7"/>
        <v>0</v>
      </c>
      <c r="AQ48" s="30"/>
      <c r="AR48" s="30"/>
      <c r="AS48" s="30"/>
      <c r="AT48" s="30"/>
    </row>
    <row r="49" spans="1:46">
      <c r="A49" s="2">
        <f t="shared" si="2"/>
        <v>46</v>
      </c>
      <c r="B49" s="68">
        <v>696066666</v>
      </c>
      <c r="C49" s="88" t="s">
        <v>505</v>
      </c>
      <c r="D49" s="88" t="s">
        <v>506</v>
      </c>
      <c r="E49" s="88" t="s">
        <v>507</v>
      </c>
      <c r="F49" s="81" t="s">
        <v>483</v>
      </c>
      <c r="G49" s="84" t="s">
        <v>81</v>
      </c>
      <c r="H49" s="68">
        <v>24</v>
      </c>
      <c r="I49" s="68">
        <v>30000</v>
      </c>
      <c r="J49" s="90">
        <v>30060</v>
      </c>
      <c r="K49" s="68" t="s">
        <v>92</v>
      </c>
      <c r="L49" s="68" t="s">
        <v>18</v>
      </c>
      <c r="M49" s="84">
        <v>45729</v>
      </c>
      <c r="N49" s="84" t="s">
        <v>96</v>
      </c>
      <c r="O49" s="85" t="s">
        <v>97</v>
      </c>
      <c r="P49" s="84">
        <v>45733</v>
      </c>
      <c r="Q49" s="84">
        <v>45733</v>
      </c>
      <c r="R49" s="84">
        <v>45763</v>
      </c>
      <c r="S49" s="84">
        <v>45871</v>
      </c>
      <c r="T49" s="84">
        <v>45873</v>
      </c>
      <c r="U49" s="84">
        <v>45876</v>
      </c>
      <c r="V49" s="84">
        <v>45879</v>
      </c>
      <c r="W49" s="84">
        <v>45881</v>
      </c>
      <c r="X49" s="84">
        <v>45886</v>
      </c>
      <c r="Y49" s="84">
        <v>45886</v>
      </c>
      <c r="Z49" s="84">
        <v>45886</v>
      </c>
      <c r="AA49" s="84">
        <v>45886</v>
      </c>
      <c r="AB49" s="84">
        <v>45887</v>
      </c>
      <c r="AC49" s="86" t="s">
        <v>377</v>
      </c>
      <c r="AD49" s="98">
        <f t="shared" si="3"/>
        <v>5</v>
      </c>
      <c r="AE49" s="76">
        <v>7</v>
      </c>
      <c r="AF49" s="99">
        <f t="shared" si="6"/>
        <v>0</v>
      </c>
      <c r="AG49" s="77">
        <v>200</v>
      </c>
      <c r="AH49" s="10">
        <f t="shared" si="0"/>
        <v>0</v>
      </c>
      <c r="AI49" s="98">
        <f t="shared" si="4"/>
        <v>1</v>
      </c>
      <c r="AJ49" s="76">
        <v>2</v>
      </c>
      <c r="AK49" s="99">
        <f t="shared" si="5"/>
        <v>0</v>
      </c>
      <c r="AL49" s="77">
        <v>200</v>
      </c>
      <c r="AM49" s="10">
        <f t="shared" si="1"/>
        <v>0</v>
      </c>
      <c r="AN49" s="77">
        <v>0</v>
      </c>
      <c r="AO49" s="78">
        <f t="shared" si="7"/>
        <v>0</v>
      </c>
      <c r="AQ49" s="30"/>
      <c r="AR49" s="30"/>
      <c r="AS49" s="30"/>
      <c r="AT49" s="30"/>
    </row>
    <row r="50" spans="1:46">
      <c r="A50" s="2">
        <f t="shared" si="2"/>
        <v>47</v>
      </c>
      <c r="B50" s="68">
        <v>696066666</v>
      </c>
      <c r="C50" s="88" t="s">
        <v>508</v>
      </c>
      <c r="D50" s="88" t="s">
        <v>509</v>
      </c>
      <c r="E50" s="88" t="s">
        <v>510</v>
      </c>
      <c r="F50" s="81" t="s">
        <v>483</v>
      </c>
      <c r="G50" s="84" t="s">
        <v>81</v>
      </c>
      <c r="H50" s="68">
        <v>24</v>
      </c>
      <c r="I50" s="68">
        <v>30000</v>
      </c>
      <c r="J50" s="90">
        <v>30060</v>
      </c>
      <c r="K50" s="68" t="s">
        <v>92</v>
      </c>
      <c r="L50" s="68" t="s">
        <v>18</v>
      </c>
      <c r="M50" s="84">
        <v>45729</v>
      </c>
      <c r="N50" s="84" t="s">
        <v>96</v>
      </c>
      <c r="O50" s="85" t="s">
        <v>97</v>
      </c>
      <c r="P50" s="84">
        <v>45733</v>
      </c>
      <c r="Q50" s="84">
        <v>45733</v>
      </c>
      <c r="R50" s="84">
        <v>45763</v>
      </c>
      <c r="S50" s="84">
        <v>45871</v>
      </c>
      <c r="T50" s="84">
        <v>45873</v>
      </c>
      <c r="U50" s="84">
        <v>45876</v>
      </c>
      <c r="V50" s="84">
        <v>45879</v>
      </c>
      <c r="W50" s="84">
        <v>45881</v>
      </c>
      <c r="X50" s="84">
        <v>45886</v>
      </c>
      <c r="Y50" s="84">
        <v>45886</v>
      </c>
      <c r="Z50" s="84">
        <v>45886</v>
      </c>
      <c r="AA50" s="84">
        <v>45886</v>
      </c>
      <c r="AB50" s="84">
        <v>45887</v>
      </c>
      <c r="AC50" s="86" t="s">
        <v>377</v>
      </c>
      <c r="AD50" s="98">
        <f t="shared" si="3"/>
        <v>5</v>
      </c>
      <c r="AE50" s="76">
        <v>7</v>
      </c>
      <c r="AF50" s="99">
        <f t="shared" si="6"/>
        <v>0</v>
      </c>
      <c r="AG50" s="77">
        <v>200</v>
      </c>
      <c r="AH50" s="10">
        <f t="shared" si="0"/>
        <v>0</v>
      </c>
      <c r="AI50" s="98">
        <f t="shared" si="4"/>
        <v>1</v>
      </c>
      <c r="AJ50" s="76">
        <v>2</v>
      </c>
      <c r="AK50" s="99">
        <f t="shared" si="5"/>
        <v>0</v>
      </c>
      <c r="AL50" s="77">
        <v>200</v>
      </c>
      <c r="AM50" s="10">
        <f t="shared" si="1"/>
        <v>0</v>
      </c>
      <c r="AN50" s="77">
        <v>0</v>
      </c>
      <c r="AO50" s="78">
        <f t="shared" si="7"/>
        <v>0</v>
      </c>
      <c r="AQ50" s="30"/>
      <c r="AR50" s="30"/>
      <c r="AS50" s="30"/>
      <c r="AT50" s="30"/>
    </row>
    <row r="51" spans="1:46">
      <c r="A51" s="2">
        <f t="shared" si="2"/>
        <v>48</v>
      </c>
      <c r="B51" s="68">
        <v>696066666</v>
      </c>
      <c r="C51" s="80" t="s">
        <v>511</v>
      </c>
      <c r="D51" s="80" t="s">
        <v>512</v>
      </c>
      <c r="E51" s="81" t="s">
        <v>513</v>
      </c>
      <c r="F51" s="81" t="s">
        <v>483</v>
      </c>
      <c r="G51" s="84" t="s">
        <v>81</v>
      </c>
      <c r="H51" s="68">
        <v>28</v>
      </c>
      <c r="I51" s="68">
        <v>35000</v>
      </c>
      <c r="J51" s="87">
        <v>35070</v>
      </c>
      <c r="K51" s="68" t="s">
        <v>92</v>
      </c>
      <c r="L51" s="68" t="s">
        <v>18</v>
      </c>
      <c r="M51" s="84">
        <v>45729</v>
      </c>
      <c r="N51" s="84" t="s">
        <v>96</v>
      </c>
      <c r="O51" s="85" t="s">
        <v>97</v>
      </c>
      <c r="P51" s="84">
        <v>45733</v>
      </c>
      <c r="Q51" s="84">
        <v>45733</v>
      </c>
      <c r="R51" s="84">
        <v>45763</v>
      </c>
      <c r="S51" s="84">
        <v>45871</v>
      </c>
      <c r="T51" s="84">
        <v>45873</v>
      </c>
      <c r="U51" s="84">
        <v>45876</v>
      </c>
      <c r="V51" s="84">
        <v>45878</v>
      </c>
      <c r="W51" s="84">
        <v>45881</v>
      </c>
      <c r="X51" s="84">
        <v>45885</v>
      </c>
      <c r="Y51" s="84">
        <v>45886</v>
      </c>
      <c r="Z51" s="84">
        <v>45886</v>
      </c>
      <c r="AA51" s="84">
        <v>45886</v>
      </c>
      <c r="AB51" s="84">
        <v>45887</v>
      </c>
      <c r="AC51" s="86" t="s">
        <v>377</v>
      </c>
      <c r="AD51" s="98">
        <f t="shared" si="3"/>
        <v>4</v>
      </c>
      <c r="AE51" s="76">
        <v>7</v>
      </c>
      <c r="AF51" s="99">
        <f t="shared" si="6"/>
        <v>0</v>
      </c>
      <c r="AG51" s="77">
        <v>200</v>
      </c>
      <c r="AH51" s="10">
        <f t="shared" si="0"/>
        <v>0</v>
      </c>
      <c r="AI51" s="98">
        <f t="shared" si="4"/>
        <v>1</v>
      </c>
      <c r="AJ51" s="76">
        <v>2</v>
      </c>
      <c r="AK51" s="99">
        <f t="shared" si="5"/>
        <v>0</v>
      </c>
      <c r="AL51" s="77">
        <v>200</v>
      </c>
      <c r="AM51" s="10">
        <f t="shared" si="1"/>
        <v>0</v>
      </c>
      <c r="AN51" s="77">
        <v>0</v>
      </c>
      <c r="AO51" s="78">
        <f t="shared" si="7"/>
        <v>0</v>
      </c>
      <c r="AQ51" s="30"/>
      <c r="AR51" s="30"/>
      <c r="AS51" s="30"/>
      <c r="AT51" s="30"/>
    </row>
    <row r="52" spans="1:46">
      <c r="A52" s="2">
        <f t="shared" si="2"/>
        <v>49</v>
      </c>
      <c r="B52" s="68">
        <v>696066666</v>
      </c>
      <c r="C52" s="80" t="s">
        <v>514</v>
      </c>
      <c r="D52" s="80" t="s">
        <v>515</v>
      </c>
      <c r="E52" s="68" t="s">
        <v>516</v>
      </c>
      <c r="F52" s="81" t="s">
        <v>483</v>
      </c>
      <c r="G52" s="84" t="s">
        <v>81</v>
      </c>
      <c r="H52" s="68">
        <v>27</v>
      </c>
      <c r="I52" s="68">
        <v>33750</v>
      </c>
      <c r="J52" s="87">
        <v>33818</v>
      </c>
      <c r="K52" s="68" t="s">
        <v>92</v>
      </c>
      <c r="L52" s="68" t="s">
        <v>18</v>
      </c>
      <c r="M52" s="84">
        <v>45729</v>
      </c>
      <c r="N52" s="84" t="s">
        <v>96</v>
      </c>
      <c r="O52" s="85" t="s">
        <v>97</v>
      </c>
      <c r="P52" s="84">
        <v>45733</v>
      </c>
      <c r="Q52" s="84">
        <v>45733</v>
      </c>
      <c r="R52" s="84">
        <v>45763</v>
      </c>
      <c r="S52" s="84">
        <v>45871</v>
      </c>
      <c r="T52" s="84">
        <v>45873</v>
      </c>
      <c r="U52" s="84">
        <v>45876</v>
      </c>
      <c r="V52" s="84">
        <v>45878</v>
      </c>
      <c r="W52" s="84">
        <v>45880</v>
      </c>
      <c r="X52" s="84">
        <v>45885</v>
      </c>
      <c r="Y52" s="84">
        <v>45886</v>
      </c>
      <c r="Z52" s="84">
        <v>45886</v>
      </c>
      <c r="AA52" s="84">
        <v>45886</v>
      </c>
      <c r="AB52" s="84">
        <v>45887</v>
      </c>
      <c r="AC52" s="86" t="s">
        <v>377</v>
      </c>
      <c r="AD52" s="98">
        <f t="shared" si="3"/>
        <v>5</v>
      </c>
      <c r="AE52" s="76">
        <v>7</v>
      </c>
      <c r="AF52" s="99">
        <f t="shared" si="6"/>
        <v>0</v>
      </c>
      <c r="AG52" s="77">
        <v>200</v>
      </c>
      <c r="AH52" s="10">
        <f t="shared" si="0"/>
        <v>0</v>
      </c>
      <c r="AI52" s="98">
        <f t="shared" si="4"/>
        <v>1</v>
      </c>
      <c r="AJ52" s="76">
        <v>2</v>
      </c>
      <c r="AK52" s="99">
        <f t="shared" si="5"/>
        <v>0</v>
      </c>
      <c r="AL52" s="77">
        <v>200</v>
      </c>
      <c r="AM52" s="10">
        <f t="shared" si="1"/>
        <v>0</v>
      </c>
      <c r="AN52" s="77">
        <v>0</v>
      </c>
      <c r="AO52" s="78">
        <f t="shared" si="7"/>
        <v>0</v>
      </c>
      <c r="AQ52" s="30"/>
      <c r="AR52" s="30"/>
      <c r="AS52" s="30"/>
      <c r="AT52" s="30"/>
    </row>
    <row r="53" spans="1:46">
      <c r="A53" s="2">
        <f t="shared" si="2"/>
        <v>50</v>
      </c>
      <c r="B53" s="68">
        <v>696066666</v>
      </c>
      <c r="C53" s="80" t="s">
        <v>517</v>
      </c>
      <c r="D53" s="80" t="s">
        <v>518</v>
      </c>
      <c r="E53" s="68" t="s">
        <v>519</v>
      </c>
      <c r="F53" s="81" t="s">
        <v>483</v>
      </c>
      <c r="G53" s="84" t="s">
        <v>81</v>
      </c>
      <c r="H53" s="68">
        <v>27</v>
      </c>
      <c r="I53" s="68">
        <v>35000</v>
      </c>
      <c r="J53" s="87">
        <v>35070</v>
      </c>
      <c r="K53" s="68" t="s">
        <v>92</v>
      </c>
      <c r="L53" s="68" t="s">
        <v>18</v>
      </c>
      <c r="M53" s="84">
        <v>45729</v>
      </c>
      <c r="N53" s="84" t="s">
        <v>96</v>
      </c>
      <c r="O53" s="85" t="s">
        <v>97</v>
      </c>
      <c r="P53" s="84">
        <v>45733</v>
      </c>
      <c r="Q53" s="84">
        <v>45733</v>
      </c>
      <c r="R53" s="84">
        <v>45763</v>
      </c>
      <c r="S53" s="84">
        <v>45871</v>
      </c>
      <c r="T53" s="84">
        <v>45873</v>
      </c>
      <c r="U53" s="84">
        <v>45876</v>
      </c>
      <c r="V53" s="84">
        <v>45878</v>
      </c>
      <c r="W53" s="84">
        <v>45880</v>
      </c>
      <c r="X53" s="84">
        <v>45885</v>
      </c>
      <c r="Y53" s="84">
        <v>45886</v>
      </c>
      <c r="Z53" s="84">
        <v>45886</v>
      </c>
      <c r="AA53" s="84">
        <v>45886</v>
      </c>
      <c r="AB53" s="84">
        <v>45887</v>
      </c>
      <c r="AC53" s="86" t="s">
        <v>377</v>
      </c>
      <c r="AD53" s="98">
        <f t="shared" si="3"/>
        <v>5</v>
      </c>
      <c r="AE53" s="76">
        <v>7</v>
      </c>
      <c r="AF53" s="99">
        <f t="shared" si="6"/>
        <v>0</v>
      </c>
      <c r="AG53" s="77">
        <v>200</v>
      </c>
      <c r="AH53" s="10">
        <f t="shared" si="0"/>
        <v>0</v>
      </c>
      <c r="AI53" s="98">
        <f t="shared" si="4"/>
        <v>1</v>
      </c>
      <c r="AJ53" s="76">
        <v>2</v>
      </c>
      <c r="AK53" s="99">
        <f t="shared" si="5"/>
        <v>0</v>
      </c>
      <c r="AL53" s="77">
        <v>200</v>
      </c>
      <c r="AM53" s="10">
        <f t="shared" si="1"/>
        <v>0</v>
      </c>
      <c r="AN53" s="77">
        <v>0</v>
      </c>
      <c r="AO53" s="78">
        <f t="shared" si="7"/>
        <v>0</v>
      </c>
      <c r="AQ53" s="30"/>
      <c r="AR53" s="30"/>
      <c r="AS53" s="30"/>
      <c r="AT53" s="30"/>
    </row>
    <row r="54" spans="1:46">
      <c r="A54" s="2">
        <f t="shared" si="2"/>
        <v>51</v>
      </c>
      <c r="B54" s="68">
        <v>696066666</v>
      </c>
      <c r="C54" s="84" t="s">
        <v>520</v>
      </c>
      <c r="D54" s="84" t="s">
        <v>521</v>
      </c>
      <c r="E54" s="84" t="s">
        <v>522</v>
      </c>
      <c r="F54" s="84" t="s">
        <v>373</v>
      </c>
      <c r="G54" s="84" t="s">
        <v>81</v>
      </c>
      <c r="H54" s="68">
        <v>28</v>
      </c>
      <c r="I54" s="68">
        <v>35000</v>
      </c>
      <c r="J54" s="89">
        <v>35070</v>
      </c>
      <c r="K54" s="68" t="s">
        <v>92</v>
      </c>
      <c r="L54" s="68" t="s">
        <v>18</v>
      </c>
      <c r="M54" s="84">
        <v>45729</v>
      </c>
      <c r="N54" s="84" t="s">
        <v>96</v>
      </c>
      <c r="O54" s="85" t="s">
        <v>97</v>
      </c>
      <c r="P54" s="84">
        <v>45733</v>
      </c>
      <c r="Q54" s="84">
        <v>45733</v>
      </c>
      <c r="R54" s="84">
        <v>45763</v>
      </c>
      <c r="S54" s="84">
        <v>45864</v>
      </c>
      <c r="T54" s="84">
        <v>45868</v>
      </c>
      <c r="U54" s="84">
        <v>45871</v>
      </c>
      <c r="V54" s="84">
        <v>45873</v>
      </c>
      <c r="W54" s="84">
        <v>45876</v>
      </c>
      <c r="X54" s="84">
        <v>45880</v>
      </c>
      <c r="Y54" s="84">
        <v>45880</v>
      </c>
      <c r="Z54" s="84">
        <v>45883</v>
      </c>
      <c r="AA54" s="84">
        <v>45886</v>
      </c>
      <c r="AB54" s="84">
        <v>45887</v>
      </c>
      <c r="AC54" s="86" t="s">
        <v>377</v>
      </c>
      <c r="AD54" s="98">
        <f t="shared" si="3"/>
        <v>4</v>
      </c>
      <c r="AE54" s="76">
        <v>7</v>
      </c>
      <c r="AF54" s="99">
        <f t="shared" si="6"/>
        <v>0</v>
      </c>
      <c r="AG54" s="77">
        <v>200</v>
      </c>
      <c r="AH54" s="10">
        <f t="shared" si="0"/>
        <v>0</v>
      </c>
      <c r="AI54" s="98">
        <f t="shared" si="4"/>
        <v>1</v>
      </c>
      <c r="AJ54" s="76">
        <v>2</v>
      </c>
      <c r="AK54" s="99">
        <f t="shared" si="5"/>
        <v>0</v>
      </c>
      <c r="AL54" s="77">
        <v>200</v>
      </c>
      <c r="AM54" s="10">
        <f t="shared" si="1"/>
        <v>0</v>
      </c>
      <c r="AN54" s="77">
        <v>0</v>
      </c>
      <c r="AO54" s="78">
        <f t="shared" si="7"/>
        <v>0</v>
      </c>
      <c r="AQ54" s="30"/>
      <c r="AR54" s="30"/>
      <c r="AS54" s="30"/>
      <c r="AT54" s="30"/>
    </row>
    <row r="55" spans="1:46">
      <c r="A55" s="2">
        <f t="shared" si="2"/>
        <v>52</v>
      </c>
      <c r="B55" s="68">
        <v>696066666</v>
      </c>
      <c r="C55" s="84" t="s">
        <v>523</v>
      </c>
      <c r="D55" s="84" t="s">
        <v>524</v>
      </c>
      <c r="E55" s="84" t="s">
        <v>525</v>
      </c>
      <c r="F55" s="84" t="s">
        <v>373</v>
      </c>
      <c r="G55" s="84" t="s">
        <v>81</v>
      </c>
      <c r="H55" s="68">
        <v>24</v>
      </c>
      <c r="I55" s="68">
        <v>30000</v>
      </c>
      <c r="J55" s="89">
        <v>30060</v>
      </c>
      <c r="K55" s="68" t="s">
        <v>92</v>
      </c>
      <c r="L55" s="68" t="s">
        <v>18</v>
      </c>
      <c r="M55" s="84">
        <v>45729</v>
      </c>
      <c r="N55" s="84" t="s">
        <v>96</v>
      </c>
      <c r="O55" s="85" t="s">
        <v>97</v>
      </c>
      <c r="P55" s="84">
        <v>45733</v>
      </c>
      <c r="Q55" s="84">
        <v>45733</v>
      </c>
      <c r="R55" s="84">
        <v>45763</v>
      </c>
      <c r="S55" s="84">
        <v>45864</v>
      </c>
      <c r="T55" s="84">
        <v>45868</v>
      </c>
      <c r="U55" s="84">
        <v>45872</v>
      </c>
      <c r="V55" s="84">
        <v>45874</v>
      </c>
      <c r="W55" s="84">
        <v>45877</v>
      </c>
      <c r="X55" s="84">
        <v>45879</v>
      </c>
      <c r="Y55" s="84">
        <v>45879</v>
      </c>
      <c r="Z55" s="84">
        <v>45880</v>
      </c>
      <c r="AA55" s="84">
        <v>45880</v>
      </c>
      <c r="AB55" s="84">
        <v>45882</v>
      </c>
      <c r="AC55" s="86" t="s">
        <v>377</v>
      </c>
      <c r="AD55" s="98">
        <f t="shared" si="3"/>
        <v>2</v>
      </c>
      <c r="AE55" s="76">
        <v>7</v>
      </c>
      <c r="AF55" s="99">
        <f t="shared" si="6"/>
        <v>0</v>
      </c>
      <c r="AG55" s="77">
        <v>200</v>
      </c>
      <c r="AH55" s="10">
        <f t="shared" si="0"/>
        <v>0</v>
      </c>
      <c r="AI55" s="98">
        <f t="shared" si="4"/>
        <v>2</v>
      </c>
      <c r="AJ55" s="76">
        <v>2</v>
      </c>
      <c r="AK55" s="99">
        <f t="shared" si="5"/>
        <v>0</v>
      </c>
      <c r="AL55" s="77">
        <v>200</v>
      </c>
      <c r="AM55" s="10">
        <f t="shared" si="1"/>
        <v>0</v>
      </c>
      <c r="AN55" s="77">
        <v>0</v>
      </c>
      <c r="AO55" s="78">
        <f t="shared" si="7"/>
        <v>0</v>
      </c>
      <c r="AQ55" s="30"/>
      <c r="AR55" s="30"/>
      <c r="AS55" s="30"/>
      <c r="AT55" s="30"/>
    </row>
    <row r="56" spans="1:46">
      <c r="A56" s="2">
        <f t="shared" si="2"/>
        <v>53</v>
      </c>
      <c r="B56" s="68">
        <v>696066666</v>
      </c>
      <c r="C56" s="84" t="s">
        <v>526</v>
      </c>
      <c r="D56" s="84" t="s">
        <v>527</v>
      </c>
      <c r="E56" s="84" t="s">
        <v>482</v>
      </c>
      <c r="F56" s="84" t="s">
        <v>373</v>
      </c>
      <c r="G56" s="84" t="s">
        <v>81</v>
      </c>
      <c r="H56" s="68">
        <v>24</v>
      </c>
      <c r="I56" s="68">
        <v>30000</v>
      </c>
      <c r="J56" s="89">
        <v>30060</v>
      </c>
      <c r="K56" s="68" t="s">
        <v>92</v>
      </c>
      <c r="L56" s="68" t="s">
        <v>18</v>
      </c>
      <c r="M56" s="84">
        <v>45729</v>
      </c>
      <c r="N56" s="84" t="s">
        <v>96</v>
      </c>
      <c r="O56" s="85" t="s">
        <v>97</v>
      </c>
      <c r="P56" s="84">
        <v>45733</v>
      </c>
      <c r="Q56" s="84">
        <v>45733</v>
      </c>
      <c r="R56" s="84">
        <v>45763</v>
      </c>
      <c r="S56" s="84">
        <v>45864</v>
      </c>
      <c r="T56" s="84">
        <v>45868</v>
      </c>
      <c r="U56" s="84">
        <v>45872</v>
      </c>
      <c r="V56" s="84">
        <v>45874</v>
      </c>
      <c r="W56" s="84">
        <v>45877</v>
      </c>
      <c r="X56" s="84">
        <v>45879</v>
      </c>
      <c r="Y56" s="84">
        <v>45879</v>
      </c>
      <c r="Z56" s="84">
        <v>45880</v>
      </c>
      <c r="AA56" s="84">
        <v>45880</v>
      </c>
      <c r="AB56" s="84">
        <v>45882</v>
      </c>
      <c r="AC56" s="86" t="s">
        <v>377</v>
      </c>
      <c r="AD56" s="98">
        <f t="shared" si="3"/>
        <v>2</v>
      </c>
      <c r="AE56" s="76">
        <v>7</v>
      </c>
      <c r="AF56" s="99">
        <f t="shared" si="6"/>
        <v>0</v>
      </c>
      <c r="AG56" s="77">
        <v>200</v>
      </c>
      <c r="AH56" s="10">
        <f t="shared" si="0"/>
        <v>0</v>
      </c>
      <c r="AI56" s="98">
        <f t="shared" si="4"/>
        <v>2</v>
      </c>
      <c r="AJ56" s="76">
        <v>2</v>
      </c>
      <c r="AK56" s="99">
        <f t="shared" si="5"/>
        <v>0</v>
      </c>
      <c r="AL56" s="77">
        <v>200</v>
      </c>
      <c r="AM56" s="10">
        <f t="shared" si="1"/>
        <v>0</v>
      </c>
      <c r="AN56" s="77">
        <v>0</v>
      </c>
      <c r="AO56" s="78">
        <f t="shared" si="7"/>
        <v>0</v>
      </c>
      <c r="AQ56" s="30"/>
      <c r="AR56" s="30"/>
      <c r="AS56" s="30"/>
      <c r="AT56" s="30"/>
    </row>
    <row r="57" spans="1:46">
      <c r="A57" s="2">
        <f t="shared" si="2"/>
        <v>54</v>
      </c>
      <c r="B57" s="68">
        <v>696066666</v>
      </c>
      <c r="C57" s="84" t="s">
        <v>528</v>
      </c>
      <c r="D57" s="84" t="s">
        <v>529</v>
      </c>
      <c r="E57" s="84" t="s">
        <v>530</v>
      </c>
      <c r="F57" s="84" t="s">
        <v>373</v>
      </c>
      <c r="G57" s="84" t="s">
        <v>81</v>
      </c>
      <c r="H57" s="68">
        <v>28</v>
      </c>
      <c r="I57" s="68">
        <v>35000</v>
      </c>
      <c r="J57" s="89">
        <v>35070</v>
      </c>
      <c r="K57" s="68" t="s">
        <v>92</v>
      </c>
      <c r="L57" s="68" t="s">
        <v>18</v>
      </c>
      <c r="M57" s="84">
        <v>45729</v>
      </c>
      <c r="N57" s="84" t="s">
        <v>96</v>
      </c>
      <c r="O57" s="85" t="s">
        <v>97</v>
      </c>
      <c r="P57" s="84">
        <v>45733</v>
      </c>
      <c r="Q57" s="84">
        <v>45733</v>
      </c>
      <c r="R57" s="84">
        <v>45763</v>
      </c>
      <c r="S57" s="84">
        <v>45864</v>
      </c>
      <c r="T57" s="84">
        <v>45869</v>
      </c>
      <c r="U57" s="84">
        <v>45872</v>
      </c>
      <c r="V57" s="84">
        <v>45877</v>
      </c>
      <c r="W57" s="84">
        <v>45880</v>
      </c>
      <c r="X57" s="84">
        <v>45883</v>
      </c>
      <c r="Y57" s="84">
        <v>45883</v>
      </c>
      <c r="Z57" s="84">
        <v>45884</v>
      </c>
      <c r="AA57" s="84">
        <v>45884</v>
      </c>
      <c r="AB57" s="84">
        <v>45887</v>
      </c>
      <c r="AC57" s="86" t="s">
        <v>377</v>
      </c>
      <c r="AD57" s="98">
        <f t="shared" si="3"/>
        <v>3</v>
      </c>
      <c r="AE57" s="76">
        <v>7</v>
      </c>
      <c r="AF57" s="99">
        <f t="shared" si="6"/>
        <v>0</v>
      </c>
      <c r="AG57" s="77">
        <v>200</v>
      </c>
      <c r="AH57" s="10">
        <f t="shared" si="0"/>
        <v>0</v>
      </c>
      <c r="AI57" s="98">
        <f t="shared" si="4"/>
        <v>3</v>
      </c>
      <c r="AJ57" s="76">
        <v>2</v>
      </c>
      <c r="AK57" s="99">
        <f t="shared" si="5"/>
        <v>1</v>
      </c>
      <c r="AL57" s="77">
        <v>200</v>
      </c>
      <c r="AM57" s="10">
        <f t="shared" si="1"/>
        <v>200</v>
      </c>
      <c r="AN57" s="77">
        <v>0</v>
      </c>
      <c r="AO57" s="78">
        <f t="shared" si="7"/>
        <v>200</v>
      </c>
      <c r="AQ57" s="30"/>
      <c r="AR57" s="30"/>
      <c r="AS57" s="30"/>
      <c r="AT57" s="30"/>
    </row>
    <row r="58" spans="1:46">
      <c r="A58" s="2">
        <f t="shared" si="2"/>
        <v>55</v>
      </c>
      <c r="B58" s="68">
        <v>696066666</v>
      </c>
      <c r="C58" s="80" t="s">
        <v>531</v>
      </c>
      <c r="D58" s="80" t="s">
        <v>532</v>
      </c>
      <c r="E58" s="68" t="s">
        <v>533</v>
      </c>
      <c r="F58" s="81" t="s">
        <v>483</v>
      </c>
      <c r="G58" s="84" t="s">
        <v>81</v>
      </c>
      <c r="H58" s="68">
        <v>27</v>
      </c>
      <c r="I58" s="68">
        <v>33750</v>
      </c>
      <c r="J58" s="87">
        <v>33818</v>
      </c>
      <c r="K58" s="68" t="s">
        <v>92</v>
      </c>
      <c r="L58" s="68" t="s">
        <v>18</v>
      </c>
      <c r="M58" s="84">
        <v>45729</v>
      </c>
      <c r="N58" s="84" t="s">
        <v>96</v>
      </c>
      <c r="O58" s="85" t="s">
        <v>97</v>
      </c>
      <c r="P58" s="84">
        <v>45733</v>
      </c>
      <c r="Q58" s="84">
        <v>45733</v>
      </c>
      <c r="R58" s="84">
        <v>45763</v>
      </c>
      <c r="S58" s="84">
        <v>45871</v>
      </c>
      <c r="T58" s="84">
        <v>45873</v>
      </c>
      <c r="U58" s="84">
        <v>45876</v>
      </c>
      <c r="V58" s="84">
        <v>45878</v>
      </c>
      <c r="W58" s="84">
        <v>45880</v>
      </c>
      <c r="X58" s="84">
        <v>45885</v>
      </c>
      <c r="Y58" s="84">
        <v>45886</v>
      </c>
      <c r="Z58" s="84">
        <v>45886</v>
      </c>
      <c r="AA58" s="84">
        <v>45886</v>
      </c>
      <c r="AB58" s="84">
        <v>45887</v>
      </c>
      <c r="AC58" s="86" t="s">
        <v>377</v>
      </c>
      <c r="AD58" s="98">
        <f t="shared" si="3"/>
        <v>5</v>
      </c>
      <c r="AE58" s="76">
        <v>7</v>
      </c>
      <c r="AF58" s="99">
        <f t="shared" si="6"/>
        <v>0</v>
      </c>
      <c r="AG58" s="77">
        <v>200</v>
      </c>
      <c r="AH58" s="10">
        <f t="shared" si="0"/>
        <v>0</v>
      </c>
      <c r="AI58" s="98">
        <f t="shared" si="4"/>
        <v>1</v>
      </c>
      <c r="AJ58" s="76">
        <v>2</v>
      </c>
      <c r="AK58" s="99">
        <f t="shared" si="5"/>
        <v>0</v>
      </c>
      <c r="AL58" s="77">
        <v>200</v>
      </c>
      <c r="AM58" s="10">
        <f t="shared" si="1"/>
        <v>0</v>
      </c>
      <c r="AN58" s="77">
        <v>0</v>
      </c>
      <c r="AO58" s="78">
        <f t="shared" si="7"/>
        <v>0</v>
      </c>
      <c r="AQ58" s="30"/>
      <c r="AR58" s="30"/>
      <c r="AS58" s="30"/>
      <c r="AT58" s="30"/>
    </row>
    <row r="59" spans="1:46">
      <c r="A59" s="2">
        <f t="shared" si="2"/>
        <v>56</v>
      </c>
      <c r="B59" s="68">
        <v>696066666</v>
      </c>
      <c r="C59" s="80" t="s">
        <v>534</v>
      </c>
      <c r="D59" s="80" t="s">
        <v>535</v>
      </c>
      <c r="E59" s="81" t="s">
        <v>536</v>
      </c>
      <c r="F59" s="81" t="s">
        <v>483</v>
      </c>
      <c r="G59" s="84" t="s">
        <v>81</v>
      </c>
      <c r="H59" s="68">
        <v>28</v>
      </c>
      <c r="I59" s="68">
        <v>35000</v>
      </c>
      <c r="J59" s="87">
        <v>35070</v>
      </c>
      <c r="K59" s="68" t="s">
        <v>92</v>
      </c>
      <c r="L59" s="68" t="s">
        <v>18</v>
      </c>
      <c r="M59" s="84">
        <v>45729</v>
      </c>
      <c r="N59" s="84" t="s">
        <v>96</v>
      </c>
      <c r="O59" s="85" t="s">
        <v>97</v>
      </c>
      <c r="P59" s="84">
        <v>45733</v>
      </c>
      <c r="Q59" s="84">
        <v>45733</v>
      </c>
      <c r="R59" s="84">
        <v>45763</v>
      </c>
      <c r="S59" s="84">
        <v>45871</v>
      </c>
      <c r="T59" s="84">
        <v>45873</v>
      </c>
      <c r="U59" s="84">
        <v>45876</v>
      </c>
      <c r="V59" s="84">
        <v>45878</v>
      </c>
      <c r="W59" s="84">
        <v>45881</v>
      </c>
      <c r="X59" s="84">
        <v>45885</v>
      </c>
      <c r="Y59" s="84">
        <v>45886</v>
      </c>
      <c r="Z59" s="84">
        <v>45886</v>
      </c>
      <c r="AA59" s="84">
        <v>45886</v>
      </c>
      <c r="AB59" s="84">
        <v>45887</v>
      </c>
      <c r="AC59" s="86" t="s">
        <v>377</v>
      </c>
      <c r="AD59" s="98">
        <f t="shared" si="3"/>
        <v>4</v>
      </c>
      <c r="AE59" s="76">
        <v>7</v>
      </c>
      <c r="AF59" s="99">
        <f t="shared" si="6"/>
        <v>0</v>
      </c>
      <c r="AG59" s="77">
        <v>200</v>
      </c>
      <c r="AH59" s="10">
        <f t="shared" si="0"/>
        <v>0</v>
      </c>
      <c r="AI59" s="98">
        <f t="shared" si="4"/>
        <v>1</v>
      </c>
      <c r="AJ59" s="76">
        <v>2</v>
      </c>
      <c r="AK59" s="99">
        <f t="shared" si="5"/>
        <v>0</v>
      </c>
      <c r="AL59" s="77">
        <v>200</v>
      </c>
      <c r="AM59" s="10">
        <f t="shared" si="1"/>
        <v>0</v>
      </c>
      <c r="AN59" s="77">
        <v>0</v>
      </c>
      <c r="AO59" s="78">
        <f t="shared" si="7"/>
        <v>0</v>
      </c>
      <c r="AQ59" s="30"/>
      <c r="AR59" s="30"/>
      <c r="AS59" s="30"/>
      <c r="AT59" s="30"/>
    </row>
    <row r="60" spans="1:46">
      <c r="A60" s="2">
        <f t="shared" si="2"/>
        <v>57</v>
      </c>
      <c r="B60" s="68">
        <v>696066666</v>
      </c>
      <c r="C60" s="80" t="s">
        <v>537</v>
      </c>
      <c r="D60" s="80" t="s">
        <v>538</v>
      </c>
      <c r="E60" s="81" t="s">
        <v>539</v>
      </c>
      <c r="F60" s="81" t="s">
        <v>483</v>
      </c>
      <c r="G60" s="84" t="s">
        <v>81</v>
      </c>
      <c r="H60" s="68">
        <v>28</v>
      </c>
      <c r="I60" s="68">
        <v>35000</v>
      </c>
      <c r="J60" s="87">
        <v>35070</v>
      </c>
      <c r="K60" s="68" t="s">
        <v>92</v>
      </c>
      <c r="L60" s="68" t="s">
        <v>18</v>
      </c>
      <c r="M60" s="84">
        <v>45729</v>
      </c>
      <c r="N60" s="84" t="s">
        <v>96</v>
      </c>
      <c r="O60" s="85" t="s">
        <v>97</v>
      </c>
      <c r="P60" s="84">
        <v>45733</v>
      </c>
      <c r="Q60" s="84">
        <v>45733</v>
      </c>
      <c r="R60" s="84">
        <v>45763</v>
      </c>
      <c r="S60" s="84">
        <v>45871</v>
      </c>
      <c r="T60" s="84">
        <v>45873</v>
      </c>
      <c r="U60" s="84">
        <v>45876</v>
      </c>
      <c r="V60" s="84">
        <v>45878</v>
      </c>
      <c r="W60" s="84">
        <v>45880</v>
      </c>
      <c r="X60" s="84">
        <v>45885</v>
      </c>
      <c r="Y60" s="84">
        <v>45886</v>
      </c>
      <c r="Z60" s="84">
        <v>45886</v>
      </c>
      <c r="AA60" s="84">
        <v>45886</v>
      </c>
      <c r="AB60" s="84">
        <v>45887</v>
      </c>
      <c r="AC60" s="86" t="s">
        <v>377</v>
      </c>
      <c r="AD60" s="98">
        <f t="shared" si="3"/>
        <v>5</v>
      </c>
      <c r="AE60" s="76">
        <v>7</v>
      </c>
      <c r="AF60" s="99">
        <f t="shared" si="6"/>
        <v>0</v>
      </c>
      <c r="AG60" s="77">
        <v>200</v>
      </c>
      <c r="AH60" s="10">
        <f t="shared" si="0"/>
        <v>0</v>
      </c>
      <c r="AI60" s="98">
        <f t="shared" si="4"/>
        <v>1</v>
      </c>
      <c r="AJ60" s="76">
        <v>2</v>
      </c>
      <c r="AK60" s="99">
        <f t="shared" si="5"/>
        <v>0</v>
      </c>
      <c r="AL60" s="77">
        <v>200</v>
      </c>
      <c r="AM60" s="10">
        <f t="shared" si="1"/>
        <v>0</v>
      </c>
      <c r="AN60" s="77">
        <v>0</v>
      </c>
      <c r="AO60" s="78">
        <f t="shared" si="7"/>
        <v>0</v>
      </c>
      <c r="AQ60" s="30"/>
      <c r="AR60" s="30"/>
      <c r="AS60" s="30"/>
      <c r="AT60" s="30"/>
    </row>
    <row r="61" spans="1:46">
      <c r="A61" s="2">
        <f t="shared" si="2"/>
        <v>58</v>
      </c>
      <c r="B61" s="68">
        <v>696066666</v>
      </c>
      <c r="C61" s="80" t="s">
        <v>540</v>
      </c>
      <c r="D61" s="80" t="s">
        <v>219</v>
      </c>
      <c r="E61" s="93" t="s">
        <v>210</v>
      </c>
      <c r="F61" s="81" t="s">
        <v>483</v>
      </c>
      <c r="G61" s="84" t="s">
        <v>81</v>
      </c>
      <c r="H61" s="68">
        <v>28</v>
      </c>
      <c r="I61" s="68">
        <v>35000</v>
      </c>
      <c r="J61" s="87">
        <v>35070</v>
      </c>
      <c r="K61" s="68" t="s">
        <v>92</v>
      </c>
      <c r="L61" s="68" t="s">
        <v>18</v>
      </c>
      <c r="M61" s="84">
        <v>45729</v>
      </c>
      <c r="N61" s="84" t="s">
        <v>96</v>
      </c>
      <c r="O61" s="85" t="s">
        <v>97</v>
      </c>
      <c r="P61" s="84">
        <v>45733</v>
      </c>
      <c r="Q61" s="84">
        <v>45733</v>
      </c>
      <c r="R61" s="84">
        <v>45763</v>
      </c>
      <c r="S61" s="84">
        <v>45871</v>
      </c>
      <c r="T61" s="84">
        <v>45873</v>
      </c>
      <c r="U61" s="84">
        <v>45876</v>
      </c>
      <c r="V61" s="84">
        <v>45878</v>
      </c>
      <c r="W61" s="84">
        <v>45880</v>
      </c>
      <c r="X61" s="84">
        <v>45885</v>
      </c>
      <c r="Y61" s="84">
        <v>45886</v>
      </c>
      <c r="Z61" s="84">
        <v>45886</v>
      </c>
      <c r="AA61" s="84">
        <v>45886</v>
      </c>
      <c r="AB61" s="84">
        <v>45887</v>
      </c>
      <c r="AC61" s="86" t="s">
        <v>377</v>
      </c>
      <c r="AD61" s="98">
        <f t="shared" si="3"/>
        <v>5</v>
      </c>
      <c r="AE61" s="76">
        <v>7</v>
      </c>
      <c r="AF61" s="99">
        <f t="shared" si="6"/>
        <v>0</v>
      </c>
      <c r="AG61" s="77">
        <v>200</v>
      </c>
      <c r="AH61" s="10">
        <f t="shared" si="0"/>
        <v>0</v>
      </c>
      <c r="AI61" s="98">
        <f t="shared" si="4"/>
        <v>1</v>
      </c>
      <c r="AJ61" s="76">
        <v>2</v>
      </c>
      <c r="AK61" s="99">
        <f t="shared" si="5"/>
        <v>0</v>
      </c>
      <c r="AL61" s="77">
        <v>200</v>
      </c>
      <c r="AM61" s="10">
        <f t="shared" si="1"/>
        <v>0</v>
      </c>
      <c r="AN61" s="77">
        <v>0</v>
      </c>
      <c r="AO61" s="78">
        <f t="shared" si="7"/>
        <v>0</v>
      </c>
      <c r="AQ61" s="30"/>
      <c r="AR61" s="30"/>
      <c r="AS61" s="30"/>
      <c r="AT61" s="30"/>
    </row>
    <row r="62" spans="1:46">
      <c r="A62" s="2">
        <f t="shared" si="2"/>
        <v>59</v>
      </c>
      <c r="B62" s="68">
        <v>696066666</v>
      </c>
      <c r="C62" s="80" t="s">
        <v>541</v>
      </c>
      <c r="D62" s="80" t="s">
        <v>542</v>
      </c>
      <c r="E62" s="68" t="s">
        <v>543</v>
      </c>
      <c r="F62" s="81" t="s">
        <v>483</v>
      </c>
      <c r="G62" s="84" t="s">
        <v>81</v>
      </c>
      <c r="H62" s="68">
        <v>28</v>
      </c>
      <c r="I62" s="68">
        <v>35000</v>
      </c>
      <c r="J62" s="87">
        <v>35070</v>
      </c>
      <c r="K62" s="68" t="s">
        <v>92</v>
      </c>
      <c r="L62" s="68" t="s">
        <v>18</v>
      </c>
      <c r="M62" s="84">
        <v>45729</v>
      </c>
      <c r="N62" s="84" t="s">
        <v>96</v>
      </c>
      <c r="O62" s="85" t="s">
        <v>97</v>
      </c>
      <c r="P62" s="84">
        <v>45733</v>
      </c>
      <c r="Q62" s="84">
        <v>45733</v>
      </c>
      <c r="R62" s="84">
        <v>45763</v>
      </c>
      <c r="S62" s="84">
        <v>45871</v>
      </c>
      <c r="T62" s="84">
        <v>45873</v>
      </c>
      <c r="U62" s="84">
        <v>45876</v>
      </c>
      <c r="V62" s="84">
        <v>45878</v>
      </c>
      <c r="W62" s="84">
        <v>45883</v>
      </c>
      <c r="X62" s="84">
        <v>45885</v>
      </c>
      <c r="Y62" s="84">
        <v>45886</v>
      </c>
      <c r="Z62" s="84">
        <v>45886</v>
      </c>
      <c r="AA62" s="84">
        <v>45886</v>
      </c>
      <c r="AB62" s="84">
        <v>45887</v>
      </c>
      <c r="AC62" s="86" t="s">
        <v>377</v>
      </c>
      <c r="AD62" s="98">
        <f t="shared" si="3"/>
        <v>2</v>
      </c>
      <c r="AE62" s="76">
        <v>7</v>
      </c>
      <c r="AF62" s="99">
        <f t="shared" si="6"/>
        <v>0</v>
      </c>
      <c r="AG62" s="77">
        <v>200</v>
      </c>
      <c r="AH62" s="10">
        <f t="shared" si="0"/>
        <v>0</v>
      </c>
      <c r="AI62" s="98">
        <f t="shared" si="4"/>
        <v>1</v>
      </c>
      <c r="AJ62" s="76">
        <v>2</v>
      </c>
      <c r="AK62" s="99">
        <f t="shared" si="5"/>
        <v>0</v>
      </c>
      <c r="AL62" s="77">
        <v>200</v>
      </c>
      <c r="AM62" s="10">
        <f t="shared" si="1"/>
        <v>0</v>
      </c>
      <c r="AN62" s="77">
        <v>0</v>
      </c>
      <c r="AO62" s="78">
        <f t="shared" si="7"/>
        <v>0</v>
      </c>
      <c r="AQ62" s="30"/>
      <c r="AR62" s="30"/>
      <c r="AS62" s="30"/>
      <c r="AT62" s="30"/>
    </row>
    <row r="63" spans="1:46">
      <c r="A63" s="2">
        <f t="shared" si="2"/>
        <v>60</v>
      </c>
      <c r="B63" s="68">
        <v>696066666</v>
      </c>
      <c r="C63" s="84" t="s">
        <v>544</v>
      </c>
      <c r="D63" s="84" t="s">
        <v>545</v>
      </c>
      <c r="E63" s="84" t="s">
        <v>546</v>
      </c>
      <c r="F63" s="84" t="s">
        <v>373</v>
      </c>
      <c r="G63" s="84" t="s">
        <v>81</v>
      </c>
      <c r="H63" s="68">
        <v>29</v>
      </c>
      <c r="I63" s="68">
        <v>36250</v>
      </c>
      <c r="J63" s="68">
        <v>36323</v>
      </c>
      <c r="K63" s="68" t="s">
        <v>92</v>
      </c>
      <c r="L63" s="68" t="s">
        <v>18</v>
      </c>
      <c r="M63" s="84">
        <v>45729</v>
      </c>
      <c r="N63" s="84" t="s">
        <v>96</v>
      </c>
      <c r="O63" s="85" t="s">
        <v>97</v>
      </c>
      <c r="P63" s="84">
        <v>45733</v>
      </c>
      <c r="Q63" s="84">
        <v>45733</v>
      </c>
      <c r="R63" s="84">
        <v>45763</v>
      </c>
      <c r="S63" s="84">
        <v>45864</v>
      </c>
      <c r="T63" s="84">
        <v>45869</v>
      </c>
      <c r="U63" s="84">
        <v>45872</v>
      </c>
      <c r="V63" s="84">
        <v>45877</v>
      </c>
      <c r="W63" s="84">
        <v>45880</v>
      </c>
      <c r="X63" s="84">
        <v>45883</v>
      </c>
      <c r="Y63" s="84">
        <v>45883</v>
      </c>
      <c r="Z63" s="84">
        <v>45884</v>
      </c>
      <c r="AA63" s="84">
        <v>45885</v>
      </c>
      <c r="AB63" s="84">
        <v>45887</v>
      </c>
      <c r="AC63" s="86" t="s">
        <v>377</v>
      </c>
      <c r="AD63" s="98">
        <f t="shared" si="3"/>
        <v>3</v>
      </c>
      <c r="AE63" s="76">
        <v>7</v>
      </c>
      <c r="AF63" s="99">
        <f t="shared" si="6"/>
        <v>0</v>
      </c>
      <c r="AG63" s="77">
        <v>200</v>
      </c>
      <c r="AH63" s="10">
        <f t="shared" si="0"/>
        <v>0</v>
      </c>
      <c r="AI63" s="98">
        <f t="shared" si="4"/>
        <v>2</v>
      </c>
      <c r="AJ63" s="76">
        <v>2</v>
      </c>
      <c r="AK63" s="99">
        <f t="shared" si="5"/>
        <v>0</v>
      </c>
      <c r="AL63" s="77">
        <v>200</v>
      </c>
      <c r="AM63" s="10">
        <f t="shared" si="1"/>
        <v>0</v>
      </c>
      <c r="AN63" s="77">
        <v>0</v>
      </c>
      <c r="AO63" s="78">
        <f t="shared" si="7"/>
        <v>0</v>
      </c>
      <c r="AQ63" s="30"/>
      <c r="AR63" s="30"/>
      <c r="AS63" s="30"/>
      <c r="AT63" s="30"/>
    </row>
    <row r="64" spans="1:46">
      <c r="A64" s="2">
        <f t="shared" si="2"/>
        <v>61</v>
      </c>
      <c r="B64" s="68">
        <v>696066666</v>
      </c>
      <c r="C64" s="84" t="s">
        <v>547</v>
      </c>
      <c r="D64" s="84" t="s">
        <v>548</v>
      </c>
      <c r="E64" s="84" t="s">
        <v>549</v>
      </c>
      <c r="F64" s="84" t="s">
        <v>373</v>
      </c>
      <c r="G64" s="84" t="s">
        <v>81</v>
      </c>
      <c r="H64" s="68">
        <v>29</v>
      </c>
      <c r="I64" s="68">
        <v>36250</v>
      </c>
      <c r="J64" s="68">
        <v>36323</v>
      </c>
      <c r="K64" s="68" t="s">
        <v>92</v>
      </c>
      <c r="L64" s="68" t="s">
        <v>18</v>
      </c>
      <c r="M64" s="84">
        <v>45729</v>
      </c>
      <c r="N64" s="84" t="s">
        <v>96</v>
      </c>
      <c r="O64" s="85" t="s">
        <v>97</v>
      </c>
      <c r="P64" s="84">
        <v>45733</v>
      </c>
      <c r="Q64" s="84">
        <v>45733</v>
      </c>
      <c r="R64" s="84">
        <v>45763</v>
      </c>
      <c r="S64" s="84">
        <v>45864</v>
      </c>
      <c r="T64" s="84">
        <v>45869</v>
      </c>
      <c r="U64" s="84">
        <v>45872</v>
      </c>
      <c r="V64" s="84">
        <v>45879</v>
      </c>
      <c r="W64" s="84">
        <v>45882</v>
      </c>
      <c r="X64" s="84">
        <v>45884</v>
      </c>
      <c r="Y64" s="84">
        <v>45884</v>
      </c>
      <c r="Z64" s="84">
        <v>45884</v>
      </c>
      <c r="AA64" s="84">
        <v>45886</v>
      </c>
      <c r="AB64" s="84">
        <v>45887</v>
      </c>
      <c r="AC64" s="86" t="s">
        <v>377</v>
      </c>
      <c r="AD64" s="98">
        <f t="shared" si="3"/>
        <v>2</v>
      </c>
      <c r="AE64" s="76">
        <v>7</v>
      </c>
      <c r="AF64" s="99">
        <f t="shared" si="6"/>
        <v>0</v>
      </c>
      <c r="AG64" s="77">
        <v>200</v>
      </c>
      <c r="AH64" s="10">
        <f t="shared" si="0"/>
        <v>0</v>
      </c>
      <c r="AI64" s="98">
        <f t="shared" si="4"/>
        <v>1</v>
      </c>
      <c r="AJ64" s="76">
        <v>2</v>
      </c>
      <c r="AK64" s="99">
        <f t="shared" si="5"/>
        <v>0</v>
      </c>
      <c r="AL64" s="77">
        <v>200</v>
      </c>
      <c r="AM64" s="10">
        <f t="shared" si="1"/>
        <v>0</v>
      </c>
      <c r="AN64" s="77">
        <v>0</v>
      </c>
      <c r="AO64" s="78">
        <f t="shared" si="7"/>
        <v>0</v>
      </c>
      <c r="AQ64" s="30"/>
      <c r="AR64" s="30"/>
      <c r="AS64" s="30"/>
      <c r="AT64" s="30"/>
    </row>
    <row r="65" spans="1:46">
      <c r="A65" s="2">
        <f t="shared" si="2"/>
        <v>62</v>
      </c>
      <c r="B65" s="68">
        <v>696066666</v>
      </c>
      <c r="C65" s="84" t="s">
        <v>224</v>
      </c>
      <c r="D65" s="84" t="s">
        <v>550</v>
      </c>
      <c r="E65" s="84" t="s">
        <v>551</v>
      </c>
      <c r="F65" s="84" t="s">
        <v>373</v>
      </c>
      <c r="G65" s="84" t="s">
        <v>81</v>
      </c>
      <c r="H65" s="68">
        <v>28</v>
      </c>
      <c r="I65" s="68">
        <v>35000</v>
      </c>
      <c r="J65" s="68">
        <v>35070</v>
      </c>
      <c r="K65" s="68" t="s">
        <v>92</v>
      </c>
      <c r="L65" s="68" t="s">
        <v>18</v>
      </c>
      <c r="M65" s="84">
        <v>45729</v>
      </c>
      <c r="N65" s="84" t="s">
        <v>96</v>
      </c>
      <c r="O65" s="85" t="s">
        <v>97</v>
      </c>
      <c r="P65" s="84">
        <v>45733</v>
      </c>
      <c r="Q65" s="84">
        <v>45733</v>
      </c>
      <c r="R65" s="84">
        <v>45763</v>
      </c>
      <c r="S65" s="84">
        <v>45863</v>
      </c>
      <c r="T65" s="84">
        <v>45864</v>
      </c>
      <c r="U65" s="84">
        <v>45868</v>
      </c>
      <c r="V65" s="84">
        <v>45876</v>
      </c>
      <c r="W65" s="84">
        <v>45878</v>
      </c>
      <c r="X65" s="84">
        <v>45880</v>
      </c>
      <c r="Y65" s="84">
        <v>45880</v>
      </c>
      <c r="Z65" s="84">
        <v>45883</v>
      </c>
      <c r="AA65" s="84">
        <v>45883</v>
      </c>
      <c r="AB65" s="84">
        <v>45884</v>
      </c>
      <c r="AC65" s="86" t="s">
        <v>377</v>
      </c>
      <c r="AD65" s="98">
        <f t="shared" si="3"/>
        <v>2</v>
      </c>
      <c r="AE65" s="76">
        <v>7</v>
      </c>
      <c r="AF65" s="99">
        <f t="shared" si="6"/>
        <v>0</v>
      </c>
      <c r="AG65" s="77">
        <v>200</v>
      </c>
      <c r="AH65" s="10">
        <f t="shared" si="0"/>
        <v>0</v>
      </c>
      <c r="AI65" s="98">
        <f t="shared" si="4"/>
        <v>1</v>
      </c>
      <c r="AJ65" s="76">
        <v>2</v>
      </c>
      <c r="AK65" s="99">
        <f t="shared" si="5"/>
        <v>0</v>
      </c>
      <c r="AL65" s="77">
        <v>200</v>
      </c>
      <c r="AM65" s="10">
        <f t="shared" si="1"/>
        <v>0</v>
      </c>
      <c r="AN65" s="77">
        <v>0</v>
      </c>
      <c r="AO65" s="78">
        <f t="shared" si="7"/>
        <v>0</v>
      </c>
      <c r="AQ65" s="30"/>
      <c r="AR65" s="30"/>
      <c r="AS65" s="30"/>
      <c r="AT65" s="30"/>
    </row>
    <row r="66" spans="1:46">
      <c r="A66" s="2">
        <f t="shared" si="2"/>
        <v>63</v>
      </c>
      <c r="B66" s="68">
        <v>696066666</v>
      </c>
      <c r="C66" s="84" t="s">
        <v>552</v>
      </c>
      <c r="D66" s="84" t="s">
        <v>553</v>
      </c>
      <c r="E66" s="84" t="s">
        <v>554</v>
      </c>
      <c r="F66" s="84" t="s">
        <v>373</v>
      </c>
      <c r="G66" s="84" t="s">
        <v>81</v>
      </c>
      <c r="H66" s="68">
        <v>28</v>
      </c>
      <c r="I66" s="68">
        <v>35000</v>
      </c>
      <c r="J66" s="68">
        <v>35070</v>
      </c>
      <c r="K66" s="68" t="s">
        <v>92</v>
      </c>
      <c r="L66" s="68" t="s">
        <v>18</v>
      </c>
      <c r="M66" s="84">
        <v>45729</v>
      </c>
      <c r="N66" s="84" t="s">
        <v>96</v>
      </c>
      <c r="O66" s="85" t="s">
        <v>97</v>
      </c>
      <c r="P66" s="84">
        <v>45733</v>
      </c>
      <c r="Q66" s="84">
        <v>45733</v>
      </c>
      <c r="R66" s="84">
        <v>45763</v>
      </c>
      <c r="S66" s="84">
        <v>45864</v>
      </c>
      <c r="T66" s="84">
        <v>45868</v>
      </c>
      <c r="U66" s="84">
        <v>45871</v>
      </c>
      <c r="V66" s="84">
        <v>45873</v>
      </c>
      <c r="W66" s="84">
        <v>45876</v>
      </c>
      <c r="X66" s="84">
        <v>45880</v>
      </c>
      <c r="Y66" s="84">
        <v>45880</v>
      </c>
      <c r="Z66" s="84">
        <v>45883</v>
      </c>
      <c r="AA66" s="84">
        <v>45883</v>
      </c>
      <c r="AB66" s="84">
        <v>45885</v>
      </c>
      <c r="AC66" s="86" t="s">
        <v>377</v>
      </c>
      <c r="AD66" s="98">
        <f t="shared" si="3"/>
        <v>4</v>
      </c>
      <c r="AE66" s="76">
        <v>7</v>
      </c>
      <c r="AF66" s="99">
        <f t="shared" si="6"/>
        <v>0</v>
      </c>
      <c r="AG66" s="77">
        <v>200</v>
      </c>
      <c r="AH66" s="10">
        <f t="shared" si="0"/>
        <v>0</v>
      </c>
      <c r="AI66" s="98">
        <f t="shared" si="4"/>
        <v>2</v>
      </c>
      <c r="AJ66" s="76">
        <v>2</v>
      </c>
      <c r="AK66" s="99">
        <f t="shared" si="5"/>
        <v>0</v>
      </c>
      <c r="AL66" s="77">
        <v>200</v>
      </c>
      <c r="AM66" s="10">
        <f t="shared" si="1"/>
        <v>0</v>
      </c>
      <c r="AN66" s="77">
        <v>0</v>
      </c>
      <c r="AO66" s="78">
        <f t="shared" si="7"/>
        <v>0</v>
      </c>
      <c r="AQ66" s="30"/>
      <c r="AR66" s="30"/>
      <c r="AS66" s="30"/>
      <c r="AT66" s="30"/>
    </row>
    <row r="67" spans="1:46">
      <c r="A67" s="2">
        <f t="shared" si="2"/>
        <v>64</v>
      </c>
      <c r="B67" s="68">
        <v>696066666</v>
      </c>
      <c r="C67" s="84" t="s">
        <v>555</v>
      </c>
      <c r="D67" s="84" t="s">
        <v>556</v>
      </c>
      <c r="E67" s="84" t="s">
        <v>557</v>
      </c>
      <c r="F67" s="84" t="s">
        <v>373</v>
      </c>
      <c r="G67" s="84" t="s">
        <v>81</v>
      </c>
      <c r="H67" s="68">
        <v>28</v>
      </c>
      <c r="I67" s="68">
        <v>35000</v>
      </c>
      <c r="J67" s="68">
        <v>35070</v>
      </c>
      <c r="K67" s="68" t="s">
        <v>92</v>
      </c>
      <c r="L67" s="68" t="s">
        <v>18</v>
      </c>
      <c r="M67" s="84">
        <v>45729</v>
      </c>
      <c r="N67" s="84" t="s">
        <v>96</v>
      </c>
      <c r="O67" s="85" t="s">
        <v>97</v>
      </c>
      <c r="P67" s="84">
        <v>45733</v>
      </c>
      <c r="Q67" s="84">
        <v>45733</v>
      </c>
      <c r="R67" s="84">
        <v>45763</v>
      </c>
      <c r="S67" s="84">
        <v>45864</v>
      </c>
      <c r="T67" s="84">
        <v>45868</v>
      </c>
      <c r="U67" s="84">
        <v>45871</v>
      </c>
      <c r="V67" s="84">
        <v>45873</v>
      </c>
      <c r="W67" s="84">
        <v>45876</v>
      </c>
      <c r="X67" s="84">
        <v>45880</v>
      </c>
      <c r="Y67" s="84">
        <v>45880</v>
      </c>
      <c r="Z67" s="84">
        <v>45883</v>
      </c>
      <c r="AA67" s="84">
        <v>45883</v>
      </c>
      <c r="AB67" s="84">
        <v>45885</v>
      </c>
      <c r="AC67" s="86" t="s">
        <v>377</v>
      </c>
      <c r="AD67" s="98">
        <f t="shared" si="3"/>
        <v>4</v>
      </c>
      <c r="AE67" s="76">
        <v>7</v>
      </c>
      <c r="AF67" s="99">
        <f t="shared" si="6"/>
        <v>0</v>
      </c>
      <c r="AG67" s="77">
        <v>200</v>
      </c>
      <c r="AH67" s="10">
        <f t="shared" si="0"/>
        <v>0</v>
      </c>
      <c r="AI67" s="98">
        <f t="shared" si="4"/>
        <v>2</v>
      </c>
      <c r="AJ67" s="76">
        <v>2</v>
      </c>
      <c r="AK67" s="99">
        <f t="shared" si="5"/>
        <v>0</v>
      </c>
      <c r="AL67" s="77">
        <v>200</v>
      </c>
      <c r="AM67" s="10">
        <f t="shared" si="1"/>
        <v>0</v>
      </c>
      <c r="AN67" s="77">
        <v>0</v>
      </c>
      <c r="AO67" s="78">
        <f t="shared" si="7"/>
        <v>0</v>
      </c>
      <c r="AQ67" s="30"/>
      <c r="AR67" s="30"/>
      <c r="AS67" s="30"/>
      <c r="AT67" s="30"/>
    </row>
    <row r="68" spans="1:46">
      <c r="A68" s="2">
        <f t="shared" si="2"/>
        <v>65</v>
      </c>
      <c r="B68" s="68">
        <v>696066666</v>
      </c>
      <c r="C68" s="84" t="s">
        <v>558</v>
      </c>
      <c r="D68" s="84" t="s">
        <v>559</v>
      </c>
      <c r="E68" s="84" t="s">
        <v>560</v>
      </c>
      <c r="F68" s="84" t="s">
        <v>373</v>
      </c>
      <c r="G68" s="84" t="s">
        <v>81</v>
      </c>
      <c r="H68" s="68">
        <v>29</v>
      </c>
      <c r="I68" s="68">
        <v>36250</v>
      </c>
      <c r="J68" s="68">
        <v>36323</v>
      </c>
      <c r="K68" s="68" t="s">
        <v>92</v>
      </c>
      <c r="L68" s="68" t="s">
        <v>18</v>
      </c>
      <c r="M68" s="84">
        <v>45729</v>
      </c>
      <c r="N68" s="84" t="s">
        <v>96</v>
      </c>
      <c r="O68" s="85" t="s">
        <v>97</v>
      </c>
      <c r="P68" s="84">
        <v>45733</v>
      </c>
      <c r="Q68" s="84">
        <v>45733</v>
      </c>
      <c r="R68" s="84">
        <v>45763</v>
      </c>
      <c r="S68" s="84">
        <v>45864</v>
      </c>
      <c r="T68" s="84">
        <v>45869</v>
      </c>
      <c r="U68" s="84">
        <v>45872</v>
      </c>
      <c r="V68" s="84">
        <v>45873</v>
      </c>
      <c r="W68" s="84">
        <v>45876</v>
      </c>
      <c r="X68" s="84">
        <v>45880</v>
      </c>
      <c r="Y68" s="84">
        <v>45880</v>
      </c>
      <c r="Z68" s="84">
        <v>45883</v>
      </c>
      <c r="AA68" s="84">
        <v>45883</v>
      </c>
      <c r="AB68" s="84">
        <v>45885</v>
      </c>
      <c r="AC68" s="86" t="s">
        <v>377</v>
      </c>
      <c r="AD68" s="98">
        <f t="shared" si="3"/>
        <v>4</v>
      </c>
      <c r="AE68" s="76">
        <v>7</v>
      </c>
      <c r="AF68" s="99">
        <f t="shared" si="6"/>
        <v>0</v>
      </c>
      <c r="AG68" s="77">
        <v>200</v>
      </c>
      <c r="AH68" s="10">
        <f t="shared" si="0"/>
        <v>0</v>
      </c>
      <c r="AI68" s="98">
        <f t="shared" si="4"/>
        <v>2</v>
      </c>
      <c r="AJ68" s="76">
        <v>2</v>
      </c>
      <c r="AK68" s="99">
        <f t="shared" si="5"/>
        <v>0</v>
      </c>
      <c r="AL68" s="77">
        <v>200</v>
      </c>
      <c r="AM68" s="10">
        <f t="shared" si="1"/>
        <v>0</v>
      </c>
      <c r="AN68" s="77">
        <v>0</v>
      </c>
      <c r="AO68" s="78">
        <f t="shared" si="7"/>
        <v>0</v>
      </c>
      <c r="AQ68" s="30"/>
      <c r="AR68" s="30"/>
      <c r="AS68" s="30"/>
      <c r="AT68" s="30"/>
    </row>
    <row r="69" spans="1:46">
      <c r="A69" s="2">
        <f t="shared" si="2"/>
        <v>66</v>
      </c>
      <c r="B69" s="68">
        <v>696066666</v>
      </c>
      <c r="C69" s="84" t="s">
        <v>561</v>
      </c>
      <c r="D69" s="84" t="s">
        <v>562</v>
      </c>
      <c r="E69" s="84" t="s">
        <v>563</v>
      </c>
      <c r="F69" s="84" t="s">
        <v>373</v>
      </c>
      <c r="G69" s="84" t="s">
        <v>81</v>
      </c>
      <c r="H69" s="68">
        <v>29</v>
      </c>
      <c r="I69" s="68">
        <v>36250</v>
      </c>
      <c r="J69" s="68">
        <v>36323</v>
      </c>
      <c r="K69" s="68" t="s">
        <v>92</v>
      </c>
      <c r="L69" s="68" t="s">
        <v>18</v>
      </c>
      <c r="M69" s="84">
        <v>45729</v>
      </c>
      <c r="N69" s="84" t="s">
        <v>96</v>
      </c>
      <c r="O69" s="85" t="s">
        <v>97</v>
      </c>
      <c r="P69" s="84">
        <v>45733</v>
      </c>
      <c r="Q69" s="84">
        <v>45733</v>
      </c>
      <c r="R69" s="84">
        <v>45763</v>
      </c>
      <c r="S69" s="84">
        <v>45864</v>
      </c>
      <c r="T69" s="84">
        <v>45869</v>
      </c>
      <c r="U69" s="84">
        <v>45872</v>
      </c>
      <c r="V69" s="84">
        <v>45873</v>
      </c>
      <c r="W69" s="84">
        <v>45876</v>
      </c>
      <c r="X69" s="84">
        <v>45880</v>
      </c>
      <c r="Y69" s="84">
        <v>45880</v>
      </c>
      <c r="Z69" s="84">
        <v>45883</v>
      </c>
      <c r="AA69" s="84">
        <v>45883</v>
      </c>
      <c r="AB69" s="84">
        <v>45885</v>
      </c>
      <c r="AC69" s="86" t="s">
        <v>377</v>
      </c>
      <c r="AD69" s="98">
        <f t="shared" si="3"/>
        <v>4</v>
      </c>
      <c r="AE69" s="76">
        <v>7</v>
      </c>
      <c r="AF69" s="99">
        <f t="shared" si="6"/>
        <v>0</v>
      </c>
      <c r="AG69" s="77">
        <v>200</v>
      </c>
      <c r="AH69" s="10">
        <f t="shared" ref="AH69:AH121" si="8">MAX(0,AF69*AG69)</f>
        <v>0</v>
      </c>
      <c r="AI69" s="98">
        <f t="shared" si="4"/>
        <v>2</v>
      </c>
      <c r="AJ69" s="76">
        <v>2</v>
      </c>
      <c r="AK69" s="99">
        <f t="shared" si="5"/>
        <v>0</v>
      </c>
      <c r="AL69" s="77">
        <v>200</v>
      </c>
      <c r="AM69" s="10">
        <f t="shared" ref="AM69:AM121" si="9">MAX(0,AK69*AL69)</f>
        <v>0</v>
      </c>
      <c r="AN69" s="77">
        <v>0</v>
      </c>
      <c r="AO69" s="78">
        <f t="shared" si="7"/>
        <v>0</v>
      </c>
      <c r="AQ69" s="30"/>
      <c r="AR69" s="30"/>
      <c r="AS69" s="30"/>
      <c r="AT69" s="30"/>
    </row>
    <row r="70" spans="1:46">
      <c r="A70" s="2">
        <f t="shared" ref="A70:A121" si="10">ROW()-3</f>
        <v>67</v>
      </c>
      <c r="B70" s="68">
        <v>696066666</v>
      </c>
      <c r="C70" s="84" t="s">
        <v>564</v>
      </c>
      <c r="D70" s="84" t="s">
        <v>565</v>
      </c>
      <c r="E70" s="84" t="s">
        <v>566</v>
      </c>
      <c r="F70" s="84" t="s">
        <v>373</v>
      </c>
      <c r="G70" s="84" t="s">
        <v>81</v>
      </c>
      <c r="H70" s="68">
        <v>28</v>
      </c>
      <c r="I70" s="68">
        <v>35000</v>
      </c>
      <c r="J70" s="68">
        <v>35070</v>
      </c>
      <c r="K70" s="68" t="s">
        <v>92</v>
      </c>
      <c r="L70" s="68" t="s">
        <v>18</v>
      </c>
      <c r="M70" s="84">
        <v>45729</v>
      </c>
      <c r="N70" s="84" t="s">
        <v>96</v>
      </c>
      <c r="O70" s="85" t="s">
        <v>97</v>
      </c>
      <c r="P70" s="84">
        <v>45733</v>
      </c>
      <c r="Q70" s="84">
        <v>45733</v>
      </c>
      <c r="R70" s="84">
        <v>45763</v>
      </c>
      <c r="S70" s="84">
        <v>45864</v>
      </c>
      <c r="T70" s="84">
        <v>45869</v>
      </c>
      <c r="U70" s="84">
        <v>45872</v>
      </c>
      <c r="V70" s="84">
        <v>45873</v>
      </c>
      <c r="W70" s="84">
        <v>45876</v>
      </c>
      <c r="X70" s="84">
        <v>45880</v>
      </c>
      <c r="Y70" s="84">
        <v>45880</v>
      </c>
      <c r="Z70" s="84">
        <v>45883</v>
      </c>
      <c r="AA70" s="84">
        <v>45883</v>
      </c>
      <c r="AB70" s="84">
        <v>45885</v>
      </c>
      <c r="AC70" s="86" t="s">
        <v>377</v>
      </c>
      <c r="AD70" s="98">
        <f t="shared" ref="AD70:AD121" si="11">MAX(0,X70-W70)</f>
        <v>4</v>
      </c>
      <c r="AE70" s="76">
        <v>7</v>
      </c>
      <c r="AF70" s="99">
        <f t="shared" si="6"/>
        <v>0</v>
      </c>
      <c r="AG70" s="77">
        <v>200</v>
      </c>
      <c r="AH70" s="10">
        <f t="shared" si="8"/>
        <v>0</v>
      </c>
      <c r="AI70" s="98">
        <f t="shared" ref="AI70:AI121" si="12">MAX(0,AB70-AA70)</f>
        <v>2</v>
      </c>
      <c r="AJ70" s="76">
        <v>2</v>
      </c>
      <c r="AK70" s="99">
        <f t="shared" ref="AK70:AK121" si="13">MAX(0,AI70-AJ70)</f>
        <v>0</v>
      </c>
      <c r="AL70" s="77">
        <v>200</v>
      </c>
      <c r="AM70" s="10">
        <f t="shared" si="9"/>
        <v>0</v>
      </c>
      <c r="AN70" s="77">
        <v>0</v>
      </c>
      <c r="AO70" s="78">
        <f t="shared" si="7"/>
        <v>0</v>
      </c>
      <c r="AQ70" s="30"/>
      <c r="AR70" s="30"/>
      <c r="AS70" s="30"/>
      <c r="AT70" s="30"/>
    </row>
    <row r="71" spans="1:46">
      <c r="A71" s="2">
        <f t="shared" si="10"/>
        <v>68</v>
      </c>
      <c r="B71" s="68">
        <v>696066666</v>
      </c>
      <c r="C71" s="84" t="s">
        <v>567</v>
      </c>
      <c r="D71" s="84" t="s">
        <v>568</v>
      </c>
      <c r="E71" s="84" t="s">
        <v>569</v>
      </c>
      <c r="F71" s="84" t="s">
        <v>373</v>
      </c>
      <c r="G71" s="84" t="s">
        <v>81</v>
      </c>
      <c r="H71" s="68">
        <v>28</v>
      </c>
      <c r="I71" s="68">
        <v>35000</v>
      </c>
      <c r="J71" s="68">
        <v>35070</v>
      </c>
      <c r="K71" s="68" t="s">
        <v>92</v>
      </c>
      <c r="L71" s="68" t="s">
        <v>18</v>
      </c>
      <c r="M71" s="84">
        <v>45729</v>
      </c>
      <c r="N71" s="84" t="s">
        <v>96</v>
      </c>
      <c r="O71" s="85" t="s">
        <v>97</v>
      </c>
      <c r="P71" s="84">
        <v>45733</v>
      </c>
      <c r="Q71" s="84">
        <v>45733</v>
      </c>
      <c r="R71" s="84">
        <v>45763</v>
      </c>
      <c r="S71" s="84">
        <v>45864</v>
      </c>
      <c r="T71" s="84">
        <v>45868</v>
      </c>
      <c r="U71" s="84">
        <v>45871</v>
      </c>
      <c r="V71" s="84">
        <v>45874</v>
      </c>
      <c r="W71" s="84">
        <v>45877</v>
      </c>
      <c r="X71" s="84">
        <v>45880</v>
      </c>
      <c r="Y71" s="84">
        <v>45880</v>
      </c>
      <c r="Z71" s="84">
        <v>45883</v>
      </c>
      <c r="AA71" s="84">
        <v>45883</v>
      </c>
      <c r="AB71" s="84">
        <v>45885</v>
      </c>
      <c r="AC71" s="86" t="s">
        <v>377</v>
      </c>
      <c r="AD71" s="98">
        <f t="shared" si="11"/>
        <v>3</v>
      </c>
      <c r="AE71" s="76">
        <v>7</v>
      </c>
      <c r="AF71" s="99">
        <f t="shared" ref="AF71:AF121" si="14">MAX(0,AD71-AE71)</f>
        <v>0</v>
      </c>
      <c r="AG71" s="77">
        <v>200</v>
      </c>
      <c r="AH71" s="10">
        <f t="shared" si="8"/>
        <v>0</v>
      </c>
      <c r="AI71" s="98">
        <f t="shared" si="12"/>
        <v>2</v>
      </c>
      <c r="AJ71" s="76">
        <v>2</v>
      </c>
      <c r="AK71" s="99">
        <f t="shared" si="13"/>
        <v>0</v>
      </c>
      <c r="AL71" s="77">
        <v>200</v>
      </c>
      <c r="AM71" s="10">
        <f t="shared" si="9"/>
        <v>0</v>
      </c>
      <c r="AN71" s="77">
        <v>0</v>
      </c>
      <c r="AO71" s="78">
        <f t="shared" ref="AO71:AO121" si="15">+AH71+AM71+AN71</f>
        <v>0</v>
      </c>
      <c r="AQ71" s="30"/>
      <c r="AR71" s="30"/>
      <c r="AS71" s="30"/>
      <c r="AT71" s="30"/>
    </row>
    <row r="72" spans="1:46">
      <c r="A72" s="2">
        <f t="shared" si="10"/>
        <v>69</v>
      </c>
      <c r="B72" s="68">
        <v>696066666</v>
      </c>
      <c r="C72" s="84" t="s">
        <v>570</v>
      </c>
      <c r="D72" s="84" t="s">
        <v>571</v>
      </c>
      <c r="E72" s="84" t="s">
        <v>572</v>
      </c>
      <c r="F72" s="84" t="s">
        <v>373</v>
      </c>
      <c r="G72" s="84" t="s">
        <v>81</v>
      </c>
      <c r="H72" s="68">
        <v>28</v>
      </c>
      <c r="I72" s="68">
        <v>35000</v>
      </c>
      <c r="J72" s="68">
        <v>35070</v>
      </c>
      <c r="K72" s="68" t="s">
        <v>92</v>
      </c>
      <c r="L72" s="68" t="s">
        <v>18</v>
      </c>
      <c r="M72" s="84">
        <v>45729</v>
      </c>
      <c r="N72" s="84" t="s">
        <v>96</v>
      </c>
      <c r="O72" s="85" t="s">
        <v>97</v>
      </c>
      <c r="P72" s="84">
        <v>45733</v>
      </c>
      <c r="Q72" s="84">
        <v>45733</v>
      </c>
      <c r="R72" s="84">
        <v>45763</v>
      </c>
      <c r="S72" s="84">
        <v>45864</v>
      </c>
      <c r="T72" s="84">
        <v>45868</v>
      </c>
      <c r="U72" s="84">
        <v>45871</v>
      </c>
      <c r="V72" s="84">
        <v>45874</v>
      </c>
      <c r="W72" s="84">
        <v>45877</v>
      </c>
      <c r="X72" s="84">
        <v>45880</v>
      </c>
      <c r="Y72" s="84">
        <v>45880</v>
      </c>
      <c r="Z72" s="84">
        <v>45883</v>
      </c>
      <c r="AA72" s="84">
        <v>45883</v>
      </c>
      <c r="AB72" s="84">
        <v>45885</v>
      </c>
      <c r="AC72" s="86" t="s">
        <v>377</v>
      </c>
      <c r="AD72" s="98">
        <f t="shared" si="11"/>
        <v>3</v>
      </c>
      <c r="AE72" s="76">
        <v>7</v>
      </c>
      <c r="AF72" s="99">
        <f t="shared" si="14"/>
        <v>0</v>
      </c>
      <c r="AG72" s="77">
        <v>200</v>
      </c>
      <c r="AH72" s="10">
        <f t="shared" si="8"/>
        <v>0</v>
      </c>
      <c r="AI72" s="98">
        <f t="shared" si="12"/>
        <v>2</v>
      </c>
      <c r="AJ72" s="76">
        <v>2</v>
      </c>
      <c r="AK72" s="99">
        <f t="shared" si="13"/>
        <v>0</v>
      </c>
      <c r="AL72" s="77">
        <v>200</v>
      </c>
      <c r="AM72" s="10">
        <f t="shared" si="9"/>
        <v>0</v>
      </c>
      <c r="AN72" s="77">
        <v>0</v>
      </c>
      <c r="AO72" s="78">
        <f t="shared" si="15"/>
        <v>0</v>
      </c>
      <c r="AQ72" s="30"/>
      <c r="AR72" s="30"/>
      <c r="AS72" s="30"/>
      <c r="AT72" s="30"/>
    </row>
    <row r="73" spans="1:46">
      <c r="A73" s="2">
        <f t="shared" si="10"/>
        <v>70</v>
      </c>
      <c r="B73" s="68">
        <v>696066666</v>
      </c>
      <c r="C73" s="84" t="s">
        <v>573</v>
      </c>
      <c r="D73" s="84" t="s">
        <v>574</v>
      </c>
      <c r="E73" s="84" t="s">
        <v>575</v>
      </c>
      <c r="F73" s="84" t="s">
        <v>373</v>
      </c>
      <c r="G73" s="84" t="s">
        <v>81</v>
      </c>
      <c r="H73" s="68">
        <v>28</v>
      </c>
      <c r="I73" s="68">
        <v>35000</v>
      </c>
      <c r="J73" s="68">
        <v>35070</v>
      </c>
      <c r="K73" s="68" t="s">
        <v>92</v>
      </c>
      <c r="L73" s="68" t="s">
        <v>18</v>
      </c>
      <c r="M73" s="84">
        <v>45729</v>
      </c>
      <c r="N73" s="84" t="s">
        <v>96</v>
      </c>
      <c r="O73" s="85" t="s">
        <v>97</v>
      </c>
      <c r="P73" s="84">
        <v>45733</v>
      </c>
      <c r="Q73" s="84">
        <v>45733</v>
      </c>
      <c r="R73" s="84">
        <v>45763</v>
      </c>
      <c r="S73" s="84">
        <v>45864</v>
      </c>
      <c r="T73" s="84">
        <v>45869</v>
      </c>
      <c r="U73" s="84">
        <v>45872</v>
      </c>
      <c r="V73" s="84">
        <v>45873</v>
      </c>
      <c r="W73" s="84">
        <v>45875</v>
      </c>
      <c r="X73" s="84">
        <v>45880</v>
      </c>
      <c r="Y73" s="84">
        <v>45880</v>
      </c>
      <c r="Z73" s="84">
        <v>45883</v>
      </c>
      <c r="AA73" s="84">
        <v>45883</v>
      </c>
      <c r="AB73" s="84">
        <v>45885</v>
      </c>
      <c r="AC73" s="86" t="s">
        <v>377</v>
      </c>
      <c r="AD73" s="98">
        <f t="shared" si="11"/>
        <v>5</v>
      </c>
      <c r="AE73" s="76">
        <v>7</v>
      </c>
      <c r="AF73" s="99">
        <f t="shared" si="14"/>
        <v>0</v>
      </c>
      <c r="AG73" s="77">
        <v>200</v>
      </c>
      <c r="AH73" s="10">
        <f t="shared" si="8"/>
        <v>0</v>
      </c>
      <c r="AI73" s="98">
        <f t="shared" si="12"/>
        <v>2</v>
      </c>
      <c r="AJ73" s="76">
        <v>2</v>
      </c>
      <c r="AK73" s="99">
        <f t="shared" si="13"/>
        <v>0</v>
      </c>
      <c r="AL73" s="77">
        <v>200</v>
      </c>
      <c r="AM73" s="10">
        <f t="shared" si="9"/>
        <v>0</v>
      </c>
      <c r="AN73" s="77">
        <v>0</v>
      </c>
      <c r="AO73" s="78">
        <f t="shared" si="15"/>
        <v>0</v>
      </c>
      <c r="AQ73" s="30"/>
      <c r="AR73" s="30"/>
      <c r="AS73" s="30"/>
      <c r="AT73" s="30"/>
    </row>
    <row r="74" spans="1:46">
      <c r="A74" s="2">
        <f t="shared" si="10"/>
        <v>71</v>
      </c>
      <c r="B74" s="68">
        <v>696066666</v>
      </c>
      <c r="C74" s="84" t="s">
        <v>576</v>
      </c>
      <c r="D74" s="84" t="s">
        <v>577</v>
      </c>
      <c r="E74" s="84" t="s">
        <v>578</v>
      </c>
      <c r="F74" s="84" t="s">
        <v>373</v>
      </c>
      <c r="G74" s="84" t="s">
        <v>81</v>
      </c>
      <c r="H74" s="68">
        <v>28</v>
      </c>
      <c r="I74" s="68">
        <v>35000</v>
      </c>
      <c r="J74" s="68">
        <v>35070</v>
      </c>
      <c r="K74" s="68" t="s">
        <v>92</v>
      </c>
      <c r="L74" s="68" t="s">
        <v>18</v>
      </c>
      <c r="M74" s="84">
        <v>45729</v>
      </c>
      <c r="N74" s="84" t="s">
        <v>96</v>
      </c>
      <c r="O74" s="85" t="s">
        <v>97</v>
      </c>
      <c r="P74" s="84">
        <v>45733</v>
      </c>
      <c r="Q74" s="84">
        <v>45733</v>
      </c>
      <c r="R74" s="84">
        <v>45763</v>
      </c>
      <c r="S74" s="84">
        <v>45864</v>
      </c>
      <c r="T74" s="84">
        <v>45869</v>
      </c>
      <c r="U74" s="84">
        <v>45872</v>
      </c>
      <c r="V74" s="84">
        <v>45875</v>
      </c>
      <c r="W74" s="84">
        <v>45877</v>
      </c>
      <c r="X74" s="84">
        <v>45880</v>
      </c>
      <c r="Y74" s="84">
        <v>45880</v>
      </c>
      <c r="Z74" s="84">
        <v>45883</v>
      </c>
      <c r="AA74" s="84">
        <v>45884</v>
      </c>
      <c r="AB74" s="84">
        <v>45885</v>
      </c>
      <c r="AC74" s="86" t="s">
        <v>377</v>
      </c>
      <c r="AD74" s="98">
        <f t="shared" si="11"/>
        <v>3</v>
      </c>
      <c r="AE74" s="76">
        <v>7</v>
      </c>
      <c r="AF74" s="99">
        <f t="shared" si="14"/>
        <v>0</v>
      </c>
      <c r="AG74" s="77">
        <v>200</v>
      </c>
      <c r="AH74" s="10">
        <f t="shared" si="8"/>
        <v>0</v>
      </c>
      <c r="AI74" s="98">
        <f t="shared" si="12"/>
        <v>1</v>
      </c>
      <c r="AJ74" s="76">
        <v>2</v>
      </c>
      <c r="AK74" s="99">
        <f t="shared" si="13"/>
        <v>0</v>
      </c>
      <c r="AL74" s="77">
        <v>200</v>
      </c>
      <c r="AM74" s="10">
        <f t="shared" si="9"/>
        <v>0</v>
      </c>
      <c r="AN74" s="77">
        <v>0</v>
      </c>
      <c r="AO74" s="78">
        <f t="shared" si="15"/>
        <v>0</v>
      </c>
      <c r="AQ74" s="30"/>
      <c r="AR74" s="30"/>
      <c r="AS74" s="30"/>
      <c r="AT74" s="30"/>
    </row>
    <row r="75" spans="1:46">
      <c r="A75" s="2">
        <f t="shared" si="10"/>
        <v>72</v>
      </c>
      <c r="B75" s="68">
        <v>696066666</v>
      </c>
      <c r="C75" s="84" t="s">
        <v>579</v>
      </c>
      <c r="D75" s="84" t="s">
        <v>580</v>
      </c>
      <c r="E75" s="84" t="s">
        <v>581</v>
      </c>
      <c r="F75" s="84" t="s">
        <v>373</v>
      </c>
      <c r="G75" s="84" t="s">
        <v>81</v>
      </c>
      <c r="H75" s="68">
        <v>24</v>
      </c>
      <c r="I75" s="68">
        <v>30000</v>
      </c>
      <c r="J75" s="68">
        <v>30060</v>
      </c>
      <c r="K75" s="68" t="s">
        <v>92</v>
      </c>
      <c r="L75" s="68" t="s">
        <v>18</v>
      </c>
      <c r="M75" s="84">
        <v>45729</v>
      </c>
      <c r="N75" s="84" t="s">
        <v>96</v>
      </c>
      <c r="O75" s="85" t="s">
        <v>97</v>
      </c>
      <c r="P75" s="84">
        <v>45733</v>
      </c>
      <c r="Q75" s="84">
        <v>45733</v>
      </c>
      <c r="R75" s="84">
        <v>45763</v>
      </c>
      <c r="S75" s="84">
        <v>45862</v>
      </c>
      <c r="T75" s="84">
        <v>45862</v>
      </c>
      <c r="U75" s="84">
        <v>45865</v>
      </c>
      <c r="V75" s="84">
        <v>45868</v>
      </c>
      <c r="W75" s="84">
        <v>45870</v>
      </c>
      <c r="X75" s="84">
        <v>45877</v>
      </c>
      <c r="Y75" s="84">
        <v>45877</v>
      </c>
      <c r="Z75" s="84">
        <v>45879</v>
      </c>
      <c r="AA75" s="84">
        <v>45879</v>
      </c>
      <c r="AB75" s="84">
        <v>45881</v>
      </c>
      <c r="AC75" s="86" t="s">
        <v>377</v>
      </c>
      <c r="AD75" s="98">
        <f t="shared" si="11"/>
        <v>7</v>
      </c>
      <c r="AE75" s="76">
        <v>7</v>
      </c>
      <c r="AF75" s="99">
        <f t="shared" si="14"/>
        <v>0</v>
      </c>
      <c r="AG75" s="77">
        <v>200</v>
      </c>
      <c r="AH75" s="10">
        <f t="shared" si="8"/>
        <v>0</v>
      </c>
      <c r="AI75" s="98">
        <f t="shared" si="12"/>
        <v>2</v>
      </c>
      <c r="AJ75" s="76">
        <v>2</v>
      </c>
      <c r="AK75" s="99">
        <f t="shared" si="13"/>
        <v>0</v>
      </c>
      <c r="AL75" s="77">
        <v>200</v>
      </c>
      <c r="AM75" s="10">
        <f t="shared" si="9"/>
        <v>0</v>
      </c>
      <c r="AN75" s="77">
        <v>0</v>
      </c>
      <c r="AO75" s="78">
        <f t="shared" si="15"/>
        <v>0</v>
      </c>
      <c r="AQ75" s="30"/>
      <c r="AR75" s="30"/>
      <c r="AS75" s="30"/>
      <c r="AT75" s="30"/>
    </row>
    <row r="76" spans="1:46">
      <c r="A76" s="2">
        <f t="shared" si="10"/>
        <v>73</v>
      </c>
      <c r="B76" s="68">
        <v>696066666</v>
      </c>
      <c r="C76" s="84" t="s">
        <v>582</v>
      </c>
      <c r="D76" s="84" t="s">
        <v>583</v>
      </c>
      <c r="E76" s="84" t="s">
        <v>584</v>
      </c>
      <c r="F76" s="84" t="s">
        <v>373</v>
      </c>
      <c r="G76" s="84" t="s">
        <v>81</v>
      </c>
      <c r="H76" s="68">
        <v>24</v>
      </c>
      <c r="I76" s="68">
        <v>30000</v>
      </c>
      <c r="J76" s="68">
        <v>30060</v>
      </c>
      <c r="K76" s="68" t="s">
        <v>92</v>
      </c>
      <c r="L76" s="68" t="s">
        <v>18</v>
      </c>
      <c r="M76" s="84">
        <v>45729</v>
      </c>
      <c r="N76" s="84" t="s">
        <v>96</v>
      </c>
      <c r="O76" s="85" t="s">
        <v>97</v>
      </c>
      <c r="P76" s="84">
        <v>45733</v>
      </c>
      <c r="Q76" s="84">
        <v>45733</v>
      </c>
      <c r="R76" s="84">
        <v>45763</v>
      </c>
      <c r="S76" s="84">
        <v>45862</v>
      </c>
      <c r="T76" s="84">
        <v>45862</v>
      </c>
      <c r="U76" s="84">
        <v>45865</v>
      </c>
      <c r="V76" s="84">
        <v>45868</v>
      </c>
      <c r="W76" s="84">
        <v>45870</v>
      </c>
      <c r="X76" s="84">
        <v>45877</v>
      </c>
      <c r="Y76" s="84">
        <v>45877</v>
      </c>
      <c r="Z76" s="84">
        <v>45879</v>
      </c>
      <c r="AA76" s="84">
        <v>45879</v>
      </c>
      <c r="AB76" s="84">
        <v>45881</v>
      </c>
      <c r="AC76" s="86" t="s">
        <v>377</v>
      </c>
      <c r="AD76" s="98">
        <f t="shared" si="11"/>
        <v>7</v>
      </c>
      <c r="AE76" s="76">
        <v>7</v>
      </c>
      <c r="AF76" s="99">
        <f t="shared" si="14"/>
        <v>0</v>
      </c>
      <c r="AG76" s="77">
        <v>200</v>
      </c>
      <c r="AH76" s="10">
        <f t="shared" si="8"/>
        <v>0</v>
      </c>
      <c r="AI76" s="98">
        <f t="shared" si="12"/>
        <v>2</v>
      </c>
      <c r="AJ76" s="76">
        <v>2</v>
      </c>
      <c r="AK76" s="99">
        <f t="shared" si="13"/>
        <v>0</v>
      </c>
      <c r="AL76" s="77">
        <v>200</v>
      </c>
      <c r="AM76" s="10">
        <f t="shared" si="9"/>
        <v>0</v>
      </c>
      <c r="AN76" s="77">
        <v>0</v>
      </c>
      <c r="AO76" s="78">
        <f t="shared" si="15"/>
        <v>0</v>
      </c>
      <c r="AQ76" s="30"/>
      <c r="AR76" s="30"/>
      <c r="AS76" s="30"/>
      <c r="AT76" s="30"/>
    </row>
    <row r="77" spans="1:46">
      <c r="A77" s="2">
        <f t="shared" si="10"/>
        <v>74</v>
      </c>
      <c r="B77" s="68">
        <v>696066666</v>
      </c>
      <c r="C77" s="84" t="s">
        <v>585</v>
      </c>
      <c r="D77" s="84" t="s">
        <v>586</v>
      </c>
      <c r="E77" s="84" t="s">
        <v>587</v>
      </c>
      <c r="F77" s="84" t="s">
        <v>373</v>
      </c>
      <c r="G77" s="84" t="s">
        <v>81</v>
      </c>
      <c r="H77" s="68">
        <v>24</v>
      </c>
      <c r="I77" s="68">
        <v>30000</v>
      </c>
      <c r="J77" s="68">
        <v>30060</v>
      </c>
      <c r="K77" s="68" t="s">
        <v>92</v>
      </c>
      <c r="L77" s="68" t="s">
        <v>18</v>
      </c>
      <c r="M77" s="84">
        <v>45729</v>
      </c>
      <c r="N77" s="84" t="s">
        <v>96</v>
      </c>
      <c r="O77" s="85" t="s">
        <v>97</v>
      </c>
      <c r="P77" s="84">
        <v>45733</v>
      </c>
      <c r="Q77" s="84">
        <v>45733</v>
      </c>
      <c r="R77" s="84">
        <v>45763</v>
      </c>
      <c r="S77" s="84">
        <v>45862</v>
      </c>
      <c r="T77" s="84">
        <v>45862</v>
      </c>
      <c r="U77" s="84">
        <v>45865</v>
      </c>
      <c r="V77" s="84">
        <v>45868</v>
      </c>
      <c r="W77" s="84">
        <v>45870</v>
      </c>
      <c r="X77" s="84">
        <v>45877</v>
      </c>
      <c r="Y77" s="84">
        <v>45877</v>
      </c>
      <c r="Z77" s="84">
        <v>45879</v>
      </c>
      <c r="AA77" s="84">
        <v>45879</v>
      </c>
      <c r="AB77" s="84">
        <v>45881</v>
      </c>
      <c r="AC77" s="86" t="s">
        <v>377</v>
      </c>
      <c r="AD77" s="98">
        <f t="shared" si="11"/>
        <v>7</v>
      </c>
      <c r="AE77" s="76">
        <v>7</v>
      </c>
      <c r="AF77" s="99">
        <f t="shared" si="14"/>
        <v>0</v>
      </c>
      <c r="AG77" s="77">
        <v>200</v>
      </c>
      <c r="AH77" s="10">
        <f t="shared" si="8"/>
        <v>0</v>
      </c>
      <c r="AI77" s="98">
        <f t="shared" si="12"/>
        <v>2</v>
      </c>
      <c r="AJ77" s="76">
        <v>2</v>
      </c>
      <c r="AK77" s="99">
        <f t="shared" si="13"/>
        <v>0</v>
      </c>
      <c r="AL77" s="77">
        <v>200</v>
      </c>
      <c r="AM77" s="10">
        <f t="shared" si="9"/>
        <v>0</v>
      </c>
      <c r="AN77" s="77">
        <v>0</v>
      </c>
      <c r="AO77" s="78">
        <f t="shared" si="15"/>
        <v>0</v>
      </c>
      <c r="AQ77" s="30"/>
      <c r="AR77" s="30"/>
      <c r="AS77" s="30"/>
      <c r="AT77" s="30"/>
    </row>
    <row r="78" spans="1:46">
      <c r="A78" s="2">
        <f t="shared" si="10"/>
        <v>75</v>
      </c>
      <c r="B78" s="68">
        <v>696066666</v>
      </c>
      <c r="C78" s="84" t="s">
        <v>588</v>
      </c>
      <c r="D78" s="84" t="s">
        <v>589</v>
      </c>
      <c r="E78" s="84" t="s">
        <v>590</v>
      </c>
      <c r="F78" s="84" t="s">
        <v>373</v>
      </c>
      <c r="G78" s="84" t="s">
        <v>81</v>
      </c>
      <c r="H78" s="68">
        <v>24</v>
      </c>
      <c r="I78" s="68">
        <v>30000</v>
      </c>
      <c r="J78" s="68">
        <v>30060</v>
      </c>
      <c r="K78" s="68" t="s">
        <v>92</v>
      </c>
      <c r="L78" s="68" t="s">
        <v>18</v>
      </c>
      <c r="M78" s="84">
        <v>45729</v>
      </c>
      <c r="N78" s="84" t="s">
        <v>96</v>
      </c>
      <c r="O78" s="85" t="s">
        <v>97</v>
      </c>
      <c r="P78" s="84">
        <v>45733</v>
      </c>
      <c r="Q78" s="84">
        <v>45733</v>
      </c>
      <c r="R78" s="84">
        <v>45763</v>
      </c>
      <c r="S78" s="84">
        <v>45862</v>
      </c>
      <c r="T78" s="84">
        <v>45862</v>
      </c>
      <c r="U78" s="84">
        <v>45865</v>
      </c>
      <c r="V78" s="84">
        <v>45868</v>
      </c>
      <c r="W78" s="84">
        <v>45870</v>
      </c>
      <c r="X78" s="84">
        <v>45877</v>
      </c>
      <c r="Y78" s="84">
        <v>45877</v>
      </c>
      <c r="Z78" s="84">
        <v>45879</v>
      </c>
      <c r="AA78" s="84">
        <v>45879</v>
      </c>
      <c r="AB78" s="84">
        <v>45881</v>
      </c>
      <c r="AC78" s="86" t="s">
        <v>377</v>
      </c>
      <c r="AD78" s="98">
        <f t="shared" si="11"/>
        <v>7</v>
      </c>
      <c r="AE78" s="76">
        <v>7</v>
      </c>
      <c r="AF78" s="99">
        <f t="shared" si="14"/>
        <v>0</v>
      </c>
      <c r="AG78" s="77">
        <v>200</v>
      </c>
      <c r="AH78" s="10">
        <f t="shared" si="8"/>
        <v>0</v>
      </c>
      <c r="AI78" s="98">
        <f t="shared" si="12"/>
        <v>2</v>
      </c>
      <c r="AJ78" s="76">
        <v>2</v>
      </c>
      <c r="AK78" s="99">
        <f t="shared" si="13"/>
        <v>0</v>
      </c>
      <c r="AL78" s="77">
        <v>200</v>
      </c>
      <c r="AM78" s="10">
        <f t="shared" si="9"/>
        <v>0</v>
      </c>
      <c r="AN78" s="77">
        <v>0</v>
      </c>
      <c r="AO78" s="78">
        <f t="shared" si="15"/>
        <v>0</v>
      </c>
      <c r="AQ78" s="30"/>
      <c r="AR78" s="30"/>
      <c r="AS78" s="30"/>
      <c r="AT78" s="30"/>
    </row>
    <row r="79" spans="1:46">
      <c r="A79" s="2">
        <f t="shared" si="10"/>
        <v>76</v>
      </c>
      <c r="B79" s="68">
        <v>696066666</v>
      </c>
      <c r="C79" s="84" t="s">
        <v>591</v>
      </c>
      <c r="D79" s="84" t="s">
        <v>592</v>
      </c>
      <c r="E79" s="84" t="s">
        <v>593</v>
      </c>
      <c r="F79" s="84" t="s">
        <v>373</v>
      </c>
      <c r="G79" s="84" t="s">
        <v>81</v>
      </c>
      <c r="H79" s="68">
        <v>24</v>
      </c>
      <c r="I79" s="68">
        <v>30000</v>
      </c>
      <c r="J79" s="68">
        <v>30060</v>
      </c>
      <c r="K79" s="68" t="s">
        <v>92</v>
      </c>
      <c r="L79" s="68" t="s">
        <v>18</v>
      </c>
      <c r="M79" s="84">
        <v>45729</v>
      </c>
      <c r="N79" s="84" t="s">
        <v>96</v>
      </c>
      <c r="O79" s="85" t="s">
        <v>97</v>
      </c>
      <c r="P79" s="84">
        <v>45733</v>
      </c>
      <c r="Q79" s="84">
        <v>45733</v>
      </c>
      <c r="R79" s="84">
        <v>45763</v>
      </c>
      <c r="S79" s="84">
        <v>45862</v>
      </c>
      <c r="T79" s="84">
        <v>45862</v>
      </c>
      <c r="U79" s="84">
        <v>45865</v>
      </c>
      <c r="V79" s="84">
        <v>45868</v>
      </c>
      <c r="W79" s="84">
        <v>45870</v>
      </c>
      <c r="X79" s="84">
        <v>45877</v>
      </c>
      <c r="Y79" s="84">
        <v>45877</v>
      </c>
      <c r="Z79" s="84">
        <v>45879</v>
      </c>
      <c r="AA79" s="84">
        <v>45879</v>
      </c>
      <c r="AB79" s="84">
        <v>45881</v>
      </c>
      <c r="AC79" s="86" t="s">
        <v>377</v>
      </c>
      <c r="AD79" s="98">
        <f t="shared" si="11"/>
        <v>7</v>
      </c>
      <c r="AE79" s="76">
        <v>7</v>
      </c>
      <c r="AF79" s="99">
        <f t="shared" si="14"/>
        <v>0</v>
      </c>
      <c r="AG79" s="77">
        <v>200</v>
      </c>
      <c r="AH79" s="10">
        <f t="shared" si="8"/>
        <v>0</v>
      </c>
      <c r="AI79" s="98">
        <f t="shared" si="12"/>
        <v>2</v>
      </c>
      <c r="AJ79" s="76">
        <v>2</v>
      </c>
      <c r="AK79" s="99">
        <f t="shared" si="13"/>
        <v>0</v>
      </c>
      <c r="AL79" s="77">
        <v>200</v>
      </c>
      <c r="AM79" s="10">
        <f t="shared" si="9"/>
        <v>0</v>
      </c>
      <c r="AN79" s="77">
        <v>0</v>
      </c>
      <c r="AO79" s="78">
        <f t="shared" si="15"/>
        <v>0</v>
      </c>
      <c r="AQ79" s="30"/>
      <c r="AR79" s="30"/>
      <c r="AS79" s="30"/>
      <c r="AT79" s="30"/>
    </row>
    <row r="80" spans="1:46">
      <c r="A80" s="2">
        <f t="shared" si="10"/>
        <v>77</v>
      </c>
      <c r="B80" s="68">
        <v>696066666</v>
      </c>
      <c r="C80" s="84" t="s">
        <v>594</v>
      </c>
      <c r="D80" s="84" t="s">
        <v>595</v>
      </c>
      <c r="E80" s="84" t="s">
        <v>596</v>
      </c>
      <c r="F80" s="84" t="s">
        <v>373</v>
      </c>
      <c r="G80" s="84" t="s">
        <v>81</v>
      </c>
      <c r="H80" s="68">
        <v>24</v>
      </c>
      <c r="I80" s="68">
        <v>30000</v>
      </c>
      <c r="J80" s="68">
        <v>30060</v>
      </c>
      <c r="K80" s="68" t="s">
        <v>92</v>
      </c>
      <c r="L80" s="68" t="s">
        <v>18</v>
      </c>
      <c r="M80" s="84">
        <v>45729</v>
      </c>
      <c r="N80" s="84" t="s">
        <v>96</v>
      </c>
      <c r="O80" s="85" t="s">
        <v>97</v>
      </c>
      <c r="P80" s="84">
        <v>45733</v>
      </c>
      <c r="Q80" s="84">
        <v>45733</v>
      </c>
      <c r="R80" s="84">
        <v>45763</v>
      </c>
      <c r="S80" s="84">
        <v>45862</v>
      </c>
      <c r="T80" s="84">
        <v>45862</v>
      </c>
      <c r="U80" s="84">
        <v>45865</v>
      </c>
      <c r="V80" s="84">
        <v>45868</v>
      </c>
      <c r="W80" s="84">
        <v>45870</v>
      </c>
      <c r="X80" s="84">
        <v>45877</v>
      </c>
      <c r="Y80" s="84">
        <v>45877</v>
      </c>
      <c r="Z80" s="84">
        <v>45879</v>
      </c>
      <c r="AA80" s="84">
        <v>45879</v>
      </c>
      <c r="AB80" s="84">
        <v>45881</v>
      </c>
      <c r="AC80" s="86" t="s">
        <v>377</v>
      </c>
      <c r="AD80" s="98">
        <f t="shared" si="11"/>
        <v>7</v>
      </c>
      <c r="AE80" s="76">
        <v>7</v>
      </c>
      <c r="AF80" s="99">
        <f t="shared" si="14"/>
        <v>0</v>
      </c>
      <c r="AG80" s="77">
        <v>200</v>
      </c>
      <c r="AH80" s="10">
        <f t="shared" si="8"/>
        <v>0</v>
      </c>
      <c r="AI80" s="98">
        <f t="shared" si="12"/>
        <v>2</v>
      </c>
      <c r="AJ80" s="76">
        <v>2</v>
      </c>
      <c r="AK80" s="99">
        <f t="shared" si="13"/>
        <v>0</v>
      </c>
      <c r="AL80" s="77">
        <v>200</v>
      </c>
      <c r="AM80" s="10">
        <f t="shared" si="9"/>
        <v>0</v>
      </c>
      <c r="AN80" s="77">
        <v>0</v>
      </c>
      <c r="AO80" s="78">
        <f t="shared" si="15"/>
        <v>0</v>
      </c>
      <c r="AQ80" s="30"/>
      <c r="AR80" s="30"/>
      <c r="AS80" s="30"/>
      <c r="AT80" s="30"/>
    </row>
    <row r="81" spans="1:46">
      <c r="A81" s="2">
        <f t="shared" si="10"/>
        <v>78</v>
      </c>
      <c r="B81" s="68">
        <v>696066666</v>
      </c>
      <c r="C81" s="84" t="s">
        <v>597</v>
      </c>
      <c r="D81" s="84" t="s">
        <v>598</v>
      </c>
      <c r="E81" s="84" t="s">
        <v>599</v>
      </c>
      <c r="F81" s="84" t="s">
        <v>373</v>
      </c>
      <c r="G81" s="84" t="s">
        <v>81</v>
      </c>
      <c r="H81" s="68">
        <v>24</v>
      </c>
      <c r="I81" s="68">
        <v>30000</v>
      </c>
      <c r="J81" s="68">
        <v>30060</v>
      </c>
      <c r="K81" s="68" t="s">
        <v>92</v>
      </c>
      <c r="L81" s="68" t="s">
        <v>18</v>
      </c>
      <c r="M81" s="84">
        <v>45729</v>
      </c>
      <c r="N81" s="84" t="s">
        <v>96</v>
      </c>
      <c r="O81" s="85" t="s">
        <v>97</v>
      </c>
      <c r="P81" s="84">
        <v>45733</v>
      </c>
      <c r="Q81" s="84">
        <v>45733</v>
      </c>
      <c r="R81" s="84">
        <v>45763</v>
      </c>
      <c r="S81" s="84">
        <v>45862</v>
      </c>
      <c r="T81" s="84">
        <v>45862</v>
      </c>
      <c r="U81" s="84">
        <v>45865</v>
      </c>
      <c r="V81" s="84">
        <v>45868</v>
      </c>
      <c r="W81" s="84">
        <v>45870</v>
      </c>
      <c r="X81" s="84">
        <v>45877</v>
      </c>
      <c r="Y81" s="84">
        <v>45877</v>
      </c>
      <c r="Z81" s="84">
        <v>45879</v>
      </c>
      <c r="AA81" s="84">
        <v>45879</v>
      </c>
      <c r="AB81" s="84">
        <v>45881</v>
      </c>
      <c r="AC81" s="86" t="s">
        <v>377</v>
      </c>
      <c r="AD81" s="98">
        <f t="shared" si="11"/>
        <v>7</v>
      </c>
      <c r="AE81" s="76">
        <v>7</v>
      </c>
      <c r="AF81" s="99">
        <f t="shared" si="14"/>
        <v>0</v>
      </c>
      <c r="AG81" s="77">
        <v>200</v>
      </c>
      <c r="AH81" s="10">
        <f t="shared" si="8"/>
        <v>0</v>
      </c>
      <c r="AI81" s="98">
        <f t="shared" si="12"/>
        <v>2</v>
      </c>
      <c r="AJ81" s="76">
        <v>2</v>
      </c>
      <c r="AK81" s="99">
        <f t="shared" si="13"/>
        <v>0</v>
      </c>
      <c r="AL81" s="77">
        <v>200</v>
      </c>
      <c r="AM81" s="10">
        <f t="shared" si="9"/>
        <v>0</v>
      </c>
      <c r="AN81" s="77">
        <v>0</v>
      </c>
      <c r="AO81" s="78">
        <f t="shared" si="15"/>
        <v>0</v>
      </c>
      <c r="AQ81" s="30"/>
      <c r="AR81" s="30"/>
      <c r="AS81" s="30"/>
      <c r="AT81" s="30"/>
    </row>
    <row r="82" spans="1:46">
      <c r="A82" s="2">
        <f t="shared" si="10"/>
        <v>79</v>
      </c>
      <c r="B82" s="68">
        <v>696066666</v>
      </c>
      <c r="C82" s="84" t="s">
        <v>600</v>
      </c>
      <c r="D82" s="84" t="s">
        <v>601</v>
      </c>
      <c r="E82" s="84" t="s">
        <v>602</v>
      </c>
      <c r="F82" s="84" t="s">
        <v>373</v>
      </c>
      <c r="G82" s="84" t="s">
        <v>81</v>
      </c>
      <c r="H82" s="68">
        <v>24</v>
      </c>
      <c r="I82" s="68">
        <v>30000</v>
      </c>
      <c r="J82" s="68">
        <v>30060</v>
      </c>
      <c r="K82" s="68" t="s">
        <v>92</v>
      </c>
      <c r="L82" s="68" t="s">
        <v>18</v>
      </c>
      <c r="M82" s="84">
        <v>45729</v>
      </c>
      <c r="N82" s="84" t="s">
        <v>96</v>
      </c>
      <c r="O82" s="85" t="s">
        <v>97</v>
      </c>
      <c r="P82" s="84">
        <v>45733</v>
      </c>
      <c r="Q82" s="84">
        <v>45733</v>
      </c>
      <c r="R82" s="84">
        <v>45763</v>
      </c>
      <c r="S82" s="84">
        <v>45862</v>
      </c>
      <c r="T82" s="84">
        <v>45862</v>
      </c>
      <c r="U82" s="84">
        <v>45865</v>
      </c>
      <c r="V82" s="84">
        <v>45868</v>
      </c>
      <c r="W82" s="84">
        <v>45870</v>
      </c>
      <c r="X82" s="84">
        <v>45877</v>
      </c>
      <c r="Y82" s="84">
        <v>45877</v>
      </c>
      <c r="Z82" s="84">
        <v>45879</v>
      </c>
      <c r="AA82" s="84">
        <v>45879</v>
      </c>
      <c r="AB82" s="84">
        <v>45881</v>
      </c>
      <c r="AC82" s="86" t="s">
        <v>377</v>
      </c>
      <c r="AD82" s="98">
        <f t="shared" si="11"/>
        <v>7</v>
      </c>
      <c r="AE82" s="76">
        <v>7</v>
      </c>
      <c r="AF82" s="99">
        <f t="shared" si="14"/>
        <v>0</v>
      </c>
      <c r="AG82" s="77">
        <v>200</v>
      </c>
      <c r="AH82" s="10">
        <f t="shared" si="8"/>
        <v>0</v>
      </c>
      <c r="AI82" s="98">
        <f t="shared" si="12"/>
        <v>2</v>
      </c>
      <c r="AJ82" s="76">
        <v>2</v>
      </c>
      <c r="AK82" s="99">
        <f t="shared" si="13"/>
        <v>0</v>
      </c>
      <c r="AL82" s="77">
        <v>200</v>
      </c>
      <c r="AM82" s="10">
        <f t="shared" si="9"/>
        <v>0</v>
      </c>
      <c r="AN82" s="77">
        <v>0</v>
      </c>
      <c r="AO82" s="78">
        <f t="shared" si="15"/>
        <v>0</v>
      </c>
      <c r="AQ82" s="30"/>
      <c r="AR82" s="30"/>
      <c r="AS82" s="30"/>
      <c r="AT82" s="30"/>
    </row>
    <row r="83" spans="1:46">
      <c r="A83" s="2">
        <f t="shared" si="10"/>
        <v>80</v>
      </c>
      <c r="B83" s="68">
        <v>696066666</v>
      </c>
      <c r="C83" s="84" t="s">
        <v>603</v>
      </c>
      <c r="D83" s="84" t="s">
        <v>604</v>
      </c>
      <c r="E83" s="84" t="s">
        <v>605</v>
      </c>
      <c r="F83" s="84" t="s">
        <v>93</v>
      </c>
      <c r="G83" s="84" t="s">
        <v>81</v>
      </c>
      <c r="H83" s="68">
        <v>28</v>
      </c>
      <c r="I83" s="68">
        <v>35000</v>
      </c>
      <c r="J83" s="68">
        <v>35070</v>
      </c>
      <c r="K83" s="68" t="s">
        <v>92</v>
      </c>
      <c r="L83" s="68" t="s">
        <v>18</v>
      </c>
      <c r="M83" s="84">
        <v>45729</v>
      </c>
      <c r="N83" s="84" t="s">
        <v>96</v>
      </c>
      <c r="O83" s="85" t="s">
        <v>97</v>
      </c>
      <c r="P83" s="84">
        <v>45733</v>
      </c>
      <c r="Q83" s="84">
        <v>45733</v>
      </c>
      <c r="R83" s="84">
        <v>45763</v>
      </c>
      <c r="S83" s="84">
        <v>45862</v>
      </c>
      <c r="T83" s="84">
        <v>45862</v>
      </c>
      <c r="U83" s="84">
        <v>45865</v>
      </c>
      <c r="V83" s="84">
        <v>45868</v>
      </c>
      <c r="W83" s="84">
        <v>45873</v>
      </c>
      <c r="X83" s="84">
        <v>45877</v>
      </c>
      <c r="Y83" s="84">
        <v>45877</v>
      </c>
      <c r="Z83" s="84">
        <v>45877</v>
      </c>
      <c r="AA83" s="84">
        <v>45877</v>
      </c>
      <c r="AB83" s="84">
        <v>45882</v>
      </c>
      <c r="AC83" s="86" t="s">
        <v>377</v>
      </c>
      <c r="AD83" s="98">
        <f t="shared" si="11"/>
        <v>4</v>
      </c>
      <c r="AE83" s="76">
        <v>7</v>
      </c>
      <c r="AF83" s="99">
        <f t="shared" si="14"/>
        <v>0</v>
      </c>
      <c r="AG83" s="77">
        <v>200</v>
      </c>
      <c r="AH83" s="10">
        <f t="shared" si="8"/>
        <v>0</v>
      </c>
      <c r="AI83" s="98">
        <f t="shared" si="12"/>
        <v>5</v>
      </c>
      <c r="AJ83" s="76">
        <v>2</v>
      </c>
      <c r="AK83" s="99">
        <f t="shared" si="13"/>
        <v>3</v>
      </c>
      <c r="AL83" s="77">
        <v>200</v>
      </c>
      <c r="AM83" s="10">
        <f t="shared" si="9"/>
        <v>600</v>
      </c>
      <c r="AN83" s="77">
        <v>0</v>
      </c>
      <c r="AO83" s="78">
        <f t="shared" si="15"/>
        <v>600</v>
      </c>
      <c r="AQ83" s="30"/>
      <c r="AR83" s="30"/>
      <c r="AS83" s="30"/>
      <c r="AT83" s="30"/>
    </row>
    <row r="84" spans="1:46">
      <c r="A84" s="2">
        <f t="shared" si="10"/>
        <v>81</v>
      </c>
      <c r="B84" s="68">
        <v>696066666</v>
      </c>
      <c r="C84" s="84" t="s">
        <v>606</v>
      </c>
      <c r="D84" s="84" t="s">
        <v>607</v>
      </c>
      <c r="E84" s="84" t="s">
        <v>608</v>
      </c>
      <c r="F84" s="84" t="s">
        <v>93</v>
      </c>
      <c r="G84" s="84" t="s">
        <v>81</v>
      </c>
      <c r="H84" s="68">
        <v>28</v>
      </c>
      <c r="I84" s="68">
        <v>35000</v>
      </c>
      <c r="J84" s="68">
        <v>35070</v>
      </c>
      <c r="K84" s="68" t="s">
        <v>92</v>
      </c>
      <c r="L84" s="68" t="s">
        <v>18</v>
      </c>
      <c r="M84" s="84">
        <v>45729</v>
      </c>
      <c r="N84" s="84" t="s">
        <v>96</v>
      </c>
      <c r="O84" s="85" t="s">
        <v>97</v>
      </c>
      <c r="P84" s="84">
        <v>45733</v>
      </c>
      <c r="Q84" s="84">
        <v>45733</v>
      </c>
      <c r="R84" s="84">
        <v>45763</v>
      </c>
      <c r="S84" s="84">
        <v>45863</v>
      </c>
      <c r="T84" s="84">
        <v>45864</v>
      </c>
      <c r="U84" s="84">
        <v>45867</v>
      </c>
      <c r="V84" s="84">
        <v>45870</v>
      </c>
      <c r="W84" s="84">
        <v>45872</v>
      </c>
      <c r="X84" s="84">
        <v>45877</v>
      </c>
      <c r="Y84" s="84">
        <v>45877</v>
      </c>
      <c r="Z84" s="84">
        <v>45877</v>
      </c>
      <c r="AA84" s="84">
        <v>45877</v>
      </c>
      <c r="AB84" s="84">
        <v>45882</v>
      </c>
      <c r="AC84" s="86" t="s">
        <v>377</v>
      </c>
      <c r="AD84" s="98">
        <f t="shared" si="11"/>
        <v>5</v>
      </c>
      <c r="AE84" s="76">
        <v>7</v>
      </c>
      <c r="AF84" s="99">
        <f t="shared" si="14"/>
        <v>0</v>
      </c>
      <c r="AG84" s="77">
        <v>200</v>
      </c>
      <c r="AH84" s="10">
        <f t="shared" si="8"/>
        <v>0</v>
      </c>
      <c r="AI84" s="98">
        <f t="shared" si="12"/>
        <v>5</v>
      </c>
      <c r="AJ84" s="76">
        <v>2</v>
      </c>
      <c r="AK84" s="99">
        <f t="shared" si="13"/>
        <v>3</v>
      </c>
      <c r="AL84" s="77">
        <v>200</v>
      </c>
      <c r="AM84" s="10">
        <f t="shared" si="9"/>
        <v>600</v>
      </c>
      <c r="AN84" s="77">
        <v>0</v>
      </c>
      <c r="AO84" s="78">
        <f t="shared" si="15"/>
        <v>600</v>
      </c>
      <c r="AQ84" s="30"/>
      <c r="AR84" s="30"/>
      <c r="AS84" s="30"/>
      <c r="AT84" s="30"/>
    </row>
    <row r="85" spans="1:46">
      <c r="A85" s="2">
        <f t="shared" si="10"/>
        <v>82</v>
      </c>
      <c r="B85" s="68">
        <v>696066666</v>
      </c>
      <c r="C85" s="84" t="s">
        <v>609</v>
      </c>
      <c r="D85" s="84" t="s">
        <v>610</v>
      </c>
      <c r="E85" s="84" t="s">
        <v>611</v>
      </c>
      <c r="F85" s="84" t="s">
        <v>93</v>
      </c>
      <c r="G85" s="84" t="s">
        <v>81</v>
      </c>
      <c r="H85" s="68">
        <v>29</v>
      </c>
      <c r="I85" s="68">
        <v>36250</v>
      </c>
      <c r="J85" s="68">
        <v>36323</v>
      </c>
      <c r="K85" s="68" t="s">
        <v>92</v>
      </c>
      <c r="L85" s="68" t="s">
        <v>18</v>
      </c>
      <c r="M85" s="84">
        <v>45729</v>
      </c>
      <c r="N85" s="84" t="s">
        <v>96</v>
      </c>
      <c r="O85" s="85" t="s">
        <v>97</v>
      </c>
      <c r="P85" s="84">
        <v>45733</v>
      </c>
      <c r="Q85" s="84">
        <v>45733</v>
      </c>
      <c r="R85" s="84">
        <v>45763</v>
      </c>
      <c r="S85" s="84">
        <v>45863</v>
      </c>
      <c r="T85" s="84">
        <v>45864</v>
      </c>
      <c r="U85" s="84">
        <v>45867</v>
      </c>
      <c r="V85" s="84">
        <v>45871</v>
      </c>
      <c r="W85" s="84">
        <v>45873</v>
      </c>
      <c r="X85" s="84">
        <v>45877</v>
      </c>
      <c r="Y85" s="84">
        <v>45877</v>
      </c>
      <c r="Z85" s="84">
        <v>45877</v>
      </c>
      <c r="AA85" s="84">
        <v>45877</v>
      </c>
      <c r="AB85" s="84">
        <v>45881</v>
      </c>
      <c r="AC85" s="86" t="s">
        <v>377</v>
      </c>
      <c r="AD85" s="98">
        <f t="shared" si="11"/>
        <v>4</v>
      </c>
      <c r="AE85" s="76">
        <v>7</v>
      </c>
      <c r="AF85" s="99">
        <f t="shared" si="14"/>
        <v>0</v>
      </c>
      <c r="AG85" s="77">
        <v>200</v>
      </c>
      <c r="AH85" s="10">
        <f t="shared" si="8"/>
        <v>0</v>
      </c>
      <c r="AI85" s="98">
        <f t="shared" si="12"/>
        <v>4</v>
      </c>
      <c r="AJ85" s="76">
        <v>2</v>
      </c>
      <c r="AK85" s="99">
        <f t="shared" si="13"/>
        <v>2</v>
      </c>
      <c r="AL85" s="77">
        <v>200</v>
      </c>
      <c r="AM85" s="10">
        <f t="shared" si="9"/>
        <v>400</v>
      </c>
      <c r="AN85" s="77">
        <v>0</v>
      </c>
      <c r="AO85" s="78">
        <f t="shared" si="15"/>
        <v>400</v>
      </c>
      <c r="AQ85" s="30"/>
      <c r="AR85" s="30"/>
      <c r="AS85" s="30"/>
      <c r="AT85" s="30"/>
    </row>
    <row r="86" spans="1:46">
      <c r="A86" s="2">
        <f t="shared" si="10"/>
        <v>83</v>
      </c>
      <c r="B86" s="68">
        <v>696066666</v>
      </c>
      <c r="C86" s="84" t="s">
        <v>612</v>
      </c>
      <c r="D86" s="84" t="s">
        <v>613</v>
      </c>
      <c r="E86" s="84" t="s">
        <v>614</v>
      </c>
      <c r="F86" s="84" t="s">
        <v>93</v>
      </c>
      <c r="G86" s="84" t="s">
        <v>81</v>
      </c>
      <c r="H86" s="68">
        <v>25</v>
      </c>
      <c r="I86" s="68">
        <v>31250</v>
      </c>
      <c r="J86" s="68">
        <v>31313</v>
      </c>
      <c r="K86" s="68" t="s">
        <v>92</v>
      </c>
      <c r="L86" s="68" t="s">
        <v>18</v>
      </c>
      <c r="M86" s="84">
        <v>45729</v>
      </c>
      <c r="N86" s="84" t="s">
        <v>96</v>
      </c>
      <c r="O86" s="85" t="s">
        <v>97</v>
      </c>
      <c r="P86" s="84">
        <v>45733</v>
      </c>
      <c r="Q86" s="84">
        <v>45733</v>
      </c>
      <c r="R86" s="84">
        <v>45763</v>
      </c>
      <c r="S86" s="84">
        <v>45862</v>
      </c>
      <c r="T86" s="84">
        <v>45862</v>
      </c>
      <c r="U86" s="84">
        <v>45866</v>
      </c>
      <c r="V86" s="84">
        <v>45870</v>
      </c>
      <c r="W86" s="84">
        <v>45873</v>
      </c>
      <c r="X86" s="84">
        <v>45879</v>
      </c>
      <c r="Y86" s="84">
        <v>45879</v>
      </c>
      <c r="Z86" s="84">
        <v>45879</v>
      </c>
      <c r="AA86" s="84">
        <v>45879</v>
      </c>
      <c r="AB86" s="84">
        <v>45881</v>
      </c>
      <c r="AC86" s="86" t="s">
        <v>377</v>
      </c>
      <c r="AD86" s="98">
        <f t="shared" si="11"/>
        <v>6</v>
      </c>
      <c r="AE86" s="76">
        <v>7</v>
      </c>
      <c r="AF86" s="99">
        <f t="shared" si="14"/>
        <v>0</v>
      </c>
      <c r="AG86" s="77">
        <v>200</v>
      </c>
      <c r="AH86" s="10">
        <f t="shared" si="8"/>
        <v>0</v>
      </c>
      <c r="AI86" s="98">
        <f t="shared" si="12"/>
        <v>2</v>
      </c>
      <c r="AJ86" s="76">
        <v>2</v>
      </c>
      <c r="AK86" s="99">
        <f t="shared" si="13"/>
        <v>0</v>
      </c>
      <c r="AL86" s="77">
        <v>200</v>
      </c>
      <c r="AM86" s="10">
        <f t="shared" si="9"/>
        <v>0</v>
      </c>
      <c r="AN86" s="77">
        <v>0</v>
      </c>
      <c r="AO86" s="78">
        <f t="shared" si="15"/>
        <v>0</v>
      </c>
      <c r="AQ86" s="30"/>
      <c r="AR86" s="30"/>
      <c r="AS86" s="30"/>
      <c r="AT86" s="30"/>
    </row>
    <row r="87" spans="1:46">
      <c r="A87" s="2">
        <f t="shared" si="10"/>
        <v>84</v>
      </c>
      <c r="B87" s="68">
        <v>696066666</v>
      </c>
      <c r="C87" s="84" t="s">
        <v>615</v>
      </c>
      <c r="D87" s="84" t="s">
        <v>616</v>
      </c>
      <c r="E87" s="84" t="s">
        <v>617</v>
      </c>
      <c r="F87" s="84" t="s">
        <v>93</v>
      </c>
      <c r="G87" s="84" t="s">
        <v>81</v>
      </c>
      <c r="H87" s="68">
        <v>25</v>
      </c>
      <c r="I87" s="68">
        <v>31250</v>
      </c>
      <c r="J87" s="68">
        <v>31313</v>
      </c>
      <c r="K87" s="68" t="s">
        <v>92</v>
      </c>
      <c r="L87" s="68" t="s">
        <v>18</v>
      </c>
      <c r="M87" s="84">
        <v>45729</v>
      </c>
      <c r="N87" s="84" t="s">
        <v>96</v>
      </c>
      <c r="O87" s="85" t="s">
        <v>97</v>
      </c>
      <c r="P87" s="84">
        <v>45733</v>
      </c>
      <c r="Q87" s="84">
        <v>45733</v>
      </c>
      <c r="R87" s="84">
        <v>45763</v>
      </c>
      <c r="S87" s="84">
        <v>45862</v>
      </c>
      <c r="T87" s="84">
        <v>45862</v>
      </c>
      <c r="U87" s="84">
        <v>45866</v>
      </c>
      <c r="V87" s="84">
        <v>45870</v>
      </c>
      <c r="W87" s="84">
        <v>45873</v>
      </c>
      <c r="X87" s="84">
        <v>45879</v>
      </c>
      <c r="Y87" s="84">
        <v>45879</v>
      </c>
      <c r="Z87" s="84">
        <v>45879</v>
      </c>
      <c r="AA87" s="84">
        <v>45879</v>
      </c>
      <c r="AB87" s="84">
        <v>45882</v>
      </c>
      <c r="AC87" s="86" t="s">
        <v>377</v>
      </c>
      <c r="AD87" s="98">
        <f t="shared" si="11"/>
        <v>6</v>
      </c>
      <c r="AE87" s="76">
        <v>7</v>
      </c>
      <c r="AF87" s="99">
        <f t="shared" si="14"/>
        <v>0</v>
      </c>
      <c r="AG87" s="77">
        <v>200</v>
      </c>
      <c r="AH87" s="10">
        <f t="shared" si="8"/>
        <v>0</v>
      </c>
      <c r="AI87" s="98">
        <f t="shared" si="12"/>
        <v>3</v>
      </c>
      <c r="AJ87" s="76">
        <v>2</v>
      </c>
      <c r="AK87" s="99">
        <f t="shared" si="13"/>
        <v>1</v>
      </c>
      <c r="AL87" s="77">
        <v>200</v>
      </c>
      <c r="AM87" s="10">
        <f t="shared" si="9"/>
        <v>200</v>
      </c>
      <c r="AN87" s="77">
        <v>0</v>
      </c>
      <c r="AO87" s="78">
        <f t="shared" si="15"/>
        <v>200</v>
      </c>
      <c r="AQ87" s="30"/>
      <c r="AR87" s="30"/>
      <c r="AS87" s="30"/>
      <c r="AT87" s="30"/>
    </row>
    <row r="88" spans="1:46">
      <c r="A88" s="2">
        <f t="shared" si="10"/>
        <v>85</v>
      </c>
      <c r="B88" s="68">
        <v>696066666</v>
      </c>
      <c r="C88" s="84" t="s">
        <v>618</v>
      </c>
      <c r="D88" s="84" t="s">
        <v>619</v>
      </c>
      <c r="E88" s="84" t="s">
        <v>620</v>
      </c>
      <c r="F88" s="84" t="s">
        <v>93</v>
      </c>
      <c r="G88" s="84" t="s">
        <v>81</v>
      </c>
      <c r="H88" s="68">
        <v>25</v>
      </c>
      <c r="I88" s="68">
        <v>31250</v>
      </c>
      <c r="J88" s="68">
        <v>31313</v>
      </c>
      <c r="K88" s="68" t="s">
        <v>92</v>
      </c>
      <c r="L88" s="68" t="s">
        <v>18</v>
      </c>
      <c r="M88" s="84">
        <v>45729</v>
      </c>
      <c r="N88" s="84" t="s">
        <v>96</v>
      </c>
      <c r="O88" s="85" t="s">
        <v>97</v>
      </c>
      <c r="P88" s="84">
        <v>45733</v>
      </c>
      <c r="Q88" s="84">
        <v>45733</v>
      </c>
      <c r="R88" s="84">
        <v>45763</v>
      </c>
      <c r="S88" s="84">
        <v>45862</v>
      </c>
      <c r="T88" s="84">
        <v>45862</v>
      </c>
      <c r="U88" s="84">
        <v>45866</v>
      </c>
      <c r="V88" s="84">
        <v>45870</v>
      </c>
      <c r="W88" s="84">
        <v>45873</v>
      </c>
      <c r="X88" s="84">
        <v>45879</v>
      </c>
      <c r="Y88" s="84">
        <v>45879</v>
      </c>
      <c r="Z88" s="84">
        <v>45879</v>
      </c>
      <c r="AA88" s="84">
        <v>45879</v>
      </c>
      <c r="AB88" s="84">
        <v>45882</v>
      </c>
      <c r="AC88" s="86" t="s">
        <v>377</v>
      </c>
      <c r="AD88" s="98">
        <f t="shared" si="11"/>
        <v>6</v>
      </c>
      <c r="AE88" s="76">
        <v>7</v>
      </c>
      <c r="AF88" s="99">
        <f t="shared" si="14"/>
        <v>0</v>
      </c>
      <c r="AG88" s="77">
        <v>200</v>
      </c>
      <c r="AH88" s="10">
        <f t="shared" si="8"/>
        <v>0</v>
      </c>
      <c r="AI88" s="98">
        <f t="shared" si="12"/>
        <v>3</v>
      </c>
      <c r="AJ88" s="76">
        <v>2</v>
      </c>
      <c r="AK88" s="99">
        <f t="shared" si="13"/>
        <v>1</v>
      </c>
      <c r="AL88" s="77">
        <v>200</v>
      </c>
      <c r="AM88" s="10">
        <f t="shared" si="9"/>
        <v>200</v>
      </c>
      <c r="AN88" s="77">
        <v>0</v>
      </c>
      <c r="AO88" s="78">
        <f t="shared" si="15"/>
        <v>200</v>
      </c>
      <c r="AQ88" s="30"/>
      <c r="AR88" s="30"/>
      <c r="AS88" s="30"/>
      <c r="AT88" s="30"/>
    </row>
    <row r="89" spans="1:46">
      <c r="A89" s="2">
        <f t="shared" si="10"/>
        <v>86</v>
      </c>
      <c r="B89" s="68">
        <v>696066666</v>
      </c>
      <c r="C89" s="84" t="s">
        <v>621</v>
      </c>
      <c r="D89" s="84" t="s">
        <v>622</v>
      </c>
      <c r="E89" s="84" t="s">
        <v>623</v>
      </c>
      <c r="F89" s="84" t="s">
        <v>93</v>
      </c>
      <c r="G89" s="84" t="s">
        <v>81</v>
      </c>
      <c r="H89" s="68">
        <v>25</v>
      </c>
      <c r="I89" s="68">
        <v>31250</v>
      </c>
      <c r="J89" s="68">
        <v>31313</v>
      </c>
      <c r="K89" s="68" t="s">
        <v>92</v>
      </c>
      <c r="L89" s="68" t="s">
        <v>18</v>
      </c>
      <c r="M89" s="84">
        <v>45729</v>
      </c>
      <c r="N89" s="84" t="s">
        <v>96</v>
      </c>
      <c r="O89" s="85" t="s">
        <v>97</v>
      </c>
      <c r="P89" s="84">
        <v>45733</v>
      </c>
      <c r="Q89" s="84">
        <v>45733</v>
      </c>
      <c r="R89" s="84">
        <v>45763</v>
      </c>
      <c r="S89" s="84">
        <v>45862</v>
      </c>
      <c r="T89" s="84">
        <v>45862</v>
      </c>
      <c r="U89" s="84">
        <v>45866</v>
      </c>
      <c r="V89" s="84">
        <v>45870</v>
      </c>
      <c r="W89" s="84">
        <v>45873</v>
      </c>
      <c r="X89" s="84">
        <v>45879</v>
      </c>
      <c r="Y89" s="84">
        <v>45879</v>
      </c>
      <c r="Z89" s="84">
        <v>45879</v>
      </c>
      <c r="AA89" s="84">
        <v>45879</v>
      </c>
      <c r="AB89" s="84">
        <v>45881</v>
      </c>
      <c r="AC89" s="86" t="s">
        <v>377</v>
      </c>
      <c r="AD89" s="98">
        <f t="shared" si="11"/>
        <v>6</v>
      </c>
      <c r="AE89" s="76">
        <v>7</v>
      </c>
      <c r="AF89" s="99">
        <f t="shared" si="14"/>
        <v>0</v>
      </c>
      <c r="AG89" s="77">
        <v>200</v>
      </c>
      <c r="AH89" s="10">
        <f t="shared" si="8"/>
        <v>0</v>
      </c>
      <c r="AI89" s="98">
        <f t="shared" si="12"/>
        <v>2</v>
      </c>
      <c r="AJ89" s="76">
        <v>2</v>
      </c>
      <c r="AK89" s="99">
        <f t="shared" si="13"/>
        <v>0</v>
      </c>
      <c r="AL89" s="77">
        <v>200</v>
      </c>
      <c r="AM89" s="10">
        <f t="shared" si="9"/>
        <v>0</v>
      </c>
      <c r="AN89" s="77">
        <v>0</v>
      </c>
      <c r="AO89" s="78">
        <f t="shared" si="15"/>
        <v>0</v>
      </c>
      <c r="AQ89" s="30"/>
      <c r="AR89" s="30"/>
      <c r="AS89" s="30"/>
      <c r="AT89" s="30"/>
    </row>
    <row r="90" spans="1:46">
      <c r="A90" s="2">
        <f t="shared" si="10"/>
        <v>87</v>
      </c>
      <c r="B90" s="68">
        <v>696066666</v>
      </c>
      <c r="C90" s="84" t="s">
        <v>624</v>
      </c>
      <c r="D90" s="84" t="s">
        <v>625</v>
      </c>
      <c r="E90" s="84" t="s">
        <v>626</v>
      </c>
      <c r="F90" s="84" t="s">
        <v>93</v>
      </c>
      <c r="G90" s="84" t="s">
        <v>81</v>
      </c>
      <c r="H90" s="68">
        <v>25</v>
      </c>
      <c r="I90" s="68">
        <v>31250</v>
      </c>
      <c r="J90" s="68">
        <v>31313</v>
      </c>
      <c r="K90" s="68" t="s">
        <v>92</v>
      </c>
      <c r="L90" s="68" t="s">
        <v>18</v>
      </c>
      <c r="M90" s="84">
        <v>45729</v>
      </c>
      <c r="N90" s="84" t="s">
        <v>96</v>
      </c>
      <c r="O90" s="85" t="s">
        <v>97</v>
      </c>
      <c r="P90" s="84">
        <v>45733</v>
      </c>
      <c r="Q90" s="84">
        <v>45733</v>
      </c>
      <c r="R90" s="84">
        <v>45763</v>
      </c>
      <c r="S90" s="84">
        <v>45862</v>
      </c>
      <c r="T90" s="84">
        <v>45862</v>
      </c>
      <c r="U90" s="84">
        <v>45866</v>
      </c>
      <c r="V90" s="84">
        <v>45870</v>
      </c>
      <c r="W90" s="84">
        <v>45873</v>
      </c>
      <c r="X90" s="84">
        <v>45879</v>
      </c>
      <c r="Y90" s="84">
        <v>45879</v>
      </c>
      <c r="Z90" s="84">
        <v>45879</v>
      </c>
      <c r="AA90" s="84">
        <v>45879</v>
      </c>
      <c r="AB90" s="84">
        <v>45881</v>
      </c>
      <c r="AC90" s="86" t="s">
        <v>377</v>
      </c>
      <c r="AD90" s="98">
        <f t="shared" si="11"/>
        <v>6</v>
      </c>
      <c r="AE90" s="76">
        <v>7</v>
      </c>
      <c r="AF90" s="99">
        <f t="shared" si="14"/>
        <v>0</v>
      </c>
      <c r="AG90" s="77">
        <v>200</v>
      </c>
      <c r="AH90" s="10">
        <f t="shared" si="8"/>
        <v>0</v>
      </c>
      <c r="AI90" s="98">
        <f t="shared" si="12"/>
        <v>2</v>
      </c>
      <c r="AJ90" s="76">
        <v>2</v>
      </c>
      <c r="AK90" s="99">
        <f t="shared" si="13"/>
        <v>0</v>
      </c>
      <c r="AL90" s="77">
        <v>200</v>
      </c>
      <c r="AM90" s="10">
        <f t="shared" si="9"/>
        <v>0</v>
      </c>
      <c r="AN90" s="77">
        <v>0</v>
      </c>
      <c r="AO90" s="78">
        <f t="shared" si="15"/>
        <v>0</v>
      </c>
      <c r="AQ90" s="30"/>
      <c r="AR90" s="30"/>
      <c r="AS90" s="30"/>
      <c r="AT90" s="30"/>
    </row>
    <row r="91" spans="1:46">
      <c r="A91" s="2">
        <f t="shared" si="10"/>
        <v>88</v>
      </c>
      <c r="B91" s="68">
        <v>696066666</v>
      </c>
      <c r="C91" s="84" t="s">
        <v>627</v>
      </c>
      <c r="D91" s="84" t="s">
        <v>628</v>
      </c>
      <c r="E91" s="84" t="s">
        <v>629</v>
      </c>
      <c r="F91" s="84" t="s">
        <v>93</v>
      </c>
      <c r="G91" s="84" t="s">
        <v>81</v>
      </c>
      <c r="H91" s="68">
        <v>25</v>
      </c>
      <c r="I91" s="68">
        <v>31250</v>
      </c>
      <c r="J91" s="68">
        <v>31313</v>
      </c>
      <c r="K91" s="68" t="s">
        <v>92</v>
      </c>
      <c r="L91" s="68" t="s">
        <v>18</v>
      </c>
      <c r="M91" s="84">
        <v>45729</v>
      </c>
      <c r="N91" s="84" t="s">
        <v>96</v>
      </c>
      <c r="O91" s="85" t="s">
        <v>97</v>
      </c>
      <c r="P91" s="84">
        <v>45733</v>
      </c>
      <c r="Q91" s="84">
        <v>45733</v>
      </c>
      <c r="R91" s="84">
        <v>45763</v>
      </c>
      <c r="S91" s="84">
        <v>45862</v>
      </c>
      <c r="T91" s="84">
        <v>45862</v>
      </c>
      <c r="U91" s="84">
        <v>45866</v>
      </c>
      <c r="V91" s="84">
        <v>45870</v>
      </c>
      <c r="W91" s="84">
        <v>45873</v>
      </c>
      <c r="X91" s="84">
        <v>45879</v>
      </c>
      <c r="Y91" s="84">
        <v>45879</v>
      </c>
      <c r="Z91" s="84">
        <v>45879</v>
      </c>
      <c r="AA91" s="84">
        <v>45879</v>
      </c>
      <c r="AB91" s="84">
        <v>45882</v>
      </c>
      <c r="AC91" s="86" t="s">
        <v>377</v>
      </c>
      <c r="AD91" s="98">
        <f t="shared" si="11"/>
        <v>6</v>
      </c>
      <c r="AE91" s="76">
        <v>7</v>
      </c>
      <c r="AF91" s="99">
        <f t="shared" si="14"/>
        <v>0</v>
      </c>
      <c r="AG91" s="77">
        <v>200</v>
      </c>
      <c r="AH91" s="10">
        <f t="shared" si="8"/>
        <v>0</v>
      </c>
      <c r="AI91" s="98">
        <f t="shared" si="12"/>
        <v>3</v>
      </c>
      <c r="AJ91" s="76">
        <v>2</v>
      </c>
      <c r="AK91" s="99">
        <f t="shared" si="13"/>
        <v>1</v>
      </c>
      <c r="AL91" s="77">
        <v>200</v>
      </c>
      <c r="AM91" s="10">
        <f t="shared" si="9"/>
        <v>200</v>
      </c>
      <c r="AN91" s="77">
        <v>0</v>
      </c>
      <c r="AO91" s="78">
        <f t="shared" si="15"/>
        <v>200</v>
      </c>
      <c r="AQ91" s="30"/>
      <c r="AR91" s="30"/>
      <c r="AS91" s="30"/>
      <c r="AT91" s="30"/>
    </row>
    <row r="92" spans="1:46">
      <c r="A92" s="2">
        <f t="shared" si="10"/>
        <v>89</v>
      </c>
      <c r="B92" s="68">
        <v>696066666</v>
      </c>
      <c r="C92" s="84" t="s">
        <v>630</v>
      </c>
      <c r="D92" s="84" t="s">
        <v>631</v>
      </c>
      <c r="E92" s="84" t="s">
        <v>632</v>
      </c>
      <c r="F92" s="84" t="s">
        <v>93</v>
      </c>
      <c r="G92" s="84" t="s">
        <v>81</v>
      </c>
      <c r="H92" s="68">
        <v>25</v>
      </c>
      <c r="I92" s="68">
        <v>31250</v>
      </c>
      <c r="J92" s="68">
        <v>31313</v>
      </c>
      <c r="K92" s="68" t="s">
        <v>92</v>
      </c>
      <c r="L92" s="68" t="s">
        <v>18</v>
      </c>
      <c r="M92" s="84">
        <v>45729</v>
      </c>
      <c r="N92" s="84" t="s">
        <v>96</v>
      </c>
      <c r="O92" s="85" t="s">
        <v>97</v>
      </c>
      <c r="P92" s="84">
        <v>45733</v>
      </c>
      <c r="Q92" s="84">
        <v>45733</v>
      </c>
      <c r="R92" s="84">
        <v>45763</v>
      </c>
      <c r="S92" s="84">
        <v>45862</v>
      </c>
      <c r="T92" s="84">
        <v>45862</v>
      </c>
      <c r="U92" s="84">
        <v>45866</v>
      </c>
      <c r="V92" s="84">
        <v>45870</v>
      </c>
      <c r="W92" s="84">
        <v>45873</v>
      </c>
      <c r="X92" s="84">
        <v>45879</v>
      </c>
      <c r="Y92" s="84">
        <v>45879</v>
      </c>
      <c r="Z92" s="84">
        <v>45879</v>
      </c>
      <c r="AA92" s="84">
        <v>45879</v>
      </c>
      <c r="AB92" s="84">
        <v>45881</v>
      </c>
      <c r="AC92" s="86" t="s">
        <v>377</v>
      </c>
      <c r="AD92" s="98">
        <f t="shared" si="11"/>
        <v>6</v>
      </c>
      <c r="AE92" s="76">
        <v>7</v>
      </c>
      <c r="AF92" s="99">
        <f t="shared" si="14"/>
        <v>0</v>
      </c>
      <c r="AG92" s="77">
        <v>200</v>
      </c>
      <c r="AH92" s="10">
        <f t="shared" si="8"/>
        <v>0</v>
      </c>
      <c r="AI92" s="98">
        <f t="shared" si="12"/>
        <v>2</v>
      </c>
      <c r="AJ92" s="76">
        <v>2</v>
      </c>
      <c r="AK92" s="99">
        <f t="shared" si="13"/>
        <v>0</v>
      </c>
      <c r="AL92" s="77">
        <v>200</v>
      </c>
      <c r="AM92" s="10">
        <f t="shared" si="9"/>
        <v>0</v>
      </c>
      <c r="AN92" s="77">
        <v>0</v>
      </c>
      <c r="AO92" s="78">
        <f t="shared" si="15"/>
        <v>0</v>
      </c>
      <c r="AQ92" s="30"/>
      <c r="AR92" s="30"/>
      <c r="AS92" s="30"/>
      <c r="AT92" s="30"/>
    </row>
    <row r="93" spans="1:46">
      <c r="A93" s="2">
        <f t="shared" si="10"/>
        <v>90</v>
      </c>
      <c r="B93" s="68">
        <v>696066666</v>
      </c>
      <c r="C93" s="84" t="s">
        <v>633</v>
      </c>
      <c r="D93" s="84" t="s">
        <v>634</v>
      </c>
      <c r="E93" s="84" t="s">
        <v>635</v>
      </c>
      <c r="F93" s="84" t="s">
        <v>93</v>
      </c>
      <c r="G93" s="84" t="s">
        <v>81</v>
      </c>
      <c r="H93" s="68">
        <v>25</v>
      </c>
      <c r="I93" s="68">
        <v>31250</v>
      </c>
      <c r="J93" s="68">
        <v>31313</v>
      </c>
      <c r="K93" s="68" t="s">
        <v>92</v>
      </c>
      <c r="L93" s="68" t="s">
        <v>18</v>
      </c>
      <c r="M93" s="84">
        <v>45729</v>
      </c>
      <c r="N93" s="84" t="s">
        <v>96</v>
      </c>
      <c r="O93" s="85" t="s">
        <v>97</v>
      </c>
      <c r="P93" s="84">
        <v>45733</v>
      </c>
      <c r="Q93" s="84">
        <v>45733</v>
      </c>
      <c r="R93" s="84">
        <v>45763</v>
      </c>
      <c r="S93" s="84">
        <v>45862</v>
      </c>
      <c r="T93" s="84">
        <v>45862</v>
      </c>
      <c r="U93" s="84">
        <v>45866</v>
      </c>
      <c r="V93" s="84">
        <v>45870</v>
      </c>
      <c r="W93" s="84">
        <v>45873</v>
      </c>
      <c r="X93" s="84">
        <v>45879</v>
      </c>
      <c r="Y93" s="84">
        <v>45879</v>
      </c>
      <c r="Z93" s="84">
        <v>45879</v>
      </c>
      <c r="AA93" s="84">
        <v>45879</v>
      </c>
      <c r="AB93" s="84">
        <v>45882</v>
      </c>
      <c r="AC93" s="86" t="s">
        <v>377</v>
      </c>
      <c r="AD93" s="98">
        <f t="shared" si="11"/>
        <v>6</v>
      </c>
      <c r="AE93" s="76">
        <v>7</v>
      </c>
      <c r="AF93" s="99">
        <f t="shared" si="14"/>
        <v>0</v>
      </c>
      <c r="AG93" s="77">
        <v>200</v>
      </c>
      <c r="AH93" s="10">
        <f t="shared" si="8"/>
        <v>0</v>
      </c>
      <c r="AI93" s="98">
        <f t="shared" si="12"/>
        <v>3</v>
      </c>
      <c r="AJ93" s="76">
        <v>2</v>
      </c>
      <c r="AK93" s="99">
        <f t="shared" si="13"/>
        <v>1</v>
      </c>
      <c r="AL93" s="77">
        <v>200</v>
      </c>
      <c r="AM93" s="10">
        <f t="shared" si="9"/>
        <v>200</v>
      </c>
      <c r="AN93" s="77">
        <v>0</v>
      </c>
      <c r="AO93" s="78">
        <f t="shared" si="15"/>
        <v>200</v>
      </c>
      <c r="AQ93" s="30"/>
      <c r="AR93" s="30"/>
      <c r="AS93" s="30"/>
      <c r="AT93" s="30"/>
    </row>
    <row r="94" spans="1:46">
      <c r="A94" s="2">
        <f t="shared" si="10"/>
        <v>91</v>
      </c>
      <c r="B94" s="68">
        <v>696066666</v>
      </c>
      <c r="C94" s="84" t="s">
        <v>636</v>
      </c>
      <c r="D94" s="84" t="s">
        <v>637</v>
      </c>
      <c r="E94" s="84" t="s">
        <v>638</v>
      </c>
      <c r="F94" s="84" t="s">
        <v>93</v>
      </c>
      <c r="G94" s="84" t="s">
        <v>81</v>
      </c>
      <c r="H94" s="68">
        <v>29</v>
      </c>
      <c r="I94" s="68">
        <v>36250</v>
      </c>
      <c r="J94" s="68">
        <v>36323</v>
      </c>
      <c r="K94" s="68" t="s">
        <v>92</v>
      </c>
      <c r="L94" s="68" t="s">
        <v>18</v>
      </c>
      <c r="M94" s="84">
        <v>45729</v>
      </c>
      <c r="N94" s="84" t="s">
        <v>96</v>
      </c>
      <c r="O94" s="85" t="s">
        <v>97</v>
      </c>
      <c r="P94" s="84">
        <v>45733</v>
      </c>
      <c r="Q94" s="84">
        <v>45733</v>
      </c>
      <c r="R94" s="84">
        <v>45763</v>
      </c>
      <c r="S94" s="84">
        <v>45863</v>
      </c>
      <c r="T94" s="84">
        <v>45864</v>
      </c>
      <c r="U94" s="84">
        <v>45867</v>
      </c>
      <c r="V94" s="84">
        <v>45870</v>
      </c>
      <c r="W94" s="84">
        <v>45872</v>
      </c>
      <c r="X94" s="84">
        <v>45877</v>
      </c>
      <c r="Y94" s="84">
        <v>45877</v>
      </c>
      <c r="Z94" s="84">
        <v>45877</v>
      </c>
      <c r="AA94" s="84">
        <v>45877</v>
      </c>
      <c r="AB94" s="84">
        <v>45881</v>
      </c>
      <c r="AC94" s="86" t="s">
        <v>377</v>
      </c>
      <c r="AD94" s="98">
        <f t="shared" si="11"/>
        <v>5</v>
      </c>
      <c r="AE94" s="76">
        <v>7</v>
      </c>
      <c r="AF94" s="99">
        <f t="shared" si="14"/>
        <v>0</v>
      </c>
      <c r="AG94" s="77">
        <v>200</v>
      </c>
      <c r="AH94" s="10">
        <f t="shared" si="8"/>
        <v>0</v>
      </c>
      <c r="AI94" s="98">
        <f t="shared" si="12"/>
        <v>4</v>
      </c>
      <c r="AJ94" s="76">
        <v>2</v>
      </c>
      <c r="AK94" s="99">
        <f t="shared" si="13"/>
        <v>2</v>
      </c>
      <c r="AL94" s="77">
        <v>200</v>
      </c>
      <c r="AM94" s="10">
        <f t="shared" si="9"/>
        <v>400</v>
      </c>
      <c r="AN94" s="77">
        <v>0</v>
      </c>
      <c r="AO94" s="78">
        <f t="shared" si="15"/>
        <v>400</v>
      </c>
      <c r="AQ94" s="30"/>
      <c r="AR94" s="30"/>
      <c r="AS94" s="30"/>
      <c r="AT94" s="30"/>
    </row>
    <row r="95" spans="1:46">
      <c r="A95" s="2">
        <f t="shared" si="10"/>
        <v>92</v>
      </c>
      <c r="B95" s="68">
        <v>696066666</v>
      </c>
      <c r="C95" s="84" t="s">
        <v>639</v>
      </c>
      <c r="D95" s="84" t="s">
        <v>640</v>
      </c>
      <c r="E95" s="84" t="s">
        <v>641</v>
      </c>
      <c r="F95" s="84" t="s">
        <v>93</v>
      </c>
      <c r="G95" s="84" t="s">
        <v>81</v>
      </c>
      <c r="H95" s="68">
        <v>28</v>
      </c>
      <c r="I95" s="68">
        <v>35000</v>
      </c>
      <c r="J95" s="68">
        <v>35070</v>
      </c>
      <c r="K95" s="68" t="s">
        <v>92</v>
      </c>
      <c r="L95" s="68" t="s">
        <v>18</v>
      </c>
      <c r="M95" s="84">
        <v>45729</v>
      </c>
      <c r="N95" s="84" t="s">
        <v>96</v>
      </c>
      <c r="O95" s="85" t="s">
        <v>97</v>
      </c>
      <c r="P95" s="84">
        <v>45733</v>
      </c>
      <c r="Q95" s="84">
        <v>45733</v>
      </c>
      <c r="R95" s="84">
        <v>45763</v>
      </c>
      <c r="S95" s="84">
        <v>45863</v>
      </c>
      <c r="T95" s="84">
        <v>45864</v>
      </c>
      <c r="U95" s="84">
        <v>45867</v>
      </c>
      <c r="V95" s="84">
        <v>45870</v>
      </c>
      <c r="W95" s="84">
        <v>45872</v>
      </c>
      <c r="X95" s="84">
        <v>45877</v>
      </c>
      <c r="Y95" s="84">
        <v>45877</v>
      </c>
      <c r="Z95" s="84">
        <v>45877</v>
      </c>
      <c r="AA95" s="84">
        <v>45877</v>
      </c>
      <c r="AB95" s="84">
        <v>45881</v>
      </c>
      <c r="AC95" s="86" t="s">
        <v>377</v>
      </c>
      <c r="AD95" s="98">
        <f t="shared" si="11"/>
        <v>5</v>
      </c>
      <c r="AE95" s="76">
        <v>7</v>
      </c>
      <c r="AF95" s="99">
        <f t="shared" si="14"/>
        <v>0</v>
      </c>
      <c r="AG95" s="77">
        <v>200</v>
      </c>
      <c r="AH95" s="10">
        <f t="shared" si="8"/>
        <v>0</v>
      </c>
      <c r="AI95" s="98">
        <f t="shared" si="12"/>
        <v>4</v>
      </c>
      <c r="AJ95" s="76">
        <v>2</v>
      </c>
      <c r="AK95" s="99">
        <f t="shared" si="13"/>
        <v>2</v>
      </c>
      <c r="AL95" s="77">
        <v>200</v>
      </c>
      <c r="AM95" s="10">
        <f t="shared" si="9"/>
        <v>400</v>
      </c>
      <c r="AN95" s="77">
        <v>0</v>
      </c>
      <c r="AO95" s="78">
        <f t="shared" si="15"/>
        <v>400</v>
      </c>
      <c r="AQ95" s="30"/>
      <c r="AR95" s="30"/>
      <c r="AS95" s="30"/>
      <c r="AT95" s="30"/>
    </row>
    <row r="96" spans="1:46">
      <c r="A96" s="2">
        <f t="shared" si="10"/>
        <v>93</v>
      </c>
      <c r="B96" s="68">
        <v>696066666</v>
      </c>
      <c r="C96" s="84" t="s">
        <v>136</v>
      </c>
      <c r="D96" s="84" t="s">
        <v>642</v>
      </c>
      <c r="E96" s="84" t="s">
        <v>156</v>
      </c>
      <c r="F96" s="84" t="s">
        <v>93</v>
      </c>
      <c r="G96" s="84" t="s">
        <v>81</v>
      </c>
      <c r="H96" s="68">
        <v>28</v>
      </c>
      <c r="I96" s="68">
        <v>35000</v>
      </c>
      <c r="J96" s="68">
        <v>35070</v>
      </c>
      <c r="K96" s="68" t="s">
        <v>92</v>
      </c>
      <c r="L96" s="68" t="s">
        <v>18</v>
      </c>
      <c r="M96" s="84">
        <v>45729</v>
      </c>
      <c r="N96" s="84" t="s">
        <v>96</v>
      </c>
      <c r="O96" s="85" t="s">
        <v>97</v>
      </c>
      <c r="P96" s="84">
        <v>45733</v>
      </c>
      <c r="Q96" s="84">
        <v>45733</v>
      </c>
      <c r="R96" s="84">
        <v>45763</v>
      </c>
      <c r="S96" s="84">
        <v>45863</v>
      </c>
      <c r="T96" s="84">
        <v>45864</v>
      </c>
      <c r="U96" s="84">
        <v>45867</v>
      </c>
      <c r="V96" s="84">
        <v>45870</v>
      </c>
      <c r="W96" s="84">
        <v>45872</v>
      </c>
      <c r="X96" s="84">
        <v>45877</v>
      </c>
      <c r="Y96" s="84">
        <v>45877</v>
      </c>
      <c r="Z96" s="84">
        <v>45877</v>
      </c>
      <c r="AA96" s="84">
        <v>45877</v>
      </c>
      <c r="AB96" s="84">
        <v>45881</v>
      </c>
      <c r="AC96" s="86" t="s">
        <v>377</v>
      </c>
      <c r="AD96" s="98">
        <f t="shared" si="11"/>
        <v>5</v>
      </c>
      <c r="AE96" s="76">
        <v>7</v>
      </c>
      <c r="AF96" s="99">
        <f t="shared" si="14"/>
        <v>0</v>
      </c>
      <c r="AG96" s="77">
        <v>200</v>
      </c>
      <c r="AH96" s="10">
        <f t="shared" si="8"/>
        <v>0</v>
      </c>
      <c r="AI96" s="98">
        <f t="shared" si="12"/>
        <v>4</v>
      </c>
      <c r="AJ96" s="76">
        <v>2</v>
      </c>
      <c r="AK96" s="99">
        <f t="shared" si="13"/>
        <v>2</v>
      </c>
      <c r="AL96" s="77">
        <v>200</v>
      </c>
      <c r="AM96" s="10">
        <f t="shared" si="9"/>
        <v>400</v>
      </c>
      <c r="AN96" s="77">
        <v>0</v>
      </c>
      <c r="AO96" s="78">
        <f t="shared" si="15"/>
        <v>400</v>
      </c>
      <c r="AQ96" s="30"/>
      <c r="AR96" s="30"/>
      <c r="AS96" s="30"/>
      <c r="AT96" s="30"/>
    </row>
    <row r="97" spans="1:46">
      <c r="A97" s="2">
        <f t="shared" si="10"/>
        <v>94</v>
      </c>
      <c r="B97" s="68">
        <v>696066666</v>
      </c>
      <c r="C97" s="84" t="s">
        <v>643</v>
      </c>
      <c r="D97" s="84" t="s">
        <v>644</v>
      </c>
      <c r="E97" s="84" t="s">
        <v>645</v>
      </c>
      <c r="F97" s="84" t="s">
        <v>373</v>
      </c>
      <c r="G97" s="84" t="s">
        <v>81</v>
      </c>
      <c r="H97" s="68">
        <v>29</v>
      </c>
      <c r="I97" s="68">
        <v>36250</v>
      </c>
      <c r="J97" s="68">
        <v>36323</v>
      </c>
      <c r="K97" s="68" t="s">
        <v>92</v>
      </c>
      <c r="L97" s="68" t="s">
        <v>18</v>
      </c>
      <c r="M97" s="84">
        <v>45729</v>
      </c>
      <c r="N97" s="84" t="s">
        <v>96</v>
      </c>
      <c r="O97" s="85" t="s">
        <v>97</v>
      </c>
      <c r="P97" s="84">
        <v>45733</v>
      </c>
      <c r="Q97" s="84">
        <v>45733</v>
      </c>
      <c r="R97" s="84">
        <v>45763</v>
      </c>
      <c r="S97" s="84">
        <v>45863</v>
      </c>
      <c r="T97" s="84">
        <v>45864</v>
      </c>
      <c r="U97" s="84">
        <v>45867</v>
      </c>
      <c r="V97" s="84">
        <v>45871</v>
      </c>
      <c r="W97" s="84">
        <v>45873</v>
      </c>
      <c r="X97" s="84">
        <v>45877</v>
      </c>
      <c r="Y97" s="84">
        <v>45877</v>
      </c>
      <c r="Z97" s="84">
        <v>45877</v>
      </c>
      <c r="AA97" s="84">
        <v>45877</v>
      </c>
      <c r="AB97" s="84">
        <v>45880</v>
      </c>
      <c r="AC97" s="86" t="s">
        <v>377</v>
      </c>
      <c r="AD97" s="98">
        <f t="shared" si="11"/>
        <v>4</v>
      </c>
      <c r="AE97" s="76">
        <v>7</v>
      </c>
      <c r="AF97" s="99">
        <f t="shared" si="14"/>
        <v>0</v>
      </c>
      <c r="AG97" s="77">
        <v>200</v>
      </c>
      <c r="AH97" s="10">
        <f t="shared" si="8"/>
        <v>0</v>
      </c>
      <c r="AI97" s="98">
        <f t="shared" si="12"/>
        <v>3</v>
      </c>
      <c r="AJ97" s="76">
        <v>2</v>
      </c>
      <c r="AK97" s="99">
        <f t="shared" si="13"/>
        <v>1</v>
      </c>
      <c r="AL97" s="77">
        <v>200</v>
      </c>
      <c r="AM97" s="10">
        <f t="shared" si="9"/>
        <v>200</v>
      </c>
      <c r="AN97" s="77">
        <v>0</v>
      </c>
      <c r="AO97" s="78">
        <f t="shared" si="15"/>
        <v>200</v>
      </c>
      <c r="AQ97" s="30"/>
      <c r="AR97" s="30"/>
      <c r="AS97" s="30"/>
      <c r="AT97" s="30"/>
    </row>
    <row r="98" spans="1:46">
      <c r="A98" s="2">
        <f t="shared" si="10"/>
        <v>95</v>
      </c>
      <c r="B98" s="68">
        <v>696066666</v>
      </c>
      <c r="C98" s="84" t="s">
        <v>194</v>
      </c>
      <c r="D98" s="84" t="s">
        <v>646</v>
      </c>
      <c r="E98" s="84" t="s">
        <v>209</v>
      </c>
      <c r="F98" s="84" t="s">
        <v>93</v>
      </c>
      <c r="G98" s="84" t="s">
        <v>81</v>
      </c>
      <c r="H98" s="68">
        <v>28</v>
      </c>
      <c r="I98" s="68">
        <v>35000</v>
      </c>
      <c r="J98" s="68">
        <v>35070</v>
      </c>
      <c r="K98" s="68" t="s">
        <v>92</v>
      </c>
      <c r="L98" s="68" t="s">
        <v>18</v>
      </c>
      <c r="M98" s="84">
        <v>45729</v>
      </c>
      <c r="N98" s="84" t="s">
        <v>96</v>
      </c>
      <c r="O98" s="85" t="s">
        <v>97</v>
      </c>
      <c r="P98" s="84">
        <v>45733</v>
      </c>
      <c r="Q98" s="84">
        <v>45733</v>
      </c>
      <c r="R98" s="84">
        <v>45763</v>
      </c>
      <c r="S98" s="84">
        <v>45863</v>
      </c>
      <c r="T98" s="84">
        <v>45864</v>
      </c>
      <c r="U98" s="84">
        <v>45867</v>
      </c>
      <c r="V98" s="84">
        <v>45869</v>
      </c>
      <c r="W98" s="84">
        <v>45872</v>
      </c>
      <c r="X98" s="84">
        <v>45877</v>
      </c>
      <c r="Y98" s="84">
        <v>45877</v>
      </c>
      <c r="Z98" s="84">
        <v>45877</v>
      </c>
      <c r="AA98" s="84">
        <v>45877</v>
      </c>
      <c r="AB98" s="84">
        <v>45880</v>
      </c>
      <c r="AC98" s="86" t="s">
        <v>377</v>
      </c>
      <c r="AD98" s="98">
        <f t="shared" si="11"/>
        <v>5</v>
      </c>
      <c r="AE98" s="76">
        <v>7</v>
      </c>
      <c r="AF98" s="99">
        <f t="shared" si="14"/>
        <v>0</v>
      </c>
      <c r="AG98" s="77">
        <v>200</v>
      </c>
      <c r="AH98" s="10">
        <f t="shared" si="8"/>
        <v>0</v>
      </c>
      <c r="AI98" s="98">
        <f t="shared" si="12"/>
        <v>3</v>
      </c>
      <c r="AJ98" s="76">
        <v>2</v>
      </c>
      <c r="AK98" s="99">
        <f t="shared" si="13"/>
        <v>1</v>
      </c>
      <c r="AL98" s="77">
        <v>200</v>
      </c>
      <c r="AM98" s="10">
        <f t="shared" si="9"/>
        <v>200</v>
      </c>
      <c r="AN98" s="77">
        <v>0</v>
      </c>
      <c r="AO98" s="78">
        <f t="shared" si="15"/>
        <v>200</v>
      </c>
      <c r="AQ98" s="30"/>
      <c r="AR98" s="30"/>
      <c r="AS98" s="30"/>
      <c r="AT98" s="30"/>
    </row>
    <row r="99" spans="1:46">
      <c r="A99" s="2">
        <f t="shared" si="10"/>
        <v>96</v>
      </c>
      <c r="B99" s="68">
        <v>696066666</v>
      </c>
      <c r="C99" s="84" t="s">
        <v>647</v>
      </c>
      <c r="D99" s="84" t="s">
        <v>648</v>
      </c>
      <c r="E99" s="84" t="s">
        <v>649</v>
      </c>
      <c r="F99" s="84" t="s">
        <v>93</v>
      </c>
      <c r="G99" s="84" t="s">
        <v>81</v>
      </c>
      <c r="H99" s="68">
        <v>28</v>
      </c>
      <c r="I99" s="68">
        <v>35000</v>
      </c>
      <c r="J99" s="68">
        <v>35070</v>
      </c>
      <c r="K99" s="68" t="s">
        <v>92</v>
      </c>
      <c r="L99" s="68" t="s">
        <v>18</v>
      </c>
      <c r="M99" s="84">
        <v>45729</v>
      </c>
      <c r="N99" s="84" t="s">
        <v>96</v>
      </c>
      <c r="O99" s="85" t="s">
        <v>97</v>
      </c>
      <c r="P99" s="84">
        <v>45733</v>
      </c>
      <c r="Q99" s="84">
        <v>45733</v>
      </c>
      <c r="R99" s="84">
        <v>45763</v>
      </c>
      <c r="S99" s="84">
        <v>45863</v>
      </c>
      <c r="T99" s="84">
        <v>45864</v>
      </c>
      <c r="U99" s="84">
        <v>45867</v>
      </c>
      <c r="V99" s="84">
        <v>45871</v>
      </c>
      <c r="W99" s="84">
        <v>45873</v>
      </c>
      <c r="X99" s="84">
        <v>45877</v>
      </c>
      <c r="Y99" s="84">
        <v>45877</v>
      </c>
      <c r="Z99" s="84">
        <v>45877</v>
      </c>
      <c r="AA99" s="84">
        <v>45877</v>
      </c>
      <c r="AB99" s="84">
        <v>45880</v>
      </c>
      <c r="AC99" s="86" t="s">
        <v>377</v>
      </c>
      <c r="AD99" s="98">
        <f t="shared" si="11"/>
        <v>4</v>
      </c>
      <c r="AE99" s="76">
        <v>7</v>
      </c>
      <c r="AF99" s="99">
        <f t="shared" si="14"/>
        <v>0</v>
      </c>
      <c r="AG99" s="77">
        <v>200</v>
      </c>
      <c r="AH99" s="10">
        <f t="shared" si="8"/>
        <v>0</v>
      </c>
      <c r="AI99" s="98">
        <f t="shared" si="12"/>
        <v>3</v>
      </c>
      <c r="AJ99" s="76">
        <v>2</v>
      </c>
      <c r="AK99" s="99">
        <f t="shared" si="13"/>
        <v>1</v>
      </c>
      <c r="AL99" s="77">
        <v>200</v>
      </c>
      <c r="AM99" s="10">
        <f t="shared" si="9"/>
        <v>200</v>
      </c>
      <c r="AN99" s="77">
        <v>0</v>
      </c>
      <c r="AO99" s="78">
        <f t="shared" si="15"/>
        <v>200</v>
      </c>
      <c r="AQ99" s="30"/>
      <c r="AR99" s="30"/>
      <c r="AS99" s="30"/>
      <c r="AT99" s="30"/>
    </row>
    <row r="100" spans="1:46">
      <c r="A100" s="2">
        <f t="shared" si="10"/>
        <v>97</v>
      </c>
      <c r="B100" s="68">
        <v>696066666</v>
      </c>
      <c r="C100" s="84" t="s">
        <v>650</v>
      </c>
      <c r="D100" s="84" t="s">
        <v>651</v>
      </c>
      <c r="E100" s="84" t="s">
        <v>652</v>
      </c>
      <c r="F100" s="84" t="s">
        <v>93</v>
      </c>
      <c r="G100" s="84" t="s">
        <v>81</v>
      </c>
      <c r="H100" s="68">
        <v>28</v>
      </c>
      <c r="I100" s="68">
        <v>35000</v>
      </c>
      <c r="J100" s="68">
        <v>35070</v>
      </c>
      <c r="K100" s="68" t="s">
        <v>92</v>
      </c>
      <c r="L100" s="68" t="s">
        <v>18</v>
      </c>
      <c r="M100" s="84">
        <v>45729</v>
      </c>
      <c r="N100" s="84" t="s">
        <v>96</v>
      </c>
      <c r="O100" s="85" t="s">
        <v>97</v>
      </c>
      <c r="P100" s="84">
        <v>45733</v>
      </c>
      <c r="Q100" s="84">
        <v>45733</v>
      </c>
      <c r="R100" s="84">
        <v>45763</v>
      </c>
      <c r="S100" s="84">
        <v>45863</v>
      </c>
      <c r="T100" s="84">
        <v>45864</v>
      </c>
      <c r="U100" s="84">
        <v>45867</v>
      </c>
      <c r="V100" s="84">
        <v>45870</v>
      </c>
      <c r="W100" s="84">
        <v>45872</v>
      </c>
      <c r="X100" s="84">
        <v>45877</v>
      </c>
      <c r="Y100" s="84">
        <v>45877</v>
      </c>
      <c r="Z100" s="84">
        <v>45877</v>
      </c>
      <c r="AA100" s="84">
        <v>45877</v>
      </c>
      <c r="AB100" s="84">
        <v>45880</v>
      </c>
      <c r="AC100" s="86" t="s">
        <v>377</v>
      </c>
      <c r="AD100" s="98">
        <f t="shared" si="11"/>
        <v>5</v>
      </c>
      <c r="AE100" s="76">
        <v>7</v>
      </c>
      <c r="AF100" s="99">
        <f t="shared" si="14"/>
        <v>0</v>
      </c>
      <c r="AG100" s="77">
        <v>200</v>
      </c>
      <c r="AH100" s="10">
        <f t="shared" si="8"/>
        <v>0</v>
      </c>
      <c r="AI100" s="98">
        <f t="shared" si="12"/>
        <v>3</v>
      </c>
      <c r="AJ100" s="76">
        <v>2</v>
      </c>
      <c r="AK100" s="99">
        <f t="shared" si="13"/>
        <v>1</v>
      </c>
      <c r="AL100" s="77">
        <v>200</v>
      </c>
      <c r="AM100" s="10">
        <f t="shared" si="9"/>
        <v>200</v>
      </c>
      <c r="AN100" s="77">
        <v>0</v>
      </c>
      <c r="AO100" s="78">
        <f t="shared" si="15"/>
        <v>200</v>
      </c>
      <c r="AQ100" s="30"/>
      <c r="AR100" s="30"/>
      <c r="AS100" s="30"/>
      <c r="AT100" s="30"/>
    </row>
    <row r="101" spans="1:46">
      <c r="A101" s="2">
        <f t="shared" si="10"/>
        <v>98</v>
      </c>
      <c r="B101" s="68">
        <v>696066666</v>
      </c>
      <c r="C101" s="84" t="s">
        <v>653</v>
      </c>
      <c r="D101" s="84" t="s">
        <v>654</v>
      </c>
      <c r="E101" s="84" t="s">
        <v>655</v>
      </c>
      <c r="F101" s="84" t="s">
        <v>93</v>
      </c>
      <c r="G101" s="84" t="s">
        <v>81</v>
      </c>
      <c r="H101" s="68">
        <v>28</v>
      </c>
      <c r="I101" s="68">
        <v>35000</v>
      </c>
      <c r="J101" s="68">
        <v>35070</v>
      </c>
      <c r="K101" s="68" t="s">
        <v>92</v>
      </c>
      <c r="L101" s="68" t="s">
        <v>18</v>
      </c>
      <c r="M101" s="84">
        <v>45729</v>
      </c>
      <c r="N101" s="84" t="s">
        <v>96</v>
      </c>
      <c r="O101" s="85" t="s">
        <v>97</v>
      </c>
      <c r="P101" s="84">
        <v>45733</v>
      </c>
      <c r="Q101" s="84">
        <v>45733</v>
      </c>
      <c r="R101" s="84">
        <v>45763</v>
      </c>
      <c r="S101" s="84">
        <v>45862</v>
      </c>
      <c r="T101" s="84">
        <v>45862</v>
      </c>
      <c r="U101" s="84">
        <v>45865</v>
      </c>
      <c r="V101" s="84">
        <v>45867</v>
      </c>
      <c r="W101" s="84">
        <v>45870</v>
      </c>
      <c r="X101" s="84">
        <v>45877</v>
      </c>
      <c r="Y101" s="84">
        <v>45877</v>
      </c>
      <c r="Z101" s="84">
        <v>45877</v>
      </c>
      <c r="AA101" s="84">
        <v>45877</v>
      </c>
      <c r="AB101" s="84">
        <v>45880</v>
      </c>
      <c r="AC101" s="86" t="s">
        <v>377</v>
      </c>
      <c r="AD101" s="98">
        <f t="shared" si="11"/>
        <v>7</v>
      </c>
      <c r="AE101" s="76">
        <v>7</v>
      </c>
      <c r="AF101" s="99">
        <f t="shared" si="14"/>
        <v>0</v>
      </c>
      <c r="AG101" s="77">
        <v>200</v>
      </c>
      <c r="AH101" s="10">
        <f t="shared" si="8"/>
        <v>0</v>
      </c>
      <c r="AI101" s="98">
        <f t="shared" si="12"/>
        <v>3</v>
      </c>
      <c r="AJ101" s="76">
        <v>2</v>
      </c>
      <c r="AK101" s="99">
        <f t="shared" si="13"/>
        <v>1</v>
      </c>
      <c r="AL101" s="77">
        <v>200</v>
      </c>
      <c r="AM101" s="10">
        <f t="shared" si="9"/>
        <v>200</v>
      </c>
      <c r="AN101" s="77">
        <v>0</v>
      </c>
      <c r="AO101" s="78">
        <f t="shared" si="15"/>
        <v>200</v>
      </c>
      <c r="AQ101" s="30"/>
      <c r="AR101" s="30"/>
      <c r="AS101" s="30"/>
      <c r="AT101" s="30"/>
    </row>
    <row r="102" spans="1:46">
      <c r="A102" s="2">
        <f t="shared" si="10"/>
        <v>99</v>
      </c>
      <c r="B102" s="68">
        <v>696066666</v>
      </c>
      <c r="C102" s="84" t="s">
        <v>656</v>
      </c>
      <c r="D102" s="84" t="s">
        <v>657</v>
      </c>
      <c r="E102" s="84" t="s">
        <v>658</v>
      </c>
      <c r="F102" s="84" t="s">
        <v>373</v>
      </c>
      <c r="G102" s="84" t="s">
        <v>81</v>
      </c>
      <c r="H102" s="68">
        <v>28</v>
      </c>
      <c r="I102" s="68">
        <v>35070</v>
      </c>
      <c r="J102" s="68">
        <v>35070</v>
      </c>
      <c r="K102" s="68" t="s">
        <v>92</v>
      </c>
      <c r="L102" s="68" t="s">
        <v>18</v>
      </c>
      <c r="M102" s="84">
        <v>45729</v>
      </c>
      <c r="N102" s="84" t="s">
        <v>96</v>
      </c>
      <c r="O102" s="85" t="s">
        <v>97</v>
      </c>
      <c r="P102" s="84">
        <v>45733</v>
      </c>
      <c r="Q102" s="84">
        <v>45733</v>
      </c>
      <c r="R102" s="84">
        <v>45763</v>
      </c>
      <c r="S102" s="84">
        <v>45852</v>
      </c>
      <c r="T102" s="84">
        <v>45853</v>
      </c>
      <c r="U102" s="84">
        <v>45857</v>
      </c>
      <c r="V102" s="84">
        <v>45862</v>
      </c>
      <c r="W102" s="84">
        <v>45865</v>
      </c>
      <c r="X102" s="84">
        <v>45869</v>
      </c>
      <c r="Y102" s="84">
        <v>45869</v>
      </c>
      <c r="Z102" s="84">
        <v>45872</v>
      </c>
      <c r="AA102" s="84">
        <v>45872</v>
      </c>
      <c r="AB102" s="84">
        <v>45873</v>
      </c>
      <c r="AC102" s="86" t="s">
        <v>377</v>
      </c>
      <c r="AD102" s="98">
        <f t="shared" si="11"/>
        <v>4</v>
      </c>
      <c r="AE102" s="76">
        <v>7</v>
      </c>
      <c r="AF102" s="99">
        <f t="shared" si="14"/>
        <v>0</v>
      </c>
      <c r="AG102" s="77">
        <v>200</v>
      </c>
      <c r="AH102" s="10">
        <f t="shared" si="8"/>
        <v>0</v>
      </c>
      <c r="AI102" s="98">
        <f t="shared" si="12"/>
        <v>1</v>
      </c>
      <c r="AJ102" s="76">
        <v>2</v>
      </c>
      <c r="AK102" s="99">
        <f t="shared" si="13"/>
        <v>0</v>
      </c>
      <c r="AL102" s="77">
        <v>200</v>
      </c>
      <c r="AM102" s="10">
        <f t="shared" si="9"/>
        <v>0</v>
      </c>
      <c r="AN102" s="77">
        <v>0</v>
      </c>
      <c r="AO102" s="78">
        <f t="shared" si="15"/>
        <v>0</v>
      </c>
      <c r="AQ102" s="30"/>
      <c r="AR102" s="30"/>
      <c r="AS102" s="30"/>
      <c r="AT102" s="30"/>
    </row>
    <row r="103" spans="1:46">
      <c r="A103" s="2">
        <f t="shared" si="10"/>
        <v>100</v>
      </c>
      <c r="B103" s="68">
        <v>696066666</v>
      </c>
      <c r="C103" s="84" t="s">
        <v>258</v>
      </c>
      <c r="D103" s="84" t="s">
        <v>267</v>
      </c>
      <c r="E103" s="84" t="s">
        <v>276</v>
      </c>
      <c r="F103" s="84" t="s">
        <v>373</v>
      </c>
      <c r="G103" s="84" t="s">
        <v>81</v>
      </c>
      <c r="H103" s="68">
        <v>28</v>
      </c>
      <c r="I103" s="68">
        <v>3500</v>
      </c>
      <c r="J103" s="68">
        <v>35070</v>
      </c>
      <c r="K103" s="68" t="s">
        <v>92</v>
      </c>
      <c r="L103" s="68" t="s">
        <v>18</v>
      </c>
      <c r="M103" s="84">
        <v>45729</v>
      </c>
      <c r="N103" s="84" t="s">
        <v>96</v>
      </c>
      <c r="O103" s="85" t="s">
        <v>97</v>
      </c>
      <c r="P103" s="84">
        <v>45733</v>
      </c>
      <c r="Q103" s="84">
        <v>45733</v>
      </c>
      <c r="R103" s="84">
        <v>45763</v>
      </c>
      <c r="S103" s="84">
        <v>45852</v>
      </c>
      <c r="T103" s="84">
        <v>45853</v>
      </c>
      <c r="U103" s="84">
        <v>45857</v>
      </c>
      <c r="V103" s="84">
        <v>45863</v>
      </c>
      <c r="W103" s="84">
        <v>45867</v>
      </c>
      <c r="X103" s="84">
        <v>45869</v>
      </c>
      <c r="Y103" s="84">
        <v>45869</v>
      </c>
      <c r="Z103" s="84">
        <v>45872</v>
      </c>
      <c r="AA103" s="84">
        <v>45872</v>
      </c>
      <c r="AB103" s="84">
        <v>45873</v>
      </c>
      <c r="AC103" s="86" t="s">
        <v>377</v>
      </c>
      <c r="AD103" s="98">
        <f t="shared" si="11"/>
        <v>2</v>
      </c>
      <c r="AE103" s="76">
        <v>7</v>
      </c>
      <c r="AF103" s="99">
        <f t="shared" si="14"/>
        <v>0</v>
      </c>
      <c r="AG103" s="77">
        <v>200</v>
      </c>
      <c r="AH103" s="10">
        <f t="shared" si="8"/>
        <v>0</v>
      </c>
      <c r="AI103" s="98">
        <f t="shared" si="12"/>
        <v>1</v>
      </c>
      <c r="AJ103" s="76">
        <v>2</v>
      </c>
      <c r="AK103" s="99">
        <f t="shared" si="13"/>
        <v>0</v>
      </c>
      <c r="AL103" s="77">
        <v>200</v>
      </c>
      <c r="AM103" s="10">
        <f t="shared" si="9"/>
        <v>0</v>
      </c>
      <c r="AN103" s="77">
        <v>0</v>
      </c>
      <c r="AO103" s="78">
        <f t="shared" si="15"/>
        <v>0</v>
      </c>
      <c r="AQ103" s="30"/>
      <c r="AR103" s="30"/>
      <c r="AS103" s="30"/>
      <c r="AT103" s="30"/>
    </row>
    <row r="104" spans="1:46">
      <c r="A104" s="2">
        <f t="shared" si="10"/>
        <v>101</v>
      </c>
      <c r="B104" s="68">
        <v>696066666</v>
      </c>
      <c r="C104" s="84" t="s">
        <v>659</v>
      </c>
      <c r="D104" s="84" t="s">
        <v>660</v>
      </c>
      <c r="E104" s="84" t="s">
        <v>661</v>
      </c>
      <c r="F104" s="84" t="s">
        <v>373</v>
      </c>
      <c r="G104" s="84" t="s">
        <v>81</v>
      </c>
      <c r="H104" s="68">
        <v>29</v>
      </c>
      <c r="I104" s="68">
        <v>36250</v>
      </c>
      <c r="J104" s="68">
        <v>36323</v>
      </c>
      <c r="K104" s="68" t="s">
        <v>92</v>
      </c>
      <c r="L104" s="68" t="s">
        <v>18</v>
      </c>
      <c r="M104" s="84">
        <v>45729</v>
      </c>
      <c r="N104" s="84" t="s">
        <v>96</v>
      </c>
      <c r="O104" s="85" t="s">
        <v>97</v>
      </c>
      <c r="P104" s="84">
        <v>45733</v>
      </c>
      <c r="Q104" s="84">
        <v>45733</v>
      </c>
      <c r="R104" s="84">
        <v>45763</v>
      </c>
      <c r="S104" s="84">
        <v>45852</v>
      </c>
      <c r="T104" s="84">
        <v>45853</v>
      </c>
      <c r="U104" s="84">
        <v>45857</v>
      </c>
      <c r="V104" s="84">
        <v>45859</v>
      </c>
      <c r="W104" s="84">
        <v>45867</v>
      </c>
      <c r="X104" s="84">
        <v>45869</v>
      </c>
      <c r="Y104" s="84">
        <v>45869</v>
      </c>
      <c r="Z104" s="84">
        <v>45872</v>
      </c>
      <c r="AA104" s="84">
        <v>45872</v>
      </c>
      <c r="AB104" s="84">
        <v>45873</v>
      </c>
      <c r="AC104" s="86" t="s">
        <v>377</v>
      </c>
      <c r="AD104" s="98">
        <f t="shared" si="11"/>
        <v>2</v>
      </c>
      <c r="AE104" s="76">
        <v>7</v>
      </c>
      <c r="AF104" s="99">
        <f t="shared" si="14"/>
        <v>0</v>
      </c>
      <c r="AG104" s="77">
        <v>200</v>
      </c>
      <c r="AH104" s="10">
        <f t="shared" si="8"/>
        <v>0</v>
      </c>
      <c r="AI104" s="98">
        <f t="shared" si="12"/>
        <v>1</v>
      </c>
      <c r="AJ104" s="76">
        <v>2</v>
      </c>
      <c r="AK104" s="99">
        <f t="shared" si="13"/>
        <v>0</v>
      </c>
      <c r="AL104" s="77">
        <v>200</v>
      </c>
      <c r="AM104" s="10">
        <f t="shared" si="9"/>
        <v>0</v>
      </c>
      <c r="AN104" s="77">
        <v>0</v>
      </c>
      <c r="AO104" s="78">
        <f t="shared" si="15"/>
        <v>0</v>
      </c>
      <c r="AQ104" s="30"/>
      <c r="AR104" s="30"/>
      <c r="AS104" s="30"/>
      <c r="AT104" s="30"/>
    </row>
    <row r="105" spans="1:46">
      <c r="A105" s="2">
        <f t="shared" si="10"/>
        <v>102</v>
      </c>
      <c r="B105" s="68">
        <v>696066666</v>
      </c>
      <c r="C105" s="84" t="s">
        <v>662</v>
      </c>
      <c r="D105" s="84" t="s">
        <v>663</v>
      </c>
      <c r="E105" s="84" t="s">
        <v>664</v>
      </c>
      <c r="F105" s="84" t="s">
        <v>373</v>
      </c>
      <c r="G105" s="84" t="s">
        <v>81</v>
      </c>
      <c r="H105" s="68">
        <v>29</v>
      </c>
      <c r="I105" s="68">
        <v>36250</v>
      </c>
      <c r="J105" s="68">
        <v>36323</v>
      </c>
      <c r="K105" s="68" t="s">
        <v>92</v>
      </c>
      <c r="L105" s="68" t="s">
        <v>18</v>
      </c>
      <c r="M105" s="84">
        <v>45729</v>
      </c>
      <c r="N105" s="84" t="s">
        <v>96</v>
      </c>
      <c r="O105" s="85" t="s">
        <v>97</v>
      </c>
      <c r="P105" s="84">
        <v>45733</v>
      </c>
      <c r="Q105" s="84">
        <v>45733</v>
      </c>
      <c r="R105" s="84">
        <v>45763</v>
      </c>
      <c r="S105" s="84">
        <v>45852</v>
      </c>
      <c r="T105" s="84">
        <v>45853</v>
      </c>
      <c r="U105" s="84">
        <v>45857</v>
      </c>
      <c r="V105" s="84">
        <v>45859</v>
      </c>
      <c r="W105" s="84">
        <v>45861</v>
      </c>
      <c r="X105" s="84">
        <v>45868</v>
      </c>
      <c r="Y105" s="84">
        <v>45868</v>
      </c>
      <c r="Z105" s="84">
        <v>45868</v>
      </c>
      <c r="AA105" s="84">
        <v>45868</v>
      </c>
      <c r="AB105" s="84">
        <v>45869</v>
      </c>
      <c r="AC105" s="86" t="s">
        <v>377</v>
      </c>
      <c r="AD105" s="98">
        <f t="shared" si="11"/>
        <v>7</v>
      </c>
      <c r="AE105" s="76">
        <v>7</v>
      </c>
      <c r="AF105" s="99">
        <f t="shared" si="14"/>
        <v>0</v>
      </c>
      <c r="AG105" s="77">
        <v>200</v>
      </c>
      <c r="AH105" s="10">
        <f t="shared" si="8"/>
        <v>0</v>
      </c>
      <c r="AI105" s="98">
        <f t="shared" si="12"/>
        <v>1</v>
      </c>
      <c r="AJ105" s="76">
        <v>2</v>
      </c>
      <c r="AK105" s="99">
        <f t="shared" si="13"/>
        <v>0</v>
      </c>
      <c r="AL105" s="77">
        <v>200</v>
      </c>
      <c r="AM105" s="10">
        <f t="shared" si="9"/>
        <v>0</v>
      </c>
      <c r="AN105" s="77">
        <v>100</v>
      </c>
      <c r="AO105" s="78">
        <f t="shared" si="15"/>
        <v>100</v>
      </c>
      <c r="AQ105" s="30"/>
      <c r="AR105" s="30"/>
      <c r="AS105" s="30"/>
      <c r="AT105" s="30"/>
    </row>
    <row r="106" spans="1:46">
      <c r="A106" s="2">
        <f t="shared" si="10"/>
        <v>103</v>
      </c>
      <c r="B106" s="68">
        <v>696066666</v>
      </c>
      <c r="C106" s="84" t="s">
        <v>665</v>
      </c>
      <c r="D106" s="84" t="s">
        <v>666</v>
      </c>
      <c r="E106" s="84" t="s">
        <v>667</v>
      </c>
      <c r="F106" s="84" t="s">
        <v>373</v>
      </c>
      <c r="G106" s="84" t="s">
        <v>81</v>
      </c>
      <c r="H106" s="68">
        <v>28</v>
      </c>
      <c r="I106" s="68">
        <v>35000</v>
      </c>
      <c r="J106" s="68">
        <v>35070</v>
      </c>
      <c r="K106" s="68" t="s">
        <v>8</v>
      </c>
      <c r="L106" s="68" t="s">
        <v>18</v>
      </c>
      <c r="M106" s="84">
        <v>45729</v>
      </c>
      <c r="N106" s="84" t="s">
        <v>96</v>
      </c>
      <c r="O106" s="85" t="s">
        <v>97</v>
      </c>
      <c r="P106" s="84">
        <v>45733</v>
      </c>
      <c r="Q106" s="84">
        <v>45733</v>
      </c>
      <c r="R106" s="84">
        <v>45763</v>
      </c>
      <c r="S106" s="84">
        <v>45850</v>
      </c>
      <c r="T106" s="84">
        <v>45852</v>
      </c>
      <c r="U106" s="84">
        <v>45857</v>
      </c>
      <c r="V106" s="84">
        <v>45860</v>
      </c>
      <c r="W106" s="84">
        <v>45862</v>
      </c>
      <c r="X106" s="84">
        <v>45868</v>
      </c>
      <c r="Y106" s="84">
        <v>45868</v>
      </c>
      <c r="Z106" s="84">
        <v>45868</v>
      </c>
      <c r="AA106" s="84">
        <v>45868</v>
      </c>
      <c r="AB106" s="84">
        <v>45869</v>
      </c>
      <c r="AC106" s="86" t="s">
        <v>377</v>
      </c>
      <c r="AD106" s="98">
        <f t="shared" si="11"/>
        <v>6</v>
      </c>
      <c r="AE106" s="76">
        <v>7</v>
      </c>
      <c r="AF106" s="99">
        <f t="shared" si="14"/>
        <v>0</v>
      </c>
      <c r="AG106" s="77">
        <v>200</v>
      </c>
      <c r="AH106" s="10">
        <f t="shared" si="8"/>
        <v>0</v>
      </c>
      <c r="AI106" s="98">
        <f t="shared" si="12"/>
        <v>1</v>
      </c>
      <c r="AJ106" s="76">
        <v>2</v>
      </c>
      <c r="AK106" s="99">
        <f t="shared" si="13"/>
        <v>0</v>
      </c>
      <c r="AL106" s="77">
        <v>200</v>
      </c>
      <c r="AM106" s="10">
        <f t="shared" si="9"/>
        <v>0</v>
      </c>
      <c r="AN106" s="77">
        <v>100</v>
      </c>
      <c r="AO106" s="78">
        <f t="shared" si="15"/>
        <v>100</v>
      </c>
      <c r="AQ106" s="30"/>
      <c r="AR106" s="30"/>
      <c r="AS106" s="30"/>
      <c r="AT106" s="30"/>
    </row>
    <row r="107" spans="1:46">
      <c r="A107" s="2">
        <f t="shared" si="10"/>
        <v>104</v>
      </c>
      <c r="B107" s="68">
        <v>696066666</v>
      </c>
      <c r="C107" s="84" t="s">
        <v>15</v>
      </c>
      <c r="D107" s="84" t="s">
        <v>668</v>
      </c>
      <c r="E107" s="84" t="s">
        <v>17</v>
      </c>
      <c r="F107" s="84" t="s">
        <v>373</v>
      </c>
      <c r="G107" s="84" t="s">
        <v>81</v>
      </c>
      <c r="H107" s="68">
        <v>28</v>
      </c>
      <c r="I107" s="68">
        <v>35000</v>
      </c>
      <c r="J107" s="68">
        <v>35070</v>
      </c>
      <c r="K107" s="68" t="s">
        <v>92</v>
      </c>
      <c r="L107" s="68" t="s">
        <v>18</v>
      </c>
      <c r="M107" s="84">
        <v>45729</v>
      </c>
      <c r="N107" s="84" t="s">
        <v>96</v>
      </c>
      <c r="O107" s="85" t="s">
        <v>97</v>
      </c>
      <c r="P107" s="84">
        <v>45733</v>
      </c>
      <c r="Q107" s="84">
        <v>45733</v>
      </c>
      <c r="R107" s="84">
        <v>45763</v>
      </c>
      <c r="S107" s="84">
        <v>45852</v>
      </c>
      <c r="T107" s="84">
        <v>45853</v>
      </c>
      <c r="U107" s="84">
        <v>45857</v>
      </c>
      <c r="V107" s="84">
        <v>45859</v>
      </c>
      <c r="W107" s="84">
        <v>45863</v>
      </c>
      <c r="X107" s="84">
        <v>45868</v>
      </c>
      <c r="Y107" s="84">
        <v>45868</v>
      </c>
      <c r="Z107" s="84">
        <v>45868</v>
      </c>
      <c r="AA107" s="84">
        <v>45868</v>
      </c>
      <c r="AB107" s="84">
        <v>45869</v>
      </c>
      <c r="AC107" s="86" t="s">
        <v>377</v>
      </c>
      <c r="AD107" s="98">
        <f t="shared" si="11"/>
        <v>5</v>
      </c>
      <c r="AE107" s="76">
        <v>7</v>
      </c>
      <c r="AF107" s="99">
        <f t="shared" si="14"/>
        <v>0</v>
      </c>
      <c r="AG107" s="77">
        <v>200</v>
      </c>
      <c r="AH107" s="10">
        <f t="shared" si="8"/>
        <v>0</v>
      </c>
      <c r="AI107" s="98">
        <f t="shared" si="12"/>
        <v>1</v>
      </c>
      <c r="AJ107" s="76">
        <v>2</v>
      </c>
      <c r="AK107" s="99">
        <f t="shared" si="13"/>
        <v>0</v>
      </c>
      <c r="AL107" s="77">
        <v>200</v>
      </c>
      <c r="AM107" s="10">
        <f t="shared" si="9"/>
        <v>0</v>
      </c>
      <c r="AN107" s="77">
        <v>50</v>
      </c>
      <c r="AO107" s="78">
        <f t="shared" si="15"/>
        <v>50</v>
      </c>
      <c r="AQ107" s="30"/>
      <c r="AR107" s="30"/>
      <c r="AS107" s="30"/>
      <c r="AT107" s="30"/>
    </row>
    <row r="108" spans="1:46">
      <c r="A108" s="2">
        <f t="shared" si="10"/>
        <v>105</v>
      </c>
      <c r="B108" s="68">
        <v>696066666</v>
      </c>
      <c r="C108" s="84" t="s">
        <v>669</v>
      </c>
      <c r="D108" s="84" t="s">
        <v>670</v>
      </c>
      <c r="E108" s="84" t="s">
        <v>671</v>
      </c>
      <c r="F108" s="84" t="s">
        <v>373</v>
      </c>
      <c r="G108" s="84" t="s">
        <v>81</v>
      </c>
      <c r="H108" s="68">
        <v>29</v>
      </c>
      <c r="I108" s="68">
        <v>36250</v>
      </c>
      <c r="J108" s="68">
        <v>36323</v>
      </c>
      <c r="K108" s="68" t="s">
        <v>92</v>
      </c>
      <c r="L108" s="68" t="s">
        <v>18</v>
      </c>
      <c r="M108" s="84">
        <v>45729</v>
      </c>
      <c r="N108" s="84" t="s">
        <v>96</v>
      </c>
      <c r="O108" s="85" t="s">
        <v>97</v>
      </c>
      <c r="P108" s="84">
        <v>45733</v>
      </c>
      <c r="Q108" s="84">
        <v>45733</v>
      </c>
      <c r="R108" s="84">
        <v>45763</v>
      </c>
      <c r="S108" s="84">
        <v>45852</v>
      </c>
      <c r="T108" s="84">
        <v>45853</v>
      </c>
      <c r="U108" s="84">
        <v>45857</v>
      </c>
      <c r="V108" s="84">
        <v>45860</v>
      </c>
      <c r="W108" s="84">
        <v>45862</v>
      </c>
      <c r="X108" s="84">
        <v>45868</v>
      </c>
      <c r="Y108" s="84">
        <v>45868</v>
      </c>
      <c r="Z108" s="84">
        <v>45868</v>
      </c>
      <c r="AA108" s="84">
        <v>45868</v>
      </c>
      <c r="AB108" s="84">
        <v>45869</v>
      </c>
      <c r="AC108" s="86" t="s">
        <v>377</v>
      </c>
      <c r="AD108" s="98">
        <f t="shared" si="11"/>
        <v>6</v>
      </c>
      <c r="AE108" s="76">
        <v>7</v>
      </c>
      <c r="AF108" s="99">
        <f t="shared" si="14"/>
        <v>0</v>
      </c>
      <c r="AG108" s="77">
        <v>200</v>
      </c>
      <c r="AH108" s="10">
        <f t="shared" si="8"/>
        <v>0</v>
      </c>
      <c r="AI108" s="98">
        <f t="shared" si="12"/>
        <v>1</v>
      </c>
      <c r="AJ108" s="76">
        <v>2</v>
      </c>
      <c r="AK108" s="99">
        <f t="shared" si="13"/>
        <v>0</v>
      </c>
      <c r="AL108" s="77">
        <v>200</v>
      </c>
      <c r="AM108" s="10">
        <f t="shared" si="9"/>
        <v>0</v>
      </c>
      <c r="AN108" s="77">
        <v>25</v>
      </c>
      <c r="AO108" s="78">
        <f t="shared" si="15"/>
        <v>25</v>
      </c>
      <c r="AQ108" s="30"/>
      <c r="AR108" s="30"/>
      <c r="AS108" s="30"/>
      <c r="AT108" s="30"/>
    </row>
    <row r="109" spans="1:46">
      <c r="A109" s="2">
        <f t="shared" si="10"/>
        <v>106</v>
      </c>
      <c r="B109" s="68">
        <v>696066666</v>
      </c>
      <c r="C109" s="84" t="s">
        <v>30</v>
      </c>
      <c r="D109" s="84" t="s">
        <v>34</v>
      </c>
      <c r="E109" s="84" t="s">
        <v>672</v>
      </c>
      <c r="F109" s="84" t="s">
        <v>373</v>
      </c>
      <c r="G109" s="84" t="s">
        <v>81</v>
      </c>
      <c r="H109" s="68">
        <v>28</v>
      </c>
      <c r="I109" s="68">
        <v>35000</v>
      </c>
      <c r="J109" s="68">
        <v>35070</v>
      </c>
      <c r="K109" s="68" t="s">
        <v>92</v>
      </c>
      <c r="L109" s="68" t="s">
        <v>18</v>
      </c>
      <c r="M109" s="84">
        <v>45729</v>
      </c>
      <c r="N109" s="84" t="s">
        <v>96</v>
      </c>
      <c r="O109" s="85" t="s">
        <v>97</v>
      </c>
      <c r="P109" s="84">
        <v>45733</v>
      </c>
      <c r="Q109" s="84">
        <v>45733</v>
      </c>
      <c r="R109" s="84">
        <v>45763</v>
      </c>
      <c r="S109" s="84">
        <v>45852</v>
      </c>
      <c r="T109" s="84">
        <v>45853</v>
      </c>
      <c r="U109" s="84">
        <v>45857</v>
      </c>
      <c r="V109" s="84">
        <v>45860</v>
      </c>
      <c r="W109" s="84">
        <v>45862</v>
      </c>
      <c r="X109" s="84">
        <v>45868</v>
      </c>
      <c r="Y109" s="84">
        <v>45868</v>
      </c>
      <c r="Z109" s="84">
        <v>45868</v>
      </c>
      <c r="AA109" s="84">
        <v>45868</v>
      </c>
      <c r="AB109" s="84">
        <v>45869</v>
      </c>
      <c r="AC109" s="86" t="s">
        <v>377</v>
      </c>
      <c r="AD109" s="98">
        <f t="shared" si="11"/>
        <v>6</v>
      </c>
      <c r="AE109" s="76">
        <v>7</v>
      </c>
      <c r="AF109" s="99">
        <f t="shared" si="14"/>
        <v>0</v>
      </c>
      <c r="AG109" s="77">
        <v>200</v>
      </c>
      <c r="AH109" s="10">
        <f t="shared" si="8"/>
        <v>0</v>
      </c>
      <c r="AI109" s="98">
        <f t="shared" si="12"/>
        <v>1</v>
      </c>
      <c r="AJ109" s="76">
        <v>2</v>
      </c>
      <c r="AK109" s="99">
        <f t="shared" si="13"/>
        <v>0</v>
      </c>
      <c r="AL109" s="77">
        <v>200</v>
      </c>
      <c r="AM109" s="10">
        <f t="shared" si="9"/>
        <v>0</v>
      </c>
      <c r="AN109" s="77">
        <v>25</v>
      </c>
      <c r="AO109" s="78">
        <f t="shared" si="15"/>
        <v>25</v>
      </c>
      <c r="AQ109" s="30"/>
      <c r="AR109" s="30"/>
      <c r="AS109" s="30"/>
      <c r="AT109" s="30"/>
    </row>
    <row r="110" spans="1:46">
      <c r="A110" s="2">
        <f t="shared" si="10"/>
        <v>107</v>
      </c>
      <c r="B110" s="68">
        <v>696066666</v>
      </c>
      <c r="C110" s="84" t="s">
        <v>673</v>
      </c>
      <c r="D110" s="84" t="s">
        <v>674</v>
      </c>
      <c r="E110" s="84" t="s">
        <v>675</v>
      </c>
      <c r="F110" s="84" t="s">
        <v>373</v>
      </c>
      <c r="G110" s="84" t="s">
        <v>81</v>
      </c>
      <c r="H110" s="68">
        <v>28</v>
      </c>
      <c r="I110" s="68">
        <v>3500</v>
      </c>
      <c r="J110" s="68">
        <v>3500</v>
      </c>
      <c r="K110" s="68" t="s">
        <v>92</v>
      </c>
      <c r="L110" s="68" t="s">
        <v>18</v>
      </c>
      <c r="M110" s="84">
        <v>45729</v>
      </c>
      <c r="N110" s="84" t="s">
        <v>96</v>
      </c>
      <c r="O110" s="85" t="s">
        <v>97</v>
      </c>
      <c r="P110" s="84">
        <v>45733</v>
      </c>
      <c r="Q110" s="84">
        <v>45733</v>
      </c>
      <c r="R110" s="84">
        <v>45763</v>
      </c>
      <c r="S110" s="84">
        <v>45852</v>
      </c>
      <c r="T110" s="84">
        <v>45853</v>
      </c>
      <c r="U110" s="84">
        <v>45857</v>
      </c>
      <c r="V110" s="84">
        <v>45861</v>
      </c>
      <c r="W110" s="84">
        <v>45863</v>
      </c>
      <c r="X110" s="84">
        <v>45868</v>
      </c>
      <c r="Y110" s="84">
        <v>45868</v>
      </c>
      <c r="Z110" s="84">
        <v>45868</v>
      </c>
      <c r="AA110" s="84">
        <v>45868</v>
      </c>
      <c r="AB110" s="84">
        <v>45869</v>
      </c>
      <c r="AC110" s="86" t="s">
        <v>377</v>
      </c>
      <c r="AD110" s="98">
        <f t="shared" si="11"/>
        <v>5</v>
      </c>
      <c r="AE110" s="76">
        <v>7</v>
      </c>
      <c r="AF110" s="99">
        <f t="shared" si="14"/>
        <v>0</v>
      </c>
      <c r="AG110" s="77">
        <v>200</v>
      </c>
      <c r="AH110" s="10">
        <f t="shared" si="8"/>
        <v>0</v>
      </c>
      <c r="AI110" s="98">
        <f t="shared" si="12"/>
        <v>1</v>
      </c>
      <c r="AJ110" s="76">
        <v>2</v>
      </c>
      <c r="AK110" s="99">
        <f t="shared" si="13"/>
        <v>0</v>
      </c>
      <c r="AL110" s="77">
        <v>200</v>
      </c>
      <c r="AM110" s="10">
        <f t="shared" si="9"/>
        <v>0</v>
      </c>
      <c r="AN110" s="77">
        <v>50</v>
      </c>
      <c r="AO110" s="78">
        <f t="shared" si="15"/>
        <v>50</v>
      </c>
      <c r="AQ110" s="30"/>
      <c r="AR110" s="30"/>
      <c r="AS110" s="30"/>
      <c r="AT110" s="30"/>
    </row>
    <row r="111" spans="1:46">
      <c r="A111" s="2">
        <f t="shared" si="10"/>
        <v>108</v>
      </c>
      <c r="B111" s="68">
        <v>696066666</v>
      </c>
      <c r="C111" s="84" t="s">
        <v>676</v>
      </c>
      <c r="D111" s="84" t="s">
        <v>677</v>
      </c>
      <c r="E111" s="84" t="s">
        <v>678</v>
      </c>
      <c r="F111" s="84" t="s">
        <v>373</v>
      </c>
      <c r="G111" s="84" t="s">
        <v>81</v>
      </c>
      <c r="H111" s="68">
        <v>29</v>
      </c>
      <c r="I111" s="68">
        <v>36250</v>
      </c>
      <c r="J111" s="68">
        <v>36323</v>
      </c>
      <c r="K111" s="68" t="s">
        <v>92</v>
      </c>
      <c r="L111" s="68" t="s">
        <v>18</v>
      </c>
      <c r="M111" s="84">
        <v>45729</v>
      </c>
      <c r="N111" s="84" t="s">
        <v>96</v>
      </c>
      <c r="O111" s="85" t="s">
        <v>97</v>
      </c>
      <c r="P111" s="84">
        <v>45733</v>
      </c>
      <c r="Q111" s="84">
        <v>45733</v>
      </c>
      <c r="R111" s="84">
        <v>45763</v>
      </c>
      <c r="S111" s="84">
        <v>45850</v>
      </c>
      <c r="T111" s="84">
        <v>45851</v>
      </c>
      <c r="U111" s="84">
        <v>45854</v>
      </c>
      <c r="V111" s="84">
        <v>45857</v>
      </c>
      <c r="W111" s="84">
        <v>45860</v>
      </c>
      <c r="X111" s="84">
        <v>45865</v>
      </c>
      <c r="Y111" s="84">
        <v>45865</v>
      </c>
      <c r="Z111" s="84">
        <v>45866</v>
      </c>
      <c r="AA111" s="84">
        <v>45866</v>
      </c>
      <c r="AB111" s="84">
        <v>45867</v>
      </c>
      <c r="AC111" s="86" t="s">
        <v>377</v>
      </c>
      <c r="AD111" s="98">
        <f t="shared" si="11"/>
        <v>5</v>
      </c>
      <c r="AE111" s="76">
        <v>7</v>
      </c>
      <c r="AF111" s="99">
        <f t="shared" si="14"/>
        <v>0</v>
      </c>
      <c r="AG111" s="77">
        <v>200</v>
      </c>
      <c r="AH111" s="10">
        <f t="shared" si="8"/>
        <v>0</v>
      </c>
      <c r="AI111" s="98">
        <f t="shared" si="12"/>
        <v>1</v>
      </c>
      <c r="AJ111" s="76">
        <v>2</v>
      </c>
      <c r="AK111" s="99">
        <f t="shared" si="13"/>
        <v>0</v>
      </c>
      <c r="AL111" s="77">
        <v>200</v>
      </c>
      <c r="AM111" s="10">
        <f t="shared" si="9"/>
        <v>0</v>
      </c>
      <c r="AN111" s="77">
        <v>25</v>
      </c>
      <c r="AO111" s="78">
        <f t="shared" si="15"/>
        <v>25</v>
      </c>
      <c r="AQ111" s="30"/>
      <c r="AR111" s="30"/>
      <c r="AS111" s="30"/>
      <c r="AT111" s="30"/>
    </row>
    <row r="112" spans="1:46">
      <c r="A112" s="2">
        <f t="shared" si="10"/>
        <v>109</v>
      </c>
      <c r="B112" s="68">
        <v>696066666</v>
      </c>
      <c r="C112" s="84" t="s">
        <v>679</v>
      </c>
      <c r="D112" s="84" t="s">
        <v>680</v>
      </c>
      <c r="E112" s="84" t="s">
        <v>681</v>
      </c>
      <c r="F112" s="84" t="s">
        <v>373</v>
      </c>
      <c r="G112" s="84" t="s">
        <v>81</v>
      </c>
      <c r="H112" s="68">
        <v>29</v>
      </c>
      <c r="I112" s="68">
        <v>36250</v>
      </c>
      <c r="J112" s="68">
        <v>36323</v>
      </c>
      <c r="K112" s="68" t="s">
        <v>92</v>
      </c>
      <c r="L112" s="68" t="s">
        <v>18</v>
      </c>
      <c r="M112" s="84">
        <v>45729</v>
      </c>
      <c r="N112" s="84" t="s">
        <v>96</v>
      </c>
      <c r="O112" s="85" t="s">
        <v>97</v>
      </c>
      <c r="P112" s="84">
        <v>45733</v>
      </c>
      <c r="Q112" s="84">
        <v>45733</v>
      </c>
      <c r="R112" s="84">
        <v>45763</v>
      </c>
      <c r="S112" s="84">
        <v>45850</v>
      </c>
      <c r="T112" s="84">
        <v>45851</v>
      </c>
      <c r="U112" s="84">
        <v>45855</v>
      </c>
      <c r="V112" s="84">
        <v>45857</v>
      </c>
      <c r="W112" s="84">
        <v>45860</v>
      </c>
      <c r="X112" s="84">
        <v>45865</v>
      </c>
      <c r="Y112" s="84">
        <v>45865</v>
      </c>
      <c r="Z112" s="84">
        <v>45866</v>
      </c>
      <c r="AA112" s="84">
        <v>45866</v>
      </c>
      <c r="AB112" s="84">
        <v>45867</v>
      </c>
      <c r="AC112" s="86" t="s">
        <v>377</v>
      </c>
      <c r="AD112" s="98">
        <f t="shared" si="11"/>
        <v>5</v>
      </c>
      <c r="AE112" s="76">
        <v>7</v>
      </c>
      <c r="AF112" s="99">
        <f t="shared" si="14"/>
        <v>0</v>
      </c>
      <c r="AG112" s="77">
        <v>200</v>
      </c>
      <c r="AH112" s="10">
        <f t="shared" si="8"/>
        <v>0</v>
      </c>
      <c r="AI112" s="98">
        <f t="shared" si="12"/>
        <v>1</v>
      </c>
      <c r="AJ112" s="76">
        <v>2</v>
      </c>
      <c r="AK112" s="99">
        <f t="shared" si="13"/>
        <v>0</v>
      </c>
      <c r="AL112" s="77">
        <v>200</v>
      </c>
      <c r="AM112" s="10">
        <f t="shared" si="9"/>
        <v>0</v>
      </c>
      <c r="AN112" s="77">
        <v>25</v>
      </c>
      <c r="AO112" s="78">
        <f t="shared" si="15"/>
        <v>25</v>
      </c>
      <c r="AQ112" s="30"/>
      <c r="AR112" s="30"/>
      <c r="AS112" s="30"/>
      <c r="AT112" s="30"/>
    </row>
    <row r="113" spans="1:46">
      <c r="A113" s="2">
        <f t="shared" si="10"/>
        <v>110</v>
      </c>
      <c r="B113" s="68">
        <v>696066666</v>
      </c>
      <c r="C113" s="84" t="s">
        <v>682</v>
      </c>
      <c r="D113" s="84" t="s">
        <v>683</v>
      </c>
      <c r="E113" s="84" t="s">
        <v>684</v>
      </c>
      <c r="F113" s="84" t="s">
        <v>373</v>
      </c>
      <c r="G113" s="84" t="s">
        <v>81</v>
      </c>
      <c r="H113" s="68">
        <v>28</v>
      </c>
      <c r="I113" s="68">
        <v>36250</v>
      </c>
      <c r="J113" s="68">
        <v>36323</v>
      </c>
      <c r="K113" s="68" t="s">
        <v>92</v>
      </c>
      <c r="L113" s="68" t="s">
        <v>18</v>
      </c>
      <c r="M113" s="84">
        <v>45729</v>
      </c>
      <c r="N113" s="84" t="s">
        <v>96</v>
      </c>
      <c r="O113" s="85" t="s">
        <v>97</v>
      </c>
      <c r="P113" s="84">
        <v>45733</v>
      </c>
      <c r="Q113" s="84">
        <v>45733</v>
      </c>
      <c r="R113" s="84">
        <v>45763</v>
      </c>
      <c r="S113" s="84">
        <v>45850</v>
      </c>
      <c r="T113" s="84">
        <v>45851</v>
      </c>
      <c r="U113" s="84">
        <v>45854</v>
      </c>
      <c r="V113" s="84">
        <v>45857</v>
      </c>
      <c r="W113" s="84">
        <v>45861</v>
      </c>
      <c r="X113" s="84">
        <v>45865</v>
      </c>
      <c r="Y113" s="84">
        <v>45865</v>
      </c>
      <c r="Z113" s="84">
        <v>45866</v>
      </c>
      <c r="AA113" s="84">
        <v>45866</v>
      </c>
      <c r="AB113" s="84">
        <v>45867</v>
      </c>
      <c r="AC113" s="86" t="s">
        <v>377</v>
      </c>
      <c r="AD113" s="98">
        <f t="shared" si="11"/>
        <v>4</v>
      </c>
      <c r="AE113" s="76">
        <v>7</v>
      </c>
      <c r="AF113" s="99">
        <f t="shared" si="14"/>
        <v>0</v>
      </c>
      <c r="AG113" s="77">
        <v>200</v>
      </c>
      <c r="AH113" s="10">
        <f t="shared" si="8"/>
        <v>0</v>
      </c>
      <c r="AI113" s="98">
        <f t="shared" si="12"/>
        <v>1</v>
      </c>
      <c r="AJ113" s="76">
        <v>2</v>
      </c>
      <c r="AK113" s="99">
        <f t="shared" si="13"/>
        <v>0</v>
      </c>
      <c r="AL113" s="77">
        <v>200</v>
      </c>
      <c r="AM113" s="10">
        <f t="shared" si="9"/>
        <v>0</v>
      </c>
      <c r="AN113" s="77">
        <v>25</v>
      </c>
      <c r="AO113" s="78">
        <f t="shared" si="15"/>
        <v>25</v>
      </c>
      <c r="AQ113" s="30"/>
      <c r="AR113" s="30"/>
      <c r="AS113" s="30"/>
      <c r="AT113" s="30"/>
    </row>
    <row r="114" spans="1:46">
      <c r="A114" s="2">
        <f t="shared" si="10"/>
        <v>111</v>
      </c>
      <c r="B114" s="68">
        <v>696066666</v>
      </c>
      <c r="C114" s="84" t="s">
        <v>685</v>
      </c>
      <c r="D114" s="84" t="s">
        <v>686</v>
      </c>
      <c r="E114" s="84" t="s">
        <v>687</v>
      </c>
      <c r="F114" s="84" t="s">
        <v>373</v>
      </c>
      <c r="G114" s="84" t="s">
        <v>81</v>
      </c>
      <c r="H114" s="68">
        <v>28</v>
      </c>
      <c r="I114" s="68">
        <v>3500</v>
      </c>
      <c r="J114" s="68">
        <v>3500</v>
      </c>
      <c r="K114" s="68" t="s">
        <v>92</v>
      </c>
      <c r="L114" s="68" t="s">
        <v>18</v>
      </c>
      <c r="M114" s="84">
        <v>45729</v>
      </c>
      <c r="N114" s="84" t="s">
        <v>96</v>
      </c>
      <c r="O114" s="85" t="s">
        <v>97</v>
      </c>
      <c r="P114" s="84">
        <v>45733</v>
      </c>
      <c r="Q114" s="84">
        <v>45733</v>
      </c>
      <c r="R114" s="84">
        <v>45763</v>
      </c>
      <c r="S114" s="84">
        <v>45852</v>
      </c>
      <c r="T114" s="84">
        <v>45853</v>
      </c>
      <c r="U114" s="84">
        <v>45857</v>
      </c>
      <c r="V114" s="84">
        <v>45860</v>
      </c>
      <c r="W114" s="84">
        <v>45863</v>
      </c>
      <c r="X114" s="84">
        <v>45865</v>
      </c>
      <c r="Y114" s="84">
        <v>45865</v>
      </c>
      <c r="Z114" s="84">
        <v>45866</v>
      </c>
      <c r="AA114" s="84">
        <v>45866</v>
      </c>
      <c r="AB114" s="84">
        <v>45867</v>
      </c>
      <c r="AC114" s="86" t="s">
        <v>377</v>
      </c>
      <c r="AD114" s="98">
        <f t="shared" si="11"/>
        <v>2</v>
      </c>
      <c r="AE114" s="76">
        <v>7</v>
      </c>
      <c r="AF114" s="99">
        <f t="shared" si="14"/>
        <v>0</v>
      </c>
      <c r="AG114" s="77">
        <v>200</v>
      </c>
      <c r="AH114" s="10">
        <f t="shared" si="8"/>
        <v>0</v>
      </c>
      <c r="AI114" s="98">
        <f t="shared" si="12"/>
        <v>1</v>
      </c>
      <c r="AJ114" s="76">
        <v>2</v>
      </c>
      <c r="AK114" s="99">
        <f t="shared" si="13"/>
        <v>0</v>
      </c>
      <c r="AL114" s="77">
        <v>200</v>
      </c>
      <c r="AM114" s="10">
        <f t="shared" si="9"/>
        <v>0</v>
      </c>
      <c r="AN114" s="77">
        <v>0</v>
      </c>
      <c r="AO114" s="78">
        <f t="shared" si="15"/>
        <v>0</v>
      </c>
      <c r="AQ114" s="30"/>
      <c r="AR114" s="30"/>
      <c r="AS114" s="30"/>
      <c r="AT114" s="30"/>
    </row>
    <row r="115" spans="1:46">
      <c r="A115" s="2">
        <f t="shared" si="10"/>
        <v>112</v>
      </c>
      <c r="B115" s="68">
        <v>696066666</v>
      </c>
      <c r="C115" s="84" t="s">
        <v>688</v>
      </c>
      <c r="D115" s="84" t="s">
        <v>689</v>
      </c>
      <c r="E115" s="84" t="s">
        <v>690</v>
      </c>
      <c r="F115" s="84" t="s">
        <v>373</v>
      </c>
      <c r="G115" s="84" t="s">
        <v>81</v>
      </c>
      <c r="H115" s="68">
        <v>28</v>
      </c>
      <c r="I115" s="68">
        <v>35000</v>
      </c>
      <c r="J115" s="68">
        <v>35070</v>
      </c>
      <c r="K115" s="68" t="s">
        <v>92</v>
      </c>
      <c r="L115" s="68" t="s">
        <v>18</v>
      </c>
      <c r="M115" s="84">
        <v>45729</v>
      </c>
      <c r="N115" s="84" t="s">
        <v>96</v>
      </c>
      <c r="O115" s="85" t="s">
        <v>97</v>
      </c>
      <c r="P115" s="84">
        <v>45733</v>
      </c>
      <c r="Q115" s="84">
        <v>45733</v>
      </c>
      <c r="R115" s="84">
        <v>45763</v>
      </c>
      <c r="S115" s="84">
        <v>45850</v>
      </c>
      <c r="T115" s="84">
        <v>45851</v>
      </c>
      <c r="U115" s="84">
        <v>45854</v>
      </c>
      <c r="V115" s="84">
        <v>45857</v>
      </c>
      <c r="W115" s="84">
        <v>45860</v>
      </c>
      <c r="X115" s="84">
        <v>45864</v>
      </c>
      <c r="Y115" s="84">
        <v>45864</v>
      </c>
      <c r="Z115" s="84">
        <v>45865</v>
      </c>
      <c r="AA115" s="84">
        <v>45865</v>
      </c>
      <c r="AB115" s="84">
        <v>45866</v>
      </c>
      <c r="AC115" s="86" t="s">
        <v>377</v>
      </c>
      <c r="AD115" s="98">
        <f t="shared" si="11"/>
        <v>4</v>
      </c>
      <c r="AE115" s="76">
        <v>7</v>
      </c>
      <c r="AF115" s="99">
        <f t="shared" si="14"/>
        <v>0</v>
      </c>
      <c r="AG115" s="77">
        <v>200</v>
      </c>
      <c r="AH115" s="10">
        <f t="shared" si="8"/>
        <v>0</v>
      </c>
      <c r="AI115" s="98">
        <f t="shared" si="12"/>
        <v>1</v>
      </c>
      <c r="AJ115" s="76">
        <v>2</v>
      </c>
      <c r="AK115" s="99">
        <f t="shared" si="13"/>
        <v>0</v>
      </c>
      <c r="AL115" s="77">
        <v>200</v>
      </c>
      <c r="AM115" s="10">
        <f t="shared" si="9"/>
        <v>0</v>
      </c>
      <c r="AN115" s="77">
        <v>50</v>
      </c>
      <c r="AO115" s="78">
        <f t="shared" si="15"/>
        <v>50</v>
      </c>
      <c r="AQ115" s="30"/>
      <c r="AR115" s="30"/>
      <c r="AS115" s="30"/>
      <c r="AT115" s="30"/>
    </row>
    <row r="116" spans="1:46">
      <c r="A116" s="2">
        <f t="shared" si="10"/>
        <v>113</v>
      </c>
      <c r="B116" s="68">
        <v>696066666</v>
      </c>
      <c r="C116" s="84" t="s">
        <v>396</v>
      </c>
      <c r="D116" s="84" t="s">
        <v>397</v>
      </c>
      <c r="E116" s="84" t="s">
        <v>398</v>
      </c>
      <c r="F116" s="84" t="s">
        <v>373</v>
      </c>
      <c r="G116" s="84" t="s">
        <v>81</v>
      </c>
      <c r="H116" s="68">
        <v>28</v>
      </c>
      <c r="I116" s="68">
        <v>35000</v>
      </c>
      <c r="J116" s="68">
        <v>35070</v>
      </c>
      <c r="K116" s="68"/>
      <c r="L116" s="68" t="s">
        <v>18</v>
      </c>
      <c r="M116" s="84">
        <v>45729</v>
      </c>
      <c r="N116" s="84" t="s">
        <v>96</v>
      </c>
      <c r="O116" s="85" t="s">
        <v>97</v>
      </c>
      <c r="P116" s="84">
        <v>45733</v>
      </c>
      <c r="Q116" s="84">
        <v>45733</v>
      </c>
      <c r="R116" s="84">
        <v>45763</v>
      </c>
      <c r="S116" s="84">
        <v>45850</v>
      </c>
      <c r="T116" s="84">
        <v>45851</v>
      </c>
      <c r="U116" s="84">
        <v>45854</v>
      </c>
      <c r="V116" s="84">
        <v>45857</v>
      </c>
      <c r="W116" s="84">
        <v>45860</v>
      </c>
      <c r="X116" s="84">
        <v>45864</v>
      </c>
      <c r="Y116" s="84">
        <v>45864</v>
      </c>
      <c r="Z116" s="84">
        <v>45865</v>
      </c>
      <c r="AA116" s="84">
        <v>45865</v>
      </c>
      <c r="AB116" s="84">
        <v>45866</v>
      </c>
      <c r="AC116" s="86" t="s">
        <v>377</v>
      </c>
      <c r="AD116" s="98">
        <f t="shared" si="11"/>
        <v>4</v>
      </c>
      <c r="AE116" s="76">
        <v>7</v>
      </c>
      <c r="AF116" s="99">
        <f t="shared" si="14"/>
        <v>0</v>
      </c>
      <c r="AG116" s="77">
        <v>200</v>
      </c>
      <c r="AH116" s="10">
        <f t="shared" si="8"/>
        <v>0</v>
      </c>
      <c r="AI116" s="98">
        <f t="shared" si="12"/>
        <v>1</v>
      </c>
      <c r="AJ116" s="76">
        <v>2</v>
      </c>
      <c r="AK116" s="99">
        <f t="shared" si="13"/>
        <v>0</v>
      </c>
      <c r="AL116" s="77">
        <v>200</v>
      </c>
      <c r="AM116" s="10">
        <f t="shared" si="9"/>
        <v>0</v>
      </c>
      <c r="AN116" s="77">
        <v>50</v>
      </c>
      <c r="AO116" s="78">
        <f t="shared" si="15"/>
        <v>50</v>
      </c>
      <c r="AQ116" s="30"/>
      <c r="AR116" s="30"/>
      <c r="AS116" s="30"/>
      <c r="AT116" s="30"/>
    </row>
    <row r="117" spans="1:46">
      <c r="A117" s="2">
        <f t="shared" si="10"/>
        <v>114</v>
      </c>
      <c r="B117" s="68">
        <v>696066666</v>
      </c>
      <c r="C117" s="84" t="s">
        <v>691</v>
      </c>
      <c r="D117" s="84" t="s">
        <v>692</v>
      </c>
      <c r="E117" s="84" t="s">
        <v>693</v>
      </c>
      <c r="F117" s="84" t="s">
        <v>373</v>
      </c>
      <c r="G117" s="84" t="s">
        <v>81</v>
      </c>
      <c r="H117" s="68">
        <v>28</v>
      </c>
      <c r="I117" s="68">
        <v>35000</v>
      </c>
      <c r="J117" s="68">
        <v>35070</v>
      </c>
      <c r="K117" s="68" t="s">
        <v>92</v>
      </c>
      <c r="L117" s="68" t="s">
        <v>18</v>
      </c>
      <c r="M117" s="84">
        <v>45729</v>
      </c>
      <c r="N117" s="84" t="s">
        <v>96</v>
      </c>
      <c r="O117" s="85" t="s">
        <v>97</v>
      </c>
      <c r="P117" s="84">
        <v>45733</v>
      </c>
      <c r="Q117" s="84">
        <v>45733</v>
      </c>
      <c r="R117" s="84">
        <v>45763</v>
      </c>
      <c r="S117" s="84">
        <v>45850</v>
      </c>
      <c r="T117" s="84">
        <v>45851</v>
      </c>
      <c r="U117" s="84">
        <v>45854</v>
      </c>
      <c r="V117" s="84">
        <v>45857</v>
      </c>
      <c r="W117" s="84">
        <v>45860</v>
      </c>
      <c r="X117" s="84">
        <v>45864</v>
      </c>
      <c r="Y117" s="84">
        <v>45864</v>
      </c>
      <c r="Z117" s="84">
        <v>45865</v>
      </c>
      <c r="AA117" s="84">
        <v>45865</v>
      </c>
      <c r="AB117" s="84">
        <v>45866</v>
      </c>
      <c r="AC117" s="86" t="s">
        <v>377</v>
      </c>
      <c r="AD117" s="98">
        <f t="shared" si="11"/>
        <v>4</v>
      </c>
      <c r="AE117" s="76">
        <v>7</v>
      </c>
      <c r="AF117" s="99">
        <f t="shared" si="14"/>
        <v>0</v>
      </c>
      <c r="AG117" s="77">
        <v>200</v>
      </c>
      <c r="AH117" s="10">
        <f t="shared" si="8"/>
        <v>0</v>
      </c>
      <c r="AI117" s="98">
        <f t="shared" si="12"/>
        <v>1</v>
      </c>
      <c r="AJ117" s="76">
        <v>2</v>
      </c>
      <c r="AK117" s="99">
        <f t="shared" si="13"/>
        <v>0</v>
      </c>
      <c r="AL117" s="77">
        <v>200</v>
      </c>
      <c r="AM117" s="10">
        <f t="shared" si="9"/>
        <v>0</v>
      </c>
      <c r="AN117" s="77">
        <v>50</v>
      </c>
      <c r="AO117" s="78">
        <f t="shared" si="15"/>
        <v>50</v>
      </c>
      <c r="AQ117" s="30"/>
      <c r="AR117" s="30"/>
      <c r="AS117" s="30"/>
      <c r="AT117" s="30"/>
    </row>
    <row r="118" spans="1:46">
      <c r="A118" s="2">
        <f t="shared" si="10"/>
        <v>115</v>
      </c>
      <c r="B118" s="68">
        <v>696066666</v>
      </c>
      <c r="C118" s="84" t="s">
        <v>694</v>
      </c>
      <c r="D118" s="84" t="s">
        <v>695</v>
      </c>
      <c r="E118" s="84" t="s">
        <v>696</v>
      </c>
      <c r="F118" s="84" t="s">
        <v>373</v>
      </c>
      <c r="G118" s="84" t="s">
        <v>81</v>
      </c>
      <c r="H118" s="68">
        <v>29</v>
      </c>
      <c r="I118" s="68">
        <v>36250</v>
      </c>
      <c r="J118" s="68">
        <v>36323</v>
      </c>
      <c r="K118" s="68" t="s">
        <v>92</v>
      </c>
      <c r="L118" s="68" t="s">
        <v>18</v>
      </c>
      <c r="M118" s="84">
        <v>45729</v>
      </c>
      <c r="N118" s="84" t="s">
        <v>96</v>
      </c>
      <c r="O118" s="85" t="s">
        <v>97</v>
      </c>
      <c r="P118" s="84">
        <v>45733</v>
      </c>
      <c r="Q118" s="84">
        <v>45733</v>
      </c>
      <c r="R118" s="84">
        <v>45763</v>
      </c>
      <c r="S118" s="84">
        <v>45850</v>
      </c>
      <c r="T118" s="84">
        <v>45851</v>
      </c>
      <c r="U118" s="84">
        <v>45854</v>
      </c>
      <c r="V118" s="84">
        <v>45857</v>
      </c>
      <c r="W118" s="84">
        <v>45859</v>
      </c>
      <c r="X118" s="84">
        <v>45864</v>
      </c>
      <c r="Y118" s="84">
        <v>45864</v>
      </c>
      <c r="Z118" s="84">
        <v>45865</v>
      </c>
      <c r="AA118" s="84">
        <v>45865</v>
      </c>
      <c r="AB118" s="84">
        <v>45866</v>
      </c>
      <c r="AC118" s="86" t="s">
        <v>377</v>
      </c>
      <c r="AD118" s="98">
        <f t="shared" si="11"/>
        <v>5</v>
      </c>
      <c r="AE118" s="76">
        <v>7</v>
      </c>
      <c r="AF118" s="99">
        <f t="shared" si="14"/>
        <v>0</v>
      </c>
      <c r="AG118" s="77">
        <v>200</v>
      </c>
      <c r="AH118" s="10">
        <f t="shared" si="8"/>
        <v>0</v>
      </c>
      <c r="AI118" s="98">
        <f t="shared" si="12"/>
        <v>1</v>
      </c>
      <c r="AJ118" s="76">
        <v>2</v>
      </c>
      <c r="AK118" s="99">
        <f t="shared" si="13"/>
        <v>0</v>
      </c>
      <c r="AL118" s="77">
        <v>200</v>
      </c>
      <c r="AM118" s="10">
        <f t="shared" si="9"/>
        <v>0</v>
      </c>
      <c r="AN118" s="77">
        <v>100</v>
      </c>
      <c r="AO118" s="78">
        <f t="shared" si="15"/>
        <v>100</v>
      </c>
      <c r="AQ118" s="30"/>
      <c r="AR118" s="30"/>
      <c r="AS118" s="30"/>
      <c r="AT118" s="30"/>
    </row>
    <row r="119" spans="1:46">
      <c r="A119" s="2">
        <f t="shared" si="10"/>
        <v>116</v>
      </c>
      <c r="B119" s="68">
        <v>696066666</v>
      </c>
      <c r="C119" s="84" t="s">
        <v>697</v>
      </c>
      <c r="D119" s="84" t="s">
        <v>698</v>
      </c>
      <c r="E119" s="84" t="s">
        <v>699</v>
      </c>
      <c r="F119" s="84" t="s">
        <v>373</v>
      </c>
      <c r="G119" s="84" t="s">
        <v>81</v>
      </c>
      <c r="H119" s="68">
        <v>28</v>
      </c>
      <c r="I119" s="68">
        <v>35000</v>
      </c>
      <c r="J119" s="68">
        <v>35070</v>
      </c>
      <c r="K119" s="68" t="s">
        <v>92</v>
      </c>
      <c r="L119" s="68" t="s">
        <v>18</v>
      </c>
      <c r="M119" s="84">
        <v>45729</v>
      </c>
      <c r="N119" s="84" t="s">
        <v>96</v>
      </c>
      <c r="O119" s="85" t="s">
        <v>97</v>
      </c>
      <c r="P119" s="84">
        <v>45733</v>
      </c>
      <c r="Q119" s="84">
        <v>45733</v>
      </c>
      <c r="R119" s="84">
        <v>45763</v>
      </c>
      <c r="S119" s="84">
        <v>45850</v>
      </c>
      <c r="T119" s="84">
        <v>45851</v>
      </c>
      <c r="U119" s="84">
        <v>45854</v>
      </c>
      <c r="V119" s="84">
        <v>45857</v>
      </c>
      <c r="W119" s="84">
        <v>45859</v>
      </c>
      <c r="X119" s="84">
        <v>45864</v>
      </c>
      <c r="Y119" s="84">
        <v>45864</v>
      </c>
      <c r="Z119" s="84">
        <v>45865</v>
      </c>
      <c r="AA119" s="84">
        <v>45865</v>
      </c>
      <c r="AB119" s="84">
        <v>45866</v>
      </c>
      <c r="AC119" s="86" t="s">
        <v>377</v>
      </c>
      <c r="AD119" s="98">
        <f t="shared" si="11"/>
        <v>5</v>
      </c>
      <c r="AE119" s="76">
        <v>7</v>
      </c>
      <c r="AF119" s="99">
        <f t="shared" si="14"/>
        <v>0</v>
      </c>
      <c r="AG119" s="77">
        <v>200</v>
      </c>
      <c r="AH119" s="10">
        <f t="shared" si="8"/>
        <v>0</v>
      </c>
      <c r="AI119" s="98">
        <f t="shared" si="12"/>
        <v>1</v>
      </c>
      <c r="AJ119" s="76">
        <v>2</v>
      </c>
      <c r="AK119" s="99">
        <f t="shared" si="13"/>
        <v>0</v>
      </c>
      <c r="AL119" s="77">
        <v>200</v>
      </c>
      <c r="AM119" s="10">
        <f t="shared" si="9"/>
        <v>0</v>
      </c>
      <c r="AN119" s="77">
        <v>50</v>
      </c>
      <c r="AO119" s="78">
        <f t="shared" si="15"/>
        <v>50</v>
      </c>
      <c r="AQ119" s="30"/>
      <c r="AR119" s="30"/>
      <c r="AS119" s="30"/>
      <c r="AT119" s="30"/>
    </row>
    <row r="120" spans="1:46">
      <c r="A120" s="2">
        <f t="shared" si="10"/>
        <v>117</v>
      </c>
      <c r="B120" s="68">
        <v>696066666</v>
      </c>
      <c r="C120" s="84" t="s">
        <v>700</v>
      </c>
      <c r="D120" s="84" t="s">
        <v>701</v>
      </c>
      <c r="E120" s="84" t="s">
        <v>702</v>
      </c>
      <c r="F120" s="84" t="s">
        <v>373</v>
      </c>
      <c r="G120" s="84" t="s">
        <v>81</v>
      </c>
      <c r="H120" s="68">
        <v>28</v>
      </c>
      <c r="I120" s="68">
        <v>35000</v>
      </c>
      <c r="J120" s="68">
        <v>35070</v>
      </c>
      <c r="K120" s="68" t="s">
        <v>92</v>
      </c>
      <c r="L120" s="68" t="s">
        <v>18</v>
      </c>
      <c r="M120" s="84">
        <v>45729</v>
      </c>
      <c r="N120" s="84" t="s">
        <v>96</v>
      </c>
      <c r="O120" s="85" t="s">
        <v>97</v>
      </c>
      <c r="P120" s="84">
        <v>45733</v>
      </c>
      <c r="Q120" s="84">
        <v>45733</v>
      </c>
      <c r="R120" s="84">
        <v>45763</v>
      </c>
      <c r="S120" s="84">
        <v>45850</v>
      </c>
      <c r="T120" s="84">
        <v>45851</v>
      </c>
      <c r="U120" s="84">
        <v>45854</v>
      </c>
      <c r="V120" s="84">
        <v>45857</v>
      </c>
      <c r="W120" s="84">
        <v>45859</v>
      </c>
      <c r="X120" s="84">
        <v>45864</v>
      </c>
      <c r="Y120" s="84">
        <v>45864</v>
      </c>
      <c r="Z120" s="84">
        <v>45865</v>
      </c>
      <c r="AA120" s="84">
        <v>45865</v>
      </c>
      <c r="AB120" s="84">
        <v>45866</v>
      </c>
      <c r="AC120" s="86" t="s">
        <v>377</v>
      </c>
      <c r="AD120" s="98">
        <f t="shared" si="11"/>
        <v>5</v>
      </c>
      <c r="AE120" s="76">
        <v>7</v>
      </c>
      <c r="AF120" s="99">
        <f t="shared" si="14"/>
        <v>0</v>
      </c>
      <c r="AG120" s="77">
        <v>200</v>
      </c>
      <c r="AH120" s="10">
        <f t="shared" si="8"/>
        <v>0</v>
      </c>
      <c r="AI120" s="98">
        <f t="shared" si="12"/>
        <v>1</v>
      </c>
      <c r="AJ120" s="76">
        <v>2</v>
      </c>
      <c r="AK120" s="99">
        <f t="shared" si="13"/>
        <v>0</v>
      </c>
      <c r="AL120" s="77">
        <v>200</v>
      </c>
      <c r="AM120" s="10">
        <f t="shared" si="9"/>
        <v>0</v>
      </c>
      <c r="AN120" s="77">
        <v>50</v>
      </c>
      <c r="AO120" s="78">
        <f t="shared" si="15"/>
        <v>50</v>
      </c>
      <c r="AQ120" s="30"/>
      <c r="AR120" s="30"/>
      <c r="AS120" s="30"/>
      <c r="AT120" s="30"/>
    </row>
    <row r="121" spans="1:46">
      <c r="A121" s="2">
        <f t="shared" si="10"/>
        <v>118</v>
      </c>
      <c r="B121" s="68">
        <v>696066666</v>
      </c>
      <c r="C121" s="84" t="s">
        <v>703</v>
      </c>
      <c r="D121" s="84" t="s">
        <v>704</v>
      </c>
      <c r="E121" s="84" t="s">
        <v>705</v>
      </c>
      <c r="F121" s="84" t="s">
        <v>373</v>
      </c>
      <c r="G121" s="84" t="s">
        <v>81</v>
      </c>
      <c r="H121" s="68">
        <v>28</v>
      </c>
      <c r="I121" s="68">
        <v>35000</v>
      </c>
      <c r="J121" s="68">
        <v>35070</v>
      </c>
      <c r="K121" s="68" t="s">
        <v>92</v>
      </c>
      <c r="L121" s="68" t="s">
        <v>18</v>
      </c>
      <c r="M121" s="84">
        <v>45729</v>
      </c>
      <c r="N121" s="84" t="s">
        <v>96</v>
      </c>
      <c r="O121" s="85" t="s">
        <v>97</v>
      </c>
      <c r="P121" s="84">
        <v>45733</v>
      </c>
      <c r="Q121" s="84">
        <v>45733</v>
      </c>
      <c r="R121" s="84">
        <v>45763</v>
      </c>
      <c r="S121" s="84">
        <v>45850</v>
      </c>
      <c r="T121" s="84">
        <v>45851</v>
      </c>
      <c r="U121" s="84">
        <v>45854</v>
      </c>
      <c r="V121" s="84">
        <v>45857</v>
      </c>
      <c r="W121" s="84">
        <v>45859</v>
      </c>
      <c r="X121" s="84">
        <v>45864</v>
      </c>
      <c r="Y121" s="84">
        <v>45864</v>
      </c>
      <c r="Z121" s="84">
        <v>45865</v>
      </c>
      <c r="AA121" s="84">
        <v>45865</v>
      </c>
      <c r="AB121" s="84">
        <v>45866</v>
      </c>
      <c r="AC121" s="86" t="s">
        <v>377</v>
      </c>
      <c r="AD121" s="98">
        <f t="shared" si="11"/>
        <v>5</v>
      </c>
      <c r="AE121" s="76">
        <v>7</v>
      </c>
      <c r="AF121" s="99">
        <f t="shared" si="14"/>
        <v>0</v>
      </c>
      <c r="AG121" s="77">
        <v>200</v>
      </c>
      <c r="AH121" s="10">
        <f t="shared" si="8"/>
        <v>0</v>
      </c>
      <c r="AI121" s="98">
        <f t="shared" si="12"/>
        <v>1</v>
      </c>
      <c r="AJ121" s="76">
        <v>2</v>
      </c>
      <c r="AK121" s="99">
        <f t="shared" si="13"/>
        <v>0</v>
      </c>
      <c r="AL121" s="77">
        <v>200</v>
      </c>
      <c r="AM121" s="10">
        <f t="shared" si="9"/>
        <v>0</v>
      </c>
      <c r="AN121" s="77">
        <v>50</v>
      </c>
      <c r="AO121" s="78">
        <f t="shared" si="15"/>
        <v>50</v>
      </c>
      <c r="AQ121" s="30"/>
      <c r="AR121" s="30"/>
      <c r="AS121" s="30"/>
      <c r="AT121" s="30"/>
    </row>
    <row r="122" spans="1:46">
      <c r="AH122" s="91"/>
    </row>
    <row r="123" spans="1:46">
      <c r="AH123" s="91"/>
    </row>
    <row r="125" spans="1:46" ht="15.75" thickBot="1">
      <c r="C125" s="82"/>
    </row>
    <row r="126" spans="1:46" ht="15.75" thickBot="1">
      <c r="C126" s="83"/>
    </row>
    <row r="127" spans="1:46" ht="15.75" thickBot="1">
      <c r="C127" s="79"/>
    </row>
    <row r="128" spans="1:46" ht="15.75" thickBot="1">
      <c r="C128" s="79"/>
    </row>
  </sheetData>
  <mergeCells count="3">
    <mergeCell ref="AM1:AO1"/>
    <mergeCell ref="AD2:AG2"/>
    <mergeCell ref="AI2:A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6"/>
  <sheetViews>
    <sheetView zoomScale="85" zoomScaleNormal="85" workbookViewId="0">
      <selection activeCell="F19" sqref="F19"/>
    </sheetView>
  </sheetViews>
  <sheetFormatPr defaultColWidth="9.28515625" defaultRowHeight="15"/>
  <cols>
    <col min="1" max="1" width="4.42578125" style="30" customWidth="1"/>
    <col min="2" max="2" width="11.7109375" style="30" customWidth="1"/>
    <col min="3" max="3" width="19" style="30" customWidth="1"/>
    <col min="4" max="4" width="19.140625" style="30" customWidth="1"/>
    <col min="5" max="5" width="36.42578125" style="30" customWidth="1"/>
    <col min="6" max="6" width="22.85546875" style="30" customWidth="1"/>
    <col min="7" max="7" width="25.5703125" style="30" customWidth="1"/>
    <col min="8" max="8" width="9.28515625" style="30" customWidth="1"/>
    <col min="9" max="9" width="10.42578125" style="30" customWidth="1"/>
    <col min="10" max="10" width="12.5703125" style="30" customWidth="1"/>
    <col min="11" max="11" width="21.28515625" style="30" customWidth="1"/>
    <col min="12" max="12" width="9.7109375" style="30" customWidth="1"/>
    <col min="13" max="13" width="12.42578125" style="30" customWidth="1"/>
    <col min="14" max="14" width="29.28515625" style="30" customWidth="1"/>
    <col min="15" max="15" width="22.28515625" style="30" customWidth="1"/>
    <col min="16" max="17" width="11.5703125" style="30" customWidth="1"/>
    <col min="18" max="18" width="12.42578125" style="30" customWidth="1"/>
    <col min="19" max="19" width="15.85546875" style="30" customWidth="1"/>
    <col min="20" max="20" width="13.28515625" style="30" customWidth="1"/>
    <col min="21" max="21" width="11.7109375" style="30" customWidth="1"/>
    <col min="22" max="22" width="13.28515625" style="30" customWidth="1"/>
    <col min="23" max="23" width="12.28515625" style="30" customWidth="1"/>
    <col min="24" max="24" width="14.28515625" style="30" customWidth="1"/>
    <col min="25" max="25" width="13.7109375" style="30" customWidth="1"/>
    <col min="26" max="26" width="11.7109375" style="30" customWidth="1"/>
    <col min="27" max="27" width="16.7109375" style="30" customWidth="1"/>
    <col min="28" max="28" width="15.28515625" style="30" customWidth="1"/>
    <col min="29" max="29" width="25.28515625" style="30" customWidth="1"/>
    <col min="30" max="31" width="9.28515625" style="30" customWidth="1"/>
    <col min="32" max="33" width="11.42578125" style="30" customWidth="1"/>
    <col min="34" max="34" width="12.7109375" style="6" customWidth="1"/>
    <col min="35" max="35" width="12" style="30" customWidth="1"/>
    <col min="36" max="36" width="9.28515625" style="30" customWidth="1"/>
    <col min="37" max="39" width="11.42578125" style="30" customWidth="1"/>
    <col min="40" max="40" width="15.5703125" style="30" customWidth="1"/>
    <col min="41" max="41" width="16.85546875" style="30" customWidth="1"/>
    <col min="42" max="42" width="18.7109375" style="30" customWidth="1"/>
    <col min="43" max="16384" width="9.28515625" style="30"/>
  </cols>
  <sheetData>
    <row r="1" spans="1:45" ht="24" thickBot="1">
      <c r="A1" s="21" t="s">
        <v>45</v>
      </c>
      <c r="B1" s="21"/>
      <c r="C1" s="21"/>
      <c r="D1" s="21"/>
      <c r="E1" s="22">
        <f ca="1">TODAY()</f>
        <v>46045</v>
      </c>
      <c r="F1" s="23" t="s">
        <v>95</v>
      </c>
      <c r="G1" s="23" t="s">
        <v>46</v>
      </c>
      <c r="H1" s="23">
        <f>3146+8</f>
        <v>3154</v>
      </c>
      <c r="I1" s="23">
        <f>+[1]Summary!F6</f>
        <v>3942500</v>
      </c>
      <c r="J1" s="23">
        <f>+[1]Summary!G6</f>
        <v>3950395</v>
      </c>
      <c r="K1" s="24"/>
      <c r="L1" s="25"/>
      <c r="M1" s="21"/>
      <c r="N1" s="26" t="s">
        <v>47</v>
      </c>
      <c r="O1" s="27"/>
      <c r="P1" s="27"/>
      <c r="Q1" s="28"/>
      <c r="R1" s="28"/>
      <c r="S1" s="29"/>
      <c r="T1" s="29"/>
      <c r="U1" s="26" t="s">
        <v>47</v>
      </c>
      <c r="V1" s="29"/>
      <c r="W1" s="29"/>
      <c r="Y1" s="29"/>
      <c r="Z1" s="29"/>
      <c r="AA1" s="29" t="s">
        <v>47</v>
      </c>
      <c r="AB1" s="29"/>
      <c r="AC1" s="29"/>
      <c r="AH1" s="5"/>
      <c r="AM1" s="177" t="s">
        <v>48</v>
      </c>
      <c r="AN1" s="178"/>
      <c r="AO1" s="179"/>
    </row>
    <row r="2" spans="1:45" ht="23.25">
      <c r="A2" s="31" t="s">
        <v>0</v>
      </c>
      <c r="B2" s="32" t="s">
        <v>1</v>
      </c>
      <c r="C2" s="32" t="s">
        <v>2</v>
      </c>
      <c r="D2" s="33" t="s">
        <v>3</v>
      </c>
      <c r="E2" s="33" t="s">
        <v>4</v>
      </c>
      <c r="F2" s="32" t="s">
        <v>5</v>
      </c>
      <c r="G2" s="33" t="s">
        <v>49</v>
      </c>
      <c r="H2" s="33" t="s">
        <v>50</v>
      </c>
      <c r="I2" s="33"/>
      <c r="J2" s="33" t="s">
        <v>50</v>
      </c>
      <c r="K2" s="33"/>
      <c r="L2" s="33"/>
      <c r="M2" s="32" t="s">
        <v>51</v>
      </c>
      <c r="N2" s="32" t="s">
        <v>52</v>
      </c>
      <c r="O2" s="32" t="s">
        <v>53</v>
      </c>
      <c r="P2" s="34" t="s">
        <v>54</v>
      </c>
      <c r="Q2" s="34" t="s">
        <v>55</v>
      </c>
      <c r="R2" s="34" t="s">
        <v>56</v>
      </c>
      <c r="S2" s="34" t="s">
        <v>57</v>
      </c>
      <c r="T2" s="34" t="s">
        <v>58</v>
      </c>
      <c r="U2" s="34" t="s">
        <v>189</v>
      </c>
      <c r="V2" s="34" t="s">
        <v>190</v>
      </c>
      <c r="W2" s="34"/>
      <c r="X2" s="35"/>
      <c r="Y2" s="34"/>
      <c r="Z2" s="34"/>
      <c r="AA2" s="34" t="s">
        <v>59</v>
      </c>
      <c r="AB2" s="34" t="s">
        <v>60</v>
      </c>
      <c r="AC2" s="34" t="s">
        <v>61</v>
      </c>
      <c r="AD2" s="180" t="s">
        <v>62</v>
      </c>
      <c r="AE2" s="180"/>
      <c r="AF2" s="180"/>
      <c r="AG2" s="180"/>
      <c r="AH2" s="18">
        <f>SUM(AH4:AH200)</f>
        <v>200</v>
      </c>
      <c r="AI2" s="180" t="s">
        <v>63</v>
      </c>
      <c r="AJ2" s="180"/>
      <c r="AK2" s="180"/>
      <c r="AL2" s="180"/>
      <c r="AM2" s="18">
        <f>SUM(AM4:AM200)</f>
        <v>20400</v>
      </c>
      <c r="AN2" s="19">
        <f>SUM(AN4:AN200)</f>
        <v>350</v>
      </c>
      <c r="AO2" s="20">
        <f>SUM(AH2:AN2)</f>
        <v>20950</v>
      </c>
      <c r="AP2" s="36"/>
      <c r="AQ2" s="1"/>
      <c r="AR2" s="1"/>
      <c r="AS2" s="1"/>
    </row>
    <row r="3" spans="1:45" ht="34.5" customHeight="1">
      <c r="A3" s="121" t="s">
        <v>6</v>
      </c>
      <c r="B3" s="122" t="s">
        <v>7</v>
      </c>
      <c r="C3" s="122" t="s">
        <v>9</v>
      </c>
      <c r="D3" s="122" t="s">
        <v>10</v>
      </c>
      <c r="E3" s="122" t="s">
        <v>64</v>
      </c>
      <c r="F3" s="122" t="s">
        <v>11</v>
      </c>
      <c r="G3" s="122" t="s">
        <v>65</v>
      </c>
      <c r="H3" s="122" t="s">
        <v>12</v>
      </c>
      <c r="I3" s="122" t="s">
        <v>13</v>
      </c>
      <c r="J3" s="122" t="s">
        <v>14</v>
      </c>
      <c r="K3" s="122" t="s">
        <v>18</v>
      </c>
      <c r="L3" s="122" t="s">
        <v>8</v>
      </c>
      <c r="M3" s="122" t="s">
        <v>66</v>
      </c>
      <c r="N3" s="122" t="s">
        <v>67</v>
      </c>
      <c r="O3" s="122" t="s">
        <v>68</v>
      </c>
      <c r="P3" s="123" t="s">
        <v>69</v>
      </c>
      <c r="Q3" s="123" t="s">
        <v>70</v>
      </c>
      <c r="R3" s="123" t="s">
        <v>71</v>
      </c>
      <c r="S3" s="123" t="s">
        <v>72</v>
      </c>
      <c r="T3" s="123" t="s">
        <v>73</v>
      </c>
      <c r="U3" s="123" t="s">
        <v>74</v>
      </c>
      <c r="V3" s="123" t="s">
        <v>75</v>
      </c>
      <c r="W3" s="123" t="s">
        <v>76</v>
      </c>
      <c r="X3" s="123" t="s">
        <v>77</v>
      </c>
      <c r="Y3" s="123" t="s">
        <v>78</v>
      </c>
      <c r="Z3" s="123" t="s">
        <v>79</v>
      </c>
      <c r="AA3" s="123" t="s">
        <v>80</v>
      </c>
      <c r="AB3" s="123" t="s">
        <v>81</v>
      </c>
      <c r="AC3" s="123" t="s">
        <v>82</v>
      </c>
      <c r="AD3" s="124" t="s">
        <v>83</v>
      </c>
      <c r="AE3" s="124" t="s">
        <v>84</v>
      </c>
      <c r="AF3" s="124" t="s">
        <v>85</v>
      </c>
      <c r="AG3" s="124" t="s">
        <v>86</v>
      </c>
      <c r="AH3" s="125" t="s">
        <v>87</v>
      </c>
      <c r="AI3" s="124" t="s">
        <v>88</v>
      </c>
      <c r="AJ3" s="124" t="s">
        <v>84</v>
      </c>
      <c r="AK3" s="124" t="s">
        <v>85</v>
      </c>
      <c r="AL3" s="124" t="s">
        <v>86</v>
      </c>
      <c r="AM3" s="125" t="s">
        <v>89</v>
      </c>
      <c r="AN3" s="126" t="s">
        <v>90</v>
      </c>
      <c r="AO3" s="127" t="s">
        <v>91</v>
      </c>
    </row>
    <row r="4" spans="1:45" s="12" customFormat="1" ht="15" customHeight="1">
      <c r="A4" s="140">
        <f t="shared" ref="A4:A67" si="0">ROW()-3</f>
        <v>1</v>
      </c>
      <c r="B4" s="140">
        <v>696048438</v>
      </c>
      <c r="C4" s="140" t="s">
        <v>314</v>
      </c>
      <c r="D4" s="140" t="s">
        <v>332</v>
      </c>
      <c r="E4" s="140" t="s">
        <v>324</v>
      </c>
      <c r="F4" s="142" t="s">
        <v>93</v>
      </c>
      <c r="G4" s="142" t="s">
        <v>81</v>
      </c>
      <c r="H4" s="143">
        <v>28</v>
      </c>
      <c r="I4" s="142">
        <v>35000</v>
      </c>
      <c r="J4" s="142">
        <v>35070</v>
      </c>
      <c r="K4" s="140" t="s">
        <v>158</v>
      </c>
      <c r="L4" s="140" t="s">
        <v>18</v>
      </c>
      <c r="M4" s="146">
        <v>45729</v>
      </c>
      <c r="N4" s="146" t="s">
        <v>96</v>
      </c>
      <c r="O4" s="152" t="s">
        <v>97</v>
      </c>
      <c r="P4" s="146">
        <v>45733</v>
      </c>
      <c r="Q4" s="146">
        <v>45733</v>
      </c>
      <c r="R4" s="146">
        <v>45763</v>
      </c>
      <c r="S4" s="146">
        <v>45953</v>
      </c>
      <c r="T4" s="147">
        <v>45954</v>
      </c>
      <c r="U4" s="146">
        <v>45958</v>
      </c>
      <c r="V4" s="147">
        <v>45978</v>
      </c>
      <c r="W4" s="147">
        <v>45982</v>
      </c>
      <c r="X4" s="147">
        <v>45984</v>
      </c>
      <c r="Y4" s="147">
        <v>45984</v>
      </c>
      <c r="Z4" s="147">
        <v>45985</v>
      </c>
      <c r="AA4" s="147">
        <v>45986</v>
      </c>
      <c r="AB4" s="147">
        <v>45986</v>
      </c>
      <c r="AC4" s="148" t="s">
        <v>251</v>
      </c>
      <c r="AD4" s="98">
        <f t="shared" ref="AD4:AD60" si="1">MAX(0,X4-W4)</f>
        <v>2</v>
      </c>
      <c r="AE4" s="7">
        <v>7</v>
      </c>
      <c r="AF4" s="8">
        <f t="shared" ref="AF4:AF52" si="2">MAX(0,AD4-AE4)</f>
        <v>0</v>
      </c>
      <c r="AG4" s="9">
        <v>200</v>
      </c>
      <c r="AH4" s="10">
        <f t="shared" ref="AH4:AH60" si="3">MAX(0,AF4*AG4)</f>
        <v>0</v>
      </c>
      <c r="AI4" s="98">
        <f t="shared" ref="AI4:AI61" si="4">MAX(0,AB4-AA4)</f>
        <v>0</v>
      </c>
      <c r="AJ4" s="15">
        <v>2</v>
      </c>
      <c r="AK4" s="16">
        <f t="shared" ref="AK4:AK12" si="5">MAX(0,AI4-AJ4)</f>
        <v>0</v>
      </c>
      <c r="AL4" s="17">
        <v>200</v>
      </c>
      <c r="AM4" s="10">
        <f t="shared" ref="AM4:AM60" si="6">MAX(0,AK4*AL4)</f>
        <v>0</v>
      </c>
      <c r="AN4" s="9">
        <v>0</v>
      </c>
      <c r="AO4" s="11">
        <f t="shared" ref="AO4:AO12" si="7">AN4+AM4+AH4</f>
        <v>0</v>
      </c>
    </row>
    <row r="5" spans="1:45" s="12" customFormat="1" ht="15" customHeight="1">
      <c r="A5" s="140">
        <f t="shared" si="0"/>
        <v>2</v>
      </c>
      <c r="B5" s="140">
        <v>696048438</v>
      </c>
      <c r="C5" s="140" t="s">
        <v>309</v>
      </c>
      <c r="D5" s="140" t="s">
        <v>328</v>
      </c>
      <c r="E5" s="142" t="s">
        <v>319</v>
      </c>
      <c r="F5" s="142" t="s">
        <v>93</v>
      </c>
      <c r="G5" s="142" t="s">
        <v>81</v>
      </c>
      <c r="H5" s="143">
        <v>28</v>
      </c>
      <c r="I5" s="142">
        <v>35000</v>
      </c>
      <c r="J5" s="142">
        <v>35070</v>
      </c>
      <c r="K5" s="140" t="s">
        <v>158</v>
      </c>
      <c r="L5" s="140" t="s">
        <v>18</v>
      </c>
      <c r="M5" s="146">
        <v>45729</v>
      </c>
      <c r="N5" s="146" t="s">
        <v>96</v>
      </c>
      <c r="O5" s="152" t="s">
        <v>97</v>
      </c>
      <c r="P5" s="146">
        <v>45733</v>
      </c>
      <c r="Q5" s="146">
        <v>45733</v>
      </c>
      <c r="R5" s="146">
        <v>45763</v>
      </c>
      <c r="S5" s="146">
        <v>45953</v>
      </c>
      <c r="T5" s="147">
        <v>45953</v>
      </c>
      <c r="U5" s="146">
        <v>45958</v>
      </c>
      <c r="V5" s="147">
        <v>45978</v>
      </c>
      <c r="W5" s="147">
        <v>45981</v>
      </c>
      <c r="X5" s="147">
        <v>45983</v>
      </c>
      <c r="Y5" s="147">
        <v>45983</v>
      </c>
      <c r="Z5" s="147">
        <v>45983</v>
      </c>
      <c r="AA5" s="147">
        <v>45984</v>
      </c>
      <c r="AB5" s="147">
        <v>45985</v>
      </c>
      <c r="AC5" s="148" t="s">
        <v>251</v>
      </c>
      <c r="AD5" s="98">
        <f>MAX(0,X5-W5)</f>
        <v>2</v>
      </c>
      <c r="AE5" s="7">
        <v>7</v>
      </c>
      <c r="AF5" s="8">
        <f>MAX(0,AD5-AE5)</f>
        <v>0</v>
      </c>
      <c r="AG5" s="9">
        <v>200</v>
      </c>
      <c r="AH5" s="10">
        <f>MAX(0,AF5*AG5)</f>
        <v>0</v>
      </c>
      <c r="AI5" s="98">
        <f>MAX(0,AB5-AA5)</f>
        <v>1</v>
      </c>
      <c r="AJ5" s="15">
        <v>2</v>
      </c>
      <c r="AK5" s="16">
        <f>MAX(0,AI5-AJ5)</f>
        <v>0</v>
      </c>
      <c r="AL5" s="17">
        <v>200</v>
      </c>
      <c r="AM5" s="10">
        <f>MAX(0,AK5*AL5)</f>
        <v>0</v>
      </c>
      <c r="AN5" s="17">
        <v>0</v>
      </c>
      <c r="AO5" s="128">
        <f>AN5+AM5+AH5</f>
        <v>0</v>
      </c>
    </row>
    <row r="6" spans="1:45" s="12" customFormat="1" ht="15" customHeight="1">
      <c r="A6" s="140">
        <f t="shared" si="0"/>
        <v>3</v>
      </c>
      <c r="B6" s="140">
        <v>696048438</v>
      </c>
      <c r="C6" s="140" t="s">
        <v>313</v>
      </c>
      <c r="D6" s="140" t="s">
        <v>331</v>
      </c>
      <c r="E6" s="140" t="s">
        <v>323</v>
      </c>
      <c r="F6" s="142" t="s">
        <v>93</v>
      </c>
      <c r="G6" s="142" t="s">
        <v>81</v>
      </c>
      <c r="H6" s="143">
        <v>28</v>
      </c>
      <c r="I6" s="142">
        <v>35000</v>
      </c>
      <c r="J6" s="142">
        <v>35070</v>
      </c>
      <c r="K6" s="140" t="s">
        <v>158</v>
      </c>
      <c r="L6" s="140" t="s">
        <v>18</v>
      </c>
      <c r="M6" s="146">
        <v>45729</v>
      </c>
      <c r="N6" s="146" t="s">
        <v>96</v>
      </c>
      <c r="O6" s="152" t="s">
        <v>97</v>
      </c>
      <c r="P6" s="146">
        <v>45733</v>
      </c>
      <c r="Q6" s="146">
        <v>45733</v>
      </c>
      <c r="R6" s="146">
        <v>45763</v>
      </c>
      <c r="S6" s="146">
        <v>45953</v>
      </c>
      <c r="T6" s="147">
        <v>45954</v>
      </c>
      <c r="U6" s="146">
        <v>45958</v>
      </c>
      <c r="V6" s="147">
        <v>45974</v>
      </c>
      <c r="W6" s="147">
        <v>45977</v>
      </c>
      <c r="X6" s="147">
        <v>45978</v>
      </c>
      <c r="Y6" s="147">
        <v>45978</v>
      </c>
      <c r="Z6" s="147">
        <v>45979</v>
      </c>
      <c r="AA6" s="147">
        <v>45979</v>
      </c>
      <c r="AB6" s="147">
        <v>45980</v>
      </c>
      <c r="AC6" s="148" t="s">
        <v>251</v>
      </c>
      <c r="AD6" s="98">
        <f>MAX(0,X6-W6)</f>
        <v>1</v>
      </c>
      <c r="AE6" s="7">
        <v>7</v>
      </c>
      <c r="AF6" s="8">
        <f>MAX(0,AD6-AE6)</f>
        <v>0</v>
      </c>
      <c r="AG6" s="9">
        <v>200</v>
      </c>
      <c r="AH6" s="10">
        <f>MAX(0,AF6*AG6)</f>
        <v>0</v>
      </c>
      <c r="AI6" s="98">
        <f>MAX(0,AB6-AA6)</f>
        <v>1</v>
      </c>
      <c r="AJ6" s="15">
        <v>2</v>
      </c>
      <c r="AK6" s="16">
        <f>MAX(0,AI6-AJ6)</f>
        <v>0</v>
      </c>
      <c r="AL6" s="17">
        <v>200</v>
      </c>
      <c r="AM6" s="10">
        <f>MAX(0,AK6*AL6)</f>
        <v>0</v>
      </c>
      <c r="AN6" s="17">
        <v>0</v>
      </c>
      <c r="AO6" s="128">
        <f>AN6+AM6+AH6</f>
        <v>0</v>
      </c>
    </row>
    <row r="7" spans="1:45" s="1" customFormat="1" ht="15" customHeight="1">
      <c r="A7" s="140">
        <f t="shared" si="0"/>
        <v>4</v>
      </c>
      <c r="B7" s="140">
        <v>696048438</v>
      </c>
      <c r="C7" s="141" t="s">
        <v>281</v>
      </c>
      <c r="D7" s="141" t="s">
        <v>303</v>
      </c>
      <c r="E7" s="142" t="s">
        <v>294</v>
      </c>
      <c r="F7" s="142" t="s">
        <v>93</v>
      </c>
      <c r="G7" s="142" t="s">
        <v>81</v>
      </c>
      <c r="H7" s="140">
        <v>28</v>
      </c>
      <c r="I7" s="142">
        <v>35000</v>
      </c>
      <c r="J7" s="142">
        <v>35070</v>
      </c>
      <c r="K7" s="140" t="s">
        <v>158</v>
      </c>
      <c r="L7" s="140" t="s">
        <v>18</v>
      </c>
      <c r="M7" s="146">
        <v>45729</v>
      </c>
      <c r="N7" s="146" t="s">
        <v>96</v>
      </c>
      <c r="O7" s="152" t="s">
        <v>97</v>
      </c>
      <c r="P7" s="146">
        <v>45733</v>
      </c>
      <c r="Q7" s="146">
        <v>45733</v>
      </c>
      <c r="R7" s="146">
        <v>45763</v>
      </c>
      <c r="S7" s="147">
        <v>45952</v>
      </c>
      <c r="T7" s="147">
        <v>45953</v>
      </c>
      <c r="U7" s="147">
        <v>45954</v>
      </c>
      <c r="V7" s="147">
        <v>45959</v>
      </c>
      <c r="W7" s="147">
        <v>45970</v>
      </c>
      <c r="X7" s="147">
        <v>45974</v>
      </c>
      <c r="Y7" s="147">
        <v>45975</v>
      </c>
      <c r="Z7" s="147">
        <v>45976</v>
      </c>
      <c r="AA7" s="147">
        <v>45976</v>
      </c>
      <c r="AB7" s="147">
        <v>45980</v>
      </c>
      <c r="AC7" s="148" t="s">
        <v>251</v>
      </c>
      <c r="AD7" s="98">
        <f>MAX(0,X7-W7)</f>
        <v>4</v>
      </c>
      <c r="AE7" s="7">
        <v>7</v>
      </c>
      <c r="AF7" s="8">
        <f t="shared" ref="AF7" si="8">MAX(0,AD7-AE7)</f>
        <v>0</v>
      </c>
      <c r="AG7" s="9">
        <v>200</v>
      </c>
      <c r="AH7" s="10">
        <f>MAX(0,AF7*AG7)</f>
        <v>0</v>
      </c>
      <c r="AI7" s="98">
        <f>MAX(0,AB7-AA7)</f>
        <v>4</v>
      </c>
      <c r="AJ7" s="7">
        <v>2</v>
      </c>
      <c r="AK7" s="8">
        <f t="shared" ref="AK7" si="9">MAX(0,AI7-AJ7)</f>
        <v>2</v>
      </c>
      <c r="AL7" s="9">
        <v>200</v>
      </c>
      <c r="AM7" s="10">
        <f>MAX(0,AK7*AL7)</f>
        <v>400</v>
      </c>
      <c r="AN7" s="9">
        <v>0</v>
      </c>
      <c r="AO7" s="11">
        <f t="shared" ref="AO7" si="10">AN7+AM7+AH7</f>
        <v>400</v>
      </c>
    </row>
    <row r="8" spans="1:45" s="1" customFormat="1" ht="15" customHeight="1">
      <c r="A8" s="140">
        <f t="shared" si="0"/>
        <v>5</v>
      </c>
      <c r="B8" s="140">
        <v>696048438</v>
      </c>
      <c r="C8" s="141" t="s">
        <v>253</v>
      </c>
      <c r="D8" s="150" t="s">
        <v>262</v>
      </c>
      <c r="E8" s="150" t="s">
        <v>271</v>
      </c>
      <c r="F8" s="142" t="s">
        <v>93</v>
      </c>
      <c r="G8" s="142" t="s">
        <v>81</v>
      </c>
      <c r="H8" s="140">
        <v>28</v>
      </c>
      <c r="I8" s="142">
        <v>35000</v>
      </c>
      <c r="J8" s="142">
        <v>35070</v>
      </c>
      <c r="K8" s="140" t="s">
        <v>158</v>
      </c>
      <c r="L8" s="140" t="s">
        <v>18</v>
      </c>
      <c r="M8" s="146">
        <v>45729</v>
      </c>
      <c r="N8" s="146" t="s">
        <v>96</v>
      </c>
      <c r="O8" s="152" t="s">
        <v>97</v>
      </c>
      <c r="P8" s="146">
        <v>45733</v>
      </c>
      <c r="Q8" s="146">
        <v>45733</v>
      </c>
      <c r="R8" s="146">
        <v>45763</v>
      </c>
      <c r="S8" s="147">
        <v>45947</v>
      </c>
      <c r="T8" s="147">
        <v>45948</v>
      </c>
      <c r="U8" s="146">
        <v>45953</v>
      </c>
      <c r="V8" s="147">
        <v>45967</v>
      </c>
      <c r="W8" s="147">
        <v>45970</v>
      </c>
      <c r="X8" s="147">
        <v>45972</v>
      </c>
      <c r="Y8" s="147">
        <v>45972</v>
      </c>
      <c r="Z8" s="147">
        <v>45973</v>
      </c>
      <c r="AA8" s="147">
        <v>45973</v>
      </c>
      <c r="AB8" s="147">
        <v>45978</v>
      </c>
      <c r="AC8" s="153" t="s">
        <v>251</v>
      </c>
      <c r="AD8" s="98">
        <f t="shared" ref="AD8" si="11">MAX(0,X8-W8)</f>
        <v>2</v>
      </c>
      <c r="AE8" s="7">
        <v>7</v>
      </c>
      <c r="AF8" s="8">
        <f t="shared" ref="AF8" si="12">MAX(0,AD8-AE8)</f>
        <v>0</v>
      </c>
      <c r="AG8" s="9">
        <v>200</v>
      </c>
      <c r="AH8" s="10">
        <f t="shared" ref="AH8" si="13">MAX(0,AF8*AG8)</f>
        <v>0</v>
      </c>
      <c r="AI8" s="98">
        <f t="shared" ref="AI8" si="14">MAX(0,AB8-AA8)</f>
        <v>5</v>
      </c>
      <c r="AJ8" s="7">
        <v>2</v>
      </c>
      <c r="AK8" s="8">
        <f t="shared" ref="AK8" si="15">MAX(0,AI8-AJ8)</f>
        <v>3</v>
      </c>
      <c r="AL8" s="9">
        <v>200</v>
      </c>
      <c r="AM8" s="10">
        <f t="shared" ref="AM8" si="16">MAX(0,AK8*AL8)</f>
        <v>600</v>
      </c>
      <c r="AN8" s="9">
        <v>0</v>
      </c>
      <c r="AO8" s="11">
        <f t="shared" ref="AO8" si="17">AN8+AM8+AH8</f>
        <v>600</v>
      </c>
    </row>
    <row r="9" spans="1:45" s="1" customFormat="1" ht="15" customHeight="1">
      <c r="A9" s="140">
        <f t="shared" si="0"/>
        <v>6</v>
      </c>
      <c r="B9" s="140">
        <v>696048438</v>
      </c>
      <c r="C9" s="141" t="s">
        <v>285</v>
      </c>
      <c r="D9" s="141" t="s">
        <v>306</v>
      </c>
      <c r="E9" s="142" t="s">
        <v>298</v>
      </c>
      <c r="F9" s="142" t="s">
        <v>93</v>
      </c>
      <c r="G9" s="142" t="s">
        <v>81</v>
      </c>
      <c r="H9" s="140">
        <v>28</v>
      </c>
      <c r="I9" s="142">
        <v>35000</v>
      </c>
      <c r="J9" s="142">
        <v>35070</v>
      </c>
      <c r="K9" s="140" t="s">
        <v>158</v>
      </c>
      <c r="L9" s="140" t="s">
        <v>18</v>
      </c>
      <c r="M9" s="146">
        <v>45729</v>
      </c>
      <c r="N9" s="146" t="s">
        <v>96</v>
      </c>
      <c r="O9" s="152" t="s">
        <v>97</v>
      </c>
      <c r="P9" s="146">
        <v>45733</v>
      </c>
      <c r="Q9" s="146">
        <v>45733</v>
      </c>
      <c r="R9" s="146">
        <v>45763</v>
      </c>
      <c r="S9" s="147">
        <v>45952</v>
      </c>
      <c r="T9" s="147">
        <v>45953</v>
      </c>
      <c r="U9" s="147">
        <v>45957</v>
      </c>
      <c r="V9" s="147">
        <v>45967</v>
      </c>
      <c r="W9" s="147">
        <v>45971</v>
      </c>
      <c r="X9" s="147">
        <v>45972</v>
      </c>
      <c r="Y9" s="147">
        <v>45972</v>
      </c>
      <c r="Z9" s="147">
        <v>45973</v>
      </c>
      <c r="AA9" s="147">
        <v>45973</v>
      </c>
      <c r="AB9" s="147">
        <v>45978</v>
      </c>
      <c r="AC9" s="153" t="s">
        <v>251</v>
      </c>
      <c r="AD9" s="98">
        <f>MAX(0,X9-W9)</f>
        <v>1</v>
      </c>
      <c r="AE9" s="7">
        <v>7</v>
      </c>
      <c r="AF9" s="8">
        <f>MAX(0,AD9-AE9)</f>
        <v>0</v>
      </c>
      <c r="AG9" s="9">
        <v>200</v>
      </c>
      <c r="AH9" s="10">
        <f>MAX(0,AF9*AG9)</f>
        <v>0</v>
      </c>
      <c r="AI9" s="98">
        <f>MAX(0,AB9-AA9)</f>
        <v>5</v>
      </c>
      <c r="AJ9" s="7">
        <v>2</v>
      </c>
      <c r="AK9" s="8">
        <f>MAX(0,AI9-AJ9)</f>
        <v>3</v>
      </c>
      <c r="AL9" s="9">
        <v>200</v>
      </c>
      <c r="AM9" s="10">
        <f>MAX(0,AK9*AL9)</f>
        <v>600</v>
      </c>
      <c r="AN9" s="9">
        <v>0</v>
      </c>
      <c r="AO9" s="11">
        <f>AN9+AM9+AH9</f>
        <v>600</v>
      </c>
    </row>
    <row r="10" spans="1:45" s="1" customFormat="1" ht="15" customHeight="1">
      <c r="A10" s="140">
        <f t="shared" si="0"/>
        <v>7</v>
      </c>
      <c r="B10" s="140">
        <v>696048438</v>
      </c>
      <c r="C10" s="142" t="s">
        <v>286</v>
      </c>
      <c r="D10" s="142" t="s">
        <v>307</v>
      </c>
      <c r="E10" s="142" t="s">
        <v>299</v>
      </c>
      <c r="F10" s="142" t="s">
        <v>93</v>
      </c>
      <c r="G10" s="142" t="s">
        <v>81</v>
      </c>
      <c r="H10" s="140">
        <v>28</v>
      </c>
      <c r="I10" s="142">
        <v>35000</v>
      </c>
      <c r="J10" s="142">
        <v>35070</v>
      </c>
      <c r="K10" s="140" t="s">
        <v>158</v>
      </c>
      <c r="L10" s="140" t="s">
        <v>18</v>
      </c>
      <c r="M10" s="146">
        <v>45729</v>
      </c>
      <c r="N10" s="146" t="s">
        <v>96</v>
      </c>
      <c r="O10" s="152" t="s">
        <v>97</v>
      </c>
      <c r="P10" s="146">
        <v>45733</v>
      </c>
      <c r="Q10" s="146">
        <v>45733</v>
      </c>
      <c r="R10" s="146">
        <v>45763</v>
      </c>
      <c r="S10" s="147">
        <v>45952</v>
      </c>
      <c r="T10" s="147">
        <v>45953</v>
      </c>
      <c r="U10" s="147">
        <v>45957</v>
      </c>
      <c r="V10" s="147">
        <v>45967</v>
      </c>
      <c r="W10" s="147">
        <v>45969</v>
      </c>
      <c r="X10" s="147">
        <v>45971</v>
      </c>
      <c r="Y10" s="147">
        <v>45972</v>
      </c>
      <c r="Z10" s="147">
        <v>45972</v>
      </c>
      <c r="AA10" s="147">
        <v>45972</v>
      </c>
      <c r="AB10" s="147">
        <v>45978</v>
      </c>
      <c r="AC10" s="153" t="s">
        <v>251</v>
      </c>
      <c r="AD10" s="98">
        <f>MAX(0,X10-W10)</f>
        <v>2</v>
      </c>
      <c r="AE10" s="7">
        <v>7</v>
      </c>
      <c r="AF10" s="8">
        <f>MAX(0,AD10-AE10)</f>
        <v>0</v>
      </c>
      <c r="AG10" s="9">
        <v>200</v>
      </c>
      <c r="AH10" s="10">
        <f>MAX(0,AF10*AG10)</f>
        <v>0</v>
      </c>
      <c r="AI10" s="98">
        <f>MAX(0,AB10-AA10)</f>
        <v>6</v>
      </c>
      <c r="AJ10" s="7">
        <v>2</v>
      </c>
      <c r="AK10" s="8">
        <f>MAX(0,AI10-AJ10)</f>
        <v>4</v>
      </c>
      <c r="AL10" s="9">
        <v>200</v>
      </c>
      <c r="AM10" s="10">
        <f>MAX(0,AK10*AL10)</f>
        <v>800</v>
      </c>
      <c r="AN10" s="9">
        <v>0</v>
      </c>
      <c r="AO10" s="11">
        <f>AN10+AM10+AH10</f>
        <v>800</v>
      </c>
    </row>
    <row r="11" spans="1:45" s="12" customFormat="1" ht="15" customHeight="1">
      <c r="A11" s="140">
        <f t="shared" si="0"/>
        <v>8</v>
      </c>
      <c r="B11" s="140">
        <v>696048438</v>
      </c>
      <c r="C11" s="140" t="s">
        <v>315</v>
      </c>
      <c r="D11" s="140" t="s">
        <v>333</v>
      </c>
      <c r="E11" s="140" t="s">
        <v>325</v>
      </c>
      <c r="F11" s="142" t="s">
        <v>93</v>
      </c>
      <c r="G11" s="142" t="s">
        <v>81</v>
      </c>
      <c r="H11" s="143">
        <v>28</v>
      </c>
      <c r="I11" s="142">
        <v>35000</v>
      </c>
      <c r="J11" s="142">
        <v>35070</v>
      </c>
      <c r="K11" s="140" t="s">
        <v>158</v>
      </c>
      <c r="L11" s="140" t="s">
        <v>18</v>
      </c>
      <c r="M11" s="146">
        <v>45729</v>
      </c>
      <c r="N11" s="146" t="s">
        <v>96</v>
      </c>
      <c r="O11" s="152" t="s">
        <v>97</v>
      </c>
      <c r="P11" s="146">
        <v>45733</v>
      </c>
      <c r="Q11" s="146">
        <v>45733</v>
      </c>
      <c r="R11" s="146">
        <v>45763</v>
      </c>
      <c r="S11" s="146">
        <v>45953</v>
      </c>
      <c r="T11" s="147">
        <v>45954</v>
      </c>
      <c r="U11" s="146">
        <v>45958</v>
      </c>
      <c r="V11" s="147">
        <v>45966</v>
      </c>
      <c r="W11" s="147">
        <v>45969</v>
      </c>
      <c r="X11" s="147">
        <v>45972</v>
      </c>
      <c r="Y11" s="147">
        <v>45972</v>
      </c>
      <c r="Z11" s="147">
        <v>45972</v>
      </c>
      <c r="AA11" s="147">
        <v>45972</v>
      </c>
      <c r="AB11" s="147">
        <v>45978</v>
      </c>
      <c r="AC11" s="148" t="s">
        <v>251</v>
      </c>
      <c r="AD11" s="98">
        <f t="shared" si="1"/>
        <v>3</v>
      </c>
      <c r="AE11" s="7">
        <v>7</v>
      </c>
      <c r="AF11" s="8">
        <f t="shared" si="2"/>
        <v>0</v>
      </c>
      <c r="AG11" s="9">
        <v>200</v>
      </c>
      <c r="AH11" s="10">
        <f t="shared" si="3"/>
        <v>0</v>
      </c>
      <c r="AI11" s="98">
        <f t="shared" si="4"/>
        <v>6</v>
      </c>
      <c r="AJ11" s="15">
        <v>2</v>
      </c>
      <c r="AK11" s="16">
        <f t="shared" si="5"/>
        <v>4</v>
      </c>
      <c r="AL11" s="17">
        <v>200</v>
      </c>
      <c r="AM11" s="10">
        <f t="shared" si="6"/>
        <v>800</v>
      </c>
      <c r="AN11" s="17">
        <v>0</v>
      </c>
      <c r="AO11" s="128">
        <f t="shared" si="7"/>
        <v>800</v>
      </c>
    </row>
    <row r="12" spans="1:45" s="12" customFormat="1" ht="15" customHeight="1">
      <c r="A12" s="140">
        <f t="shared" si="0"/>
        <v>9</v>
      </c>
      <c r="B12" s="140">
        <v>696048438</v>
      </c>
      <c r="C12" s="140" t="s">
        <v>316</v>
      </c>
      <c r="D12" s="140" t="s">
        <v>334</v>
      </c>
      <c r="E12" s="142" t="s">
        <v>326</v>
      </c>
      <c r="F12" s="142" t="s">
        <v>93</v>
      </c>
      <c r="G12" s="142" t="s">
        <v>81</v>
      </c>
      <c r="H12" s="143">
        <v>29</v>
      </c>
      <c r="I12" s="142">
        <v>36250</v>
      </c>
      <c r="J12" s="142">
        <v>36323</v>
      </c>
      <c r="K12" s="140" t="s">
        <v>158</v>
      </c>
      <c r="L12" s="140" t="s">
        <v>18</v>
      </c>
      <c r="M12" s="146">
        <v>45729</v>
      </c>
      <c r="N12" s="146" t="s">
        <v>96</v>
      </c>
      <c r="O12" s="152" t="s">
        <v>97</v>
      </c>
      <c r="P12" s="146">
        <v>45733</v>
      </c>
      <c r="Q12" s="146">
        <v>45733</v>
      </c>
      <c r="R12" s="146">
        <v>45763</v>
      </c>
      <c r="S12" s="146">
        <v>45953</v>
      </c>
      <c r="T12" s="147">
        <v>45954</v>
      </c>
      <c r="U12" s="146">
        <v>45958</v>
      </c>
      <c r="V12" s="147">
        <v>45967</v>
      </c>
      <c r="W12" s="147">
        <v>45969</v>
      </c>
      <c r="X12" s="147">
        <v>45972</v>
      </c>
      <c r="Y12" s="147">
        <v>45972</v>
      </c>
      <c r="Z12" s="147">
        <v>45972</v>
      </c>
      <c r="AA12" s="147">
        <v>45972</v>
      </c>
      <c r="AB12" s="147">
        <v>45978</v>
      </c>
      <c r="AC12" s="148" t="s">
        <v>251</v>
      </c>
      <c r="AD12" s="98">
        <f t="shared" si="1"/>
        <v>3</v>
      </c>
      <c r="AE12" s="7">
        <v>7</v>
      </c>
      <c r="AF12" s="8">
        <f t="shared" si="2"/>
        <v>0</v>
      </c>
      <c r="AG12" s="9">
        <v>200</v>
      </c>
      <c r="AH12" s="10">
        <f t="shared" si="3"/>
        <v>0</v>
      </c>
      <c r="AI12" s="98">
        <f t="shared" si="4"/>
        <v>6</v>
      </c>
      <c r="AJ12" s="15">
        <v>2</v>
      </c>
      <c r="AK12" s="16">
        <f t="shared" si="5"/>
        <v>4</v>
      </c>
      <c r="AL12" s="17">
        <v>200</v>
      </c>
      <c r="AM12" s="10">
        <f t="shared" si="6"/>
        <v>800</v>
      </c>
      <c r="AN12" s="9">
        <v>0</v>
      </c>
      <c r="AO12" s="11">
        <f t="shared" si="7"/>
        <v>800</v>
      </c>
    </row>
    <row r="13" spans="1:45" s="1" customFormat="1" ht="15" customHeight="1">
      <c r="A13" s="140">
        <f t="shared" si="0"/>
        <v>10</v>
      </c>
      <c r="B13" s="140">
        <v>696048438</v>
      </c>
      <c r="C13" s="141" t="s">
        <v>279</v>
      </c>
      <c r="D13" s="141" t="s">
        <v>302</v>
      </c>
      <c r="E13" s="142" t="s">
        <v>292</v>
      </c>
      <c r="F13" s="142" t="s">
        <v>93</v>
      </c>
      <c r="G13" s="142" t="s">
        <v>81</v>
      </c>
      <c r="H13" s="140">
        <v>28</v>
      </c>
      <c r="I13" s="142">
        <v>35000</v>
      </c>
      <c r="J13" s="142">
        <v>35070</v>
      </c>
      <c r="K13" s="140" t="s">
        <v>158</v>
      </c>
      <c r="L13" s="140" t="s">
        <v>18</v>
      </c>
      <c r="M13" s="146">
        <v>45729</v>
      </c>
      <c r="N13" s="146" t="s">
        <v>96</v>
      </c>
      <c r="O13" s="152" t="s">
        <v>97</v>
      </c>
      <c r="P13" s="146">
        <v>45733</v>
      </c>
      <c r="Q13" s="146">
        <v>45733</v>
      </c>
      <c r="R13" s="146">
        <v>45763</v>
      </c>
      <c r="S13" s="147">
        <v>45952</v>
      </c>
      <c r="T13" s="147">
        <v>45953</v>
      </c>
      <c r="U13" s="147">
        <v>45957</v>
      </c>
      <c r="V13" s="147">
        <v>45967</v>
      </c>
      <c r="W13" s="147">
        <v>45969</v>
      </c>
      <c r="X13" s="147">
        <v>45971</v>
      </c>
      <c r="Y13" s="147">
        <v>45972</v>
      </c>
      <c r="Z13" s="147">
        <v>45972</v>
      </c>
      <c r="AA13" s="147">
        <v>45972</v>
      </c>
      <c r="AB13" s="147">
        <v>45976</v>
      </c>
      <c r="AC13" s="148" t="s">
        <v>251</v>
      </c>
      <c r="AD13" s="98">
        <f>MAX(0,X13-W13)</f>
        <v>2</v>
      </c>
      <c r="AE13" s="7">
        <v>7</v>
      </c>
      <c r="AF13" s="8">
        <f>MAX(0,AD13-AE13)</f>
        <v>0</v>
      </c>
      <c r="AG13" s="9">
        <v>200</v>
      </c>
      <c r="AH13" s="10">
        <f>MAX(0,AF13*AG13)</f>
        <v>0</v>
      </c>
      <c r="AI13" s="98">
        <f>MAX(0,AB13-AA13)</f>
        <v>4</v>
      </c>
      <c r="AJ13" s="7">
        <v>2</v>
      </c>
      <c r="AK13" s="8">
        <f>MAX(0,AI13-AJ13)</f>
        <v>2</v>
      </c>
      <c r="AL13" s="9">
        <v>200</v>
      </c>
      <c r="AM13" s="10">
        <f>MAX(0,AK13*AL13)</f>
        <v>400</v>
      </c>
      <c r="AN13" s="9">
        <v>0</v>
      </c>
      <c r="AO13" s="11">
        <f>AN13+AM13+AH13</f>
        <v>400</v>
      </c>
    </row>
    <row r="14" spans="1:45" s="1" customFormat="1" ht="15" customHeight="1">
      <c r="A14" s="140">
        <f t="shared" si="0"/>
        <v>11</v>
      </c>
      <c r="B14" s="140">
        <v>696048438</v>
      </c>
      <c r="C14" s="141" t="s">
        <v>287</v>
      </c>
      <c r="D14" s="141" t="s">
        <v>308</v>
      </c>
      <c r="E14" s="142" t="s">
        <v>300</v>
      </c>
      <c r="F14" s="142" t="s">
        <v>93</v>
      </c>
      <c r="G14" s="142" t="s">
        <v>81</v>
      </c>
      <c r="H14" s="140">
        <v>28</v>
      </c>
      <c r="I14" s="142">
        <v>35000</v>
      </c>
      <c r="J14" s="142">
        <v>35070</v>
      </c>
      <c r="K14" s="140" t="s">
        <v>158</v>
      </c>
      <c r="L14" s="140" t="s">
        <v>18</v>
      </c>
      <c r="M14" s="146">
        <v>45729</v>
      </c>
      <c r="N14" s="146" t="s">
        <v>96</v>
      </c>
      <c r="O14" s="152" t="s">
        <v>97</v>
      </c>
      <c r="P14" s="146">
        <v>45733</v>
      </c>
      <c r="Q14" s="146">
        <v>45733</v>
      </c>
      <c r="R14" s="146">
        <v>45763</v>
      </c>
      <c r="S14" s="147">
        <v>45952</v>
      </c>
      <c r="T14" s="147">
        <v>45953</v>
      </c>
      <c r="U14" s="147">
        <v>45957</v>
      </c>
      <c r="V14" s="147">
        <v>45967</v>
      </c>
      <c r="W14" s="147">
        <v>45969</v>
      </c>
      <c r="X14" s="147">
        <v>45971</v>
      </c>
      <c r="Y14" s="147">
        <v>45972</v>
      </c>
      <c r="Z14" s="147">
        <v>45972</v>
      </c>
      <c r="AA14" s="147">
        <v>45972</v>
      </c>
      <c r="AB14" s="147">
        <v>45976</v>
      </c>
      <c r="AC14" s="153" t="s">
        <v>251</v>
      </c>
      <c r="AD14" s="98">
        <f t="shared" ref="AD14:AD20" si="18">MAX(0,X14-W14)</f>
        <v>2</v>
      </c>
      <c r="AE14" s="7">
        <v>7</v>
      </c>
      <c r="AF14" s="8">
        <f t="shared" ref="AF14:AF20" si="19">MAX(0,AD14-AE14)</f>
        <v>0</v>
      </c>
      <c r="AG14" s="9">
        <v>200</v>
      </c>
      <c r="AH14" s="10">
        <f t="shared" ref="AH14:AH20" si="20">MAX(0,AF14*AG14)</f>
        <v>0</v>
      </c>
      <c r="AI14" s="98">
        <f t="shared" ref="AI14:AI20" si="21">MAX(0,AB14-AA14)</f>
        <v>4</v>
      </c>
      <c r="AJ14" s="7">
        <v>2</v>
      </c>
      <c r="AK14" s="8">
        <f t="shared" ref="AK14:AK20" si="22">MAX(0,AI14-AJ14)</f>
        <v>2</v>
      </c>
      <c r="AL14" s="9">
        <v>200</v>
      </c>
      <c r="AM14" s="10">
        <f t="shared" ref="AM14:AM20" si="23">MAX(0,AK14*AL14)</f>
        <v>400</v>
      </c>
      <c r="AN14" s="9">
        <v>0</v>
      </c>
      <c r="AO14" s="11">
        <f t="shared" ref="AO14:AO20" si="24">AN14+AM14+AH14</f>
        <v>400</v>
      </c>
    </row>
    <row r="15" spans="1:45" s="1" customFormat="1" ht="15" customHeight="1">
      <c r="A15" s="140">
        <f t="shared" si="0"/>
        <v>12</v>
      </c>
      <c r="B15" s="140">
        <v>696048438</v>
      </c>
      <c r="C15" s="141" t="s">
        <v>282</v>
      </c>
      <c r="D15" s="141" t="s">
        <v>304</v>
      </c>
      <c r="E15" s="151" t="s">
        <v>295</v>
      </c>
      <c r="F15" s="142" t="s">
        <v>93</v>
      </c>
      <c r="G15" s="142" t="s">
        <v>81</v>
      </c>
      <c r="H15" s="140">
        <v>28</v>
      </c>
      <c r="I15" s="142">
        <v>35000</v>
      </c>
      <c r="J15" s="142">
        <v>35070</v>
      </c>
      <c r="K15" s="140" t="s">
        <v>158</v>
      </c>
      <c r="L15" s="140" t="s">
        <v>18</v>
      </c>
      <c r="M15" s="146">
        <v>45729</v>
      </c>
      <c r="N15" s="146" t="s">
        <v>96</v>
      </c>
      <c r="O15" s="152" t="s">
        <v>97</v>
      </c>
      <c r="P15" s="146">
        <v>45733</v>
      </c>
      <c r="Q15" s="146">
        <v>45733</v>
      </c>
      <c r="R15" s="146">
        <v>45763</v>
      </c>
      <c r="S15" s="147">
        <v>45952</v>
      </c>
      <c r="T15" s="147">
        <v>45953</v>
      </c>
      <c r="U15" s="147">
        <v>45957</v>
      </c>
      <c r="V15" s="147">
        <v>45967</v>
      </c>
      <c r="W15" s="147">
        <v>45969</v>
      </c>
      <c r="X15" s="147">
        <v>45971</v>
      </c>
      <c r="Y15" s="147">
        <v>45972</v>
      </c>
      <c r="Z15" s="147">
        <v>45972</v>
      </c>
      <c r="AA15" s="147">
        <v>45972</v>
      </c>
      <c r="AB15" s="147">
        <v>45976</v>
      </c>
      <c r="AC15" s="153" t="s">
        <v>251</v>
      </c>
      <c r="AD15" s="98">
        <f t="shared" si="18"/>
        <v>2</v>
      </c>
      <c r="AE15" s="7">
        <v>7</v>
      </c>
      <c r="AF15" s="8">
        <f t="shared" si="19"/>
        <v>0</v>
      </c>
      <c r="AG15" s="9">
        <v>200</v>
      </c>
      <c r="AH15" s="10">
        <f t="shared" si="20"/>
        <v>0</v>
      </c>
      <c r="AI15" s="98">
        <f t="shared" si="21"/>
        <v>4</v>
      </c>
      <c r="AJ15" s="7">
        <v>2</v>
      </c>
      <c r="AK15" s="8">
        <f t="shared" si="22"/>
        <v>2</v>
      </c>
      <c r="AL15" s="9">
        <v>200</v>
      </c>
      <c r="AM15" s="10">
        <f t="shared" si="23"/>
        <v>400</v>
      </c>
      <c r="AN15" s="9">
        <v>0</v>
      </c>
      <c r="AO15" s="11">
        <f t="shared" si="24"/>
        <v>400</v>
      </c>
    </row>
    <row r="16" spans="1:45" s="1" customFormat="1" ht="15" customHeight="1">
      <c r="A16" s="140">
        <f t="shared" si="0"/>
        <v>13</v>
      </c>
      <c r="B16" s="140">
        <v>696048438</v>
      </c>
      <c r="C16" s="141" t="s">
        <v>280</v>
      </c>
      <c r="D16" s="141" t="s">
        <v>289</v>
      </c>
      <c r="E16" s="142" t="s">
        <v>293</v>
      </c>
      <c r="F16" s="142" t="s">
        <v>93</v>
      </c>
      <c r="G16" s="142" t="s">
        <v>81</v>
      </c>
      <c r="H16" s="140">
        <v>29</v>
      </c>
      <c r="I16" s="142">
        <v>36250</v>
      </c>
      <c r="J16" s="142">
        <v>36323</v>
      </c>
      <c r="K16" s="140" t="s">
        <v>158</v>
      </c>
      <c r="L16" s="140" t="s">
        <v>18</v>
      </c>
      <c r="M16" s="146">
        <v>45729</v>
      </c>
      <c r="N16" s="146" t="s">
        <v>96</v>
      </c>
      <c r="O16" s="152" t="s">
        <v>97</v>
      </c>
      <c r="P16" s="146">
        <v>45733</v>
      </c>
      <c r="Q16" s="146">
        <v>45733</v>
      </c>
      <c r="R16" s="146">
        <v>45763</v>
      </c>
      <c r="S16" s="147">
        <v>45952</v>
      </c>
      <c r="T16" s="147">
        <v>45953</v>
      </c>
      <c r="U16" s="147">
        <v>45957</v>
      </c>
      <c r="V16" s="147">
        <v>45967</v>
      </c>
      <c r="W16" s="147">
        <v>45969</v>
      </c>
      <c r="X16" s="147">
        <v>45971</v>
      </c>
      <c r="Y16" s="147">
        <v>45972</v>
      </c>
      <c r="Z16" s="147">
        <v>45972</v>
      </c>
      <c r="AA16" s="147">
        <v>45972</v>
      </c>
      <c r="AB16" s="147">
        <v>45976</v>
      </c>
      <c r="AC16" s="153" t="s">
        <v>251</v>
      </c>
      <c r="AD16" s="98">
        <f t="shared" si="18"/>
        <v>2</v>
      </c>
      <c r="AE16" s="7">
        <v>7</v>
      </c>
      <c r="AF16" s="8">
        <f t="shared" si="19"/>
        <v>0</v>
      </c>
      <c r="AG16" s="9">
        <v>200</v>
      </c>
      <c r="AH16" s="10">
        <f t="shared" si="20"/>
        <v>0</v>
      </c>
      <c r="AI16" s="98">
        <f t="shared" si="21"/>
        <v>4</v>
      </c>
      <c r="AJ16" s="7">
        <v>2</v>
      </c>
      <c r="AK16" s="8">
        <f t="shared" si="22"/>
        <v>2</v>
      </c>
      <c r="AL16" s="9">
        <v>200</v>
      </c>
      <c r="AM16" s="10">
        <f t="shared" si="23"/>
        <v>400</v>
      </c>
      <c r="AN16" s="9">
        <v>0</v>
      </c>
      <c r="AO16" s="11">
        <f t="shared" si="24"/>
        <v>400</v>
      </c>
    </row>
    <row r="17" spans="1:41" s="1" customFormat="1" ht="15" customHeight="1">
      <c r="A17" s="140">
        <f t="shared" si="0"/>
        <v>14</v>
      </c>
      <c r="B17" s="140">
        <v>696048438</v>
      </c>
      <c r="C17" s="146" t="s">
        <v>284</v>
      </c>
      <c r="D17" s="146" t="s">
        <v>290</v>
      </c>
      <c r="E17" s="154" t="s">
        <v>297</v>
      </c>
      <c r="F17" s="142" t="s">
        <v>93</v>
      </c>
      <c r="G17" s="142" t="s">
        <v>81</v>
      </c>
      <c r="H17" s="140">
        <v>24</v>
      </c>
      <c r="I17" s="142">
        <v>30000</v>
      </c>
      <c r="J17" s="142">
        <v>30084</v>
      </c>
      <c r="K17" s="140" t="s">
        <v>158</v>
      </c>
      <c r="L17" s="140" t="s">
        <v>18</v>
      </c>
      <c r="M17" s="146">
        <v>45729</v>
      </c>
      <c r="N17" s="146" t="s">
        <v>96</v>
      </c>
      <c r="O17" s="152" t="s">
        <v>97</v>
      </c>
      <c r="P17" s="146">
        <v>45733</v>
      </c>
      <c r="Q17" s="146">
        <v>45733</v>
      </c>
      <c r="R17" s="146">
        <v>45763</v>
      </c>
      <c r="S17" s="147">
        <v>45952</v>
      </c>
      <c r="T17" s="147">
        <v>45953</v>
      </c>
      <c r="U17" s="147">
        <v>45957</v>
      </c>
      <c r="V17" s="147">
        <v>45967</v>
      </c>
      <c r="W17" s="147">
        <v>45968</v>
      </c>
      <c r="X17" s="147">
        <v>45970</v>
      </c>
      <c r="Y17" s="147">
        <v>45970</v>
      </c>
      <c r="Z17" s="147">
        <v>45971</v>
      </c>
      <c r="AA17" s="147">
        <v>45971</v>
      </c>
      <c r="AB17" s="147">
        <v>45974</v>
      </c>
      <c r="AC17" s="153" t="s">
        <v>251</v>
      </c>
      <c r="AD17" s="98">
        <f t="shared" si="18"/>
        <v>2</v>
      </c>
      <c r="AE17" s="7">
        <v>7</v>
      </c>
      <c r="AF17" s="8">
        <f t="shared" si="19"/>
        <v>0</v>
      </c>
      <c r="AG17" s="9">
        <v>200</v>
      </c>
      <c r="AH17" s="10">
        <f t="shared" si="20"/>
        <v>0</v>
      </c>
      <c r="AI17" s="98">
        <f t="shared" si="21"/>
        <v>3</v>
      </c>
      <c r="AJ17" s="7">
        <v>2</v>
      </c>
      <c r="AK17" s="8">
        <f t="shared" si="22"/>
        <v>1</v>
      </c>
      <c r="AL17" s="9">
        <v>200</v>
      </c>
      <c r="AM17" s="10">
        <f t="shared" si="23"/>
        <v>200</v>
      </c>
      <c r="AN17" s="9"/>
      <c r="AO17" s="11">
        <f t="shared" si="24"/>
        <v>200</v>
      </c>
    </row>
    <row r="18" spans="1:41" s="1" customFormat="1" ht="15" customHeight="1">
      <c r="A18" s="140">
        <f t="shared" si="0"/>
        <v>15</v>
      </c>
      <c r="B18" s="140">
        <v>696048438</v>
      </c>
      <c r="C18" s="141" t="s">
        <v>240</v>
      </c>
      <c r="D18" s="140" t="s">
        <v>250</v>
      </c>
      <c r="E18" s="140" t="s">
        <v>241</v>
      </c>
      <c r="F18" s="142" t="s">
        <v>93</v>
      </c>
      <c r="G18" s="142" t="s">
        <v>81</v>
      </c>
      <c r="H18" s="140">
        <v>28</v>
      </c>
      <c r="I18" s="142">
        <v>36250</v>
      </c>
      <c r="J18" s="142">
        <v>36323</v>
      </c>
      <c r="K18" s="140" t="s">
        <v>158</v>
      </c>
      <c r="L18" s="140" t="s">
        <v>18</v>
      </c>
      <c r="M18" s="146">
        <v>45729</v>
      </c>
      <c r="N18" s="146" t="s">
        <v>96</v>
      </c>
      <c r="O18" s="152" t="s">
        <v>97</v>
      </c>
      <c r="P18" s="146">
        <v>45733</v>
      </c>
      <c r="Q18" s="146">
        <v>45733</v>
      </c>
      <c r="R18" s="146">
        <v>45763</v>
      </c>
      <c r="S18" s="147">
        <v>45945</v>
      </c>
      <c r="T18" s="147">
        <v>45946</v>
      </c>
      <c r="U18" s="146">
        <v>45950</v>
      </c>
      <c r="V18" s="147">
        <v>45967</v>
      </c>
      <c r="W18" s="147">
        <v>45969</v>
      </c>
      <c r="X18" s="147">
        <v>45971</v>
      </c>
      <c r="Y18" s="147">
        <v>45971</v>
      </c>
      <c r="Z18" s="147">
        <v>45971</v>
      </c>
      <c r="AA18" s="147">
        <v>45971</v>
      </c>
      <c r="AB18" s="147">
        <v>45974</v>
      </c>
      <c r="AC18" s="153" t="s">
        <v>251</v>
      </c>
      <c r="AD18" s="98">
        <f t="shared" si="18"/>
        <v>2</v>
      </c>
      <c r="AE18" s="7">
        <v>7</v>
      </c>
      <c r="AF18" s="8">
        <f t="shared" si="19"/>
        <v>0</v>
      </c>
      <c r="AG18" s="9">
        <v>200</v>
      </c>
      <c r="AH18" s="10">
        <f t="shared" si="20"/>
        <v>0</v>
      </c>
      <c r="AI18" s="98">
        <f t="shared" si="21"/>
        <v>3</v>
      </c>
      <c r="AJ18" s="7">
        <v>2</v>
      </c>
      <c r="AK18" s="8">
        <f t="shared" si="22"/>
        <v>1</v>
      </c>
      <c r="AL18" s="9">
        <v>200</v>
      </c>
      <c r="AM18" s="10">
        <f t="shared" si="23"/>
        <v>200</v>
      </c>
      <c r="AN18" s="9"/>
      <c r="AO18" s="11">
        <f t="shared" si="24"/>
        <v>200</v>
      </c>
    </row>
    <row r="19" spans="1:41" s="1" customFormat="1" ht="15" customHeight="1">
      <c r="A19" s="140">
        <f t="shared" si="0"/>
        <v>16</v>
      </c>
      <c r="B19" s="140">
        <v>696048438</v>
      </c>
      <c r="C19" s="141" t="s">
        <v>288</v>
      </c>
      <c r="D19" s="141" t="s">
        <v>291</v>
      </c>
      <c r="E19" s="140" t="s">
        <v>301</v>
      </c>
      <c r="F19" s="142" t="s">
        <v>93</v>
      </c>
      <c r="G19" s="142" t="s">
        <v>81</v>
      </c>
      <c r="H19" s="140">
        <v>29</v>
      </c>
      <c r="I19" s="142">
        <v>36250</v>
      </c>
      <c r="J19" s="142">
        <v>36323</v>
      </c>
      <c r="K19" s="140" t="s">
        <v>158</v>
      </c>
      <c r="L19" s="140" t="s">
        <v>18</v>
      </c>
      <c r="M19" s="146">
        <v>45729</v>
      </c>
      <c r="N19" s="146" t="s">
        <v>96</v>
      </c>
      <c r="O19" s="152" t="s">
        <v>97</v>
      </c>
      <c r="P19" s="146">
        <v>45733</v>
      </c>
      <c r="Q19" s="146">
        <v>45733</v>
      </c>
      <c r="R19" s="146">
        <v>45763</v>
      </c>
      <c r="S19" s="147">
        <v>45952</v>
      </c>
      <c r="T19" s="147">
        <v>45953</v>
      </c>
      <c r="U19" s="147">
        <v>45957</v>
      </c>
      <c r="V19" s="147">
        <v>45963</v>
      </c>
      <c r="W19" s="147">
        <v>45966</v>
      </c>
      <c r="X19" s="147">
        <v>45968</v>
      </c>
      <c r="Y19" s="147">
        <v>45968</v>
      </c>
      <c r="Z19" s="147">
        <v>45969</v>
      </c>
      <c r="AA19" s="147">
        <v>45969</v>
      </c>
      <c r="AB19" s="147">
        <v>45973</v>
      </c>
      <c r="AC19" s="153" t="s">
        <v>251</v>
      </c>
      <c r="AD19" s="98">
        <f t="shared" si="18"/>
        <v>2</v>
      </c>
      <c r="AE19" s="7">
        <v>7</v>
      </c>
      <c r="AF19" s="8">
        <f t="shared" si="19"/>
        <v>0</v>
      </c>
      <c r="AG19" s="9">
        <v>200</v>
      </c>
      <c r="AH19" s="10">
        <f t="shared" si="20"/>
        <v>0</v>
      </c>
      <c r="AI19" s="98">
        <f t="shared" si="21"/>
        <v>4</v>
      </c>
      <c r="AJ19" s="7">
        <v>2</v>
      </c>
      <c r="AK19" s="8">
        <f t="shared" si="22"/>
        <v>2</v>
      </c>
      <c r="AL19" s="9">
        <v>200</v>
      </c>
      <c r="AM19" s="10">
        <f t="shared" si="23"/>
        <v>400</v>
      </c>
      <c r="AN19" s="9"/>
      <c r="AO19" s="11">
        <f t="shared" si="24"/>
        <v>400</v>
      </c>
    </row>
    <row r="20" spans="1:41" s="1" customFormat="1" ht="15" customHeight="1">
      <c r="A20" s="140">
        <f t="shared" si="0"/>
        <v>17</v>
      </c>
      <c r="B20" s="140">
        <v>696048438</v>
      </c>
      <c r="C20" s="141" t="s">
        <v>254</v>
      </c>
      <c r="D20" s="141" t="s">
        <v>263</v>
      </c>
      <c r="E20" s="142" t="s">
        <v>272</v>
      </c>
      <c r="F20" s="142" t="s">
        <v>93</v>
      </c>
      <c r="G20" s="142" t="s">
        <v>81</v>
      </c>
      <c r="H20" s="140">
        <v>28</v>
      </c>
      <c r="I20" s="142">
        <v>36250</v>
      </c>
      <c r="J20" s="142">
        <v>36323</v>
      </c>
      <c r="K20" s="140" t="s">
        <v>158</v>
      </c>
      <c r="L20" s="140" t="s">
        <v>18</v>
      </c>
      <c r="M20" s="146">
        <v>45729</v>
      </c>
      <c r="N20" s="146" t="s">
        <v>96</v>
      </c>
      <c r="O20" s="152" t="s">
        <v>97</v>
      </c>
      <c r="P20" s="146">
        <v>45733</v>
      </c>
      <c r="Q20" s="146">
        <v>45733</v>
      </c>
      <c r="R20" s="146">
        <v>45763</v>
      </c>
      <c r="S20" s="147">
        <v>45947</v>
      </c>
      <c r="T20" s="147">
        <v>45948</v>
      </c>
      <c r="U20" s="147">
        <v>45952</v>
      </c>
      <c r="V20" s="146">
        <v>45963</v>
      </c>
      <c r="W20" s="147">
        <v>45965</v>
      </c>
      <c r="X20" s="147">
        <v>45968</v>
      </c>
      <c r="Y20" s="147">
        <v>45969</v>
      </c>
      <c r="Z20" s="147">
        <v>45969</v>
      </c>
      <c r="AA20" s="147">
        <v>45969</v>
      </c>
      <c r="AB20" s="147">
        <v>45972</v>
      </c>
      <c r="AC20" s="153" t="s">
        <v>251</v>
      </c>
      <c r="AD20" s="98">
        <f t="shared" si="18"/>
        <v>3</v>
      </c>
      <c r="AE20" s="7">
        <v>7</v>
      </c>
      <c r="AF20" s="8">
        <f t="shared" si="19"/>
        <v>0</v>
      </c>
      <c r="AG20" s="9">
        <v>200</v>
      </c>
      <c r="AH20" s="10">
        <f t="shared" si="20"/>
        <v>0</v>
      </c>
      <c r="AI20" s="98">
        <f t="shared" si="21"/>
        <v>3</v>
      </c>
      <c r="AJ20" s="7">
        <v>2</v>
      </c>
      <c r="AK20" s="8">
        <f t="shared" si="22"/>
        <v>1</v>
      </c>
      <c r="AL20" s="9">
        <v>200</v>
      </c>
      <c r="AM20" s="10">
        <f t="shared" si="23"/>
        <v>200</v>
      </c>
      <c r="AN20" s="9">
        <v>0</v>
      </c>
      <c r="AO20" s="11">
        <f t="shared" si="24"/>
        <v>200</v>
      </c>
    </row>
    <row r="21" spans="1:41" s="1" customFormat="1" ht="15" customHeight="1">
      <c r="A21" s="140">
        <f t="shared" si="0"/>
        <v>18</v>
      </c>
      <c r="B21" s="140">
        <v>696048438</v>
      </c>
      <c r="C21" s="141" t="s">
        <v>226</v>
      </c>
      <c r="D21" s="141" t="s">
        <v>243</v>
      </c>
      <c r="E21" s="140" t="s">
        <v>227</v>
      </c>
      <c r="F21" s="142" t="s">
        <v>93</v>
      </c>
      <c r="G21" s="142" t="s">
        <v>81</v>
      </c>
      <c r="H21" s="140">
        <v>28</v>
      </c>
      <c r="I21" s="142">
        <v>35000</v>
      </c>
      <c r="J21" s="142">
        <v>35070</v>
      </c>
      <c r="K21" s="140" t="s">
        <v>158</v>
      </c>
      <c r="L21" s="140" t="s">
        <v>18</v>
      </c>
      <c r="M21" s="146">
        <v>45729</v>
      </c>
      <c r="N21" s="146" t="s">
        <v>96</v>
      </c>
      <c r="O21" s="152" t="s">
        <v>97</v>
      </c>
      <c r="P21" s="146">
        <v>45733</v>
      </c>
      <c r="Q21" s="146">
        <v>45733</v>
      </c>
      <c r="R21" s="146">
        <v>45763</v>
      </c>
      <c r="S21" s="147">
        <v>45945</v>
      </c>
      <c r="T21" s="147">
        <v>45946</v>
      </c>
      <c r="U21" s="146">
        <v>45950</v>
      </c>
      <c r="V21" s="146">
        <v>45958</v>
      </c>
      <c r="W21" s="147">
        <v>45966</v>
      </c>
      <c r="X21" s="147">
        <v>45967</v>
      </c>
      <c r="Y21" s="147">
        <v>45967</v>
      </c>
      <c r="Z21" s="147">
        <v>45968</v>
      </c>
      <c r="AA21" s="147">
        <v>45968</v>
      </c>
      <c r="AB21" s="147">
        <v>45972</v>
      </c>
      <c r="AC21" s="153" t="s">
        <v>251</v>
      </c>
      <c r="AD21" s="98">
        <f t="shared" ref="AD21" si="25">MAX(0,X21-W21)</f>
        <v>1</v>
      </c>
      <c r="AE21" s="7">
        <v>7</v>
      </c>
      <c r="AF21" s="8">
        <f t="shared" ref="AF21" si="26">MAX(0,AD21-AE21)</f>
        <v>0</v>
      </c>
      <c r="AG21" s="9">
        <v>200</v>
      </c>
      <c r="AH21" s="10">
        <f t="shared" ref="AH21" si="27">MAX(0,AF21*AG21)</f>
        <v>0</v>
      </c>
      <c r="AI21" s="98">
        <f t="shared" ref="AI21" si="28">MAX(0,AB21-AA21)</f>
        <v>4</v>
      </c>
      <c r="AJ21" s="7">
        <v>2</v>
      </c>
      <c r="AK21" s="8">
        <f t="shared" ref="AK21" si="29">MAX(0,AI21-AJ21)</f>
        <v>2</v>
      </c>
      <c r="AL21" s="9">
        <v>200</v>
      </c>
      <c r="AM21" s="10">
        <f t="shared" ref="AM21" si="30">MAX(0,AK21*AL21)</f>
        <v>400</v>
      </c>
      <c r="AN21" s="9">
        <v>0</v>
      </c>
      <c r="AO21" s="11">
        <f t="shared" ref="AO21" si="31">AN21+AM21+AH21</f>
        <v>400</v>
      </c>
    </row>
    <row r="22" spans="1:41" s="1" customFormat="1" ht="15" customHeight="1">
      <c r="A22" s="140">
        <f t="shared" si="0"/>
        <v>19</v>
      </c>
      <c r="B22" s="140">
        <v>696048438</v>
      </c>
      <c r="C22" s="141" t="s">
        <v>283</v>
      </c>
      <c r="D22" s="141" t="s">
        <v>305</v>
      </c>
      <c r="E22" s="142" t="s">
        <v>296</v>
      </c>
      <c r="F22" s="142" t="s">
        <v>93</v>
      </c>
      <c r="G22" s="142" t="s">
        <v>81</v>
      </c>
      <c r="H22" s="140">
        <v>28</v>
      </c>
      <c r="I22" s="142">
        <v>35000</v>
      </c>
      <c r="J22" s="142">
        <v>35070</v>
      </c>
      <c r="K22" s="140" t="s">
        <v>158</v>
      </c>
      <c r="L22" s="140" t="s">
        <v>18</v>
      </c>
      <c r="M22" s="146">
        <v>45729</v>
      </c>
      <c r="N22" s="146" t="s">
        <v>96</v>
      </c>
      <c r="O22" s="152" t="s">
        <v>97</v>
      </c>
      <c r="P22" s="146">
        <v>45733</v>
      </c>
      <c r="Q22" s="146">
        <v>45733</v>
      </c>
      <c r="R22" s="146">
        <v>45763</v>
      </c>
      <c r="S22" s="147">
        <v>45952</v>
      </c>
      <c r="T22" s="147">
        <v>45953</v>
      </c>
      <c r="U22" s="147">
        <v>45957</v>
      </c>
      <c r="V22" s="147">
        <v>45963</v>
      </c>
      <c r="W22" s="147">
        <v>45965</v>
      </c>
      <c r="X22" s="147">
        <v>45967</v>
      </c>
      <c r="Y22" s="147">
        <v>45967</v>
      </c>
      <c r="Z22" s="147">
        <v>45968</v>
      </c>
      <c r="AA22" s="147">
        <v>45968</v>
      </c>
      <c r="AB22" s="147">
        <v>45970</v>
      </c>
      <c r="AC22" s="153" t="s">
        <v>251</v>
      </c>
      <c r="AD22" s="98">
        <f>MAX(0,X22-W22)</f>
        <v>2</v>
      </c>
      <c r="AE22" s="7">
        <v>7</v>
      </c>
      <c r="AF22" s="8">
        <f>MAX(0,AD22-AE22)</f>
        <v>0</v>
      </c>
      <c r="AG22" s="9">
        <v>200</v>
      </c>
      <c r="AH22" s="10">
        <f>MAX(0,AF22*AG22)</f>
        <v>0</v>
      </c>
      <c r="AI22" s="98">
        <f>MAX(0,AB22-AA22)</f>
        <v>2</v>
      </c>
      <c r="AJ22" s="7">
        <v>2</v>
      </c>
      <c r="AK22" s="8">
        <f>MAX(0,AI22-AJ22)</f>
        <v>0</v>
      </c>
      <c r="AL22" s="9">
        <v>200</v>
      </c>
      <c r="AM22" s="10">
        <f>MAX(0,AK22*AL22)</f>
        <v>0</v>
      </c>
      <c r="AN22" s="9">
        <v>0</v>
      </c>
      <c r="AO22" s="11">
        <f>AN22+AM22+AH22</f>
        <v>0</v>
      </c>
    </row>
    <row r="23" spans="1:41" s="1" customFormat="1" ht="15" customHeight="1">
      <c r="A23" s="140">
        <f t="shared" si="0"/>
        <v>20</v>
      </c>
      <c r="B23" s="140">
        <v>696048438</v>
      </c>
      <c r="C23" s="141" t="s">
        <v>259</v>
      </c>
      <c r="D23" s="141" t="s">
        <v>268</v>
      </c>
      <c r="E23" s="140" t="s">
        <v>277</v>
      </c>
      <c r="F23" s="142" t="s">
        <v>93</v>
      </c>
      <c r="G23" s="142" t="s">
        <v>81</v>
      </c>
      <c r="H23" s="140">
        <v>29</v>
      </c>
      <c r="I23" s="142">
        <v>36250</v>
      </c>
      <c r="J23" s="142">
        <v>36323</v>
      </c>
      <c r="K23" s="140" t="s">
        <v>158</v>
      </c>
      <c r="L23" s="140" t="s">
        <v>18</v>
      </c>
      <c r="M23" s="146">
        <v>45729</v>
      </c>
      <c r="N23" s="146" t="s">
        <v>96</v>
      </c>
      <c r="O23" s="152" t="s">
        <v>97</v>
      </c>
      <c r="P23" s="146">
        <v>45733</v>
      </c>
      <c r="Q23" s="146">
        <v>45733</v>
      </c>
      <c r="R23" s="146">
        <v>45763</v>
      </c>
      <c r="S23" s="147">
        <v>45947</v>
      </c>
      <c r="T23" s="147">
        <v>45948</v>
      </c>
      <c r="U23" s="147">
        <v>45952</v>
      </c>
      <c r="V23" s="147">
        <v>45963</v>
      </c>
      <c r="W23" s="147">
        <v>45965</v>
      </c>
      <c r="X23" s="147">
        <v>45966</v>
      </c>
      <c r="Y23" s="147">
        <v>45966</v>
      </c>
      <c r="Z23" s="147">
        <v>45967</v>
      </c>
      <c r="AA23" s="147">
        <v>45967</v>
      </c>
      <c r="AB23" s="147">
        <v>45970</v>
      </c>
      <c r="AC23" s="153" t="s">
        <v>251</v>
      </c>
      <c r="AD23" s="98">
        <f>MAX(0,X23-W23)</f>
        <v>1</v>
      </c>
      <c r="AE23" s="7">
        <v>7</v>
      </c>
      <c r="AF23" s="8">
        <f>MAX(0,AD23-AE23)</f>
        <v>0</v>
      </c>
      <c r="AG23" s="9">
        <v>200</v>
      </c>
      <c r="AH23" s="10">
        <f>MAX(0,AF23*AG23)</f>
        <v>0</v>
      </c>
      <c r="AI23" s="98">
        <f>MAX(0,AB23-AA23)</f>
        <v>3</v>
      </c>
      <c r="AJ23" s="7">
        <v>2</v>
      </c>
      <c r="AK23" s="8">
        <f>MAX(0,AI23-AJ23)</f>
        <v>1</v>
      </c>
      <c r="AL23" s="9">
        <v>200</v>
      </c>
      <c r="AM23" s="10">
        <f>MAX(0,AK23*AL23)</f>
        <v>200</v>
      </c>
      <c r="AN23" s="9">
        <v>0</v>
      </c>
      <c r="AO23" s="11">
        <f>AN23+AM23+AH23</f>
        <v>200</v>
      </c>
    </row>
    <row r="24" spans="1:41" s="1" customFormat="1" ht="15" customHeight="1">
      <c r="A24" s="140">
        <f t="shared" si="0"/>
        <v>21</v>
      </c>
      <c r="B24" s="140">
        <v>696048438</v>
      </c>
      <c r="C24" s="141" t="s">
        <v>260</v>
      </c>
      <c r="D24" s="141" t="s">
        <v>269</v>
      </c>
      <c r="E24" s="140" t="s">
        <v>278</v>
      </c>
      <c r="F24" s="142" t="s">
        <v>93</v>
      </c>
      <c r="G24" s="142" t="s">
        <v>81</v>
      </c>
      <c r="H24" s="140">
        <v>29</v>
      </c>
      <c r="I24" s="142">
        <v>36250</v>
      </c>
      <c r="J24" s="142">
        <v>36323</v>
      </c>
      <c r="K24" s="140" t="s">
        <v>158</v>
      </c>
      <c r="L24" s="140" t="s">
        <v>18</v>
      </c>
      <c r="M24" s="146">
        <v>45729</v>
      </c>
      <c r="N24" s="146" t="s">
        <v>96</v>
      </c>
      <c r="O24" s="152" t="s">
        <v>97</v>
      </c>
      <c r="P24" s="146">
        <v>45733</v>
      </c>
      <c r="Q24" s="146">
        <v>45733</v>
      </c>
      <c r="R24" s="146">
        <v>45763</v>
      </c>
      <c r="S24" s="147">
        <v>45947</v>
      </c>
      <c r="T24" s="147">
        <v>45948</v>
      </c>
      <c r="U24" s="147">
        <v>45952</v>
      </c>
      <c r="V24" s="147">
        <v>45962</v>
      </c>
      <c r="W24" s="147">
        <v>45965</v>
      </c>
      <c r="X24" s="147">
        <v>45966</v>
      </c>
      <c r="Y24" s="147">
        <v>45966</v>
      </c>
      <c r="Z24" s="147">
        <v>45967</v>
      </c>
      <c r="AA24" s="147">
        <v>45967</v>
      </c>
      <c r="AB24" s="147">
        <v>45970</v>
      </c>
      <c r="AC24" s="153" t="s">
        <v>251</v>
      </c>
      <c r="AD24" s="98">
        <f>MAX(0,X24-W24)</f>
        <v>1</v>
      </c>
      <c r="AE24" s="7">
        <v>7</v>
      </c>
      <c r="AF24" s="8">
        <f t="shared" ref="AF24" si="32">MAX(0,AD24-AE24)</f>
        <v>0</v>
      </c>
      <c r="AG24" s="9">
        <v>200</v>
      </c>
      <c r="AH24" s="10">
        <f>MAX(0,AF24*AG24)</f>
        <v>0</v>
      </c>
      <c r="AI24" s="98">
        <f>MAX(0,AB24-AA24)</f>
        <v>3</v>
      </c>
      <c r="AJ24" s="7">
        <v>2</v>
      </c>
      <c r="AK24" s="8">
        <f t="shared" ref="AK24" si="33">MAX(0,AI24-AJ24)</f>
        <v>1</v>
      </c>
      <c r="AL24" s="9">
        <v>200</v>
      </c>
      <c r="AM24" s="10">
        <f>MAX(0,AK24*AL24)</f>
        <v>200</v>
      </c>
      <c r="AN24" s="9">
        <v>0</v>
      </c>
      <c r="AO24" s="11">
        <f t="shared" ref="AO24" si="34">AN24+AM24+AH24</f>
        <v>200</v>
      </c>
    </row>
    <row r="25" spans="1:41" s="1" customFormat="1" ht="15" customHeight="1">
      <c r="A25" s="140">
        <f t="shared" si="0"/>
        <v>22</v>
      </c>
      <c r="B25" s="140">
        <v>696048438</v>
      </c>
      <c r="C25" s="141" t="s">
        <v>257</v>
      </c>
      <c r="D25" s="141" t="s">
        <v>266</v>
      </c>
      <c r="E25" s="140" t="s">
        <v>275</v>
      </c>
      <c r="F25" s="142" t="s">
        <v>93</v>
      </c>
      <c r="G25" s="142" t="s">
        <v>81</v>
      </c>
      <c r="H25" s="140">
        <v>28</v>
      </c>
      <c r="I25" s="142">
        <v>35000</v>
      </c>
      <c r="J25" s="142">
        <v>35070</v>
      </c>
      <c r="K25" s="140" t="s">
        <v>158</v>
      </c>
      <c r="L25" s="140" t="s">
        <v>18</v>
      </c>
      <c r="M25" s="146">
        <v>45729</v>
      </c>
      <c r="N25" s="146" t="s">
        <v>96</v>
      </c>
      <c r="O25" s="152" t="s">
        <v>97</v>
      </c>
      <c r="P25" s="146">
        <v>45733</v>
      </c>
      <c r="Q25" s="146">
        <v>45733</v>
      </c>
      <c r="R25" s="146">
        <v>45763</v>
      </c>
      <c r="S25" s="147">
        <v>45947</v>
      </c>
      <c r="T25" s="147">
        <v>45948</v>
      </c>
      <c r="U25" s="147">
        <v>45952</v>
      </c>
      <c r="V25" s="147">
        <v>45963</v>
      </c>
      <c r="W25" s="147">
        <v>45965</v>
      </c>
      <c r="X25" s="147">
        <v>45966</v>
      </c>
      <c r="Y25" s="147">
        <v>45966</v>
      </c>
      <c r="Z25" s="147">
        <v>45967</v>
      </c>
      <c r="AA25" s="147">
        <v>45967</v>
      </c>
      <c r="AB25" s="147">
        <v>45970</v>
      </c>
      <c r="AC25" s="153" t="s">
        <v>251</v>
      </c>
      <c r="AD25" s="98">
        <f>MAX(0,X25-W25)</f>
        <v>1</v>
      </c>
      <c r="AE25" s="7">
        <v>7</v>
      </c>
      <c r="AF25" s="8">
        <f>MAX(0,AD25-AE25)</f>
        <v>0</v>
      </c>
      <c r="AG25" s="9">
        <v>200</v>
      </c>
      <c r="AH25" s="10">
        <f>MAX(0,AF25*AG25)</f>
        <v>0</v>
      </c>
      <c r="AI25" s="98">
        <f>MAX(0,AB25-AA25)</f>
        <v>3</v>
      </c>
      <c r="AJ25" s="7">
        <v>2</v>
      </c>
      <c r="AK25" s="8">
        <f>MAX(0,AI25-AJ25)</f>
        <v>1</v>
      </c>
      <c r="AL25" s="9">
        <v>200</v>
      </c>
      <c r="AM25" s="10">
        <f>MAX(0,AK25*AL25)</f>
        <v>200</v>
      </c>
      <c r="AN25" s="9">
        <v>0</v>
      </c>
      <c r="AO25" s="11">
        <f>AN25+AM25+AH25</f>
        <v>200</v>
      </c>
    </row>
    <row r="26" spans="1:41" s="1" customFormat="1" ht="15" customHeight="1">
      <c r="A26" s="140">
        <f t="shared" si="0"/>
        <v>23</v>
      </c>
      <c r="B26" s="140">
        <v>696048438</v>
      </c>
      <c r="C26" s="141" t="s">
        <v>255</v>
      </c>
      <c r="D26" s="141" t="s">
        <v>264</v>
      </c>
      <c r="E26" s="140" t="s">
        <v>273</v>
      </c>
      <c r="F26" s="142" t="s">
        <v>93</v>
      </c>
      <c r="G26" s="142" t="s">
        <v>81</v>
      </c>
      <c r="H26" s="140">
        <v>28</v>
      </c>
      <c r="I26" s="142">
        <v>35000</v>
      </c>
      <c r="J26" s="142">
        <v>35070</v>
      </c>
      <c r="K26" s="140" t="s">
        <v>158</v>
      </c>
      <c r="L26" s="140" t="s">
        <v>18</v>
      </c>
      <c r="M26" s="146">
        <v>45729</v>
      </c>
      <c r="N26" s="146" t="s">
        <v>96</v>
      </c>
      <c r="O26" s="152" t="s">
        <v>97</v>
      </c>
      <c r="P26" s="146">
        <v>45733</v>
      </c>
      <c r="Q26" s="146">
        <v>45733</v>
      </c>
      <c r="R26" s="146">
        <v>45763</v>
      </c>
      <c r="S26" s="147">
        <v>45947</v>
      </c>
      <c r="T26" s="147">
        <v>45948</v>
      </c>
      <c r="U26" s="147">
        <v>45952</v>
      </c>
      <c r="V26" s="146">
        <v>45963</v>
      </c>
      <c r="W26" s="147">
        <v>45965</v>
      </c>
      <c r="X26" s="147">
        <v>45966</v>
      </c>
      <c r="Y26" s="147">
        <v>45966</v>
      </c>
      <c r="Z26" s="147">
        <v>45967</v>
      </c>
      <c r="AA26" s="147">
        <v>45967</v>
      </c>
      <c r="AB26" s="147">
        <v>45970</v>
      </c>
      <c r="AC26" s="153" t="s">
        <v>251</v>
      </c>
      <c r="AD26" s="98">
        <f>MAX(0,X26-W26)</f>
        <v>1</v>
      </c>
      <c r="AE26" s="7">
        <v>7</v>
      </c>
      <c r="AF26" s="8">
        <f>MAX(0,AD26-AE26)</f>
        <v>0</v>
      </c>
      <c r="AG26" s="9">
        <v>200</v>
      </c>
      <c r="AH26" s="10">
        <f>MAX(0,AF26*AG26)</f>
        <v>0</v>
      </c>
      <c r="AI26" s="98">
        <f>MAX(0,AB26-AA26)</f>
        <v>3</v>
      </c>
      <c r="AJ26" s="7">
        <v>2</v>
      </c>
      <c r="AK26" s="8">
        <f>MAX(0,AI26-AJ26)</f>
        <v>1</v>
      </c>
      <c r="AL26" s="9">
        <v>200</v>
      </c>
      <c r="AM26" s="10">
        <f>MAX(0,AK26*AL26)</f>
        <v>200</v>
      </c>
      <c r="AN26" s="9">
        <v>0</v>
      </c>
      <c r="AO26" s="11">
        <f>AN26+AM26+AH26</f>
        <v>200</v>
      </c>
    </row>
    <row r="27" spans="1:41" s="1" customFormat="1" ht="15" customHeight="1">
      <c r="A27" s="140">
        <f t="shared" si="0"/>
        <v>24</v>
      </c>
      <c r="B27" s="140">
        <v>696048438</v>
      </c>
      <c r="C27" s="141" t="s">
        <v>252</v>
      </c>
      <c r="D27" s="141" t="s">
        <v>261</v>
      </c>
      <c r="E27" s="140" t="s">
        <v>270</v>
      </c>
      <c r="F27" s="142" t="s">
        <v>93</v>
      </c>
      <c r="G27" s="142" t="s">
        <v>81</v>
      </c>
      <c r="H27" s="140">
        <v>28</v>
      </c>
      <c r="I27" s="142">
        <v>35000</v>
      </c>
      <c r="J27" s="142">
        <v>35070</v>
      </c>
      <c r="K27" s="140" t="s">
        <v>158</v>
      </c>
      <c r="L27" s="140" t="s">
        <v>18</v>
      </c>
      <c r="M27" s="146">
        <v>45729</v>
      </c>
      <c r="N27" s="146" t="s">
        <v>96</v>
      </c>
      <c r="O27" s="152" t="s">
        <v>97</v>
      </c>
      <c r="P27" s="146">
        <v>45733</v>
      </c>
      <c r="Q27" s="146">
        <v>45733</v>
      </c>
      <c r="R27" s="146">
        <v>45763</v>
      </c>
      <c r="S27" s="147">
        <v>45947</v>
      </c>
      <c r="T27" s="147">
        <v>45948</v>
      </c>
      <c r="U27" s="146">
        <v>45952</v>
      </c>
      <c r="V27" s="146">
        <v>45963</v>
      </c>
      <c r="W27" s="147">
        <v>45966</v>
      </c>
      <c r="X27" s="147">
        <v>45967</v>
      </c>
      <c r="Y27" s="147">
        <v>45967</v>
      </c>
      <c r="Z27" s="147">
        <v>45968</v>
      </c>
      <c r="AA27" s="147">
        <v>45968</v>
      </c>
      <c r="AB27" s="147">
        <v>45970</v>
      </c>
      <c r="AC27" s="153" t="s">
        <v>251</v>
      </c>
      <c r="AD27" s="98">
        <f t="shared" ref="AD27:AD31" si="35">MAX(0,X27-W27)</f>
        <v>1</v>
      </c>
      <c r="AE27" s="7">
        <v>7</v>
      </c>
      <c r="AF27" s="8">
        <f t="shared" ref="AF27:AF31" si="36">MAX(0,AD27-AE27)</f>
        <v>0</v>
      </c>
      <c r="AG27" s="9">
        <v>200</v>
      </c>
      <c r="AH27" s="10">
        <f t="shared" ref="AH27:AH31" si="37">MAX(0,AF27*AG27)</f>
        <v>0</v>
      </c>
      <c r="AI27" s="98">
        <f t="shared" ref="AI27:AI31" si="38">MAX(0,AB27-AA27)</f>
        <v>2</v>
      </c>
      <c r="AJ27" s="7">
        <v>2</v>
      </c>
      <c r="AK27" s="8">
        <f t="shared" ref="AK27:AK31" si="39">MAX(0,AI27-AJ27)</f>
        <v>0</v>
      </c>
      <c r="AL27" s="9">
        <v>200</v>
      </c>
      <c r="AM27" s="10">
        <f t="shared" ref="AM27:AM31" si="40">MAX(0,AK27*AL27)</f>
        <v>0</v>
      </c>
      <c r="AN27" s="9">
        <v>0</v>
      </c>
      <c r="AO27" s="11">
        <f t="shared" ref="AO27:AO31" si="41">AN27+AM27+AH27</f>
        <v>0</v>
      </c>
    </row>
    <row r="28" spans="1:41" s="1" customFormat="1" ht="15" customHeight="1">
      <c r="A28" s="140">
        <f t="shared" si="0"/>
        <v>25</v>
      </c>
      <c r="B28" s="140">
        <v>696048438</v>
      </c>
      <c r="C28" s="141" t="s">
        <v>236</v>
      </c>
      <c r="D28" s="141" t="s">
        <v>248</v>
      </c>
      <c r="E28" s="142" t="s">
        <v>237</v>
      </c>
      <c r="F28" s="142" t="s">
        <v>93</v>
      </c>
      <c r="G28" s="142" t="s">
        <v>81</v>
      </c>
      <c r="H28" s="140">
        <v>29</v>
      </c>
      <c r="I28" s="142">
        <v>36250</v>
      </c>
      <c r="J28" s="142">
        <v>36323</v>
      </c>
      <c r="K28" s="140" t="s">
        <v>158</v>
      </c>
      <c r="L28" s="140" t="s">
        <v>18</v>
      </c>
      <c r="M28" s="146">
        <v>45729</v>
      </c>
      <c r="N28" s="146" t="s">
        <v>96</v>
      </c>
      <c r="O28" s="152" t="s">
        <v>97</v>
      </c>
      <c r="P28" s="146">
        <v>45733</v>
      </c>
      <c r="Q28" s="146">
        <v>45733</v>
      </c>
      <c r="R28" s="146">
        <v>45763</v>
      </c>
      <c r="S28" s="147">
        <v>45945</v>
      </c>
      <c r="T28" s="147">
        <v>45946</v>
      </c>
      <c r="U28" s="146">
        <v>45950</v>
      </c>
      <c r="V28" s="146">
        <v>45958</v>
      </c>
      <c r="W28" s="146">
        <v>45962</v>
      </c>
      <c r="X28" s="147">
        <v>45965</v>
      </c>
      <c r="Y28" s="147">
        <v>45965</v>
      </c>
      <c r="Z28" s="147">
        <v>45966</v>
      </c>
      <c r="AA28" s="147">
        <v>45966</v>
      </c>
      <c r="AB28" s="147">
        <v>45968</v>
      </c>
      <c r="AC28" s="153" t="s">
        <v>251</v>
      </c>
      <c r="AD28" s="98">
        <f t="shared" si="35"/>
        <v>3</v>
      </c>
      <c r="AE28" s="7">
        <v>7</v>
      </c>
      <c r="AF28" s="8">
        <f t="shared" si="36"/>
        <v>0</v>
      </c>
      <c r="AG28" s="9">
        <v>200</v>
      </c>
      <c r="AH28" s="10">
        <f t="shared" si="37"/>
        <v>0</v>
      </c>
      <c r="AI28" s="98">
        <f t="shared" si="38"/>
        <v>2</v>
      </c>
      <c r="AJ28" s="7">
        <v>2</v>
      </c>
      <c r="AK28" s="8">
        <f t="shared" si="39"/>
        <v>0</v>
      </c>
      <c r="AL28" s="9">
        <v>200</v>
      </c>
      <c r="AM28" s="10">
        <f t="shared" si="40"/>
        <v>0</v>
      </c>
      <c r="AN28" s="9">
        <v>25</v>
      </c>
      <c r="AO28" s="11">
        <f t="shared" si="41"/>
        <v>25</v>
      </c>
    </row>
    <row r="29" spans="1:41" s="12" customFormat="1" ht="15" customHeight="1">
      <c r="A29" s="140">
        <f t="shared" si="0"/>
        <v>26</v>
      </c>
      <c r="B29" s="140">
        <v>696048438</v>
      </c>
      <c r="C29" s="141" t="s">
        <v>238</v>
      </c>
      <c r="D29" s="150" t="s">
        <v>249</v>
      </c>
      <c r="E29" s="150" t="s">
        <v>239</v>
      </c>
      <c r="F29" s="142" t="s">
        <v>93</v>
      </c>
      <c r="G29" s="142" t="s">
        <v>81</v>
      </c>
      <c r="H29" s="140">
        <v>29</v>
      </c>
      <c r="I29" s="142">
        <v>36250</v>
      </c>
      <c r="J29" s="142">
        <v>36323</v>
      </c>
      <c r="K29" s="140" t="s">
        <v>158</v>
      </c>
      <c r="L29" s="140" t="s">
        <v>18</v>
      </c>
      <c r="M29" s="146">
        <v>45729</v>
      </c>
      <c r="N29" s="146" t="s">
        <v>96</v>
      </c>
      <c r="O29" s="152" t="s">
        <v>97</v>
      </c>
      <c r="P29" s="146">
        <v>45733</v>
      </c>
      <c r="Q29" s="146">
        <v>45733</v>
      </c>
      <c r="R29" s="146">
        <v>45763</v>
      </c>
      <c r="S29" s="147">
        <v>45945</v>
      </c>
      <c r="T29" s="147">
        <v>45946</v>
      </c>
      <c r="U29" s="146">
        <v>45953</v>
      </c>
      <c r="V29" s="146">
        <v>45958</v>
      </c>
      <c r="W29" s="146">
        <v>45960</v>
      </c>
      <c r="X29" s="147">
        <v>45965</v>
      </c>
      <c r="Y29" s="147">
        <v>45965</v>
      </c>
      <c r="Z29" s="147">
        <v>45966</v>
      </c>
      <c r="AA29" s="147">
        <v>45966</v>
      </c>
      <c r="AB29" s="147">
        <v>45968</v>
      </c>
      <c r="AC29" s="153" t="s">
        <v>251</v>
      </c>
      <c r="AD29" s="98">
        <f t="shared" si="35"/>
        <v>5</v>
      </c>
      <c r="AE29" s="7">
        <v>7</v>
      </c>
      <c r="AF29" s="8">
        <f t="shared" si="36"/>
        <v>0</v>
      </c>
      <c r="AG29" s="9">
        <v>200</v>
      </c>
      <c r="AH29" s="10">
        <f t="shared" si="37"/>
        <v>0</v>
      </c>
      <c r="AI29" s="98">
        <f t="shared" si="38"/>
        <v>2</v>
      </c>
      <c r="AJ29" s="7">
        <v>2</v>
      </c>
      <c r="AK29" s="8">
        <f t="shared" si="39"/>
        <v>0</v>
      </c>
      <c r="AL29" s="9">
        <v>200</v>
      </c>
      <c r="AM29" s="10">
        <f t="shared" si="40"/>
        <v>0</v>
      </c>
      <c r="AN29" s="9">
        <v>25</v>
      </c>
      <c r="AO29" s="11">
        <f t="shared" si="41"/>
        <v>25</v>
      </c>
    </row>
    <row r="30" spans="1:41" s="12" customFormat="1" ht="15" customHeight="1">
      <c r="A30" s="140">
        <f t="shared" si="0"/>
        <v>27</v>
      </c>
      <c r="B30" s="140">
        <v>696048438</v>
      </c>
      <c r="C30" s="141" t="s">
        <v>133</v>
      </c>
      <c r="D30" s="141" t="s">
        <v>143</v>
      </c>
      <c r="E30" s="151" t="s">
        <v>153</v>
      </c>
      <c r="F30" s="142" t="s">
        <v>93</v>
      </c>
      <c r="G30" s="142" t="s">
        <v>81</v>
      </c>
      <c r="H30" s="143">
        <v>28</v>
      </c>
      <c r="I30" s="140">
        <v>35000</v>
      </c>
      <c r="J30" s="155">
        <v>35070</v>
      </c>
      <c r="K30" s="140" t="s">
        <v>158</v>
      </c>
      <c r="L30" s="140" t="s">
        <v>18</v>
      </c>
      <c r="M30" s="146">
        <v>45729</v>
      </c>
      <c r="N30" s="146" t="s">
        <v>96</v>
      </c>
      <c r="O30" s="152" t="s">
        <v>97</v>
      </c>
      <c r="P30" s="146">
        <v>45733</v>
      </c>
      <c r="Q30" s="146">
        <v>45733</v>
      </c>
      <c r="R30" s="146">
        <v>45763</v>
      </c>
      <c r="S30" s="146">
        <v>45931</v>
      </c>
      <c r="T30" s="146">
        <v>45932</v>
      </c>
      <c r="U30" s="147">
        <v>45946</v>
      </c>
      <c r="V30" s="147">
        <v>45954</v>
      </c>
      <c r="W30" s="147">
        <v>45961</v>
      </c>
      <c r="X30" s="147">
        <v>45965</v>
      </c>
      <c r="Y30" s="147">
        <v>45965</v>
      </c>
      <c r="Z30" s="147">
        <v>45966</v>
      </c>
      <c r="AA30" s="147">
        <v>45966</v>
      </c>
      <c r="AB30" s="147">
        <v>45968</v>
      </c>
      <c r="AC30" s="153" t="s">
        <v>251</v>
      </c>
      <c r="AD30" s="98">
        <f t="shared" si="35"/>
        <v>4</v>
      </c>
      <c r="AE30" s="7">
        <v>7</v>
      </c>
      <c r="AF30" s="8">
        <f t="shared" si="36"/>
        <v>0</v>
      </c>
      <c r="AG30" s="9">
        <v>200</v>
      </c>
      <c r="AH30" s="10">
        <f t="shared" si="37"/>
        <v>0</v>
      </c>
      <c r="AI30" s="98">
        <f t="shared" si="38"/>
        <v>2</v>
      </c>
      <c r="AJ30" s="7">
        <v>2</v>
      </c>
      <c r="AK30" s="8">
        <f t="shared" si="39"/>
        <v>0</v>
      </c>
      <c r="AL30" s="9">
        <v>200</v>
      </c>
      <c r="AM30" s="10">
        <f t="shared" si="40"/>
        <v>0</v>
      </c>
      <c r="AN30" s="9">
        <v>25</v>
      </c>
      <c r="AO30" s="11">
        <f t="shared" si="41"/>
        <v>25</v>
      </c>
    </row>
    <row r="31" spans="1:41" s="1" customFormat="1" ht="15" customHeight="1">
      <c r="A31" s="140">
        <f t="shared" si="0"/>
        <v>28</v>
      </c>
      <c r="B31" s="140">
        <v>696048438</v>
      </c>
      <c r="C31" s="141" t="s">
        <v>221</v>
      </c>
      <c r="D31" s="141" t="s">
        <v>222</v>
      </c>
      <c r="E31" s="140" t="s">
        <v>223</v>
      </c>
      <c r="F31" s="142" t="s">
        <v>93</v>
      </c>
      <c r="G31" s="142" t="s">
        <v>81</v>
      </c>
      <c r="H31" s="140">
        <v>29</v>
      </c>
      <c r="I31" s="142">
        <v>36250</v>
      </c>
      <c r="J31" s="142">
        <v>36323</v>
      </c>
      <c r="K31" s="140" t="s">
        <v>158</v>
      </c>
      <c r="L31" s="140" t="s">
        <v>18</v>
      </c>
      <c r="M31" s="146">
        <v>45729</v>
      </c>
      <c r="N31" s="146" t="s">
        <v>96</v>
      </c>
      <c r="O31" s="152" t="s">
        <v>97</v>
      </c>
      <c r="P31" s="146">
        <v>45733</v>
      </c>
      <c r="Q31" s="146">
        <v>45733</v>
      </c>
      <c r="R31" s="146">
        <v>45763</v>
      </c>
      <c r="S31" s="147">
        <v>45945</v>
      </c>
      <c r="T31" s="147">
        <v>45946</v>
      </c>
      <c r="U31" s="147">
        <v>45952</v>
      </c>
      <c r="V31" s="147">
        <v>45958</v>
      </c>
      <c r="W31" s="147">
        <v>45962</v>
      </c>
      <c r="X31" s="147">
        <v>45965</v>
      </c>
      <c r="Y31" s="147">
        <v>45965</v>
      </c>
      <c r="Z31" s="147">
        <v>45966</v>
      </c>
      <c r="AA31" s="147">
        <v>45966</v>
      </c>
      <c r="AB31" s="147">
        <v>45968</v>
      </c>
      <c r="AC31" s="153" t="s">
        <v>251</v>
      </c>
      <c r="AD31" s="98">
        <f t="shared" si="35"/>
        <v>3</v>
      </c>
      <c r="AE31" s="7">
        <v>7</v>
      </c>
      <c r="AF31" s="8">
        <f t="shared" si="36"/>
        <v>0</v>
      </c>
      <c r="AG31" s="9">
        <v>200</v>
      </c>
      <c r="AH31" s="10">
        <f t="shared" si="37"/>
        <v>0</v>
      </c>
      <c r="AI31" s="98">
        <f t="shared" si="38"/>
        <v>2</v>
      </c>
      <c r="AJ31" s="7">
        <v>2</v>
      </c>
      <c r="AK31" s="8">
        <f t="shared" si="39"/>
        <v>0</v>
      </c>
      <c r="AL31" s="9">
        <v>200</v>
      </c>
      <c r="AM31" s="10">
        <f t="shared" si="40"/>
        <v>0</v>
      </c>
      <c r="AN31" s="9">
        <v>25</v>
      </c>
      <c r="AO31" s="11">
        <f t="shared" si="41"/>
        <v>25</v>
      </c>
    </row>
    <row r="32" spans="1:41" s="1" customFormat="1" ht="15" customHeight="1">
      <c r="A32" s="140">
        <f t="shared" si="0"/>
        <v>29</v>
      </c>
      <c r="B32" s="140">
        <v>696048438</v>
      </c>
      <c r="C32" s="141" t="s">
        <v>230</v>
      </c>
      <c r="D32" s="141" t="s">
        <v>245</v>
      </c>
      <c r="E32" s="142" t="s">
        <v>231</v>
      </c>
      <c r="F32" s="142" t="s">
        <v>93</v>
      </c>
      <c r="G32" s="142" t="s">
        <v>81</v>
      </c>
      <c r="H32" s="140">
        <v>29</v>
      </c>
      <c r="I32" s="142">
        <v>36250</v>
      </c>
      <c r="J32" s="142">
        <v>36323</v>
      </c>
      <c r="K32" s="140" t="s">
        <v>158</v>
      </c>
      <c r="L32" s="140" t="s">
        <v>18</v>
      </c>
      <c r="M32" s="146">
        <v>45729</v>
      </c>
      <c r="N32" s="146" t="s">
        <v>96</v>
      </c>
      <c r="O32" s="152" t="s">
        <v>97</v>
      </c>
      <c r="P32" s="146">
        <v>45733</v>
      </c>
      <c r="Q32" s="146">
        <v>45733</v>
      </c>
      <c r="R32" s="146">
        <v>45763</v>
      </c>
      <c r="S32" s="147">
        <v>45945</v>
      </c>
      <c r="T32" s="147">
        <v>45946</v>
      </c>
      <c r="U32" s="146">
        <v>45950</v>
      </c>
      <c r="V32" s="146">
        <v>45953</v>
      </c>
      <c r="W32" s="146">
        <v>45958</v>
      </c>
      <c r="X32" s="147">
        <v>45963</v>
      </c>
      <c r="Y32" s="147">
        <v>45963</v>
      </c>
      <c r="Z32" s="147">
        <v>45964</v>
      </c>
      <c r="AA32" s="147">
        <v>45964</v>
      </c>
      <c r="AB32" s="147">
        <v>45965</v>
      </c>
      <c r="AC32" s="153" t="s">
        <v>251</v>
      </c>
      <c r="AD32" s="98">
        <f>MAX(0,X32-W32)</f>
        <v>5</v>
      </c>
      <c r="AE32" s="7">
        <v>7</v>
      </c>
      <c r="AF32" s="8">
        <f>MAX(0,AD32-AE32)</f>
        <v>0</v>
      </c>
      <c r="AG32" s="9">
        <v>200</v>
      </c>
      <c r="AH32" s="10">
        <f>MAX(0,AF32*AG32)</f>
        <v>0</v>
      </c>
      <c r="AI32" s="98">
        <f>MAX(0,AB32-AA32)</f>
        <v>1</v>
      </c>
      <c r="AJ32" s="7">
        <v>2</v>
      </c>
      <c r="AK32" s="8">
        <f>MAX(0,AI32-AJ32)</f>
        <v>0</v>
      </c>
      <c r="AL32" s="9">
        <v>200</v>
      </c>
      <c r="AM32" s="10">
        <f>MAX(0,AK32*AL32)</f>
        <v>0</v>
      </c>
      <c r="AN32" s="9"/>
      <c r="AO32" s="11">
        <f>AN32+AM32+AH32</f>
        <v>0</v>
      </c>
    </row>
    <row r="33" spans="1:42" s="12" customFormat="1" ht="15" customHeight="1">
      <c r="A33" s="140">
        <f t="shared" si="0"/>
        <v>30</v>
      </c>
      <c r="B33" s="140">
        <v>696048438</v>
      </c>
      <c r="C33" s="141" t="s">
        <v>100</v>
      </c>
      <c r="D33" s="141" t="s">
        <v>110</v>
      </c>
      <c r="E33" s="140" t="s">
        <v>116</v>
      </c>
      <c r="F33" s="142" t="s">
        <v>93</v>
      </c>
      <c r="G33" s="142" t="s">
        <v>81</v>
      </c>
      <c r="H33" s="140">
        <v>28</v>
      </c>
      <c r="I33" s="140">
        <v>35000</v>
      </c>
      <c r="J33" s="155">
        <v>35070</v>
      </c>
      <c r="K33" s="140" t="s">
        <v>158</v>
      </c>
      <c r="L33" s="140" t="s">
        <v>18</v>
      </c>
      <c r="M33" s="146">
        <v>45729</v>
      </c>
      <c r="N33" s="146" t="s">
        <v>96</v>
      </c>
      <c r="O33" s="152" t="s">
        <v>97</v>
      </c>
      <c r="P33" s="146">
        <v>45733</v>
      </c>
      <c r="Q33" s="146">
        <v>45733</v>
      </c>
      <c r="R33" s="146">
        <v>45763</v>
      </c>
      <c r="S33" s="146">
        <v>45929</v>
      </c>
      <c r="T33" s="146">
        <v>45931</v>
      </c>
      <c r="U33" s="146">
        <v>45936</v>
      </c>
      <c r="V33" s="146">
        <v>45938</v>
      </c>
      <c r="W33" s="146">
        <v>45962</v>
      </c>
      <c r="X33" s="146">
        <v>45962</v>
      </c>
      <c r="Y33" s="146">
        <v>45962</v>
      </c>
      <c r="Z33" s="146">
        <v>45962</v>
      </c>
      <c r="AA33" s="146">
        <v>45963</v>
      </c>
      <c r="AB33" s="146">
        <v>45965</v>
      </c>
      <c r="AC33" s="148" t="s">
        <v>251</v>
      </c>
      <c r="AD33" s="98">
        <f>MAX(0,X33-W33)</f>
        <v>0</v>
      </c>
      <c r="AE33" s="7">
        <v>7</v>
      </c>
      <c r="AF33" s="8">
        <f t="shared" ref="AF33" si="42">MAX(0,AD33-AE33)</f>
        <v>0</v>
      </c>
      <c r="AG33" s="9">
        <v>200</v>
      </c>
      <c r="AH33" s="10">
        <f>MAX(0,AF33*AG33)</f>
        <v>0</v>
      </c>
      <c r="AI33" s="98">
        <f>MAX(0,AB33-AA33)</f>
        <v>2</v>
      </c>
      <c r="AJ33" s="7">
        <v>2</v>
      </c>
      <c r="AK33" s="8">
        <f t="shared" ref="AK33" si="43">MAX(0,AI33-AJ33)</f>
        <v>0</v>
      </c>
      <c r="AL33" s="9">
        <v>200</v>
      </c>
      <c r="AM33" s="10">
        <f>MAX(0,AK33*AL33)</f>
        <v>0</v>
      </c>
      <c r="AN33" s="9"/>
      <c r="AO33" s="11">
        <f t="shared" ref="AO33" si="44">AN33+AM33+AH33</f>
        <v>0</v>
      </c>
    </row>
    <row r="34" spans="1:42" s="1" customFormat="1" ht="15" customHeight="1">
      <c r="A34" s="140">
        <f t="shared" si="0"/>
        <v>31</v>
      </c>
      <c r="B34" s="140">
        <v>696048438</v>
      </c>
      <c r="C34" s="141" t="s">
        <v>232</v>
      </c>
      <c r="D34" s="141" t="s">
        <v>246</v>
      </c>
      <c r="E34" s="140" t="s">
        <v>233</v>
      </c>
      <c r="F34" s="142" t="s">
        <v>93</v>
      </c>
      <c r="G34" s="142" t="s">
        <v>81</v>
      </c>
      <c r="H34" s="140">
        <v>28</v>
      </c>
      <c r="I34" s="142">
        <v>35000</v>
      </c>
      <c r="J34" s="142">
        <v>35070</v>
      </c>
      <c r="K34" s="140" t="s">
        <v>158</v>
      </c>
      <c r="L34" s="140" t="s">
        <v>18</v>
      </c>
      <c r="M34" s="146">
        <v>45729</v>
      </c>
      <c r="N34" s="146" t="s">
        <v>96</v>
      </c>
      <c r="O34" s="152" t="s">
        <v>97</v>
      </c>
      <c r="P34" s="146">
        <v>45733</v>
      </c>
      <c r="Q34" s="146">
        <v>45733</v>
      </c>
      <c r="R34" s="146">
        <v>45763</v>
      </c>
      <c r="S34" s="147">
        <v>45945</v>
      </c>
      <c r="T34" s="147">
        <v>45946</v>
      </c>
      <c r="U34" s="146">
        <v>45950</v>
      </c>
      <c r="V34" s="146">
        <v>45953</v>
      </c>
      <c r="W34" s="146">
        <v>45955</v>
      </c>
      <c r="X34" s="146">
        <v>45961</v>
      </c>
      <c r="Y34" s="146">
        <v>45961</v>
      </c>
      <c r="Z34" s="146">
        <v>45962</v>
      </c>
      <c r="AA34" s="146">
        <v>45962</v>
      </c>
      <c r="AB34" s="146">
        <v>45964</v>
      </c>
      <c r="AC34" s="148" t="s">
        <v>251</v>
      </c>
      <c r="AD34" s="98">
        <f t="shared" ref="AD34:AD43" si="45">MAX(0,X34-W34)</f>
        <v>6</v>
      </c>
      <c r="AE34" s="7">
        <v>7</v>
      </c>
      <c r="AF34" s="8">
        <f>MAX(0,AD34-AE34)</f>
        <v>0</v>
      </c>
      <c r="AG34" s="9">
        <v>200</v>
      </c>
      <c r="AH34" s="10">
        <f t="shared" ref="AH34:AH43" si="46">MAX(0,AF34*AG34)</f>
        <v>0</v>
      </c>
      <c r="AI34" s="98">
        <f t="shared" ref="AI34:AI43" si="47">MAX(0,AB34-AA34)</f>
        <v>2</v>
      </c>
      <c r="AJ34" s="7">
        <v>2</v>
      </c>
      <c r="AK34" s="8">
        <f>MAX(0,AI34-AJ34)</f>
        <v>0</v>
      </c>
      <c r="AL34" s="9">
        <v>200</v>
      </c>
      <c r="AM34" s="10">
        <f t="shared" ref="AM34:AM43" si="48">MAX(0,AK34*AL34)</f>
        <v>0</v>
      </c>
      <c r="AN34" s="9">
        <v>25</v>
      </c>
      <c r="AO34" s="11">
        <f>AN34+AM34+AH34</f>
        <v>25</v>
      </c>
    </row>
    <row r="35" spans="1:42" s="1" customFormat="1" ht="15" customHeight="1">
      <c r="A35" s="140">
        <f t="shared" si="0"/>
        <v>32</v>
      </c>
      <c r="B35" s="140">
        <v>696048438</v>
      </c>
      <c r="C35" s="141" t="s">
        <v>224</v>
      </c>
      <c r="D35" s="141" t="s">
        <v>242</v>
      </c>
      <c r="E35" s="142" t="s">
        <v>225</v>
      </c>
      <c r="F35" s="142" t="s">
        <v>93</v>
      </c>
      <c r="G35" s="142" t="s">
        <v>81</v>
      </c>
      <c r="H35" s="140">
        <v>28</v>
      </c>
      <c r="I35" s="142">
        <v>35000</v>
      </c>
      <c r="J35" s="142">
        <v>35070</v>
      </c>
      <c r="K35" s="140" t="s">
        <v>158</v>
      </c>
      <c r="L35" s="140" t="s">
        <v>18</v>
      </c>
      <c r="M35" s="146">
        <v>45729</v>
      </c>
      <c r="N35" s="146" t="s">
        <v>96</v>
      </c>
      <c r="O35" s="152" t="s">
        <v>97</v>
      </c>
      <c r="P35" s="146">
        <v>45733</v>
      </c>
      <c r="Q35" s="146">
        <v>45733</v>
      </c>
      <c r="R35" s="146">
        <v>45763</v>
      </c>
      <c r="S35" s="147">
        <v>45945</v>
      </c>
      <c r="T35" s="147">
        <v>45946</v>
      </c>
      <c r="U35" s="146">
        <v>45950</v>
      </c>
      <c r="V35" s="146">
        <v>45953</v>
      </c>
      <c r="W35" s="146">
        <v>45955</v>
      </c>
      <c r="X35" s="146">
        <v>45961</v>
      </c>
      <c r="Y35" s="146">
        <v>45961</v>
      </c>
      <c r="Z35" s="146">
        <v>45961</v>
      </c>
      <c r="AA35" s="146">
        <v>45961</v>
      </c>
      <c r="AB35" s="146">
        <v>45964</v>
      </c>
      <c r="AC35" s="148" t="s">
        <v>251</v>
      </c>
      <c r="AD35" s="98">
        <f t="shared" si="45"/>
        <v>6</v>
      </c>
      <c r="AE35" s="7">
        <v>7</v>
      </c>
      <c r="AF35" s="8">
        <f>MAX(0,AD35-AE35)</f>
        <v>0</v>
      </c>
      <c r="AG35" s="9">
        <v>200</v>
      </c>
      <c r="AH35" s="10">
        <f t="shared" si="46"/>
        <v>0</v>
      </c>
      <c r="AI35" s="98">
        <f t="shared" si="47"/>
        <v>3</v>
      </c>
      <c r="AJ35" s="7">
        <v>2</v>
      </c>
      <c r="AK35" s="8">
        <f>MAX(0,AI35-AJ35)</f>
        <v>1</v>
      </c>
      <c r="AL35" s="9">
        <v>200</v>
      </c>
      <c r="AM35" s="10">
        <f t="shared" si="48"/>
        <v>200</v>
      </c>
      <c r="AN35" s="9">
        <v>25</v>
      </c>
      <c r="AO35" s="11">
        <f>AN35+AM35+AH35</f>
        <v>225</v>
      </c>
    </row>
    <row r="36" spans="1:42" s="1" customFormat="1" ht="15" customHeight="1">
      <c r="A36" s="140">
        <f t="shared" si="0"/>
        <v>33</v>
      </c>
      <c r="B36" s="140">
        <v>696048438</v>
      </c>
      <c r="C36" s="141" t="s">
        <v>200</v>
      </c>
      <c r="D36" s="141" t="s">
        <v>220</v>
      </c>
      <c r="E36" s="140" t="s">
        <v>215</v>
      </c>
      <c r="F36" s="142" t="s">
        <v>93</v>
      </c>
      <c r="G36" s="142" t="s">
        <v>81</v>
      </c>
      <c r="H36" s="143">
        <v>29</v>
      </c>
      <c r="I36" s="156">
        <v>36250</v>
      </c>
      <c r="J36" s="141">
        <v>36323</v>
      </c>
      <c r="K36" s="140" t="s">
        <v>158</v>
      </c>
      <c r="L36" s="140" t="s">
        <v>18</v>
      </c>
      <c r="M36" s="146">
        <v>45729</v>
      </c>
      <c r="N36" s="146" t="s">
        <v>96</v>
      </c>
      <c r="O36" s="152" t="s">
        <v>97</v>
      </c>
      <c r="P36" s="146">
        <v>45733</v>
      </c>
      <c r="Q36" s="146">
        <v>45733</v>
      </c>
      <c r="R36" s="146">
        <v>45763</v>
      </c>
      <c r="S36" s="147">
        <v>45935</v>
      </c>
      <c r="T36" s="147">
        <v>45936</v>
      </c>
      <c r="U36" s="147">
        <v>45941</v>
      </c>
      <c r="V36" s="147">
        <v>45947</v>
      </c>
      <c r="W36" s="147">
        <v>45951</v>
      </c>
      <c r="X36" s="147">
        <v>45958</v>
      </c>
      <c r="Y36" s="147">
        <v>45959</v>
      </c>
      <c r="Z36" s="147">
        <v>45960</v>
      </c>
      <c r="AA36" s="147">
        <v>45961</v>
      </c>
      <c r="AB36" s="147">
        <v>45962</v>
      </c>
      <c r="AC36" s="148" t="s">
        <v>251</v>
      </c>
      <c r="AD36" s="98">
        <f>MAX(0,X36-W36)</f>
        <v>7</v>
      </c>
      <c r="AE36" s="7">
        <v>7</v>
      </c>
      <c r="AF36" s="8">
        <f t="shared" ref="AF36:AF37" si="49">MAX(0,AD36-AE36)</f>
        <v>0</v>
      </c>
      <c r="AG36" s="9">
        <v>200</v>
      </c>
      <c r="AH36" s="10">
        <f>MAX(0,AF36*AG36)</f>
        <v>0</v>
      </c>
      <c r="AI36" s="98">
        <f>MAX(0,AB36-AA36)</f>
        <v>1</v>
      </c>
      <c r="AJ36" s="7">
        <v>2</v>
      </c>
      <c r="AK36" s="8">
        <f t="shared" ref="AK36:AK37" si="50">MAX(0,AI36-AJ36)</f>
        <v>0</v>
      </c>
      <c r="AL36" s="9">
        <v>200</v>
      </c>
      <c r="AM36" s="10">
        <f>MAX(0,AK36*AL36)</f>
        <v>0</v>
      </c>
      <c r="AN36" s="9">
        <v>0</v>
      </c>
      <c r="AO36" s="11">
        <f t="shared" ref="AO36:AO37" si="51">AN36+AM36+AH36</f>
        <v>0</v>
      </c>
    </row>
    <row r="37" spans="1:42" s="1" customFormat="1" ht="15" customHeight="1">
      <c r="A37" s="140">
        <f t="shared" si="0"/>
        <v>34</v>
      </c>
      <c r="B37" s="140">
        <v>696048438</v>
      </c>
      <c r="C37" s="141" t="s">
        <v>198</v>
      </c>
      <c r="D37" s="141" t="s">
        <v>204</v>
      </c>
      <c r="E37" s="140" t="s">
        <v>213</v>
      </c>
      <c r="F37" s="142" t="s">
        <v>93</v>
      </c>
      <c r="G37" s="142" t="s">
        <v>81</v>
      </c>
      <c r="H37" s="143">
        <v>29</v>
      </c>
      <c r="I37" s="156">
        <v>36250</v>
      </c>
      <c r="J37" s="141">
        <v>36323</v>
      </c>
      <c r="K37" s="140" t="s">
        <v>158</v>
      </c>
      <c r="L37" s="140" t="s">
        <v>18</v>
      </c>
      <c r="M37" s="146">
        <v>45729</v>
      </c>
      <c r="N37" s="146" t="s">
        <v>96</v>
      </c>
      <c r="O37" s="152" t="s">
        <v>97</v>
      </c>
      <c r="P37" s="146">
        <v>45733</v>
      </c>
      <c r="Q37" s="146">
        <v>45733</v>
      </c>
      <c r="R37" s="146">
        <v>45763</v>
      </c>
      <c r="S37" s="147">
        <v>45935</v>
      </c>
      <c r="T37" s="147">
        <v>45936</v>
      </c>
      <c r="U37" s="146">
        <v>45943</v>
      </c>
      <c r="V37" s="147">
        <v>45947</v>
      </c>
      <c r="W37" s="147">
        <v>45960</v>
      </c>
      <c r="X37" s="147">
        <v>45960</v>
      </c>
      <c r="Y37" s="147">
        <v>45960</v>
      </c>
      <c r="Z37" s="147">
        <v>45960</v>
      </c>
      <c r="AA37" s="147">
        <v>45960</v>
      </c>
      <c r="AB37" s="147">
        <v>45962</v>
      </c>
      <c r="AC37" s="153" t="s">
        <v>251</v>
      </c>
      <c r="AD37" s="98">
        <f>MAX(0,X37-W37)</f>
        <v>0</v>
      </c>
      <c r="AE37" s="7">
        <v>7</v>
      </c>
      <c r="AF37" s="8">
        <f t="shared" si="49"/>
        <v>0</v>
      </c>
      <c r="AG37" s="9">
        <v>200</v>
      </c>
      <c r="AH37" s="10">
        <f>MAX(0,AF37*AG37)</f>
        <v>0</v>
      </c>
      <c r="AI37" s="98">
        <f>MAX(0,AB37-AA37)</f>
        <v>2</v>
      </c>
      <c r="AJ37" s="7">
        <v>2</v>
      </c>
      <c r="AK37" s="8">
        <f t="shared" si="50"/>
        <v>0</v>
      </c>
      <c r="AL37" s="9">
        <v>200</v>
      </c>
      <c r="AM37" s="10">
        <f>MAX(0,AK37*AL37)</f>
        <v>0</v>
      </c>
      <c r="AN37" s="9">
        <v>0</v>
      </c>
      <c r="AO37" s="11">
        <f t="shared" si="51"/>
        <v>0</v>
      </c>
    </row>
    <row r="38" spans="1:42" s="1" customFormat="1" ht="15" customHeight="1">
      <c r="A38" s="140">
        <f t="shared" si="0"/>
        <v>35</v>
      </c>
      <c r="B38" s="140">
        <v>696048438</v>
      </c>
      <c r="C38" s="141" t="s">
        <v>234</v>
      </c>
      <c r="D38" s="141" t="s">
        <v>247</v>
      </c>
      <c r="E38" s="142" t="s">
        <v>235</v>
      </c>
      <c r="F38" s="142" t="s">
        <v>93</v>
      </c>
      <c r="G38" s="142" t="s">
        <v>81</v>
      </c>
      <c r="H38" s="140">
        <v>28</v>
      </c>
      <c r="I38" s="142">
        <v>35000</v>
      </c>
      <c r="J38" s="142">
        <v>35070</v>
      </c>
      <c r="K38" s="140" t="s">
        <v>158</v>
      </c>
      <c r="L38" s="140" t="s">
        <v>18</v>
      </c>
      <c r="M38" s="146">
        <v>45729</v>
      </c>
      <c r="N38" s="146" t="s">
        <v>96</v>
      </c>
      <c r="O38" s="152" t="s">
        <v>97</v>
      </c>
      <c r="P38" s="146">
        <v>45733</v>
      </c>
      <c r="Q38" s="146">
        <v>45733</v>
      </c>
      <c r="R38" s="146">
        <v>45763</v>
      </c>
      <c r="S38" s="147">
        <v>45945</v>
      </c>
      <c r="T38" s="147">
        <v>45946</v>
      </c>
      <c r="U38" s="146">
        <v>45950</v>
      </c>
      <c r="V38" s="146">
        <v>45954</v>
      </c>
      <c r="W38" s="146">
        <v>45957</v>
      </c>
      <c r="X38" s="146">
        <v>45961</v>
      </c>
      <c r="Y38" s="146">
        <v>45961</v>
      </c>
      <c r="Z38" s="146">
        <v>45962</v>
      </c>
      <c r="AA38" s="146">
        <v>45962</v>
      </c>
      <c r="AB38" s="146">
        <v>45962</v>
      </c>
      <c r="AC38" s="148" t="s">
        <v>251</v>
      </c>
      <c r="AD38" s="98">
        <f t="shared" si="45"/>
        <v>4</v>
      </c>
      <c r="AE38" s="7">
        <v>7</v>
      </c>
      <c r="AF38" s="8">
        <f>MAX(0,AD38-AE38)</f>
        <v>0</v>
      </c>
      <c r="AG38" s="9">
        <v>200</v>
      </c>
      <c r="AH38" s="10">
        <f t="shared" si="46"/>
        <v>0</v>
      </c>
      <c r="AI38" s="98">
        <f t="shared" si="47"/>
        <v>0</v>
      </c>
      <c r="AJ38" s="7">
        <v>2</v>
      </c>
      <c r="AK38" s="8">
        <f>MAX(0,AI38-AJ38)</f>
        <v>0</v>
      </c>
      <c r="AL38" s="9">
        <v>200</v>
      </c>
      <c r="AM38" s="10">
        <f t="shared" si="48"/>
        <v>0</v>
      </c>
      <c r="AN38" s="9"/>
      <c r="AO38" s="11">
        <f>AN38+AM38+AH38</f>
        <v>0</v>
      </c>
    </row>
    <row r="39" spans="1:42" s="12" customFormat="1" ht="15" customHeight="1">
      <c r="A39" s="140">
        <f t="shared" si="0"/>
        <v>36</v>
      </c>
      <c r="B39" s="140">
        <v>696048438</v>
      </c>
      <c r="C39" s="141" t="s">
        <v>162</v>
      </c>
      <c r="D39" s="141" t="s">
        <v>172</v>
      </c>
      <c r="E39" s="142" t="s">
        <v>182</v>
      </c>
      <c r="F39" s="142" t="s">
        <v>93</v>
      </c>
      <c r="G39" s="142" t="s">
        <v>81</v>
      </c>
      <c r="H39" s="143">
        <v>28</v>
      </c>
      <c r="I39" s="140">
        <v>35000</v>
      </c>
      <c r="J39" s="155">
        <v>35070</v>
      </c>
      <c r="K39" s="140" t="s">
        <v>158</v>
      </c>
      <c r="L39" s="140" t="s">
        <v>18</v>
      </c>
      <c r="M39" s="146">
        <v>45729</v>
      </c>
      <c r="N39" s="146" t="s">
        <v>96</v>
      </c>
      <c r="O39" s="152" t="s">
        <v>97</v>
      </c>
      <c r="P39" s="146">
        <v>45733</v>
      </c>
      <c r="Q39" s="146">
        <v>45733</v>
      </c>
      <c r="R39" s="146">
        <v>45763</v>
      </c>
      <c r="S39" s="146">
        <v>45933</v>
      </c>
      <c r="T39" s="146">
        <v>45934</v>
      </c>
      <c r="U39" s="146">
        <v>45937</v>
      </c>
      <c r="V39" s="146">
        <v>45940</v>
      </c>
      <c r="W39" s="146">
        <v>45951</v>
      </c>
      <c r="X39" s="146">
        <v>45954</v>
      </c>
      <c r="Y39" s="146">
        <v>45956</v>
      </c>
      <c r="Z39" s="146">
        <v>45956</v>
      </c>
      <c r="AA39" s="146">
        <v>45956</v>
      </c>
      <c r="AB39" s="146">
        <v>45959</v>
      </c>
      <c r="AC39" s="148" t="s">
        <v>251</v>
      </c>
      <c r="AD39" s="98">
        <f t="shared" si="45"/>
        <v>3</v>
      </c>
      <c r="AE39" s="15">
        <v>7</v>
      </c>
      <c r="AF39" s="16">
        <f t="shared" ref="AF39" si="52">MAX(0,AD39-AE39)</f>
        <v>0</v>
      </c>
      <c r="AG39" s="17">
        <v>200</v>
      </c>
      <c r="AH39" s="10">
        <f t="shared" si="46"/>
        <v>0</v>
      </c>
      <c r="AI39" s="98">
        <f t="shared" si="47"/>
        <v>3</v>
      </c>
      <c r="AJ39" s="15">
        <v>2</v>
      </c>
      <c r="AK39" s="16">
        <f t="shared" ref="AK39" si="53">MAX(0,AI39-AJ39)</f>
        <v>1</v>
      </c>
      <c r="AL39" s="17">
        <v>200</v>
      </c>
      <c r="AM39" s="10">
        <f t="shared" si="48"/>
        <v>200</v>
      </c>
      <c r="AN39" s="17">
        <v>0</v>
      </c>
      <c r="AO39" s="128">
        <f t="shared" ref="AO39" si="54">AN39+AM39+AH39</f>
        <v>200</v>
      </c>
    </row>
    <row r="40" spans="1:42" s="1" customFormat="1" ht="15" customHeight="1">
      <c r="A40" s="140">
        <f t="shared" si="0"/>
        <v>37</v>
      </c>
      <c r="B40" s="157">
        <v>696048438</v>
      </c>
      <c r="C40" s="141" t="s">
        <v>192</v>
      </c>
      <c r="D40" s="141" t="s">
        <v>201</v>
      </c>
      <c r="E40" s="140" t="s">
        <v>207</v>
      </c>
      <c r="F40" s="158" t="s">
        <v>93</v>
      </c>
      <c r="G40" s="142" t="s">
        <v>81</v>
      </c>
      <c r="H40" s="143">
        <v>29</v>
      </c>
      <c r="I40" s="156">
        <v>36250</v>
      </c>
      <c r="J40" s="141">
        <v>36323</v>
      </c>
      <c r="K40" s="140" t="s">
        <v>158</v>
      </c>
      <c r="L40" s="140" t="s">
        <v>18</v>
      </c>
      <c r="M40" s="146">
        <v>45729</v>
      </c>
      <c r="N40" s="146" t="s">
        <v>96</v>
      </c>
      <c r="O40" s="152" t="s">
        <v>97</v>
      </c>
      <c r="P40" s="146">
        <v>45733</v>
      </c>
      <c r="Q40" s="146">
        <v>45733</v>
      </c>
      <c r="R40" s="146">
        <v>45763</v>
      </c>
      <c r="S40" s="146">
        <v>45935</v>
      </c>
      <c r="T40" s="146">
        <v>45936</v>
      </c>
      <c r="U40" s="146">
        <v>45941</v>
      </c>
      <c r="V40" s="146">
        <v>45943</v>
      </c>
      <c r="W40" s="146">
        <v>45945</v>
      </c>
      <c r="X40" s="146">
        <v>45952</v>
      </c>
      <c r="Y40" s="146">
        <v>45953</v>
      </c>
      <c r="Z40" s="146">
        <v>45954</v>
      </c>
      <c r="AA40" s="146">
        <v>45954</v>
      </c>
      <c r="AB40" s="146">
        <v>45959</v>
      </c>
      <c r="AC40" s="148" t="s">
        <v>251</v>
      </c>
      <c r="AD40" s="98">
        <f t="shared" si="45"/>
        <v>7</v>
      </c>
      <c r="AE40" s="7">
        <v>7</v>
      </c>
      <c r="AF40" s="8">
        <f t="shared" ref="AF40" si="55">MAX(0,AD40-AE40)</f>
        <v>0</v>
      </c>
      <c r="AG40" s="9">
        <v>200</v>
      </c>
      <c r="AH40" s="10">
        <f t="shared" si="46"/>
        <v>0</v>
      </c>
      <c r="AI40" s="98">
        <f t="shared" si="47"/>
        <v>5</v>
      </c>
      <c r="AJ40" s="7">
        <v>2</v>
      </c>
      <c r="AK40" s="8">
        <f t="shared" ref="AK40" si="56">MAX(0,AI40-AJ40)</f>
        <v>3</v>
      </c>
      <c r="AL40" s="9">
        <v>200</v>
      </c>
      <c r="AM40" s="10">
        <f t="shared" si="48"/>
        <v>600</v>
      </c>
      <c r="AN40" s="9">
        <v>25</v>
      </c>
      <c r="AO40" s="11">
        <f t="shared" ref="AO40" si="57">AN40+AM40+AH40</f>
        <v>625</v>
      </c>
    </row>
    <row r="41" spans="1:42" s="1" customFormat="1" ht="15" customHeight="1">
      <c r="A41" s="140">
        <f t="shared" si="0"/>
        <v>38</v>
      </c>
      <c r="B41" s="140">
        <v>696048438</v>
      </c>
      <c r="C41" s="141" t="s">
        <v>193</v>
      </c>
      <c r="D41" s="141" t="s">
        <v>217</v>
      </c>
      <c r="E41" s="141" t="s">
        <v>208</v>
      </c>
      <c r="F41" s="142" t="s">
        <v>93</v>
      </c>
      <c r="G41" s="142" t="s">
        <v>81</v>
      </c>
      <c r="H41" s="143">
        <v>28</v>
      </c>
      <c r="I41" s="140">
        <v>35000</v>
      </c>
      <c r="J41" s="155">
        <v>35070</v>
      </c>
      <c r="K41" s="140" t="s">
        <v>158</v>
      </c>
      <c r="L41" s="140" t="s">
        <v>18</v>
      </c>
      <c r="M41" s="146">
        <v>45729</v>
      </c>
      <c r="N41" s="146" t="s">
        <v>96</v>
      </c>
      <c r="O41" s="152" t="s">
        <v>97</v>
      </c>
      <c r="P41" s="146">
        <v>45733</v>
      </c>
      <c r="Q41" s="146">
        <v>45733</v>
      </c>
      <c r="R41" s="146">
        <v>45763</v>
      </c>
      <c r="S41" s="147">
        <v>45935</v>
      </c>
      <c r="T41" s="147">
        <v>45936</v>
      </c>
      <c r="U41" s="147">
        <v>45941</v>
      </c>
      <c r="V41" s="146">
        <v>45943</v>
      </c>
      <c r="W41" s="146">
        <v>45946</v>
      </c>
      <c r="X41" s="146">
        <v>45952</v>
      </c>
      <c r="Y41" s="146">
        <v>45953</v>
      </c>
      <c r="Z41" s="146">
        <v>45954</v>
      </c>
      <c r="AA41" s="146">
        <v>45954</v>
      </c>
      <c r="AB41" s="146">
        <v>45959</v>
      </c>
      <c r="AC41" s="148" t="s">
        <v>251</v>
      </c>
      <c r="AD41" s="98">
        <f t="shared" si="45"/>
        <v>6</v>
      </c>
      <c r="AE41" s="7">
        <v>7</v>
      </c>
      <c r="AF41" s="8">
        <f>MAX(0,AD41-AE41)</f>
        <v>0</v>
      </c>
      <c r="AG41" s="9">
        <v>200</v>
      </c>
      <c r="AH41" s="10">
        <f t="shared" si="46"/>
        <v>0</v>
      </c>
      <c r="AI41" s="98">
        <f t="shared" si="47"/>
        <v>5</v>
      </c>
      <c r="AJ41" s="7">
        <v>2</v>
      </c>
      <c r="AK41" s="8">
        <f>MAX(0,AI41-AJ41)</f>
        <v>3</v>
      </c>
      <c r="AL41" s="9">
        <v>200</v>
      </c>
      <c r="AM41" s="10">
        <f t="shared" si="48"/>
        <v>600</v>
      </c>
      <c r="AN41" s="9">
        <v>25</v>
      </c>
      <c r="AO41" s="11">
        <f>AN41+AM41+AH41</f>
        <v>625</v>
      </c>
    </row>
    <row r="42" spans="1:42" s="1" customFormat="1" ht="15" customHeight="1">
      <c r="A42" s="140">
        <f t="shared" si="0"/>
        <v>39</v>
      </c>
      <c r="B42" s="140">
        <v>696048438</v>
      </c>
      <c r="C42" s="141" t="s">
        <v>129</v>
      </c>
      <c r="D42" s="141" t="s">
        <v>138</v>
      </c>
      <c r="E42" s="142" t="s">
        <v>149</v>
      </c>
      <c r="F42" s="142" t="s">
        <v>93</v>
      </c>
      <c r="G42" s="142" t="s">
        <v>81</v>
      </c>
      <c r="H42" s="143">
        <v>24</v>
      </c>
      <c r="I42" s="140">
        <v>30000</v>
      </c>
      <c r="J42" s="155">
        <v>30060</v>
      </c>
      <c r="K42" s="157" t="s">
        <v>158</v>
      </c>
      <c r="L42" s="140" t="s">
        <v>18</v>
      </c>
      <c r="M42" s="146">
        <v>45729</v>
      </c>
      <c r="N42" s="146" t="s">
        <v>96</v>
      </c>
      <c r="O42" s="152" t="s">
        <v>97</v>
      </c>
      <c r="P42" s="146">
        <v>45733</v>
      </c>
      <c r="Q42" s="146">
        <v>45733</v>
      </c>
      <c r="R42" s="146">
        <v>45763</v>
      </c>
      <c r="S42" s="147">
        <v>45931</v>
      </c>
      <c r="T42" s="147">
        <v>45932</v>
      </c>
      <c r="U42" s="147">
        <v>45936</v>
      </c>
      <c r="V42" s="147">
        <v>45951</v>
      </c>
      <c r="W42" s="146">
        <v>45953</v>
      </c>
      <c r="X42" s="146">
        <v>45957</v>
      </c>
      <c r="Y42" s="146">
        <v>45957</v>
      </c>
      <c r="Z42" s="146">
        <v>45958</v>
      </c>
      <c r="AA42" s="146">
        <v>45958</v>
      </c>
      <c r="AB42" s="146">
        <v>45959</v>
      </c>
      <c r="AC42" s="148" t="s">
        <v>251</v>
      </c>
      <c r="AD42" s="98">
        <f t="shared" si="45"/>
        <v>4</v>
      </c>
      <c r="AE42" s="7">
        <v>7</v>
      </c>
      <c r="AF42" s="8">
        <f>MAX(0,AD42-AE42)</f>
        <v>0</v>
      </c>
      <c r="AG42" s="9">
        <v>200</v>
      </c>
      <c r="AH42" s="10">
        <f t="shared" si="46"/>
        <v>0</v>
      </c>
      <c r="AI42" s="98">
        <f t="shared" si="47"/>
        <v>1</v>
      </c>
      <c r="AJ42" s="7">
        <v>2</v>
      </c>
      <c r="AK42" s="8">
        <f>MAX(0,AI42-AJ42)</f>
        <v>0</v>
      </c>
      <c r="AL42" s="9">
        <v>200</v>
      </c>
      <c r="AM42" s="10">
        <f t="shared" si="48"/>
        <v>0</v>
      </c>
      <c r="AN42" s="9"/>
      <c r="AO42" s="11">
        <f>AN42+AM42+AH42</f>
        <v>0</v>
      </c>
      <c r="AP42" s="129"/>
    </row>
    <row r="43" spans="1:42" s="12" customFormat="1" ht="15" customHeight="1">
      <c r="A43" s="140">
        <f t="shared" si="0"/>
        <v>40</v>
      </c>
      <c r="B43" s="157">
        <v>696048438</v>
      </c>
      <c r="C43" s="141" t="s">
        <v>102</v>
      </c>
      <c r="D43" s="141" t="s">
        <v>108</v>
      </c>
      <c r="E43" s="146" t="s">
        <v>118</v>
      </c>
      <c r="F43" s="158" t="s">
        <v>93</v>
      </c>
      <c r="G43" s="142" t="s">
        <v>81</v>
      </c>
      <c r="H43" s="140">
        <v>24</v>
      </c>
      <c r="I43" s="140">
        <v>30000</v>
      </c>
      <c r="J43" s="155">
        <v>30060</v>
      </c>
      <c r="K43" s="157" t="s">
        <v>158</v>
      </c>
      <c r="L43" s="140" t="s">
        <v>18</v>
      </c>
      <c r="M43" s="146">
        <v>45729</v>
      </c>
      <c r="N43" s="146" t="s">
        <v>96</v>
      </c>
      <c r="O43" s="152" t="s">
        <v>97</v>
      </c>
      <c r="P43" s="146">
        <v>45733</v>
      </c>
      <c r="Q43" s="146">
        <v>45733</v>
      </c>
      <c r="R43" s="146">
        <v>45763</v>
      </c>
      <c r="S43" s="146">
        <v>45929</v>
      </c>
      <c r="T43" s="146">
        <v>45931</v>
      </c>
      <c r="U43" s="146">
        <v>45936</v>
      </c>
      <c r="V43" s="146">
        <v>45940</v>
      </c>
      <c r="W43" s="146">
        <v>45950</v>
      </c>
      <c r="X43" s="146">
        <v>45953</v>
      </c>
      <c r="Y43" s="146">
        <v>45953</v>
      </c>
      <c r="Z43" s="146">
        <v>45954</v>
      </c>
      <c r="AA43" s="146">
        <v>45954</v>
      </c>
      <c r="AB43" s="146">
        <v>45958</v>
      </c>
      <c r="AC43" s="148" t="s">
        <v>251</v>
      </c>
      <c r="AD43" s="98">
        <f t="shared" si="45"/>
        <v>3</v>
      </c>
      <c r="AE43" s="7">
        <v>7</v>
      </c>
      <c r="AF43" s="8">
        <f>MAX(0,AD43-AE43)</f>
        <v>0</v>
      </c>
      <c r="AG43" s="9">
        <v>200</v>
      </c>
      <c r="AH43" s="10">
        <f t="shared" si="46"/>
        <v>0</v>
      </c>
      <c r="AI43" s="98">
        <f t="shared" si="47"/>
        <v>4</v>
      </c>
      <c r="AJ43" s="7">
        <v>2</v>
      </c>
      <c r="AK43" s="8">
        <f>MAX(0,AI43-AJ43)</f>
        <v>2</v>
      </c>
      <c r="AL43" s="9">
        <v>200</v>
      </c>
      <c r="AM43" s="10">
        <f t="shared" si="48"/>
        <v>400</v>
      </c>
      <c r="AN43" s="9">
        <v>0</v>
      </c>
      <c r="AO43" s="11">
        <f>AN43+AM43+AH43</f>
        <v>400</v>
      </c>
    </row>
    <row r="44" spans="1:42" s="1" customFormat="1" ht="15" customHeight="1">
      <c r="A44" s="140">
        <f t="shared" si="0"/>
        <v>41</v>
      </c>
      <c r="B44" s="140">
        <v>696048438</v>
      </c>
      <c r="C44" s="141" t="s">
        <v>194</v>
      </c>
      <c r="D44" s="141" t="s">
        <v>218</v>
      </c>
      <c r="E44" s="140" t="s">
        <v>209</v>
      </c>
      <c r="F44" s="142" t="s">
        <v>93</v>
      </c>
      <c r="G44" s="142" t="s">
        <v>81</v>
      </c>
      <c r="H44" s="143">
        <v>28</v>
      </c>
      <c r="I44" s="140">
        <v>35000</v>
      </c>
      <c r="J44" s="155">
        <v>35070</v>
      </c>
      <c r="K44" s="140" t="s">
        <v>158</v>
      </c>
      <c r="L44" s="140" t="s">
        <v>18</v>
      </c>
      <c r="M44" s="146">
        <v>45729</v>
      </c>
      <c r="N44" s="146" t="s">
        <v>96</v>
      </c>
      <c r="O44" s="152" t="s">
        <v>97</v>
      </c>
      <c r="P44" s="146">
        <v>45733</v>
      </c>
      <c r="Q44" s="146">
        <v>45733</v>
      </c>
      <c r="R44" s="146">
        <v>45763</v>
      </c>
      <c r="S44" s="147">
        <v>45935</v>
      </c>
      <c r="T44" s="147">
        <v>45936</v>
      </c>
      <c r="U44" s="147">
        <v>45941</v>
      </c>
      <c r="V44" s="146">
        <v>45943</v>
      </c>
      <c r="W44" s="146">
        <v>45945</v>
      </c>
      <c r="X44" s="146">
        <v>45952</v>
      </c>
      <c r="Y44" s="146">
        <v>45953</v>
      </c>
      <c r="Z44" s="146">
        <v>45954</v>
      </c>
      <c r="AA44" s="146">
        <v>45954</v>
      </c>
      <c r="AB44" s="146">
        <v>45958</v>
      </c>
      <c r="AC44" s="153" t="s">
        <v>251</v>
      </c>
      <c r="AD44" s="98">
        <f t="shared" ref="AD44:AD51" si="58">MAX(0,X44-W44)</f>
        <v>7</v>
      </c>
      <c r="AE44" s="7">
        <v>7</v>
      </c>
      <c r="AF44" s="8">
        <f t="shared" ref="AF44:AF51" si="59">MAX(0,AD44-AE44)</f>
        <v>0</v>
      </c>
      <c r="AG44" s="9">
        <v>200</v>
      </c>
      <c r="AH44" s="10">
        <f t="shared" ref="AH44:AH51" si="60">MAX(0,AF44*AG44)</f>
        <v>0</v>
      </c>
      <c r="AI44" s="98">
        <f t="shared" ref="AI44:AI51" si="61">MAX(0,AB44-AA44)</f>
        <v>4</v>
      </c>
      <c r="AJ44" s="7">
        <v>2</v>
      </c>
      <c r="AK44" s="8">
        <f t="shared" ref="AK44:AK51" si="62">MAX(0,AI44-AJ44)</f>
        <v>2</v>
      </c>
      <c r="AL44" s="9">
        <v>200</v>
      </c>
      <c r="AM44" s="10">
        <f t="shared" ref="AM44:AM51" si="63">MAX(0,AK44*AL44)</f>
        <v>400</v>
      </c>
      <c r="AN44" s="9">
        <v>25</v>
      </c>
      <c r="AO44" s="11">
        <f t="shared" ref="AO44:AO51" si="64">AN44+AM44+AH44</f>
        <v>425</v>
      </c>
    </row>
    <row r="45" spans="1:42" s="12" customFormat="1" ht="15" customHeight="1">
      <c r="A45" s="140">
        <f t="shared" si="0"/>
        <v>42</v>
      </c>
      <c r="B45" s="140">
        <v>696048438</v>
      </c>
      <c r="C45" s="141" t="s">
        <v>191</v>
      </c>
      <c r="D45" s="141" t="s">
        <v>216</v>
      </c>
      <c r="E45" s="159" t="s">
        <v>206</v>
      </c>
      <c r="F45" s="142" t="s">
        <v>93</v>
      </c>
      <c r="G45" s="142" t="s">
        <v>81</v>
      </c>
      <c r="H45" s="143">
        <v>28</v>
      </c>
      <c r="I45" s="140">
        <v>35000</v>
      </c>
      <c r="J45" s="155">
        <v>35070</v>
      </c>
      <c r="K45" s="140" t="s">
        <v>158</v>
      </c>
      <c r="L45" s="140" t="s">
        <v>18</v>
      </c>
      <c r="M45" s="146">
        <v>45729</v>
      </c>
      <c r="N45" s="146" t="s">
        <v>96</v>
      </c>
      <c r="O45" s="152" t="s">
        <v>97</v>
      </c>
      <c r="P45" s="146">
        <v>45733</v>
      </c>
      <c r="Q45" s="146">
        <v>45733</v>
      </c>
      <c r="R45" s="146">
        <v>45763</v>
      </c>
      <c r="S45" s="146">
        <v>45935</v>
      </c>
      <c r="T45" s="146">
        <v>45936</v>
      </c>
      <c r="U45" s="146">
        <v>45941</v>
      </c>
      <c r="V45" s="146">
        <v>45947</v>
      </c>
      <c r="W45" s="146">
        <v>45949</v>
      </c>
      <c r="X45" s="146">
        <v>45951</v>
      </c>
      <c r="Y45" s="146">
        <v>45952</v>
      </c>
      <c r="Z45" s="146">
        <v>45953</v>
      </c>
      <c r="AA45" s="146">
        <v>45953</v>
      </c>
      <c r="AB45" s="146">
        <v>45958</v>
      </c>
      <c r="AC45" s="153" t="s">
        <v>251</v>
      </c>
      <c r="AD45" s="98">
        <f t="shared" si="58"/>
        <v>2</v>
      </c>
      <c r="AE45" s="15">
        <v>7</v>
      </c>
      <c r="AF45" s="16">
        <f t="shared" si="59"/>
        <v>0</v>
      </c>
      <c r="AG45" s="17">
        <v>200</v>
      </c>
      <c r="AH45" s="10">
        <f t="shared" si="60"/>
        <v>0</v>
      </c>
      <c r="AI45" s="98">
        <f t="shared" si="61"/>
        <v>5</v>
      </c>
      <c r="AJ45" s="15">
        <v>2</v>
      </c>
      <c r="AK45" s="16">
        <f t="shared" si="62"/>
        <v>3</v>
      </c>
      <c r="AL45" s="17">
        <v>200</v>
      </c>
      <c r="AM45" s="10">
        <f t="shared" si="63"/>
        <v>600</v>
      </c>
      <c r="AN45" s="17">
        <v>0</v>
      </c>
      <c r="AO45" s="128">
        <f t="shared" si="64"/>
        <v>600</v>
      </c>
    </row>
    <row r="46" spans="1:42" s="12" customFormat="1" ht="15" customHeight="1">
      <c r="A46" s="140">
        <f t="shared" si="0"/>
        <v>43</v>
      </c>
      <c r="B46" s="140">
        <v>696048438</v>
      </c>
      <c r="C46" s="141" t="s">
        <v>159</v>
      </c>
      <c r="D46" s="141" t="s">
        <v>169</v>
      </c>
      <c r="E46" s="142" t="s">
        <v>179</v>
      </c>
      <c r="F46" s="142" t="s">
        <v>93</v>
      </c>
      <c r="G46" s="142" t="s">
        <v>81</v>
      </c>
      <c r="H46" s="143">
        <v>25</v>
      </c>
      <c r="I46" s="142">
        <v>31250</v>
      </c>
      <c r="J46" s="142">
        <v>31313</v>
      </c>
      <c r="K46" s="140" t="s">
        <v>158</v>
      </c>
      <c r="L46" s="140" t="s">
        <v>18</v>
      </c>
      <c r="M46" s="146">
        <v>45729</v>
      </c>
      <c r="N46" s="146" t="s">
        <v>96</v>
      </c>
      <c r="O46" s="152" t="s">
        <v>97</v>
      </c>
      <c r="P46" s="146">
        <v>45733</v>
      </c>
      <c r="Q46" s="146">
        <v>45733</v>
      </c>
      <c r="R46" s="146">
        <v>45763</v>
      </c>
      <c r="S46" s="146">
        <v>45933</v>
      </c>
      <c r="T46" s="146">
        <v>45934</v>
      </c>
      <c r="U46" s="146">
        <v>45937</v>
      </c>
      <c r="V46" s="146">
        <v>45942</v>
      </c>
      <c r="W46" s="146">
        <v>45945</v>
      </c>
      <c r="X46" s="146">
        <v>45952</v>
      </c>
      <c r="Y46" s="146">
        <v>45953</v>
      </c>
      <c r="Z46" s="146">
        <v>45954</v>
      </c>
      <c r="AA46" s="146">
        <v>45954</v>
      </c>
      <c r="AB46" s="146">
        <v>45958</v>
      </c>
      <c r="AC46" s="153" t="s">
        <v>251</v>
      </c>
      <c r="AD46" s="98">
        <f t="shared" si="58"/>
        <v>7</v>
      </c>
      <c r="AE46" s="15">
        <v>7</v>
      </c>
      <c r="AF46" s="16">
        <f t="shared" si="59"/>
        <v>0</v>
      </c>
      <c r="AG46" s="17">
        <v>200</v>
      </c>
      <c r="AH46" s="10">
        <f t="shared" si="60"/>
        <v>0</v>
      </c>
      <c r="AI46" s="98">
        <f t="shared" si="61"/>
        <v>4</v>
      </c>
      <c r="AJ46" s="15">
        <v>2</v>
      </c>
      <c r="AK46" s="16">
        <f t="shared" si="62"/>
        <v>2</v>
      </c>
      <c r="AL46" s="17">
        <v>200</v>
      </c>
      <c r="AM46" s="10">
        <f t="shared" si="63"/>
        <v>400</v>
      </c>
      <c r="AN46" s="17"/>
      <c r="AO46" s="128">
        <f t="shared" si="64"/>
        <v>400</v>
      </c>
    </row>
    <row r="47" spans="1:42" s="1" customFormat="1" ht="15" customHeight="1">
      <c r="A47" s="140">
        <f t="shared" si="0"/>
        <v>44</v>
      </c>
      <c r="B47" s="140">
        <v>696048438</v>
      </c>
      <c r="C47" s="140" t="s">
        <v>195</v>
      </c>
      <c r="D47" s="141" t="s">
        <v>219</v>
      </c>
      <c r="E47" s="142" t="s">
        <v>210</v>
      </c>
      <c r="F47" s="142" t="s">
        <v>93</v>
      </c>
      <c r="G47" s="142" t="s">
        <v>81</v>
      </c>
      <c r="H47" s="143">
        <v>28</v>
      </c>
      <c r="I47" s="140">
        <v>35000</v>
      </c>
      <c r="J47" s="155">
        <v>35070</v>
      </c>
      <c r="K47" s="140" t="s">
        <v>158</v>
      </c>
      <c r="L47" s="140" t="s">
        <v>18</v>
      </c>
      <c r="M47" s="146">
        <v>45729</v>
      </c>
      <c r="N47" s="146" t="s">
        <v>96</v>
      </c>
      <c r="O47" s="152" t="s">
        <v>97</v>
      </c>
      <c r="P47" s="146">
        <v>45733</v>
      </c>
      <c r="Q47" s="146">
        <v>45733</v>
      </c>
      <c r="R47" s="146">
        <v>45763</v>
      </c>
      <c r="S47" s="147">
        <v>45935</v>
      </c>
      <c r="T47" s="147">
        <v>45936</v>
      </c>
      <c r="U47" s="146">
        <v>45943</v>
      </c>
      <c r="V47" s="146">
        <v>45946</v>
      </c>
      <c r="W47" s="146">
        <v>45949</v>
      </c>
      <c r="X47" s="147">
        <v>45951</v>
      </c>
      <c r="Y47" s="147">
        <v>45952</v>
      </c>
      <c r="Z47" s="147">
        <v>45952</v>
      </c>
      <c r="AA47" s="147">
        <v>45952</v>
      </c>
      <c r="AB47" s="147">
        <v>45957</v>
      </c>
      <c r="AC47" s="153" t="s">
        <v>251</v>
      </c>
      <c r="AD47" s="98">
        <f t="shared" si="58"/>
        <v>2</v>
      </c>
      <c r="AE47" s="7">
        <v>7</v>
      </c>
      <c r="AF47" s="8">
        <f t="shared" si="59"/>
        <v>0</v>
      </c>
      <c r="AG47" s="9">
        <v>200</v>
      </c>
      <c r="AH47" s="10">
        <f t="shared" si="60"/>
        <v>0</v>
      </c>
      <c r="AI47" s="98">
        <f t="shared" si="61"/>
        <v>5</v>
      </c>
      <c r="AJ47" s="7">
        <v>2</v>
      </c>
      <c r="AK47" s="8">
        <f t="shared" si="62"/>
        <v>3</v>
      </c>
      <c r="AL47" s="9">
        <v>200</v>
      </c>
      <c r="AM47" s="10">
        <f t="shared" si="63"/>
        <v>600</v>
      </c>
      <c r="AN47" s="9">
        <v>25</v>
      </c>
      <c r="AO47" s="11">
        <f t="shared" si="64"/>
        <v>625</v>
      </c>
    </row>
    <row r="48" spans="1:42" s="1" customFormat="1" ht="15" customHeight="1">
      <c r="A48" s="140">
        <f t="shared" si="0"/>
        <v>45</v>
      </c>
      <c r="B48" s="140">
        <v>696048438</v>
      </c>
      <c r="C48" s="141" t="s">
        <v>197</v>
      </c>
      <c r="D48" s="141" t="s">
        <v>203</v>
      </c>
      <c r="E48" s="140" t="s">
        <v>212</v>
      </c>
      <c r="F48" s="142" t="s">
        <v>93</v>
      </c>
      <c r="G48" s="142" t="s">
        <v>81</v>
      </c>
      <c r="H48" s="143">
        <v>24</v>
      </c>
      <c r="I48" s="140">
        <v>30000</v>
      </c>
      <c r="J48" s="155">
        <v>30060</v>
      </c>
      <c r="K48" s="140" t="s">
        <v>158</v>
      </c>
      <c r="L48" s="140" t="s">
        <v>18</v>
      </c>
      <c r="M48" s="146">
        <v>45729</v>
      </c>
      <c r="N48" s="146" t="s">
        <v>96</v>
      </c>
      <c r="O48" s="152" t="s">
        <v>97</v>
      </c>
      <c r="P48" s="146">
        <v>45733</v>
      </c>
      <c r="Q48" s="146">
        <v>45733</v>
      </c>
      <c r="R48" s="146">
        <v>45763</v>
      </c>
      <c r="S48" s="147">
        <v>45935</v>
      </c>
      <c r="T48" s="147">
        <v>45936</v>
      </c>
      <c r="U48" s="147">
        <v>45941</v>
      </c>
      <c r="V48" s="146">
        <v>45946</v>
      </c>
      <c r="W48" s="146">
        <v>45949</v>
      </c>
      <c r="X48" s="147">
        <v>45952</v>
      </c>
      <c r="Y48" s="147">
        <v>45952</v>
      </c>
      <c r="Z48" s="147">
        <v>45952</v>
      </c>
      <c r="AA48" s="147">
        <v>45952</v>
      </c>
      <c r="AB48" s="147">
        <v>45957</v>
      </c>
      <c r="AC48" s="153" t="s">
        <v>251</v>
      </c>
      <c r="AD48" s="98">
        <f t="shared" si="58"/>
        <v>3</v>
      </c>
      <c r="AE48" s="7">
        <v>7</v>
      </c>
      <c r="AF48" s="8">
        <f t="shared" si="59"/>
        <v>0</v>
      </c>
      <c r="AG48" s="9">
        <v>200</v>
      </c>
      <c r="AH48" s="10">
        <f t="shared" si="60"/>
        <v>0</v>
      </c>
      <c r="AI48" s="98">
        <f t="shared" si="61"/>
        <v>5</v>
      </c>
      <c r="AJ48" s="7">
        <v>2</v>
      </c>
      <c r="AK48" s="8">
        <f t="shared" si="62"/>
        <v>3</v>
      </c>
      <c r="AL48" s="9">
        <v>200</v>
      </c>
      <c r="AM48" s="10">
        <f t="shared" si="63"/>
        <v>600</v>
      </c>
      <c r="AN48" s="9">
        <v>25</v>
      </c>
      <c r="AO48" s="11">
        <f t="shared" si="64"/>
        <v>625</v>
      </c>
    </row>
    <row r="49" spans="1:42" s="1" customFormat="1" ht="15" customHeight="1">
      <c r="A49" s="140">
        <f t="shared" si="0"/>
        <v>46</v>
      </c>
      <c r="B49" s="140">
        <v>696048438</v>
      </c>
      <c r="C49" s="141" t="s">
        <v>196</v>
      </c>
      <c r="D49" s="141" t="s">
        <v>202</v>
      </c>
      <c r="E49" s="142" t="s">
        <v>211</v>
      </c>
      <c r="F49" s="142" t="s">
        <v>93</v>
      </c>
      <c r="G49" s="142" t="s">
        <v>81</v>
      </c>
      <c r="H49" s="143">
        <v>24</v>
      </c>
      <c r="I49" s="140">
        <v>30000</v>
      </c>
      <c r="J49" s="155">
        <v>30060</v>
      </c>
      <c r="K49" s="140" t="s">
        <v>158</v>
      </c>
      <c r="L49" s="140" t="s">
        <v>18</v>
      </c>
      <c r="M49" s="146">
        <v>45729</v>
      </c>
      <c r="N49" s="146" t="s">
        <v>96</v>
      </c>
      <c r="O49" s="152" t="s">
        <v>97</v>
      </c>
      <c r="P49" s="146">
        <v>45733</v>
      </c>
      <c r="Q49" s="146">
        <v>45733</v>
      </c>
      <c r="R49" s="146">
        <v>45763</v>
      </c>
      <c r="S49" s="147">
        <v>45935</v>
      </c>
      <c r="T49" s="147">
        <v>45936</v>
      </c>
      <c r="U49" s="147">
        <v>45941</v>
      </c>
      <c r="V49" s="146">
        <v>45946</v>
      </c>
      <c r="W49" s="146">
        <v>45948</v>
      </c>
      <c r="X49" s="146">
        <v>45950</v>
      </c>
      <c r="Y49" s="147">
        <v>45952</v>
      </c>
      <c r="Z49" s="147">
        <v>45952</v>
      </c>
      <c r="AA49" s="147">
        <v>45952</v>
      </c>
      <c r="AB49" s="147">
        <v>45957</v>
      </c>
      <c r="AC49" s="153" t="s">
        <v>251</v>
      </c>
      <c r="AD49" s="98">
        <f t="shared" si="58"/>
        <v>2</v>
      </c>
      <c r="AE49" s="7">
        <v>7</v>
      </c>
      <c r="AF49" s="8">
        <f t="shared" si="59"/>
        <v>0</v>
      </c>
      <c r="AG49" s="9">
        <v>200</v>
      </c>
      <c r="AH49" s="10">
        <f t="shared" si="60"/>
        <v>0</v>
      </c>
      <c r="AI49" s="98">
        <f t="shared" si="61"/>
        <v>5</v>
      </c>
      <c r="AJ49" s="7">
        <v>2</v>
      </c>
      <c r="AK49" s="8">
        <f t="shared" si="62"/>
        <v>3</v>
      </c>
      <c r="AL49" s="9">
        <v>200</v>
      </c>
      <c r="AM49" s="10">
        <f t="shared" si="63"/>
        <v>600</v>
      </c>
      <c r="AN49" s="9">
        <v>25</v>
      </c>
      <c r="AO49" s="11">
        <f t="shared" si="64"/>
        <v>625</v>
      </c>
    </row>
    <row r="50" spans="1:42" s="1" customFormat="1" ht="15" customHeight="1">
      <c r="A50" s="140">
        <f t="shared" si="0"/>
        <v>47</v>
      </c>
      <c r="B50" s="140">
        <v>696048438</v>
      </c>
      <c r="C50" s="141" t="s">
        <v>199</v>
      </c>
      <c r="D50" s="141" t="s">
        <v>205</v>
      </c>
      <c r="E50" s="140" t="s">
        <v>214</v>
      </c>
      <c r="F50" s="142" t="s">
        <v>93</v>
      </c>
      <c r="G50" s="142" t="s">
        <v>81</v>
      </c>
      <c r="H50" s="143">
        <v>29</v>
      </c>
      <c r="I50" s="156">
        <v>36250</v>
      </c>
      <c r="J50" s="141">
        <v>36323</v>
      </c>
      <c r="K50" s="140" t="s">
        <v>158</v>
      </c>
      <c r="L50" s="140" t="s">
        <v>18</v>
      </c>
      <c r="M50" s="146">
        <v>45729</v>
      </c>
      <c r="N50" s="146" t="s">
        <v>96</v>
      </c>
      <c r="O50" s="152" t="s">
        <v>97</v>
      </c>
      <c r="P50" s="146">
        <v>45733</v>
      </c>
      <c r="Q50" s="146">
        <v>45733</v>
      </c>
      <c r="R50" s="146">
        <v>45763</v>
      </c>
      <c r="S50" s="147">
        <v>45935</v>
      </c>
      <c r="T50" s="147">
        <v>45936</v>
      </c>
      <c r="U50" s="147">
        <v>45941</v>
      </c>
      <c r="V50" s="146">
        <v>45943</v>
      </c>
      <c r="W50" s="146">
        <v>45947</v>
      </c>
      <c r="X50" s="147">
        <v>45952</v>
      </c>
      <c r="Y50" s="147">
        <v>45952</v>
      </c>
      <c r="Z50" s="147">
        <v>45952</v>
      </c>
      <c r="AA50" s="147">
        <v>45952</v>
      </c>
      <c r="AB50" s="147">
        <v>45955</v>
      </c>
      <c r="AC50" s="153" t="s">
        <v>251</v>
      </c>
      <c r="AD50" s="98">
        <f t="shared" si="58"/>
        <v>5</v>
      </c>
      <c r="AE50" s="7">
        <v>7</v>
      </c>
      <c r="AF50" s="8">
        <f t="shared" si="59"/>
        <v>0</v>
      </c>
      <c r="AG50" s="9">
        <v>200</v>
      </c>
      <c r="AH50" s="10">
        <f t="shared" si="60"/>
        <v>0</v>
      </c>
      <c r="AI50" s="98">
        <f t="shared" si="61"/>
        <v>3</v>
      </c>
      <c r="AJ50" s="7">
        <v>2</v>
      </c>
      <c r="AK50" s="8">
        <f t="shared" si="62"/>
        <v>1</v>
      </c>
      <c r="AL50" s="9">
        <v>200</v>
      </c>
      <c r="AM50" s="10">
        <f t="shared" si="63"/>
        <v>200</v>
      </c>
      <c r="AN50" s="9">
        <v>50</v>
      </c>
      <c r="AO50" s="11">
        <f t="shared" si="64"/>
        <v>250</v>
      </c>
    </row>
    <row r="51" spans="1:42" s="12" customFormat="1" ht="15" customHeight="1">
      <c r="A51" s="140">
        <f t="shared" si="0"/>
        <v>48</v>
      </c>
      <c r="B51" s="140">
        <v>696048438</v>
      </c>
      <c r="C51" s="141" t="s">
        <v>160</v>
      </c>
      <c r="D51" s="141" t="s">
        <v>170</v>
      </c>
      <c r="E51" s="142" t="s">
        <v>180</v>
      </c>
      <c r="F51" s="142" t="s">
        <v>93</v>
      </c>
      <c r="G51" s="142" t="s">
        <v>81</v>
      </c>
      <c r="H51" s="143">
        <v>28</v>
      </c>
      <c r="I51" s="140">
        <v>35000</v>
      </c>
      <c r="J51" s="155">
        <v>35070</v>
      </c>
      <c r="K51" s="140" t="s">
        <v>158</v>
      </c>
      <c r="L51" s="140" t="s">
        <v>18</v>
      </c>
      <c r="M51" s="146">
        <v>45729</v>
      </c>
      <c r="N51" s="146" t="s">
        <v>96</v>
      </c>
      <c r="O51" s="152" t="s">
        <v>97</v>
      </c>
      <c r="P51" s="146">
        <v>45733</v>
      </c>
      <c r="Q51" s="146">
        <v>45733</v>
      </c>
      <c r="R51" s="146">
        <v>45763</v>
      </c>
      <c r="S51" s="146">
        <v>45933</v>
      </c>
      <c r="T51" s="146">
        <v>45934</v>
      </c>
      <c r="U51" s="146">
        <v>45941</v>
      </c>
      <c r="V51" s="146">
        <v>45948</v>
      </c>
      <c r="W51" s="146">
        <v>45950</v>
      </c>
      <c r="X51" s="146">
        <v>45951</v>
      </c>
      <c r="Y51" s="146">
        <v>45952</v>
      </c>
      <c r="Z51" s="146">
        <v>45952</v>
      </c>
      <c r="AA51" s="146">
        <v>45952</v>
      </c>
      <c r="AB51" s="146">
        <v>45955</v>
      </c>
      <c r="AC51" s="153" t="s">
        <v>251</v>
      </c>
      <c r="AD51" s="98">
        <f t="shared" si="58"/>
        <v>1</v>
      </c>
      <c r="AE51" s="7">
        <v>7</v>
      </c>
      <c r="AF51" s="8">
        <f t="shared" si="59"/>
        <v>0</v>
      </c>
      <c r="AG51" s="9">
        <v>200</v>
      </c>
      <c r="AH51" s="10">
        <f t="shared" si="60"/>
        <v>0</v>
      </c>
      <c r="AI51" s="98">
        <f t="shared" si="61"/>
        <v>3</v>
      </c>
      <c r="AJ51" s="7">
        <v>2</v>
      </c>
      <c r="AK51" s="8">
        <f t="shared" si="62"/>
        <v>1</v>
      </c>
      <c r="AL51" s="9">
        <v>200</v>
      </c>
      <c r="AM51" s="10">
        <f t="shared" si="63"/>
        <v>200</v>
      </c>
      <c r="AN51" s="9">
        <v>0</v>
      </c>
      <c r="AO51" s="11">
        <f t="shared" si="64"/>
        <v>200</v>
      </c>
    </row>
    <row r="52" spans="1:42" s="12" customFormat="1" ht="15" customHeight="1">
      <c r="A52" s="140">
        <f t="shared" si="0"/>
        <v>49</v>
      </c>
      <c r="B52" s="157">
        <v>696048438</v>
      </c>
      <c r="C52" s="160" t="s">
        <v>168</v>
      </c>
      <c r="D52" s="160" t="s">
        <v>178</v>
      </c>
      <c r="E52" s="158" t="s">
        <v>188</v>
      </c>
      <c r="F52" s="158" t="s">
        <v>93</v>
      </c>
      <c r="G52" s="158" t="s">
        <v>81</v>
      </c>
      <c r="H52" s="161">
        <v>28</v>
      </c>
      <c r="I52" s="157">
        <v>35000</v>
      </c>
      <c r="J52" s="162">
        <v>35070</v>
      </c>
      <c r="K52" s="157" t="s">
        <v>158</v>
      </c>
      <c r="L52" s="157" t="s">
        <v>18</v>
      </c>
      <c r="M52" s="147">
        <v>45729</v>
      </c>
      <c r="N52" s="147" t="s">
        <v>96</v>
      </c>
      <c r="O52" s="163" t="s">
        <v>97</v>
      </c>
      <c r="P52" s="147">
        <v>45733</v>
      </c>
      <c r="Q52" s="147">
        <v>45733</v>
      </c>
      <c r="R52" s="147">
        <v>45763</v>
      </c>
      <c r="S52" s="147">
        <v>45933</v>
      </c>
      <c r="T52" s="147">
        <v>45934</v>
      </c>
      <c r="U52" s="147">
        <v>45937</v>
      </c>
      <c r="V52" s="147">
        <v>45942</v>
      </c>
      <c r="W52" s="147">
        <v>45945</v>
      </c>
      <c r="X52" s="147">
        <v>45947</v>
      </c>
      <c r="Y52" s="147">
        <v>45947</v>
      </c>
      <c r="Z52" s="147">
        <v>45948</v>
      </c>
      <c r="AA52" s="147">
        <v>45948</v>
      </c>
      <c r="AB52" s="147">
        <v>45952</v>
      </c>
      <c r="AC52" s="148" t="s">
        <v>251</v>
      </c>
      <c r="AD52" s="98">
        <f t="shared" si="1"/>
        <v>2</v>
      </c>
      <c r="AE52" s="7">
        <v>7</v>
      </c>
      <c r="AF52" s="8">
        <f t="shared" si="2"/>
        <v>0</v>
      </c>
      <c r="AG52" s="9">
        <v>200</v>
      </c>
      <c r="AH52" s="10">
        <f t="shared" si="3"/>
        <v>0</v>
      </c>
      <c r="AI52" s="98">
        <f t="shared" si="4"/>
        <v>4</v>
      </c>
      <c r="AJ52" s="15">
        <v>2</v>
      </c>
      <c r="AK52" s="16">
        <f t="shared" ref="AK52" si="65">MAX(0,AI52-AJ52)</f>
        <v>2</v>
      </c>
      <c r="AL52" s="17">
        <v>200</v>
      </c>
      <c r="AM52" s="10">
        <f t="shared" si="6"/>
        <v>400</v>
      </c>
      <c r="AN52" s="17"/>
      <c r="AO52" s="128">
        <f t="shared" ref="AO52" si="66">AN52+AM52+AH52</f>
        <v>400</v>
      </c>
    </row>
    <row r="53" spans="1:42" s="12" customFormat="1" ht="15" customHeight="1">
      <c r="A53" s="140">
        <f t="shared" si="0"/>
        <v>50</v>
      </c>
      <c r="B53" s="157">
        <v>696048438</v>
      </c>
      <c r="C53" s="141" t="s">
        <v>125</v>
      </c>
      <c r="D53" s="141" t="s">
        <v>127</v>
      </c>
      <c r="E53" s="140" t="s">
        <v>126</v>
      </c>
      <c r="F53" s="158" t="s">
        <v>93</v>
      </c>
      <c r="G53" s="158" t="s">
        <v>81</v>
      </c>
      <c r="H53" s="140">
        <v>28</v>
      </c>
      <c r="I53" s="140">
        <v>31250</v>
      </c>
      <c r="J53" s="155">
        <v>31313</v>
      </c>
      <c r="K53" s="157" t="s">
        <v>158</v>
      </c>
      <c r="L53" s="157" t="s">
        <v>18</v>
      </c>
      <c r="M53" s="147">
        <v>45729</v>
      </c>
      <c r="N53" s="147" t="s">
        <v>96</v>
      </c>
      <c r="O53" s="163" t="s">
        <v>97</v>
      </c>
      <c r="P53" s="147">
        <v>45733</v>
      </c>
      <c r="Q53" s="147">
        <v>45733</v>
      </c>
      <c r="R53" s="147">
        <v>45763</v>
      </c>
      <c r="S53" s="146">
        <v>45929</v>
      </c>
      <c r="T53" s="146">
        <v>45931</v>
      </c>
      <c r="U53" s="146">
        <v>45936</v>
      </c>
      <c r="V53" s="146">
        <v>45942</v>
      </c>
      <c r="W53" s="146">
        <v>45945</v>
      </c>
      <c r="X53" s="146">
        <v>45947</v>
      </c>
      <c r="Y53" s="146">
        <v>45947</v>
      </c>
      <c r="Z53" s="146">
        <v>45948</v>
      </c>
      <c r="AA53" s="146">
        <v>45948</v>
      </c>
      <c r="AB53" s="147">
        <v>45952</v>
      </c>
      <c r="AC53" s="148" t="s">
        <v>251</v>
      </c>
      <c r="AD53" s="98">
        <f t="shared" si="1"/>
        <v>2</v>
      </c>
      <c r="AE53" s="15">
        <v>7</v>
      </c>
      <c r="AF53" s="16">
        <f t="shared" ref="AF53:AF64" si="67">MAX(0,AD53-AE53)</f>
        <v>0</v>
      </c>
      <c r="AG53" s="17">
        <v>200</v>
      </c>
      <c r="AH53" s="10">
        <f t="shared" si="3"/>
        <v>0</v>
      </c>
      <c r="AI53" s="98">
        <f t="shared" si="4"/>
        <v>4</v>
      </c>
      <c r="AJ53" s="15">
        <v>2</v>
      </c>
      <c r="AK53" s="16">
        <f t="shared" ref="AK53:AK61" si="68">MAX(0,AI53-AJ53)</f>
        <v>2</v>
      </c>
      <c r="AL53" s="17">
        <v>200</v>
      </c>
      <c r="AM53" s="10">
        <f t="shared" si="6"/>
        <v>400</v>
      </c>
      <c r="AN53" s="9">
        <v>0</v>
      </c>
      <c r="AO53" s="11">
        <f t="shared" ref="AO53:AO61" si="69">AN53+AM53+AH53</f>
        <v>400</v>
      </c>
    </row>
    <row r="54" spans="1:42" s="12" customFormat="1" ht="15" customHeight="1">
      <c r="A54" s="140">
        <f t="shared" si="0"/>
        <v>51</v>
      </c>
      <c r="B54" s="157">
        <v>696048438</v>
      </c>
      <c r="C54" s="141" t="s">
        <v>103</v>
      </c>
      <c r="D54" s="141" t="s">
        <v>109</v>
      </c>
      <c r="E54" s="146" t="s">
        <v>119</v>
      </c>
      <c r="F54" s="158" t="s">
        <v>93</v>
      </c>
      <c r="G54" s="158" t="s">
        <v>81</v>
      </c>
      <c r="H54" s="140">
        <v>24</v>
      </c>
      <c r="I54" s="140">
        <v>30000</v>
      </c>
      <c r="J54" s="155">
        <v>30060</v>
      </c>
      <c r="K54" s="157" t="s">
        <v>158</v>
      </c>
      <c r="L54" s="157" t="s">
        <v>18</v>
      </c>
      <c r="M54" s="147">
        <v>45729</v>
      </c>
      <c r="N54" s="147" t="s">
        <v>96</v>
      </c>
      <c r="O54" s="163" t="s">
        <v>97</v>
      </c>
      <c r="P54" s="147">
        <v>45733</v>
      </c>
      <c r="Q54" s="147">
        <v>45733</v>
      </c>
      <c r="R54" s="147">
        <v>45763</v>
      </c>
      <c r="S54" s="146">
        <v>45929</v>
      </c>
      <c r="T54" s="146">
        <v>45931</v>
      </c>
      <c r="U54" s="146">
        <v>45936</v>
      </c>
      <c r="V54" s="146">
        <v>45943</v>
      </c>
      <c r="W54" s="146">
        <v>45947</v>
      </c>
      <c r="X54" s="146">
        <v>45949</v>
      </c>
      <c r="Y54" s="146">
        <v>45949</v>
      </c>
      <c r="Z54" s="146">
        <v>45949</v>
      </c>
      <c r="AA54" s="146">
        <v>45950</v>
      </c>
      <c r="AB54" s="147">
        <v>45952</v>
      </c>
      <c r="AC54" s="148" t="s">
        <v>251</v>
      </c>
      <c r="AD54" s="98">
        <f t="shared" si="1"/>
        <v>2</v>
      </c>
      <c r="AE54" s="15">
        <v>7</v>
      </c>
      <c r="AF54" s="16">
        <f t="shared" si="67"/>
        <v>0</v>
      </c>
      <c r="AG54" s="17">
        <v>200</v>
      </c>
      <c r="AH54" s="10">
        <f t="shared" si="3"/>
        <v>0</v>
      </c>
      <c r="AI54" s="98">
        <f t="shared" si="4"/>
        <v>2</v>
      </c>
      <c r="AJ54" s="15">
        <v>2</v>
      </c>
      <c r="AK54" s="16">
        <f t="shared" si="68"/>
        <v>0</v>
      </c>
      <c r="AL54" s="17">
        <v>200</v>
      </c>
      <c r="AM54" s="10">
        <f t="shared" si="6"/>
        <v>0</v>
      </c>
      <c r="AN54" s="9">
        <v>0</v>
      </c>
      <c r="AO54" s="11">
        <f t="shared" si="69"/>
        <v>0</v>
      </c>
    </row>
    <row r="55" spans="1:42" s="12" customFormat="1" ht="15" customHeight="1">
      <c r="A55" s="140">
        <f t="shared" si="0"/>
        <v>52</v>
      </c>
      <c r="B55" s="157">
        <v>696048438</v>
      </c>
      <c r="C55" s="141" t="s">
        <v>105</v>
      </c>
      <c r="D55" s="141" t="s">
        <v>113</v>
      </c>
      <c r="E55" s="140" t="s">
        <v>121</v>
      </c>
      <c r="F55" s="158" t="s">
        <v>93</v>
      </c>
      <c r="G55" s="158" t="s">
        <v>81</v>
      </c>
      <c r="H55" s="140">
        <v>29</v>
      </c>
      <c r="I55" s="156">
        <v>36250</v>
      </c>
      <c r="J55" s="141">
        <v>36323</v>
      </c>
      <c r="K55" s="157" t="s">
        <v>158</v>
      </c>
      <c r="L55" s="157" t="s">
        <v>18</v>
      </c>
      <c r="M55" s="147">
        <v>45729</v>
      </c>
      <c r="N55" s="147" t="s">
        <v>96</v>
      </c>
      <c r="O55" s="163" t="s">
        <v>97</v>
      </c>
      <c r="P55" s="147">
        <v>45733</v>
      </c>
      <c r="Q55" s="147">
        <v>45733</v>
      </c>
      <c r="R55" s="147">
        <v>45763</v>
      </c>
      <c r="S55" s="146">
        <v>45929</v>
      </c>
      <c r="T55" s="146">
        <v>45931</v>
      </c>
      <c r="U55" s="146">
        <v>45936</v>
      </c>
      <c r="V55" s="146">
        <v>45940</v>
      </c>
      <c r="W55" s="146">
        <v>45948</v>
      </c>
      <c r="X55" s="146">
        <v>45951</v>
      </c>
      <c r="Y55" s="146">
        <v>45951</v>
      </c>
      <c r="Z55" s="146">
        <v>45951</v>
      </c>
      <c r="AA55" s="146">
        <v>45951</v>
      </c>
      <c r="AB55" s="147">
        <v>45952</v>
      </c>
      <c r="AC55" s="148" t="s">
        <v>251</v>
      </c>
      <c r="AD55" s="98">
        <f t="shared" si="1"/>
        <v>3</v>
      </c>
      <c r="AE55" s="15">
        <v>7</v>
      </c>
      <c r="AF55" s="16">
        <f t="shared" si="67"/>
        <v>0</v>
      </c>
      <c r="AG55" s="17">
        <v>200</v>
      </c>
      <c r="AH55" s="10">
        <f t="shared" si="3"/>
        <v>0</v>
      </c>
      <c r="AI55" s="98">
        <f t="shared" si="4"/>
        <v>1</v>
      </c>
      <c r="AJ55" s="15">
        <v>2</v>
      </c>
      <c r="AK55" s="16">
        <f t="shared" si="68"/>
        <v>0</v>
      </c>
      <c r="AL55" s="17">
        <v>200</v>
      </c>
      <c r="AM55" s="10">
        <f t="shared" si="6"/>
        <v>0</v>
      </c>
      <c r="AN55" s="9"/>
      <c r="AO55" s="11">
        <f t="shared" si="69"/>
        <v>0</v>
      </c>
    </row>
    <row r="56" spans="1:42" s="1" customFormat="1" ht="15" customHeight="1">
      <c r="A56" s="140">
        <f t="shared" si="0"/>
        <v>53</v>
      </c>
      <c r="B56" s="140">
        <v>696048438</v>
      </c>
      <c r="C56" s="141" t="s">
        <v>27</v>
      </c>
      <c r="D56" s="150" t="s">
        <v>28</v>
      </c>
      <c r="E56" s="150" t="s">
        <v>29</v>
      </c>
      <c r="F56" s="142" t="s">
        <v>93</v>
      </c>
      <c r="G56" s="158" t="s">
        <v>81</v>
      </c>
      <c r="H56" s="157">
        <v>28</v>
      </c>
      <c r="I56" s="157">
        <v>35000</v>
      </c>
      <c r="J56" s="162">
        <v>35070</v>
      </c>
      <c r="K56" s="157" t="s">
        <v>92</v>
      </c>
      <c r="L56" s="140" t="s">
        <v>18</v>
      </c>
      <c r="M56" s="147">
        <v>45729</v>
      </c>
      <c r="N56" s="147" t="s">
        <v>96</v>
      </c>
      <c r="O56" s="163" t="s">
        <v>97</v>
      </c>
      <c r="P56" s="147">
        <v>45733</v>
      </c>
      <c r="Q56" s="147">
        <v>45733</v>
      </c>
      <c r="R56" s="147">
        <v>45763</v>
      </c>
      <c r="S56" s="147">
        <v>45926</v>
      </c>
      <c r="T56" s="147">
        <v>45927</v>
      </c>
      <c r="U56" s="147">
        <v>45931</v>
      </c>
      <c r="V56" s="147">
        <v>45935</v>
      </c>
      <c r="W56" s="147">
        <v>45942</v>
      </c>
      <c r="X56" s="147">
        <v>45942</v>
      </c>
      <c r="Y56" s="147">
        <v>45946</v>
      </c>
      <c r="Z56" s="147">
        <v>45947</v>
      </c>
      <c r="AA56" s="147">
        <v>45947</v>
      </c>
      <c r="AB56" s="147">
        <v>45952</v>
      </c>
      <c r="AC56" s="148" t="s">
        <v>251</v>
      </c>
      <c r="AD56" s="98">
        <f t="shared" si="1"/>
        <v>0</v>
      </c>
      <c r="AE56" s="7">
        <v>7</v>
      </c>
      <c r="AF56" s="8">
        <f t="shared" si="67"/>
        <v>0</v>
      </c>
      <c r="AG56" s="9">
        <v>200</v>
      </c>
      <c r="AH56" s="10">
        <f t="shared" si="3"/>
        <v>0</v>
      </c>
      <c r="AI56" s="98">
        <f t="shared" si="4"/>
        <v>5</v>
      </c>
      <c r="AJ56" s="7">
        <v>2</v>
      </c>
      <c r="AK56" s="8">
        <f t="shared" si="68"/>
        <v>3</v>
      </c>
      <c r="AL56" s="9">
        <v>200</v>
      </c>
      <c r="AM56" s="10">
        <f t="shared" si="6"/>
        <v>600</v>
      </c>
      <c r="AN56" s="9">
        <v>0</v>
      </c>
      <c r="AO56" s="11">
        <f t="shared" si="69"/>
        <v>600</v>
      </c>
      <c r="AP56" s="129"/>
    </row>
    <row r="57" spans="1:42" s="1" customFormat="1" ht="15" customHeight="1">
      <c r="A57" s="140">
        <f t="shared" si="0"/>
        <v>54</v>
      </c>
      <c r="B57" s="140">
        <v>696048438</v>
      </c>
      <c r="C57" s="141" t="s">
        <v>22</v>
      </c>
      <c r="D57" s="141" t="s">
        <v>23</v>
      </c>
      <c r="E57" s="140" t="s">
        <v>94</v>
      </c>
      <c r="F57" s="142" t="s">
        <v>93</v>
      </c>
      <c r="G57" s="158" t="s">
        <v>81</v>
      </c>
      <c r="H57" s="140">
        <v>29</v>
      </c>
      <c r="I57" s="156">
        <v>36250</v>
      </c>
      <c r="J57" s="141">
        <v>36323</v>
      </c>
      <c r="K57" s="157" t="s">
        <v>92</v>
      </c>
      <c r="L57" s="140" t="s">
        <v>18</v>
      </c>
      <c r="M57" s="146">
        <v>45729</v>
      </c>
      <c r="N57" s="146" t="s">
        <v>96</v>
      </c>
      <c r="O57" s="152" t="s">
        <v>97</v>
      </c>
      <c r="P57" s="146">
        <v>45733</v>
      </c>
      <c r="Q57" s="146">
        <v>45733</v>
      </c>
      <c r="R57" s="146">
        <v>45763</v>
      </c>
      <c r="S57" s="147">
        <v>45926</v>
      </c>
      <c r="T57" s="147">
        <v>45927</v>
      </c>
      <c r="U57" s="147">
        <v>45931</v>
      </c>
      <c r="V57" s="147">
        <v>45940</v>
      </c>
      <c r="W57" s="147">
        <v>45943</v>
      </c>
      <c r="X57" s="147">
        <v>45946</v>
      </c>
      <c r="Y57" s="147">
        <v>45946</v>
      </c>
      <c r="Z57" s="147">
        <v>45947</v>
      </c>
      <c r="AA57" s="147">
        <v>45947</v>
      </c>
      <c r="AB57" s="147">
        <v>45952</v>
      </c>
      <c r="AC57" s="148" t="s">
        <v>251</v>
      </c>
      <c r="AD57" s="98">
        <f t="shared" si="1"/>
        <v>3</v>
      </c>
      <c r="AE57" s="7">
        <v>7</v>
      </c>
      <c r="AF57" s="8">
        <f t="shared" si="67"/>
        <v>0</v>
      </c>
      <c r="AG57" s="9">
        <v>200</v>
      </c>
      <c r="AH57" s="10">
        <f t="shared" si="3"/>
        <v>0</v>
      </c>
      <c r="AI57" s="98">
        <f t="shared" si="4"/>
        <v>5</v>
      </c>
      <c r="AJ57" s="7">
        <v>2</v>
      </c>
      <c r="AK57" s="8">
        <f t="shared" si="68"/>
        <v>3</v>
      </c>
      <c r="AL57" s="9">
        <v>200</v>
      </c>
      <c r="AM57" s="10">
        <f t="shared" si="6"/>
        <v>600</v>
      </c>
      <c r="AN57" s="9">
        <v>0</v>
      </c>
      <c r="AO57" s="11">
        <f t="shared" si="69"/>
        <v>600</v>
      </c>
      <c r="AP57" s="129"/>
    </row>
    <row r="58" spans="1:42" s="12" customFormat="1" ht="15" customHeight="1">
      <c r="A58" s="140">
        <f t="shared" si="0"/>
        <v>55</v>
      </c>
      <c r="B58" s="140">
        <v>696048438</v>
      </c>
      <c r="C58" s="141" t="s">
        <v>30</v>
      </c>
      <c r="D58" s="150" t="s">
        <v>31</v>
      </c>
      <c r="E58" s="146" t="s">
        <v>32</v>
      </c>
      <c r="F58" s="142" t="s">
        <v>93</v>
      </c>
      <c r="G58" s="158" t="s">
        <v>81</v>
      </c>
      <c r="H58" s="140">
        <v>24</v>
      </c>
      <c r="I58" s="140">
        <v>30000</v>
      </c>
      <c r="J58" s="155">
        <v>30060</v>
      </c>
      <c r="K58" s="140" t="s">
        <v>92</v>
      </c>
      <c r="L58" s="140" t="s">
        <v>18</v>
      </c>
      <c r="M58" s="146">
        <v>45729</v>
      </c>
      <c r="N58" s="146" t="s">
        <v>96</v>
      </c>
      <c r="O58" s="152" t="s">
        <v>97</v>
      </c>
      <c r="P58" s="146">
        <v>45733</v>
      </c>
      <c r="Q58" s="146">
        <v>45733</v>
      </c>
      <c r="R58" s="146">
        <v>45763</v>
      </c>
      <c r="S58" s="146">
        <v>45926</v>
      </c>
      <c r="T58" s="146">
        <v>45927</v>
      </c>
      <c r="U58" s="146">
        <v>45931</v>
      </c>
      <c r="V58" s="146">
        <v>45940</v>
      </c>
      <c r="W58" s="146">
        <v>45943</v>
      </c>
      <c r="X58" s="147">
        <v>45946</v>
      </c>
      <c r="Y58" s="147">
        <v>45946</v>
      </c>
      <c r="Z58" s="147">
        <v>45947</v>
      </c>
      <c r="AA58" s="147">
        <v>45947</v>
      </c>
      <c r="AB58" s="147">
        <v>45952</v>
      </c>
      <c r="AC58" s="148" t="s">
        <v>251</v>
      </c>
      <c r="AD58" s="98">
        <f t="shared" si="1"/>
        <v>3</v>
      </c>
      <c r="AE58" s="15">
        <v>7</v>
      </c>
      <c r="AF58" s="16">
        <f t="shared" si="67"/>
        <v>0</v>
      </c>
      <c r="AG58" s="17">
        <v>200</v>
      </c>
      <c r="AH58" s="10">
        <f t="shared" si="3"/>
        <v>0</v>
      </c>
      <c r="AI58" s="98">
        <f t="shared" si="4"/>
        <v>5</v>
      </c>
      <c r="AJ58" s="15">
        <v>2</v>
      </c>
      <c r="AK58" s="16">
        <f t="shared" si="68"/>
        <v>3</v>
      </c>
      <c r="AL58" s="17">
        <v>200</v>
      </c>
      <c r="AM58" s="10">
        <f t="shared" si="6"/>
        <v>600</v>
      </c>
      <c r="AN58" s="9">
        <v>0</v>
      </c>
      <c r="AO58" s="128">
        <f t="shared" si="69"/>
        <v>600</v>
      </c>
    </row>
    <row r="59" spans="1:42" s="12" customFormat="1" ht="15" customHeight="1">
      <c r="A59" s="140">
        <f t="shared" si="0"/>
        <v>56</v>
      </c>
      <c r="B59" s="157">
        <v>696048438</v>
      </c>
      <c r="C59" s="141" t="s">
        <v>33</v>
      </c>
      <c r="D59" s="150" t="s">
        <v>34</v>
      </c>
      <c r="E59" s="150" t="s">
        <v>35</v>
      </c>
      <c r="F59" s="142" t="s">
        <v>93</v>
      </c>
      <c r="G59" s="158" t="s">
        <v>81</v>
      </c>
      <c r="H59" s="140">
        <v>28</v>
      </c>
      <c r="I59" s="140">
        <v>35000</v>
      </c>
      <c r="J59" s="155">
        <v>35070</v>
      </c>
      <c r="K59" s="157" t="s">
        <v>92</v>
      </c>
      <c r="L59" s="157" t="s">
        <v>18</v>
      </c>
      <c r="M59" s="147">
        <v>45729</v>
      </c>
      <c r="N59" s="147" t="s">
        <v>96</v>
      </c>
      <c r="O59" s="163" t="s">
        <v>97</v>
      </c>
      <c r="P59" s="147">
        <v>45733</v>
      </c>
      <c r="Q59" s="147">
        <v>45733</v>
      </c>
      <c r="R59" s="147">
        <v>45763</v>
      </c>
      <c r="S59" s="146">
        <v>45926</v>
      </c>
      <c r="T59" s="146">
        <v>45927</v>
      </c>
      <c r="U59" s="146">
        <v>45936</v>
      </c>
      <c r="V59" s="146">
        <v>45940</v>
      </c>
      <c r="W59" s="146">
        <v>45943</v>
      </c>
      <c r="X59" s="147">
        <v>45946</v>
      </c>
      <c r="Y59" s="147">
        <v>45946</v>
      </c>
      <c r="Z59" s="147">
        <v>45947</v>
      </c>
      <c r="AA59" s="147">
        <v>45947</v>
      </c>
      <c r="AB59" s="147">
        <v>45952</v>
      </c>
      <c r="AC59" s="148" t="s">
        <v>251</v>
      </c>
      <c r="AD59" s="98">
        <f t="shared" si="1"/>
        <v>3</v>
      </c>
      <c r="AE59" s="7">
        <v>7</v>
      </c>
      <c r="AF59" s="8">
        <f t="shared" si="67"/>
        <v>0</v>
      </c>
      <c r="AG59" s="9">
        <v>200</v>
      </c>
      <c r="AH59" s="10">
        <f t="shared" si="3"/>
        <v>0</v>
      </c>
      <c r="AI59" s="98">
        <f t="shared" si="4"/>
        <v>5</v>
      </c>
      <c r="AJ59" s="7">
        <v>2</v>
      </c>
      <c r="AK59" s="8">
        <f t="shared" si="68"/>
        <v>3</v>
      </c>
      <c r="AL59" s="9">
        <v>200</v>
      </c>
      <c r="AM59" s="10">
        <f t="shared" si="6"/>
        <v>600</v>
      </c>
      <c r="AN59" s="17">
        <v>0</v>
      </c>
      <c r="AO59" s="11">
        <f t="shared" si="69"/>
        <v>600</v>
      </c>
    </row>
    <row r="60" spans="1:42" s="12" customFormat="1" ht="15" customHeight="1">
      <c r="A60" s="140">
        <f t="shared" si="0"/>
        <v>57</v>
      </c>
      <c r="B60" s="140">
        <v>696048438</v>
      </c>
      <c r="C60" s="141" t="s">
        <v>101</v>
      </c>
      <c r="D60" s="141" t="s">
        <v>111</v>
      </c>
      <c r="E60" s="142" t="s">
        <v>117</v>
      </c>
      <c r="F60" s="142" t="s">
        <v>93</v>
      </c>
      <c r="G60" s="158" t="s">
        <v>81</v>
      </c>
      <c r="H60" s="140">
        <v>29</v>
      </c>
      <c r="I60" s="156">
        <v>36250</v>
      </c>
      <c r="J60" s="141">
        <v>36323</v>
      </c>
      <c r="K60" s="140" t="s">
        <v>158</v>
      </c>
      <c r="L60" s="140" t="s">
        <v>18</v>
      </c>
      <c r="M60" s="146">
        <v>45729</v>
      </c>
      <c r="N60" s="146" t="s">
        <v>96</v>
      </c>
      <c r="O60" s="152" t="s">
        <v>97</v>
      </c>
      <c r="P60" s="146">
        <v>45733</v>
      </c>
      <c r="Q60" s="146">
        <v>45733</v>
      </c>
      <c r="R60" s="146">
        <v>45763</v>
      </c>
      <c r="S60" s="146">
        <v>45929</v>
      </c>
      <c r="T60" s="146">
        <v>45931</v>
      </c>
      <c r="U60" s="146">
        <v>45936</v>
      </c>
      <c r="V60" s="146">
        <v>45938</v>
      </c>
      <c r="W60" s="146">
        <v>45941</v>
      </c>
      <c r="X60" s="146">
        <v>45946</v>
      </c>
      <c r="Y60" s="147">
        <v>45946</v>
      </c>
      <c r="Z60" s="147">
        <v>45947</v>
      </c>
      <c r="AA60" s="147">
        <v>45947</v>
      </c>
      <c r="AB60" s="147">
        <v>45952</v>
      </c>
      <c r="AC60" s="148" t="s">
        <v>251</v>
      </c>
      <c r="AD60" s="98">
        <f t="shared" si="1"/>
        <v>5</v>
      </c>
      <c r="AE60" s="15">
        <v>7</v>
      </c>
      <c r="AF60" s="16">
        <f t="shared" si="67"/>
        <v>0</v>
      </c>
      <c r="AG60" s="17">
        <v>200</v>
      </c>
      <c r="AH60" s="10">
        <f t="shared" si="3"/>
        <v>0</v>
      </c>
      <c r="AI60" s="98">
        <f t="shared" si="4"/>
        <v>5</v>
      </c>
      <c r="AJ60" s="15">
        <v>2</v>
      </c>
      <c r="AK60" s="16">
        <f t="shared" si="68"/>
        <v>3</v>
      </c>
      <c r="AL60" s="17">
        <v>200</v>
      </c>
      <c r="AM60" s="10">
        <f t="shared" si="6"/>
        <v>600</v>
      </c>
      <c r="AN60" s="17">
        <v>0</v>
      </c>
      <c r="AO60" s="128">
        <f t="shared" si="69"/>
        <v>600</v>
      </c>
    </row>
    <row r="61" spans="1:42" s="1" customFormat="1" ht="15" customHeight="1">
      <c r="A61" s="140">
        <f t="shared" si="0"/>
        <v>58</v>
      </c>
      <c r="B61" s="140">
        <v>696048438</v>
      </c>
      <c r="C61" s="142" t="s">
        <v>36</v>
      </c>
      <c r="D61" s="140" t="s">
        <v>37</v>
      </c>
      <c r="E61" s="164" t="s">
        <v>38</v>
      </c>
      <c r="F61" s="142" t="s">
        <v>93</v>
      </c>
      <c r="G61" s="158" t="s">
        <v>81</v>
      </c>
      <c r="H61" s="140">
        <v>25</v>
      </c>
      <c r="I61" s="142">
        <v>31250</v>
      </c>
      <c r="J61" s="142">
        <v>31313</v>
      </c>
      <c r="K61" s="157" t="s">
        <v>92</v>
      </c>
      <c r="L61" s="140" t="s">
        <v>18</v>
      </c>
      <c r="M61" s="146">
        <v>45729</v>
      </c>
      <c r="N61" s="146" t="s">
        <v>96</v>
      </c>
      <c r="O61" s="152" t="s">
        <v>97</v>
      </c>
      <c r="P61" s="146">
        <v>45733</v>
      </c>
      <c r="Q61" s="146">
        <v>45733</v>
      </c>
      <c r="R61" s="146">
        <v>45763</v>
      </c>
      <c r="S61" s="147">
        <v>45926</v>
      </c>
      <c r="T61" s="147">
        <v>45927</v>
      </c>
      <c r="U61" s="147">
        <v>45931</v>
      </c>
      <c r="V61" s="147">
        <v>45940</v>
      </c>
      <c r="W61" s="146">
        <v>45943</v>
      </c>
      <c r="X61" s="147">
        <v>45946</v>
      </c>
      <c r="Y61" s="147">
        <v>45946</v>
      </c>
      <c r="Z61" s="147">
        <v>45947</v>
      </c>
      <c r="AA61" s="147">
        <v>45947</v>
      </c>
      <c r="AB61" s="147">
        <v>45951</v>
      </c>
      <c r="AC61" s="148" t="s">
        <v>251</v>
      </c>
      <c r="AD61" s="98">
        <f t="shared" ref="AD61:AD84" si="70">MAX(0,X61-W61)</f>
        <v>3</v>
      </c>
      <c r="AE61" s="7">
        <v>7</v>
      </c>
      <c r="AF61" s="8">
        <f t="shared" si="67"/>
        <v>0</v>
      </c>
      <c r="AG61" s="9">
        <v>200</v>
      </c>
      <c r="AH61" s="10">
        <f t="shared" ref="AH61:AH84" si="71">MAX(0,AF61*AG61)</f>
        <v>0</v>
      </c>
      <c r="AI61" s="98">
        <f t="shared" si="4"/>
        <v>4</v>
      </c>
      <c r="AJ61" s="7">
        <v>2</v>
      </c>
      <c r="AK61" s="8">
        <f t="shared" si="68"/>
        <v>2</v>
      </c>
      <c r="AL61" s="9">
        <v>200</v>
      </c>
      <c r="AM61" s="10">
        <f t="shared" ref="AM61:AM84" si="72">MAX(0,AK61*AL61)</f>
        <v>400</v>
      </c>
      <c r="AN61" s="9">
        <v>0</v>
      </c>
      <c r="AO61" s="11">
        <f t="shared" si="69"/>
        <v>400</v>
      </c>
      <c r="AP61" s="129"/>
    </row>
    <row r="62" spans="1:42" s="1" customFormat="1" ht="15" customHeight="1">
      <c r="A62" s="140">
        <f t="shared" si="0"/>
        <v>59</v>
      </c>
      <c r="B62" s="140">
        <v>696048438</v>
      </c>
      <c r="C62" s="164" t="s">
        <v>39</v>
      </c>
      <c r="D62" s="164" t="s">
        <v>40</v>
      </c>
      <c r="E62" s="164" t="s">
        <v>41</v>
      </c>
      <c r="F62" s="142" t="s">
        <v>93</v>
      </c>
      <c r="G62" s="158" t="s">
        <v>81</v>
      </c>
      <c r="H62" s="140">
        <v>26</v>
      </c>
      <c r="I62" s="142">
        <v>32500</v>
      </c>
      <c r="J62" s="142">
        <v>32565</v>
      </c>
      <c r="K62" s="157" t="s">
        <v>92</v>
      </c>
      <c r="L62" s="140" t="s">
        <v>18</v>
      </c>
      <c r="M62" s="146">
        <v>45729</v>
      </c>
      <c r="N62" s="146" t="s">
        <v>96</v>
      </c>
      <c r="O62" s="152" t="s">
        <v>97</v>
      </c>
      <c r="P62" s="146">
        <v>45733</v>
      </c>
      <c r="Q62" s="146">
        <v>45733</v>
      </c>
      <c r="R62" s="146">
        <v>45763</v>
      </c>
      <c r="S62" s="147">
        <v>45926</v>
      </c>
      <c r="T62" s="147">
        <v>45927</v>
      </c>
      <c r="U62" s="147">
        <v>45931</v>
      </c>
      <c r="V62" s="147">
        <v>45940</v>
      </c>
      <c r="W62" s="146">
        <v>45943</v>
      </c>
      <c r="X62" s="147">
        <v>45946</v>
      </c>
      <c r="Y62" s="147">
        <v>45946</v>
      </c>
      <c r="Z62" s="147">
        <v>45947</v>
      </c>
      <c r="AA62" s="147">
        <v>45947</v>
      </c>
      <c r="AB62" s="147">
        <v>45951</v>
      </c>
      <c r="AC62" s="148" t="s">
        <v>251</v>
      </c>
      <c r="AD62" s="98">
        <f t="shared" si="70"/>
        <v>3</v>
      </c>
      <c r="AE62" s="7">
        <v>7</v>
      </c>
      <c r="AF62" s="8">
        <f t="shared" si="67"/>
        <v>0</v>
      </c>
      <c r="AG62" s="9">
        <v>200</v>
      </c>
      <c r="AH62" s="10">
        <f t="shared" si="71"/>
        <v>0</v>
      </c>
      <c r="AI62" s="98">
        <f t="shared" ref="AI62:AI84" si="73">MAX(0,AB62-AA62)</f>
        <v>4</v>
      </c>
      <c r="AJ62" s="7">
        <v>2</v>
      </c>
      <c r="AK62" s="8">
        <f t="shared" ref="AK62:AK63" si="74">MAX(0,AI62-AJ62)</f>
        <v>2</v>
      </c>
      <c r="AL62" s="9">
        <v>200</v>
      </c>
      <c r="AM62" s="10">
        <f t="shared" si="72"/>
        <v>400</v>
      </c>
      <c r="AN62" s="17">
        <v>0</v>
      </c>
      <c r="AO62" s="11">
        <f t="shared" ref="AO62:AO63" si="75">AN62+AM62+AH62</f>
        <v>400</v>
      </c>
      <c r="AP62" s="129"/>
    </row>
    <row r="63" spans="1:42" s="12" customFormat="1" ht="15" customHeight="1">
      <c r="A63" s="140">
        <f t="shared" si="0"/>
        <v>60</v>
      </c>
      <c r="B63" s="140">
        <v>696048438</v>
      </c>
      <c r="C63" s="141" t="s">
        <v>42</v>
      </c>
      <c r="D63" s="141" t="s">
        <v>43</v>
      </c>
      <c r="E63" s="141" t="s">
        <v>44</v>
      </c>
      <c r="F63" s="142" t="s">
        <v>93</v>
      </c>
      <c r="G63" s="158" t="s">
        <v>81</v>
      </c>
      <c r="H63" s="140">
        <v>28</v>
      </c>
      <c r="I63" s="140">
        <v>35000</v>
      </c>
      <c r="J63" s="155">
        <v>35070</v>
      </c>
      <c r="K63" s="140" t="s">
        <v>92</v>
      </c>
      <c r="L63" s="140" t="s">
        <v>18</v>
      </c>
      <c r="M63" s="146">
        <v>45729</v>
      </c>
      <c r="N63" s="146" t="s">
        <v>96</v>
      </c>
      <c r="O63" s="152" t="s">
        <v>97</v>
      </c>
      <c r="P63" s="146">
        <v>45733</v>
      </c>
      <c r="Q63" s="146">
        <v>45733</v>
      </c>
      <c r="R63" s="146">
        <v>45763</v>
      </c>
      <c r="S63" s="146">
        <v>45926</v>
      </c>
      <c r="T63" s="146">
        <v>45927</v>
      </c>
      <c r="U63" s="146">
        <v>45931</v>
      </c>
      <c r="V63" s="146">
        <v>45940</v>
      </c>
      <c r="W63" s="146">
        <v>45943</v>
      </c>
      <c r="X63" s="147">
        <v>45946</v>
      </c>
      <c r="Y63" s="147">
        <v>45946</v>
      </c>
      <c r="Z63" s="147">
        <v>45947</v>
      </c>
      <c r="AA63" s="147">
        <v>45947</v>
      </c>
      <c r="AB63" s="147">
        <v>45951</v>
      </c>
      <c r="AC63" s="148" t="s">
        <v>251</v>
      </c>
      <c r="AD63" s="98">
        <f t="shared" si="70"/>
        <v>3</v>
      </c>
      <c r="AE63" s="15">
        <v>7</v>
      </c>
      <c r="AF63" s="16">
        <f t="shared" si="67"/>
        <v>0</v>
      </c>
      <c r="AG63" s="17">
        <v>200</v>
      </c>
      <c r="AH63" s="10">
        <f t="shared" si="71"/>
        <v>0</v>
      </c>
      <c r="AI63" s="98">
        <f t="shared" si="73"/>
        <v>4</v>
      </c>
      <c r="AJ63" s="7">
        <v>2</v>
      </c>
      <c r="AK63" s="8">
        <f t="shared" si="74"/>
        <v>2</v>
      </c>
      <c r="AL63" s="9">
        <v>200</v>
      </c>
      <c r="AM63" s="10">
        <f t="shared" si="72"/>
        <v>400</v>
      </c>
      <c r="AN63" s="9">
        <v>0</v>
      </c>
      <c r="AO63" s="11">
        <f t="shared" si="75"/>
        <v>400</v>
      </c>
    </row>
    <row r="64" spans="1:42" s="1" customFormat="1" ht="15" customHeight="1">
      <c r="A64" s="140">
        <f t="shared" si="0"/>
        <v>61</v>
      </c>
      <c r="B64" s="157">
        <v>696048438</v>
      </c>
      <c r="C64" s="160" t="s">
        <v>128</v>
      </c>
      <c r="D64" s="160" t="s">
        <v>139</v>
      </c>
      <c r="E64" s="158" t="s">
        <v>148</v>
      </c>
      <c r="F64" s="158" t="s">
        <v>93</v>
      </c>
      <c r="G64" s="158" t="s">
        <v>81</v>
      </c>
      <c r="H64" s="161">
        <v>28</v>
      </c>
      <c r="I64" s="157">
        <v>35000</v>
      </c>
      <c r="J64" s="162">
        <v>35070</v>
      </c>
      <c r="K64" s="157" t="s">
        <v>158</v>
      </c>
      <c r="L64" s="157" t="s">
        <v>18</v>
      </c>
      <c r="M64" s="147">
        <v>45729</v>
      </c>
      <c r="N64" s="147" t="s">
        <v>96</v>
      </c>
      <c r="O64" s="163" t="s">
        <v>97</v>
      </c>
      <c r="P64" s="147">
        <v>45733</v>
      </c>
      <c r="Q64" s="147">
        <v>45733</v>
      </c>
      <c r="R64" s="147">
        <v>45763</v>
      </c>
      <c r="S64" s="147">
        <v>45931</v>
      </c>
      <c r="T64" s="147">
        <v>45932</v>
      </c>
      <c r="U64" s="147">
        <v>45936</v>
      </c>
      <c r="V64" s="147">
        <v>45941</v>
      </c>
      <c r="W64" s="147">
        <v>45944</v>
      </c>
      <c r="X64" s="146">
        <v>45946</v>
      </c>
      <c r="Y64" s="146">
        <v>45946</v>
      </c>
      <c r="Z64" s="147">
        <v>45947</v>
      </c>
      <c r="AA64" s="147">
        <v>45947</v>
      </c>
      <c r="AB64" s="147">
        <v>45951</v>
      </c>
      <c r="AC64" s="148" t="s">
        <v>251</v>
      </c>
      <c r="AD64" s="98">
        <f t="shared" si="70"/>
        <v>2</v>
      </c>
      <c r="AE64" s="15">
        <v>7</v>
      </c>
      <c r="AF64" s="16">
        <f t="shared" si="67"/>
        <v>0</v>
      </c>
      <c r="AG64" s="17">
        <v>200</v>
      </c>
      <c r="AH64" s="10">
        <f t="shared" si="71"/>
        <v>0</v>
      </c>
      <c r="AI64" s="98">
        <f t="shared" si="73"/>
        <v>4</v>
      </c>
      <c r="AJ64" s="15">
        <v>2</v>
      </c>
      <c r="AK64" s="16">
        <f>MAX(0,AI64-AJ64)</f>
        <v>2</v>
      </c>
      <c r="AL64" s="17">
        <v>200</v>
      </c>
      <c r="AM64" s="10">
        <f t="shared" si="72"/>
        <v>400</v>
      </c>
      <c r="AN64" s="9">
        <v>0</v>
      </c>
      <c r="AO64" s="11">
        <f>AN64+AM64+AH64</f>
        <v>400</v>
      </c>
      <c r="AP64" s="129"/>
    </row>
    <row r="65" spans="1:42" s="12" customFormat="1" ht="15" customHeight="1">
      <c r="A65" s="140">
        <f t="shared" si="0"/>
        <v>62</v>
      </c>
      <c r="B65" s="140">
        <v>696048438</v>
      </c>
      <c r="C65" s="141" t="s">
        <v>137</v>
      </c>
      <c r="D65" s="141" t="s">
        <v>147</v>
      </c>
      <c r="E65" s="142" t="s">
        <v>157</v>
      </c>
      <c r="F65" s="142" t="s">
        <v>93</v>
      </c>
      <c r="G65" s="158" t="s">
        <v>81</v>
      </c>
      <c r="H65" s="143">
        <v>29</v>
      </c>
      <c r="I65" s="156">
        <v>36250</v>
      </c>
      <c r="J65" s="141">
        <v>36323</v>
      </c>
      <c r="K65" s="140" t="s">
        <v>158</v>
      </c>
      <c r="L65" s="140" t="s">
        <v>18</v>
      </c>
      <c r="M65" s="146">
        <v>45729</v>
      </c>
      <c r="N65" s="146" t="s">
        <v>96</v>
      </c>
      <c r="O65" s="152" t="s">
        <v>97</v>
      </c>
      <c r="P65" s="146">
        <v>45733</v>
      </c>
      <c r="Q65" s="146">
        <v>45733</v>
      </c>
      <c r="R65" s="146">
        <v>45763</v>
      </c>
      <c r="S65" s="146">
        <v>45931</v>
      </c>
      <c r="T65" s="146">
        <v>45932</v>
      </c>
      <c r="U65" s="146">
        <v>45937</v>
      </c>
      <c r="V65" s="147">
        <v>45942</v>
      </c>
      <c r="W65" s="147">
        <v>45945</v>
      </c>
      <c r="X65" s="146">
        <v>45946</v>
      </c>
      <c r="Y65" s="147">
        <v>45946</v>
      </c>
      <c r="Z65" s="147">
        <v>45947</v>
      </c>
      <c r="AA65" s="147">
        <v>45947</v>
      </c>
      <c r="AB65" s="147">
        <v>45951</v>
      </c>
      <c r="AC65" s="148" t="s">
        <v>251</v>
      </c>
      <c r="AD65" s="98">
        <f t="shared" si="70"/>
        <v>1</v>
      </c>
      <c r="AE65" s="15">
        <v>7</v>
      </c>
      <c r="AF65" s="16">
        <f t="shared" ref="AF65" si="76">MAX(0,AD65-AE65)</f>
        <v>0</v>
      </c>
      <c r="AG65" s="17">
        <v>200</v>
      </c>
      <c r="AH65" s="10">
        <f t="shared" si="71"/>
        <v>0</v>
      </c>
      <c r="AI65" s="98">
        <f t="shared" si="73"/>
        <v>4</v>
      </c>
      <c r="AJ65" s="15">
        <v>2</v>
      </c>
      <c r="AK65" s="16">
        <f t="shared" ref="AK65" si="77">MAX(0,AI65-AJ65)</f>
        <v>2</v>
      </c>
      <c r="AL65" s="17">
        <v>200</v>
      </c>
      <c r="AM65" s="10">
        <f t="shared" si="72"/>
        <v>400</v>
      </c>
      <c r="AN65" s="17"/>
      <c r="AO65" s="128">
        <f t="shared" ref="AO65" si="78">AN65+AM65+AH65</f>
        <v>400</v>
      </c>
    </row>
    <row r="66" spans="1:42" s="12" customFormat="1" ht="15" customHeight="1">
      <c r="A66" s="140">
        <f t="shared" si="0"/>
        <v>63</v>
      </c>
      <c r="B66" s="140">
        <v>696048438</v>
      </c>
      <c r="C66" s="141" t="s">
        <v>24</v>
      </c>
      <c r="D66" s="150" t="s">
        <v>25</v>
      </c>
      <c r="E66" s="146" t="s">
        <v>26</v>
      </c>
      <c r="F66" s="142" t="s">
        <v>93</v>
      </c>
      <c r="G66" s="158" t="s">
        <v>81</v>
      </c>
      <c r="H66" s="140">
        <v>28</v>
      </c>
      <c r="I66" s="140">
        <v>35000</v>
      </c>
      <c r="J66" s="155">
        <v>35070</v>
      </c>
      <c r="K66" s="140" t="s">
        <v>92</v>
      </c>
      <c r="L66" s="140" t="s">
        <v>18</v>
      </c>
      <c r="M66" s="146">
        <v>45729</v>
      </c>
      <c r="N66" s="146" t="s">
        <v>96</v>
      </c>
      <c r="O66" s="152" t="s">
        <v>97</v>
      </c>
      <c r="P66" s="146">
        <v>45733</v>
      </c>
      <c r="Q66" s="146">
        <v>45733</v>
      </c>
      <c r="R66" s="146">
        <v>45763</v>
      </c>
      <c r="S66" s="146">
        <v>45926</v>
      </c>
      <c r="T66" s="146">
        <v>45927</v>
      </c>
      <c r="U66" s="146">
        <v>45931</v>
      </c>
      <c r="V66" s="146">
        <v>45939</v>
      </c>
      <c r="W66" s="147">
        <v>45942</v>
      </c>
      <c r="X66" s="147">
        <v>45946</v>
      </c>
      <c r="Y66" s="147">
        <v>45946</v>
      </c>
      <c r="Z66" s="147">
        <v>45947</v>
      </c>
      <c r="AA66" s="147">
        <v>45947</v>
      </c>
      <c r="AB66" s="147">
        <v>45951</v>
      </c>
      <c r="AC66" s="148" t="s">
        <v>251</v>
      </c>
      <c r="AD66" s="98">
        <f t="shared" si="70"/>
        <v>4</v>
      </c>
      <c r="AE66" s="7">
        <v>7</v>
      </c>
      <c r="AF66" s="8">
        <f>MAX(0,AD66-AE66)</f>
        <v>0</v>
      </c>
      <c r="AG66" s="9">
        <v>200</v>
      </c>
      <c r="AH66" s="10">
        <f t="shared" si="71"/>
        <v>0</v>
      </c>
      <c r="AI66" s="98">
        <f t="shared" si="73"/>
        <v>4</v>
      </c>
      <c r="AJ66" s="7">
        <v>2</v>
      </c>
      <c r="AK66" s="8">
        <f>MAX(0,AI66-AJ66)</f>
        <v>2</v>
      </c>
      <c r="AL66" s="9">
        <v>200</v>
      </c>
      <c r="AM66" s="10">
        <f t="shared" si="72"/>
        <v>400</v>
      </c>
      <c r="AN66" s="17">
        <v>0</v>
      </c>
      <c r="AO66" s="11">
        <f>AN66+AM66+AH66</f>
        <v>400</v>
      </c>
    </row>
    <row r="67" spans="1:42" s="1" customFormat="1" ht="15" customHeight="1">
      <c r="A67" s="140">
        <f t="shared" si="0"/>
        <v>64</v>
      </c>
      <c r="B67" s="140">
        <v>696048438</v>
      </c>
      <c r="C67" s="141" t="s">
        <v>19</v>
      </c>
      <c r="D67" s="141" t="s">
        <v>20</v>
      </c>
      <c r="E67" s="141" t="s">
        <v>21</v>
      </c>
      <c r="F67" s="142" t="s">
        <v>93</v>
      </c>
      <c r="G67" s="158" t="s">
        <v>81</v>
      </c>
      <c r="H67" s="157">
        <v>28</v>
      </c>
      <c r="I67" s="157">
        <v>35000</v>
      </c>
      <c r="J67" s="162">
        <v>35070</v>
      </c>
      <c r="K67" s="157" t="s">
        <v>92</v>
      </c>
      <c r="L67" s="140" t="s">
        <v>18</v>
      </c>
      <c r="M67" s="147">
        <v>45729</v>
      </c>
      <c r="N67" s="147" t="s">
        <v>96</v>
      </c>
      <c r="O67" s="163" t="s">
        <v>97</v>
      </c>
      <c r="P67" s="147">
        <v>45733</v>
      </c>
      <c r="Q67" s="147">
        <v>45733</v>
      </c>
      <c r="R67" s="147">
        <v>45763</v>
      </c>
      <c r="S67" s="147">
        <v>45926</v>
      </c>
      <c r="T67" s="147">
        <v>45927</v>
      </c>
      <c r="U67" s="147">
        <v>45931</v>
      </c>
      <c r="V67" s="147">
        <v>45935</v>
      </c>
      <c r="W67" s="147">
        <v>45946</v>
      </c>
      <c r="X67" s="147">
        <v>45946</v>
      </c>
      <c r="Y67" s="147">
        <v>45946</v>
      </c>
      <c r="Z67" s="147">
        <v>45947</v>
      </c>
      <c r="AA67" s="147">
        <v>45947</v>
      </c>
      <c r="AB67" s="147">
        <v>45951</v>
      </c>
      <c r="AC67" s="148" t="s">
        <v>251</v>
      </c>
      <c r="AD67" s="98">
        <f t="shared" si="70"/>
        <v>0</v>
      </c>
      <c r="AE67" s="7">
        <v>7</v>
      </c>
      <c r="AF67" s="8">
        <f>MAX(0,AD67-AE67)</f>
        <v>0</v>
      </c>
      <c r="AG67" s="9">
        <v>200</v>
      </c>
      <c r="AH67" s="10">
        <f t="shared" si="71"/>
        <v>0</v>
      </c>
      <c r="AI67" s="98">
        <f t="shared" si="73"/>
        <v>4</v>
      </c>
      <c r="AJ67" s="7">
        <v>2</v>
      </c>
      <c r="AK67" s="8">
        <f>MAX(0,AI67-AJ67)</f>
        <v>2</v>
      </c>
      <c r="AL67" s="9">
        <v>200</v>
      </c>
      <c r="AM67" s="10">
        <f t="shared" si="72"/>
        <v>400</v>
      </c>
      <c r="AN67" s="17">
        <v>0</v>
      </c>
      <c r="AO67" s="11">
        <f>AN67+AM67+AH67</f>
        <v>400</v>
      </c>
      <c r="AP67" s="129"/>
    </row>
    <row r="68" spans="1:42" s="1" customFormat="1" ht="15" customHeight="1">
      <c r="A68" s="140">
        <f t="shared" ref="A68:A84" si="79">ROW()-3</f>
        <v>65</v>
      </c>
      <c r="B68" s="157">
        <v>696048438</v>
      </c>
      <c r="C68" s="165" t="s">
        <v>15</v>
      </c>
      <c r="D68" s="160" t="s">
        <v>16</v>
      </c>
      <c r="E68" s="157" t="s">
        <v>17</v>
      </c>
      <c r="F68" s="158" t="s">
        <v>93</v>
      </c>
      <c r="G68" s="158" t="s">
        <v>81</v>
      </c>
      <c r="H68" s="157">
        <v>28</v>
      </c>
      <c r="I68" s="157">
        <v>35000</v>
      </c>
      <c r="J68" s="162">
        <v>35070</v>
      </c>
      <c r="K68" s="166" t="s">
        <v>720</v>
      </c>
      <c r="L68" s="167" t="s">
        <v>721</v>
      </c>
      <c r="M68" s="147">
        <v>45729</v>
      </c>
      <c r="N68" s="147" t="s">
        <v>96</v>
      </c>
      <c r="O68" s="163" t="s">
        <v>97</v>
      </c>
      <c r="P68" s="147">
        <v>45733</v>
      </c>
      <c r="Q68" s="147">
        <v>45733</v>
      </c>
      <c r="R68" s="147">
        <v>45763</v>
      </c>
      <c r="S68" s="147">
        <v>45926</v>
      </c>
      <c r="T68" s="147">
        <v>45927</v>
      </c>
      <c r="U68" s="147">
        <v>45931</v>
      </c>
      <c r="V68" s="147">
        <v>45935</v>
      </c>
      <c r="W68" s="147">
        <v>45938</v>
      </c>
      <c r="X68" s="147">
        <v>45946</v>
      </c>
      <c r="Y68" s="147">
        <v>45946</v>
      </c>
      <c r="Z68" s="147">
        <v>45947</v>
      </c>
      <c r="AA68" s="147">
        <v>45947</v>
      </c>
      <c r="AB68" s="147">
        <v>45951</v>
      </c>
      <c r="AC68" s="148" t="s">
        <v>251</v>
      </c>
      <c r="AD68" s="98">
        <f t="shared" si="70"/>
        <v>8</v>
      </c>
      <c r="AE68" s="15">
        <v>7</v>
      </c>
      <c r="AF68" s="16">
        <f t="shared" ref="AF68" si="80">MAX(0,AD68-AE68)</f>
        <v>1</v>
      </c>
      <c r="AG68" s="17">
        <v>200</v>
      </c>
      <c r="AH68" s="10">
        <f t="shared" si="71"/>
        <v>200</v>
      </c>
      <c r="AI68" s="98">
        <f t="shared" si="73"/>
        <v>4</v>
      </c>
      <c r="AJ68" s="15">
        <v>2</v>
      </c>
      <c r="AK68" s="16">
        <f t="shared" ref="AK68" si="81">MAX(0,AI68-AJ68)</f>
        <v>2</v>
      </c>
      <c r="AL68" s="17">
        <v>200</v>
      </c>
      <c r="AM68" s="10">
        <f t="shared" si="72"/>
        <v>400</v>
      </c>
      <c r="AN68" s="17">
        <v>0</v>
      </c>
      <c r="AO68" s="128">
        <f t="shared" ref="AO68" si="82">AN68+AM68+AH68</f>
        <v>600</v>
      </c>
      <c r="AP68" s="129"/>
    </row>
    <row r="69" spans="1:42" s="12" customFormat="1" ht="15" customHeight="1">
      <c r="A69" s="140">
        <f t="shared" si="79"/>
        <v>66</v>
      </c>
      <c r="B69" s="140">
        <v>696048438</v>
      </c>
      <c r="C69" s="141" t="s">
        <v>166</v>
      </c>
      <c r="D69" s="141" t="s">
        <v>176</v>
      </c>
      <c r="E69" s="142" t="s">
        <v>186</v>
      </c>
      <c r="F69" s="142" t="s">
        <v>93</v>
      </c>
      <c r="G69" s="142" t="s">
        <v>81</v>
      </c>
      <c r="H69" s="143">
        <v>28</v>
      </c>
      <c r="I69" s="140">
        <v>35000</v>
      </c>
      <c r="J69" s="155">
        <v>35070</v>
      </c>
      <c r="K69" s="140" t="s">
        <v>158</v>
      </c>
      <c r="L69" s="140" t="s">
        <v>18</v>
      </c>
      <c r="M69" s="146">
        <v>45729</v>
      </c>
      <c r="N69" s="146" t="s">
        <v>96</v>
      </c>
      <c r="O69" s="152" t="s">
        <v>97</v>
      </c>
      <c r="P69" s="146">
        <v>45733</v>
      </c>
      <c r="Q69" s="146">
        <v>45733</v>
      </c>
      <c r="R69" s="146">
        <v>45763</v>
      </c>
      <c r="S69" s="146">
        <v>45933</v>
      </c>
      <c r="T69" s="146">
        <v>45934</v>
      </c>
      <c r="U69" s="146">
        <v>45937</v>
      </c>
      <c r="V69" s="146">
        <v>45940</v>
      </c>
      <c r="W69" s="146">
        <v>45943</v>
      </c>
      <c r="X69" s="146">
        <v>45946</v>
      </c>
      <c r="Y69" s="147">
        <v>45946</v>
      </c>
      <c r="Z69" s="147">
        <v>45946</v>
      </c>
      <c r="AA69" s="147">
        <v>45946</v>
      </c>
      <c r="AB69" s="147">
        <v>45948</v>
      </c>
      <c r="AC69" s="153" t="s">
        <v>251</v>
      </c>
      <c r="AD69" s="98">
        <f t="shared" si="70"/>
        <v>3</v>
      </c>
      <c r="AE69" s="7">
        <v>7</v>
      </c>
      <c r="AF69" s="8">
        <f>MAX(0,AD69-AE69)</f>
        <v>0</v>
      </c>
      <c r="AG69" s="9">
        <v>200</v>
      </c>
      <c r="AH69" s="10">
        <f t="shared" si="71"/>
        <v>0</v>
      </c>
      <c r="AI69" s="98">
        <f t="shared" si="73"/>
        <v>2</v>
      </c>
      <c r="AJ69" s="7">
        <v>2</v>
      </c>
      <c r="AK69" s="8">
        <f>MAX(0,AI69-AJ69)</f>
        <v>0</v>
      </c>
      <c r="AL69" s="9">
        <v>200</v>
      </c>
      <c r="AM69" s="10">
        <f t="shared" si="72"/>
        <v>0</v>
      </c>
      <c r="AN69" s="17">
        <v>0</v>
      </c>
      <c r="AO69" s="11">
        <f>AN69+AM69+AH69</f>
        <v>0</v>
      </c>
    </row>
    <row r="70" spans="1:42" s="12" customFormat="1" ht="15" customHeight="1">
      <c r="A70" s="140">
        <f t="shared" si="79"/>
        <v>67</v>
      </c>
      <c r="B70" s="140">
        <v>696048438</v>
      </c>
      <c r="C70" s="141" t="s">
        <v>165</v>
      </c>
      <c r="D70" s="141" t="s">
        <v>175</v>
      </c>
      <c r="E70" s="142" t="s">
        <v>185</v>
      </c>
      <c r="F70" s="142" t="s">
        <v>93</v>
      </c>
      <c r="G70" s="142" t="s">
        <v>81</v>
      </c>
      <c r="H70" s="143">
        <v>28</v>
      </c>
      <c r="I70" s="140">
        <v>35000</v>
      </c>
      <c r="J70" s="155">
        <v>35070</v>
      </c>
      <c r="K70" s="140" t="s">
        <v>158</v>
      </c>
      <c r="L70" s="140" t="s">
        <v>18</v>
      </c>
      <c r="M70" s="146">
        <v>45729</v>
      </c>
      <c r="N70" s="146" t="s">
        <v>96</v>
      </c>
      <c r="O70" s="152" t="s">
        <v>97</v>
      </c>
      <c r="P70" s="146">
        <v>45733</v>
      </c>
      <c r="Q70" s="146">
        <v>45733</v>
      </c>
      <c r="R70" s="146">
        <v>45763</v>
      </c>
      <c r="S70" s="146">
        <v>45933</v>
      </c>
      <c r="T70" s="146">
        <v>45934</v>
      </c>
      <c r="U70" s="146">
        <v>45937</v>
      </c>
      <c r="V70" s="146">
        <v>45940</v>
      </c>
      <c r="W70" s="146">
        <v>45943</v>
      </c>
      <c r="X70" s="146">
        <v>45946</v>
      </c>
      <c r="Y70" s="147">
        <v>45946</v>
      </c>
      <c r="Z70" s="147">
        <v>45946</v>
      </c>
      <c r="AA70" s="147">
        <v>45946</v>
      </c>
      <c r="AB70" s="147">
        <v>45948</v>
      </c>
      <c r="AC70" s="153" t="s">
        <v>251</v>
      </c>
      <c r="AD70" s="98">
        <f t="shared" si="70"/>
        <v>3</v>
      </c>
      <c r="AE70" s="7">
        <v>7</v>
      </c>
      <c r="AF70" s="8">
        <f>MAX(0,AD70-AE70)</f>
        <v>0</v>
      </c>
      <c r="AG70" s="9">
        <v>200</v>
      </c>
      <c r="AH70" s="10">
        <f t="shared" si="71"/>
        <v>0</v>
      </c>
      <c r="AI70" s="98">
        <f t="shared" si="73"/>
        <v>2</v>
      </c>
      <c r="AJ70" s="7">
        <v>2</v>
      </c>
      <c r="AK70" s="8">
        <f>MAX(0,AI70-AJ70)</f>
        <v>0</v>
      </c>
      <c r="AL70" s="9">
        <v>200</v>
      </c>
      <c r="AM70" s="10">
        <f t="shared" si="72"/>
        <v>0</v>
      </c>
      <c r="AN70" s="9">
        <v>0</v>
      </c>
      <c r="AO70" s="11">
        <f>AN70+AM70+AH70</f>
        <v>0</v>
      </c>
    </row>
    <row r="71" spans="1:42" s="12" customFormat="1" ht="15" customHeight="1">
      <c r="A71" s="140">
        <f t="shared" si="79"/>
        <v>68</v>
      </c>
      <c r="B71" s="140">
        <v>696048438</v>
      </c>
      <c r="C71" s="168" t="s">
        <v>136</v>
      </c>
      <c r="D71" s="168" t="s">
        <v>146</v>
      </c>
      <c r="E71" s="169" t="s">
        <v>156</v>
      </c>
      <c r="F71" s="142" t="s">
        <v>93</v>
      </c>
      <c r="G71" s="142" t="s">
        <v>81</v>
      </c>
      <c r="H71" s="143">
        <v>28</v>
      </c>
      <c r="I71" s="140">
        <v>35000</v>
      </c>
      <c r="J71" s="155">
        <v>35070</v>
      </c>
      <c r="K71" s="140" t="s">
        <v>158</v>
      </c>
      <c r="L71" s="140" t="s">
        <v>18</v>
      </c>
      <c r="M71" s="146">
        <v>45729</v>
      </c>
      <c r="N71" s="146" t="s">
        <v>96</v>
      </c>
      <c r="O71" s="152" t="s">
        <v>97</v>
      </c>
      <c r="P71" s="146">
        <v>45733</v>
      </c>
      <c r="Q71" s="146">
        <v>45733</v>
      </c>
      <c r="R71" s="146">
        <v>45763</v>
      </c>
      <c r="S71" s="146">
        <v>45931</v>
      </c>
      <c r="T71" s="146">
        <v>45932</v>
      </c>
      <c r="U71" s="146">
        <v>45937</v>
      </c>
      <c r="V71" s="147">
        <v>45940</v>
      </c>
      <c r="W71" s="146">
        <v>45942</v>
      </c>
      <c r="X71" s="146">
        <v>45946</v>
      </c>
      <c r="Y71" s="147">
        <v>45946</v>
      </c>
      <c r="Z71" s="147">
        <v>45946</v>
      </c>
      <c r="AA71" s="147">
        <v>45946</v>
      </c>
      <c r="AB71" s="147">
        <v>45948</v>
      </c>
      <c r="AC71" s="153" t="s">
        <v>251</v>
      </c>
      <c r="AD71" s="98">
        <f t="shared" si="70"/>
        <v>4</v>
      </c>
      <c r="AE71" s="7">
        <v>7</v>
      </c>
      <c r="AF71" s="8">
        <f t="shared" ref="AF71" si="83">MAX(0,AD71-AE71)</f>
        <v>0</v>
      </c>
      <c r="AG71" s="9">
        <v>200</v>
      </c>
      <c r="AH71" s="10">
        <f t="shared" si="71"/>
        <v>0</v>
      </c>
      <c r="AI71" s="98">
        <f t="shared" si="73"/>
        <v>2</v>
      </c>
      <c r="AJ71" s="7">
        <v>2</v>
      </c>
      <c r="AK71" s="8">
        <f t="shared" ref="AK71" si="84">MAX(0,AI71-AJ71)</f>
        <v>0</v>
      </c>
      <c r="AL71" s="9">
        <v>200</v>
      </c>
      <c r="AM71" s="10">
        <f t="shared" si="72"/>
        <v>0</v>
      </c>
      <c r="AN71" s="9">
        <v>0</v>
      </c>
      <c r="AO71" s="11">
        <f t="shared" ref="AO71" si="85">AN71+AM71+AH71</f>
        <v>0</v>
      </c>
    </row>
    <row r="72" spans="1:42" s="1" customFormat="1" ht="15" customHeight="1">
      <c r="A72" s="140">
        <f t="shared" si="79"/>
        <v>69</v>
      </c>
      <c r="B72" s="140">
        <v>696048438</v>
      </c>
      <c r="C72" s="141" t="s">
        <v>134</v>
      </c>
      <c r="D72" s="141" t="s">
        <v>144</v>
      </c>
      <c r="E72" s="142" t="s">
        <v>154</v>
      </c>
      <c r="F72" s="142" t="s">
        <v>93</v>
      </c>
      <c r="G72" s="142" t="s">
        <v>81</v>
      </c>
      <c r="H72" s="143">
        <v>28</v>
      </c>
      <c r="I72" s="140">
        <v>35000</v>
      </c>
      <c r="J72" s="155">
        <v>35070</v>
      </c>
      <c r="K72" s="157" t="s">
        <v>158</v>
      </c>
      <c r="L72" s="140" t="s">
        <v>18</v>
      </c>
      <c r="M72" s="146">
        <v>45729</v>
      </c>
      <c r="N72" s="146" t="s">
        <v>96</v>
      </c>
      <c r="O72" s="152" t="s">
        <v>97</v>
      </c>
      <c r="P72" s="146">
        <v>45733</v>
      </c>
      <c r="Q72" s="146">
        <v>45733</v>
      </c>
      <c r="R72" s="146">
        <v>45763</v>
      </c>
      <c r="S72" s="147">
        <v>45931</v>
      </c>
      <c r="T72" s="147">
        <v>45932</v>
      </c>
      <c r="U72" s="147">
        <v>45937</v>
      </c>
      <c r="V72" s="147">
        <v>45941</v>
      </c>
      <c r="W72" s="146">
        <v>45943</v>
      </c>
      <c r="X72" s="146">
        <v>45946</v>
      </c>
      <c r="Y72" s="147">
        <v>45946</v>
      </c>
      <c r="Z72" s="147">
        <v>45946</v>
      </c>
      <c r="AA72" s="147">
        <v>45946</v>
      </c>
      <c r="AB72" s="147">
        <v>45948</v>
      </c>
      <c r="AC72" s="153" t="s">
        <v>251</v>
      </c>
      <c r="AD72" s="98">
        <f t="shared" si="70"/>
        <v>3</v>
      </c>
      <c r="AE72" s="7">
        <v>7</v>
      </c>
      <c r="AF72" s="8">
        <f t="shared" ref="AF72:AF84" si="86">MAX(0,AD72-AE72)</f>
        <v>0</v>
      </c>
      <c r="AG72" s="9">
        <v>200</v>
      </c>
      <c r="AH72" s="10">
        <f t="shared" si="71"/>
        <v>0</v>
      </c>
      <c r="AI72" s="98">
        <f t="shared" si="73"/>
        <v>2</v>
      </c>
      <c r="AJ72" s="7">
        <v>2</v>
      </c>
      <c r="AK72" s="8">
        <f t="shared" ref="AK72:AK83" si="87">MAX(0,AI72-AJ72)</f>
        <v>0</v>
      </c>
      <c r="AL72" s="9">
        <v>200</v>
      </c>
      <c r="AM72" s="10">
        <f t="shared" si="72"/>
        <v>0</v>
      </c>
      <c r="AN72" s="9">
        <v>0</v>
      </c>
      <c r="AO72" s="11">
        <f t="shared" ref="AO72:AO83" si="88">AN72+AM72+AH72</f>
        <v>0</v>
      </c>
      <c r="AP72" s="129"/>
    </row>
    <row r="73" spans="1:42" s="1" customFormat="1" ht="15" customHeight="1">
      <c r="A73" s="140">
        <f t="shared" si="79"/>
        <v>70</v>
      </c>
      <c r="B73" s="140">
        <v>696048438</v>
      </c>
      <c r="C73" s="141" t="s">
        <v>132</v>
      </c>
      <c r="D73" s="141" t="s">
        <v>142</v>
      </c>
      <c r="E73" s="140" t="s">
        <v>152</v>
      </c>
      <c r="F73" s="142" t="s">
        <v>93</v>
      </c>
      <c r="G73" s="142" t="s">
        <v>81</v>
      </c>
      <c r="H73" s="143">
        <v>29</v>
      </c>
      <c r="I73" s="156">
        <v>36250</v>
      </c>
      <c r="J73" s="141">
        <v>36323</v>
      </c>
      <c r="K73" s="157" t="s">
        <v>158</v>
      </c>
      <c r="L73" s="140" t="s">
        <v>18</v>
      </c>
      <c r="M73" s="146">
        <v>45729</v>
      </c>
      <c r="N73" s="146" t="s">
        <v>96</v>
      </c>
      <c r="O73" s="152" t="s">
        <v>97</v>
      </c>
      <c r="P73" s="146">
        <v>45733</v>
      </c>
      <c r="Q73" s="146">
        <v>45733</v>
      </c>
      <c r="R73" s="146">
        <v>45763</v>
      </c>
      <c r="S73" s="147">
        <v>45931</v>
      </c>
      <c r="T73" s="147">
        <v>45932</v>
      </c>
      <c r="U73" s="147">
        <v>45937</v>
      </c>
      <c r="V73" s="147">
        <v>45941</v>
      </c>
      <c r="W73" s="146">
        <v>45943</v>
      </c>
      <c r="X73" s="146">
        <v>45946</v>
      </c>
      <c r="Y73" s="147">
        <v>45946</v>
      </c>
      <c r="Z73" s="147">
        <v>45946</v>
      </c>
      <c r="AA73" s="147">
        <v>45946</v>
      </c>
      <c r="AB73" s="147">
        <v>45948</v>
      </c>
      <c r="AC73" s="153" t="s">
        <v>251</v>
      </c>
      <c r="AD73" s="98">
        <f t="shared" si="70"/>
        <v>3</v>
      </c>
      <c r="AE73" s="7">
        <v>7</v>
      </c>
      <c r="AF73" s="8">
        <f t="shared" si="86"/>
        <v>0</v>
      </c>
      <c r="AG73" s="9">
        <v>200</v>
      </c>
      <c r="AH73" s="10">
        <f t="shared" si="71"/>
        <v>0</v>
      </c>
      <c r="AI73" s="98">
        <f t="shared" si="73"/>
        <v>2</v>
      </c>
      <c r="AJ73" s="7">
        <v>2</v>
      </c>
      <c r="AK73" s="8">
        <f t="shared" si="87"/>
        <v>0</v>
      </c>
      <c r="AL73" s="9">
        <v>200</v>
      </c>
      <c r="AM73" s="10">
        <f t="shared" si="72"/>
        <v>0</v>
      </c>
      <c r="AN73" s="9">
        <v>0</v>
      </c>
      <c r="AO73" s="11">
        <f t="shared" si="88"/>
        <v>0</v>
      </c>
      <c r="AP73" s="129"/>
    </row>
    <row r="74" spans="1:42" s="1" customFormat="1" ht="15" customHeight="1">
      <c r="A74" s="140">
        <f t="shared" si="79"/>
        <v>71</v>
      </c>
      <c r="B74" s="140">
        <v>696048438</v>
      </c>
      <c r="C74" s="141" t="s">
        <v>131</v>
      </c>
      <c r="D74" s="141" t="s">
        <v>141</v>
      </c>
      <c r="E74" s="146" t="s">
        <v>151</v>
      </c>
      <c r="F74" s="142" t="s">
        <v>93</v>
      </c>
      <c r="G74" s="142" t="s">
        <v>81</v>
      </c>
      <c r="H74" s="143">
        <v>29</v>
      </c>
      <c r="I74" s="156">
        <v>36250</v>
      </c>
      <c r="J74" s="141">
        <v>36323</v>
      </c>
      <c r="K74" s="157" t="s">
        <v>158</v>
      </c>
      <c r="L74" s="140" t="s">
        <v>18</v>
      </c>
      <c r="M74" s="146">
        <v>45729</v>
      </c>
      <c r="N74" s="146" t="s">
        <v>96</v>
      </c>
      <c r="O74" s="152" t="s">
        <v>97</v>
      </c>
      <c r="P74" s="146">
        <v>45733</v>
      </c>
      <c r="Q74" s="146">
        <v>45733</v>
      </c>
      <c r="R74" s="146">
        <v>45763</v>
      </c>
      <c r="S74" s="147">
        <v>45931</v>
      </c>
      <c r="T74" s="147">
        <v>45932</v>
      </c>
      <c r="U74" s="147">
        <v>45937</v>
      </c>
      <c r="V74" s="147">
        <v>45940</v>
      </c>
      <c r="W74" s="146">
        <v>45942</v>
      </c>
      <c r="X74" s="146">
        <v>45946</v>
      </c>
      <c r="Y74" s="147">
        <v>45946</v>
      </c>
      <c r="Z74" s="147">
        <v>45946</v>
      </c>
      <c r="AA74" s="147">
        <v>45946</v>
      </c>
      <c r="AB74" s="147">
        <v>45948</v>
      </c>
      <c r="AC74" s="153" t="s">
        <v>251</v>
      </c>
      <c r="AD74" s="98">
        <f t="shared" si="70"/>
        <v>4</v>
      </c>
      <c r="AE74" s="7">
        <v>7</v>
      </c>
      <c r="AF74" s="8">
        <f t="shared" si="86"/>
        <v>0</v>
      </c>
      <c r="AG74" s="9">
        <v>200</v>
      </c>
      <c r="AH74" s="10">
        <f t="shared" si="71"/>
        <v>0</v>
      </c>
      <c r="AI74" s="98">
        <f t="shared" si="73"/>
        <v>2</v>
      </c>
      <c r="AJ74" s="7">
        <v>2</v>
      </c>
      <c r="AK74" s="8">
        <f t="shared" si="87"/>
        <v>0</v>
      </c>
      <c r="AL74" s="9">
        <v>200</v>
      </c>
      <c r="AM74" s="10">
        <f t="shared" si="72"/>
        <v>0</v>
      </c>
      <c r="AN74" s="9">
        <v>0</v>
      </c>
      <c r="AO74" s="11">
        <f t="shared" si="88"/>
        <v>0</v>
      </c>
      <c r="AP74" s="129"/>
    </row>
    <row r="75" spans="1:42" s="1" customFormat="1" ht="15" customHeight="1">
      <c r="A75" s="140">
        <f t="shared" si="79"/>
        <v>72</v>
      </c>
      <c r="B75" s="140">
        <v>696048438</v>
      </c>
      <c r="C75" s="141" t="s">
        <v>130</v>
      </c>
      <c r="D75" s="141" t="s">
        <v>140</v>
      </c>
      <c r="E75" s="142" t="s">
        <v>150</v>
      </c>
      <c r="F75" s="142" t="s">
        <v>93</v>
      </c>
      <c r="G75" s="142" t="s">
        <v>81</v>
      </c>
      <c r="H75" s="143">
        <v>28</v>
      </c>
      <c r="I75" s="140">
        <v>35000</v>
      </c>
      <c r="J75" s="155">
        <v>35070</v>
      </c>
      <c r="K75" s="157" t="s">
        <v>158</v>
      </c>
      <c r="L75" s="140" t="s">
        <v>18</v>
      </c>
      <c r="M75" s="146">
        <v>45729</v>
      </c>
      <c r="N75" s="146" t="s">
        <v>96</v>
      </c>
      <c r="O75" s="152" t="s">
        <v>97</v>
      </c>
      <c r="P75" s="146">
        <v>45733</v>
      </c>
      <c r="Q75" s="146">
        <v>45733</v>
      </c>
      <c r="R75" s="146">
        <v>45763</v>
      </c>
      <c r="S75" s="147">
        <v>45931</v>
      </c>
      <c r="T75" s="147">
        <v>45932</v>
      </c>
      <c r="U75" s="147">
        <v>45938</v>
      </c>
      <c r="V75" s="147">
        <v>45940</v>
      </c>
      <c r="W75" s="146">
        <v>45942</v>
      </c>
      <c r="X75" s="146">
        <v>45946</v>
      </c>
      <c r="Y75" s="147">
        <v>45946</v>
      </c>
      <c r="Z75" s="147">
        <v>45946</v>
      </c>
      <c r="AA75" s="147">
        <v>45946</v>
      </c>
      <c r="AB75" s="147">
        <v>45948</v>
      </c>
      <c r="AC75" s="153" t="s">
        <v>251</v>
      </c>
      <c r="AD75" s="98">
        <f t="shared" si="70"/>
        <v>4</v>
      </c>
      <c r="AE75" s="7">
        <v>7</v>
      </c>
      <c r="AF75" s="8">
        <f t="shared" si="86"/>
        <v>0</v>
      </c>
      <c r="AG75" s="9">
        <v>200</v>
      </c>
      <c r="AH75" s="10">
        <f t="shared" si="71"/>
        <v>0</v>
      </c>
      <c r="AI75" s="98">
        <f t="shared" si="73"/>
        <v>2</v>
      </c>
      <c r="AJ75" s="7">
        <v>2</v>
      </c>
      <c r="AK75" s="8">
        <f t="shared" si="87"/>
        <v>0</v>
      </c>
      <c r="AL75" s="9">
        <v>200</v>
      </c>
      <c r="AM75" s="10">
        <f t="shared" si="72"/>
        <v>0</v>
      </c>
      <c r="AN75" s="9">
        <v>0</v>
      </c>
      <c r="AO75" s="11">
        <f t="shared" si="88"/>
        <v>0</v>
      </c>
      <c r="AP75" s="129"/>
    </row>
    <row r="76" spans="1:42" s="12" customFormat="1" ht="15" customHeight="1">
      <c r="A76" s="140">
        <f t="shared" si="79"/>
        <v>73</v>
      </c>
      <c r="B76" s="157">
        <v>696048438</v>
      </c>
      <c r="C76" s="168" t="s">
        <v>135</v>
      </c>
      <c r="D76" s="168" t="s">
        <v>145</v>
      </c>
      <c r="E76" s="169" t="s">
        <v>155</v>
      </c>
      <c r="F76" s="158" t="s">
        <v>93</v>
      </c>
      <c r="G76" s="142" t="s">
        <v>81</v>
      </c>
      <c r="H76" s="143">
        <v>28</v>
      </c>
      <c r="I76" s="140">
        <v>35000</v>
      </c>
      <c r="J76" s="155">
        <v>35070</v>
      </c>
      <c r="K76" s="157" t="s">
        <v>158</v>
      </c>
      <c r="L76" s="157" t="s">
        <v>18</v>
      </c>
      <c r="M76" s="147">
        <v>45729</v>
      </c>
      <c r="N76" s="147" t="s">
        <v>96</v>
      </c>
      <c r="O76" s="163" t="s">
        <v>97</v>
      </c>
      <c r="P76" s="147">
        <v>45733</v>
      </c>
      <c r="Q76" s="147">
        <v>45733</v>
      </c>
      <c r="R76" s="147">
        <v>45763</v>
      </c>
      <c r="S76" s="146">
        <v>45931</v>
      </c>
      <c r="T76" s="146">
        <v>45932</v>
      </c>
      <c r="U76" s="146">
        <v>45936</v>
      </c>
      <c r="V76" s="146">
        <v>45939</v>
      </c>
      <c r="W76" s="146">
        <v>45941</v>
      </c>
      <c r="X76" s="146">
        <v>45946</v>
      </c>
      <c r="Y76" s="147">
        <v>45946</v>
      </c>
      <c r="Z76" s="147">
        <v>45946</v>
      </c>
      <c r="AA76" s="147">
        <v>45946</v>
      </c>
      <c r="AB76" s="147">
        <v>45948</v>
      </c>
      <c r="AC76" s="153" t="s">
        <v>251</v>
      </c>
      <c r="AD76" s="98">
        <f t="shared" si="70"/>
        <v>5</v>
      </c>
      <c r="AE76" s="7">
        <v>7</v>
      </c>
      <c r="AF76" s="8">
        <f t="shared" si="86"/>
        <v>0</v>
      </c>
      <c r="AG76" s="9">
        <v>200</v>
      </c>
      <c r="AH76" s="10">
        <f t="shared" si="71"/>
        <v>0</v>
      </c>
      <c r="AI76" s="98">
        <f t="shared" si="73"/>
        <v>2</v>
      </c>
      <c r="AJ76" s="7">
        <v>2</v>
      </c>
      <c r="AK76" s="8">
        <f t="shared" si="87"/>
        <v>0</v>
      </c>
      <c r="AL76" s="9">
        <v>200</v>
      </c>
      <c r="AM76" s="10">
        <f t="shared" si="72"/>
        <v>0</v>
      </c>
      <c r="AN76" s="9">
        <v>0</v>
      </c>
      <c r="AO76" s="11">
        <f t="shared" si="88"/>
        <v>0</v>
      </c>
    </row>
    <row r="77" spans="1:42" s="12" customFormat="1" ht="15" customHeight="1">
      <c r="A77" s="140">
        <f t="shared" si="79"/>
        <v>74</v>
      </c>
      <c r="B77" s="140">
        <v>696048438</v>
      </c>
      <c r="C77" s="150" t="s">
        <v>98</v>
      </c>
      <c r="D77" s="141" t="s">
        <v>106</v>
      </c>
      <c r="E77" s="141" t="s">
        <v>114</v>
      </c>
      <c r="F77" s="142" t="s">
        <v>93</v>
      </c>
      <c r="G77" s="142" t="s">
        <v>81</v>
      </c>
      <c r="H77" s="140">
        <v>24</v>
      </c>
      <c r="I77" s="140">
        <v>30000</v>
      </c>
      <c r="J77" s="155">
        <v>30060</v>
      </c>
      <c r="K77" s="140" t="s">
        <v>158</v>
      </c>
      <c r="L77" s="140" t="s">
        <v>18</v>
      </c>
      <c r="M77" s="146">
        <v>45729</v>
      </c>
      <c r="N77" s="146" t="s">
        <v>96</v>
      </c>
      <c r="O77" s="152" t="s">
        <v>97</v>
      </c>
      <c r="P77" s="146">
        <v>45733</v>
      </c>
      <c r="Q77" s="146">
        <v>45733</v>
      </c>
      <c r="R77" s="146">
        <v>45763</v>
      </c>
      <c r="S77" s="146">
        <v>45929</v>
      </c>
      <c r="T77" s="146">
        <v>45931</v>
      </c>
      <c r="U77" s="146">
        <v>45936</v>
      </c>
      <c r="V77" s="146">
        <v>45940</v>
      </c>
      <c r="W77" s="146">
        <v>45942</v>
      </c>
      <c r="X77" s="147">
        <v>45946</v>
      </c>
      <c r="Y77" s="147">
        <v>45946</v>
      </c>
      <c r="Z77" s="147">
        <v>45946</v>
      </c>
      <c r="AA77" s="147">
        <v>45946</v>
      </c>
      <c r="AB77" s="147">
        <v>45948</v>
      </c>
      <c r="AC77" s="153" t="s">
        <v>251</v>
      </c>
      <c r="AD77" s="98">
        <f t="shared" si="70"/>
        <v>4</v>
      </c>
      <c r="AE77" s="7">
        <v>7</v>
      </c>
      <c r="AF77" s="8">
        <f t="shared" si="86"/>
        <v>0</v>
      </c>
      <c r="AG77" s="9">
        <v>200</v>
      </c>
      <c r="AH77" s="10">
        <f t="shared" si="71"/>
        <v>0</v>
      </c>
      <c r="AI77" s="98">
        <f t="shared" si="73"/>
        <v>2</v>
      </c>
      <c r="AJ77" s="7">
        <v>2</v>
      </c>
      <c r="AK77" s="8">
        <f t="shared" si="87"/>
        <v>0</v>
      </c>
      <c r="AL77" s="9">
        <v>200</v>
      </c>
      <c r="AM77" s="10">
        <f t="shared" si="72"/>
        <v>0</v>
      </c>
      <c r="AN77" s="9">
        <v>0</v>
      </c>
      <c r="AO77" s="11">
        <f t="shared" si="88"/>
        <v>0</v>
      </c>
    </row>
    <row r="78" spans="1:42" s="12" customFormat="1" ht="15" customHeight="1">
      <c r="A78" s="140">
        <f t="shared" si="79"/>
        <v>75</v>
      </c>
      <c r="B78" s="140">
        <v>696048438</v>
      </c>
      <c r="C78" s="141" t="s">
        <v>99</v>
      </c>
      <c r="D78" s="141" t="s">
        <v>107</v>
      </c>
      <c r="E78" s="140" t="s">
        <v>115</v>
      </c>
      <c r="F78" s="142" t="s">
        <v>93</v>
      </c>
      <c r="G78" s="142" t="s">
        <v>81</v>
      </c>
      <c r="H78" s="140">
        <v>24</v>
      </c>
      <c r="I78" s="140">
        <v>30000</v>
      </c>
      <c r="J78" s="155">
        <v>30060</v>
      </c>
      <c r="K78" s="140" t="s">
        <v>158</v>
      </c>
      <c r="L78" s="140" t="s">
        <v>18</v>
      </c>
      <c r="M78" s="146">
        <v>45729</v>
      </c>
      <c r="N78" s="146" t="s">
        <v>96</v>
      </c>
      <c r="O78" s="152" t="s">
        <v>97</v>
      </c>
      <c r="P78" s="146">
        <v>45733</v>
      </c>
      <c r="Q78" s="146">
        <v>45733</v>
      </c>
      <c r="R78" s="146">
        <v>45763</v>
      </c>
      <c r="S78" s="146">
        <v>45929</v>
      </c>
      <c r="T78" s="146">
        <v>45931</v>
      </c>
      <c r="U78" s="146">
        <v>45936</v>
      </c>
      <c r="V78" s="146">
        <v>45938</v>
      </c>
      <c r="W78" s="146">
        <v>45941</v>
      </c>
      <c r="X78" s="146">
        <v>45946</v>
      </c>
      <c r="Y78" s="147">
        <v>45946</v>
      </c>
      <c r="Z78" s="147">
        <v>45946</v>
      </c>
      <c r="AA78" s="147">
        <v>45946</v>
      </c>
      <c r="AB78" s="147">
        <v>45948</v>
      </c>
      <c r="AC78" s="153" t="s">
        <v>251</v>
      </c>
      <c r="AD78" s="98">
        <f t="shared" si="70"/>
        <v>5</v>
      </c>
      <c r="AE78" s="7">
        <v>7</v>
      </c>
      <c r="AF78" s="8">
        <f t="shared" si="86"/>
        <v>0</v>
      </c>
      <c r="AG78" s="9">
        <v>200</v>
      </c>
      <c r="AH78" s="10">
        <f t="shared" si="71"/>
        <v>0</v>
      </c>
      <c r="AI78" s="98">
        <f t="shared" si="73"/>
        <v>2</v>
      </c>
      <c r="AJ78" s="7">
        <v>2</v>
      </c>
      <c r="AK78" s="8">
        <f t="shared" si="87"/>
        <v>0</v>
      </c>
      <c r="AL78" s="9">
        <v>200</v>
      </c>
      <c r="AM78" s="10">
        <f t="shared" si="72"/>
        <v>0</v>
      </c>
      <c r="AN78" s="9">
        <v>0</v>
      </c>
      <c r="AO78" s="11">
        <f t="shared" si="88"/>
        <v>0</v>
      </c>
    </row>
    <row r="79" spans="1:42" s="12" customFormat="1" ht="15" customHeight="1">
      <c r="A79" s="140">
        <f t="shared" si="79"/>
        <v>76</v>
      </c>
      <c r="B79" s="140">
        <v>696048438</v>
      </c>
      <c r="C79" s="141" t="s">
        <v>104</v>
      </c>
      <c r="D79" s="141" t="s">
        <v>112</v>
      </c>
      <c r="E79" s="140" t="s">
        <v>120</v>
      </c>
      <c r="F79" s="142" t="s">
        <v>93</v>
      </c>
      <c r="G79" s="142" t="s">
        <v>81</v>
      </c>
      <c r="H79" s="140">
        <v>28</v>
      </c>
      <c r="I79" s="140">
        <v>35000</v>
      </c>
      <c r="J79" s="155">
        <v>35070</v>
      </c>
      <c r="K79" s="140" t="s">
        <v>158</v>
      </c>
      <c r="L79" s="140" t="s">
        <v>18</v>
      </c>
      <c r="M79" s="146">
        <v>45729</v>
      </c>
      <c r="N79" s="146" t="s">
        <v>96</v>
      </c>
      <c r="O79" s="152" t="s">
        <v>97</v>
      </c>
      <c r="P79" s="146">
        <v>45733</v>
      </c>
      <c r="Q79" s="146">
        <v>45733</v>
      </c>
      <c r="R79" s="146">
        <v>45763</v>
      </c>
      <c r="S79" s="146">
        <v>45929</v>
      </c>
      <c r="T79" s="146">
        <v>45931</v>
      </c>
      <c r="U79" s="146">
        <v>45936</v>
      </c>
      <c r="V79" s="146">
        <v>45938</v>
      </c>
      <c r="W79" s="146">
        <v>45940</v>
      </c>
      <c r="X79" s="146">
        <v>45946</v>
      </c>
      <c r="Y79" s="146">
        <v>45946</v>
      </c>
      <c r="Z79" s="146">
        <v>45946</v>
      </c>
      <c r="AA79" s="146">
        <v>45946</v>
      </c>
      <c r="AB79" s="146">
        <v>45948</v>
      </c>
      <c r="AC79" s="153" t="s">
        <v>251</v>
      </c>
      <c r="AD79" s="98">
        <f t="shared" si="70"/>
        <v>6</v>
      </c>
      <c r="AE79" s="7">
        <v>7</v>
      </c>
      <c r="AF79" s="8">
        <f t="shared" si="86"/>
        <v>0</v>
      </c>
      <c r="AG79" s="9">
        <v>200</v>
      </c>
      <c r="AH79" s="10">
        <f t="shared" si="71"/>
        <v>0</v>
      </c>
      <c r="AI79" s="98">
        <f t="shared" si="73"/>
        <v>2</v>
      </c>
      <c r="AJ79" s="7">
        <v>2</v>
      </c>
      <c r="AK79" s="8">
        <f t="shared" si="87"/>
        <v>0</v>
      </c>
      <c r="AL79" s="9">
        <v>200</v>
      </c>
      <c r="AM79" s="10">
        <f t="shared" si="72"/>
        <v>0</v>
      </c>
      <c r="AN79" s="17">
        <v>0</v>
      </c>
      <c r="AO79" s="11">
        <f t="shared" si="88"/>
        <v>0</v>
      </c>
    </row>
    <row r="80" spans="1:42" s="12" customFormat="1" ht="15" customHeight="1">
      <c r="A80" s="140">
        <f t="shared" si="79"/>
        <v>77</v>
      </c>
      <c r="B80" s="170">
        <v>696048438</v>
      </c>
      <c r="C80" s="171" t="s">
        <v>163</v>
      </c>
      <c r="D80" s="171" t="s">
        <v>173</v>
      </c>
      <c r="E80" s="172" t="s">
        <v>183</v>
      </c>
      <c r="F80" s="142" t="s">
        <v>93</v>
      </c>
      <c r="G80" s="142" t="s">
        <v>81</v>
      </c>
      <c r="H80" s="143">
        <v>28</v>
      </c>
      <c r="I80" s="140">
        <v>35000</v>
      </c>
      <c r="J80" s="155">
        <v>35070</v>
      </c>
      <c r="K80" s="140" t="s">
        <v>158</v>
      </c>
      <c r="L80" s="140" t="s">
        <v>18</v>
      </c>
      <c r="M80" s="146">
        <v>45729</v>
      </c>
      <c r="N80" s="146" t="s">
        <v>96</v>
      </c>
      <c r="O80" s="152" t="s">
        <v>97</v>
      </c>
      <c r="P80" s="146">
        <v>45733</v>
      </c>
      <c r="Q80" s="146">
        <v>45733</v>
      </c>
      <c r="R80" s="146">
        <v>45763</v>
      </c>
      <c r="S80" s="146">
        <v>45933</v>
      </c>
      <c r="T80" s="146">
        <v>45934</v>
      </c>
      <c r="U80" s="146">
        <v>45937</v>
      </c>
      <c r="V80" s="146">
        <v>45939</v>
      </c>
      <c r="W80" s="146">
        <v>45943</v>
      </c>
      <c r="X80" s="146">
        <v>45946</v>
      </c>
      <c r="Y80" s="147">
        <v>45946</v>
      </c>
      <c r="Z80" s="147">
        <v>45946</v>
      </c>
      <c r="AA80" s="147">
        <v>45946</v>
      </c>
      <c r="AB80" s="147">
        <v>45948</v>
      </c>
      <c r="AC80" s="153" t="s">
        <v>251</v>
      </c>
      <c r="AD80" s="98">
        <f t="shared" si="70"/>
        <v>3</v>
      </c>
      <c r="AE80" s="15">
        <v>7</v>
      </c>
      <c r="AF80" s="16">
        <f t="shared" si="86"/>
        <v>0</v>
      </c>
      <c r="AG80" s="17">
        <v>200</v>
      </c>
      <c r="AH80" s="10">
        <f t="shared" si="71"/>
        <v>0</v>
      </c>
      <c r="AI80" s="98">
        <f t="shared" si="73"/>
        <v>2</v>
      </c>
      <c r="AJ80" s="15">
        <v>2</v>
      </c>
      <c r="AK80" s="16">
        <f t="shared" si="87"/>
        <v>0</v>
      </c>
      <c r="AL80" s="17">
        <v>200</v>
      </c>
      <c r="AM80" s="10">
        <f t="shared" si="72"/>
        <v>0</v>
      </c>
      <c r="AN80" s="17">
        <v>0</v>
      </c>
      <c r="AO80" s="128">
        <f t="shared" si="88"/>
        <v>0</v>
      </c>
    </row>
    <row r="81" spans="1:41" s="12" customFormat="1" ht="15" customHeight="1">
      <c r="A81" s="140">
        <f t="shared" si="79"/>
        <v>78</v>
      </c>
      <c r="B81" s="140">
        <v>696048438</v>
      </c>
      <c r="C81" s="141" t="s">
        <v>167</v>
      </c>
      <c r="D81" s="141" t="s">
        <v>177</v>
      </c>
      <c r="E81" s="142" t="s">
        <v>187</v>
      </c>
      <c r="F81" s="173" t="s">
        <v>93</v>
      </c>
      <c r="G81" s="142" t="s">
        <v>81</v>
      </c>
      <c r="H81" s="143">
        <v>28</v>
      </c>
      <c r="I81" s="140">
        <v>35000</v>
      </c>
      <c r="J81" s="155">
        <v>35070</v>
      </c>
      <c r="K81" s="140" t="s">
        <v>158</v>
      </c>
      <c r="L81" s="140" t="s">
        <v>18</v>
      </c>
      <c r="M81" s="146">
        <v>45729</v>
      </c>
      <c r="N81" s="146" t="s">
        <v>96</v>
      </c>
      <c r="O81" s="152" t="s">
        <v>97</v>
      </c>
      <c r="P81" s="146">
        <v>45733</v>
      </c>
      <c r="Q81" s="146">
        <v>45733</v>
      </c>
      <c r="R81" s="146">
        <v>45763</v>
      </c>
      <c r="S81" s="146">
        <v>45933</v>
      </c>
      <c r="T81" s="146">
        <v>45934</v>
      </c>
      <c r="U81" s="146">
        <v>45937</v>
      </c>
      <c r="V81" s="146">
        <v>45939</v>
      </c>
      <c r="W81" s="146">
        <v>45942</v>
      </c>
      <c r="X81" s="146">
        <v>45946</v>
      </c>
      <c r="Y81" s="147">
        <v>45946</v>
      </c>
      <c r="Z81" s="147">
        <v>45946</v>
      </c>
      <c r="AA81" s="147">
        <v>45946</v>
      </c>
      <c r="AB81" s="147">
        <v>45948</v>
      </c>
      <c r="AC81" s="153" t="s">
        <v>251</v>
      </c>
      <c r="AD81" s="98">
        <f t="shared" si="70"/>
        <v>4</v>
      </c>
      <c r="AE81" s="15">
        <v>7</v>
      </c>
      <c r="AF81" s="16">
        <f t="shared" si="86"/>
        <v>0</v>
      </c>
      <c r="AG81" s="17">
        <v>200</v>
      </c>
      <c r="AH81" s="10">
        <f t="shared" si="71"/>
        <v>0</v>
      </c>
      <c r="AI81" s="98">
        <f t="shared" si="73"/>
        <v>2</v>
      </c>
      <c r="AJ81" s="15">
        <v>2</v>
      </c>
      <c r="AK81" s="16">
        <f t="shared" si="87"/>
        <v>0</v>
      </c>
      <c r="AL81" s="17">
        <v>200</v>
      </c>
      <c r="AM81" s="10">
        <f t="shared" si="72"/>
        <v>0</v>
      </c>
      <c r="AN81" s="9">
        <v>0</v>
      </c>
      <c r="AO81" s="128">
        <f t="shared" si="88"/>
        <v>0</v>
      </c>
    </row>
    <row r="82" spans="1:41" s="12" customFormat="1" ht="15" customHeight="1">
      <c r="A82" s="140">
        <f t="shared" si="79"/>
        <v>79</v>
      </c>
      <c r="B82" s="140">
        <v>696048438</v>
      </c>
      <c r="C82" s="141" t="s">
        <v>122</v>
      </c>
      <c r="D82" s="141" t="s">
        <v>124</v>
      </c>
      <c r="E82" s="142" t="s">
        <v>123</v>
      </c>
      <c r="F82" s="173" t="s">
        <v>93</v>
      </c>
      <c r="G82" s="142" t="s">
        <v>81</v>
      </c>
      <c r="H82" s="140">
        <v>28</v>
      </c>
      <c r="I82" s="140">
        <v>35000</v>
      </c>
      <c r="J82" s="155">
        <v>35070</v>
      </c>
      <c r="K82" s="157" t="s">
        <v>158</v>
      </c>
      <c r="L82" s="157" t="s">
        <v>18</v>
      </c>
      <c r="M82" s="147">
        <v>45729</v>
      </c>
      <c r="N82" s="147" t="s">
        <v>96</v>
      </c>
      <c r="O82" s="163" t="s">
        <v>97</v>
      </c>
      <c r="P82" s="147">
        <v>45733</v>
      </c>
      <c r="Q82" s="147">
        <v>45733</v>
      </c>
      <c r="R82" s="147">
        <v>45763</v>
      </c>
      <c r="S82" s="146">
        <v>45929</v>
      </c>
      <c r="T82" s="146">
        <v>45931</v>
      </c>
      <c r="U82" s="146">
        <v>45936</v>
      </c>
      <c r="V82" s="146">
        <v>45938</v>
      </c>
      <c r="W82" s="146">
        <v>45943</v>
      </c>
      <c r="X82" s="146">
        <v>45946</v>
      </c>
      <c r="Y82" s="147">
        <v>45946</v>
      </c>
      <c r="Z82" s="147">
        <v>45946</v>
      </c>
      <c r="AA82" s="147">
        <v>45946</v>
      </c>
      <c r="AB82" s="147">
        <v>45948</v>
      </c>
      <c r="AC82" s="153" t="s">
        <v>251</v>
      </c>
      <c r="AD82" s="98">
        <f t="shared" si="70"/>
        <v>3</v>
      </c>
      <c r="AE82" s="15">
        <v>7</v>
      </c>
      <c r="AF82" s="16">
        <f t="shared" si="86"/>
        <v>0</v>
      </c>
      <c r="AG82" s="17">
        <v>200</v>
      </c>
      <c r="AH82" s="10">
        <f t="shared" si="71"/>
        <v>0</v>
      </c>
      <c r="AI82" s="98">
        <f t="shared" si="73"/>
        <v>2</v>
      </c>
      <c r="AJ82" s="15">
        <v>2</v>
      </c>
      <c r="AK82" s="16">
        <f t="shared" si="87"/>
        <v>0</v>
      </c>
      <c r="AL82" s="17">
        <v>200</v>
      </c>
      <c r="AM82" s="10">
        <f t="shared" si="72"/>
        <v>0</v>
      </c>
      <c r="AN82" s="9">
        <v>0</v>
      </c>
      <c r="AO82" s="11">
        <f t="shared" si="88"/>
        <v>0</v>
      </c>
    </row>
    <row r="83" spans="1:41" s="12" customFormat="1" ht="15" customHeight="1">
      <c r="A83" s="140">
        <f t="shared" si="79"/>
        <v>80</v>
      </c>
      <c r="B83" s="170">
        <v>696048438</v>
      </c>
      <c r="C83" s="171" t="s">
        <v>161</v>
      </c>
      <c r="D83" s="171" t="s">
        <v>171</v>
      </c>
      <c r="E83" s="174" t="s">
        <v>181</v>
      </c>
      <c r="F83" s="175" t="s">
        <v>93</v>
      </c>
      <c r="G83" s="172" t="s">
        <v>81</v>
      </c>
      <c r="H83" s="143">
        <v>28</v>
      </c>
      <c r="I83" s="140">
        <v>35000</v>
      </c>
      <c r="J83" s="155">
        <v>35070</v>
      </c>
      <c r="K83" s="140" t="s">
        <v>158</v>
      </c>
      <c r="L83" s="140" t="s">
        <v>18</v>
      </c>
      <c r="M83" s="146">
        <v>45729</v>
      </c>
      <c r="N83" s="146" t="s">
        <v>96</v>
      </c>
      <c r="O83" s="152" t="s">
        <v>97</v>
      </c>
      <c r="P83" s="146">
        <v>45733</v>
      </c>
      <c r="Q83" s="146">
        <v>45733</v>
      </c>
      <c r="R83" s="146">
        <v>45763</v>
      </c>
      <c r="S83" s="146">
        <v>45933</v>
      </c>
      <c r="T83" s="146">
        <v>45934</v>
      </c>
      <c r="U83" s="146">
        <v>45937</v>
      </c>
      <c r="V83" s="146">
        <v>45939</v>
      </c>
      <c r="W83" s="146">
        <v>45941</v>
      </c>
      <c r="X83" s="146">
        <v>45946</v>
      </c>
      <c r="Y83" s="147">
        <v>45946</v>
      </c>
      <c r="Z83" s="147">
        <v>45946</v>
      </c>
      <c r="AA83" s="147">
        <v>45946</v>
      </c>
      <c r="AB83" s="147">
        <v>45947</v>
      </c>
      <c r="AC83" s="153" t="s">
        <v>251</v>
      </c>
      <c r="AD83" s="98">
        <f t="shared" si="70"/>
        <v>5</v>
      </c>
      <c r="AE83" s="15">
        <v>7</v>
      </c>
      <c r="AF83" s="16">
        <f t="shared" si="86"/>
        <v>0</v>
      </c>
      <c r="AG83" s="17">
        <v>200</v>
      </c>
      <c r="AH83" s="10">
        <f t="shared" si="71"/>
        <v>0</v>
      </c>
      <c r="AI83" s="98">
        <f t="shared" si="73"/>
        <v>1</v>
      </c>
      <c r="AJ83" s="15">
        <v>2</v>
      </c>
      <c r="AK83" s="16">
        <f t="shared" si="87"/>
        <v>0</v>
      </c>
      <c r="AL83" s="17">
        <v>200</v>
      </c>
      <c r="AM83" s="10">
        <f t="shared" si="72"/>
        <v>0</v>
      </c>
      <c r="AN83" s="17">
        <v>0</v>
      </c>
      <c r="AO83" s="128">
        <f t="shared" si="88"/>
        <v>0</v>
      </c>
    </row>
    <row r="84" spans="1:41" s="12" customFormat="1" ht="15" customHeight="1">
      <c r="A84" s="140">
        <f t="shared" si="79"/>
        <v>81</v>
      </c>
      <c r="B84" s="140">
        <v>696048438</v>
      </c>
      <c r="C84" s="141" t="s">
        <v>164</v>
      </c>
      <c r="D84" s="141" t="s">
        <v>174</v>
      </c>
      <c r="E84" s="142" t="s">
        <v>184</v>
      </c>
      <c r="F84" s="142" t="s">
        <v>93</v>
      </c>
      <c r="G84" s="142" t="s">
        <v>81</v>
      </c>
      <c r="H84" s="176">
        <v>28</v>
      </c>
      <c r="I84" s="140">
        <v>35000</v>
      </c>
      <c r="J84" s="155">
        <v>35070</v>
      </c>
      <c r="K84" s="140" t="s">
        <v>158</v>
      </c>
      <c r="L84" s="140" t="s">
        <v>18</v>
      </c>
      <c r="M84" s="146">
        <v>45729</v>
      </c>
      <c r="N84" s="146" t="s">
        <v>96</v>
      </c>
      <c r="O84" s="152" t="s">
        <v>97</v>
      </c>
      <c r="P84" s="146">
        <v>45733</v>
      </c>
      <c r="Q84" s="146">
        <v>45733</v>
      </c>
      <c r="R84" s="146">
        <v>45763</v>
      </c>
      <c r="S84" s="146">
        <v>45933</v>
      </c>
      <c r="T84" s="146">
        <v>45934</v>
      </c>
      <c r="U84" s="146">
        <v>45937</v>
      </c>
      <c r="V84" s="146">
        <v>45939</v>
      </c>
      <c r="W84" s="146">
        <v>45941</v>
      </c>
      <c r="X84" s="146">
        <v>45946</v>
      </c>
      <c r="Y84" s="147">
        <v>45946</v>
      </c>
      <c r="Z84" s="147">
        <v>45946</v>
      </c>
      <c r="AA84" s="147">
        <v>45946</v>
      </c>
      <c r="AB84" s="147">
        <v>45947</v>
      </c>
      <c r="AC84" s="153" t="s">
        <v>251</v>
      </c>
      <c r="AD84" s="98">
        <f t="shared" si="70"/>
        <v>5</v>
      </c>
      <c r="AE84" s="7">
        <v>7</v>
      </c>
      <c r="AF84" s="8">
        <f t="shared" si="86"/>
        <v>0</v>
      </c>
      <c r="AG84" s="9">
        <v>200</v>
      </c>
      <c r="AH84" s="10">
        <f t="shared" si="71"/>
        <v>0</v>
      </c>
      <c r="AI84" s="98">
        <f t="shared" si="73"/>
        <v>1</v>
      </c>
      <c r="AJ84" s="15">
        <v>2</v>
      </c>
      <c r="AK84" s="16">
        <f t="shared" ref="AK84" si="89">MAX(0,AI84-AJ84)</f>
        <v>0</v>
      </c>
      <c r="AL84" s="17">
        <v>200</v>
      </c>
      <c r="AM84" s="10">
        <f t="shared" si="72"/>
        <v>0</v>
      </c>
      <c r="AN84" s="9">
        <v>0</v>
      </c>
      <c r="AO84" s="11">
        <f t="shared" ref="AO84" si="90">AN84+AM84+AH84</f>
        <v>0</v>
      </c>
    </row>
    <row r="85" spans="1:41" s="1" customFormat="1" ht="13.5" thickBot="1">
      <c r="B85" s="130"/>
      <c r="C85" s="130"/>
      <c r="D85" s="131"/>
      <c r="E85" s="130"/>
      <c r="F85" s="130"/>
      <c r="G85" s="130"/>
      <c r="H85" s="132">
        <f>SUM(H4:H84)</f>
        <v>2243</v>
      </c>
      <c r="I85" s="133">
        <f>SUM(I4:I84)</f>
        <v>2802500</v>
      </c>
      <c r="J85" s="134">
        <f>SUM(J4:J84)</f>
        <v>2808141</v>
      </c>
      <c r="AH85" s="105"/>
    </row>
    <row r="86" spans="1:41" s="1" customFormat="1" ht="13.5" thickBot="1">
      <c r="B86" s="130"/>
      <c r="C86" s="130"/>
      <c r="D86" s="131"/>
      <c r="E86" s="130"/>
      <c r="F86" s="130"/>
      <c r="G86" s="130"/>
      <c r="H86" s="135">
        <v>3154</v>
      </c>
      <c r="I86" s="136">
        <v>3942500</v>
      </c>
      <c r="J86" s="136">
        <v>3950395</v>
      </c>
      <c r="AH86" s="105"/>
    </row>
    <row r="87" spans="1:41" s="1" customFormat="1" ht="13.5" thickBot="1">
      <c r="B87" s="130"/>
      <c r="C87" s="130"/>
      <c r="D87" s="131"/>
      <c r="E87" s="130"/>
      <c r="F87" s="130"/>
      <c r="G87" s="130"/>
      <c r="H87" s="137">
        <f>+H86-H85</f>
        <v>911</v>
      </c>
      <c r="I87" s="138">
        <f>+I86-I85</f>
        <v>1140000</v>
      </c>
      <c r="J87" s="139">
        <f>+J86-J85</f>
        <v>1142254</v>
      </c>
      <c r="AH87" s="105"/>
    </row>
    <row r="88" spans="1:41" s="1" customFormat="1" ht="13.5" thickBot="1">
      <c r="B88" s="130"/>
      <c r="C88" s="130"/>
      <c r="D88" s="131"/>
      <c r="E88" s="130"/>
      <c r="F88" s="130"/>
      <c r="G88" s="130"/>
      <c r="AH88" s="105"/>
    </row>
    <row r="89" spans="1:41" s="1" customFormat="1" ht="13.5" thickBot="1">
      <c r="B89" s="130"/>
      <c r="C89" s="130"/>
      <c r="D89" s="131"/>
      <c r="E89" s="130"/>
      <c r="F89" s="130"/>
      <c r="G89" s="130"/>
      <c r="AH89" s="105"/>
    </row>
    <row r="90" spans="1:41" s="1" customFormat="1" ht="13.5" thickBot="1">
      <c r="B90" s="130"/>
      <c r="C90" s="130"/>
      <c r="D90" s="131"/>
      <c r="E90" s="130"/>
      <c r="F90" s="130"/>
      <c r="G90" s="130"/>
      <c r="AH90" s="105"/>
    </row>
    <row r="91" spans="1:41" ht="15.75" thickBot="1">
      <c r="B91" s="106"/>
      <c r="C91" s="106"/>
      <c r="D91" s="107"/>
      <c r="E91" s="106"/>
      <c r="F91" s="106"/>
      <c r="G91" s="106"/>
    </row>
    <row r="92" spans="1:41" s="1" customFormat="1" thickBot="1">
      <c r="B92" s="106"/>
      <c r="C92" s="106"/>
      <c r="D92" s="107"/>
      <c r="E92" s="106"/>
      <c r="F92" s="106"/>
      <c r="G92" s="106"/>
      <c r="AH92" s="105"/>
    </row>
    <row r="93" spans="1:41" s="1" customFormat="1" thickBot="1">
      <c r="B93" s="106"/>
      <c r="C93" s="106"/>
      <c r="D93" s="107"/>
      <c r="E93" s="106"/>
      <c r="F93" s="106"/>
      <c r="G93" s="106"/>
      <c r="AH93" s="105"/>
    </row>
    <row r="94" spans="1:41" s="1" customFormat="1" thickBot="1">
      <c r="B94" s="108"/>
      <c r="C94" s="108"/>
      <c r="D94" s="109"/>
      <c r="E94" s="108"/>
      <c r="F94" s="108"/>
      <c r="G94" s="108"/>
      <c r="AH94" s="105"/>
    </row>
    <row r="95" spans="1:41" s="1" customFormat="1" thickBot="1">
      <c r="B95" s="106"/>
      <c r="C95" s="106"/>
      <c r="D95" s="107"/>
      <c r="E95" s="106"/>
      <c r="F95" s="106"/>
      <c r="G95" s="106"/>
      <c r="AH95" s="105"/>
    </row>
    <row r="96" spans="1:41" s="1" customFormat="1" thickBot="1">
      <c r="B96" s="106"/>
      <c r="C96" s="106"/>
      <c r="D96" s="107"/>
      <c r="E96" s="106"/>
      <c r="F96" s="106"/>
      <c r="G96" s="106"/>
      <c r="AH96" s="105"/>
    </row>
    <row r="97" spans="2:34" s="1" customFormat="1" thickBot="1">
      <c r="B97" s="106"/>
      <c r="C97" s="106"/>
      <c r="D97" s="107"/>
      <c r="E97" s="106"/>
      <c r="F97" s="106"/>
      <c r="G97" s="106"/>
      <c r="AH97" s="105"/>
    </row>
    <row r="98" spans="2:34" s="1" customFormat="1" thickBot="1">
      <c r="B98" s="106"/>
      <c r="C98" s="106"/>
      <c r="D98" s="107"/>
      <c r="E98" s="106"/>
      <c r="F98" s="106"/>
      <c r="G98" s="106"/>
      <c r="AH98" s="105"/>
    </row>
    <row r="99" spans="2:34" s="1" customFormat="1" thickBot="1">
      <c r="B99" s="115"/>
      <c r="C99" s="118"/>
      <c r="D99" s="107"/>
      <c r="E99" s="106"/>
      <c r="F99" s="106"/>
      <c r="G99" s="106"/>
      <c r="AH99" s="105"/>
    </row>
    <row r="100" spans="2:34" s="1" customFormat="1" thickBot="1">
      <c r="B100" s="115"/>
      <c r="C100" s="118"/>
      <c r="D100" s="107"/>
      <c r="E100" s="106"/>
      <c r="F100" s="106"/>
      <c r="G100" s="106"/>
      <c r="AH100" s="105"/>
    </row>
    <row r="101" spans="2:34" s="1" customFormat="1" thickBot="1">
      <c r="B101" s="115"/>
      <c r="C101" s="118"/>
      <c r="D101" s="107"/>
      <c r="E101" s="106"/>
      <c r="F101" s="106"/>
      <c r="G101" s="106"/>
      <c r="AH101" s="105"/>
    </row>
    <row r="102" spans="2:34" s="1" customFormat="1" thickBot="1">
      <c r="B102" s="115"/>
      <c r="C102" s="118"/>
      <c r="D102" s="107"/>
      <c r="E102" s="106"/>
      <c r="F102" s="106"/>
      <c r="G102" s="106"/>
      <c r="AH102" s="105"/>
    </row>
    <row r="103" spans="2:34" s="1" customFormat="1" thickBot="1">
      <c r="B103" s="115"/>
      <c r="C103" s="118"/>
      <c r="D103" s="107"/>
      <c r="E103" s="106"/>
      <c r="F103" s="106"/>
      <c r="G103" s="106"/>
      <c r="AH103" s="105"/>
    </row>
    <row r="104" spans="2:34" s="1" customFormat="1" thickBot="1">
      <c r="B104" s="115"/>
      <c r="C104" s="118"/>
      <c r="D104" s="107"/>
      <c r="E104" s="106"/>
      <c r="F104" s="106"/>
      <c r="G104" s="106"/>
      <c r="AH104" s="105"/>
    </row>
    <row r="105" spans="2:34" s="1" customFormat="1" thickBot="1">
      <c r="B105" s="115"/>
      <c r="C105" s="118"/>
      <c r="D105" s="107"/>
      <c r="E105" s="106"/>
      <c r="F105" s="106"/>
      <c r="G105" s="106"/>
      <c r="AH105" s="105"/>
    </row>
    <row r="106" spans="2:34" s="1" customFormat="1" thickBot="1">
      <c r="B106" s="115"/>
      <c r="C106" s="118"/>
      <c r="D106" s="107"/>
      <c r="E106" s="106"/>
      <c r="F106" s="106"/>
      <c r="G106" s="106"/>
      <c r="AH106" s="105"/>
    </row>
    <row r="107" spans="2:34" s="1" customFormat="1" thickBot="1">
      <c r="B107" s="115"/>
      <c r="C107" s="118"/>
      <c r="D107" s="107"/>
      <c r="E107" s="106"/>
      <c r="F107" s="106"/>
      <c r="G107" s="106"/>
      <c r="AH107" s="105"/>
    </row>
    <row r="108" spans="2:34" s="1" customFormat="1" thickBot="1">
      <c r="B108" s="115"/>
      <c r="C108" s="118"/>
      <c r="D108" s="107"/>
      <c r="E108" s="106"/>
      <c r="F108" s="106"/>
      <c r="G108" s="106"/>
      <c r="AH108" s="105"/>
    </row>
    <row r="109" spans="2:34" s="1" customFormat="1" thickBot="1">
      <c r="B109" s="115"/>
      <c r="C109" s="118"/>
      <c r="D109" s="107"/>
      <c r="E109" s="106"/>
      <c r="F109" s="106"/>
      <c r="G109" s="106"/>
      <c r="AH109" s="105"/>
    </row>
    <row r="110" spans="2:34" s="1" customFormat="1" thickBot="1">
      <c r="B110" s="115"/>
      <c r="C110" s="118"/>
      <c r="D110" s="107"/>
      <c r="E110" s="106"/>
      <c r="F110" s="106"/>
      <c r="G110" s="106"/>
      <c r="AH110" s="105"/>
    </row>
    <row r="111" spans="2:34" s="1" customFormat="1" thickBot="1">
      <c r="B111" s="115"/>
      <c r="C111" s="118"/>
      <c r="D111" s="107"/>
      <c r="E111" s="106"/>
      <c r="F111" s="106"/>
      <c r="G111" s="106"/>
      <c r="AH111" s="105"/>
    </row>
    <row r="112" spans="2:34" s="1" customFormat="1" thickBot="1">
      <c r="B112" s="115"/>
      <c r="C112" s="118"/>
      <c r="D112" s="107"/>
      <c r="E112" s="106"/>
      <c r="F112" s="106"/>
      <c r="G112" s="106"/>
      <c r="AH112" s="105"/>
    </row>
    <row r="113" spans="2:34" s="1" customFormat="1" thickBot="1">
      <c r="B113" s="115"/>
      <c r="C113" s="118"/>
      <c r="D113" s="107"/>
      <c r="E113" s="106"/>
      <c r="F113" s="106"/>
      <c r="G113" s="106"/>
      <c r="AH113" s="105"/>
    </row>
    <row r="114" spans="2:34" s="1" customFormat="1" thickBot="1">
      <c r="B114" s="115"/>
      <c r="C114" s="118"/>
      <c r="D114" s="107"/>
      <c r="E114" s="106"/>
      <c r="F114" s="106"/>
      <c r="G114" s="106"/>
      <c r="AH114" s="105"/>
    </row>
    <row r="115" spans="2:34" s="1" customFormat="1" thickBot="1">
      <c r="B115" s="115"/>
      <c r="C115" s="118"/>
      <c r="D115" s="107"/>
      <c r="E115" s="106"/>
      <c r="F115" s="106"/>
      <c r="G115" s="106"/>
      <c r="AH115" s="105"/>
    </row>
    <row r="116" spans="2:34" s="1" customFormat="1" thickBot="1">
      <c r="B116" s="115"/>
      <c r="C116" s="118"/>
      <c r="D116" s="107"/>
      <c r="E116" s="106"/>
      <c r="F116" s="106"/>
      <c r="G116" s="106"/>
      <c r="AH116" s="105"/>
    </row>
    <row r="117" spans="2:34" s="1" customFormat="1" thickBot="1">
      <c r="B117" s="116"/>
      <c r="C117" s="117"/>
      <c r="D117" s="109"/>
      <c r="E117" s="108"/>
      <c r="F117" s="108"/>
      <c r="G117" s="108"/>
      <c r="AH117" s="105"/>
    </row>
    <row r="118" spans="2:34" s="1" customFormat="1" thickBot="1">
      <c r="B118" s="115"/>
      <c r="C118" s="118"/>
      <c r="D118" s="107"/>
      <c r="E118" s="106"/>
      <c r="F118" s="106"/>
      <c r="G118" s="106"/>
      <c r="AH118" s="105"/>
    </row>
    <row r="119" spans="2:34" s="1" customFormat="1" thickBot="1">
      <c r="B119" s="106"/>
      <c r="C119" s="106"/>
      <c r="D119" s="107"/>
      <c r="E119" s="106"/>
      <c r="F119" s="106"/>
      <c r="G119" s="106"/>
      <c r="AH119" s="105"/>
    </row>
    <row r="120" spans="2:34" s="1" customFormat="1" thickBot="1">
      <c r="B120" s="106"/>
      <c r="C120" s="106"/>
      <c r="D120" s="107"/>
      <c r="E120" s="106"/>
      <c r="F120" s="106"/>
      <c r="G120" s="106"/>
      <c r="AH120" s="105"/>
    </row>
    <row r="121" spans="2:34" s="1" customFormat="1" thickBot="1">
      <c r="B121" s="106"/>
      <c r="C121" s="106"/>
      <c r="D121" s="107"/>
      <c r="E121" s="106"/>
      <c r="F121" s="106"/>
      <c r="G121" s="106"/>
      <c r="AH121" s="105"/>
    </row>
    <row r="122" spans="2:34" s="1" customFormat="1" ht="12.75">
      <c r="C122" s="37"/>
      <c r="AH122" s="105"/>
    </row>
    <row r="123" spans="2:34" s="1" customFormat="1" ht="12.75">
      <c r="C123" s="110"/>
      <c r="AH123" s="105"/>
    </row>
    <row r="124" spans="2:34" s="1" customFormat="1" ht="12.75">
      <c r="C124" s="110"/>
      <c r="AH124" s="105"/>
    </row>
    <row r="125" spans="2:34" s="1" customFormat="1" ht="12.75">
      <c r="C125" s="112"/>
      <c r="AH125" s="105"/>
    </row>
    <row r="126" spans="2:34" s="1" customFormat="1" ht="12.75">
      <c r="C126" s="112"/>
      <c r="AH126" s="105"/>
    </row>
    <row r="127" spans="2:34" s="1" customFormat="1" ht="12.75">
      <c r="C127" s="112"/>
      <c r="AH127" s="105"/>
    </row>
    <row r="128" spans="2:34">
      <c r="C128" s="110"/>
    </row>
    <row r="129" spans="3:3">
      <c r="C129" s="111"/>
    </row>
    <row r="130" spans="3:3">
      <c r="C130" s="111"/>
    </row>
    <row r="131" spans="3:3">
      <c r="C131" s="110"/>
    </row>
    <row r="132" spans="3:3">
      <c r="C132" s="110"/>
    </row>
    <row r="133" spans="3:3">
      <c r="C133" s="110"/>
    </row>
    <row r="134" spans="3:3">
      <c r="C134" s="110"/>
    </row>
    <row r="135" spans="3:3">
      <c r="C135" s="110"/>
    </row>
    <row r="136" spans="3:3">
      <c r="C136" s="110"/>
    </row>
    <row r="137" spans="3:3">
      <c r="C137" s="110"/>
    </row>
    <row r="138" spans="3:3">
      <c r="C138" s="110"/>
    </row>
    <row r="139" spans="3:3">
      <c r="C139" s="110"/>
    </row>
    <row r="140" spans="3:3">
      <c r="C140" s="110"/>
    </row>
    <row r="141" spans="3:3">
      <c r="C141" s="110"/>
    </row>
    <row r="142" spans="3:3">
      <c r="C142" s="110"/>
    </row>
    <row r="143" spans="3:3">
      <c r="C143" s="110"/>
    </row>
    <row r="144" spans="3:3">
      <c r="C144" s="110"/>
    </row>
    <row r="145" spans="3:3">
      <c r="C145" s="110"/>
    </row>
    <row r="146" spans="3:3">
      <c r="C146" s="110"/>
    </row>
    <row r="147" spans="3:3">
      <c r="C147" s="110"/>
    </row>
    <row r="148" spans="3:3">
      <c r="C148" s="110"/>
    </row>
    <row r="149" spans="3:3">
      <c r="C149" s="110"/>
    </row>
    <row r="150" spans="3:3">
      <c r="C150" s="110"/>
    </row>
    <row r="151" spans="3:3">
      <c r="C151" s="110"/>
    </row>
    <row r="152" spans="3:3">
      <c r="C152" s="110"/>
    </row>
    <row r="153" spans="3:3">
      <c r="C153" s="110"/>
    </row>
    <row r="154" spans="3:3">
      <c r="C154" s="110"/>
    </row>
    <row r="155" spans="3:3">
      <c r="C155" s="110"/>
    </row>
    <row r="156" spans="3:3">
      <c r="C156" s="110"/>
    </row>
    <row r="157" spans="3:3">
      <c r="C157" s="110"/>
    </row>
    <row r="158" spans="3:3">
      <c r="C158" s="110"/>
    </row>
    <row r="159" spans="3:3">
      <c r="C159" s="47"/>
    </row>
    <row r="160" spans="3:3">
      <c r="C160" s="110"/>
    </row>
    <row r="161" spans="3:3">
      <c r="C161" s="110"/>
    </row>
    <row r="162" spans="3:3">
      <c r="C162" s="110"/>
    </row>
    <row r="163" spans="3:3">
      <c r="C163" s="110"/>
    </row>
    <row r="164" spans="3:3">
      <c r="C164" s="110"/>
    </row>
    <row r="165" spans="3:3">
      <c r="C165" s="110"/>
    </row>
    <row r="166" spans="3:3">
      <c r="C166" s="110"/>
    </row>
    <row r="167" spans="3:3">
      <c r="C167" s="110"/>
    </row>
    <row r="168" spans="3:3">
      <c r="C168" s="110"/>
    </row>
    <row r="169" spans="3:3">
      <c r="C169" s="110"/>
    </row>
    <row r="170" spans="3:3">
      <c r="C170" s="110"/>
    </row>
    <row r="171" spans="3:3">
      <c r="C171" s="110"/>
    </row>
    <row r="172" spans="3:3">
      <c r="C172" s="110"/>
    </row>
    <row r="173" spans="3:3">
      <c r="C173" s="37"/>
    </row>
    <row r="174" spans="3:3">
      <c r="C174" s="113"/>
    </row>
    <row r="175" spans="3:3">
      <c r="C175" s="110"/>
    </row>
    <row r="176" spans="3:3">
      <c r="C176" s="110"/>
    </row>
    <row r="177" spans="3:3">
      <c r="C177" s="110"/>
    </row>
    <row r="178" spans="3:3">
      <c r="C178" s="110"/>
    </row>
    <row r="179" spans="3:3">
      <c r="C179" s="110"/>
    </row>
    <row r="180" spans="3:3">
      <c r="C180" s="111"/>
    </row>
    <row r="181" spans="3:3">
      <c r="C181" s="110"/>
    </row>
    <row r="182" spans="3:3">
      <c r="C182" s="110"/>
    </row>
    <row r="183" spans="3:3">
      <c r="C183" s="114"/>
    </row>
    <row r="184" spans="3:3">
      <c r="C184" s="110"/>
    </row>
    <row r="185" spans="3:3">
      <c r="C185" s="110"/>
    </row>
    <row r="186" spans="3:3">
      <c r="C186" s="110"/>
    </row>
    <row r="187" spans="3:3">
      <c r="C187" s="110"/>
    </row>
    <row r="188" spans="3:3">
      <c r="C188" s="114"/>
    </row>
    <row r="189" spans="3:3">
      <c r="C189" s="111"/>
    </row>
    <row r="190" spans="3:3">
      <c r="C190" s="110"/>
    </row>
    <row r="191" spans="3:3">
      <c r="C191" s="110"/>
    </row>
    <row r="192" spans="3:3">
      <c r="C192" s="110"/>
    </row>
    <row r="193" spans="3:3">
      <c r="C193" s="110"/>
    </row>
    <row r="194" spans="3:3">
      <c r="C194" s="110"/>
    </row>
    <row r="195" spans="3:3">
      <c r="C195" s="110"/>
    </row>
    <row r="196" spans="3:3">
      <c r="C196" s="110"/>
    </row>
  </sheetData>
  <mergeCells count="3">
    <mergeCell ref="AM1:AO1"/>
    <mergeCell ref="AD2:AG2"/>
    <mergeCell ref="AI2:AL2"/>
  </mergeCells>
  <conditionalFormatting sqref="C1:C3">
    <cfRule type="duplicateValues" dxfId="3441" priority="23854"/>
    <cfRule type="duplicateValues" dxfId="3440" priority="23879"/>
    <cfRule type="duplicateValues" dxfId="3439" priority="23880"/>
    <cfRule type="duplicateValues" dxfId="3438" priority="23881"/>
    <cfRule type="duplicateValues" dxfId="3437" priority="23882"/>
    <cfRule type="duplicateValues" dxfId="3436" priority="23883"/>
    <cfRule type="duplicateValues" dxfId="3435" priority="23884"/>
    <cfRule type="duplicateValues" dxfId="3434" priority="23885"/>
    <cfRule type="duplicateValues" dxfId="3433" priority="23886"/>
    <cfRule type="duplicateValues" dxfId="3432" priority="23887"/>
    <cfRule type="duplicateValues" dxfId="3431" priority="23888"/>
    <cfRule type="duplicateValues" dxfId="3430" priority="23890"/>
    <cfRule type="duplicateValues" dxfId="3429" priority="23859"/>
    <cfRule type="duplicateValues" dxfId="3428" priority="23889"/>
    <cfRule type="duplicateValues" dxfId="3427" priority="23891"/>
    <cfRule type="duplicateValues" dxfId="3426" priority="23878"/>
    <cfRule type="duplicateValues" dxfId="3425" priority="23877"/>
    <cfRule type="duplicateValues" dxfId="3424" priority="23876"/>
    <cfRule type="duplicateValues" dxfId="3423" priority="23875"/>
    <cfRule type="duplicateValues" dxfId="3422" priority="23874"/>
    <cfRule type="duplicateValues" dxfId="3421" priority="23873"/>
    <cfRule type="duplicateValues" dxfId="3420" priority="23872"/>
    <cfRule type="duplicateValues" dxfId="3419" priority="23871"/>
    <cfRule type="duplicateValues" dxfId="3418" priority="23870"/>
    <cfRule type="duplicateValues" dxfId="3417" priority="23869"/>
    <cfRule type="duplicateValues" dxfId="3416" priority="23868"/>
    <cfRule type="duplicateValues" dxfId="3415" priority="23867"/>
    <cfRule type="duplicateValues" dxfId="3414" priority="23866"/>
    <cfRule type="duplicateValues" dxfId="3413" priority="23865"/>
    <cfRule type="duplicateValues" dxfId="3412" priority="23864"/>
    <cfRule type="duplicateValues" dxfId="3411" priority="23863"/>
    <cfRule type="duplicateValues" dxfId="3410" priority="23862"/>
    <cfRule type="duplicateValues" dxfId="3409" priority="23861"/>
    <cfRule type="duplicateValues" dxfId="3408" priority="23860"/>
    <cfRule type="duplicateValues" dxfId="3407" priority="23858"/>
    <cfRule type="duplicateValues" dxfId="3406" priority="23857"/>
    <cfRule type="duplicateValues" dxfId="3405" priority="23856"/>
    <cfRule type="duplicateValues" dxfId="3404" priority="23855"/>
    <cfRule type="duplicateValues" dxfId="3403" priority="23853"/>
    <cfRule type="duplicateValues" dxfId="3402" priority="23852"/>
    <cfRule type="duplicateValues" dxfId="3401" priority="23851"/>
    <cfRule type="duplicateValues" dxfId="3400" priority="23850"/>
  </conditionalFormatting>
  <conditionalFormatting sqref="C1:C1048576">
    <cfRule type="duplicateValues" dxfId="3399" priority="183"/>
  </conditionalFormatting>
  <conditionalFormatting sqref="C4">
    <cfRule type="duplicateValues" dxfId="3398" priority="24391"/>
    <cfRule type="duplicateValues" dxfId="3397" priority="24392"/>
    <cfRule type="duplicateValues" dxfId="3396" priority="24393"/>
    <cfRule type="duplicateValues" dxfId="3395" priority="24394"/>
    <cfRule type="duplicateValues" dxfId="3394" priority="24396"/>
    <cfRule type="duplicateValues" dxfId="3393" priority="24397"/>
    <cfRule type="duplicateValues" dxfId="3392" priority="24398"/>
    <cfRule type="duplicateValues" dxfId="3391" priority="24399"/>
    <cfRule type="duplicateValues" dxfId="3390" priority="24400"/>
    <cfRule type="duplicateValues" dxfId="3389" priority="24401"/>
    <cfRule type="duplicateValues" dxfId="3388" priority="24402"/>
    <cfRule type="duplicateValues" dxfId="3387" priority="24403"/>
    <cfRule type="duplicateValues" dxfId="3386" priority="24406"/>
    <cfRule type="duplicateValues" dxfId="3385" priority="4710"/>
    <cfRule type="duplicateValues" dxfId="3384" priority="4709"/>
    <cfRule type="duplicateValues" dxfId="3383" priority="4708"/>
    <cfRule type="duplicateValues" dxfId="3382" priority="4707"/>
    <cfRule type="duplicateValues" dxfId="3381" priority="4706"/>
    <cfRule type="duplicateValues" dxfId="3380" priority="24365"/>
    <cfRule type="duplicateValues" dxfId="3379" priority="4704"/>
    <cfRule type="duplicateValues" dxfId="3378" priority="4705"/>
    <cfRule type="duplicateValues" dxfId="3377" priority="24362"/>
    <cfRule type="duplicateValues" dxfId="3376" priority="24363"/>
    <cfRule type="duplicateValues" dxfId="3375" priority="24364"/>
    <cfRule type="duplicateValues" dxfId="3374" priority="24366"/>
    <cfRule type="duplicateValues" dxfId="3373" priority="24367"/>
    <cfRule type="duplicateValues" dxfId="3372" priority="24368"/>
    <cfRule type="duplicateValues" dxfId="3371" priority="24369"/>
    <cfRule type="duplicateValues" dxfId="3370" priority="24370"/>
    <cfRule type="duplicateValues" dxfId="3369" priority="24371"/>
    <cfRule type="duplicateValues" dxfId="3368" priority="24372"/>
    <cfRule type="duplicateValues" dxfId="3367" priority="24373"/>
    <cfRule type="duplicateValues" dxfId="3366" priority="24374"/>
    <cfRule type="duplicateValues" dxfId="3365" priority="24375"/>
    <cfRule type="duplicateValues" dxfId="3364" priority="24376"/>
    <cfRule type="duplicateValues" dxfId="3363" priority="24377"/>
    <cfRule type="duplicateValues" dxfId="3362" priority="24378"/>
    <cfRule type="duplicateValues" dxfId="3361" priority="24379"/>
    <cfRule type="duplicateValues" dxfId="3360" priority="24380"/>
    <cfRule type="duplicateValues" dxfId="3359" priority="24381"/>
    <cfRule type="duplicateValues" dxfId="3358" priority="24395"/>
    <cfRule type="duplicateValues" dxfId="3357" priority="24382"/>
    <cfRule type="duplicateValues" dxfId="3356" priority="24383"/>
    <cfRule type="duplicateValues" dxfId="3355" priority="24384"/>
    <cfRule type="duplicateValues" dxfId="3354" priority="24385"/>
    <cfRule type="duplicateValues" dxfId="3353" priority="24386"/>
    <cfRule type="duplicateValues" dxfId="3352" priority="24387"/>
    <cfRule type="duplicateValues" dxfId="3351" priority="24388"/>
    <cfRule type="duplicateValues" dxfId="3350" priority="24389"/>
    <cfRule type="duplicateValues" dxfId="3349" priority="24390"/>
  </conditionalFormatting>
  <conditionalFormatting sqref="C4:C6 C11:C12">
    <cfRule type="duplicateValues" dxfId="3348" priority="24275"/>
  </conditionalFormatting>
  <conditionalFormatting sqref="C4:C84">
    <cfRule type="duplicateValues" dxfId="3347" priority="24407"/>
  </conditionalFormatting>
  <conditionalFormatting sqref="C5">
    <cfRule type="duplicateValues" dxfId="3346" priority="4770"/>
    <cfRule type="duplicateValues" dxfId="3345" priority="4771"/>
    <cfRule type="duplicateValues" dxfId="3344" priority="4772"/>
    <cfRule type="duplicateValues" dxfId="3343" priority="4773"/>
    <cfRule type="duplicateValues" dxfId="3342" priority="4763"/>
    <cfRule type="duplicateValues" dxfId="3341" priority="4786"/>
    <cfRule type="duplicateValues" dxfId="3340" priority="4789"/>
    <cfRule type="duplicateValues" dxfId="3339" priority="4788"/>
    <cfRule type="duplicateValues" dxfId="3338" priority="4787"/>
    <cfRule type="duplicateValues" dxfId="3337" priority="4785"/>
    <cfRule type="duplicateValues" dxfId="3336" priority="4784"/>
    <cfRule type="duplicateValues" dxfId="3335" priority="4783"/>
    <cfRule type="duplicateValues" dxfId="3334" priority="4782"/>
    <cfRule type="duplicateValues" dxfId="3333" priority="4781"/>
    <cfRule type="duplicateValues" dxfId="3332" priority="4780"/>
    <cfRule type="duplicateValues" dxfId="3331" priority="4764"/>
    <cfRule type="duplicateValues" dxfId="3330" priority="4765"/>
    <cfRule type="duplicateValues" dxfId="3329" priority="4766"/>
    <cfRule type="duplicateValues" dxfId="3328" priority="4767"/>
    <cfRule type="duplicateValues" dxfId="3327" priority="4768"/>
    <cfRule type="duplicateValues" dxfId="3326" priority="4769"/>
    <cfRule type="duplicateValues" dxfId="3325" priority="4774"/>
    <cfRule type="duplicateValues" dxfId="3324" priority="4775"/>
    <cfRule type="duplicateValues" dxfId="3323" priority="4776"/>
    <cfRule type="duplicateValues" dxfId="3322" priority="4777"/>
    <cfRule type="duplicateValues" dxfId="3321" priority="4778"/>
    <cfRule type="duplicateValues" dxfId="3320" priority="4779"/>
  </conditionalFormatting>
  <conditionalFormatting sqref="C5:C10">
    <cfRule type="duplicateValues" dxfId="3319" priority="24305"/>
    <cfRule type="duplicateValues" dxfId="3318" priority="24304"/>
    <cfRule type="duplicateValues" dxfId="3317" priority="24303"/>
    <cfRule type="duplicateValues" dxfId="3316" priority="24302"/>
    <cfRule type="duplicateValues" dxfId="3315" priority="24301"/>
    <cfRule type="duplicateValues" dxfId="3314" priority="24300"/>
    <cfRule type="duplicateValues" dxfId="3313" priority="24299"/>
    <cfRule type="duplicateValues" dxfId="3312" priority="24298"/>
    <cfRule type="duplicateValues" dxfId="3311" priority="24297"/>
    <cfRule type="duplicateValues" dxfId="3310" priority="24296"/>
    <cfRule type="duplicateValues" dxfId="3309" priority="24295"/>
    <cfRule type="duplicateValues" dxfId="3308" priority="24294"/>
    <cfRule type="duplicateValues" dxfId="3307" priority="24293"/>
    <cfRule type="duplicateValues" dxfId="3306" priority="24292"/>
    <cfRule type="duplicateValues" dxfId="3305" priority="24291"/>
    <cfRule type="duplicateValues" dxfId="3304" priority="24290"/>
    <cfRule type="duplicateValues" dxfId="3303" priority="24289"/>
    <cfRule type="duplicateValues" dxfId="3302" priority="24288"/>
    <cfRule type="duplicateValues" dxfId="3301" priority="24287"/>
    <cfRule type="duplicateValues" dxfId="3300" priority="24286"/>
    <cfRule type="duplicateValues" dxfId="3299" priority="24285"/>
    <cfRule type="duplicateValues" dxfId="3298" priority="24284"/>
    <cfRule type="duplicateValues" dxfId="3297" priority="24283"/>
    <cfRule type="duplicateValues" dxfId="3296" priority="24282"/>
    <cfRule type="duplicateValues" dxfId="3295" priority="24281"/>
    <cfRule type="duplicateValues" dxfId="3294" priority="24280"/>
    <cfRule type="duplicateValues" dxfId="3293" priority="24279"/>
    <cfRule type="duplicateValues" dxfId="3292" priority="24278"/>
    <cfRule type="duplicateValues" dxfId="3291" priority="24318"/>
    <cfRule type="duplicateValues" dxfId="3290" priority="24317"/>
    <cfRule type="duplicateValues" dxfId="3289" priority="24316"/>
    <cfRule type="duplicateValues" dxfId="3288" priority="24315"/>
    <cfRule type="duplicateValues" dxfId="3287" priority="24314"/>
    <cfRule type="duplicateValues" dxfId="3286" priority="24313"/>
    <cfRule type="duplicateValues" dxfId="3285" priority="24312"/>
    <cfRule type="duplicateValues" dxfId="3284" priority="24311"/>
    <cfRule type="duplicateValues" dxfId="3283" priority="24310"/>
    <cfRule type="duplicateValues" dxfId="3282" priority="24309"/>
    <cfRule type="duplicateValues" dxfId="3281" priority="24308"/>
    <cfRule type="duplicateValues" dxfId="3280" priority="24307"/>
    <cfRule type="duplicateValues" dxfId="3279" priority="24306"/>
    <cfRule type="duplicateValues" dxfId="3278" priority="23933"/>
    <cfRule type="duplicateValues" dxfId="3277" priority="24319"/>
  </conditionalFormatting>
  <conditionalFormatting sqref="C6">
    <cfRule type="duplicateValues" dxfId="3276" priority="4721"/>
    <cfRule type="duplicateValues" dxfId="3275" priority="4720"/>
    <cfRule type="duplicateValues" dxfId="3274" priority="4733"/>
    <cfRule type="duplicateValues" dxfId="3273" priority="4732"/>
    <cfRule type="duplicateValues" dxfId="3272" priority="4731"/>
    <cfRule type="duplicateValues" dxfId="3271" priority="4719"/>
    <cfRule type="duplicateValues" dxfId="3270" priority="4718"/>
    <cfRule type="duplicateValues" dxfId="3269" priority="4729"/>
    <cfRule type="duplicateValues" dxfId="3268" priority="4728"/>
    <cfRule type="duplicateValues" dxfId="3267" priority="4727"/>
    <cfRule type="duplicateValues" dxfId="3266" priority="4726"/>
    <cfRule type="duplicateValues" dxfId="3265" priority="4725"/>
    <cfRule type="duplicateValues" dxfId="3264" priority="4724"/>
    <cfRule type="duplicateValues" dxfId="3263" priority="4723"/>
    <cfRule type="duplicateValues" dxfId="3262" priority="4722"/>
    <cfRule type="duplicateValues" dxfId="3261" priority="4711"/>
    <cfRule type="duplicateValues" dxfId="3260" priority="4712"/>
    <cfRule type="duplicateValues" dxfId="3259" priority="4713"/>
    <cfRule type="duplicateValues" dxfId="3258" priority="4714"/>
    <cfRule type="duplicateValues" dxfId="3257" priority="4715"/>
    <cfRule type="duplicateValues" dxfId="3256" priority="4716"/>
    <cfRule type="duplicateValues" dxfId="3255" priority="4717"/>
    <cfRule type="duplicateValues" dxfId="3254" priority="4730"/>
  </conditionalFormatting>
  <conditionalFormatting sqref="C7">
    <cfRule type="duplicateValues" dxfId="3253" priority="5027"/>
    <cfRule type="duplicateValues" dxfId="3252" priority="5028"/>
    <cfRule type="duplicateValues" dxfId="3251" priority="5029"/>
    <cfRule type="duplicateValues" dxfId="3250" priority="5032"/>
    <cfRule type="duplicateValues" dxfId="3249" priority="5033"/>
    <cfRule type="duplicateValues" dxfId="3248" priority="5034"/>
    <cfRule type="duplicateValues" dxfId="3247" priority="5035"/>
    <cfRule type="duplicateValues" dxfId="3246" priority="5036"/>
    <cfRule type="duplicateValues" dxfId="3245" priority="5030"/>
    <cfRule type="duplicateValues" dxfId="3244" priority="5031"/>
  </conditionalFormatting>
  <conditionalFormatting sqref="C8 C23:C84 C18 C20">
    <cfRule type="duplicateValues" dxfId="3243" priority="14421"/>
  </conditionalFormatting>
  <conditionalFormatting sqref="C9">
    <cfRule type="duplicateValues" dxfId="3242" priority="5015"/>
  </conditionalFormatting>
  <conditionalFormatting sqref="C11">
    <cfRule type="duplicateValues" dxfId="3241" priority="4693"/>
  </conditionalFormatting>
  <conditionalFormatting sqref="C11:C12">
    <cfRule type="duplicateValues" dxfId="3240" priority="23757"/>
    <cfRule type="duplicateValues" dxfId="3239" priority="23738"/>
    <cfRule type="duplicateValues" dxfId="3238" priority="23737"/>
    <cfRule type="duplicateValues" dxfId="3237" priority="23736"/>
    <cfRule type="duplicateValues" dxfId="3236" priority="23735"/>
    <cfRule type="duplicateValues" dxfId="3235" priority="23734"/>
    <cfRule type="duplicateValues" dxfId="3234" priority="23733"/>
    <cfRule type="duplicateValues" dxfId="3233" priority="23732"/>
    <cfRule type="duplicateValues" dxfId="3232" priority="23731"/>
    <cfRule type="duplicateValues" dxfId="3231" priority="23730"/>
    <cfRule type="duplicateValues" dxfId="3230" priority="23729"/>
    <cfRule type="duplicateValues" dxfId="3229" priority="23728"/>
    <cfRule type="duplicateValues" dxfId="3228" priority="23727"/>
    <cfRule type="duplicateValues" dxfId="3227" priority="23726"/>
    <cfRule type="duplicateValues" dxfId="3226" priority="23725"/>
    <cfRule type="duplicateValues" dxfId="3225" priority="23724"/>
    <cfRule type="duplicateValues" dxfId="3224" priority="23723"/>
    <cfRule type="duplicateValues" dxfId="3223" priority="23722"/>
    <cfRule type="duplicateValues" dxfId="3222" priority="23721"/>
    <cfRule type="duplicateValues" dxfId="3221" priority="23720"/>
    <cfRule type="duplicateValues" dxfId="3220" priority="23719"/>
    <cfRule type="duplicateValues" dxfId="3219" priority="22569"/>
    <cfRule type="duplicateValues" dxfId="3218" priority="23753"/>
    <cfRule type="duplicateValues" dxfId="3217" priority="23760"/>
    <cfRule type="duplicateValues" dxfId="3216" priority="23759"/>
    <cfRule type="duplicateValues" dxfId="3215" priority="23758"/>
    <cfRule type="duplicateValues" dxfId="3214" priority="23756"/>
    <cfRule type="duplicateValues" dxfId="3213" priority="23755"/>
    <cfRule type="duplicateValues" dxfId="3212" priority="23754"/>
    <cfRule type="duplicateValues" dxfId="3211" priority="23752"/>
    <cfRule type="duplicateValues" dxfId="3210" priority="23751"/>
    <cfRule type="duplicateValues" dxfId="3209" priority="23750"/>
    <cfRule type="duplicateValues" dxfId="3208" priority="23749"/>
    <cfRule type="duplicateValues" dxfId="3207" priority="23748"/>
    <cfRule type="duplicateValues" dxfId="3206" priority="23747"/>
    <cfRule type="duplicateValues" dxfId="3205" priority="23746"/>
    <cfRule type="duplicateValues" dxfId="3204" priority="23745"/>
    <cfRule type="duplicateValues" dxfId="3203" priority="23744"/>
    <cfRule type="duplicateValues" dxfId="3202" priority="23743"/>
    <cfRule type="duplicateValues" dxfId="3201" priority="23742"/>
    <cfRule type="duplicateValues" dxfId="3200" priority="23741"/>
    <cfRule type="duplicateValues" dxfId="3199" priority="23740"/>
    <cfRule type="duplicateValues" dxfId="3198" priority="23739"/>
  </conditionalFormatting>
  <conditionalFormatting sqref="C12">
    <cfRule type="duplicateValues" dxfId="3197" priority="4692"/>
  </conditionalFormatting>
  <conditionalFormatting sqref="C13">
    <cfRule type="duplicateValues" dxfId="3196" priority="24016"/>
    <cfRule type="duplicateValues" dxfId="3195" priority="24015"/>
    <cfRule type="duplicateValues" dxfId="3194" priority="24014"/>
    <cfRule type="duplicateValues" dxfId="3193" priority="24013"/>
    <cfRule type="duplicateValues" dxfId="3192" priority="24012"/>
    <cfRule type="duplicateValues" dxfId="3191" priority="24011"/>
    <cfRule type="duplicateValues" dxfId="3190" priority="24010"/>
    <cfRule type="duplicateValues" dxfId="3189" priority="24009"/>
    <cfRule type="duplicateValues" dxfId="3188" priority="24008"/>
    <cfRule type="duplicateValues" dxfId="3187" priority="24007"/>
    <cfRule type="duplicateValues" dxfId="3186" priority="24006"/>
    <cfRule type="duplicateValues" dxfId="3185" priority="24005"/>
    <cfRule type="duplicateValues" dxfId="3184" priority="24004"/>
    <cfRule type="duplicateValues" dxfId="3183" priority="24003"/>
    <cfRule type="duplicateValues" dxfId="3182" priority="24002"/>
    <cfRule type="duplicateValues" dxfId="3181" priority="24001"/>
    <cfRule type="duplicateValues" dxfId="3180" priority="24000"/>
    <cfRule type="duplicateValues" dxfId="3179" priority="23999"/>
    <cfRule type="duplicateValues" dxfId="3178" priority="23998"/>
    <cfRule type="duplicateValues" dxfId="3177" priority="23997"/>
    <cfRule type="duplicateValues" dxfId="3176" priority="23996"/>
    <cfRule type="duplicateValues" dxfId="3175" priority="23977"/>
    <cfRule type="duplicateValues" dxfId="3174" priority="23986"/>
    <cfRule type="duplicateValues" dxfId="3173" priority="23985"/>
    <cfRule type="duplicateValues" dxfId="3172" priority="23984"/>
    <cfRule type="duplicateValues" dxfId="3171" priority="23983"/>
    <cfRule type="duplicateValues" dxfId="3170" priority="23982"/>
    <cfRule type="duplicateValues" dxfId="3169" priority="23981"/>
    <cfRule type="duplicateValues" dxfId="3168" priority="23980"/>
    <cfRule type="duplicateValues" dxfId="3167" priority="23979"/>
    <cfRule type="duplicateValues" dxfId="3166" priority="23978"/>
    <cfRule type="duplicateValues" dxfId="3165" priority="23976"/>
    <cfRule type="duplicateValues" dxfId="3164" priority="24017"/>
    <cfRule type="duplicateValues" dxfId="3163" priority="5038"/>
    <cfRule type="duplicateValues" dxfId="3162" priority="24020"/>
    <cfRule type="duplicateValues" dxfId="3161" priority="23993"/>
    <cfRule type="duplicateValues" dxfId="3160" priority="23995"/>
    <cfRule type="duplicateValues" dxfId="3159" priority="23994"/>
    <cfRule type="duplicateValues" dxfId="3158" priority="23992"/>
    <cfRule type="duplicateValues" dxfId="3157" priority="23991"/>
    <cfRule type="duplicateValues" dxfId="3156" priority="23990"/>
    <cfRule type="duplicateValues" dxfId="3155" priority="23989"/>
    <cfRule type="duplicateValues" dxfId="3154" priority="23988"/>
    <cfRule type="duplicateValues" dxfId="3153" priority="23987"/>
  </conditionalFormatting>
  <conditionalFormatting sqref="C14">
    <cfRule type="duplicateValues" dxfId="3152" priority="5014"/>
  </conditionalFormatting>
  <conditionalFormatting sqref="C15">
    <cfRule type="duplicateValues" dxfId="3151" priority="5026"/>
  </conditionalFormatting>
  <conditionalFormatting sqref="C16">
    <cfRule type="duplicateValues" dxfId="3150" priority="5037"/>
  </conditionalFormatting>
  <conditionalFormatting sqref="C17:C84">
    <cfRule type="duplicateValues" dxfId="3149" priority="12502"/>
  </conditionalFormatting>
  <conditionalFormatting sqref="C18">
    <cfRule type="duplicateValues" dxfId="3148" priority="8810"/>
    <cfRule type="duplicateValues" dxfId="3147" priority="8809"/>
    <cfRule type="duplicateValues" dxfId="3146" priority="8808"/>
    <cfRule type="duplicateValues" dxfId="3145" priority="8807"/>
    <cfRule type="duplicateValues" dxfId="3144" priority="8806"/>
    <cfRule type="duplicateValues" dxfId="3143" priority="8805"/>
    <cfRule type="duplicateValues" dxfId="3142" priority="8804"/>
    <cfRule type="duplicateValues" dxfId="3141" priority="8803"/>
    <cfRule type="duplicateValues" dxfId="3140" priority="8802"/>
  </conditionalFormatting>
  <conditionalFormatting sqref="C19">
    <cfRule type="duplicateValues" dxfId="3139" priority="5013"/>
  </conditionalFormatting>
  <conditionalFormatting sqref="C21">
    <cfRule type="duplicateValues" dxfId="3138" priority="2435"/>
    <cfRule type="duplicateValues" dxfId="3137" priority="2437"/>
    <cfRule type="duplicateValues" dxfId="3136" priority="2438"/>
    <cfRule type="duplicateValues" dxfId="3135" priority="2439"/>
    <cfRule type="duplicateValues" dxfId="3134" priority="2440"/>
    <cfRule type="duplicateValues" dxfId="3133" priority="2430"/>
    <cfRule type="duplicateValues" dxfId="3132" priority="2429"/>
    <cfRule type="duplicateValues" dxfId="3131" priority="2428"/>
    <cfRule type="duplicateValues" dxfId="3130" priority="2427"/>
    <cfRule type="duplicateValues" dxfId="3129" priority="2426"/>
    <cfRule type="duplicateValues" dxfId="3128" priority="2425"/>
    <cfRule type="duplicateValues" dxfId="3127" priority="2436"/>
    <cfRule type="duplicateValues" dxfId="3126" priority="2424"/>
    <cfRule type="duplicateValues" dxfId="3125" priority="2423"/>
    <cfRule type="duplicateValues" dxfId="3124" priority="2422"/>
    <cfRule type="duplicateValues" dxfId="3123" priority="2432"/>
    <cfRule type="duplicateValues" dxfId="3122" priority="2462"/>
    <cfRule type="duplicateValues" dxfId="3121" priority="2461"/>
    <cfRule type="duplicateValues" dxfId="3120" priority="2431"/>
    <cfRule type="duplicateValues" dxfId="3119" priority="2460"/>
    <cfRule type="duplicateValues" dxfId="3118" priority="2459"/>
    <cfRule type="duplicateValues" dxfId="3117" priority="2458"/>
    <cfRule type="duplicateValues" dxfId="3116" priority="2410"/>
    <cfRule type="duplicateValues" dxfId="3115" priority="2409"/>
    <cfRule type="duplicateValues" dxfId="3114" priority="2447"/>
    <cfRule type="duplicateValues" dxfId="3113" priority="2433"/>
    <cfRule type="duplicateValues" dxfId="3112" priority="2457"/>
    <cfRule type="duplicateValues" dxfId="3111" priority="2456"/>
    <cfRule type="duplicateValues" dxfId="3110" priority="2455"/>
    <cfRule type="duplicateValues" dxfId="3109" priority="2454"/>
    <cfRule type="duplicateValues" dxfId="3108" priority="2450"/>
    <cfRule type="duplicateValues" dxfId="3107" priority="2448"/>
    <cfRule type="duplicateValues" dxfId="3106" priority="2446"/>
    <cfRule type="duplicateValues" dxfId="3105" priority="2445"/>
    <cfRule type="duplicateValues" dxfId="3104" priority="2434"/>
    <cfRule type="duplicateValues" dxfId="3103" priority="2444"/>
    <cfRule type="duplicateValues" dxfId="3102" priority="2443"/>
    <cfRule type="duplicateValues" dxfId="3101" priority="2442"/>
    <cfRule type="duplicateValues" dxfId="3100" priority="2417"/>
    <cfRule type="duplicateValues" dxfId="3099" priority="2441"/>
    <cfRule type="duplicateValues" dxfId="3098" priority="2449"/>
    <cfRule type="duplicateValues" dxfId="3097" priority="2421"/>
    <cfRule type="duplicateValues" dxfId="3096" priority="2420"/>
    <cfRule type="duplicateValues" dxfId="3095" priority="2419"/>
    <cfRule type="duplicateValues" dxfId="3094" priority="2418"/>
    <cfRule type="duplicateValues" dxfId="3093" priority="2408"/>
    <cfRule type="duplicateValues" dxfId="3092" priority="2416"/>
    <cfRule type="duplicateValues" dxfId="3091" priority="2415"/>
    <cfRule type="duplicateValues" dxfId="3090" priority="2414"/>
    <cfRule type="duplicateValues" dxfId="3089" priority="2413"/>
    <cfRule type="duplicateValues" dxfId="3088" priority="2412"/>
    <cfRule type="duplicateValues" dxfId="3087" priority="2411"/>
  </conditionalFormatting>
  <conditionalFormatting sqref="C22">
    <cfRule type="duplicateValues" dxfId="3086" priority="5025"/>
    <cfRule type="duplicateValues" dxfId="3085" priority="5024"/>
    <cfRule type="duplicateValues" dxfId="3084" priority="5023"/>
    <cfRule type="duplicateValues" dxfId="3083" priority="5019"/>
    <cfRule type="duplicateValues" dxfId="3082" priority="5018"/>
    <cfRule type="duplicateValues" dxfId="3081" priority="5021"/>
    <cfRule type="duplicateValues" dxfId="3080" priority="5016"/>
    <cfRule type="duplicateValues" dxfId="3079" priority="5022"/>
    <cfRule type="duplicateValues" dxfId="3078" priority="5020"/>
    <cfRule type="duplicateValues" dxfId="3077" priority="5017"/>
  </conditionalFormatting>
  <conditionalFormatting sqref="C28:C29">
    <cfRule type="duplicateValues" dxfId="3076" priority="2518"/>
    <cfRule type="duplicateValues" dxfId="3075" priority="2517"/>
    <cfRule type="duplicateValues" dxfId="3074" priority="2516"/>
    <cfRule type="duplicateValues" dxfId="3073" priority="2515"/>
    <cfRule type="duplicateValues" dxfId="3072" priority="2514"/>
    <cfRule type="duplicateValues" dxfId="3071" priority="2513"/>
    <cfRule type="duplicateValues" dxfId="3070" priority="2512"/>
    <cfRule type="duplicateValues" dxfId="3069" priority="2511"/>
    <cfRule type="duplicateValues" dxfId="3068" priority="2510"/>
    <cfRule type="duplicateValues" dxfId="3067" priority="2509"/>
    <cfRule type="duplicateValues" dxfId="3066" priority="2508"/>
    <cfRule type="duplicateValues" dxfId="3065" priority="2507"/>
    <cfRule type="duplicateValues" dxfId="3064" priority="2506"/>
    <cfRule type="duplicateValues" dxfId="3063" priority="2505"/>
    <cfRule type="duplicateValues" dxfId="3062" priority="2504"/>
    <cfRule type="duplicateValues" dxfId="3061" priority="2503"/>
    <cfRule type="duplicateValues" dxfId="3060" priority="2502"/>
    <cfRule type="duplicateValues" dxfId="3059" priority="2501"/>
    <cfRule type="duplicateValues" dxfId="3058" priority="2500"/>
    <cfRule type="duplicateValues" dxfId="3057" priority="2499"/>
    <cfRule type="duplicateValues" dxfId="3056" priority="2498"/>
    <cfRule type="duplicateValues" dxfId="3055" priority="2497"/>
    <cfRule type="duplicateValues" dxfId="3054" priority="2496"/>
    <cfRule type="duplicateValues" dxfId="3053" priority="2495"/>
    <cfRule type="duplicateValues" dxfId="3052" priority="2494"/>
    <cfRule type="duplicateValues" dxfId="3051" priority="2492"/>
    <cfRule type="duplicateValues" dxfId="3050" priority="2493"/>
    <cfRule type="duplicateValues" dxfId="3049" priority="2531"/>
    <cfRule type="duplicateValues" dxfId="3048" priority="2530"/>
    <cfRule type="duplicateValues" dxfId="3047" priority="2529"/>
    <cfRule type="duplicateValues" dxfId="3046" priority="2528"/>
    <cfRule type="duplicateValues" dxfId="3045" priority="2527"/>
    <cfRule type="duplicateValues" dxfId="3044" priority="2526"/>
    <cfRule type="duplicateValues" dxfId="3043" priority="2525"/>
    <cfRule type="duplicateValues" dxfId="3042" priority="2524"/>
    <cfRule type="duplicateValues" dxfId="3041" priority="2523"/>
    <cfRule type="duplicateValues" dxfId="3040" priority="2522"/>
    <cfRule type="duplicateValues" dxfId="3039" priority="2521"/>
    <cfRule type="duplicateValues" dxfId="3038" priority="2520"/>
    <cfRule type="duplicateValues" dxfId="3037" priority="2519"/>
  </conditionalFormatting>
  <conditionalFormatting sqref="C31">
    <cfRule type="duplicateValues" dxfId="3036" priority="2537"/>
    <cfRule type="duplicateValues" dxfId="3035" priority="2541"/>
    <cfRule type="duplicateValues" dxfId="3034" priority="2538"/>
    <cfRule type="duplicateValues" dxfId="3033" priority="2539"/>
    <cfRule type="duplicateValues" dxfId="3032" priority="2536"/>
    <cfRule type="duplicateValues" dxfId="3031" priority="2540"/>
    <cfRule type="duplicateValues" dxfId="3030" priority="2545"/>
    <cfRule type="duplicateValues" dxfId="3029" priority="2544"/>
    <cfRule type="duplicateValues" dxfId="3028" priority="2543"/>
    <cfRule type="duplicateValues" dxfId="3027" priority="2542"/>
    <cfRule type="duplicateValues" dxfId="3026" priority="2535"/>
    <cfRule type="duplicateValues" dxfId="3025" priority="2546"/>
  </conditionalFormatting>
  <conditionalFormatting sqref="C32">
    <cfRule type="duplicateValues" dxfId="3024" priority="12541"/>
    <cfRule type="duplicateValues" dxfId="3023" priority="12542"/>
    <cfRule type="duplicateValues" dxfId="3022" priority="12543"/>
    <cfRule type="duplicateValues" dxfId="3021" priority="12534"/>
    <cfRule type="duplicateValues" dxfId="3020" priority="12535"/>
    <cfRule type="duplicateValues" dxfId="3019" priority="12536"/>
    <cfRule type="duplicateValues" dxfId="3018" priority="12537"/>
    <cfRule type="duplicateValues" dxfId="3017" priority="12538"/>
    <cfRule type="duplicateValues" dxfId="3016" priority="12539"/>
    <cfRule type="duplicateValues" dxfId="3015" priority="12540"/>
  </conditionalFormatting>
  <conditionalFormatting sqref="C33 C52 C82">
    <cfRule type="duplicateValues" dxfId="3014" priority="8154"/>
    <cfRule type="duplicateValues" dxfId="3013" priority="8155"/>
    <cfRule type="duplicateValues" dxfId="3012" priority="8156"/>
    <cfRule type="duplicateValues" dxfId="3011" priority="8157"/>
    <cfRule type="duplicateValues" dxfId="3010" priority="8158"/>
    <cfRule type="duplicateValues" dxfId="3009" priority="8159"/>
    <cfRule type="duplicateValues" dxfId="3008" priority="8160"/>
    <cfRule type="duplicateValues" dxfId="3007" priority="8161"/>
    <cfRule type="duplicateValues" dxfId="3006" priority="8162"/>
    <cfRule type="duplicateValues" dxfId="3005" priority="8153"/>
  </conditionalFormatting>
  <conditionalFormatting sqref="C33">
    <cfRule type="duplicateValues" dxfId="3004" priority="6778"/>
    <cfRule type="duplicateValues" dxfId="3003" priority="6779"/>
    <cfRule type="duplicateValues" dxfId="3002" priority="6780"/>
    <cfRule type="duplicateValues" dxfId="3001" priority="6781"/>
    <cfRule type="duplicateValues" dxfId="3000" priority="6782"/>
    <cfRule type="duplicateValues" dxfId="2999" priority="6784"/>
    <cfRule type="duplicateValues" dxfId="2998" priority="6785"/>
    <cfRule type="duplicateValues" dxfId="2997" priority="6786"/>
    <cfRule type="duplicateValues" dxfId="2996" priority="6787"/>
    <cfRule type="duplicateValues" dxfId="2995" priority="6788"/>
    <cfRule type="duplicateValues" dxfId="2994" priority="6789"/>
    <cfRule type="duplicateValues" dxfId="2993" priority="6790"/>
    <cfRule type="duplicateValues" dxfId="2992" priority="6791"/>
    <cfRule type="duplicateValues" dxfId="2991" priority="6792"/>
    <cfRule type="duplicateValues" dxfId="2990" priority="6793"/>
    <cfRule type="duplicateValues" dxfId="2989" priority="6794"/>
    <cfRule type="duplicateValues" dxfId="2988" priority="6795"/>
    <cfRule type="duplicateValues" dxfId="2987" priority="6796"/>
    <cfRule type="duplicateValues" dxfId="2986" priority="6797"/>
    <cfRule type="duplicateValues" dxfId="2985" priority="6798"/>
    <cfRule type="duplicateValues" dxfId="2984" priority="6799"/>
    <cfRule type="duplicateValues" dxfId="2983" priority="6800"/>
    <cfRule type="duplicateValues" dxfId="2982" priority="6801"/>
    <cfRule type="duplicateValues" dxfId="2981" priority="6802"/>
    <cfRule type="duplicateValues" dxfId="2980" priority="6803"/>
    <cfRule type="duplicateValues" dxfId="2979" priority="6804"/>
    <cfRule type="duplicateValues" dxfId="2978" priority="6805"/>
    <cfRule type="duplicateValues" dxfId="2977" priority="6806"/>
    <cfRule type="duplicateValues" dxfId="2976" priority="6807"/>
    <cfRule type="duplicateValues" dxfId="2975" priority="6808"/>
    <cfRule type="duplicateValues" dxfId="2974" priority="6809"/>
    <cfRule type="duplicateValues" dxfId="2973" priority="6841"/>
    <cfRule type="duplicateValues" dxfId="2972" priority="6840"/>
    <cfRule type="duplicateValues" dxfId="2971" priority="6839"/>
    <cfRule type="duplicateValues" dxfId="2970" priority="6783"/>
    <cfRule type="duplicateValues" dxfId="2969" priority="6776"/>
    <cfRule type="duplicateValues" dxfId="2968" priority="6777"/>
    <cfRule type="duplicateValues" dxfId="2967" priority="6775"/>
    <cfRule type="duplicateValues" dxfId="2966" priority="6774"/>
    <cfRule type="duplicateValues" dxfId="2965" priority="6810"/>
    <cfRule type="duplicateValues" dxfId="2964" priority="6811"/>
    <cfRule type="duplicateValues" dxfId="2963" priority="6812"/>
    <cfRule type="duplicateValues" dxfId="2962" priority="6813"/>
    <cfRule type="duplicateValues" dxfId="2961" priority="6814"/>
    <cfRule type="duplicateValues" dxfId="2960" priority="6815"/>
    <cfRule type="duplicateValues" dxfId="2959" priority="6829"/>
    <cfRule type="duplicateValues" dxfId="2958" priority="6830"/>
    <cfRule type="duplicateValues" dxfId="2957" priority="6831"/>
    <cfRule type="duplicateValues" dxfId="2956" priority="6832"/>
    <cfRule type="duplicateValues" dxfId="2955" priority="6833"/>
    <cfRule type="duplicateValues" dxfId="2954" priority="6834"/>
    <cfRule type="duplicateValues" dxfId="2953" priority="6835"/>
    <cfRule type="duplicateValues" dxfId="2952" priority="6836"/>
    <cfRule type="duplicateValues" dxfId="2951" priority="6837"/>
    <cfRule type="duplicateValues" dxfId="2950" priority="6838"/>
  </conditionalFormatting>
  <conditionalFormatting sqref="C34">
    <cfRule type="duplicateValues" dxfId="2949" priority="5083"/>
    <cfRule type="duplicateValues" dxfId="2948" priority="5084"/>
    <cfRule type="duplicateValues" dxfId="2947" priority="5085"/>
    <cfRule type="duplicateValues" dxfId="2946" priority="5086"/>
    <cfRule type="duplicateValues" dxfId="2945" priority="5087"/>
    <cfRule type="duplicateValues" dxfId="2944" priority="5088"/>
    <cfRule type="duplicateValues" dxfId="2943" priority="5089"/>
    <cfRule type="duplicateValues" dxfId="2942" priority="5090"/>
    <cfRule type="duplicateValues" dxfId="2941" priority="5091"/>
    <cfRule type="duplicateValues" dxfId="2940" priority="5092"/>
    <cfRule type="duplicateValues" dxfId="2939" priority="5093"/>
    <cfRule type="duplicateValues" dxfId="2938" priority="5094"/>
    <cfRule type="duplicateValues" dxfId="2937" priority="5095"/>
    <cfRule type="duplicateValues" dxfId="2936" priority="5074"/>
    <cfRule type="duplicateValues" dxfId="2935" priority="5098"/>
    <cfRule type="duplicateValues" dxfId="2934" priority="5099"/>
    <cfRule type="duplicateValues" dxfId="2933" priority="5100"/>
    <cfRule type="duplicateValues" dxfId="2932" priority="5101"/>
    <cfRule type="duplicateValues" dxfId="2931" priority="5102"/>
    <cfRule type="duplicateValues" dxfId="2930" priority="5103"/>
    <cfRule type="duplicateValues" dxfId="2929" priority="5104"/>
    <cfRule type="duplicateValues" dxfId="2928" priority="5105"/>
    <cfRule type="duplicateValues" dxfId="2927" priority="5106"/>
    <cfRule type="duplicateValues" dxfId="2926" priority="5107"/>
    <cfRule type="duplicateValues" dxfId="2925" priority="5108"/>
    <cfRule type="duplicateValues" dxfId="2924" priority="5109"/>
    <cfRule type="duplicateValues" dxfId="2923" priority="5110"/>
    <cfRule type="duplicateValues" dxfId="2922" priority="5111"/>
    <cfRule type="duplicateValues" dxfId="2921" priority="5112"/>
    <cfRule type="duplicateValues" dxfId="2920" priority="5096"/>
    <cfRule type="duplicateValues" dxfId="2919" priority="5097"/>
    <cfRule type="duplicateValues" dxfId="2918" priority="5073"/>
    <cfRule type="duplicateValues" dxfId="2917" priority="5072"/>
    <cfRule type="duplicateValues" dxfId="2916" priority="5071"/>
    <cfRule type="duplicateValues" dxfId="2915" priority="5070"/>
    <cfRule type="duplicateValues" dxfId="2914" priority="5078"/>
    <cfRule type="duplicateValues" dxfId="2913" priority="5113"/>
    <cfRule type="duplicateValues" dxfId="2912" priority="5114"/>
    <cfRule type="duplicateValues" dxfId="2911" priority="5076"/>
    <cfRule type="duplicateValues" dxfId="2910" priority="5077"/>
    <cfRule type="duplicateValues" dxfId="2909" priority="5082"/>
    <cfRule type="duplicateValues" dxfId="2908" priority="5079"/>
    <cfRule type="duplicateValues" dxfId="2907" priority="5080"/>
    <cfRule type="duplicateValues" dxfId="2906" priority="5081"/>
    <cfRule type="duplicateValues" dxfId="2905" priority="5075"/>
  </conditionalFormatting>
  <conditionalFormatting sqref="C35 C18 C38 C31:C32">
    <cfRule type="duplicateValues" dxfId="2904" priority="17197"/>
  </conditionalFormatting>
  <conditionalFormatting sqref="C35 C31:C32">
    <cfRule type="duplicateValues" dxfId="2903" priority="5233"/>
    <cfRule type="duplicateValues" dxfId="2902" priority="5232"/>
    <cfRule type="duplicateValues" dxfId="2901" priority="5231"/>
    <cfRule type="duplicateValues" dxfId="2900" priority="5230"/>
    <cfRule type="duplicateValues" dxfId="2899" priority="5229"/>
    <cfRule type="duplicateValues" dxfId="2898" priority="5228"/>
    <cfRule type="duplicateValues" dxfId="2897" priority="5227"/>
    <cfRule type="duplicateValues" dxfId="2896" priority="5226"/>
    <cfRule type="duplicateValues" dxfId="2895" priority="5225"/>
    <cfRule type="duplicateValues" dxfId="2894" priority="5224"/>
    <cfRule type="duplicateValues" dxfId="2893" priority="5223"/>
    <cfRule type="duplicateValues" dxfId="2892" priority="5222"/>
    <cfRule type="duplicateValues" dxfId="2891" priority="5221"/>
    <cfRule type="duplicateValues" dxfId="2890" priority="5220"/>
    <cfRule type="duplicateValues" dxfId="2889" priority="5244"/>
    <cfRule type="duplicateValues" dxfId="2888" priority="12565"/>
    <cfRule type="duplicateValues" dxfId="2887" priority="12564"/>
    <cfRule type="duplicateValues" dxfId="2886" priority="5248"/>
    <cfRule type="duplicateValues" dxfId="2885" priority="5247"/>
    <cfRule type="duplicateValues" dxfId="2884" priority="5246"/>
    <cfRule type="duplicateValues" dxfId="2883" priority="5245"/>
    <cfRule type="duplicateValues" dxfId="2882" priority="12563"/>
    <cfRule type="duplicateValues" dxfId="2881" priority="5243"/>
    <cfRule type="duplicateValues" dxfId="2880" priority="5242"/>
    <cfRule type="duplicateValues" dxfId="2879" priority="5241"/>
    <cfRule type="duplicateValues" dxfId="2878" priority="5240"/>
    <cfRule type="duplicateValues" dxfId="2877" priority="5239"/>
    <cfRule type="duplicateValues" dxfId="2876" priority="5238"/>
    <cfRule type="duplicateValues" dxfId="2875" priority="5237"/>
    <cfRule type="duplicateValues" dxfId="2874" priority="5236"/>
    <cfRule type="duplicateValues" dxfId="2873" priority="5235"/>
    <cfRule type="duplicateValues" dxfId="2872" priority="5234"/>
  </conditionalFormatting>
  <conditionalFormatting sqref="C35">
    <cfRule type="duplicateValues" dxfId="2871" priority="5217"/>
    <cfRule type="duplicateValues" dxfId="2870" priority="5218"/>
    <cfRule type="duplicateValues" dxfId="2869" priority="5219"/>
    <cfRule type="duplicateValues" dxfId="2868" priority="5214"/>
    <cfRule type="duplicateValues" dxfId="2867" priority="12485"/>
    <cfRule type="duplicateValues" dxfId="2866" priority="5215"/>
    <cfRule type="duplicateValues" dxfId="2865" priority="5211"/>
    <cfRule type="duplicateValues" dxfId="2864" priority="5212"/>
    <cfRule type="duplicateValues" dxfId="2863" priority="5213"/>
    <cfRule type="duplicateValues" dxfId="2862" priority="5216"/>
  </conditionalFormatting>
  <conditionalFormatting sqref="C38">
    <cfRule type="duplicateValues" dxfId="2861" priority="5150"/>
    <cfRule type="duplicateValues" dxfId="2860" priority="5149"/>
    <cfRule type="duplicateValues" dxfId="2859" priority="5148"/>
    <cfRule type="duplicateValues" dxfId="2858" priority="5147"/>
    <cfRule type="duplicateValues" dxfId="2857" priority="5146"/>
    <cfRule type="duplicateValues" dxfId="2856" priority="5145"/>
    <cfRule type="duplicateValues" dxfId="2855" priority="5144"/>
    <cfRule type="duplicateValues" dxfId="2854" priority="5143"/>
    <cfRule type="duplicateValues" dxfId="2853" priority="5142"/>
    <cfRule type="duplicateValues" dxfId="2852" priority="5141"/>
    <cfRule type="duplicateValues" dxfId="2851" priority="5140"/>
    <cfRule type="duplicateValues" dxfId="2850" priority="5139"/>
    <cfRule type="duplicateValues" dxfId="2849" priority="5138"/>
    <cfRule type="duplicateValues" dxfId="2848" priority="5137"/>
    <cfRule type="duplicateValues" dxfId="2847" priority="5136"/>
    <cfRule type="duplicateValues" dxfId="2846" priority="5135"/>
    <cfRule type="duplicateValues" dxfId="2845" priority="5134"/>
    <cfRule type="duplicateValues" dxfId="2844" priority="5133"/>
    <cfRule type="duplicateValues" dxfId="2843" priority="5132"/>
    <cfRule type="duplicateValues" dxfId="2842" priority="5131"/>
    <cfRule type="duplicateValues" dxfId="2841" priority="5130"/>
    <cfRule type="duplicateValues" dxfId="2840" priority="5129"/>
    <cfRule type="duplicateValues" dxfId="2839" priority="5128"/>
    <cfRule type="duplicateValues" dxfId="2838" priority="5127"/>
    <cfRule type="duplicateValues" dxfId="2837" priority="5126"/>
    <cfRule type="duplicateValues" dxfId="2836" priority="5125"/>
    <cfRule type="duplicateValues" dxfId="2835" priority="5124"/>
    <cfRule type="duplicateValues" dxfId="2834" priority="5123"/>
    <cfRule type="duplicateValues" dxfId="2833" priority="5122"/>
    <cfRule type="duplicateValues" dxfId="2832" priority="5121"/>
    <cfRule type="duplicateValues" dxfId="2831" priority="5159"/>
    <cfRule type="duplicateValues" dxfId="2830" priority="5158"/>
    <cfRule type="duplicateValues" dxfId="2829" priority="5157"/>
    <cfRule type="duplicateValues" dxfId="2828" priority="5156"/>
    <cfRule type="duplicateValues" dxfId="2827" priority="5155"/>
    <cfRule type="duplicateValues" dxfId="2826" priority="5154"/>
    <cfRule type="duplicateValues" dxfId="2825" priority="5153"/>
    <cfRule type="duplicateValues" dxfId="2824" priority="5152"/>
    <cfRule type="duplicateValues" dxfId="2823" priority="5151"/>
  </conditionalFormatting>
  <conditionalFormatting sqref="C39">
    <cfRule type="duplicateValues" dxfId="2822" priority="7270"/>
    <cfRule type="duplicateValues" dxfId="2821" priority="7271"/>
  </conditionalFormatting>
  <conditionalFormatting sqref="C40">
    <cfRule type="duplicateValues" dxfId="2820" priority="6851"/>
    <cfRule type="duplicateValues" dxfId="2819" priority="6850"/>
    <cfRule type="duplicateValues" dxfId="2818" priority="6849"/>
    <cfRule type="duplicateValues" dxfId="2817" priority="6848"/>
    <cfRule type="duplicateValues" dxfId="2816" priority="6847"/>
    <cfRule type="duplicateValues" dxfId="2815" priority="6846"/>
    <cfRule type="duplicateValues" dxfId="2814" priority="6845"/>
    <cfRule type="duplicateValues" dxfId="2813" priority="5848"/>
    <cfRule type="duplicateValues" dxfId="2812" priority="5849"/>
    <cfRule type="duplicateValues" dxfId="2811" priority="5850"/>
    <cfRule type="duplicateValues" dxfId="2810" priority="5851"/>
    <cfRule type="duplicateValues" dxfId="2809" priority="5852"/>
    <cfRule type="duplicateValues" dxfId="2808" priority="5853"/>
    <cfRule type="duplicateValues" dxfId="2807" priority="5854"/>
    <cfRule type="duplicateValues" dxfId="2806" priority="6857"/>
    <cfRule type="duplicateValues" dxfId="2805" priority="6858"/>
    <cfRule type="duplicateValues" dxfId="2804" priority="6859"/>
    <cfRule type="duplicateValues" dxfId="2803" priority="6860"/>
    <cfRule type="duplicateValues" dxfId="2802" priority="6862"/>
    <cfRule type="duplicateValues" dxfId="2801" priority="6863"/>
    <cfRule type="duplicateValues" dxfId="2800" priority="6864"/>
    <cfRule type="duplicateValues" dxfId="2799" priority="6865"/>
    <cfRule type="duplicateValues" dxfId="2798" priority="6866"/>
    <cfRule type="duplicateValues" dxfId="2797" priority="6867"/>
    <cfRule type="duplicateValues" dxfId="2796" priority="6868"/>
    <cfRule type="duplicateValues" dxfId="2795" priority="6870"/>
    <cfRule type="duplicateValues" dxfId="2794" priority="6871"/>
    <cfRule type="duplicateValues" dxfId="2793" priority="5918"/>
    <cfRule type="duplicateValues" dxfId="2792" priority="6873"/>
    <cfRule type="duplicateValues" dxfId="2791" priority="6874"/>
    <cfRule type="duplicateValues" dxfId="2790" priority="6875"/>
    <cfRule type="duplicateValues" dxfId="2789" priority="6876"/>
    <cfRule type="duplicateValues" dxfId="2788" priority="5917"/>
    <cfRule type="duplicateValues" dxfId="2787" priority="6878"/>
    <cfRule type="duplicateValues" dxfId="2786" priority="6879"/>
    <cfRule type="duplicateValues" dxfId="2785" priority="6880"/>
    <cfRule type="duplicateValues" dxfId="2784" priority="6881"/>
    <cfRule type="duplicateValues" dxfId="2783" priority="6882"/>
    <cfRule type="duplicateValues" dxfId="2782" priority="6883"/>
    <cfRule type="duplicateValues" dxfId="2781" priority="6884"/>
    <cfRule type="duplicateValues" dxfId="2780" priority="5916"/>
    <cfRule type="duplicateValues" dxfId="2779" priority="6872"/>
    <cfRule type="duplicateValues" dxfId="2778" priority="5915"/>
    <cfRule type="duplicateValues" dxfId="2777" priority="5920"/>
    <cfRule type="duplicateValues" dxfId="2776" priority="6853"/>
    <cfRule type="duplicateValues" dxfId="2775" priority="6852"/>
    <cfRule type="duplicateValues" dxfId="2774" priority="5919"/>
    <cfRule type="duplicateValues" dxfId="2773" priority="5859"/>
    <cfRule type="duplicateValues" dxfId="2772" priority="5858"/>
    <cfRule type="duplicateValues" dxfId="2771" priority="5857"/>
    <cfRule type="duplicateValues" dxfId="2770" priority="5856"/>
    <cfRule type="duplicateValues" dxfId="2769" priority="6861"/>
    <cfRule type="duplicateValues" dxfId="2768" priority="5855"/>
    <cfRule type="duplicateValues" dxfId="2767" priority="5921"/>
    <cfRule type="duplicateValues" dxfId="2766" priority="6844"/>
    <cfRule type="duplicateValues" dxfId="2765" priority="6843"/>
    <cfRule type="duplicateValues" dxfId="2764" priority="6869"/>
    <cfRule type="duplicateValues" dxfId="2763" priority="6854"/>
    <cfRule type="duplicateValues" dxfId="2762" priority="6855"/>
    <cfRule type="duplicateValues" dxfId="2761" priority="6856"/>
    <cfRule type="duplicateValues" dxfId="2760" priority="6877"/>
  </conditionalFormatting>
  <conditionalFormatting sqref="C41">
    <cfRule type="duplicateValues" dxfId="2759" priority="6380"/>
    <cfRule type="duplicateValues" dxfId="2758" priority="6344"/>
    <cfRule type="duplicateValues" dxfId="2757" priority="6345"/>
    <cfRule type="duplicateValues" dxfId="2756" priority="6346"/>
    <cfRule type="duplicateValues" dxfId="2755" priority="6347"/>
    <cfRule type="duplicateValues" dxfId="2754" priority="6348"/>
    <cfRule type="duplicateValues" dxfId="2753" priority="6349"/>
    <cfRule type="duplicateValues" dxfId="2752" priority="6350"/>
    <cfRule type="duplicateValues" dxfId="2751" priority="6351"/>
    <cfRule type="duplicateValues" dxfId="2750" priority="6352"/>
    <cfRule type="duplicateValues" dxfId="2749" priority="6353"/>
    <cfRule type="duplicateValues" dxfId="2748" priority="6354"/>
    <cfRule type="duplicateValues" dxfId="2747" priority="6355"/>
    <cfRule type="duplicateValues" dxfId="2746" priority="6356"/>
    <cfRule type="duplicateValues" dxfId="2745" priority="6357"/>
    <cfRule type="duplicateValues" dxfId="2744" priority="6358"/>
    <cfRule type="duplicateValues" dxfId="2743" priority="6359"/>
    <cfRule type="duplicateValues" dxfId="2742" priority="6381"/>
    <cfRule type="duplicateValues" dxfId="2741" priority="6382"/>
    <cfRule type="duplicateValues" dxfId="2740" priority="6383"/>
    <cfRule type="duplicateValues" dxfId="2739" priority="6360"/>
    <cfRule type="duplicateValues" dxfId="2738" priority="6384"/>
    <cfRule type="duplicateValues" dxfId="2737" priority="6385"/>
    <cfRule type="duplicateValues" dxfId="2736" priority="6386"/>
    <cfRule type="duplicateValues" dxfId="2735" priority="6387"/>
    <cfRule type="duplicateValues" dxfId="2734" priority="6388"/>
    <cfRule type="duplicateValues" dxfId="2733" priority="6389"/>
    <cfRule type="duplicateValues" dxfId="2732" priority="6361"/>
    <cfRule type="duplicateValues" dxfId="2731" priority="6362"/>
    <cfRule type="duplicateValues" dxfId="2730" priority="6363"/>
    <cfRule type="duplicateValues" dxfId="2729" priority="6364"/>
    <cfRule type="duplicateValues" dxfId="2728" priority="6343"/>
    <cfRule type="duplicateValues" dxfId="2727" priority="6379"/>
    <cfRule type="duplicateValues" dxfId="2726" priority="6330"/>
    <cfRule type="duplicateValues" dxfId="2725" priority="6331"/>
    <cfRule type="duplicateValues" dxfId="2724" priority="6378"/>
    <cfRule type="duplicateValues" dxfId="2723" priority="6365"/>
    <cfRule type="duplicateValues" dxfId="2722" priority="6332"/>
    <cfRule type="duplicateValues" dxfId="2721" priority="6333"/>
    <cfRule type="duplicateValues" dxfId="2720" priority="6334"/>
    <cfRule type="duplicateValues" dxfId="2719" priority="6335"/>
    <cfRule type="duplicateValues" dxfId="2718" priority="6336"/>
    <cfRule type="duplicateValues" dxfId="2717" priority="6337"/>
    <cfRule type="duplicateValues" dxfId="2716" priority="6338"/>
    <cfRule type="duplicateValues" dxfId="2715" priority="6339"/>
    <cfRule type="duplicateValues" dxfId="2714" priority="6340"/>
    <cfRule type="duplicateValues" dxfId="2713" priority="6341"/>
    <cfRule type="duplicateValues" dxfId="2712" priority="6342"/>
    <cfRule type="duplicateValues" dxfId="2711" priority="6377"/>
    <cfRule type="duplicateValues" dxfId="2710" priority="6376"/>
    <cfRule type="duplicateValues" dxfId="2709" priority="6375"/>
    <cfRule type="duplicateValues" dxfId="2708" priority="6374"/>
    <cfRule type="duplicateValues" dxfId="2707" priority="6373"/>
    <cfRule type="duplicateValues" dxfId="2706" priority="6372"/>
    <cfRule type="duplicateValues" dxfId="2705" priority="6371"/>
    <cfRule type="duplicateValues" dxfId="2704" priority="6370"/>
    <cfRule type="duplicateValues" dxfId="2703" priority="6369"/>
    <cfRule type="duplicateValues" dxfId="2702" priority="6368"/>
    <cfRule type="duplicateValues" dxfId="2701" priority="6367"/>
    <cfRule type="duplicateValues" dxfId="2700" priority="6366"/>
  </conditionalFormatting>
  <conditionalFormatting sqref="C42 C57 C61:C62 C73 C75">
    <cfRule type="duplicateValues" dxfId="2699" priority="7123"/>
    <cfRule type="duplicateValues" dxfId="2698" priority="7124"/>
    <cfRule type="duplicateValues" dxfId="2697" priority="7125"/>
    <cfRule type="duplicateValues" dxfId="2696" priority="7126"/>
    <cfRule type="duplicateValues" dxfId="2695" priority="7118"/>
    <cfRule type="duplicateValues" dxfId="2694" priority="7119"/>
    <cfRule type="duplicateValues" dxfId="2693" priority="7120"/>
    <cfRule type="duplicateValues" dxfId="2692" priority="7127"/>
    <cfRule type="duplicateValues" dxfId="2691" priority="7128"/>
    <cfRule type="duplicateValues" dxfId="2690" priority="7129"/>
    <cfRule type="duplicateValues" dxfId="2689" priority="7130"/>
    <cfRule type="duplicateValues" dxfId="2688" priority="7131"/>
    <cfRule type="duplicateValues" dxfId="2687" priority="7132"/>
    <cfRule type="duplicateValues" dxfId="2686" priority="7133"/>
    <cfRule type="duplicateValues" dxfId="2685" priority="7134"/>
    <cfRule type="duplicateValues" dxfId="2684" priority="7121"/>
    <cfRule type="duplicateValues" dxfId="2683" priority="7136"/>
    <cfRule type="duplicateValues" dxfId="2682" priority="7137"/>
    <cfRule type="duplicateValues" dxfId="2681" priority="7138"/>
    <cfRule type="duplicateValues" dxfId="2680" priority="7139"/>
    <cfRule type="duplicateValues" dxfId="2679" priority="7122"/>
    <cfRule type="duplicateValues" dxfId="2678" priority="7135"/>
  </conditionalFormatting>
  <conditionalFormatting sqref="C42 C61:C62 C73 C75">
    <cfRule type="duplicateValues" dxfId="2677" priority="7010"/>
    <cfRule type="duplicateValues" dxfId="2676" priority="7011"/>
    <cfRule type="duplicateValues" dxfId="2675" priority="7012"/>
    <cfRule type="duplicateValues" dxfId="2674" priority="7013"/>
    <cfRule type="duplicateValues" dxfId="2673" priority="7014"/>
    <cfRule type="duplicateValues" dxfId="2672" priority="7015"/>
    <cfRule type="duplicateValues" dxfId="2671" priority="7016"/>
    <cfRule type="duplicateValues" dxfId="2670" priority="7017"/>
    <cfRule type="duplicateValues" dxfId="2669" priority="7018"/>
    <cfRule type="duplicateValues" dxfId="2668" priority="6986"/>
    <cfRule type="duplicateValues" dxfId="2667" priority="6987"/>
    <cfRule type="duplicateValues" dxfId="2666" priority="6988"/>
    <cfRule type="duplicateValues" dxfId="2665" priority="6989"/>
    <cfRule type="duplicateValues" dxfId="2664" priority="6990"/>
    <cfRule type="duplicateValues" dxfId="2663" priority="6991"/>
    <cfRule type="duplicateValues" dxfId="2662" priority="6992"/>
    <cfRule type="duplicateValues" dxfId="2661" priority="6993"/>
    <cfRule type="duplicateValues" dxfId="2660" priority="6994"/>
    <cfRule type="duplicateValues" dxfId="2659" priority="6995"/>
    <cfRule type="duplicateValues" dxfId="2658" priority="6996"/>
    <cfRule type="duplicateValues" dxfId="2657" priority="6997"/>
    <cfRule type="duplicateValues" dxfId="2656" priority="6998"/>
    <cfRule type="duplicateValues" dxfId="2655" priority="6999"/>
    <cfRule type="duplicateValues" dxfId="2654" priority="7000"/>
    <cfRule type="duplicateValues" dxfId="2653" priority="7001"/>
    <cfRule type="duplicateValues" dxfId="2652" priority="7002"/>
    <cfRule type="duplicateValues" dxfId="2651" priority="7003"/>
    <cfRule type="duplicateValues" dxfId="2650" priority="7004"/>
    <cfRule type="duplicateValues" dxfId="2649" priority="7005"/>
    <cfRule type="duplicateValues" dxfId="2648" priority="7006"/>
    <cfRule type="duplicateValues" dxfId="2647" priority="7007"/>
    <cfRule type="duplicateValues" dxfId="2646" priority="7008"/>
    <cfRule type="duplicateValues" dxfId="2645" priority="7009"/>
  </conditionalFormatting>
  <conditionalFormatting sqref="C42">
    <cfRule type="duplicateValues" dxfId="2644" priority="6395"/>
    <cfRule type="duplicateValues" dxfId="2643" priority="6391"/>
    <cfRule type="duplicateValues" dxfId="2642" priority="6390"/>
    <cfRule type="duplicateValues" dxfId="2641" priority="6392"/>
    <cfRule type="duplicateValues" dxfId="2640" priority="6393"/>
    <cfRule type="duplicateValues" dxfId="2639" priority="6394"/>
  </conditionalFormatting>
  <conditionalFormatting sqref="C43">
    <cfRule type="duplicateValues" dxfId="2638" priority="8698"/>
    <cfRule type="duplicateValues" dxfId="2637" priority="8699"/>
    <cfRule type="duplicateValues" dxfId="2636" priority="8700"/>
    <cfRule type="duplicateValues" dxfId="2635" priority="8701"/>
    <cfRule type="duplicateValues" dxfId="2634" priority="8702"/>
    <cfRule type="duplicateValues" dxfId="2633" priority="8709"/>
    <cfRule type="duplicateValues" dxfId="2632" priority="5677"/>
    <cfRule type="duplicateValues" dxfId="2631" priority="8703"/>
    <cfRule type="duplicateValues" dxfId="2630" priority="8704"/>
    <cfRule type="duplicateValues" dxfId="2629" priority="8705"/>
    <cfRule type="duplicateValues" dxfId="2628" priority="8706"/>
    <cfRule type="duplicateValues" dxfId="2627" priority="8707"/>
    <cfRule type="duplicateValues" dxfId="2626" priority="8708"/>
    <cfRule type="duplicateValues" dxfId="2625" priority="8434"/>
    <cfRule type="duplicateValues" dxfId="2624" priority="8683"/>
    <cfRule type="duplicateValues" dxfId="2623" priority="8684"/>
    <cfRule type="duplicateValues" dxfId="2622" priority="8710"/>
    <cfRule type="duplicateValues" dxfId="2621" priority="8686"/>
    <cfRule type="duplicateValues" dxfId="2620" priority="8687"/>
    <cfRule type="duplicateValues" dxfId="2619" priority="8688"/>
    <cfRule type="duplicateValues" dxfId="2618" priority="8689"/>
    <cfRule type="duplicateValues" dxfId="2617" priority="8690"/>
    <cfRule type="duplicateValues" dxfId="2616" priority="8691"/>
    <cfRule type="duplicateValues" dxfId="2615" priority="8692"/>
    <cfRule type="duplicateValues" dxfId="2614" priority="8693"/>
    <cfRule type="duplicateValues" dxfId="2613" priority="8694"/>
    <cfRule type="duplicateValues" dxfId="2612" priority="8712"/>
    <cfRule type="duplicateValues" dxfId="2611" priority="8713"/>
    <cfRule type="duplicateValues" dxfId="2610" priority="8714"/>
    <cfRule type="duplicateValues" dxfId="2609" priority="8715"/>
    <cfRule type="duplicateValues" dxfId="2608" priority="8716"/>
    <cfRule type="duplicateValues" dxfId="2607" priority="8717"/>
    <cfRule type="duplicateValues" dxfId="2606" priority="8718"/>
    <cfRule type="duplicateValues" dxfId="2605" priority="8719"/>
    <cfRule type="duplicateValues" dxfId="2604" priority="8720"/>
    <cfRule type="duplicateValues" dxfId="2603" priority="8685"/>
    <cfRule type="duplicateValues" dxfId="2602" priority="8722"/>
    <cfRule type="duplicateValues" dxfId="2601" priority="8723"/>
    <cfRule type="duplicateValues" dxfId="2600" priority="8724"/>
    <cfRule type="duplicateValues" dxfId="2599" priority="8711"/>
    <cfRule type="duplicateValues" dxfId="2598" priority="5676"/>
    <cfRule type="duplicateValues" dxfId="2597" priority="5682"/>
    <cfRule type="duplicateValues" dxfId="2596" priority="8721"/>
    <cfRule type="duplicateValues" dxfId="2595" priority="5680"/>
    <cfRule type="duplicateValues" dxfId="2594" priority="5679"/>
    <cfRule type="duplicateValues" dxfId="2593" priority="5678"/>
    <cfRule type="duplicateValues" dxfId="2592" priority="8695"/>
    <cfRule type="duplicateValues" dxfId="2591" priority="8696"/>
    <cfRule type="duplicateValues" dxfId="2590" priority="8697"/>
    <cfRule type="duplicateValues" dxfId="2589" priority="5681"/>
  </conditionalFormatting>
  <conditionalFormatting sqref="C44 C68">
    <cfRule type="duplicateValues" dxfId="2588" priority="7238"/>
    <cfRule type="duplicateValues" dxfId="2587" priority="7239"/>
    <cfRule type="duplicateValues" dxfId="2586" priority="7240"/>
    <cfRule type="duplicateValues" dxfId="2585" priority="7214"/>
    <cfRule type="duplicateValues" dxfId="2584" priority="7216"/>
    <cfRule type="duplicateValues" dxfId="2583" priority="7217"/>
    <cfRule type="duplicateValues" dxfId="2582" priority="7218"/>
    <cfRule type="duplicateValues" dxfId="2581" priority="7219"/>
    <cfRule type="duplicateValues" dxfId="2580" priority="7220"/>
    <cfRule type="duplicateValues" dxfId="2579" priority="7221"/>
    <cfRule type="duplicateValues" dxfId="2578" priority="7222"/>
    <cfRule type="duplicateValues" dxfId="2577" priority="7223"/>
    <cfRule type="duplicateValues" dxfId="2576" priority="7215"/>
    <cfRule type="duplicateValues" dxfId="2575" priority="7225"/>
    <cfRule type="duplicateValues" dxfId="2574" priority="7235"/>
    <cfRule type="duplicateValues" dxfId="2573" priority="7227"/>
    <cfRule type="duplicateValues" dxfId="2572" priority="7228"/>
    <cfRule type="duplicateValues" dxfId="2571" priority="7229"/>
    <cfRule type="duplicateValues" dxfId="2570" priority="7230"/>
    <cfRule type="duplicateValues" dxfId="2569" priority="7213"/>
    <cfRule type="duplicateValues" dxfId="2568" priority="7231"/>
    <cfRule type="duplicateValues" dxfId="2567" priority="7224"/>
    <cfRule type="duplicateValues" dxfId="2566" priority="7232"/>
    <cfRule type="duplicateValues" dxfId="2565" priority="7226"/>
    <cfRule type="duplicateValues" dxfId="2564" priority="7233"/>
    <cfRule type="duplicateValues" dxfId="2563" priority="7234"/>
    <cfRule type="duplicateValues" dxfId="2562" priority="7237"/>
    <cfRule type="duplicateValues" dxfId="2561" priority="7236"/>
  </conditionalFormatting>
  <conditionalFormatting sqref="C44">
    <cfRule type="duplicateValues" dxfId="2560" priority="6605"/>
    <cfRule type="duplicateValues" dxfId="2559" priority="6599"/>
    <cfRule type="duplicateValues" dxfId="2558" priority="6600"/>
    <cfRule type="duplicateValues" dxfId="2557" priority="6601"/>
    <cfRule type="duplicateValues" dxfId="2556" priority="6602"/>
    <cfRule type="duplicateValues" dxfId="2555" priority="6603"/>
    <cfRule type="duplicateValues" dxfId="2554" priority="6604"/>
  </conditionalFormatting>
  <conditionalFormatting sqref="C45">
    <cfRule type="duplicateValues" dxfId="2553" priority="5508"/>
    <cfRule type="duplicateValues" dxfId="2552" priority="5507"/>
  </conditionalFormatting>
  <conditionalFormatting sqref="C46 C71">
    <cfRule type="duplicateValues" dxfId="2551" priority="5646"/>
    <cfRule type="duplicateValues" dxfId="2550" priority="5647"/>
    <cfRule type="duplicateValues" dxfId="2549" priority="5648"/>
    <cfRule type="duplicateValues" dxfId="2548" priority="5649"/>
    <cfRule type="duplicateValues" dxfId="2547" priority="5650"/>
    <cfRule type="duplicateValues" dxfId="2546" priority="5651"/>
    <cfRule type="duplicateValues" dxfId="2545" priority="5652"/>
    <cfRule type="duplicateValues" dxfId="2544" priority="5653"/>
    <cfRule type="duplicateValues" dxfId="2543" priority="5654"/>
    <cfRule type="duplicateValues" dxfId="2542" priority="5655"/>
    <cfRule type="duplicateValues" dxfId="2541" priority="5656"/>
    <cfRule type="duplicateValues" dxfId="2540" priority="5657"/>
    <cfRule type="duplicateValues" dxfId="2539" priority="5658"/>
    <cfRule type="duplicateValues" dxfId="2538" priority="5659"/>
    <cfRule type="duplicateValues" dxfId="2537" priority="5660"/>
    <cfRule type="duplicateValues" dxfId="2536" priority="5661"/>
    <cfRule type="duplicateValues" dxfId="2535" priority="5662"/>
    <cfRule type="duplicateValues" dxfId="2534" priority="5663"/>
    <cfRule type="duplicateValues" dxfId="2533" priority="5664"/>
    <cfRule type="duplicateValues" dxfId="2532" priority="5665"/>
    <cfRule type="duplicateValues" dxfId="2531" priority="5666"/>
    <cfRule type="duplicateValues" dxfId="2530" priority="5667"/>
    <cfRule type="duplicateValues" dxfId="2529" priority="5668"/>
    <cfRule type="duplicateValues" dxfId="2528" priority="5669"/>
    <cfRule type="duplicateValues" dxfId="2527" priority="5670"/>
    <cfRule type="duplicateValues" dxfId="2526" priority="5625"/>
    <cfRule type="duplicateValues" dxfId="2525" priority="5609"/>
    <cfRule type="duplicateValues" dxfId="2524" priority="5610"/>
    <cfRule type="duplicateValues" dxfId="2523" priority="5611"/>
    <cfRule type="duplicateValues" dxfId="2522" priority="5612"/>
    <cfRule type="duplicateValues" dxfId="2521" priority="5613"/>
    <cfRule type="duplicateValues" dxfId="2520" priority="5614"/>
    <cfRule type="duplicateValues" dxfId="2519" priority="5615"/>
    <cfRule type="duplicateValues" dxfId="2518" priority="5616"/>
    <cfRule type="duplicateValues" dxfId="2517" priority="5617"/>
    <cfRule type="duplicateValues" dxfId="2516" priority="5618"/>
    <cfRule type="duplicateValues" dxfId="2515" priority="5619"/>
    <cfRule type="duplicateValues" dxfId="2514" priority="5620"/>
    <cfRule type="duplicateValues" dxfId="2513" priority="5621"/>
    <cfRule type="duplicateValues" dxfId="2512" priority="5622"/>
    <cfRule type="duplicateValues" dxfId="2511" priority="5623"/>
    <cfRule type="duplicateValues" dxfId="2510" priority="5624"/>
    <cfRule type="duplicateValues" dxfId="2509" priority="5626"/>
    <cfRule type="duplicateValues" dxfId="2508" priority="5627"/>
    <cfRule type="duplicateValues" dxfId="2507" priority="5628"/>
    <cfRule type="duplicateValues" dxfId="2506" priority="5629"/>
    <cfRule type="duplicateValues" dxfId="2505" priority="5630"/>
    <cfRule type="duplicateValues" dxfId="2504" priority="5631"/>
    <cfRule type="duplicateValues" dxfId="2503" priority="5632"/>
    <cfRule type="duplicateValues" dxfId="2502" priority="5633"/>
    <cfRule type="duplicateValues" dxfId="2501" priority="5634"/>
    <cfRule type="duplicateValues" dxfId="2500" priority="5635"/>
    <cfRule type="duplicateValues" dxfId="2499" priority="5636"/>
    <cfRule type="duplicateValues" dxfId="2498" priority="5637"/>
    <cfRule type="duplicateValues" dxfId="2497" priority="5638"/>
    <cfRule type="duplicateValues" dxfId="2496" priority="5639"/>
    <cfRule type="duplicateValues" dxfId="2495" priority="5640"/>
    <cfRule type="duplicateValues" dxfId="2494" priority="5641"/>
    <cfRule type="duplicateValues" dxfId="2493" priority="5642"/>
    <cfRule type="duplicateValues" dxfId="2492" priority="5643"/>
    <cfRule type="duplicateValues" dxfId="2491" priority="5644"/>
    <cfRule type="duplicateValues" dxfId="2490" priority="5645"/>
  </conditionalFormatting>
  <conditionalFormatting sqref="C52 C82">
    <cfRule type="duplicateValues" dxfId="2489" priority="5732"/>
    <cfRule type="duplicateValues" dxfId="2488" priority="6752"/>
    <cfRule type="duplicateValues" dxfId="2487" priority="6753"/>
    <cfRule type="duplicateValues" dxfId="2486" priority="5734"/>
    <cfRule type="duplicateValues" dxfId="2485" priority="6767"/>
    <cfRule type="duplicateValues" dxfId="2484" priority="6768"/>
    <cfRule type="duplicateValues" dxfId="2483" priority="6751"/>
    <cfRule type="duplicateValues" dxfId="2482" priority="6770"/>
    <cfRule type="duplicateValues" dxfId="2481" priority="6771"/>
    <cfRule type="duplicateValues" dxfId="2480" priority="6772"/>
    <cfRule type="duplicateValues" dxfId="2479" priority="6773"/>
    <cfRule type="duplicateValues" dxfId="2478" priority="6762"/>
    <cfRule type="duplicateValues" dxfId="2477" priority="5733"/>
    <cfRule type="duplicateValues" dxfId="2476" priority="6732"/>
    <cfRule type="duplicateValues" dxfId="2475" priority="6769"/>
    <cfRule type="duplicateValues" dxfId="2474" priority="6733"/>
    <cfRule type="duplicateValues" dxfId="2473" priority="6734"/>
    <cfRule type="duplicateValues" dxfId="2472" priority="6735"/>
    <cfRule type="duplicateValues" dxfId="2471" priority="6736"/>
    <cfRule type="duplicateValues" dxfId="2470" priority="5725"/>
    <cfRule type="duplicateValues" dxfId="2469" priority="5726"/>
    <cfRule type="duplicateValues" dxfId="2468" priority="5727"/>
    <cfRule type="duplicateValues" dxfId="2467" priority="5728"/>
    <cfRule type="duplicateValues" dxfId="2466" priority="5729"/>
    <cfRule type="duplicateValues" dxfId="2465" priority="5730"/>
    <cfRule type="duplicateValues" dxfId="2464" priority="5731"/>
    <cfRule type="duplicateValues" dxfId="2463" priority="6737"/>
    <cfRule type="duplicateValues" dxfId="2462" priority="6738"/>
    <cfRule type="duplicateValues" dxfId="2461" priority="6739"/>
    <cfRule type="duplicateValues" dxfId="2460" priority="6740"/>
    <cfRule type="duplicateValues" dxfId="2459" priority="6741"/>
    <cfRule type="duplicateValues" dxfId="2458" priority="6742"/>
    <cfRule type="duplicateValues" dxfId="2457" priority="6743"/>
    <cfRule type="duplicateValues" dxfId="2456" priority="6744"/>
    <cfRule type="duplicateValues" dxfId="2455" priority="6745"/>
    <cfRule type="duplicateValues" dxfId="2454" priority="6746"/>
    <cfRule type="duplicateValues" dxfId="2453" priority="6747"/>
    <cfRule type="duplicateValues" dxfId="2452" priority="6748"/>
    <cfRule type="duplicateValues" dxfId="2451" priority="6749"/>
    <cfRule type="duplicateValues" dxfId="2450" priority="6750"/>
    <cfRule type="duplicateValues" dxfId="2449" priority="6754"/>
    <cfRule type="duplicateValues" dxfId="2448" priority="6755"/>
    <cfRule type="duplicateValues" dxfId="2447" priority="6756"/>
    <cfRule type="duplicateValues" dxfId="2446" priority="6757"/>
    <cfRule type="duplicateValues" dxfId="2445" priority="6758"/>
    <cfRule type="duplicateValues" dxfId="2444" priority="6759"/>
    <cfRule type="duplicateValues" dxfId="2443" priority="6760"/>
    <cfRule type="duplicateValues" dxfId="2442" priority="6761"/>
    <cfRule type="duplicateValues" dxfId="2441" priority="6763"/>
    <cfRule type="duplicateValues" dxfId="2440" priority="6764"/>
    <cfRule type="duplicateValues" dxfId="2439" priority="6765"/>
    <cfRule type="duplicateValues" dxfId="2438" priority="6766"/>
    <cfRule type="duplicateValues" dxfId="2437" priority="5737"/>
    <cfRule type="duplicateValues" dxfId="2436" priority="5736"/>
    <cfRule type="duplicateValues" dxfId="2435" priority="5735"/>
  </conditionalFormatting>
  <conditionalFormatting sqref="C53">
    <cfRule type="duplicateValues" dxfId="2434" priority="7874"/>
    <cfRule type="duplicateValues" dxfId="2433" priority="7875"/>
    <cfRule type="duplicateValues" dxfId="2432" priority="7876"/>
    <cfRule type="duplicateValues" dxfId="2431" priority="7877"/>
    <cfRule type="duplicateValues" dxfId="2430" priority="7878"/>
    <cfRule type="duplicateValues" dxfId="2429" priority="7879"/>
    <cfRule type="duplicateValues" dxfId="2428" priority="7880"/>
    <cfRule type="duplicateValues" dxfId="2427" priority="7881"/>
    <cfRule type="duplicateValues" dxfId="2426" priority="7882"/>
    <cfRule type="duplicateValues" dxfId="2425" priority="7883"/>
    <cfRule type="duplicateValues" dxfId="2424" priority="7884"/>
    <cfRule type="duplicateValues" dxfId="2423" priority="7886"/>
    <cfRule type="duplicateValues" dxfId="2422" priority="7887"/>
    <cfRule type="duplicateValues" dxfId="2421" priority="7888"/>
    <cfRule type="duplicateValues" dxfId="2420" priority="7889"/>
    <cfRule type="duplicateValues" dxfId="2419" priority="7890"/>
    <cfRule type="duplicateValues" dxfId="2418" priority="7891"/>
    <cfRule type="duplicateValues" dxfId="2417" priority="7892"/>
    <cfRule type="duplicateValues" dxfId="2416" priority="7893"/>
    <cfRule type="duplicateValues" dxfId="2415" priority="7894"/>
    <cfRule type="duplicateValues" dxfId="2414" priority="7895"/>
    <cfRule type="duplicateValues" dxfId="2413" priority="7896"/>
    <cfRule type="duplicateValues" dxfId="2412" priority="7897"/>
    <cfRule type="duplicateValues" dxfId="2411" priority="7898"/>
    <cfRule type="duplicateValues" dxfId="2410" priority="7899"/>
    <cfRule type="duplicateValues" dxfId="2409" priority="7900"/>
    <cfRule type="duplicateValues" dxfId="2408" priority="7901"/>
    <cfRule type="duplicateValues" dxfId="2407" priority="7902"/>
    <cfRule type="duplicateValues" dxfId="2406" priority="7903"/>
    <cfRule type="duplicateValues" dxfId="2405" priority="7904"/>
    <cfRule type="duplicateValues" dxfId="2404" priority="7905"/>
    <cfRule type="duplicateValues" dxfId="2403" priority="7906"/>
    <cfRule type="duplicateValues" dxfId="2402" priority="7907"/>
    <cfRule type="duplicateValues" dxfId="2401" priority="7908"/>
    <cfRule type="duplicateValues" dxfId="2400" priority="7909"/>
    <cfRule type="duplicateValues" dxfId="2399" priority="7910"/>
    <cfRule type="duplicateValues" dxfId="2398" priority="7869"/>
    <cfRule type="duplicateValues" dxfId="2397" priority="7868"/>
    <cfRule type="duplicateValues" dxfId="2396" priority="7867"/>
    <cfRule type="duplicateValues" dxfId="2395" priority="7866"/>
    <cfRule type="duplicateValues" dxfId="2394" priority="7865"/>
    <cfRule type="duplicateValues" dxfId="2393" priority="7864"/>
    <cfRule type="duplicateValues" dxfId="2392" priority="7863"/>
    <cfRule type="duplicateValues" dxfId="2391" priority="7862"/>
    <cfRule type="duplicateValues" dxfId="2390" priority="7861"/>
    <cfRule type="duplicateValues" dxfId="2389" priority="7860"/>
    <cfRule type="duplicateValues" dxfId="2388" priority="7885"/>
    <cfRule type="duplicateValues" dxfId="2387" priority="7859"/>
    <cfRule type="duplicateValues" dxfId="2386" priority="7858"/>
    <cfRule type="duplicateValues" dxfId="2385" priority="7857"/>
    <cfRule type="duplicateValues" dxfId="2384" priority="7856"/>
    <cfRule type="duplicateValues" dxfId="2383" priority="7855"/>
    <cfRule type="duplicateValues" dxfId="2382" priority="7854"/>
    <cfRule type="duplicateValues" dxfId="2381" priority="7853"/>
    <cfRule type="duplicateValues" dxfId="2380" priority="7852"/>
    <cfRule type="duplicateValues" dxfId="2379" priority="7851"/>
    <cfRule type="duplicateValues" dxfId="2378" priority="7873"/>
    <cfRule type="duplicateValues" dxfId="2377" priority="7872"/>
    <cfRule type="duplicateValues" dxfId="2376" priority="7871"/>
    <cfRule type="duplicateValues" dxfId="2375" priority="7870"/>
    <cfRule type="duplicateValues" dxfId="2374" priority="7850"/>
  </conditionalFormatting>
  <conditionalFormatting sqref="C54">
    <cfRule type="duplicateValues" dxfId="2373" priority="5893"/>
    <cfRule type="duplicateValues" dxfId="2372" priority="5892"/>
    <cfRule type="duplicateValues" dxfId="2371" priority="5891"/>
    <cfRule type="duplicateValues" dxfId="2370" priority="5890"/>
    <cfRule type="duplicateValues" dxfId="2369" priority="5889"/>
    <cfRule type="duplicateValues" dxfId="2368" priority="5888"/>
    <cfRule type="duplicateValues" dxfId="2367" priority="5887"/>
    <cfRule type="duplicateValues" dxfId="2366" priority="5886"/>
    <cfRule type="duplicateValues" dxfId="2365" priority="5885"/>
    <cfRule type="duplicateValues" dxfId="2364" priority="5884"/>
    <cfRule type="duplicateValues" dxfId="2363" priority="5883"/>
    <cfRule type="duplicateValues" dxfId="2362" priority="5882"/>
    <cfRule type="duplicateValues" dxfId="2361" priority="5865"/>
    <cfRule type="duplicateValues" dxfId="2360" priority="5881"/>
    <cfRule type="duplicateValues" dxfId="2359" priority="5880"/>
    <cfRule type="duplicateValues" dxfId="2358" priority="5879"/>
    <cfRule type="duplicateValues" dxfId="2357" priority="5878"/>
    <cfRule type="duplicateValues" dxfId="2356" priority="5877"/>
    <cfRule type="duplicateValues" dxfId="2355" priority="5876"/>
    <cfRule type="duplicateValues" dxfId="2354" priority="5875"/>
    <cfRule type="duplicateValues" dxfId="2353" priority="5874"/>
    <cfRule type="duplicateValues" dxfId="2352" priority="5873"/>
    <cfRule type="duplicateValues" dxfId="2351" priority="5872"/>
    <cfRule type="duplicateValues" dxfId="2350" priority="5871"/>
    <cfRule type="duplicateValues" dxfId="2349" priority="5870"/>
    <cfRule type="duplicateValues" dxfId="2348" priority="5869"/>
    <cfRule type="duplicateValues" dxfId="2347" priority="5868"/>
    <cfRule type="duplicateValues" dxfId="2346" priority="5867"/>
    <cfRule type="duplicateValues" dxfId="2345" priority="5866"/>
    <cfRule type="duplicateValues" dxfId="2344" priority="5864"/>
    <cfRule type="duplicateValues" dxfId="2343" priority="5863"/>
    <cfRule type="duplicateValues" dxfId="2342" priority="5861"/>
    <cfRule type="duplicateValues" dxfId="2341" priority="5860"/>
    <cfRule type="duplicateValues" dxfId="2340" priority="5862"/>
    <cfRule type="duplicateValues" dxfId="2339" priority="5905"/>
    <cfRule type="duplicateValues" dxfId="2338" priority="5904"/>
    <cfRule type="duplicateValues" dxfId="2337" priority="5903"/>
    <cfRule type="duplicateValues" dxfId="2336" priority="5902"/>
    <cfRule type="duplicateValues" dxfId="2335" priority="5901"/>
    <cfRule type="duplicateValues" dxfId="2334" priority="5900"/>
    <cfRule type="duplicateValues" dxfId="2333" priority="5899"/>
    <cfRule type="duplicateValues" dxfId="2332" priority="5898"/>
    <cfRule type="duplicateValues" dxfId="2331" priority="5897"/>
    <cfRule type="duplicateValues" dxfId="2330" priority="5907"/>
    <cfRule type="duplicateValues" dxfId="2329" priority="5908"/>
    <cfRule type="duplicateValues" dxfId="2328" priority="5909"/>
    <cfRule type="duplicateValues" dxfId="2327" priority="5910"/>
    <cfRule type="duplicateValues" dxfId="2326" priority="5911"/>
    <cfRule type="duplicateValues" dxfId="2325" priority="5912"/>
    <cfRule type="duplicateValues" dxfId="2324" priority="5913"/>
    <cfRule type="duplicateValues" dxfId="2323" priority="5914"/>
    <cfRule type="duplicateValues" dxfId="2322" priority="5896"/>
    <cfRule type="duplicateValues" dxfId="2321" priority="5906"/>
    <cfRule type="duplicateValues" dxfId="2320" priority="5895"/>
    <cfRule type="duplicateValues" dxfId="2319" priority="5894"/>
  </conditionalFormatting>
  <conditionalFormatting sqref="C56 C48:C50">
    <cfRule type="duplicateValues" dxfId="2318" priority="11120"/>
    <cfRule type="duplicateValues" dxfId="2317" priority="11121"/>
    <cfRule type="duplicateValues" dxfId="2316" priority="11122"/>
    <cfRule type="duplicateValues" dxfId="2315" priority="11123"/>
    <cfRule type="duplicateValues" dxfId="2314" priority="11124"/>
    <cfRule type="duplicateValues" dxfId="2313" priority="11125"/>
    <cfRule type="duplicateValues" dxfId="2312" priority="11126"/>
  </conditionalFormatting>
  <conditionalFormatting sqref="C57">
    <cfRule type="duplicateValues" dxfId="2311" priority="6431"/>
  </conditionalFormatting>
  <conditionalFormatting sqref="C60 C77:C79 C58">
    <cfRule type="duplicateValues" dxfId="2310" priority="8911"/>
    <cfRule type="duplicateValues" dxfId="2309" priority="8910"/>
    <cfRule type="duplicateValues" dxfId="2308" priority="8915"/>
    <cfRule type="duplicateValues" dxfId="2307" priority="8908"/>
    <cfRule type="duplicateValues" dxfId="2306" priority="8907"/>
    <cfRule type="duplicateValues" dxfId="2305" priority="8909"/>
    <cfRule type="duplicateValues" dxfId="2304" priority="8912"/>
    <cfRule type="duplicateValues" dxfId="2303" priority="8913"/>
    <cfRule type="duplicateValues" dxfId="2302" priority="8914"/>
    <cfRule type="duplicateValues" dxfId="2301" priority="8916"/>
  </conditionalFormatting>
  <conditionalFormatting sqref="C60 C77:C79 C63 C58 C66">
    <cfRule type="duplicateValues" dxfId="2300" priority="8825"/>
    <cfRule type="duplicateValues" dxfId="2299" priority="8826"/>
    <cfRule type="duplicateValues" dxfId="2298" priority="8827"/>
    <cfRule type="duplicateValues" dxfId="2297" priority="8828"/>
    <cfRule type="duplicateValues" dxfId="2296" priority="8829"/>
    <cfRule type="duplicateValues" dxfId="2295" priority="8830"/>
    <cfRule type="duplicateValues" dxfId="2294" priority="8832"/>
    <cfRule type="duplicateValues" dxfId="2293" priority="8833"/>
    <cfRule type="duplicateValues" dxfId="2292" priority="8834"/>
    <cfRule type="duplicateValues" dxfId="2291" priority="8815"/>
    <cfRule type="duplicateValues" dxfId="2290" priority="8811"/>
    <cfRule type="duplicateValues" dxfId="2289" priority="8812"/>
    <cfRule type="duplicateValues" dxfId="2288" priority="8813"/>
    <cfRule type="duplicateValues" dxfId="2287" priority="8831"/>
    <cfRule type="duplicateValues" dxfId="2286" priority="8814"/>
    <cfRule type="duplicateValues" dxfId="2285" priority="8816"/>
    <cfRule type="duplicateValues" dxfId="2284" priority="8817"/>
    <cfRule type="duplicateValues" dxfId="2283" priority="8818"/>
    <cfRule type="duplicateValues" dxfId="2282" priority="8819"/>
    <cfRule type="duplicateValues" dxfId="2281" priority="8820"/>
    <cfRule type="duplicateValues" dxfId="2280" priority="8822"/>
    <cfRule type="duplicateValues" dxfId="2279" priority="8823"/>
    <cfRule type="duplicateValues" dxfId="2278" priority="8821"/>
    <cfRule type="duplicateValues" dxfId="2277" priority="8824"/>
  </conditionalFormatting>
  <conditionalFormatting sqref="C63 C66">
    <cfRule type="duplicateValues" dxfId="2276" priority="6683"/>
    <cfRule type="duplicateValues" dxfId="2275" priority="6680"/>
    <cfRule type="duplicateValues" dxfId="2274" priority="6681"/>
    <cfRule type="duplicateValues" dxfId="2273" priority="6682"/>
  </conditionalFormatting>
  <conditionalFormatting sqref="C63">
    <cfRule type="duplicateValues" dxfId="2272" priority="5543"/>
    <cfRule type="duplicateValues" dxfId="2271" priority="5549"/>
    <cfRule type="duplicateValues" dxfId="2270" priority="5544"/>
    <cfRule type="duplicateValues" dxfId="2269" priority="5542"/>
    <cfRule type="duplicateValues" dxfId="2268" priority="5548"/>
    <cfRule type="duplicateValues" dxfId="2267" priority="5547"/>
    <cfRule type="duplicateValues" dxfId="2266" priority="5546"/>
    <cfRule type="duplicateValues" dxfId="2265" priority="5545"/>
  </conditionalFormatting>
  <conditionalFormatting sqref="C64">
    <cfRule type="duplicateValues" dxfId="2264" priority="6423"/>
    <cfRule type="duplicateValues" dxfId="2263" priority="6396"/>
    <cfRule type="duplicateValues" dxfId="2262" priority="6425"/>
    <cfRule type="duplicateValues" dxfId="2261" priority="6414"/>
    <cfRule type="duplicateValues" dxfId="2260" priority="6397"/>
    <cfRule type="duplicateValues" dxfId="2259" priority="6398"/>
    <cfRule type="duplicateValues" dxfId="2258" priority="6399"/>
    <cfRule type="duplicateValues" dxfId="2257" priority="6400"/>
    <cfRule type="duplicateValues" dxfId="2256" priority="6401"/>
    <cfRule type="duplicateValues" dxfId="2255" priority="6402"/>
    <cfRule type="duplicateValues" dxfId="2254" priority="6403"/>
    <cfRule type="duplicateValues" dxfId="2253" priority="6404"/>
    <cfRule type="duplicateValues" dxfId="2252" priority="6424"/>
    <cfRule type="duplicateValues" dxfId="2251" priority="6406"/>
    <cfRule type="duplicateValues" dxfId="2250" priority="6407"/>
    <cfRule type="duplicateValues" dxfId="2249" priority="6408"/>
    <cfRule type="duplicateValues" dxfId="2248" priority="6409"/>
    <cfRule type="duplicateValues" dxfId="2247" priority="6410"/>
    <cfRule type="duplicateValues" dxfId="2246" priority="6411"/>
    <cfRule type="duplicateValues" dxfId="2245" priority="6412"/>
    <cfRule type="duplicateValues" dxfId="2244" priority="6413"/>
    <cfRule type="duplicateValues" dxfId="2243" priority="6426"/>
    <cfRule type="duplicateValues" dxfId="2242" priority="6427"/>
    <cfRule type="duplicateValues" dxfId="2241" priority="6405"/>
    <cfRule type="duplicateValues" dxfId="2240" priority="6429"/>
    <cfRule type="duplicateValues" dxfId="2239" priority="6430"/>
    <cfRule type="duplicateValues" dxfId="2238" priority="6415"/>
    <cfRule type="duplicateValues" dxfId="2237" priority="6416"/>
    <cfRule type="duplicateValues" dxfId="2236" priority="6417"/>
    <cfRule type="duplicateValues" dxfId="2235" priority="6418"/>
    <cfRule type="duplicateValues" dxfId="2234" priority="6419"/>
    <cfRule type="duplicateValues" dxfId="2233" priority="6420"/>
    <cfRule type="duplicateValues" dxfId="2232" priority="6421"/>
    <cfRule type="duplicateValues" dxfId="2231" priority="6422"/>
    <cfRule type="duplicateValues" dxfId="2230" priority="6428"/>
  </conditionalFormatting>
  <conditionalFormatting sqref="C65">
    <cfRule type="duplicateValues" dxfId="2229" priority="5530"/>
    <cfRule type="duplicateValues" dxfId="2228" priority="5531"/>
  </conditionalFormatting>
  <conditionalFormatting sqref="C66">
    <cfRule type="duplicateValues" dxfId="2227" priority="5608"/>
    <cfRule type="duplicateValues" dxfId="2226" priority="5582"/>
    <cfRule type="duplicateValues" dxfId="2225" priority="5583"/>
    <cfRule type="duplicateValues" dxfId="2224" priority="5584"/>
    <cfRule type="duplicateValues" dxfId="2223" priority="5585"/>
    <cfRule type="duplicateValues" dxfId="2222" priority="5586"/>
    <cfRule type="duplicateValues" dxfId="2221" priority="5587"/>
    <cfRule type="duplicateValues" dxfId="2220" priority="5588"/>
    <cfRule type="duplicateValues" dxfId="2219" priority="5589"/>
    <cfRule type="duplicateValues" dxfId="2218" priority="5590"/>
    <cfRule type="duplicateValues" dxfId="2217" priority="5591"/>
    <cfRule type="duplicateValues" dxfId="2216" priority="5592"/>
    <cfRule type="duplicateValues" dxfId="2215" priority="5593"/>
    <cfRule type="duplicateValues" dxfId="2214" priority="5594"/>
    <cfRule type="duplicateValues" dxfId="2213" priority="5595"/>
    <cfRule type="duplicateValues" dxfId="2212" priority="5596"/>
    <cfRule type="duplicateValues" dxfId="2211" priority="5607"/>
    <cfRule type="duplicateValues" dxfId="2210" priority="5597"/>
    <cfRule type="duplicateValues" dxfId="2209" priority="5598"/>
    <cfRule type="duplicateValues" dxfId="2208" priority="5599"/>
    <cfRule type="duplicateValues" dxfId="2207" priority="5600"/>
    <cfRule type="duplicateValues" dxfId="2206" priority="5601"/>
    <cfRule type="duplicateValues" dxfId="2205" priority="5602"/>
    <cfRule type="duplicateValues" dxfId="2204" priority="5603"/>
    <cfRule type="duplicateValues" dxfId="2203" priority="5604"/>
    <cfRule type="duplicateValues" dxfId="2202" priority="5605"/>
    <cfRule type="duplicateValues" dxfId="2201" priority="5606"/>
    <cfRule type="duplicateValues" dxfId="2200" priority="5578"/>
    <cfRule type="duplicateValues" dxfId="2199" priority="5579"/>
    <cfRule type="duplicateValues" dxfId="2198" priority="5580"/>
    <cfRule type="duplicateValues" dxfId="2197" priority="5581"/>
  </conditionalFormatting>
  <conditionalFormatting sqref="C67">
    <cfRule type="duplicateValues" dxfId="2196" priority="6552"/>
    <cfRule type="duplicateValues" dxfId="2195" priority="6553"/>
    <cfRule type="duplicateValues" dxfId="2194" priority="6551"/>
  </conditionalFormatting>
  <conditionalFormatting sqref="C68">
    <cfRule type="duplicateValues" dxfId="2193" priority="6304"/>
    <cfRule type="duplicateValues" dxfId="2192" priority="6305"/>
    <cfRule type="duplicateValues" dxfId="2191" priority="6306"/>
    <cfRule type="duplicateValues" dxfId="2190" priority="6307"/>
    <cfRule type="duplicateValues" dxfId="2189" priority="6308"/>
    <cfRule type="duplicateValues" dxfId="2188" priority="6309"/>
    <cfRule type="duplicateValues" dxfId="2187" priority="6310"/>
    <cfRule type="duplicateValues" dxfId="2186" priority="6311"/>
    <cfRule type="duplicateValues" dxfId="2185" priority="6312"/>
    <cfRule type="duplicateValues" dxfId="2184" priority="6314"/>
    <cfRule type="duplicateValues" dxfId="2183" priority="6315"/>
    <cfRule type="duplicateValues" dxfId="2182" priority="6316"/>
    <cfRule type="duplicateValues" dxfId="2181" priority="6317"/>
    <cfRule type="duplicateValues" dxfId="2180" priority="6318"/>
    <cfRule type="duplicateValues" dxfId="2179" priority="6319"/>
    <cfRule type="duplicateValues" dxfId="2178" priority="6313"/>
  </conditionalFormatting>
  <conditionalFormatting sqref="C69">
    <cfRule type="duplicateValues" dxfId="2177" priority="5502"/>
    <cfRule type="duplicateValues" dxfId="2176" priority="5503"/>
    <cfRule type="duplicateValues" dxfId="2175" priority="5504"/>
    <cfRule type="duplicateValues" dxfId="2174" priority="5471"/>
    <cfRule type="duplicateValues" dxfId="2173" priority="5501"/>
    <cfRule type="duplicateValues" dxfId="2172" priority="5469"/>
    <cfRule type="duplicateValues" dxfId="2171" priority="5470"/>
    <cfRule type="duplicateValues" dxfId="2170" priority="5472"/>
    <cfRule type="duplicateValues" dxfId="2169" priority="5473"/>
    <cfRule type="duplicateValues" dxfId="2168" priority="5474"/>
    <cfRule type="duplicateValues" dxfId="2167" priority="5475"/>
    <cfRule type="duplicateValues" dxfId="2166" priority="5476"/>
    <cfRule type="duplicateValues" dxfId="2165" priority="5477"/>
    <cfRule type="duplicateValues" dxfId="2164" priority="5478"/>
    <cfRule type="duplicateValues" dxfId="2163" priority="5479"/>
    <cfRule type="duplicateValues" dxfId="2162" priority="5480"/>
    <cfRule type="duplicateValues" dxfId="2161" priority="5481"/>
    <cfRule type="duplicateValues" dxfId="2160" priority="5482"/>
    <cfRule type="duplicateValues" dxfId="2159" priority="5483"/>
    <cfRule type="duplicateValues" dxfId="2158" priority="5484"/>
    <cfRule type="duplicateValues" dxfId="2157" priority="5485"/>
    <cfRule type="duplicateValues" dxfId="2156" priority="5486"/>
    <cfRule type="duplicateValues" dxfId="2155" priority="5487"/>
    <cfRule type="duplicateValues" dxfId="2154" priority="5488"/>
    <cfRule type="duplicateValues" dxfId="2153" priority="5489"/>
    <cfRule type="duplicateValues" dxfId="2152" priority="5490"/>
    <cfRule type="duplicateValues" dxfId="2151" priority="5491"/>
    <cfRule type="duplicateValues" dxfId="2150" priority="5492"/>
    <cfRule type="duplicateValues" dxfId="2149" priority="5493"/>
    <cfRule type="duplicateValues" dxfId="2148" priority="5494"/>
    <cfRule type="duplicateValues" dxfId="2147" priority="5495"/>
    <cfRule type="duplicateValues" dxfId="2146" priority="5496"/>
    <cfRule type="duplicateValues" dxfId="2145" priority="5497"/>
    <cfRule type="duplicateValues" dxfId="2144" priority="5498"/>
    <cfRule type="duplicateValues" dxfId="2143" priority="5499"/>
    <cfRule type="duplicateValues" dxfId="2142" priority="5500"/>
  </conditionalFormatting>
  <conditionalFormatting sqref="C70">
    <cfRule type="duplicateValues" dxfId="2141" priority="5363"/>
    <cfRule type="duplicateValues" dxfId="2140" priority="5364"/>
    <cfRule type="duplicateValues" dxfId="2139" priority="5365"/>
    <cfRule type="duplicateValues" dxfId="2138" priority="5366"/>
    <cfRule type="duplicateValues" dxfId="2137" priority="5367"/>
    <cfRule type="duplicateValues" dxfId="2136" priority="5368"/>
    <cfRule type="duplicateValues" dxfId="2135" priority="5369"/>
    <cfRule type="duplicateValues" dxfId="2134" priority="5393"/>
    <cfRule type="duplicateValues" dxfId="2133" priority="5361"/>
    <cfRule type="duplicateValues" dxfId="2132" priority="5362"/>
    <cfRule type="duplicateValues" dxfId="2131" priority="5389"/>
    <cfRule type="duplicateValues" dxfId="2130" priority="5388"/>
    <cfRule type="duplicateValues" dxfId="2129" priority="5387"/>
    <cfRule type="duplicateValues" dxfId="2128" priority="5386"/>
    <cfRule type="duplicateValues" dxfId="2127" priority="5385"/>
    <cfRule type="duplicateValues" dxfId="2126" priority="5384"/>
    <cfRule type="duplicateValues" dxfId="2125" priority="5383"/>
    <cfRule type="duplicateValues" dxfId="2124" priority="5382"/>
    <cfRule type="duplicateValues" dxfId="2123" priority="5381"/>
    <cfRule type="duplicateValues" dxfId="2122" priority="5380"/>
    <cfRule type="duplicateValues" dxfId="2121" priority="5379"/>
    <cfRule type="duplicateValues" dxfId="2120" priority="5378"/>
    <cfRule type="duplicateValues" dxfId="2119" priority="5377"/>
    <cfRule type="duplicateValues" dxfId="2118" priority="5376"/>
    <cfRule type="duplicateValues" dxfId="2117" priority="5375"/>
    <cfRule type="duplicateValues" dxfId="2116" priority="5392"/>
    <cfRule type="duplicateValues" dxfId="2115" priority="5373"/>
    <cfRule type="duplicateValues" dxfId="2114" priority="5372"/>
    <cfRule type="duplicateValues" dxfId="2113" priority="5374"/>
    <cfRule type="duplicateValues" dxfId="2112" priority="5391"/>
    <cfRule type="duplicateValues" dxfId="2111" priority="5405"/>
    <cfRule type="duplicateValues" dxfId="2110" priority="5406"/>
    <cfRule type="duplicateValues" dxfId="2109" priority="5407"/>
    <cfRule type="duplicateValues" dxfId="2108" priority="5408"/>
    <cfRule type="duplicateValues" dxfId="2107" priority="5409"/>
    <cfRule type="duplicateValues" dxfId="2106" priority="5410"/>
    <cfRule type="duplicateValues" dxfId="2105" priority="5411"/>
    <cfRule type="duplicateValues" dxfId="2104" priority="5412"/>
    <cfRule type="duplicateValues" dxfId="2103" priority="5413"/>
    <cfRule type="duplicateValues" dxfId="2102" priority="5414"/>
    <cfRule type="duplicateValues" dxfId="2101" priority="5415"/>
    <cfRule type="duplicateValues" dxfId="2100" priority="5416"/>
    <cfRule type="duplicateValues" dxfId="2099" priority="5417"/>
    <cfRule type="duplicateValues" dxfId="2098" priority="5404"/>
    <cfRule type="duplicateValues" dxfId="2097" priority="5401"/>
    <cfRule type="duplicateValues" dxfId="2096" priority="5400"/>
    <cfRule type="duplicateValues" dxfId="2095" priority="5403"/>
    <cfRule type="duplicateValues" dxfId="2094" priority="5371"/>
    <cfRule type="duplicateValues" dxfId="2093" priority="5370"/>
    <cfRule type="duplicateValues" dxfId="2092" priority="5399"/>
    <cfRule type="duplicateValues" dxfId="2091" priority="5398"/>
    <cfRule type="duplicateValues" dxfId="2090" priority="5397"/>
    <cfRule type="duplicateValues" dxfId="2089" priority="5396"/>
    <cfRule type="duplicateValues" dxfId="2088" priority="5395"/>
    <cfRule type="duplicateValues" dxfId="2087" priority="5394"/>
    <cfRule type="duplicateValues" dxfId="2086" priority="5390"/>
    <cfRule type="duplicateValues" dxfId="2085" priority="5360"/>
    <cfRule type="duplicateValues" dxfId="2084" priority="5402"/>
  </conditionalFormatting>
  <conditionalFormatting sqref="C72">
    <cfRule type="duplicateValues" dxfId="2083" priority="6175"/>
    <cfRule type="duplicateValues" dxfId="2082" priority="6174"/>
    <cfRule type="duplicateValues" dxfId="2081" priority="6173"/>
    <cfRule type="duplicateValues" dxfId="2080" priority="6172"/>
    <cfRule type="duplicateValues" dxfId="2079" priority="6171"/>
    <cfRule type="duplicateValues" dxfId="2078" priority="6170"/>
    <cfRule type="duplicateValues" dxfId="2077" priority="6169"/>
    <cfRule type="duplicateValues" dxfId="2076" priority="6168"/>
    <cfRule type="duplicateValues" dxfId="2075" priority="6167"/>
    <cfRule type="duplicateValues" dxfId="2074" priority="6166"/>
    <cfRule type="duplicateValues" dxfId="2073" priority="6165"/>
    <cfRule type="duplicateValues" dxfId="2072" priority="6164"/>
    <cfRule type="duplicateValues" dxfId="2071" priority="6163"/>
    <cfRule type="duplicateValues" dxfId="2070" priority="6162"/>
    <cfRule type="duplicateValues" dxfId="2069" priority="6161"/>
    <cfRule type="duplicateValues" dxfId="2068" priority="6160"/>
    <cfRule type="duplicateValues" dxfId="2067" priority="6159"/>
    <cfRule type="duplicateValues" dxfId="2066" priority="6158"/>
    <cfRule type="duplicateValues" dxfId="2065" priority="6157"/>
    <cfRule type="duplicateValues" dxfId="2064" priority="6156"/>
    <cfRule type="duplicateValues" dxfId="2063" priority="6155"/>
    <cfRule type="duplicateValues" dxfId="2062" priority="6154"/>
    <cfRule type="duplicateValues" dxfId="2061" priority="6153"/>
    <cfRule type="duplicateValues" dxfId="2060" priority="6152"/>
    <cfRule type="duplicateValues" dxfId="2059" priority="6151"/>
    <cfRule type="duplicateValues" dxfId="2058" priority="6150"/>
    <cfRule type="duplicateValues" dxfId="2057" priority="6149"/>
    <cfRule type="duplicateValues" dxfId="2056" priority="6148"/>
    <cfRule type="duplicateValues" dxfId="2055" priority="6147"/>
    <cfRule type="duplicateValues" dxfId="2054" priority="6146"/>
    <cfRule type="duplicateValues" dxfId="2053" priority="6145"/>
    <cfRule type="duplicateValues" dxfId="2052" priority="6144"/>
    <cfRule type="duplicateValues" dxfId="2051" priority="6143"/>
    <cfRule type="duplicateValues" dxfId="2050" priority="6142"/>
    <cfRule type="duplicateValues" dxfId="2049" priority="6141"/>
    <cfRule type="duplicateValues" dxfId="2048" priority="6140"/>
    <cfRule type="duplicateValues" dxfId="2047" priority="6139"/>
    <cfRule type="duplicateValues" dxfId="2046" priority="6138"/>
    <cfRule type="duplicateValues" dxfId="2045" priority="6136"/>
    <cfRule type="duplicateValues" dxfId="2044" priority="6135"/>
    <cfRule type="duplicateValues" dxfId="2043" priority="6134"/>
    <cfRule type="duplicateValues" dxfId="2042" priority="6133"/>
    <cfRule type="duplicateValues" dxfId="2041" priority="6132"/>
    <cfRule type="duplicateValues" dxfId="2040" priority="6131"/>
    <cfRule type="duplicateValues" dxfId="2039" priority="6130"/>
    <cfRule type="duplicateValues" dxfId="2038" priority="6129"/>
    <cfRule type="duplicateValues" dxfId="2037" priority="6128"/>
    <cfRule type="duplicateValues" dxfId="2036" priority="6127"/>
    <cfRule type="duplicateValues" dxfId="2035" priority="6126"/>
    <cfRule type="duplicateValues" dxfId="2034" priority="6125"/>
    <cfRule type="duplicateValues" dxfId="2033" priority="6124"/>
    <cfRule type="duplicateValues" dxfId="2032" priority="6123"/>
    <cfRule type="duplicateValues" dxfId="2031" priority="6122"/>
    <cfRule type="duplicateValues" dxfId="2030" priority="6121"/>
    <cfRule type="duplicateValues" dxfId="2029" priority="6120"/>
    <cfRule type="duplicateValues" dxfId="2028" priority="6119"/>
    <cfRule type="duplicateValues" dxfId="2027" priority="6118"/>
    <cfRule type="duplicateValues" dxfId="2026" priority="6117"/>
    <cfRule type="duplicateValues" dxfId="2025" priority="6116"/>
    <cfRule type="duplicateValues" dxfId="2024" priority="6115"/>
    <cfRule type="duplicateValues" dxfId="2023" priority="6114"/>
    <cfRule type="duplicateValues" dxfId="2022" priority="6113"/>
    <cfRule type="duplicateValues" dxfId="2021" priority="6112"/>
    <cfRule type="duplicateValues" dxfId="2020" priority="6111"/>
    <cfRule type="duplicateValues" dxfId="2019" priority="6110"/>
    <cfRule type="duplicateValues" dxfId="2018" priority="6109"/>
    <cfRule type="duplicateValues" dxfId="2017" priority="6108"/>
    <cfRule type="duplicateValues" dxfId="2016" priority="6107"/>
    <cfRule type="duplicateValues" dxfId="2015" priority="6106"/>
    <cfRule type="duplicateValues" dxfId="2014" priority="6105"/>
    <cfRule type="duplicateValues" dxfId="2013" priority="6104"/>
    <cfRule type="duplicateValues" dxfId="2012" priority="6103"/>
    <cfRule type="duplicateValues" dxfId="2011" priority="6102"/>
    <cfRule type="duplicateValues" dxfId="2010" priority="6101"/>
    <cfRule type="duplicateValues" dxfId="2009" priority="6100"/>
    <cfRule type="duplicateValues" dxfId="2008" priority="6099"/>
    <cfRule type="duplicateValues" dxfId="2007" priority="6098"/>
    <cfRule type="duplicateValues" dxfId="2006" priority="6097"/>
    <cfRule type="duplicateValues" dxfId="2005" priority="6096"/>
    <cfRule type="duplicateValues" dxfId="2004" priority="6095"/>
    <cfRule type="duplicateValues" dxfId="2003" priority="6094"/>
    <cfRule type="duplicateValues" dxfId="2002" priority="6093"/>
    <cfRule type="duplicateValues" dxfId="2001" priority="6092"/>
    <cfRule type="duplicateValues" dxfId="2000" priority="6091"/>
    <cfRule type="duplicateValues" dxfId="1999" priority="6137"/>
    <cfRule type="duplicateValues" dxfId="1998" priority="6195"/>
    <cfRule type="duplicateValues" dxfId="1997" priority="6194"/>
    <cfRule type="duplicateValues" dxfId="1996" priority="6193"/>
    <cfRule type="duplicateValues" dxfId="1995" priority="6192"/>
    <cfRule type="duplicateValues" dxfId="1994" priority="6191"/>
    <cfRule type="duplicateValues" dxfId="1993" priority="6190"/>
    <cfRule type="duplicateValues" dxfId="1992" priority="6189"/>
    <cfRule type="duplicateValues" dxfId="1991" priority="6188"/>
    <cfRule type="duplicateValues" dxfId="1990" priority="6187"/>
    <cfRule type="duplicateValues" dxfId="1989" priority="6186"/>
    <cfRule type="duplicateValues" dxfId="1988" priority="6185"/>
    <cfRule type="duplicateValues" dxfId="1987" priority="6184"/>
    <cfRule type="duplicateValues" dxfId="1986" priority="6183"/>
    <cfRule type="duplicateValues" dxfId="1985" priority="6182"/>
    <cfRule type="duplicateValues" dxfId="1984" priority="6181"/>
    <cfRule type="duplicateValues" dxfId="1983" priority="6180"/>
    <cfRule type="duplicateValues" dxfId="1982" priority="6179"/>
    <cfRule type="duplicateValues" dxfId="1981" priority="6178"/>
    <cfRule type="duplicateValues" dxfId="1980" priority="6177"/>
    <cfRule type="duplicateValues" dxfId="1979" priority="6176"/>
  </conditionalFormatting>
  <conditionalFormatting sqref="C74">
    <cfRule type="duplicateValues" dxfId="1978" priority="6238"/>
    <cfRule type="duplicateValues" dxfId="1977" priority="6239"/>
    <cfRule type="duplicateValues" dxfId="1976" priority="6241"/>
    <cfRule type="duplicateValues" dxfId="1975" priority="6242"/>
    <cfRule type="duplicateValues" dxfId="1974" priority="6243"/>
    <cfRule type="duplicateValues" dxfId="1973" priority="6244"/>
    <cfRule type="duplicateValues" dxfId="1972" priority="6259"/>
    <cfRule type="duplicateValues" dxfId="1971" priority="6245"/>
    <cfRule type="duplicateValues" dxfId="1970" priority="6246"/>
    <cfRule type="duplicateValues" dxfId="1969" priority="6247"/>
    <cfRule type="duplicateValues" dxfId="1968" priority="6248"/>
    <cfRule type="duplicateValues" dxfId="1967" priority="6249"/>
    <cfRule type="duplicateValues" dxfId="1966" priority="6250"/>
    <cfRule type="duplicateValues" dxfId="1965" priority="6251"/>
    <cfRule type="duplicateValues" dxfId="1964" priority="6252"/>
    <cfRule type="duplicateValues" dxfId="1963" priority="6253"/>
    <cfRule type="duplicateValues" dxfId="1962" priority="6254"/>
    <cfRule type="duplicateValues" dxfId="1961" priority="6255"/>
    <cfRule type="duplicateValues" dxfId="1960" priority="6256"/>
    <cfRule type="duplicateValues" dxfId="1959" priority="6257"/>
    <cfRule type="duplicateValues" dxfId="1958" priority="6303"/>
    <cfRule type="duplicateValues" dxfId="1957" priority="6302"/>
    <cfRule type="duplicateValues" dxfId="1956" priority="6301"/>
    <cfRule type="duplicateValues" dxfId="1955" priority="6300"/>
    <cfRule type="duplicateValues" dxfId="1954" priority="6299"/>
    <cfRule type="duplicateValues" dxfId="1953" priority="6298"/>
    <cfRule type="duplicateValues" dxfId="1952" priority="6297"/>
    <cfRule type="duplicateValues" dxfId="1951" priority="6296"/>
    <cfRule type="duplicateValues" dxfId="1950" priority="6295"/>
    <cfRule type="duplicateValues" dxfId="1949" priority="6294"/>
    <cfRule type="duplicateValues" dxfId="1948" priority="6293"/>
    <cfRule type="duplicateValues" dxfId="1947" priority="6292"/>
    <cfRule type="duplicateValues" dxfId="1946" priority="6291"/>
    <cfRule type="duplicateValues" dxfId="1945" priority="6290"/>
    <cfRule type="duplicateValues" dxfId="1944" priority="6289"/>
    <cfRule type="duplicateValues" dxfId="1943" priority="6288"/>
    <cfRule type="duplicateValues" dxfId="1942" priority="6287"/>
    <cfRule type="duplicateValues" dxfId="1941" priority="6286"/>
    <cfRule type="duplicateValues" dxfId="1940" priority="6285"/>
    <cfRule type="duplicateValues" dxfId="1939" priority="6284"/>
    <cfRule type="duplicateValues" dxfId="1938" priority="6283"/>
    <cfRule type="duplicateValues" dxfId="1937" priority="6282"/>
    <cfRule type="duplicateValues" dxfId="1936" priority="6281"/>
    <cfRule type="duplicateValues" dxfId="1935" priority="6280"/>
    <cfRule type="duplicateValues" dxfId="1934" priority="6279"/>
    <cfRule type="duplicateValues" dxfId="1933" priority="6278"/>
    <cfRule type="duplicateValues" dxfId="1932" priority="6277"/>
    <cfRule type="duplicateValues" dxfId="1931" priority="6276"/>
    <cfRule type="duplicateValues" dxfId="1930" priority="6275"/>
    <cfRule type="duplicateValues" dxfId="1929" priority="6274"/>
    <cfRule type="duplicateValues" dxfId="1928" priority="6273"/>
    <cfRule type="duplicateValues" dxfId="1927" priority="6272"/>
    <cfRule type="duplicateValues" dxfId="1926" priority="6271"/>
    <cfRule type="duplicateValues" dxfId="1925" priority="6270"/>
    <cfRule type="duplicateValues" dxfId="1924" priority="6258"/>
    <cfRule type="duplicateValues" dxfId="1923" priority="6268"/>
    <cfRule type="duplicateValues" dxfId="1922" priority="6267"/>
    <cfRule type="duplicateValues" dxfId="1921" priority="6266"/>
    <cfRule type="duplicateValues" dxfId="1920" priority="6214"/>
    <cfRule type="duplicateValues" dxfId="1919" priority="6265"/>
    <cfRule type="duplicateValues" dxfId="1918" priority="6264"/>
    <cfRule type="duplicateValues" dxfId="1917" priority="6263"/>
    <cfRule type="duplicateValues" dxfId="1916" priority="6262"/>
    <cfRule type="duplicateValues" dxfId="1915" priority="6261"/>
    <cfRule type="duplicateValues" dxfId="1914" priority="6215"/>
    <cfRule type="duplicateValues" dxfId="1913" priority="6217"/>
    <cfRule type="duplicateValues" dxfId="1912" priority="6218"/>
    <cfRule type="duplicateValues" dxfId="1911" priority="6219"/>
    <cfRule type="duplicateValues" dxfId="1910" priority="6220"/>
    <cfRule type="duplicateValues" dxfId="1909" priority="6221"/>
    <cfRule type="duplicateValues" dxfId="1908" priority="6222"/>
    <cfRule type="duplicateValues" dxfId="1907" priority="6223"/>
    <cfRule type="duplicateValues" dxfId="1906" priority="6224"/>
    <cfRule type="duplicateValues" dxfId="1905" priority="6225"/>
    <cfRule type="duplicateValues" dxfId="1904" priority="6226"/>
    <cfRule type="duplicateValues" dxfId="1903" priority="6227"/>
    <cfRule type="duplicateValues" dxfId="1902" priority="6228"/>
    <cfRule type="duplicateValues" dxfId="1901" priority="6229"/>
    <cfRule type="duplicateValues" dxfId="1900" priority="6230"/>
    <cfRule type="duplicateValues" dxfId="1899" priority="6231"/>
    <cfRule type="duplicateValues" dxfId="1898" priority="6232"/>
    <cfRule type="duplicateValues" dxfId="1897" priority="6233"/>
    <cfRule type="duplicateValues" dxfId="1896" priority="6234"/>
    <cfRule type="duplicateValues" dxfId="1895" priority="6235"/>
    <cfRule type="duplicateValues" dxfId="1894" priority="6236"/>
    <cfRule type="duplicateValues" dxfId="1893" priority="6237"/>
    <cfRule type="duplicateValues" dxfId="1892" priority="6240"/>
    <cfRule type="duplicateValues" dxfId="1891" priority="6260"/>
    <cfRule type="duplicateValues" dxfId="1890" priority="6269"/>
    <cfRule type="duplicateValues" dxfId="1889" priority="6216"/>
    <cfRule type="duplicateValues" dxfId="1888" priority="6205"/>
    <cfRule type="duplicateValues" dxfId="1887" priority="6206"/>
    <cfRule type="duplicateValues" dxfId="1886" priority="6207"/>
    <cfRule type="duplicateValues" dxfId="1885" priority="6208"/>
    <cfRule type="duplicateValues" dxfId="1884" priority="6209"/>
    <cfRule type="duplicateValues" dxfId="1883" priority="6210"/>
    <cfRule type="duplicateValues" dxfId="1882" priority="6211"/>
    <cfRule type="duplicateValues" dxfId="1881" priority="6212"/>
    <cfRule type="duplicateValues" dxfId="1880" priority="6213"/>
  </conditionalFormatting>
  <conditionalFormatting sqref="C76">
    <cfRule type="duplicateValues" dxfId="1879" priority="5775"/>
    <cfRule type="duplicateValues" dxfId="1878" priority="5778"/>
    <cfRule type="duplicateValues" dxfId="1877" priority="5771"/>
    <cfRule type="duplicateValues" dxfId="1876" priority="5770"/>
    <cfRule type="duplicateValues" dxfId="1875" priority="5769"/>
    <cfRule type="duplicateValues" dxfId="1874" priority="5768"/>
    <cfRule type="duplicateValues" dxfId="1873" priority="5767"/>
    <cfRule type="duplicateValues" dxfId="1872" priority="5766"/>
    <cfRule type="duplicateValues" dxfId="1871" priority="5799"/>
    <cfRule type="duplicateValues" dxfId="1870" priority="5765"/>
    <cfRule type="duplicateValues" dxfId="1869" priority="5805"/>
    <cfRule type="duplicateValues" dxfId="1868" priority="5804"/>
    <cfRule type="duplicateValues" dxfId="1867" priority="5803"/>
    <cfRule type="duplicateValues" dxfId="1866" priority="5802"/>
    <cfRule type="duplicateValues" dxfId="1865" priority="5801"/>
    <cfRule type="duplicateValues" dxfId="1864" priority="5800"/>
    <cfRule type="duplicateValues" dxfId="1863" priority="5764"/>
    <cfRule type="duplicateValues" dxfId="1862" priority="5798"/>
    <cfRule type="duplicateValues" dxfId="1861" priority="5797"/>
    <cfRule type="duplicateValues" dxfId="1860" priority="5796"/>
    <cfRule type="duplicateValues" dxfId="1859" priority="5795"/>
    <cfRule type="duplicateValues" dxfId="1858" priority="5757"/>
    <cfRule type="duplicateValues" dxfId="1857" priority="5763"/>
    <cfRule type="duplicateValues" dxfId="1856" priority="5762"/>
    <cfRule type="duplicateValues" dxfId="1855" priority="5761"/>
    <cfRule type="duplicateValues" dxfId="1854" priority="5760"/>
    <cfRule type="duplicateValues" dxfId="1853" priority="5759"/>
    <cfRule type="duplicateValues" dxfId="1852" priority="5758"/>
    <cfRule type="duplicateValues" dxfId="1851" priority="5793"/>
    <cfRule type="duplicateValues" dxfId="1850" priority="5756"/>
    <cfRule type="duplicateValues" dxfId="1849" priority="5755"/>
    <cfRule type="duplicateValues" dxfId="1848" priority="5754"/>
    <cfRule type="duplicateValues" dxfId="1847" priority="5753"/>
    <cfRule type="duplicateValues" dxfId="1846" priority="5752"/>
    <cfRule type="duplicateValues" dxfId="1845" priority="5751"/>
    <cfRule type="duplicateValues" dxfId="1844" priority="5750"/>
    <cfRule type="duplicateValues" dxfId="1843" priority="5749"/>
    <cfRule type="duplicateValues" dxfId="1842" priority="5748"/>
    <cfRule type="duplicateValues" dxfId="1841" priority="5792"/>
    <cfRule type="duplicateValues" dxfId="1840" priority="5791"/>
    <cfRule type="duplicateValues" dxfId="1839" priority="5790"/>
    <cfRule type="duplicateValues" dxfId="1838" priority="5789"/>
    <cfRule type="duplicateValues" dxfId="1837" priority="5788"/>
    <cfRule type="duplicateValues" dxfId="1836" priority="5787"/>
    <cfRule type="duplicateValues" dxfId="1835" priority="5786"/>
    <cfRule type="duplicateValues" dxfId="1834" priority="5785"/>
    <cfRule type="duplicateValues" dxfId="1833" priority="5784"/>
    <cfRule type="duplicateValues" dxfId="1832" priority="5783"/>
    <cfRule type="duplicateValues" dxfId="1831" priority="5782"/>
    <cfRule type="duplicateValues" dxfId="1830" priority="5781"/>
    <cfRule type="duplicateValues" dxfId="1829" priority="5780"/>
    <cfRule type="duplicateValues" dxfId="1828" priority="5779"/>
    <cfRule type="duplicateValues" dxfId="1827" priority="5777"/>
    <cfRule type="duplicateValues" dxfId="1826" priority="5776"/>
    <cfRule type="duplicateValues" dxfId="1825" priority="5794"/>
    <cfRule type="duplicateValues" dxfId="1824" priority="5774"/>
    <cfRule type="duplicateValues" dxfId="1823" priority="5773"/>
    <cfRule type="duplicateValues" dxfId="1822" priority="5772"/>
  </conditionalFormatting>
  <conditionalFormatting sqref="C80">
    <cfRule type="duplicateValues" dxfId="1821" priority="5423"/>
    <cfRule type="duplicateValues" dxfId="1820" priority="5424"/>
    <cfRule type="duplicateValues" dxfId="1819" priority="5425"/>
    <cfRule type="duplicateValues" dxfId="1818" priority="5426"/>
    <cfRule type="duplicateValues" dxfId="1817" priority="5421"/>
    <cfRule type="duplicateValues" dxfId="1816" priority="5420"/>
    <cfRule type="duplicateValues" dxfId="1815" priority="5422"/>
    <cfRule type="duplicateValues" dxfId="1814" priority="5418"/>
    <cfRule type="duplicateValues" dxfId="1813" priority="5419"/>
  </conditionalFormatting>
  <conditionalFormatting sqref="C81">
    <cfRule type="duplicateValues" dxfId="1812" priority="5427"/>
    <cfRule type="duplicateValues" dxfId="1811" priority="5428"/>
  </conditionalFormatting>
  <conditionalFormatting sqref="C83">
    <cfRule type="duplicateValues" dxfId="1810" priority="5506"/>
    <cfRule type="duplicateValues" dxfId="1809" priority="5505"/>
  </conditionalFormatting>
  <conditionalFormatting sqref="C84">
    <cfRule type="duplicateValues" dxfId="1808" priority="12351"/>
    <cfRule type="duplicateValues" dxfId="1807" priority="12352"/>
    <cfRule type="duplicateValues" dxfId="1806" priority="12353"/>
    <cfRule type="duplicateValues" dxfId="1805" priority="12354"/>
    <cfRule type="duplicateValues" dxfId="1804" priority="12355"/>
    <cfRule type="duplicateValues" dxfId="1803" priority="12356"/>
    <cfRule type="duplicateValues" dxfId="1802" priority="12357"/>
    <cfRule type="duplicateValues" dxfId="1801" priority="12358"/>
    <cfRule type="duplicateValues" dxfId="1800" priority="12359"/>
    <cfRule type="duplicateValues" dxfId="1799" priority="12360"/>
    <cfRule type="duplicateValues" dxfId="1798" priority="12361"/>
    <cfRule type="duplicateValues" dxfId="1797" priority="12362"/>
    <cfRule type="duplicateValues" dxfId="1796" priority="12363"/>
    <cfRule type="duplicateValues" dxfId="1795" priority="12364"/>
    <cfRule type="duplicateValues" dxfId="1794" priority="12365"/>
    <cfRule type="duplicateValues" dxfId="1793" priority="12366"/>
    <cfRule type="duplicateValues" dxfId="1792" priority="12367"/>
    <cfRule type="duplicateValues" dxfId="1791" priority="12368"/>
    <cfRule type="duplicateValues" dxfId="1790" priority="12369"/>
    <cfRule type="duplicateValues" dxfId="1789" priority="12370"/>
    <cfRule type="duplicateValues" dxfId="1788" priority="12371"/>
    <cfRule type="duplicateValues" dxfId="1787" priority="12372"/>
    <cfRule type="duplicateValues" dxfId="1786" priority="12373"/>
    <cfRule type="duplicateValues" dxfId="1785" priority="12374"/>
    <cfRule type="duplicateValues" dxfId="1784" priority="12343"/>
    <cfRule type="duplicateValues" dxfId="1783" priority="12345"/>
    <cfRule type="duplicateValues" dxfId="1782" priority="12339"/>
    <cfRule type="duplicateValues" dxfId="1781" priority="12344"/>
    <cfRule type="duplicateValues" dxfId="1780" priority="12342"/>
    <cfRule type="duplicateValues" dxfId="1779" priority="12341"/>
    <cfRule type="duplicateValues" dxfId="1778" priority="12340"/>
    <cfRule type="duplicateValues" dxfId="1777" priority="12338"/>
    <cfRule type="duplicateValues" dxfId="1776" priority="12337"/>
    <cfRule type="duplicateValues" dxfId="1775" priority="12346"/>
    <cfRule type="duplicateValues" dxfId="1774" priority="12347"/>
    <cfRule type="duplicateValues" dxfId="1773" priority="12348"/>
    <cfRule type="duplicateValues" dxfId="1772" priority="12349"/>
    <cfRule type="duplicateValues" dxfId="1771" priority="12350"/>
  </conditionalFormatting>
  <conditionalFormatting sqref="C99:C115">
    <cfRule type="duplicateValues" dxfId="1770" priority="185"/>
    <cfRule type="duplicateValues" dxfId="1769" priority="186"/>
    <cfRule type="duplicateValues" dxfId="1768" priority="355"/>
    <cfRule type="duplicateValues" dxfId="1767" priority="356"/>
  </conditionalFormatting>
  <conditionalFormatting sqref="C99:C1048576 C1:C84">
    <cfRule type="duplicateValues" dxfId="1766" priority="184"/>
  </conditionalFormatting>
  <conditionalFormatting sqref="C116:C1048576 C1:C84">
    <cfRule type="duplicateValues" dxfId="1765" priority="527"/>
  </conditionalFormatting>
  <conditionalFormatting sqref="C116:C1048576">
    <cfRule type="duplicateValues" dxfId="1764" priority="526"/>
  </conditionalFormatting>
  <conditionalFormatting sqref="C122:C196">
    <cfRule type="duplicateValues" dxfId="1763" priority="603"/>
    <cfRule type="duplicateValues" dxfId="1762" priority="530"/>
    <cfRule type="duplicateValues" dxfId="1761" priority="531"/>
    <cfRule type="duplicateValues" dxfId="1760" priority="532"/>
    <cfRule type="duplicateValues" dxfId="1759" priority="597"/>
    <cfRule type="duplicateValues" dxfId="1758" priority="599"/>
    <cfRule type="duplicateValues" dxfId="1757" priority="659"/>
    <cfRule type="duplicateValues" dxfId="1756" priority="596"/>
    <cfRule type="duplicateValues" dxfId="1755" priority="595"/>
    <cfRule type="duplicateValues" dxfId="1754" priority="594"/>
    <cfRule type="duplicateValues" dxfId="1753" priority="593"/>
    <cfRule type="duplicateValues" dxfId="1752" priority="592"/>
    <cfRule type="duplicateValues" dxfId="1751" priority="591"/>
    <cfRule type="duplicateValues" dxfId="1750" priority="590"/>
    <cfRule type="duplicateValues" dxfId="1749" priority="660"/>
    <cfRule type="duplicateValues" dxfId="1748" priority="587"/>
    <cfRule type="duplicateValues" dxfId="1747" priority="589"/>
    <cfRule type="duplicateValues" dxfId="1746" priority="586"/>
    <cfRule type="duplicateValues" dxfId="1745" priority="588"/>
    <cfRule type="duplicateValues" dxfId="1744" priority="656"/>
    <cfRule type="duplicateValues" dxfId="1743" priority="657"/>
    <cfRule type="duplicateValues" dxfId="1742" priority="658"/>
    <cfRule type="duplicateValues" dxfId="1741" priority="598"/>
    <cfRule type="duplicateValues" dxfId="1740" priority="600"/>
    <cfRule type="duplicateValues" dxfId="1739" priority="601"/>
    <cfRule type="duplicateValues" dxfId="1738" priority="661"/>
    <cfRule type="duplicateValues" dxfId="1737" priority="602"/>
  </conditionalFormatting>
  <conditionalFormatting sqref="C122:C1048576 C1:C84">
    <cfRule type="duplicateValues" dxfId="1736" priority="529"/>
  </conditionalFormatting>
  <conditionalFormatting sqref="C122:C1048576">
    <cfRule type="duplicateValues" dxfId="1735" priority="528"/>
  </conditionalFormatting>
  <conditionalFormatting sqref="C123">
    <cfRule type="duplicateValues" dxfId="1734" priority="679"/>
    <cfRule type="duplicateValues" dxfId="1733" priority="680"/>
    <cfRule type="duplicateValues" dxfId="1732" priority="681"/>
    <cfRule type="duplicateValues" dxfId="1731" priority="683"/>
    <cfRule type="duplicateValues" dxfId="1730" priority="684"/>
    <cfRule type="duplicateValues" dxfId="1729" priority="685"/>
    <cfRule type="duplicateValues" dxfId="1728" priority="686"/>
    <cfRule type="duplicateValues" dxfId="1727" priority="687"/>
    <cfRule type="duplicateValues" dxfId="1726" priority="688"/>
    <cfRule type="duplicateValues" dxfId="1725" priority="689"/>
    <cfRule type="duplicateValues" dxfId="1724" priority="690"/>
    <cfRule type="duplicateValues" dxfId="1723" priority="691"/>
    <cfRule type="duplicateValues" dxfId="1722" priority="695"/>
    <cfRule type="duplicateValues" dxfId="1721" priority="692"/>
    <cfRule type="duplicateValues" dxfId="1720" priority="682"/>
    <cfRule type="duplicateValues" dxfId="1719" priority="696"/>
    <cfRule type="duplicateValues" dxfId="1718" priority="694"/>
    <cfRule type="duplicateValues" dxfId="1717" priority="693"/>
    <cfRule type="duplicateValues" dxfId="1716" priority="678"/>
    <cfRule type="duplicateValues" dxfId="1715" priority="663"/>
    <cfRule type="duplicateValues" dxfId="1714" priority="664"/>
    <cfRule type="duplicateValues" dxfId="1713" priority="665"/>
    <cfRule type="duplicateValues" dxfId="1712" priority="666"/>
    <cfRule type="duplicateValues" dxfId="1711" priority="667"/>
    <cfRule type="duplicateValues" dxfId="1710" priority="668"/>
    <cfRule type="duplicateValues" dxfId="1709" priority="669"/>
    <cfRule type="duplicateValues" dxfId="1708" priority="670"/>
    <cfRule type="duplicateValues" dxfId="1707" priority="671"/>
    <cfRule type="duplicateValues" dxfId="1706" priority="672"/>
    <cfRule type="duplicateValues" dxfId="1705" priority="673"/>
    <cfRule type="duplicateValues" dxfId="1704" priority="674"/>
    <cfRule type="duplicateValues" dxfId="1703" priority="675"/>
    <cfRule type="duplicateValues" dxfId="1702" priority="676"/>
    <cfRule type="duplicateValues" dxfId="1701" priority="677"/>
    <cfRule type="duplicateValues" dxfId="1700" priority="662"/>
  </conditionalFormatting>
  <conditionalFormatting sqref="C124:C130">
    <cfRule type="duplicateValues" dxfId="1699" priority="2373"/>
    <cfRule type="duplicateValues" dxfId="1698" priority="2372"/>
    <cfRule type="duplicateValues" dxfId="1697" priority="2371"/>
    <cfRule type="duplicateValues" dxfId="1696" priority="2370"/>
    <cfRule type="duplicateValues" dxfId="1695" priority="2369"/>
    <cfRule type="duplicateValues" dxfId="1694" priority="2368"/>
    <cfRule type="duplicateValues" dxfId="1693" priority="2367"/>
    <cfRule type="duplicateValues" dxfId="1692" priority="2365"/>
    <cfRule type="duplicateValues" dxfId="1691" priority="2366"/>
    <cfRule type="duplicateValues" dxfId="1690" priority="2374"/>
    <cfRule type="duplicateValues" dxfId="1689" priority="2351"/>
    <cfRule type="duplicateValues" dxfId="1688" priority="2352"/>
    <cfRule type="duplicateValues" dxfId="1687" priority="2353"/>
    <cfRule type="duplicateValues" dxfId="1686" priority="2354"/>
    <cfRule type="duplicateValues" dxfId="1685" priority="2355"/>
    <cfRule type="duplicateValues" dxfId="1684" priority="2356"/>
    <cfRule type="duplicateValues" dxfId="1683" priority="2357"/>
    <cfRule type="duplicateValues" dxfId="1682" priority="2358"/>
    <cfRule type="duplicateValues" dxfId="1681" priority="2359"/>
    <cfRule type="duplicateValues" dxfId="1680" priority="2360"/>
    <cfRule type="duplicateValues" dxfId="1679" priority="2361"/>
    <cfRule type="duplicateValues" dxfId="1678" priority="2362"/>
    <cfRule type="duplicateValues" dxfId="1677" priority="2363"/>
    <cfRule type="duplicateValues" dxfId="1676" priority="2364"/>
  </conditionalFormatting>
  <conditionalFormatting sqref="C131">
    <cfRule type="duplicateValues" dxfId="1675" priority="1049"/>
  </conditionalFormatting>
  <conditionalFormatting sqref="C131:C196">
    <cfRule type="duplicateValues" dxfId="1674" priority="940"/>
    <cfRule type="duplicateValues" dxfId="1673" priority="941"/>
    <cfRule type="duplicateValues" dxfId="1672" priority="942"/>
    <cfRule type="duplicateValues" dxfId="1671" priority="943"/>
    <cfRule type="duplicateValues" dxfId="1670" priority="2395"/>
    <cfRule type="duplicateValues" dxfId="1669" priority="2394"/>
    <cfRule type="duplicateValues" dxfId="1668" priority="2393"/>
    <cfRule type="duplicateValues" dxfId="1667" priority="2392"/>
    <cfRule type="duplicateValues" dxfId="1666" priority="2391"/>
    <cfRule type="duplicateValues" dxfId="1665" priority="2390"/>
    <cfRule type="duplicateValues" dxfId="1664" priority="2389"/>
    <cfRule type="duplicateValues" dxfId="1663" priority="2388"/>
    <cfRule type="duplicateValues" dxfId="1662" priority="2387"/>
    <cfRule type="duplicateValues" dxfId="1661" priority="2386"/>
    <cfRule type="duplicateValues" dxfId="1660" priority="2385"/>
    <cfRule type="duplicateValues" dxfId="1659" priority="2384"/>
    <cfRule type="duplicateValues" dxfId="1658" priority="2383"/>
    <cfRule type="duplicateValues" dxfId="1657" priority="2382"/>
    <cfRule type="duplicateValues" dxfId="1656" priority="2381"/>
    <cfRule type="duplicateValues" dxfId="1655" priority="2379"/>
    <cfRule type="duplicateValues" dxfId="1654" priority="2378"/>
    <cfRule type="duplicateValues" dxfId="1653" priority="2377"/>
    <cfRule type="duplicateValues" dxfId="1652" priority="2376"/>
    <cfRule type="duplicateValues" dxfId="1651" priority="2375"/>
    <cfRule type="duplicateValues" dxfId="1650" priority="944"/>
    <cfRule type="duplicateValues" dxfId="1649" priority="945"/>
    <cfRule type="duplicateValues" dxfId="1648" priority="946"/>
    <cfRule type="duplicateValues" dxfId="1647" priority="698"/>
    <cfRule type="duplicateValues" dxfId="1646" priority="947"/>
    <cfRule type="duplicateValues" dxfId="1645" priority="948"/>
    <cfRule type="duplicateValues" dxfId="1644" priority="949"/>
    <cfRule type="duplicateValues" dxfId="1643" priority="2327"/>
    <cfRule type="duplicateValues" dxfId="1642" priority="2325"/>
    <cfRule type="duplicateValues" dxfId="1641" priority="2324"/>
    <cfRule type="duplicateValues" dxfId="1640" priority="2380"/>
    <cfRule type="duplicateValues" dxfId="1639" priority="697"/>
    <cfRule type="duplicateValues" dxfId="1638" priority="699"/>
    <cfRule type="duplicateValues" dxfId="1637" priority="700"/>
    <cfRule type="duplicateValues" dxfId="1636" priority="701"/>
    <cfRule type="duplicateValues" dxfId="1635" priority="702"/>
    <cfRule type="duplicateValues" dxfId="1634" priority="819"/>
  </conditionalFormatting>
  <conditionalFormatting sqref="C132 C135:C196">
    <cfRule type="duplicateValues" dxfId="1633" priority="2347"/>
    <cfRule type="duplicateValues" dxfId="1632" priority="2348"/>
    <cfRule type="duplicateValues" dxfId="1631" priority="2346"/>
    <cfRule type="duplicateValues" dxfId="1630" priority="2343"/>
    <cfRule type="duplicateValues" dxfId="1629" priority="2344"/>
    <cfRule type="duplicateValues" dxfId="1628" priority="2345"/>
    <cfRule type="duplicateValues" dxfId="1627" priority="2350"/>
    <cfRule type="duplicateValues" dxfId="1626" priority="2349"/>
  </conditionalFormatting>
  <conditionalFormatting sqref="C133">
    <cfRule type="duplicateValues" dxfId="1625" priority="541"/>
    <cfRule type="duplicateValues" dxfId="1624" priority="542"/>
    <cfRule type="duplicateValues" dxfId="1623" priority="543"/>
    <cfRule type="duplicateValues" dxfId="1622" priority="544"/>
    <cfRule type="duplicateValues" dxfId="1621" priority="545"/>
    <cfRule type="duplicateValues" dxfId="1620" priority="546"/>
    <cfRule type="duplicateValues" dxfId="1619" priority="547"/>
    <cfRule type="duplicateValues" dxfId="1618" priority="548"/>
    <cfRule type="duplicateValues" dxfId="1617" priority="549"/>
    <cfRule type="duplicateValues" dxfId="1616" priority="550"/>
    <cfRule type="duplicateValues" dxfId="1615" priority="551"/>
    <cfRule type="duplicateValues" dxfId="1614" priority="552"/>
    <cfRule type="duplicateValues" dxfId="1613" priority="553"/>
    <cfRule type="duplicateValues" dxfId="1612" priority="555"/>
    <cfRule type="duplicateValues" dxfId="1611" priority="556"/>
    <cfRule type="duplicateValues" dxfId="1610" priority="557"/>
    <cfRule type="duplicateValues" dxfId="1609" priority="558"/>
    <cfRule type="duplicateValues" dxfId="1608" priority="559"/>
    <cfRule type="duplicateValues" dxfId="1607" priority="560"/>
    <cfRule type="duplicateValues" dxfId="1606" priority="561"/>
    <cfRule type="duplicateValues" dxfId="1605" priority="562"/>
    <cfRule type="duplicateValues" dxfId="1604" priority="563"/>
    <cfRule type="duplicateValues" dxfId="1603" priority="564"/>
    <cfRule type="duplicateValues" dxfId="1602" priority="565"/>
    <cfRule type="duplicateValues" dxfId="1601" priority="566"/>
    <cfRule type="duplicateValues" dxfId="1600" priority="567"/>
    <cfRule type="containsText" dxfId="1599" priority="533" operator="containsText" text="TBA">
      <formula>NOT(ISERROR(SEARCH("TBA",C133)))</formula>
    </cfRule>
    <cfRule type="duplicateValues" dxfId="1598" priority="568"/>
    <cfRule type="duplicateValues" dxfId="1597" priority="569"/>
    <cfRule type="duplicateValues" dxfId="1596" priority="570"/>
    <cfRule type="duplicateValues" dxfId="1595" priority="571"/>
    <cfRule type="duplicateValues" dxfId="1594" priority="572"/>
    <cfRule type="duplicateValues" dxfId="1593" priority="573"/>
    <cfRule type="duplicateValues" dxfId="1592" priority="575"/>
    <cfRule type="duplicateValues" dxfId="1591" priority="576"/>
    <cfRule type="duplicateValues" dxfId="1590" priority="577"/>
    <cfRule type="duplicateValues" dxfId="1589" priority="578"/>
    <cfRule type="duplicateValues" dxfId="1588" priority="579"/>
    <cfRule type="duplicateValues" dxfId="1587" priority="534"/>
    <cfRule type="duplicateValues" dxfId="1586" priority="535"/>
    <cfRule type="duplicateValues" dxfId="1585" priority="582"/>
    <cfRule type="duplicateValues" dxfId="1584" priority="583"/>
    <cfRule type="duplicateValues" dxfId="1583" priority="584"/>
    <cfRule type="duplicateValues" dxfId="1582" priority="585"/>
    <cfRule type="duplicateValues" dxfId="1581" priority="554"/>
    <cfRule type="duplicateValues" dxfId="1580" priority="581"/>
    <cfRule type="duplicateValues" dxfId="1579" priority="536"/>
    <cfRule type="duplicateValues" dxfId="1578" priority="580"/>
    <cfRule type="duplicateValues" dxfId="1577" priority="537"/>
    <cfRule type="duplicateValues" dxfId="1576" priority="538"/>
    <cfRule type="duplicateValues" dxfId="1575" priority="539"/>
    <cfRule type="duplicateValues" dxfId="1574" priority="540"/>
    <cfRule type="duplicateValues" dxfId="1573" priority="574"/>
  </conditionalFormatting>
  <conditionalFormatting sqref="C134">
    <cfRule type="duplicateValues" dxfId="1572" priority="1061"/>
    <cfRule type="duplicateValues" dxfId="1571" priority="1060"/>
    <cfRule type="duplicateValues" dxfId="1570" priority="1052"/>
    <cfRule type="duplicateValues" dxfId="1569" priority="1053"/>
    <cfRule type="duplicateValues" dxfId="1568" priority="1054"/>
    <cfRule type="duplicateValues" dxfId="1567" priority="1055"/>
    <cfRule type="duplicateValues" dxfId="1566" priority="1056"/>
    <cfRule type="duplicateValues" dxfId="1565" priority="1057"/>
    <cfRule type="duplicateValues" dxfId="1564" priority="1058"/>
    <cfRule type="duplicateValues" dxfId="1563" priority="1059"/>
  </conditionalFormatting>
  <conditionalFormatting sqref="C135:C196 C132">
    <cfRule type="duplicateValues" dxfId="1562" priority="2342"/>
  </conditionalFormatting>
  <conditionalFormatting sqref="C140:C141">
    <cfRule type="duplicateValues" dxfId="1561" priority="615"/>
    <cfRule type="duplicateValues" dxfId="1560" priority="620"/>
    <cfRule type="duplicateValues" dxfId="1559" priority="619"/>
    <cfRule type="duplicateValues" dxfId="1558" priority="618"/>
    <cfRule type="duplicateValues" dxfId="1557" priority="617"/>
    <cfRule type="duplicateValues" dxfId="1556" priority="616"/>
    <cfRule type="duplicateValues" dxfId="1555" priority="629"/>
    <cfRule type="duplicateValues" dxfId="1554" priority="624"/>
    <cfRule type="duplicateValues" dxfId="1553" priority="614"/>
    <cfRule type="duplicateValues" dxfId="1552" priority="625"/>
    <cfRule type="duplicateValues" dxfId="1551" priority="626"/>
    <cfRule type="duplicateValues" dxfId="1550" priority="612"/>
    <cfRule type="duplicateValues" dxfId="1549" priority="610"/>
    <cfRule type="duplicateValues" dxfId="1548" priority="609"/>
    <cfRule type="duplicateValues" dxfId="1547" priority="608"/>
    <cfRule type="duplicateValues" dxfId="1546" priority="607"/>
    <cfRule type="duplicateValues" dxfId="1545" priority="606"/>
    <cfRule type="duplicateValues" dxfId="1544" priority="637"/>
    <cfRule type="duplicateValues" dxfId="1543" priority="622"/>
    <cfRule type="duplicateValues" dxfId="1542" priority="627"/>
    <cfRule type="duplicateValues" dxfId="1541" priority="621"/>
    <cfRule type="duplicateValues" dxfId="1540" priority="628"/>
    <cfRule type="duplicateValues" dxfId="1539" priority="605"/>
    <cfRule type="duplicateValues" dxfId="1538" priority="604"/>
    <cfRule type="duplicateValues" dxfId="1537" priority="623"/>
    <cfRule type="duplicateValues" dxfId="1536" priority="643"/>
    <cfRule type="duplicateValues" dxfId="1535" priority="630"/>
    <cfRule type="duplicateValues" dxfId="1534" priority="631"/>
    <cfRule type="duplicateValues" dxfId="1533" priority="632"/>
    <cfRule type="duplicateValues" dxfId="1532" priority="633"/>
    <cfRule type="duplicateValues" dxfId="1531" priority="635"/>
    <cfRule type="duplicateValues" dxfId="1530" priority="636"/>
    <cfRule type="duplicateValues" dxfId="1529" priority="638"/>
    <cfRule type="duplicateValues" dxfId="1528" priority="639"/>
    <cfRule type="duplicateValues" dxfId="1527" priority="640"/>
    <cfRule type="duplicateValues" dxfId="1526" priority="642"/>
    <cfRule type="duplicateValues" dxfId="1525" priority="634"/>
    <cfRule type="duplicateValues" dxfId="1524" priority="641"/>
    <cfRule type="duplicateValues" dxfId="1523" priority="611"/>
    <cfRule type="duplicateValues" dxfId="1522" priority="613"/>
  </conditionalFormatting>
  <conditionalFormatting sqref="C143">
    <cfRule type="duplicateValues" dxfId="1521" priority="653"/>
    <cfRule type="duplicateValues" dxfId="1520" priority="650"/>
    <cfRule type="duplicateValues" dxfId="1519" priority="649"/>
    <cfRule type="duplicateValues" dxfId="1518" priority="648"/>
    <cfRule type="duplicateValues" dxfId="1517" priority="652"/>
    <cfRule type="duplicateValues" dxfId="1516" priority="655"/>
    <cfRule type="duplicateValues" dxfId="1515" priority="645"/>
    <cfRule type="duplicateValues" dxfId="1514" priority="646"/>
    <cfRule type="duplicateValues" dxfId="1513" priority="651"/>
    <cfRule type="duplicateValues" dxfId="1512" priority="644"/>
    <cfRule type="duplicateValues" dxfId="1511" priority="647"/>
    <cfRule type="duplicateValues" dxfId="1510" priority="654"/>
  </conditionalFormatting>
  <conditionalFormatting sqref="C144">
    <cfRule type="duplicateValues" dxfId="1509" priority="2334"/>
    <cfRule type="duplicateValues" dxfId="1508" priority="2333"/>
    <cfRule type="duplicateValues" dxfId="1507" priority="2332"/>
    <cfRule type="duplicateValues" dxfId="1506" priority="2331"/>
    <cfRule type="duplicateValues" dxfId="1505" priority="2329"/>
    <cfRule type="duplicateValues" dxfId="1504" priority="2330"/>
    <cfRule type="duplicateValues" dxfId="1503" priority="2338"/>
    <cfRule type="duplicateValues" dxfId="1502" priority="2337"/>
    <cfRule type="duplicateValues" dxfId="1501" priority="2336"/>
    <cfRule type="duplicateValues" dxfId="1500" priority="2335"/>
  </conditionalFormatting>
  <conditionalFormatting sqref="C145 C164 C194">
    <cfRule type="duplicateValues" dxfId="1499" priority="2183"/>
    <cfRule type="duplicateValues" dxfId="1498" priority="2186"/>
    <cfRule type="duplicateValues" dxfId="1497" priority="2187"/>
    <cfRule type="duplicateValues" dxfId="1496" priority="2188"/>
    <cfRule type="duplicateValues" dxfId="1495" priority="2189"/>
    <cfRule type="duplicateValues" dxfId="1494" priority="2190"/>
    <cfRule type="duplicateValues" dxfId="1493" priority="2191"/>
    <cfRule type="duplicateValues" dxfId="1492" priority="2185"/>
    <cfRule type="duplicateValues" dxfId="1491" priority="2184"/>
    <cfRule type="duplicateValues" dxfId="1490" priority="2182"/>
  </conditionalFormatting>
  <conditionalFormatting sqref="C145">
    <cfRule type="duplicateValues" dxfId="1489" priority="1963"/>
    <cfRule type="duplicateValues" dxfId="1488" priority="1952"/>
    <cfRule type="duplicateValues" dxfId="1487" priority="1964"/>
    <cfRule type="duplicateValues" dxfId="1486" priority="1965"/>
    <cfRule type="duplicateValues" dxfId="1485" priority="1966"/>
    <cfRule type="duplicateValues" dxfId="1484" priority="1967"/>
    <cfRule type="duplicateValues" dxfId="1483" priority="1968"/>
    <cfRule type="duplicateValues" dxfId="1482" priority="1969"/>
    <cfRule type="duplicateValues" dxfId="1481" priority="1970"/>
    <cfRule type="duplicateValues" dxfId="1480" priority="1971"/>
    <cfRule type="duplicateValues" dxfId="1479" priority="1972"/>
    <cfRule type="duplicateValues" dxfId="1478" priority="1973"/>
    <cfRule type="duplicateValues" dxfId="1477" priority="1974"/>
    <cfRule type="duplicateValues" dxfId="1476" priority="1993"/>
    <cfRule type="duplicateValues" dxfId="1475" priority="1975"/>
    <cfRule type="duplicateValues" dxfId="1474" priority="1976"/>
    <cfRule type="duplicateValues" dxfId="1473" priority="1977"/>
    <cfRule type="duplicateValues" dxfId="1472" priority="1979"/>
    <cfRule type="duplicateValues" dxfId="1471" priority="1980"/>
    <cfRule type="duplicateValues" dxfId="1470" priority="1981"/>
    <cfRule type="duplicateValues" dxfId="1469" priority="1982"/>
    <cfRule type="duplicateValues" dxfId="1468" priority="1949"/>
    <cfRule type="duplicateValues" dxfId="1467" priority="1961"/>
    <cfRule type="duplicateValues" dxfId="1466" priority="1983"/>
    <cfRule type="duplicateValues" dxfId="1465" priority="1984"/>
    <cfRule type="duplicateValues" dxfId="1464" priority="1985"/>
    <cfRule type="duplicateValues" dxfId="1463" priority="1986"/>
    <cfRule type="duplicateValues" dxfId="1462" priority="1987"/>
    <cfRule type="duplicateValues" dxfId="1461" priority="1988"/>
    <cfRule type="duplicateValues" dxfId="1460" priority="1989"/>
    <cfRule type="duplicateValues" dxfId="1459" priority="1990"/>
    <cfRule type="duplicateValues" dxfId="1458" priority="1991"/>
    <cfRule type="duplicateValues" dxfId="1457" priority="1992"/>
    <cfRule type="duplicateValues" dxfId="1456" priority="1939"/>
    <cfRule type="duplicateValues" dxfId="1455" priority="1940"/>
    <cfRule type="duplicateValues" dxfId="1454" priority="1941"/>
    <cfRule type="duplicateValues" dxfId="1453" priority="1942"/>
    <cfRule type="duplicateValues" dxfId="1452" priority="1953"/>
    <cfRule type="duplicateValues" dxfId="1451" priority="1954"/>
    <cfRule type="duplicateValues" dxfId="1450" priority="1955"/>
    <cfRule type="duplicateValues" dxfId="1449" priority="1956"/>
    <cfRule type="duplicateValues" dxfId="1448" priority="1957"/>
    <cfRule type="duplicateValues" dxfId="1447" priority="1958"/>
    <cfRule type="duplicateValues" dxfId="1446" priority="1978"/>
    <cfRule type="duplicateValues" dxfId="1445" priority="1959"/>
    <cfRule type="duplicateValues" dxfId="1444" priority="1960"/>
    <cfRule type="duplicateValues" dxfId="1443" priority="1945"/>
    <cfRule type="duplicateValues" dxfId="1442" priority="1948"/>
    <cfRule type="duplicateValues" dxfId="1441" priority="1947"/>
    <cfRule type="duplicateValues" dxfId="1440" priority="1962"/>
    <cfRule type="duplicateValues" dxfId="1439" priority="1943"/>
    <cfRule type="duplicateValues" dxfId="1438" priority="1944"/>
    <cfRule type="duplicateValues" dxfId="1437" priority="1946"/>
    <cfRule type="duplicateValues" dxfId="1436" priority="1950"/>
    <cfRule type="duplicateValues" dxfId="1435" priority="1951"/>
  </conditionalFormatting>
  <conditionalFormatting sqref="C146">
    <cfRule type="duplicateValues" dxfId="1434" priority="1075"/>
    <cfRule type="duplicateValues" dxfId="1433" priority="1076"/>
    <cfRule type="duplicateValues" dxfId="1432" priority="1077"/>
    <cfRule type="duplicateValues" dxfId="1431" priority="1078"/>
    <cfRule type="duplicateValues" dxfId="1430" priority="1079"/>
    <cfRule type="duplicateValues" dxfId="1429" priority="1080"/>
    <cfRule type="duplicateValues" dxfId="1428" priority="1081"/>
    <cfRule type="duplicateValues" dxfId="1427" priority="1082"/>
    <cfRule type="duplicateValues" dxfId="1426" priority="1083"/>
    <cfRule type="duplicateValues" dxfId="1425" priority="1084"/>
    <cfRule type="duplicateValues" dxfId="1424" priority="1085"/>
    <cfRule type="duplicateValues" dxfId="1423" priority="1086"/>
    <cfRule type="duplicateValues" dxfId="1422" priority="1087"/>
    <cfRule type="duplicateValues" dxfId="1421" priority="1088"/>
    <cfRule type="duplicateValues" dxfId="1420" priority="1089"/>
    <cfRule type="duplicateValues" dxfId="1419" priority="1090"/>
    <cfRule type="duplicateValues" dxfId="1418" priority="1091"/>
    <cfRule type="duplicateValues" dxfId="1417" priority="1092"/>
    <cfRule type="duplicateValues" dxfId="1416" priority="1093"/>
    <cfRule type="duplicateValues" dxfId="1415" priority="1094"/>
    <cfRule type="duplicateValues" dxfId="1414" priority="1095"/>
    <cfRule type="duplicateValues" dxfId="1413" priority="1096"/>
    <cfRule type="duplicateValues" dxfId="1412" priority="1097"/>
    <cfRule type="duplicateValues" dxfId="1411" priority="1098"/>
    <cfRule type="duplicateValues" dxfId="1410" priority="1099"/>
    <cfRule type="duplicateValues" dxfId="1409" priority="1100"/>
    <cfRule type="duplicateValues" dxfId="1408" priority="1101"/>
    <cfRule type="duplicateValues" dxfId="1407" priority="1102"/>
    <cfRule type="duplicateValues" dxfId="1406" priority="1103"/>
    <cfRule type="duplicateValues" dxfId="1405" priority="1104"/>
    <cfRule type="duplicateValues" dxfId="1404" priority="1105"/>
    <cfRule type="duplicateValues" dxfId="1403" priority="1107"/>
    <cfRule type="duplicateValues" dxfId="1402" priority="1108"/>
    <cfRule type="duplicateValues" dxfId="1401" priority="1109"/>
    <cfRule type="duplicateValues" dxfId="1400" priority="1110"/>
    <cfRule type="duplicateValues" dxfId="1399" priority="1111"/>
    <cfRule type="duplicateValues" dxfId="1398" priority="1112"/>
    <cfRule type="duplicateValues" dxfId="1397" priority="1113"/>
    <cfRule type="duplicateValues" dxfId="1396" priority="1114"/>
    <cfRule type="duplicateValues" dxfId="1395" priority="1115"/>
    <cfRule type="duplicateValues" dxfId="1394" priority="1116"/>
    <cfRule type="duplicateValues" dxfId="1393" priority="1117"/>
    <cfRule type="duplicateValues" dxfId="1392" priority="1118"/>
    <cfRule type="duplicateValues" dxfId="1391" priority="1119"/>
    <cfRule type="duplicateValues" dxfId="1390" priority="1106"/>
  </conditionalFormatting>
  <conditionalFormatting sqref="C147 C143:C144">
    <cfRule type="duplicateValues" dxfId="1389" priority="1196"/>
    <cfRule type="duplicateValues" dxfId="1388" priority="1171"/>
    <cfRule type="duplicateValues" dxfId="1387" priority="1168"/>
    <cfRule type="duplicateValues" dxfId="1386" priority="1169"/>
    <cfRule type="duplicateValues" dxfId="1385" priority="1170"/>
    <cfRule type="duplicateValues" dxfId="1384" priority="1172"/>
    <cfRule type="duplicateValues" dxfId="1383" priority="1173"/>
    <cfRule type="duplicateValues" dxfId="1382" priority="1174"/>
    <cfRule type="duplicateValues" dxfId="1381" priority="1175"/>
    <cfRule type="duplicateValues" dxfId="1380" priority="1176"/>
    <cfRule type="duplicateValues" dxfId="1379" priority="1177"/>
    <cfRule type="duplicateValues" dxfId="1378" priority="1178"/>
    <cfRule type="duplicateValues" dxfId="1377" priority="1179"/>
    <cfRule type="duplicateValues" dxfId="1376" priority="1180"/>
    <cfRule type="duplicateValues" dxfId="1375" priority="1181"/>
    <cfRule type="duplicateValues" dxfId="1374" priority="1182"/>
    <cfRule type="duplicateValues" dxfId="1373" priority="1183"/>
    <cfRule type="duplicateValues" dxfId="1372" priority="1184"/>
    <cfRule type="duplicateValues" dxfId="1371" priority="1194"/>
    <cfRule type="duplicateValues" dxfId="1370" priority="1185"/>
    <cfRule type="duplicateValues" dxfId="1369" priority="1186"/>
    <cfRule type="duplicateValues" dxfId="1368" priority="1187"/>
    <cfRule type="duplicateValues" dxfId="1367" priority="1188"/>
    <cfRule type="duplicateValues" dxfId="1366" priority="1189"/>
    <cfRule type="duplicateValues" dxfId="1365" priority="1190"/>
    <cfRule type="duplicateValues" dxfId="1364" priority="1191"/>
    <cfRule type="duplicateValues" dxfId="1363" priority="1192"/>
    <cfRule type="duplicateValues" dxfId="1362" priority="1193"/>
    <cfRule type="duplicateValues" dxfId="1361" priority="2339"/>
    <cfRule type="duplicateValues" dxfId="1360" priority="2340"/>
    <cfRule type="duplicateValues" dxfId="1359" priority="2341"/>
    <cfRule type="duplicateValues" dxfId="1358" priority="1195"/>
  </conditionalFormatting>
  <conditionalFormatting sqref="C147 C150 C143:C144">
    <cfRule type="duplicateValues" dxfId="1357" priority="2235"/>
  </conditionalFormatting>
  <conditionalFormatting sqref="C147">
    <cfRule type="duplicateValues" dxfId="1356" priority="1167"/>
    <cfRule type="duplicateValues" dxfId="1355" priority="2326"/>
    <cfRule type="duplicateValues" dxfId="1354" priority="1162"/>
    <cfRule type="duplicateValues" dxfId="1353" priority="1163"/>
    <cfRule type="duplicateValues" dxfId="1352" priority="1164"/>
    <cfRule type="duplicateValues" dxfId="1351" priority="1159"/>
    <cfRule type="duplicateValues" dxfId="1350" priority="1161"/>
    <cfRule type="duplicateValues" dxfId="1349" priority="1165"/>
    <cfRule type="duplicateValues" dxfId="1348" priority="1166"/>
    <cfRule type="duplicateValues" dxfId="1347" priority="1160"/>
  </conditionalFormatting>
  <conditionalFormatting sqref="C150">
    <cfRule type="duplicateValues" dxfId="1346" priority="1121"/>
    <cfRule type="duplicateValues" dxfId="1345" priority="1122"/>
    <cfRule type="duplicateValues" dxfId="1344" priority="1123"/>
    <cfRule type="duplicateValues" dxfId="1343" priority="1124"/>
    <cfRule type="duplicateValues" dxfId="1342" priority="1125"/>
    <cfRule type="duplicateValues" dxfId="1341" priority="1126"/>
    <cfRule type="duplicateValues" dxfId="1340" priority="1127"/>
    <cfRule type="duplicateValues" dxfId="1339" priority="1128"/>
    <cfRule type="duplicateValues" dxfId="1338" priority="1129"/>
    <cfRule type="duplicateValues" dxfId="1337" priority="1130"/>
    <cfRule type="duplicateValues" dxfId="1336" priority="1131"/>
    <cfRule type="duplicateValues" dxfId="1335" priority="1132"/>
    <cfRule type="duplicateValues" dxfId="1334" priority="1133"/>
    <cfRule type="duplicateValues" dxfId="1333" priority="1134"/>
    <cfRule type="duplicateValues" dxfId="1332" priority="1135"/>
    <cfRule type="duplicateValues" dxfId="1331" priority="1136"/>
    <cfRule type="duplicateValues" dxfId="1330" priority="1137"/>
    <cfRule type="duplicateValues" dxfId="1329" priority="1148"/>
    <cfRule type="duplicateValues" dxfId="1328" priority="1147"/>
    <cfRule type="duplicateValues" dxfId="1327" priority="1146"/>
    <cfRule type="duplicateValues" dxfId="1326" priority="1145"/>
    <cfRule type="duplicateValues" dxfId="1325" priority="1144"/>
    <cfRule type="duplicateValues" dxfId="1324" priority="1143"/>
    <cfRule type="duplicateValues" dxfId="1323" priority="1142"/>
    <cfRule type="duplicateValues" dxfId="1322" priority="1141"/>
    <cfRule type="duplicateValues" dxfId="1321" priority="1140"/>
    <cfRule type="duplicateValues" dxfId="1320" priority="1139"/>
    <cfRule type="duplicateValues" dxfId="1319" priority="1138"/>
    <cfRule type="duplicateValues" dxfId="1318" priority="1155"/>
    <cfRule type="duplicateValues" dxfId="1317" priority="1120"/>
    <cfRule type="duplicateValues" dxfId="1316" priority="1158"/>
    <cfRule type="duplicateValues" dxfId="1315" priority="1157"/>
    <cfRule type="duplicateValues" dxfId="1314" priority="1156"/>
    <cfRule type="duplicateValues" dxfId="1313" priority="1154"/>
    <cfRule type="duplicateValues" dxfId="1312" priority="1153"/>
    <cfRule type="duplicateValues" dxfId="1311" priority="1152"/>
    <cfRule type="duplicateValues" dxfId="1310" priority="1151"/>
    <cfRule type="duplicateValues" dxfId="1309" priority="1150"/>
    <cfRule type="duplicateValues" dxfId="1308" priority="1149"/>
  </conditionalFormatting>
  <conditionalFormatting sqref="C151">
    <cfRule type="duplicateValues" dxfId="1307" priority="2119"/>
    <cfRule type="duplicateValues" dxfId="1306" priority="2120"/>
  </conditionalFormatting>
  <conditionalFormatting sqref="C152">
    <cfRule type="duplicateValues" dxfId="1305" priority="1487"/>
    <cfRule type="duplicateValues" dxfId="1304" priority="1488"/>
    <cfRule type="duplicateValues" dxfId="1303" priority="1489"/>
    <cfRule type="duplicateValues" dxfId="1302" priority="1490"/>
    <cfRule type="duplicateValues" dxfId="1301" priority="1491"/>
    <cfRule type="duplicateValues" dxfId="1300" priority="1492"/>
    <cfRule type="duplicateValues" dxfId="1299" priority="1493"/>
    <cfRule type="duplicateValues" dxfId="1298" priority="1494"/>
    <cfRule type="duplicateValues" dxfId="1297" priority="1495"/>
    <cfRule type="duplicateValues" dxfId="1296" priority="1496"/>
    <cfRule type="duplicateValues" dxfId="1295" priority="1497"/>
    <cfRule type="duplicateValues" dxfId="1294" priority="2013"/>
    <cfRule type="duplicateValues" dxfId="1293" priority="2014"/>
    <cfRule type="duplicateValues" dxfId="1292" priority="2015"/>
    <cfRule type="duplicateValues" dxfId="1291" priority="2016"/>
    <cfRule type="duplicateValues" dxfId="1290" priority="2017"/>
    <cfRule type="duplicateValues" dxfId="1289" priority="2018"/>
    <cfRule type="duplicateValues" dxfId="1288" priority="2019"/>
    <cfRule type="duplicateValues" dxfId="1287" priority="2020"/>
    <cfRule type="duplicateValues" dxfId="1286" priority="2021"/>
    <cfRule type="duplicateValues" dxfId="1285" priority="2022"/>
    <cfRule type="duplicateValues" dxfId="1284" priority="2023"/>
    <cfRule type="duplicateValues" dxfId="1283" priority="2024"/>
    <cfRule type="duplicateValues" dxfId="1282" priority="2026"/>
    <cfRule type="duplicateValues" dxfId="1281" priority="2027"/>
    <cfRule type="duplicateValues" dxfId="1280" priority="2028"/>
    <cfRule type="duplicateValues" dxfId="1279" priority="2029"/>
    <cfRule type="duplicateValues" dxfId="1278" priority="2030"/>
    <cfRule type="duplicateValues" dxfId="1277" priority="2031"/>
    <cfRule type="duplicateValues" dxfId="1276" priority="2025"/>
    <cfRule type="duplicateValues" dxfId="1275" priority="2033"/>
    <cfRule type="duplicateValues" dxfId="1274" priority="2034"/>
    <cfRule type="duplicateValues" dxfId="1273" priority="1558"/>
    <cfRule type="duplicateValues" dxfId="1272" priority="1994"/>
    <cfRule type="duplicateValues" dxfId="1271" priority="1560"/>
    <cfRule type="duplicateValues" dxfId="1270" priority="2035"/>
    <cfRule type="duplicateValues" dxfId="1269" priority="2032"/>
    <cfRule type="duplicateValues" dxfId="1268" priority="1559"/>
    <cfRule type="duplicateValues" dxfId="1267" priority="1498"/>
    <cfRule type="duplicateValues" dxfId="1266" priority="2001"/>
    <cfRule type="duplicateValues" dxfId="1265" priority="2000"/>
    <cfRule type="duplicateValues" dxfId="1264" priority="1999"/>
    <cfRule type="duplicateValues" dxfId="1263" priority="2002"/>
    <cfRule type="duplicateValues" dxfId="1262" priority="1998"/>
    <cfRule type="duplicateValues" dxfId="1261" priority="1997"/>
    <cfRule type="duplicateValues" dxfId="1260" priority="1996"/>
    <cfRule type="duplicateValues" dxfId="1259" priority="2003"/>
    <cfRule type="duplicateValues" dxfId="1258" priority="2004"/>
    <cfRule type="duplicateValues" dxfId="1257" priority="2005"/>
    <cfRule type="duplicateValues" dxfId="1256" priority="2006"/>
    <cfRule type="duplicateValues" dxfId="1255" priority="1995"/>
    <cfRule type="duplicateValues" dxfId="1254" priority="2007"/>
    <cfRule type="duplicateValues" dxfId="1253" priority="2008"/>
    <cfRule type="duplicateValues" dxfId="1252" priority="2009"/>
    <cfRule type="duplicateValues" dxfId="1251" priority="2010"/>
    <cfRule type="duplicateValues" dxfId="1250" priority="2011"/>
    <cfRule type="duplicateValues" dxfId="1249" priority="2012"/>
    <cfRule type="duplicateValues" dxfId="1248" priority="1557"/>
    <cfRule type="duplicateValues" dxfId="1247" priority="1556"/>
    <cfRule type="duplicateValues" dxfId="1246" priority="1555"/>
    <cfRule type="duplicateValues" dxfId="1245" priority="1554"/>
  </conditionalFormatting>
  <conditionalFormatting sqref="C153">
    <cfRule type="duplicateValues" dxfId="1244" priority="1836"/>
    <cfRule type="duplicateValues" dxfId="1243" priority="1837"/>
    <cfRule type="duplicateValues" dxfId="1242" priority="1838"/>
    <cfRule type="duplicateValues" dxfId="1241" priority="1839"/>
    <cfRule type="duplicateValues" dxfId="1240" priority="1840"/>
    <cfRule type="duplicateValues" dxfId="1239" priority="1815"/>
    <cfRule type="duplicateValues" dxfId="1238" priority="1781"/>
    <cfRule type="duplicateValues" dxfId="1237" priority="1782"/>
    <cfRule type="duplicateValues" dxfId="1236" priority="1783"/>
    <cfRule type="duplicateValues" dxfId="1235" priority="1784"/>
    <cfRule type="duplicateValues" dxfId="1234" priority="1785"/>
    <cfRule type="duplicateValues" dxfId="1233" priority="1786"/>
    <cfRule type="duplicateValues" dxfId="1232" priority="1787"/>
    <cfRule type="duplicateValues" dxfId="1231" priority="1788"/>
    <cfRule type="duplicateValues" dxfId="1230" priority="1789"/>
    <cfRule type="duplicateValues" dxfId="1229" priority="1790"/>
    <cfRule type="duplicateValues" dxfId="1228" priority="1791"/>
    <cfRule type="duplicateValues" dxfId="1227" priority="1792"/>
    <cfRule type="duplicateValues" dxfId="1226" priority="1793"/>
    <cfRule type="duplicateValues" dxfId="1225" priority="1794"/>
    <cfRule type="duplicateValues" dxfId="1224" priority="1795"/>
    <cfRule type="duplicateValues" dxfId="1223" priority="1796"/>
    <cfRule type="duplicateValues" dxfId="1222" priority="1797"/>
    <cfRule type="duplicateValues" dxfId="1221" priority="1798"/>
    <cfRule type="duplicateValues" dxfId="1220" priority="1799"/>
    <cfRule type="duplicateValues" dxfId="1219" priority="1800"/>
    <cfRule type="duplicateValues" dxfId="1218" priority="1801"/>
    <cfRule type="duplicateValues" dxfId="1217" priority="1802"/>
    <cfRule type="duplicateValues" dxfId="1216" priority="1803"/>
    <cfRule type="duplicateValues" dxfId="1215" priority="1804"/>
    <cfRule type="duplicateValues" dxfId="1214" priority="1805"/>
    <cfRule type="duplicateValues" dxfId="1213" priority="1806"/>
    <cfRule type="duplicateValues" dxfId="1212" priority="1807"/>
    <cfRule type="duplicateValues" dxfId="1211" priority="1808"/>
    <cfRule type="duplicateValues" dxfId="1210" priority="1809"/>
    <cfRule type="duplicateValues" dxfId="1209" priority="1810"/>
    <cfRule type="duplicateValues" dxfId="1208" priority="1811"/>
    <cfRule type="duplicateValues" dxfId="1207" priority="1812"/>
    <cfRule type="duplicateValues" dxfId="1206" priority="1813"/>
    <cfRule type="duplicateValues" dxfId="1205" priority="1814"/>
    <cfRule type="duplicateValues" dxfId="1204" priority="1816"/>
    <cfRule type="duplicateValues" dxfId="1203" priority="1817"/>
    <cfRule type="duplicateValues" dxfId="1202" priority="1818"/>
    <cfRule type="duplicateValues" dxfId="1201" priority="1819"/>
    <cfRule type="duplicateValues" dxfId="1200" priority="1820"/>
    <cfRule type="duplicateValues" dxfId="1199" priority="1821"/>
    <cfRule type="duplicateValues" dxfId="1198" priority="1822"/>
    <cfRule type="duplicateValues" dxfId="1197" priority="1823"/>
    <cfRule type="duplicateValues" dxfId="1196" priority="1824"/>
    <cfRule type="duplicateValues" dxfId="1195" priority="1825"/>
    <cfRule type="duplicateValues" dxfId="1194" priority="1826"/>
    <cfRule type="duplicateValues" dxfId="1193" priority="1827"/>
    <cfRule type="duplicateValues" dxfId="1192" priority="1828"/>
    <cfRule type="duplicateValues" dxfId="1191" priority="1829"/>
    <cfRule type="duplicateValues" dxfId="1190" priority="1830"/>
    <cfRule type="duplicateValues" dxfId="1189" priority="1831"/>
    <cfRule type="duplicateValues" dxfId="1188" priority="1832"/>
    <cfRule type="duplicateValues" dxfId="1187" priority="1833"/>
    <cfRule type="duplicateValues" dxfId="1186" priority="1834"/>
    <cfRule type="duplicateValues" dxfId="1185" priority="1835"/>
  </conditionalFormatting>
  <conditionalFormatting sqref="C154 C169 C173:C174 C185 C187">
    <cfRule type="duplicateValues" dxfId="1184" priority="2090"/>
    <cfRule type="duplicateValues" dxfId="1183" priority="2075"/>
    <cfRule type="duplicateValues" dxfId="1182" priority="2074"/>
    <cfRule type="duplicateValues" dxfId="1181" priority="2073"/>
    <cfRule type="duplicateValues" dxfId="1180" priority="2072"/>
    <cfRule type="duplicateValues" dxfId="1179" priority="2071"/>
    <cfRule type="duplicateValues" dxfId="1178" priority="2070"/>
    <cfRule type="duplicateValues" dxfId="1177" priority="2082"/>
    <cfRule type="duplicateValues" dxfId="1176" priority="2089"/>
    <cfRule type="duplicateValues" dxfId="1175" priority="2088"/>
    <cfRule type="duplicateValues" dxfId="1174" priority="2087"/>
    <cfRule type="duplicateValues" dxfId="1173" priority="2085"/>
    <cfRule type="duplicateValues" dxfId="1172" priority="2084"/>
    <cfRule type="duplicateValues" dxfId="1171" priority="2083"/>
    <cfRule type="duplicateValues" dxfId="1170" priority="2086"/>
    <cfRule type="duplicateValues" dxfId="1169" priority="2081"/>
    <cfRule type="duplicateValues" dxfId="1168" priority="2080"/>
    <cfRule type="duplicateValues" dxfId="1167" priority="2079"/>
    <cfRule type="duplicateValues" dxfId="1166" priority="2078"/>
    <cfRule type="duplicateValues" dxfId="1165" priority="2069"/>
    <cfRule type="duplicateValues" dxfId="1164" priority="2077"/>
    <cfRule type="duplicateValues" dxfId="1163" priority="2076"/>
  </conditionalFormatting>
  <conditionalFormatting sqref="C154 C173:C174 C185 C187">
    <cfRule type="duplicateValues" dxfId="1162" priority="2041"/>
    <cfRule type="duplicateValues" dxfId="1161" priority="2040"/>
    <cfRule type="duplicateValues" dxfId="1160" priority="2048"/>
    <cfRule type="duplicateValues" dxfId="1159" priority="2039"/>
    <cfRule type="duplicateValues" dxfId="1158" priority="2065"/>
    <cfRule type="duplicateValues" dxfId="1157" priority="2038"/>
    <cfRule type="duplicateValues" dxfId="1156" priority="2037"/>
    <cfRule type="duplicateValues" dxfId="1155" priority="2068"/>
    <cfRule type="duplicateValues" dxfId="1154" priority="2067"/>
    <cfRule type="duplicateValues" dxfId="1153" priority="2066"/>
    <cfRule type="duplicateValues" dxfId="1152" priority="2064"/>
    <cfRule type="duplicateValues" dxfId="1151" priority="2052"/>
    <cfRule type="duplicateValues" dxfId="1150" priority="2063"/>
    <cfRule type="duplicateValues" dxfId="1149" priority="2062"/>
    <cfRule type="duplicateValues" dxfId="1148" priority="2061"/>
    <cfRule type="duplicateValues" dxfId="1147" priority="2060"/>
    <cfRule type="duplicateValues" dxfId="1146" priority="2059"/>
    <cfRule type="duplicateValues" dxfId="1145" priority="2036"/>
    <cfRule type="duplicateValues" dxfId="1144" priority="2058"/>
    <cfRule type="duplicateValues" dxfId="1143" priority="2057"/>
    <cfRule type="duplicateValues" dxfId="1142" priority="2056"/>
    <cfRule type="duplicateValues" dxfId="1141" priority="2055"/>
    <cfRule type="duplicateValues" dxfId="1140" priority="2054"/>
    <cfRule type="duplicateValues" dxfId="1139" priority="2053"/>
    <cfRule type="duplicateValues" dxfId="1138" priority="2051"/>
    <cfRule type="duplicateValues" dxfId="1137" priority="2050"/>
    <cfRule type="duplicateValues" dxfId="1136" priority="2049"/>
    <cfRule type="duplicateValues" dxfId="1135" priority="2047"/>
    <cfRule type="duplicateValues" dxfId="1134" priority="2046"/>
    <cfRule type="duplicateValues" dxfId="1133" priority="2045"/>
    <cfRule type="duplicateValues" dxfId="1132" priority="2044"/>
    <cfRule type="duplicateValues" dxfId="1131" priority="2043"/>
    <cfRule type="duplicateValues" dxfId="1130" priority="2042"/>
  </conditionalFormatting>
  <conditionalFormatting sqref="C154">
    <cfRule type="duplicateValues" dxfId="1129" priority="1845"/>
    <cfRule type="duplicateValues" dxfId="1128" priority="1844"/>
    <cfRule type="duplicateValues" dxfId="1127" priority="1842"/>
    <cfRule type="duplicateValues" dxfId="1126" priority="1841"/>
    <cfRule type="duplicateValues" dxfId="1125" priority="1846"/>
    <cfRule type="duplicateValues" dxfId="1124" priority="1843"/>
  </conditionalFormatting>
  <conditionalFormatting sqref="C155">
    <cfRule type="duplicateValues" dxfId="1123" priority="1409"/>
    <cfRule type="duplicateValues" dxfId="1122" priority="2201"/>
    <cfRule type="duplicateValues" dxfId="1121" priority="2202"/>
    <cfRule type="duplicateValues" dxfId="1120" priority="2203"/>
    <cfRule type="duplicateValues" dxfId="1119" priority="2204"/>
    <cfRule type="duplicateValues" dxfId="1118" priority="2205"/>
    <cfRule type="duplicateValues" dxfId="1117" priority="2222"/>
    <cfRule type="duplicateValues" dxfId="1116" priority="2223"/>
    <cfRule type="duplicateValues" dxfId="1115" priority="2224"/>
    <cfRule type="duplicateValues" dxfId="1114" priority="2225"/>
    <cfRule type="duplicateValues" dxfId="1113" priority="2226"/>
    <cfRule type="duplicateValues" dxfId="1112" priority="2227"/>
    <cfRule type="duplicateValues" dxfId="1111" priority="2228"/>
    <cfRule type="duplicateValues" dxfId="1110" priority="2229"/>
    <cfRule type="duplicateValues" dxfId="1109" priority="2230"/>
    <cfRule type="duplicateValues" dxfId="1108" priority="2231"/>
    <cfRule type="duplicateValues" dxfId="1107" priority="2232"/>
    <cfRule type="duplicateValues" dxfId="1106" priority="2233"/>
    <cfRule type="duplicateValues" dxfId="1105" priority="2234"/>
    <cfRule type="duplicateValues" dxfId="1104" priority="2208"/>
    <cfRule type="duplicateValues" dxfId="1103" priority="1410"/>
    <cfRule type="duplicateValues" dxfId="1102" priority="2206"/>
    <cfRule type="duplicateValues" dxfId="1101" priority="1413"/>
    <cfRule type="duplicateValues" dxfId="1100" priority="2192"/>
    <cfRule type="duplicateValues" dxfId="1099" priority="1411"/>
    <cfRule type="duplicateValues" dxfId="1098" priority="2193"/>
    <cfRule type="duplicateValues" dxfId="1097" priority="1412"/>
    <cfRule type="duplicateValues" dxfId="1096" priority="2218"/>
    <cfRule type="duplicateValues" dxfId="1095" priority="1414"/>
    <cfRule type="duplicateValues" dxfId="1094" priority="2194"/>
    <cfRule type="duplicateValues" dxfId="1093" priority="2195"/>
    <cfRule type="duplicateValues" dxfId="1092" priority="2196"/>
    <cfRule type="duplicateValues" dxfId="1091" priority="1415"/>
    <cfRule type="duplicateValues" dxfId="1090" priority="2197"/>
    <cfRule type="duplicateValues" dxfId="1089" priority="2207"/>
    <cfRule type="duplicateValues" dxfId="1088" priority="2198"/>
    <cfRule type="duplicateValues" dxfId="1087" priority="2199"/>
    <cfRule type="duplicateValues" dxfId="1086" priority="2200"/>
    <cfRule type="duplicateValues" dxfId="1085" priority="2209"/>
    <cfRule type="duplicateValues" dxfId="1084" priority="2210"/>
    <cfRule type="duplicateValues" dxfId="1083" priority="2211"/>
    <cfRule type="duplicateValues" dxfId="1082" priority="2212"/>
    <cfRule type="duplicateValues" dxfId="1081" priority="2213"/>
    <cfRule type="duplicateValues" dxfId="1080" priority="2214"/>
    <cfRule type="duplicateValues" dxfId="1079" priority="2215"/>
    <cfRule type="duplicateValues" dxfId="1078" priority="2216"/>
    <cfRule type="duplicateValues" dxfId="1077" priority="2217"/>
    <cfRule type="duplicateValues" dxfId="1076" priority="2219"/>
    <cfRule type="duplicateValues" dxfId="1075" priority="2220"/>
    <cfRule type="duplicateValues" dxfId="1074" priority="2221"/>
  </conditionalFormatting>
  <conditionalFormatting sqref="C156 C180">
    <cfRule type="duplicateValues" dxfId="1073" priority="2117"/>
    <cfRule type="duplicateValues" dxfId="1072" priority="2100"/>
    <cfRule type="duplicateValues" dxfId="1071" priority="2098"/>
    <cfRule type="duplicateValues" dxfId="1070" priority="2097"/>
    <cfRule type="duplicateValues" dxfId="1069" priority="2096"/>
    <cfRule type="duplicateValues" dxfId="1068" priority="2095"/>
    <cfRule type="duplicateValues" dxfId="1067" priority="2094"/>
    <cfRule type="duplicateValues" dxfId="1066" priority="2093"/>
    <cfRule type="duplicateValues" dxfId="1065" priority="2092"/>
    <cfRule type="duplicateValues" dxfId="1064" priority="2091"/>
    <cfRule type="duplicateValues" dxfId="1063" priority="2099"/>
    <cfRule type="duplicateValues" dxfId="1062" priority="2101"/>
    <cfRule type="duplicateValues" dxfId="1061" priority="2118"/>
    <cfRule type="duplicateValues" dxfId="1060" priority="2102"/>
    <cfRule type="duplicateValues" dxfId="1059" priority="2103"/>
    <cfRule type="duplicateValues" dxfId="1058" priority="2104"/>
    <cfRule type="duplicateValues" dxfId="1057" priority="2105"/>
    <cfRule type="duplicateValues" dxfId="1056" priority="2106"/>
    <cfRule type="duplicateValues" dxfId="1055" priority="2107"/>
    <cfRule type="duplicateValues" dxfId="1054" priority="2108"/>
    <cfRule type="duplicateValues" dxfId="1053" priority="2109"/>
    <cfRule type="duplicateValues" dxfId="1052" priority="2110"/>
    <cfRule type="duplicateValues" dxfId="1051" priority="2111"/>
    <cfRule type="duplicateValues" dxfId="1050" priority="2112"/>
    <cfRule type="duplicateValues" dxfId="1049" priority="2113"/>
    <cfRule type="duplicateValues" dxfId="1048" priority="2114"/>
    <cfRule type="duplicateValues" dxfId="1047" priority="2115"/>
    <cfRule type="duplicateValues" dxfId="1046" priority="2116"/>
  </conditionalFormatting>
  <conditionalFormatting sqref="C156">
    <cfRule type="duplicateValues" dxfId="1045" priority="1887"/>
    <cfRule type="duplicateValues" dxfId="1044" priority="1888"/>
    <cfRule type="duplicateValues" dxfId="1043" priority="1890"/>
    <cfRule type="duplicateValues" dxfId="1042" priority="1892"/>
    <cfRule type="duplicateValues" dxfId="1041" priority="1891"/>
    <cfRule type="duplicateValues" dxfId="1040" priority="1886"/>
    <cfRule type="duplicateValues" dxfId="1039" priority="1889"/>
  </conditionalFormatting>
  <conditionalFormatting sqref="C157">
    <cfRule type="duplicateValues" dxfId="1038" priority="1305"/>
    <cfRule type="duplicateValues" dxfId="1037" priority="1304"/>
  </conditionalFormatting>
  <conditionalFormatting sqref="C158 C183">
    <cfRule type="duplicateValues" dxfId="1036" priority="1366"/>
    <cfRule type="duplicateValues" dxfId="1035" priority="1367"/>
    <cfRule type="duplicateValues" dxfId="1034" priority="1369"/>
    <cfRule type="duplicateValues" dxfId="1033" priority="1370"/>
    <cfRule type="duplicateValues" dxfId="1032" priority="1371"/>
    <cfRule type="duplicateValues" dxfId="1031" priority="1372"/>
    <cfRule type="duplicateValues" dxfId="1030" priority="1373"/>
    <cfRule type="duplicateValues" dxfId="1029" priority="1374"/>
    <cfRule type="duplicateValues" dxfId="1028" priority="1375"/>
    <cfRule type="duplicateValues" dxfId="1027" priority="1377"/>
    <cfRule type="duplicateValues" dxfId="1026" priority="1378"/>
    <cfRule type="duplicateValues" dxfId="1025" priority="1379"/>
    <cfRule type="duplicateValues" dxfId="1024" priority="1380"/>
    <cfRule type="duplicateValues" dxfId="1023" priority="1381"/>
    <cfRule type="duplicateValues" dxfId="1022" priority="1382"/>
    <cfRule type="duplicateValues" dxfId="1021" priority="1384"/>
    <cfRule type="duplicateValues" dxfId="1020" priority="1385"/>
    <cfRule type="duplicateValues" dxfId="1019" priority="1386"/>
    <cfRule type="duplicateValues" dxfId="1018" priority="1387"/>
    <cfRule type="duplicateValues" dxfId="1017" priority="1388"/>
    <cfRule type="duplicateValues" dxfId="1016" priority="1389"/>
    <cfRule type="duplicateValues" dxfId="1015" priority="1390"/>
    <cfRule type="duplicateValues" dxfId="1014" priority="1391"/>
    <cfRule type="duplicateValues" dxfId="1013" priority="1392"/>
    <cfRule type="duplicateValues" dxfId="1012" priority="1393"/>
    <cfRule type="duplicateValues" dxfId="1011" priority="1394"/>
    <cfRule type="duplicateValues" dxfId="1010" priority="1395"/>
    <cfRule type="duplicateValues" dxfId="1009" priority="1396"/>
    <cfRule type="duplicateValues" dxfId="1008" priority="1397"/>
    <cfRule type="duplicateValues" dxfId="1007" priority="1398"/>
    <cfRule type="duplicateValues" dxfId="1006" priority="1399"/>
    <cfRule type="duplicateValues" dxfId="1005" priority="1400"/>
    <cfRule type="duplicateValues" dxfId="1004" priority="1401"/>
    <cfRule type="duplicateValues" dxfId="1003" priority="1402"/>
    <cfRule type="duplicateValues" dxfId="1002" priority="1403"/>
    <cfRule type="duplicateValues" dxfId="1001" priority="1404"/>
    <cfRule type="duplicateValues" dxfId="1000" priority="1405"/>
    <cfRule type="duplicateValues" dxfId="999" priority="1406"/>
    <cfRule type="duplicateValues" dxfId="998" priority="1407"/>
    <cfRule type="duplicateValues" dxfId="997" priority="1408"/>
    <cfRule type="duplicateValues" dxfId="996" priority="1368"/>
    <cfRule type="duplicateValues" dxfId="995" priority="1349"/>
    <cfRule type="duplicateValues" dxfId="994" priority="1347"/>
    <cfRule type="duplicateValues" dxfId="993" priority="1383"/>
    <cfRule type="duplicateValues" dxfId="992" priority="1376"/>
    <cfRule type="duplicateValues" dxfId="991" priority="1350"/>
    <cfRule type="duplicateValues" dxfId="990" priority="1351"/>
    <cfRule type="duplicateValues" dxfId="989" priority="1352"/>
    <cfRule type="duplicateValues" dxfId="988" priority="1353"/>
    <cfRule type="duplicateValues" dxfId="987" priority="1354"/>
    <cfRule type="duplicateValues" dxfId="986" priority="1355"/>
    <cfRule type="duplicateValues" dxfId="985" priority="1356"/>
    <cfRule type="duplicateValues" dxfId="984" priority="1357"/>
    <cfRule type="duplicateValues" dxfId="983" priority="1358"/>
    <cfRule type="duplicateValues" dxfId="982" priority="1359"/>
    <cfRule type="duplicateValues" dxfId="981" priority="1360"/>
    <cfRule type="duplicateValues" dxfId="980" priority="1361"/>
    <cfRule type="duplicateValues" dxfId="979" priority="1362"/>
    <cfRule type="duplicateValues" dxfId="978" priority="1363"/>
    <cfRule type="duplicateValues" dxfId="977" priority="1348"/>
    <cfRule type="duplicateValues" dxfId="976" priority="1364"/>
    <cfRule type="duplicateValues" dxfId="975" priority="1365"/>
  </conditionalFormatting>
  <conditionalFormatting sqref="C164 C194">
    <cfRule type="duplicateValues" dxfId="974" priority="1916"/>
    <cfRule type="duplicateValues" dxfId="973" priority="1917"/>
    <cfRule type="duplicateValues" dxfId="972" priority="1918"/>
    <cfRule type="duplicateValues" dxfId="971" priority="1919"/>
    <cfRule type="duplicateValues" dxfId="970" priority="1920"/>
    <cfRule type="duplicateValues" dxfId="969" priority="1921"/>
    <cfRule type="duplicateValues" dxfId="968" priority="1922"/>
    <cfRule type="duplicateValues" dxfId="967" priority="1923"/>
    <cfRule type="duplicateValues" dxfId="966" priority="1418"/>
    <cfRule type="duplicateValues" dxfId="965" priority="1924"/>
    <cfRule type="duplicateValues" dxfId="964" priority="1925"/>
    <cfRule type="duplicateValues" dxfId="963" priority="1926"/>
    <cfRule type="duplicateValues" dxfId="962" priority="1927"/>
    <cfRule type="duplicateValues" dxfId="961" priority="1928"/>
    <cfRule type="duplicateValues" dxfId="960" priority="1929"/>
    <cfRule type="duplicateValues" dxfId="959" priority="1930"/>
    <cfRule type="duplicateValues" dxfId="958" priority="1910"/>
    <cfRule type="duplicateValues" dxfId="957" priority="1932"/>
    <cfRule type="duplicateValues" dxfId="956" priority="1933"/>
    <cfRule type="duplicateValues" dxfId="955" priority="1934"/>
    <cfRule type="duplicateValues" dxfId="954" priority="1417"/>
    <cfRule type="duplicateValues" dxfId="953" priority="1897"/>
    <cfRule type="duplicateValues" dxfId="952" priority="1938"/>
    <cfRule type="duplicateValues" dxfId="951" priority="1937"/>
    <cfRule type="duplicateValues" dxfId="950" priority="1936"/>
    <cfRule type="duplicateValues" dxfId="949" priority="1935"/>
    <cfRule type="duplicateValues" dxfId="948" priority="1416"/>
    <cfRule type="duplicateValues" dxfId="947" priority="1428"/>
    <cfRule type="duplicateValues" dxfId="946" priority="1427"/>
    <cfRule type="duplicateValues" dxfId="945" priority="1898"/>
    <cfRule type="duplicateValues" dxfId="944" priority="1426"/>
    <cfRule type="duplicateValues" dxfId="943" priority="1425"/>
    <cfRule type="duplicateValues" dxfId="942" priority="1424"/>
    <cfRule type="duplicateValues" dxfId="941" priority="1423"/>
    <cfRule type="duplicateValues" dxfId="940" priority="1422"/>
    <cfRule type="duplicateValues" dxfId="939" priority="1420"/>
    <cfRule type="duplicateValues" dxfId="938" priority="1421"/>
    <cfRule type="duplicateValues" dxfId="937" priority="1899"/>
    <cfRule type="duplicateValues" dxfId="936" priority="1419"/>
    <cfRule type="duplicateValues" dxfId="935" priority="1900"/>
    <cfRule type="duplicateValues" dxfId="934" priority="1901"/>
    <cfRule type="duplicateValues" dxfId="933" priority="1902"/>
    <cfRule type="duplicateValues" dxfId="932" priority="1903"/>
    <cfRule type="duplicateValues" dxfId="931" priority="1904"/>
    <cfRule type="duplicateValues" dxfId="930" priority="1905"/>
    <cfRule type="duplicateValues" dxfId="929" priority="1906"/>
    <cfRule type="duplicateValues" dxfId="928" priority="1907"/>
    <cfRule type="duplicateValues" dxfId="927" priority="1908"/>
    <cfRule type="duplicateValues" dxfId="926" priority="1909"/>
    <cfRule type="duplicateValues" dxfId="925" priority="1911"/>
    <cfRule type="duplicateValues" dxfId="924" priority="1912"/>
    <cfRule type="duplicateValues" dxfId="923" priority="1913"/>
    <cfRule type="duplicateValues" dxfId="922" priority="1914"/>
    <cfRule type="duplicateValues" dxfId="921" priority="1915"/>
    <cfRule type="duplicateValues" dxfId="920" priority="1931"/>
  </conditionalFormatting>
  <conditionalFormatting sqref="C165">
    <cfRule type="duplicateValues" dxfId="919" priority="2178"/>
    <cfRule type="duplicateValues" dxfId="918" priority="2161"/>
    <cfRule type="duplicateValues" dxfId="917" priority="2124"/>
    <cfRule type="duplicateValues" dxfId="916" priority="2173"/>
    <cfRule type="duplicateValues" dxfId="915" priority="2174"/>
    <cfRule type="duplicateValues" dxfId="914" priority="2175"/>
    <cfRule type="duplicateValues" dxfId="913" priority="2181"/>
    <cfRule type="duplicateValues" dxfId="912" priority="2176"/>
    <cfRule type="duplicateValues" dxfId="911" priority="2177"/>
    <cfRule type="duplicateValues" dxfId="910" priority="2180"/>
    <cfRule type="duplicateValues" dxfId="909" priority="2179"/>
    <cfRule type="duplicateValues" dxfId="908" priority="2121"/>
    <cfRule type="duplicateValues" dxfId="907" priority="2122"/>
    <cfRule type="duplicateValues" dxfId="906" priority="2123"/>
    <cfRule type="duplicateValues" dxfId="905" priority="2125"/>
    <cfRule type="duplicateValues" dxfId="904" priority="2126"/>
    <cfRule type="duplicateValues" dxfId="903" priority="2127"/>
    <cfRule type="duplicateValues" dxfId="902" priority="2128"/>
    <cfRule type="duplicateValues" dxfId="901" priority="2129"/>
    <cfRule type="duplicateValues" dxfId="900" priority="2130"/>
    <cfRule type="duplicateValues" dxfId="899" priority="2131"/>
    <cfRule type="duplicateValues" dxfId="898" priority="2132"/>
    <cfRule type="duplicateValues" dxfId="897" priority="2133"/>
    <cfRule type="duplicateValues" dxfId="896" priority="2134"/>
    <cfRule type="duplicateValues" dxfId="895" priority="2135"/>
    <cfRule type="duplicateValues" dxfId="894" priority="2136"/>
    <cfRule type="duplicateValues" dxfId="893" priority="2137"/>
    <cfRule type="duplicateValues" dxfId="892" priority="2138"/>
    <cfRule type="duplicateValues" dxfId="891" priority="2139"/>
    <cfRule type="duplicateValues" dxfId="890" priority="2140"/>
    <cfRule type="duplicateValues" dxfId="889" priority="2141"/>
    <cfRule type="duplicateValues" dxfId="888" priority="2142"/>
    <cfRule type="duplicateValues" dxfId="887" priority="2143"/>
    <cfRule type="duplicateValues" dxfId="886" priority="2144"/>
    <cfRule type="duplicateValues" dxfId="885" priority="2145"/>
    <cfRule type="duplicateValues" dxfId="884" priority="2146"/>
    <cfRule type="duplicateValues" dxfId="883" priority="2147"/>
    <cfRule type="duplicateValues" dxfId="882" priority="2148"/>
    <cfRule type="duplicateValues" dxfId="881" priority="2149"/>
    <cfRule type="duplicateValues" dxfId="880" priority="2150"/>
    <cfRule type="duplicateValues" dxfId="879" priority="2151"/>
    <cfRule type="duplicateValues" dxfId="878" priority="2152"/>
    <cfRule type="duplicateValues" dxfId="877" priority="2153"/>
    <cfRule type="duplicateValues" dxfId="876" priority="2154"/>
    <cfRule type="duplicateValues" dxfId="875" priority="2155"/>
    <cfRule type="duplicateValues" dxfId="874" priority="2156"/>
    <cfRule type="duplicateValues" dxfId="873" priority="2157"/>
    <cfRule type="duplicateValues" dxfId="872" priority="2158"/>
    <cfRule type="duplicateValues" dxfId="871" priority="2159"/>
    <cfRule type="duplicateValues" dxfId="870" priority="2160"/>
    <cfRule type="duplicateValues" dxfId="869" priority="2162"/>
    <cfRule type="duplicateValues" dxfId="868" priority="2163"/>
    <cfRule type="duplicateValues" dxfId="867" priority="2164"/>
    <cfRule type="duplicateValues" dxfId="866" priority="2165"/>
    <cfRule type="duplicateValues" dxfId="865" priority="2166"/>
    <cfRule type="duplicateValues" dxfId="864" priority="2167"/>
    <cfRule type="duplicateValues" dxfId="863" priority="2168"/>
    <cfRule type="duplicateValues" dxfId="862" priority="2169"/>
    <cfRule type="duplicateValues" dxfId="861" priority="2170"/>
    <cfRule type="duplicateValues" dxfId="860" priority="2171"/>
    <cfRule type="duplicateValues" dxfId="859" priority="2172"/>
  </conditionalFormatting>
  <conditionalFormatting sqref="C166">
    <cfRule type="duplicateValues" dxfId="858" priority="1525"/>
    <cfRule type="duplicateValues" dxfId="857" priority="1524"/>
    <cfRule type="duplicateValues" dxfId="856" priority="1523"/>
    <cfRule type="duplicateValues" dxfId="855" priority="1522"/>
    <cfRule type="duplicateValues" dxfId="854" priority="1521"/>
    <cfRule type="duplicateValues" dxfId="853" priority="1520"/>
    <cfRule type="duplicateValues" dxfId="852" priority="1519"/>
    <cfRule type="duplicateValues" dxfId="851" priority="1518"/>
    <cfRule type="duplicateValues" dxfId="850" priority="1517"/>
    <cfRule type="duplicateValues" dxfId="849" priority="1516"/>
    <cfRule type="duplicateValues" dxfId="848" priority="1515"/>
    <cfRule type="duplicateValues" dxfId="847" priority="1514"/>
    <cfRule type="duplicateValues" dxfId="846" priority="1513"/>
    <cfRule type="duplicateValues" dxfId="845" priority="1512"/>
    <cfRule type="duplicateValues" dxfId="844" priority="1511"/>
    <cfRule type="duplicateValues" dxfId="843" priority="1510"/>
    <cfRule type="duplicateValues" dxfId="842" priority="1509"/>
    <cfRule type="duplicateValues" dxfId="841" priority="1508"/>
    <cfRule type="duplicateValues" dxfId="840" priority="1507"/>
    <cfRule type="duplicateValues" dxfId="839" priority="1506"/>
    <cfRule type="duplicateValues" dxfId="838" priority="1505"/>
    <cfRule type="duplicateValues" dxfId="837" priority="1504"/>
    <cfRule type="duplicateValues" dxfId="836" priority="1503"/>
    <cfRule type="duplicateValues" dxfId="835" priority="1502"/>
    <cfRule type="duplicateValues" dxfId="834" priority="1501"/>
    <cfRule type="duplicateValues" dxfId="833" priority="1500"/>
    <cfRule type="duplicateValues" dxfId="832" priority="1499"/>
    <cfRule type="duplicateValues" dxfId="831" priority="1553"/>
    <cfRule type="duplicateValues" dxfId="830" priority="1552"/>
    <cfRule type="duplicateValues" dxfId="829" priority="1551"/>
    <cfRule type="duplicateValues" dxfId="828" priority="1550"/>
    <cfRule type="duplicateValues" dxfId="827" priority="1549"/>
    <cfRule type="duplicateValues" dxfId="826" priority="1548"/>
    <cfRule type="duplicateValues" dxfId="825" priority="1547"/>
    <cfRule type="duplicateValues" dxfId="824" priority="1546"/>
    <cfRule type="duplicateValues" dxfId="823" priority="1545"/>
    <cfRule type="duplicateValues" dxfId="822" priority="1544"/>
    <cfRule type="duplicateValues" dxfId="821" priority="1543"/>
    <cfRule type="duplicateValues" dxfId="820" priority="1542"/>
    <cfRule type="duplicateValues" dxfId="819" priority="1541"/>
    <cfRule type="duplicateValues" dxfId="818" priority="1540"/>
    <cfRule type="duplicateValues" dxfId="817" priority="1539"/>
    <cfRule type="duplicateValues" dxfId="816" priority="1538"/>
    <cfRule type="duplicateValues" dxfId="815" priority="1537"/>
    <cfRule type="duplicateValues" dxfId="814" priority="1536"/>
    <cfRule type="duplicateValues" dxfId="813" priority="1535"/>
    <cfRule type="duplicateValues" dxfId="812" priority="1534"/>
    <cfRule type="duplicateValues" dxfId="811" priority="1533"/>
    <cfRule type="duplicateValues" dxfId="810" priority="1532"/>
    <cfRule type="duplicateValues" dxfId="809" priority="1531"/>
    <cfRule type="duplicateValues" dxfId="808" priority="1530"/>
    <cfRule type="duplicateValues" dxfId="807" priority="1529"/>
    <cfRule type="duplicateValues" dxfId="806" priority="1528"/>
    <cfRule type="duplicateValues" dxfId="805" priority="1527"/>
    <cfRule type="duplicateValues" dxfId="804" priority="1526"/>
  </conditionalFormatting>
  <conditionalFormatting sqref="C168 C160:C162">
    <cfRule type="duplicateValues" dxfId="803" priority="2284"/>
    <cfRule type="duplicateValues" dxfId="802" priority="2283"/>
    <cfRule type="duplicateValues" dxfId="801" priority="2282"/>
    <cfRule type="duplicateValues" dxfId="800" priority="2281"/>
    <cfRule type="duplicateValues" dxfId="799" priority="2280"/>
    <cfRule type="duplicateValues" dxfId="798" priority="2285"/>
    <cfRule type="duplicateValues" dxfId="797" priority="2279"/>
  </conditionalFormatting>
  <conditionalFormatting sqref="C169">
    <cfRule type="duplicateValues" dxfId="796" priority="1882"/>
  </conditionalFormatting>
  <conditionalFormatting sqref="C172 C189:C191 C170">
    <cfRule type="duplicateValues" dxfId="795" priority="2274"/>
    <cfRule type="duplicateValues" dxfId="794" priority="2272"/>
    <cfRule type="duplicateValues" dxfId="793" priority="2271"/>
    <cfRule type="duplicateValues" dxfId="792" priority="2270"/>
    <cfRule type="duplicateValues" dxfId="791" priority="2269"/>
    <cfRule type="duplicateValues" dxfId="790" priority="2273"/>
    <cfRule type="duplicateValues" dxfId="789" priority="2278"/>
    <cfRule type="duplicateValues" dxfId="788" priority="2277"/>
    <cfRule type="duplicateValues" dxfId="787" priority="2276"/>
    <cfRule type="duplicateValues" dxfId="786" priority="2275"/>
  </conditionalFormatting>
  <conditionalFormatting sqref="C172 C189:C191 C175 C170 C178">
    <cfRule type="duplicateValues" dxfId="785" priority="2260"/>
    <cfRule type="duplicateValues" dxfId="784" priority="2259"/>
    <cfRule type="duplicateValues" dxfId="783" priority="2258"/>
    <cfRule type="duplicateValues" dxfId="782" priority="2261"/>
    <cfRule type="duplicateValues" dxfId="781" priority="2268"/>
    <cfRule type="duplicateValues" dxfId="780" priority="2256"/>
    <cfRule type="duplicateValues" dxfId="779" priority="2255"/>
    <cfRule type="duplicateValues" dxfId="778" priority="2254"/>
    <cfRule type="duplicateValues" dxfId="777" priority="2257"/>
    <cfRule type="duplicateValues" dxfId="776" priority="2250"/>
    <cfRule type="duplicateValues" dxfId="775" priority="2264"/>
    <cfRule type="duplicateValues" dxfId="774" priority="2265"/>
    <cfRule type="duplicateValues" dxfId="773" priority="2266"/>
    <cfRule type="duplicateValues" dxfId="772" priority="2267"/>
    <cfRule type="duplicateValues" dxfId="771" priority="2253"/>
    <cfRule type="duplicateValues" dxfId="770" priority="2252"/>
    <cfRule type="duplicateValues" dxfId="769" priority="2251"/>
    <cfRule type="duplicateValues" dxfId="768" priority="2249"/>
    <cfRule type="duplicateValues" dxfId="767" priority="2248"/>
    <cfRule type="duplicateValues" dxfId="766" priority="2247"/>
    <cfRule type="duplicateValues" dxfId="765" priority="2246"/>
    <cfRule type="duplicateValues" dxfId="764" priority="2263"/>
    <cfRule type="duplicateValues" dxfId="763" priority="2245"/>
    <cfRule type="duplicateValues" dxfId="762" priority="2262"/>
  </conditionalFormatting>
  <conditionalFormatting sqref="C175 C178">
    <cfRule type="duplicateValues" dxfId="761" priority="1893"/>
    <cfRule type="duplicateValues" dxfId="760" priority="1894"/>
    <cfRule type="duplicateValues" dxfId="759" priority="1895"/>
    <cfRule type="duplicateValues" dxfId="758" priority="1896"/>
  </conditionalFormatting>
  <conditionalFormatting sqref="C175">
    <cfRule type="duplicateValues" dxfId="757" priority="1315"/>
    <cfRule type="duplicateValues" dxfId="756" priority="1308"/>
    <cfRule type="duplicateValues" dxfId="755" priority="1310"/>
    <cfRule type="duplicateValues" dxfId="754" priority="1309"/>
    <cfRule type="duplicateValues" dxfId="753" priority="1311"/>
    <cfRule type="duplicateValues" dxfId="752" priority="1312"/>
    <cfRule type="duplicateValues" dxfId="751" priority="1313"/>
    <cfRule type="duplicateValues" dxfId="750" priority="1314"/>
  </conditionalFormatting>
  <conditionalFormatting sqref="C176">
    <cfRule type="duplicateValues" dxfId="749" priority="1855"/>
    <cfRule type="duplicateValues" dxfId="748" priority="1856"/>
    <cfRule type="duplicateValues" dxfId="747" priority="1857"/>
    <cfRule type="duplicateValues" dxfId="746" priority="1858"/>
    <cfRule type="duplicateValues" dxfId="745" priority="1859"/>
    <cfRule type="duplicateValues" dxfId="744" priority="1860"/>
    <cfRule type="duplicateValues" dxfId="743" priority="1861"/>
    <cfRule type="duplicateValues" dxfId="742" priority="1862"/>
    <cfRule type="duplicateValues" dxfId="741" priority="1863"/>
    <cfRule type="duplicateValues" dxfId="740" priority="1865"/>
    <cfRule type="duplicateValues" dxfId="739" priority="1866"/>
    <cfRule type="duplicateValues" dxfId="738" priority="1867"/>
    <cfRule type="duplicateValues" dxfId="737" priority="1869"/>
    <cfRule type="duplicateValues" dxfId="736" priority="1870"/>
    <cfRule type="duplicateValues" dxfId="735" priority="1852"/>
    <cfRule type="duplicateValues" dxfId="734" priority="1872"/>
    <cfRule type="duplicateValues" dxfId="733" priority="1873"/>
    <cfRule type="duplicateValues" dxfId="732" priority="1874"/>
    <cfRule type="duplicateValues" dxfId="731" priority="1875"/>
    <cfRule type="duplicateValues" dxfId="730" priority="1876"/>
    <cfRule type="duplicateValues" dxfId="729" priority="1877"/>
    <cfRule type="duplicateValues" dxfId="728" priority="1878"/>
    <cfRule type="duplicateValues" dxfId="727" priority="1879"/>
    <cfRule type="duplicateValues" dxfId="726" priority="1880"/>
    <cfRule type="duplicateValues" dxfId="725" priority="1881"/>
    <cfRule type="duplicateValues" dxfId="724" priority="1847"/>
    <cfRule type="duplicateValues" dxfId="723" priority="1848"/>
    <cfRule type="duplicateValues" dxfId="722" priority="1864"/>
    <cfRule type="duplicateValues" dxfId="721" priority="1868"/>
    <cfRule type="duplicateValues" dxfId="720" priority="1849"/>
    <cfRule type="duplicateValues" dxfId="719" priority="1871"/>
    <cfRule type="duplicateValues" dxfId="718" priority="1850"/>
    <cfRule type="duplicateValues" dxfId="717" priority="1851"/>
    <cfRule type="duplicateValues" dxfId="716" priority="1853"/>
    <cfRule type="duplicateValues" dxfId="715" priority="1854"/>
  </conditionalFormatting>
  <conditionalFormatting sqref="C177">
    <cfRule type="duplicateValues" dxfId="714" priority="1306"/>
    <cfRule type="duplicateValues" dxfId="713" priority="1307"/>
  </conditionalFormatting>
  <conditionalFormatting sqref="C178">
    <cfRule type="duplicateValues" dxfId="712" priority="1343"/>
    <cfRule type="duplicateValues" dxfId="711" priority="1342"/>
    <cfRule type="duplicateValues" dxfId="710" priority="1341"/>
    <cfRule type="duplicateValues" dxfId="709" priority="1340"/>
    <cfRule type="duplicateValues" dxfId="708" priority="1346"/>
    <cfRule type="duplicateValues" dxfId="707" priority="1339"/>
    <cfRule type="duplicateValues" dxfId="706" priority="1338"/>
    <cfRule type="duplicateValues" dxfId="705" priority="1317"/>
    <cfRule type="duplicateValues" dxfId="704" priority="1333"/>
    <cfRule type="duplicateValues" dxfId="703" priority="1334"/>
    <cfRule type="duplicateValues" dxfId="702" priority="1335"/>
    <cfRule type="duplicateValues" dxfId="701" priority="1336"/>
    <cfRule type="duplicateValues" dxfId="700" priority="1337"/>
    <cfRule type="duplicateValues" dxfId="699" priority="1345"/>
    <cfRule type="duplicateValues" dxfId="698" priority="1344"/>
    <cfRule type="duplicateValues" dxfId="697" priority="1316"/>
    <cfRule type="duplicateValues" dxfId="696" priority="1318"/>
    <cfRule type="duplicateValues" dxfId="695" priority="1319"/>
    <cfRule type="duplicateValues" dxfId="694" priority="1320"/>
    <cfRule type="duplicateValues" dxfId="693" priority="1321"/>
    <cfRule type="duplicateValues" dxfId="692" priority="1322"/>
    <cfRule type="duplicateValues" dxfId="691" priority="1323"/>
    <cfRule type="duplicateValues" dxfId="690" priority="1324"/>
    <cfRule type="duplicateValues" dxfId="689" priority="1325"/>
    <cfRule type="duplicateValues" dxfId="688" priority="1326"/>
    <cfRule type="duplicateValues" dxfId="687" priority="1327"/>
    <cfRule type="duplicateValues" dxfId="686" priority="1328"/>
    <cfRule type="duplicateValues" dxfId="685" priority="1329"/>
    <cfRule type="duplicateValues" dxfId="684" priority="1330"/>
    <cfRule type="duplicateValues" dxfId="683" priority="1331"/>
    <cfRule type="duplicateValues" dxfId="682" priority="1332"/>
  </conditionalFormatting>
  <conditionalFormatting sqref="C179">
    <cfRule type="duplicateValues" dxfId="681" priority="1885"/>
    <cfRule type="duplicateValues" dxfId="680" priority="1884"/>
    <cfRule type="duplicateValues" dxfId="679" priority="1883"/>
  </conditionalFormatting>
  <conditionalFormatting sqref="C180">
    <cfRule type="duplicateValues" dxfId="678" priority="1772"/>
    <cfRule type="duplicateValues" dxfId="677" priority="1773"/>
    <cfRule type="duplicateValues" dxfId="676" priority="1774"/>
    <cfRule type="duplicateValues" dxfId="675" priority="1775"/>
    <cfRule type="duplicateValues" dxfId="674" priority="1776"/>
    <cfRule type="duplicateValues" dxfId="673" priority="1777"/>
    <cfRule type="duplicateValues" dxfId="672" priority="1778"/>
    <cfRule type="duplicateValues" dxfId="671" priority="1779"/>
    <cfRule type="duplicateValues" dxfId="670" priority="1780"/>
    <cfRule type="duplicateValues" dxfId="669" priority="1765"/>
    <cfRule type="duplicateValues" dxfId="668" priority="1766"/>
    <cfRule type="duplicateValues" dxfId="667" priority="1767"/>
    <cfRule type="duplicateValues" dxfId="666" priority="1768"/>
    <cfRule type="duplicateValues" dxfId="665" priority="1769"/>
    <cfRule type="duplicateValues" dxfId="664" priority="1770"/>
    <cfRule type="duplicateValues" dxfId="663" priority="1771"/>
  </conditionalFormatting>
  <conditionalFormatting sqref="C181">
    <cfRule type="duplicateValues" dxfId="662" priority="1293"/>
    <cfRule type="duplicateValues" dxfId="661" priority="1294"/>
    <cfRule type="duplicateValues" dxfId="660" priority="1295"/>
    <cfRule type="duplicateValues" dxfId="659" priority="1278"/>
    <cfRule type="duplicateValues" dxfId="658" priority="1297"/>
    <cfRule type="duplicateValues" dxfId="657" priority="1298"/>
    <cfRule type="duplicateValues" dxfId="656" priority="1299"/>
    <cfRule type="duplicateValues" dxfId="655" priority="1301"/>
    <cfRule type="duplicateValues" dxfId="654" priority="1277"/>
    <cfRule type="duplicateValues" dxfId="653" priority="1276"/>
    <cfRule type="duplicateValues" dxfId="652" priority="1275"/>
    <cfRule type="duplicateValues" dxfId="651" priority="1274"/>
    <cfRule type="duplicateValues" dxfId="650" priority="1272"/>
    <cfRule type="duplicateValues" dxfId="649" priority="1271"/>
    <cfRule type="duplicateValues" dxfId="648" priority="1270"/>
    <cfRule type="duplicateValues" dxfId="647" priority="1269"/>
    <cfRule type="duplicateValues" dxfId="646" priority="1268"/>
    <cfRule type="duplicateValues" dxfId="645" priority="1267"/>
    <cfRule type="duplicateValues" dxfId="644" priority="1266"/>
    <cfRule type="duplicateValues" dxfId="643" priority="1296"/>
    <cfRule type="duplicateValues" dxfId="642" priority="1273"/>
    <cfRule type="duplicateValues" dxfId="641" priority="1280"/>
    <cfRule type="duplicateValues" dxfId="640" priority="1281"/>
    <cfRule type="duplicateValues" dxfId="639" priority="1282"/>
    <cfRule type="duplicateValues" dxfId="638" priority="1283"/>
    <cfRule type="duplicateValues" dxfId="637" priority="1284"/>
    <cfRule type="duplicateValues" dxfId="636" priority="1300"/>
    <cfRule type="duplicateValues" dxfId="635" priority="1286"/>
    <cfRule type="duplicateValues" dxfId="634" priority="1287"/>
    <cfRule type="duplicateValues" dxfId="633" priority="1279"/>
    <cfRule type="duplicateValues" dxfId="632" priority="1288"/>
    <cfRule type="duplicateValues" dxfId="631" priority="1289"/>
    <cfRule type="duplicateValues" dxfId="630" priority="1290"/>
    <cfRule type="duplicateValues" dxfId="629" priority="1291"/>
    <cfRule type="duplicateValues" dxfId="628" priority="1292"/>
    <cfRule type="duplicateValues" dxfId="627" priority="1285"/>
  </conditionalFormatting>
  <conditionalFormatting sqref="C182">
    <cfRule type="duplicateValues" dxfId="626" priority="1198"/>
    <cfRule type="duplicateValues" dxfId="625" priority="1199"/>
    <cfRule type="duplicateValues" dxfId="624" priority="1200"/>
    <cfRule type="duplicateValues" dxfId="623" priority="1201"/>
    <cfRule type="duplicateValues" dxfId="622" priority="1202"/>
    <cfRule type="duplicateValues" dxfId="621" priority="1203"/>
    <cfRule type="duplicateValues" dxfId="620" priority="1204"/>
    <cfRule type="duplicateValues" dxfId="619" priority="1205"/>
    <cfRule type="duplicateValues" dxfId="618" priority="1206"/>
    <cfRule type="duplicateValues" dxfId="617" priority="1207"/>
    <cfRule type="duplicateValues" dxfId="616" priority="1208"/>
    <cfRule type="duplicateValues" dxfId="615" priority="1209"/>
    <cfRule type="duplicateValues" dxfId="614" priority="1210"/>
    <cfRule type="duplicateValues" dxfId="613" priority="1211"/>
    <cfRule type="duplicateValues" dxfId="612" priority="1212"/>
    <cfRule type="duplicateValues" dxfId="611" priority="1213"/>
    <cfRule type="duplicateValues" dxfId="610" priority="1214"/>
    <cfRule type="duplicateValues" dxfId="609" priority="1215"/>
    <cfRule type="duplicateValues" dxfId="608" priority="1216"/>
    <cfRule type="duplicateValues" dxfId="607" priority="1217"/>
    <cfRule type="duplicateValues" dxfId="606" priority="1218"/>
    <cfRule type="duplicateValues" dxfId="605" priority="1219"/>
    <cfRule type="duplicateValues" dxfId="604" priority="1220"/>
    <cfRule type="duplicateValues" dxfId="603" priority="1221"/>
    <cfRule type="duplicateValues" dxfId="602" priority="1222"/>
    <cfRule type="duplicateValues" dxfId="601" priority="1223"/>
    <cfRule type="duplicateValues" dxfId="600" priority="1224"/>
    <cfRule type="duplicateValues" dxfId="599" priority="1225"/>
    <cfRule type="duplicateValues" dxfId="598" priority="1226"/>
    <cfRule type="duplicateValues" dxfId="597" priority="1227"/>
    <cfRule type="duplicateValues" dxfId="596" priority="1228"/>
    <cfRule type="duplicateValues" dxfId="595" priority="1229"/>
    <cfRule type="duplicateValues" dxfId="594" priority="1230"/>
    <cfRule type="duplicateValues" dxfId="593" priority="1231"/>
    <cfRule type="duplicateValues" dxfId="592" priority="1232"/>
    <cfRule type="duplicateValues" dxfId="591" priority="1233"/>
    <cfRule type="duplicateValues" dxfId="590" priority="1234"/>
    <cfRule type="duplicateValues" dxfId="589" priority="1235"/>
    <cfRule type="duplicateValues" dxfId="588" priority="1236"/>
    <cfRule type="duplicateValues" dxfId="587" priority="1237"/>
    <cfRule type="duplicateValues" dxfId="586" priority="1238"/>
    <cfRule type="duplicateValues" dxfId="585" priority="1239"/>
    <cfRule type="duplicateValues" dxfId="584" priority="1240"/>
    <cfRule type="duplicateValues" dxfId="583" priority="1241"/>
    <cfRule type="duplicateValues" dxfId="582" priority="1242"/>
    <cfRule type="duplicateValues" dxfId="581" priority="1243"/>
    <cfRule type="duplicateValues" dxfId="580" priority="1244"/>
    <cfRule type="duplicateValues" dxfId="579" priority="1245"/>
    <cfRule type="duplicateValues" dxfId="578" priority="1246"/>
    <cfRule type="duplicateValues" dxfId="577" priority="1247"/>
    <cfRule type="duplicateValues" dxfId="576" priority="1248"/>
    <cfRule type="duplicateValues" dxfId="575" priority="1249"/>
    <cfRule type="duplicateValues" dxfId="574" priority="1250"/>
    <cfRule type="duplicateValues" dxfId="573" priority="1251"/>
    <cfRule type="duplicateValues" dxfId="572" priority="1252"/>
    <cfRule type="duplicateValues" dxfId="571" priority="1253"/>
    <cfRule type="duplicateValues" dxfId="570" priority="1254"/>
    <cfRule type="duplicateValues" dxfId="569" priority="1197"/>
  </conditionalFormatting>
  <conditionalFormatting sqref="C184">
    <cfRule type="duplicateValues" dxfId="568" priority="1588"/>
    <cfRule type="duplicateValues" dxfId="567" priority="1621"/>
    <cfRule type="duplicateValues" dxfId="566" priority="1622"/>
    <cfRule type="duplicateValues" dxfId="565" priority="1623"/>
    <cfRule type="duplicateValues" dxfId="564" priority="1624"/>
    <cfRule type="duplicateValues" dxfId="563" priority="1625"/>
    <cfRule type="duplicateValues" dxfId="562" priority="1626"/>
    <cfRule type="duplicateValues" dxfId="561" priority="1627"/>
    <cfRule type="duplicateValues" dxfId="560" priority="1628"/>
    <cfRule type="duplicateValues" dxfId="559" priority="1629"/>
    <cfRule type="duplicateValues" dxfId="558" priority="1630"/>
    <cfRule type="duplicateValues" dxfId="557" priority="1631"/>
    <cfRule type="duplicateValues" dxfId="556" priority="1632"/>
    <cfRule type="duplicateValues" dxfId="555" priority="1633"/>
    <cfRule type="duplicateValues" dxfId="554" priority="1634"/>
    <cfRule type="duplicateValues" dxfId="553" priority="1635"/>
    <cfRule type="duplicateValues" dxfId="552" priority="1636"/>
    <cfRule type="duplicateValues" dxfId="551" priority="1637"/>
    <cfRule type="duplicateValues" dxfId="550" priority="1639"/>
    <cfRule type="duplicateValues" dxfId="549" priority="1640"/>
    <cfRule type="duplicateValues" dxfId="548" priority="1641"/>
    <cfRule type="duplicateValues" dxfId="547" priority="1642"/>
    <cfRule type="duplicateValues" dxfId="546" priority="1643"/>
    <cfRule type="duplicateValues" dxfId="545" priority="1644"/>
    <cfRule type="duplicateValues" dxfId="544" priority="1645"/>
    <cfRule type="duplicateValues" dxfId="543" priority="1567"/>
    <cfRule type="duplicateValues" dxfId="542" priority="1646"/>
    <cfRule type="duplicateValues" dxfId="541" priority="1647"/>
    <cfRule type="duplicateValues" dxfId="540" priority="1648"/>
    <cfRule type="duplicateValues" dxfId="539" priority="1649"/>
    <cfRule type="duplicateValues" dxfId="538" priority="1650"/>
    <cfRule type="duplicateValues" dxfId="537" priority="1651"/>
    <cfRule type="duplicateValues" dxfId="536" priority="1652"/>
    <cfRule type="duplicateValues" dxfId="535" priority="1653"/>
    <cfRule type="duplicateValues" dxfId="534" priority="1654"/>
    <cfRule type="duplicateValues" dxfId="533" priority="1655"/>
    <cfRule type="duplicateValues" dxfId="532" priority="1656"/>
    <cfRule type="duplicateValues" dxfId="531" priority="1658"/>
    <cfRule type="duplicateValues" dxfId="530" priority="1659"/>
    <cfRule type="duplicateValues" dxfId="529" priority="1660"/>
    <cfRule type="duplicateValues" dxfId="528" priority="1661"/>
    <cfRule type="duplicateValues" dxfId="527" priority="1662"/>
    <cfRule type="duplicateValues" dxfId="526" priority="1663"/>
    <cfRule type="duplicateValues" dxfId="525" priority="1664"/>
    <cfRule type="duplicateValues" dxfId="524" priority="1561"/>
    <cfRule type="duplicateValues" dxfId="523" priority="1562"/>
    <cfRule type="duplicateValues" dxfId="522" priority="1563"/>
    <cfRule type="duplicateValues" dxfId="521" priority="1564"/>
    <cfRule type="duplicateValues" dxfId="520" priority="1565"/>
    <cfRule type="duplicateValues" dxfId="519" priority="1566"/>
    <cfRule type="duplicateValues" dxfId="518" priority="1665"/>
    <cfRule type="duplicateValues" dxfId="517" priority="1568"/>
    <cfRule type="duplicateValues" dxfId="516" priority="1569"/>
    <cfRule type="duplicateValues" dxfId="515" priority="1570"/>
    <cfRule type="duplicateValues" dxfId="514" priority="1571"/>
    <cfRule type="duplicateValues" dxfId="513" priority="1572"/>
    <cfRule type="duplicateValues" dxfId="512" priority="1573"/>
    <cfRule type="duplicateValues" dxfId="511" priority="1574"/>
    <cfRule type="duplicateValues" dxfId="510" priority="1575"/>
    <cfRule type="duplicateValues" dxfId="509" priority="1576"/>
    <cfRule type="duplicateValues" dxfId="508" priority="1577"/>
    <cfRule type="duplicateValues" dxfId="507" priority="1578"/>
    <cfRule type="duplicateValues" dxfId="506" priority="1579"/>
    <cfRule type="duplicateValues" dxfId="505" priority="1580"/>
    <cfRule type="duplicateValues" dxfId="504" priority="1581"/>
    <cfRule type="duplicateValues" dxfId="503" priority="1582"/>
    <cfRule type="duplicateValues" dxfId="502" priority="1583"/>
    <cfRule type="duplicateValues" dxfId="501" priority="1584"/>
    <cfRule type="duplicateValues" dxfId="500" priority="1585"/>
    <cfRule type="duplicateValues" dxfId="499" priority="1586"/>
    <cfRule type="duplicateValues" dxfId="498" priority="1587"/>
    <cfRule type="duplicateValues" dxfId="497" priority="1657"/>
    <cfRule type="duplicateValues" dxfId="496" priority="1589"/>
    <cfRule type="duplicateValues" dxfId="495" priority="1590"/>
    <cfRule type="duplicateValues" dxfId="494" priority="1591"/>
    <cfRule type="duplicateValues" dxfId="493" priority="1592"/>
    <cfRule type="duplicateValues" dxfId="492" priority="1593"/>
    <cfRule type="duplicateValues" dxfId="491" priority="1594"/>
    <cfRule type="duplicateValues" dxfId="490" priority="1595"/>
    <cfRule type="duplicateValues" dxfId="489" priority="1596"/>
    <cfRule type="duplicateValues" dxfId="488" priority="1597"/>
    <cfRule type="duplicateValues" dxfId="487" priority="1598"/>
    <cfRule type="duplicateValues" dxfId="486" priority="1599"/>
    <cfRule type="duplicateValues" dxfId="485" priority="1600"/>
    <cfRule type="duplicateValues" dxfId="484" priority="1601"/>
    <cfRule type="duplicateValues" dxfId="483" priority="1602"/>
    <cfRule type="duplicateValues" dxfId="482" priority="1603"/>
    <cfRule type="duplicateValues" dxfId="481" priority="1604"/>
    <cfRule type="duplicateValues" dxfId="480" priority="1605"/>
    <cfRule type="duplicateValues" dxfId="479" priority="1606"/>
    <cfRule type="duplicateValues" dxfId="478" priority="1607"/>
    <cfRule type="duplicateValues" dxfId="477" priority="1608"/>
    <cfRule type="duplicateValues" dxfId="476" priority="1638"/>
    <cfRule type="duplicateValues" dxfId="475" priority="1609"/>
    <cfRule type="duplicateValues" dxfId="474" priority="1610"/>
    <cfRule type="duplicateValues" dxfId="473" priority="1611"/>
    <cfRule type="duplicateValues" dxfId="472" priority="1612"/>
    <cfRule type="duplicateValues" dxfId="471" priority="1613"/>
    <cfRule type="duplicateValues" dxfId="470" priority="1614"/>
    <cfRule type="duplicateValues" dxfId="469" priority="1615"/>
    <cfRule type="duplicateValues" dxfId="468" priority="1616"/>
    <cfRule type="duplicateValues" dxfId="467" priority="1617"/>
    <cfRule type="duplicateValues" dxfId="466" priority="1618"/>
    <cfRule type="duplicateValues" dxfId="465" priority="1619"/>
    <cfRule type="duplicateValues" dxfId="464" priority="1620"/>
  </conditionalFormatting>
  <conditionalFormatting sqref="C186">
    <cfRule type="duplicateValues" dxfId="463" priority="1715"/>
    <cfRule type="duplicateValues" dxfId="462" priority="1716"/>
    <cfRule type="duplicateValues" dxfId="461" priority="1717"/>
    <cfRule type="duplicateValues" dxfId="460" priority="1718"/>
    <cfRule type="duplicateValues" dxfId="459" priority="1719"/>
    <cfRule type="duplicateValues" dxfId="458" priority="1720"/>
    <cfRule type="duplicateValues" dxfId="457" priority="1721"/>
    <cfRule type="duplicateValues" dxfId="456" priority="1722"/>
    <cfRule type="duplicateValues" dxfId="455" priority="1723"/>
    <cfRule type="duplicateValues" dxfId="454" priority="1724"/>
    <cfRule type="duplicateValues" dxfId="453" priority="1725"/>
    <cfRule type="duplicateValues" dxfId="452" priority="1726"/>
    <cfRule type="duplicateValues" dxfId="451" priority="1727"/>
    <cfRule type="duplicateValues" dxfId="450" priority="1728"/>
    <cfRule type="duplicateValues" dxfId="449" priority="1729"/>
    <cfRule type="duplicateValues" dxfId="448" priority="1730"/>
    <cfRule type="duplicateValues" dxfId="447" priority="1731"/>
    <cfRule type="duplicateValues" dxfId="446" priority="1732"/>
    <cfRule type="duplicateValues" dxfId="445" priority="1733"/>
    <cfRule type="duplicateValues" dxfId="444" priority="1734"/>
    <cfRule type="duplicateValues" dxfId="443" priority="1735"/>
    <cfRule type="duplicateValues" dxfId="442" priority="1736"/>
    <cfRule type="duplicateValues" dxfId="441" priority="1737"/>
    <cfRule type="duplicateValues" dxfId="440" priority="1738"/>
    <cfRule type="duplicateValues" dxfId="439" priority="1740"/>
    <cfRule type="duplicateValues" dxfId="438" priority="1741"/>
    <cfRule type="duplicateValues" dxfId="437" priority="1742"/>
    <cfRule type="duplicateValues" dxfId="436" priority="1743"/>
    <cfRule type="duplicateValues" dxfId="435" priority="1744"/>
    <cfRule type="duplicateValues" dxfId="434" priority="1745"/>
    <cfRule type="duplicateValues" dxfId="433" priority="1746"/>
    <cfRule type="duplicateValues" dxfId="432" priority="1747"/>
    <cfRule type="duplicateValues" dxfId="431" priority="1748"/>
    <cfRule type="duplicateValues" dxfId="430" priority="1749"/>
    <cfRule type="duplicateValues" dxfId="429" priority="1750"/>
    <cfRule type="duplicateValues" dxfId="428" priority="1751"/>
    <cfRule type="duplicateValues" dxfId="427" priority="1752"/>
    <cfRule type="duplicateValues" dxfId="426" priority="1753"/>
    <cfRule type="duplicateValues" dxfId="425" priority="1754"/>
    <cfRule type="duplicateValues" dxfId="424" priority="1755"/>
    <cfRule type="duplicateValues" dxfId="423" priority="1756"/>
    <cfRule type="duplicateValues" dxfId="422" priority="1757"/>
    <cfRule type="duplicateValues" dxfId="421" priority="1739"/>
    <cfRule type="duplicateValues" dxfId="420" priority="1758"/>
    <cfRule type="duplicateValues" dxfId="419" priority="1760"/>
    <cfRule type="duplicateValues" dxfId="418" priority="1759"/>
    <cfRule type="duplicateValues" dxfId="417" priority="1666"/>
    <cfRule type="duplicateValues" dxfId="416" priority="1761"/>
    <cfRule type="duplicateValues" dxfId="415" priority="1667"/>
    <cfRule type="duplicateValues" dxfId="414" priority="1668"/>
    <cfRule type="duplicateValues" dxfId="413" priority="1669"/>
    <cfRule type="duplicateValues" dxfId="412" priority="1670"/>
    <cfRule type="duplicateValues" dxfId="411" priority="1762"/>
    <cfRule type="duplicateValues" dxfId="410" priority="1763"/>
    <cfRule type="duplicateValues" dxfId="409" priority="1764"/>
    <cfRule type="duplicateValues" dxfId="408" priority="1673"/>
    <cfRule type="duplicateValues" dxfId="407" priority="1674"/>
    <cfRule type="duplicateValues" dxfId="406" priority="1675"/>
    <cfRule type="duplicateValues" dxfId="405" priority="1676"/>
    <cfRule type="duplicateValues" dxfId="404" priority="1677"/>
    <cfRule type="duplicateValues" dxfId="403" priority="1678"/>
    <cfRule type="duplicateValues" dxfId="402" priority="1671"/>
    <cfRule type="duplicateValues" dxfId="401" priority="1672"/>
    <cfRule type="duplicateValues" dxfId="400" priority="1679"/>
    <cfRule type="duplicateValues" dxfId="399" priority="1680"/>
    <cfRule type="duplicateValues" dxfId="398" priority="1682"/>
    <cfRule type="duplicateValues" dxfId="397" priority="1683"/>
    <cfRule type="duplicateValues" dxfId="396" priority="1684"/>
    <cfRule type="duplicateValues" dxfId="395" priority="1685"/>
    <cfRule type="duplicateValues" dxfId="394" priority="1686"/>
    <cfRule type="duplicateValues" dxfId="393" priority="1687"/>
    <cfRule type="duplicateValues" dxfId="392" priority="1688"/>
    <cfRule type="duplicateValues" dxfId="391" priority="1689"/>
    <cfRule type="duplicateValues" dxfId="390" priority="1690"/>
    <cfRule type="duplicateValues" dxfId="389" priority="1691"/>
    <cfRule type="duplicateValues" dxfId="388" priority="1692"/>
    <cfRule type="duplicateValues" dxfId="387" priority="1693"/>
    <cfRule type="duplicateValues" dxfId="386" priority="1694"/>
    <cfRule type="duplicateValues" dxfId="385" priority="1695"/>
    <cfRule type="duplicateValues" dxfId="384" priority="1696"/>
    <cfRule type="duplicateValues" dxfId="383" priority="1697"/>
    <cfRule type="duplicateValues" dxfId="382" priority="1698"/>
    <cfRule type="duplicateValues" dxfId="381" priority="1699"/>
    <cfRule type="duplicateValues" dxfId="380" priority="1700"/>
    <cfRule type="duplicateValues" dxfId="379" priority="1701"/>
    <cfRule type="duplicateValues" dxfId="378" priority="1702"/>
    <cfRule type="duplicateValues" dxfId="377" priority="1681"/>
    <cfRule type="duplicateValues" dxfId="376" priority="1703"/>
    <cfRule type="duplicateValues" dxfId="375" priority="1704"/>
    <cfRule type="duplicateValues" dxfId="374" priority="1705"/>
    <cfRule type="duplicateValues" dxfId="373" priority="1706"/>
    <cfRule type="duplicateValues" dxfId="372" priority="1707"/>
    <cfRule type="duplicateValues" dxfId="371" priority="1708"/>
    <cfRule type="duplicateValues" dxfId="370" priority="1709"/>
    <cfRule type="duplicateValues" dxfId="369" priority="1710"/>
    <cfRule type="duplicateValues" dxfId="368" priority="1711"/>
    <cfRule type="duplicateValues" dxfId="367" priority="1712"/>
    <cfRule type="duplicateValues" dxfId="366" priority="1713"/>
    <cfRule type="duplicateValues" dxfId="365" priority="1714"/>
  </conditionalFormatting>
  <conditionalFormatting sqref="C188">
    <cfRule type="duplicateValues" dxfId="364" priority="1449"/>
    <cfRule type="duplicateValues" dxfId="363" priority="1450"/>
    <cfRule type="duplicateValues" dxfId="362" priority="1451"/>
    <cfRule type="duplicateValues" dxfId="361" priority="1452"/>
    <cfRule type="duplicateValues" dxfId="360" priority="1453"/>
    <cfRule type="duplicateValues" dxfId="359" priority="1454"/>
    <cfRule type="duplicateValues" dxfId="358" priority="1455"/>
    <cfRule type="duplicateValues" dxfId="357" priority="1456"/>
    <cfRule type="duplicateValues" dxfId="356" priority="1457"/>
    <cfRule type="duplicateValues" dxfId="355" priority="1458"/>
    <cfRule type="duplicateValues" dxfId="354" priority="1459"/>
    <cfRule type="duplicateValues" dxfId="353" priority="1460"/>
    <cfRule type="duplicateValues" dxfId="352" priority="1461"/>
    <cfRule type="duplicateValues" dxfId="351" priority="1462"/>
    <cfRule type="duplicateValues" dxfId="350" priority="1463"/>
    <cfRule type="duplicateValues" dxfId="349" priority="1464"/>
    <cfRule type="duplicateValues" dxfId="348" priority="1465"/>
    <cfRule type="duplicateValues" dxfId="347" priority="1466"/>
    <cfRule type="duplicateValues" dxfId="346" priority="1467"/>
    <cfRule type="duplicateValues" dxfId="345" priority="1468"/>
    <cfRule type="duplicateValues" dxfId="344" priority="1469"/>
    <cfRule type="duplicateValues" dxfId="343" priority="1471"/>
    <cfRule type="duplicateValues" dxfId="342" priority="1470"/>
    <cfRule type="duplicateValues" dxfId="341" priority="1429"/>
    <cfRule type="duplicateValues" dxfId="340" priority="1430"/>
    <cfRule type="duplicateValues" dxfId="339" priority="1486"/>
    <cfRule type="duplicateValues" dxfId="338" priority="1485"/>
    <cfRule type="duplicateValues" dxfId="337" priority="1484"/>
    <cfRule type="duplicateValues" dxfId="336" priority="1483"/>
    <cfRule type="duplicateValues" dxfId="335" priority="1482"/>
    <cfRule type="duplicateValues" dxfId="334" priority="1481"/>
    <cfRule type="duplicateValues" dxfId="333" priority="1480"/>
    <cfRule type="duplicateValues" dxfId="332" priority="1479"/>
    <cfRule type="duplicateValues" dxfId="331" priority="1478"/>
    <cfRule type="duplicateValues" dxfId="330" priority="1477"/>
    <cfRule type="duplicateValues" dxfId="329" priority="1476"/>
    <cfRule type="duplicateValues" dxfId="328" priority="1475"/>
    <cfRule type="duplicateValues" dxfId="327" priority="1474"/>
    <cfRule type="duplicateValues" dxfId="326" priority="1473"/>
    <cfRule type="duplicateValues" dxfId="325" priority="1431"/>
    <cfRule type="duplicateValues" dxfId="324" priority="1432"/>
    <cfRule type="duplicateValues" dxfId="323" priority="1433"/>
    <cfRule type="duplicateValues" dxfId="322" priority="1434"/>
    <cfRule type="duplicateValues" dxfId="321" priority="1472"/>
    <cfRule type="duplicateValues" dxfId="320" priority="1435"/>
    <cfRule type="duplicateValues" dxfId="319" priority="1436"/>
    <cfRule type="duplicateValues" dxfId="318" priority="1437"/>
    <cfRule type="duplicateValues" dxfId="317" priority="1438"/>
    <cfRule type="duplicateValues" dxfId="316" priority="1439"/>
    <cfRule type="duplicateValues" dxfId="315" priority="1440"/>
    <cfRule type="duplicateValues" dxfId="314" priority="1441"/>
    <cfRule type="duplicateValues" dxfId="313" priority="1442"/>
    <cfRule type="duplicateValues" dxfId="312" priority="1443"/>
    <cfRule type="duplicateValues" dxfId="311" priority="1444"/>
    <cfRule type="duplicateValues" dxfId="310" priority="1445"/>
    <cfRule type="duplicateValues" dxfId="309" priority="1446"/>
    <cfRule type="duplicateValues" dxfId="308" priority="1447"/>
    <cfRule type="duplicateValues" dxfId="307" priority="1448"/>
  </conditionalFormatting>
  <conditionalFormatting sqref="C192">
    <cfRule type="duplicateValues" dxfId="306" priority="1256"/>
    <cfRule type="duplicateValues" dxfId="305" priority="1257"/>
    <cfRule type="duplicateValues" dxfId="304" priority="1258"/>
    <cfRule type="duplicateValues" dxfId="303" priority="1259"/>
    <cfRule type="duplicateValues" dxfId="302" priority="1260"/>
    <cfRule type="duplicateValues" dxfId="301" priority="1261"/>
    <cfRule type="duplicateValues" dxfId="300" priority="1262"/>
    <cfRule type="duplicateValues" dxfId="299" priority="1255"/>
    <cfRule type="duplicateValues" dxfId="298" priority="1263"/>
  </conditionalFormatting>
  <conditionalFormatting sqref="C193">
    <cfRule type="duplicateValues" dxfId="297" priority="1264"/>
    <cfRule type="duplicateValues" dxfId="296" priority="1265"/>
  </conditionalFormatting>
  <conditionalFormatting sqref="C195">
    <cfRule type="duplicateValues" dxfId="295" priority="1303"/>
    <cfRule type="duplicateValues" dxfId="294" priority="1302"/>
  </conditionalFormatting>
  <conditionalFormatting sqref="C196">
    <cfRule type="duplicateValues" dxfId="293" priority="2320"/>
    <cfRule type="duplicateValues" dxfId="292" priority="2287"/>
    <cfRule type="duplicateValues" dxfId="291" priority="2319"/>
    <cfRule type="duplicateValues" dxfId="290" priority="2318"/>
    <cfRule type="duplicateValues" dxfId="289" priority="2317"/>
    <cfRule type="duplicateValues" dxfId="288" priority="2316"/>
    <cfRule type="duplicateValues" dxfId="287" priority="2308"/>
    <cfRule type="duplicateValues" dxfId="286" priority="2300"/>
    <cfRule type="duplicateValues" dxfId="285" priority="2322"/>
    <cfRule type="duplicateValues" dxfId="284" priority="2323"/>
    <cfRule type="duplicateValues" dxfId="283" priority="2289"/>
    <cfRule type="duplicateValues" dxfId="282" priority="2288"/>
    <cfRule type="duplicateValues" dxfId="281" priority="2303"/>
    <cfRule type="duplicateValues" dxfId="280" priority="2304"/>
    <cfRule type="duplicateValues" dxfId="279" priority="2305"/>
    <cfRule type="duplicateValues" dxfId="278" priority="2306"/>
    <cfRule type="duplicateValues" dxfId="277" priority="2307"/>
    <cfRule type="duplicateValues" dxfId="276" priority="2309"/>
    <cfRule type="duplicateValues" dxfId="275" priority="2310"/>
    <cfRule type="duplicateValues" dxfId="274" priority="2311"/>
    <cfRule type="duplicateValues" dxfId="273" priority="2312"/>
    <cfRule type="duplicateValues" dxfId="272" priority="2313"/>
    <cfRule type="duplicateValues" dxfId="271" priority="2295"/>
    <cfRule type="duplicateValues" dxfId="270" priority="2314"/>
    <cfRule type="duplicateValues" dxfId="269" priority="2315"/>
    <cfRule type="duplicateValues" dxfId="268" priority="2294"/>
    <cfRule type="duplicateValues" dxfId="267" priority="2293"/>
    <cfRule type="duplicateValues" dxfId="266" priority="2291"/>
    <cfRule type="duplicateValues" dxfId="265" priority="2290"/>
    <cfRule type="duplicateValues" dxfId="264" priority="2296"/>
    <cfRule type="duplicateValues" dxfId="263" priority="2297"/>
    <cfRule type="duplicateValues" dxfId="262" priority="2298"/>
    <cfRule type="duplicateValues" dxfId="261" priority="2299"/>
    <cfRule type="duplicateValues" dxfId="260" priority="2292"/>
    <cfRule type="duplicateValues" dxfId="259" priority="2301"/>
    <cfRule type="duplicateValues" dxfId="258" priority="2302"/>
    <cfRule type="duplicateValues" dxfId="257" priority="2321"/>
    <cfRule type="duplicateValues" dxfId="256" priority="2286"/>
  </conditionalFormatting>
  <conditionalFormatting sqref="C197:C1048576 C1:C3 C8 C18 C20 C23:C84">
    <cfRule type="duplicateValues" dxfId="255" priority="22561"/>
    <cfRule type="duplicateValues" dxfId="254" priority="22564"/>
    <cfRule type="duplicateValues" dxfId="253" priority="22567"/>
    <cfRule type="duplicateValues" dxfId="252" priority="22568"/>
    <cfRule type="duplicateValues" dxfId="251" priority="22566"/>
    <cfRule type="duplicateValues" dxfId="250" priority="22563"/>
    <cfRule type="duplicateValues" dxfId="249" priority="22562"/>
    <cfRule type="duplicateValues" dxfId="248" priority="22565"/>
  </conditionalFormatting>
  <conditionalFormatting sqref="C197:C1048576 C13:C84 C1:C3 C7:C10">
    <cfRule type="duplicateValues" dxfId="247" priority="24109"/>
    <cfRule type="duplicateValues" dxfId="246" priority="24108"/>
    <cfRule type="duplicateValues" dxfId="245" priority="24107"/>
    <cfRule type="duplicateValues" dxfId="244" priority="24106"/>
    <cfRule type="duplicateValues" dxfId="243" priority="24105"/>
    <cfRule type="duplicateValues" dxfId="242" priority="24104"/>
    <cfRule type="duplicateValues" dxfId="241" priority="24103"/>
    <cfRule type="duplicateValues" dxfId="240" priority="24102"/>
    <cfRule type="duplicateValues" dxfId="239" priority="24101"/>
    <cfRule type="duplicateValues" dxfId="238" priority="24099"/>
    <cfRule type="duplicateValues" dxfId="237" priority="24098"/>
    <cfRule type="duplicateValues" dxfId="236" priority="24097"/>
    <cfRule type="duplicateValues" dxfId="235" priority="24096"/>
    <cfRule type="duplicateValues" dxfId="234" priority="24095"/>
    <cfRule type="duplicateValues" dxfId="233" priority="24094"/>
    <cfRule type="duplicateValues" dxfId="232" priority="24093"/>
    <cfRule type="duplicateValues" dxfId="231" priority="24100"/>
    <cfRule type="duplicateValues" dxfId="230" priority="24113"/>
    <cfRule type="duplicateValues" dxfId="229" priority="24112"/>
    <cfRule type="duplicateValues" dxfId="228" priority="24111"/>
    <cfRule type="duplicateValues" dxfId="227" priority="24110"/>
  </conditionalFormatting>
  <conditionalFormatting sqref="C197:C1048576 C14:C84">
    <cfRule type="duplicateValues" dxfId="226" priority="2551"/>
    <cfRule type="duplicateValues" dxfId="225" priority="2550"/>
    <cfRule type="duplicateValues" dxfId="224" priority="2549"/>
    <cfRule type="duplicateValues" dxfId="223" priority="2548"/>
    <cfRule type="duplicateValues" dxfId="222" priority="2547"/>
    <cfRule type="duplicateValues" dxfId="221" priority="2396"/>
    <cfRule type="duplicateValues" dxfId="220" priority="3351"/>
    <cfRule type="duplicateValues" dxfId="219" priority="3343"/>
    <cfRule type="duplicateValues" dxfId="218" priority="3348"/>
    <cfRule type="duplicateValues" dxfId="217" priority="3341"/>
    <cfRule type="duplicateValues" dxfId="216" priority="3342"/>
    <cfRule type="duplicateValues" dxfId="215" priority="3340"/>
    <cfRule type="duplicateValues" dxfId="214" priority="2815"/>
    <cfRule type="duplicateValues" dxfId="213" priority="2814"/>
    <cfRule type="duplicateValues" dxfId="212" priority="3350"/>
    <cfRule type="duplicateValues" dxfId="211" priority="2813"/>
    <cfRule type="duplicateValues" dxfId="210" priority="2812"/>
    <cfRule type="duplicateValues" dxfId="209" priority="3352"/>
    <cfRule type="duplicateValues" dxfId="208" priority="3353"/>
    <cfRule type="duplicateValues" dxfId="207" priority="4022"/>
    <cfRule type="duplicateValues" dxfId="206" priority="2465"/>
    <cfRule type="duplicateValues" dxfId="205" priority="2488"/>
    <cfRule type="duplicateValues" dxfId="204" priority="2485"/>
    <cfRule type="duplicateValues" dxfId="203" priority="2399"/>
    <cfRule type="duplicateValues" dxfId="202" priority="2400"/>
    <cfRule type="duplicateValues" dxfId="201" priority="2484"/>
    <cfRule type="duplicateValues" dxfId="200" priority="2402"/>
    <cfRule type="duplicateValues" dxfId="199" priority="2483"/>
    <cfRule type="duplicateValues" dxfId="198" priority="2466"/>
    <cfRule type="duplicateValues" dxfId="197" priority="2481"/>
    <cfRule type="duplicateValues" dxfId="196" priority="2467"/>
    <cfRule type="duplicateValues" dxfId="195" priority="2811"/>
    <cfRule type="duplicateValues" dxfId="194" priority="2480"/>
    <cfRule type="duplicateValues" dxfId="193" priority="2479"/>
    <cfRule type="duplicateValues" dxfId="192" priority="2478"/>
    <cfRule type="duplicateValues" dxfId="191" priority="12377"/>
    <cfRule type="duplicateValues" dxfId="190" priority="2463"/>
    <cfRule type="duplicateValues" dxfId="189" priority="2633"/>
    <cfRule type="duplicateValues" dxfId="188" priority="2473"/>
    <cfRule type="duplicateValues" dxfId="187" priority="2552"/>
    <cfRule type="duplicateValues" dxfId="186" priority="2472"/>
    <cfRule type="duplicateValues" dxfId="185" priority="2471"/>
    <cfRule type="duplicateValues" dxfId="184" priority="2470"/>
    <cfRule type="duplicateValues" dxfId="183" priority="2469"/>
    <cfRule type="duplicateValues" dxfId="182" priority="2468"/>
  </conditionalFormatting>
  <conditionalFormatting sqref="C197:C1048576">
    <cfRule type="duplicateValues" dxfId="181" priority="2398"/>
    <cfRule type="duplicateValues" dxfId="180" priority="2401"/>
    <cfRule type="duplicateValues" dxfId="179" priority="2403"/>
    <cfRule type="duplicateValues" dxfId="178" priority="2405"/>
    <cfRule type="duplicateValues" dxfId="177" priority="2406"/>
    <cfRule type="duplicateValues" dxfId="176" priority="3347"/>
    <cfRule type="duplicateValues" dxfId="175" priority="2487"/>
    <cfRule type="duplicateValues" dxfId="174" priority="2486"/>
    <cfRule type="duplicateValues" dxfId="173" priority="2482"/>
    <cfRule type="duplicateValues" dxfId="172" priority="2943"/>
    <cfRule type="duplicateValues" dxfId="171" priority="2810"/>
    <cfRule type="duplicateValues" dxfId="170" priority="2942"/>
    <cfRule type="duplicateValues" dxfId="169" priority="5046"/>
    <cfRule type="duplicateValues" dxfId="168" priority="2938"/>
    <cfRule type="duplicateValues" dxfId="167" priority="2809"/>
    <cfRule type="duplicateValues" dxfId="166" priority="4790"/>
    <cfRule type="duplicateValues" dxfId="165" priority="5008"/>
    <cfRule type="duplicateValues" dxfId="164" priority="2397"/>
  </conditionalFormatting>
  <conditionalFormatting sqref="C21:E21">
    <cfRule type="containsText" dxfId="163" priority="2407" operator="containsText" text="TBA">
      <formula>NOT(ISERROR(SEARCH("TBA",C21)))</formula>
    </cfRule>
  </conditionalFormatting>
  <conditionalFormatting sqref="D4">
    <cfRule type="duplicateValues" dxfId="162" priority="4688"/>
    <cfRule type="duplicateValues" dxfId="161" priority="4689"/>
  </conditionalFormatting>
  <conditionalFormatting sqref="D5">
    <cfRule type="duplicateValues" dxfId="160" priority="4690"/>
  </conditionalFormatting>
  <conditionalFormatting sqref="D8 D26 D20">
    <cfRule type="duplicateValues" dxfId="159" priority="15960"/>
    <cfRule type="duplicateValues" dxfId="158" priority="15958"/>
    <cfRule type="duplicateValues" dxfId="157" priority="15959"/>
  </conditionalFormatting>
  <conditionalFormatting sqref="D21">
    <cfRule type="duplicateValues" dxfId="156" priority="2453"/>
    <cfRule type="duplicateValues" dxfId="155" priority="2452"/>
    <cfRule type="duplicateValues" dxfId="154" priority="2451"/>
  </conditionalFormatting>
  <conditionalFormatting sqref="D23:D24">
    <cfRule type="duplicateValues" dxfId="153" priority="10988"/>
    <cfRule type="duplicateValues" dxfId="152" priority="10990"/>
    <cfRule type="duplicateValues" dxfId="151" priority="10989"/>
  </conditionalFormatting>
  <conditionalFormatting sqref="D25">
    <cfRule type="duplicateValues" dxfId="150" priority="14378"/>
    <cfRule type="duplicateValues" dxfId="149" priority="14379"/>
    <cfRule type="duplicateValues" dxfId="148" priority="14377"/>
  </conditionalFormatting>
  <conditionalFormatting sqref="D27">
    <cfRule type="duplicateValues" dxfId="147" priority="2476"/>
    <cfRule type="duplicateValues" dxfId="146" priority="2475"/>
    <cfRule type="duplicateValues" dxfId="145" priority="2474"/>
  </conditionalFormatting>
  <conditionalFormatting sqref="D28:D29">
    <cfRule type="duplicateValues" dxfId="144" priority="2489"/>
    <cfRule type="duplicateValues" dxfId="143" priority="2490"/>
    <cfRule type="duplicateValues" dxfId="142" priority="2491"/>
  </conditionalFormatting>
  <conditionalFormatting sqref="D31">
    <cfRule type="duplicateValues" dxfId="141" priority="2534"/>
    <cfRule type="duplicateValues" dxfId="140" priority="2533"/>
    <cfRule type="duplicateValues" dxfId="139" priority="2532"/>
  </conditionalFormatting>
  <conditionalFormatting sqref="D32">
    <cfRule type="duplicateValues" dxfId="138" priority="12834"/>
    <cfRule type="duplicateValues" dxfId="137" priority="12833"/>
    <cfRule type="duplicateValues" dxfId="136" priority="12832"/>
  </conditionalFormatting>
  <conditionalFormatting sqref="D33 D52 D82">
    <cfRule type="duplicateValues" dxfId="135" priority="8433"/>
  </conditionalFormatting>
  <conditionalFormatting sqref="D34">
    <cfRule type="duplicateValues" dxfId="134" priority="5069"/>
    <cfRule type="duplicateValues" dxfId="133" priority="5068"/>
    <cfRule type="duplicateValues" dxfId="132" priority="5067"/>
  </conditionalFormatting>
  <conditionalFormatting sqref="D35">
    <cfRule type="duplicateValues" dxfId="131" priority="5176"/>
    <cfRule type="duplicateValues" dxfId="130" priority="5175"/>
    <cfRule type="duplicateValues" dxfId="129" priority="5174"/>
  </conditionalFormatting>
  <conditionalFormatting sqref="D38">
    <cfRule type="duplicateValues" dxfId="128" priority="5118"/>
    <cfRule type="duplicateValues" dxfId="127" priority="5119"/>
    <cfRule type="duplicateValues" dxfId="126" priority="5120"/>
  </conditionalFormatting>
  <conditionalFormatting sqref="D40 D53">
    <cfRule type="duplicateValues" dxfId="125" priority="6965"/>
  </conditionalFormatting>
  <conditionalFormatting sqref="D41">
    <cfRule type="duplicateValues" dxfId="124" priority="6323"/>
  </conditionalFormatting>
  <conditionalFormatting sqref="D42">
    <cfRule type="duplicateValues" dxfId="123" priority="6325"/>
  </conditionalFormatting>
  <conditionalFormatting sqref="D43">
    <cfRule type="duplicateValues" dxfId="122" priority="5671"/>
  </conditionalFormatting>
  <conditionalFormatting sqref="D44 D56 D68 D48:D50">
    <cfRule type="duplicateValues" dxfId="121" priority="12334"/>
  </conditionalFormatting>
  <conditionalFormatting sqref="D44">
    <cfRule type="duplicateValues" dxfId="120" priority="6509"/>
  </conditionalFormatting>
  <conditionalFormatting sqref="D46 D71">
    <cfRule type="duplicateValues" dxfId="119" priority="5529"/>
  </conditionalFormatting>
  <conditionalFormatting sqref="D51">
    <cfRule type="duplicateValues" dxfId="118" priority="5351"/>
    <cfRule type="duplicateValues" dxfId="117" priority="5352"/>
  </conditionalFormatting>
  <conditionalFormatting sqref="D54">
    <cfRule type="duplicateValues" dxfId="116" priority="5674"/>
  </conditionalFormatting>
  <conditionalFormatting sqref="D56 D48:D50">
    <cfRule type="duplicateValues" dxfId="115" priority="11696"/>
    <cfRule type="duplicateValues" dxfId="114" priority="11697"/>
  </conditionalFormatting>
  <conditionalFormatting sqref="D57">
    <cfRule type="duplicateValues" dxfId="113" priority="6324"/>
  </conditionalFormatting>
  <conditionalFormatting sqref="D60 D77:D79 D58">
    <cfRule type="duplicateValues" dxfId="112" priority="9399"/>
    <cfRule type="duplicateValues" dxfId="111" priority="9400"/>
    <cfRule type="duplicateValues" dxfId="110" priority="9401"/>
  </conditionalFormatting>
  <conditionalFormatting sqref="D61 D75">
    <cfRule type="duplicateValues" dxfId="109" priority="7212"/>
  </conditionalFormatting>
  <conditionalFormatting sqref="D62 D73">
    <cfRule type="duplicateValues" dxfId="108" priority="6329"/>
  </conditionalFormatting>
  <conditionalFormatting sqref="D63">
    <cfRule type="duplicateValues" dxfId="107" priority="5527"/>
    <cfRule type="duplicateValues" dxfId="106" priority="5526"/>
    <cfRule type="duplicateValues" dxfId="105" priority="5525"/>
  </conditionalFormatting>
  <conditionalFormatting sqref="D64">
    <cfRule type="duplicateValues" dxfId="104" priority="6328"/>
    <cfRule type="duplicateValues" dxfId="103" priority="6327"/>
  </conditionalFormatting>
  <conditionalFormatting sqref="D65">
    <cfRule type="duplicateValues" dxfId="102" priority="5518"/>
    <cfRule type="duplicateValues" dxfId="101" priority="5516"/>
    <cfRule type="duplicateValues" dxfId="100" priority="5517"/>
  </conditionalFormatting>
  <conditionalFormatting sqref="D66">
    <cfRule type="duplicateValues" dxfId="99" priority="5528"/>
  </conditionalFormatting>
  <conditionalFormatting sqref="D67">
    <cfRule type="duplicateValues" dxfId="98" priority="6498"/>
    <cfRule type="containsText" dxfId="97" priority="6500" operator="containsText" text="TBA">
      <formula>NOT(ISERROR(SEARCH("TBA",D67)))</formula>
    </cfRule>
    <cfRule type="duplicateValues" dxfId="96" priority="6499"/>
  </conditionalFormatting>
  <conditionalFormatting sqref="D68">
    <cfRule type="duplicateValues" dxfId="95" priority="6320"/>
  </conditionalFormatting>
  <conditionalFormatting sqref="D69">
    <cfRule type="duplicateValues" dxfId="94" priority="5356"/>
    <cfRule type="duplicateValues" dxfId="93" priority="5354"/>
    <cfRule type="duplicateValues" dxfId="92" priority="5355"/>
  </conditionalFormatting>
  <conditionalFormatting sqref="D70">
    <cfRule type="duplicateValues" dxfId="91" priority="5350"/>
  </conditionalFormatting>
  <conditionalFormatting sqref="D76">
    <cfRule type="duplicateValues" dxfId="90" priority="5673"/>
  </conditionalFormatting>
  <conditionalFormatting sqref="D81">
    <cfRule type="duplicateValues" dxfId="89" priority="5359"/>
    <cfRule type="duplicateValues" dxfId="88" priority="5357"/>
    <cfRule type="duplicateValues" dxfId="87" priority="5358"/>
  </conditionalFormatting>
  <conditionalFormatting sqref="D10:E10">
    <cfRule type="containsText" dxfId="86" priority="5011" operator="containsText" text="TBA">
      <formula>NOT(ISERROR(SEARCH("TBA",D10)))</formula>
    </cfRule>
  </conditionalFormatting>
  <conditionalFormatting sqref="D22:E22">
    <cfRule type="containsText" dxfId="85" priority="5012" operator="containsText" text="TBA">
      <formula>NOT(ISERROR(SEARCH("TBA",D22)))</formula>
    </cfRule>
  </conditionalFormatting>
  <conditionalFormatting sqref="D51:E51">
    <cfRule type="containsText" dxfId="84" priority="5353" operator="containsText" text="TBA">
      <formula>NOT(ISERROR(SEARCH("TBA",D51)))</formula>
    </cfRule>
  </conditionalFormatting>
  <conditionalFormatting sqref="E4">
    <cfRule type="duplicateValues" dxfId="83" priority="4679"/>
    <cfRule type="duplicateValues" dxfId="82" priority="4678"/>
    <cfRule type="duplicateValues" dxfId="81" priority="4677"/>
    <cfRule type="duplicateValues" dxfId="80" priority="4682"/>
    <cfRule type="duplicateValues" dxfId="79" priority="4684"/>
    <cfRule type="duplicateValues" dxfId="78" priority="4683"/>
    <cfRule type="duplicateValues" dxfId="77" priority="4681"/>
    <cfRule type="duplicateValues" dxfId="76" priority="4680"/>
    <cfRule type="duplicateValues" dxfId="75" priority="4676"/>
  </conditionalFormatting>
  <conditionalFormatting sqref="E6">
    <cfRule type="duplicateValues" dxfId="74" priority="4685"/>
  </conditionalFormatting>
  <conditionalFormatting sqref="E7">
    <cfRule type="duplicateValues" dxfId="73" priority="5010"/>
  </conditionalFormatting>
  <conditionalFormatting sqref="E8 E23:E26 E20">
    <cfRule type="duplicateValues" dxfId="72" priority="14791"/>
  </conditionalFormatting>
  <conditionalFormatting sqref="E22">
    <cfRule type="duplicateValues" dxfId="71" priority="5009"/>
  </conditionalFormatting>
  <conditionalFormatting sqref="E27">
    <cfRule type="duplicateValues" dxfId="70" priority="2477"/>
  </conditionalFormatting>
  <conditionalFormatting sqref="E45">
    <cfRule type="duplicateValues" dxfId="69" priority="5343"/>
    <cfRule type="duplicateValues" dxfId="68" priority="5344"/>
    <cfRule type="duplicateValues" dxfId="67" priority="5345"/>
    <cfRule type="duplicateValues" dxfId="66" priority="5346"/>
    <cfRule type="duplicateValues" dxfId="65" priority="5347"/>
    <cfRule type="duplicateValues" dxfId="64" priority="5348"/>
    <cfRule type="duplicateValues" dxfId="63" priority="5349"/>
    <cfRule type="duplicateValues" dxfId="62" priority="5342"/>
    <cfRule type="duplicateValues" dxfId="61" priority="5341"/>
  </conditionalFormatting>
  <conditionalFormatting sqref="E50 E56">
    <cfRule type="duplicateValues" dxfId="60" priority="6494"/>
    <cfRule type="duplicateValues" dxfId="59" priority="6495"/>
  </conditionalFormatting>
  <conditionalFormatting sqref="E51">
    <cfRule type="duplicateValues" dxfId="58" priority="5310"/>
    <cfRule type="duplicateValues" dxfId="57" priority="5311"/>
    <cfRule type="duplicateValues" dxfId="56" priority="5312"/>
  </conditionalFormatting>
  <conditionalFormatting sqref="E65">
    <cfRule type="duplicateValues" dxfId="55" priority="5510"/>
    <cfRule type="duplicateValues" dxfId="54" priority="5511"/>
    <cfRule type="duplicateValues" dxfId="53" priority="5509"/>
    <cfRule type="duplicateValues" dxfId="52" priority="5512"/>
  </conditionalFormatting>
  <conditionalFormatting sqref="E67">
    <cfRule type="duplicateValues" dxfId="51" priority="6492"/>
    <cfRule type="duplicateValues" dxfId="50" priority="6493"/>
    <cfRule type="duplicateValues" dxfId="49" priority="6487"/>
    <cfRule type="duplicateValues" dxfId="48" priority="6488"/>
    <cfRule type="duplicateValues" dxfId="47" priority="6489"/>
    <cfRule type="duplicateValues" dxfId="46" priority="6490"/>
    <cfRule type="duplicateValues" dxfId="45" priority="6491"/>
  </conditionalFormatting>
  <conditionalFormatting sqref="E69">
    <cfRule type="duplicateValues" dxfId="44" priority="5329"/>
    <cfRule type="duplicateValues" dxfId="43" priority="5330"/>
    <cfRule type="duplicateValues" dxfId="42" priority="5331"/>
    <cfRule type="duplicateValues" dxfId="41" priority="5332"/>
    <cfRule type="duplicateValues" dxfId="40" priority="5333"/>
    <cfRule type="duplicateValues" dxfId="39" priority="5328"/>
    <cfRule type="duplicateValues" dxfId="38" priority="5327"/>
  </conditionalFormatting>
  <conditionalFormatting sqref="E72">
    <cfRule type="duplicateValues" dxfId="37" priority="6090"/>
    <cfRule type="duplicateValues" dxfId="36" priority="6088"/>
    <cfRule type="duplicateValues" dxfId="35" priority="6089"/>
    <cfRule type="containsText" dxfId="34" priority="6084" operator="containsText" text="TBA">
      <formula>NOT(ISERROR(SEARCH("TBA",E72)))</formula>
    </cfRule>
    <cfRule type="duplicateValues" dxfId="33" priority="6085"/>
    <cfRule type="duplicateValues" dxfId="32" priority="6086"/>
    <cfRule type="duplicateValues" dxfId="31" priority="6087"/>
  </conditionalFormatting>
  <conditionalFormatting sqref="E74">
    <cfRule type="duplicateValues" dxfId="30" priority="6196"/>
    <cfRule type="duplicateValues" dxfId="29" priority="6198"/>
    <cfRule type="duplicateValues" dxfId="28" priority="6199"/>
    <cfRule type="duplicateValues" dxfId="27" priority="6204"/>
    <cfRule type="duplicateValues" dxfId="26" priority="6203"/>
    <cfRule type="duplicateValues" dxfId="25" priority="6202"/>
    <cfRule type="duplicateValues" dxfId="24" priority="6201"/>
    <cfRule type="duplicateValues" dxfId="23" priority="6200"/>
    <cfRule type="duplicateValues" dxfId="22" priority="6197"/>
  </conditionalFormatting>
  <conditionalFormatting sqref="E80">
    <cfRule type="duplicateValues" dxfId="21" priority="5309"/>
  </conditionalFormatting>
  <conditionalFormatting sqref="E81">
    <cfRule type="containsText" dxfId="20" priority="5313" operator="containsText" text="TBA">
      <formula>NOT(ISERROR(SEARCH("TBA",E81)))</formula>
    </cfRule>
    <cfRule type="duplicateValues" dxfId="19" priority="5319"/>
    <cfRule type="duplicateValues" dxfId="18" priority="5318"/>
    <cfRule type="duplicateValues" dxfId="17" priority="5317"/>
    <cfRule type="duplicateValues" dxfId="16" priority="5316"/>
    <cfRule type="duplicateValues" dxfId="15" priority="5315"/>
    <cfRule type="duplicateValues" dxfId="14" priority="5314"/>
  </conditionalFormatting>
  <conditionalFormatting sqref="E83">
    <cfRule type="duplicateValues" dxfId="13" priority="5339"/>
    <cfRule type="duplicateValues" dxfId="12" priority="5338"/>
    <cfRule type="duplicateValues" dxfId="11" priority="5337"/>
    <cfRule type="duplicateValues" dxfId="10" priority="5336"/>
    <cfRule type="duplicateValues" dxfId="9" priority="5335"/>
    <cfRule type="duplicateValues" dxfId="8" priority="5334"/>
    <cfRule type="duplicateValues" dxfId="7" priority="5340"/>
  </conditionalFormatting>
  <conditionalFormatting sqref="E84">
    <cfRule type="duplicateValues" dxfId="6" priority="12471"/>
    <cfRule type="duplicateValues" dxfId="5" priority="12470"/>
    <cfRule type="duplicateValues" dxfId="4" priority="12469"/>
    <cfRule type="duplicateValues" dxfId="3" priority="12468"/>
    <cfRule type="duplicateValues" dxfId="2" priority="12467"/>
    <cfRule type="duplicateValues" dxfId="1" priority="12466"/>
    <cfRule type="duplicateValues" dxfId="0" priority="1247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C469-AFC6-4A66-A38B-317BF0228B0C}">
  <dimension ref="B3:L7"/>
  <sheetViews>
    <sheetView zoomScale="85" zoomScaleNormal="85" workbookViewId="0">
      <selection activeCell="F17" sqref="F17"/>
    </sheetView>
  </sheetViews>
  <sheetFormatPr defaultRowHeight="15"/>
  <cols>
    <col min="2" max="2" width="24.140625" customWidth="1"/>
    <col min="3" max="3" width="14.85546875" customWidth="1"/>
    <col min="4" max="4" width="11.5703125" customWidth="1"/>
    <col min="5" max="5" width="12.42578125" customWidth="1"/>
    <col min="6" max="6" width="12" customWidth="1"/>
    <col min="7" max="7" width="13" customWidth="1"/>
    <col min="8" max="8" width="12.7109375" customWidth="1"/>
    <col min="9" max="9" width="10.7109375" customWidth="1"/>
    <col min="10" max="10" width="11.5703125" customWidth="1"/>
    <col min="11" max="11" width="12.28515625" customWidth="1"/>
    <col min="12" max="12" width="10.140625" customWidth="1"/>
  </cols>
  <sheetData>
    <row r="3" spans="2:12">
      <c r="B3" s="182" t="s">
        <v>718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2:12" ht="30">
      <c r="B4" s="103" t="s">
        <v>722</v>
      </c>
      <c r="C4" s="103" t="s">
        <v>708</v>
      </c>
      <c r="D4" s="103" t="s">
        <v>709</v>
      </c>
      <c r="E4" s="103" t="s">
        <v>710</v>
      </c>
      <c r="F4" s="103" t="s">
        <v>711</v>
      </c>
      <c r="G4" s="103" t="s">
        <v>712</v>
      </c>
      <c r="H4" s="103" t="s">
        <v>713</v>
      </c>
      <c r="I4" s="103" t="s">
        <v>714</v>
      </c>
      <c r="J4" s="103" t="s">
        <v>715</v>
      </c>
      <c r="K4" s="103" t="s">
        <v>716</v>
      </c>
      <c r="L4" s="103" t="s">
        <v>717</v>
      </c>
    </row>
    <row r="5" spans="2:12" ht="15" customHeight="1">
      <c r="B5" s="100" t="s">
        <v>781</v>
      </c>
      <c r="C5" s="100">
        <v>0</v>
      </c>
      <c r="D5" s="100">
        <v>0</v>
      </c>
      <c r="E5" s="100">
        <v>0</v>
      </c>
      <c r="F5" s="100">
        <v>0</v>
      </c>
      <c r="G5" s="100">
        <v>0</v>
      </c>
      <c r="H5" s="100">
        <v>0</v>
      </c>
      <c r="I5" s="100">
        <v>0</v>
      </c>
      <c r="J5" s="100">
        <v>0</v>
      </c>
      <c r="K5" s="100">
        <v>81</v>
      </c>
      <c r="L5" s="101">
        <f>SUM(C5:K5)</f>
        <v>81</v>
      </c>
    </row>
    <row r="6" spans="2:12" ht="15" customHeight="1">
      <c r="B6" s="100" t="s">
        <v>782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1</v>
      </c>
      <c r="I6" s="100">
        <v>0</v>
      </c>
      <c r="J6" s="100">
        <v>0</v>
      </c>
      <c r="K6" s="100">
        <v>29</v>
      </c>
      <c r="L6" s="101">
        <f>SUM(C6:K6)</f>
        <v>30</v>
      </c>
    </row>
    <row r="7" spans="2:12" ht="15" customHeight="1">
      <c r="B7" s="100" t="s">
        <v>719</v>
      </c>
      <c r="C7" s="102">
        <v>0</v>
      </c>
      <c r="D7" s="100">
        <v>0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118</v>
      </c>
      <c r="L7" s="104">
        <f>SUM(C7:K7)</f>
        <v>118</v>
      </c>
    </row>
  </sheetData>
  <mergeCells count="1">
    <mergeCell ref="B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Kolwezi-696048438 </vt:lpstr>
      <vt:lpstr>Kolwezi-696066666</vt:lpstr>
      <vt:lpstr>Likasi-696048438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 Tracking</dc:creator>
  <cp:lastModifiedBy>Overland Tracking</cp:lastModifiedBy>
  <dcterms:created xsi:type="dcterms:W3CDTF">2025-09-27T21:04:26Z</dcterms:created>
  <dcterms:modified xsi:type="dcterms:W3CDTF">2026-01-23T04:53:28Z</dcterms:modified>
</cp:coreProperties>
</file>