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alum\Desktop\EXPORT STANDING CHARGES\"/>
    </mc:Choice>
  </mc:AlternateContent>
  <xr:revisionPtr revIDLastSave="0" documentId="13_ncr:1_{6A07CA0A-57A5-498F-AD26-9242DD334790}" xr6:coauthVersionLast="47" xr6:coauthVersionMax="47" xr10:uidLastSave="{00000000-0000-0000-0000-000000000000}"/>
  <bookViews>
    <workbookView xWindow="-120" yWindow="-120" windowWidth="20730" windowHeight="11040" xr2:uid="{3D3951FE-D9AD-474A-A49B-83567944CBA7}"/>
  </bookViews>
  <sheets>
    <sheet name="DEMURRAGE CHARGES" sheetId="3" r:id="rId1"/>
    <sheet name="GOSUSNH8490239" sheetId="1" state="hidden" r:id="rId2"/>
    <sheet name="GOSUSNH20976372" sheetId="5" state="hidden" r:id="rId3"/>
    <sheet name="EPIRCHNSHG011298" sheetId="6" state="hidden" r:id="rId4"/>
    <sheet name="SHCR50003900" sheetId="4" state="hidden" r:id="rId5"/>
    <sheet name="GOSUSNH20976503" sheetId="7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3" l="1"/>
  <c r="Q6" i="3"/>
  <c r="Q7" i="3"/>
  <c r="Q8" i="3"/>
  <c r="Q9" i="3"/>
  <c r="Q10" i="3"/>
  <c r="Q11" i="3"/>
  <c r="Q4" i="3"/>
  <c r="L10" i="3" l="1"/>
  <c r="I10" i="3"/>
  <c r="I7" i="3" l="1"/>
  <c r="L9" i="7"/>
  <c r="I9" i="7"/>
  <c r="N9" i="7" s="1"/>
  <c r="P9" i="7" s="1"/>
  <c r="L8" i="7"/>
  <c r="I8" i="7"/>
  <c r="L7" i="7"/>
  <c r="I7" i="7"/>
  <c r="N7" i="7" s="1"/>
  <c r="P7" i="7" s="1"/>
  <c r="L6" i="7"/>
  <c r="I6" i="7"/>
  <c r="L5" i="7"/>
  <c r="I5" i="7"/>
  <c r="N5" i="7" s="1"/>
  <c r="P5" i="7" s="1"/>
  <c r="L4" i="7"/>
  <c r="N4" i="7" s="1"/>
  <c r="P4" i="7" s="1"/>
  <c r="I4" i="7"/>
  <c r="N4" i="1"/>
  <c r="I10" i="1"/>
  <c r="I11" i="1"/>
  <c r="I12" i="1"/>
  <c r="L10" i="1"/>
  <c r="L11" i="1"/>
  <c r="L12" i="1"/>
  <c r="L8" i="1"/>
  <c r="L9" i="1"/>
  <c r="P7" i="5"/>
  <c r="P6" i="5"/>
  <c r="P5" i="5"/>
  <c r="P4" i="5"/>
  <c r="P8" i="5" s="1"/>
  <c r="P9" i="6"/>
  <c r="P8" i="6"/>
  <c r="P7" i="6"/>
  <c r="P6" i="6"/>
  <c r="P5" i="6"/>
  <c r="P4" i="6"/>
  <c r="L9" i="6"/>
  <c r="I9" i="6"/>
  <c r="N9" i="6" s="1"/>
  <c r="L8" i="6"/>
  <c r="I8" i="6"/>
  <c r="N8" i="6" s="1"/>
  <c r="L7" i="6"/>
  <c r="I7" i="6"/>
  <c r="N7" i="6" s="1"/>
  <c r="L6" i="6"/>
  <c r="I6" i="6"/>
  <c r="N6" i="6" s="1"/>
  <c r="L5" i="6"/>
  <c r="I5" i="6"/>
  <c r="N5" i="6" s="1"/>
  <c r="L4" i="6"/>
  <c r="I4" i="6"/>
  <c r="N4" i="6" s="1"/>
  <c r="I8" i="1"/>
  <c r="I9" i="1"/>
  <c r="P14" i="4"/>
  <c r="L7" i="5"/>
  <c r="I7" i="5"/>
  <c r="N7" i="5" s="1"/>
  <c r="N6" i="5"/>
  <c r="L6" i="5"/>
  <c r="I6" i="5"/>
  <c r="L5" i="5"/>
  <c r="I5" i="5"/>
  <c r="N5" i="5" s="1"/>
  <c r="L4" i="5"/>
  <c r="N4" i="5" s="1"/>
  <c r="I4" i="5"/>
  <c r="L4" i="3"/>
  <c r="L13" i="4"/>
  <c r="L12" i="4"/>
  <c r="N12" i="4" s="1"/>
  <c r="P12" i="4" s="1"/>
  <c r="L11" i="4"/>
  <c r="L10" i="4"/>
  <c r="L9" i="4"/>
  <c r="L8" i="4"/>
  <c r="N8" i="4" s="1"/>
  <c r="P8" i="4" s="1"/>
  <c r="L7" i="4"/>
  <c r="L6" i="4"/>
  <c r="N6" i="4" s="1"/>
  <c r="P6" i="4" s="1"/>
  <c r="L5" i="4"/>
  <c r="L4" i="4"/>
  <c r="N4" i="4" s="1"/>
  <c r="P4" i="4" s="1"/>
  <c r="I13" i="4"/>
  <c r="N13" i="4" s="1"/>
  <c r="P13" i="4" s="1"/>
  <c r="I12" i="4"/>
  <c r="I11" i="4"/>
  <c r="N10" i="4"/>
  <c r="P10" i="4" s="1"/>
  <c r="I10" i="4"/>
  <c r="I9" i="4"/>
  <c r="N9" i="4" s="1"/>
  <c r="P9" i="4" s="1"/>
  <c r="I8" i="4"/>
  <c r="I7" i="4"/>
  <c r="N7" i="4" s="1"/>
  <c r="P7" i="4" s="1"/>
  <c r="I6" i="4"/>
  <c r="I5" i="4"/>
  <c r="I4" i="4"/>
  <c r="L11" i="3"/>
  <c r="I11" i="3"/>
  <c r="N11" i="3" s="1"/>
  <c r="L9" i="3"/>
  <c r="I9" i="3"/>
  <c r="L8" i="3"/>
  <c r="I8" i="3"/>
  <c r="L7" i="3"/>
  <c r="L6" i="3"/>
  <c r="I6" i="3"/>
  <c r="L5" i="3"/>
  <c r="I5" i="3"/>
  <c r="I4" i="3"/>
  <c r="L5" i="1"/>
  <c r="L6" i="1"/>
  <c r="L7" i="1"/>
  <c r="L4" i="1"/>
  <c r="N8" i="7" l="1"/>
  <c r="P8" i="7" s="1"/>
  <c r="N6" i="7"/>
  <c r="P6" i="7" s="1"/>
  <c r="P10" i="7" s="1"/>
  <c r="N11" i="1"/>
  <c r="P11" i="1" s="1"/>
  <c r="N12" i="1"/>
  <c r="P12" i="1" s="1"/>
  <c r="N10" i="1"/>
  <c r="P10" i="1" s="1"/>
  <c r="P1" i="6"/>
  <c r="P10" i="6"/>
  <c r="N9" i="1"/>
  <c r="P9" i="1" s="1"/>
  <c r="N8" i="1"/>
  <c r="P8" i="1" s="1"/>
  <c r="P1" i="5"/>
  <c r="N5" i="4"/>
  <c r="P5" i="4" s="1"/>
  <c r="P1" i="4" s="1"/>
  <c r="N11" i="4"/>
  <c r="P11" i="4" s="1"/>
  <c r="I7" i="1"/>
  <c r="I6" i="1"/>
  <c r="I5" i="1"/>
  <c r="I4" i="1"/>
  <c r="Q1" i="3" l="1"/>
  <c r="Q12" i="3"/>
  <c r="P1" i="7"/>
  <c r="P4" i="1"/>
  <c r="N5" i="1"/>
  <c r="P5" i="1" s="1"/>
  <c r="N6" i="1"/>
  <c r="P6" i="1" s="1"/>
  <c r="N7" i="1"/>
  <c r="P7" i="1" s="1"/>
  <c r="P13" i="1" l="1"/>
  <c r="P1" i="1"/>
</calcChain>
</file>

<file path=xl/sharedStrings.xml><?xml version="1.0" encoding="utf-8"?>
<sst xmlns="http://schemas.openxmlformats.org/spreadsheetml/2006/main" count="296" uniqueCount="113">
  <si>
    <t>Overland Group of Companies</t>
  </si>
  <si>
    <t>Total Amount in USD</t>
  </si>
  <si>
    <t>Haulier Name</t>
  </si>
  <si>
    <t>Truck Registration</t>
  </si>
  <si>
    <t>Trailer 1</t>
  </si>
  <si>
    <t>Trailer 2</t>
  </si>
  <si>
    <t>Current Location</t>
  </si>
  <si>
    <t>Remark</t>
  </si>
  <si>
    <t xml:space="preserve">K-lesa Arr Date </t>
  </si>
  <si>
    <t>Whiskey Dispatch Date</t>
  </si>
  <si>
    <t>Arrived-to-Dispatch Delays days</t>
  </si>
  <si>
    <t>Free Days</t>
  </si>
  <si>
    <t>Chargeable Demurrage Days</t>
  </si>
  <si>
    <t>Rate</t>
  </si>
  <si>
    <t>Total</t>
  </si>
  <si>
    <t>Overland</t>
  </si>
  <si>
    <t>N/A</t>
  </si>
  <si>
    <t>Offloaded</t>
  </si>
  <si>
    <t xml:space="preserve">Destination Arr Date </t>
  </si>
  <si>
    <t xml:space="preserve">Offloading   Date </t>
  </si>
  <si>
    <t>Marimpex -- Overland Truck demurrage charges report</t>
  </si>
  <si>
    <t>T252ELP</t>
  </si>
  <si>
    <t>T309ELJ</t>
  </si>
  <si>
    <t>T811BQN</t>
  </si>
  <si>
    <t>T679BPR</t>
  </si>
  <si>
    <t>T552EKB</t>
  </si>
  <si>
    <t>T956EKA</t>
  </si>
  <si>
    <t>T434EKB</t>
  </si>
  <si>
    <t>T958EKA</t>
  </si>
  <si>
    <t>T439EKB</t>
  </si>
  <si>
    <t>T957EKA</t>
  </si>
  <si>
    <t>T214EBZ</t>
  </si>
  <si>
    <t>T414EBV</t>
  </si>
  <si>
    <t>T262DAD</t>
  </si>
  <si>
    <t>T856CTC</t>
  </si>
  <si>
    <t>T990BLA</t>
  </si>
  <si>
    <t>T906AAB</t>
  </si>
  <si>
    <t>T774DFC</t>
  </si>
  <si>
    <t>T623CAD</t>
  </si>
  <si>
    <t>T940CBY</t>
  </si>
  <si>
    <t>T545CXJ</t>
  </si>
  <si>
    <t>T778DDQ</t>
  </si>
  <si>
    <t>T841DDV</t>
  </si>
  <si>
    <t>T643DPK</t>
  </si>
  <si>
    <t>T206BSV</t>
  </si>
  <si>
    <t>T332DYH</t>
  </si>
  <si>
    <t>T927DYU</t>
  </si>
  <si>
    <t>T473BZP</t>
  </si>
  <si>
    <t>T844AVF</t>
  </si>
  <si>
    <t>T945EGZ</t>
  </si>
  <si>
    <t>T773EFA</t>
  </si>
  <si>
    <t>T857DNC</t>
  </si>
  <si>
    <t>T857DMV</t>
  </si>
  <si>
    <t>T451EAU</t>
  </si>
  <si>
    <t>T398EBP</t>
  </si>
  <si>
    <t>T449EAU</t>
  </si>
  <si>
    <t>T701BHT</t>
  </si>
  <si>
    <t>T188DNG</t>
  </si>
  <si>
    <t>T169DNF</t>
  </si>
  <si>
    <t>T503DNM</t>
  </si>
  <si>
    <t>T167DNF</t>
  </si>
  <si>
    <t xml:space="preserve">Offloading Delays day </t>
  </si>
  <si>
    <t>T361BUX</t>
  </si>
  <si>
    <t>T724DCE</t>
  </si>
  <si>
    <t>T420BQF</t>
  </si>
  <si>
    <t>T688DGW</t>
  </si>
  <si>
    <t>T247DDM</t>
  </si>
  <si>
    <t>T417DDG</t>
  </si>
  <si>
    <t>T276DSH</t>
  </si>
  <si>
    <t>T212EBY</t>
  </si>
  <si>
    <t>T268CKQ</t>
  </si>
  <si>
    <t>T587ECJ</t>
  </si>
  <si>
    <t>T633DWZ</t>
  </si>
  <si>
    <t>T451DYB</t>
  </si>
  <si>
    <t>T784CEM</t>
  </si>
  <si>
    <t>T420CJR</t>
  </si>
  <si>
    <t>T985EAF</t>
  </si>
  <si>
    <t>T853BRZ</t>
  </si>
  <si>
    <t>T875EAQ</t>
  </si>
  <si>
    <t>T132ADN</t>
  </si>
  <si>
    <t>T147DNF</t>
  </si>
  <si>
    <t>T151DNF</t>
  </si>
  <si>
    <t>T145DNF</t>
  </si>
  <si>
    <t>T172DNF</t>
  </si>
  <si>
    <t>T150DTQ</t>
  </si>
  <si>
    <t>T724ARY</t>
  </si>
  <si>
    <t>T867DDY</t>
  </si>
  <si>
    <t>T760AWR</t>
  </si>
  <si>
    <t>T472BQF</t>
  </si>
  <si>
    <t>T341AFM</t>
  </si>
  <si>
    <t>T484DCZ</t>
  </si>
  <si>
    <t>T681AHL</t>
  </si>
  <si>
    <t>Completed</t>
  </si>
  <si>
    <t>Access World -- Overland Truck demurrage charges report</t>
  </si>
  <si>
    <t>BL No.</t>
  </si>
  <si>
    <t>DQ/001</t>
  </si>
  <si>
    <t>T543DYT</t>
  </si>
  <si>
    <t>T861DZC</t>
  </si>
  <si>
    <t>T576EDN</t>
  </si>
  <si>
    <t>T470EFM</t>
  </si>
  <si>
    <t>T931CAH</t>
  </si>
  <si>
    <t>T400CBH</t>
  </si>
  <si>
    <t>T546DED</t>
  </si>
  <si>
    <t>T310DED</t>
  </si>
  <si>
    <t>T544DED</t>
  </si>
  <si>
    <t>T312DED</t>
  </si>
  <si>
    <t>T544DYT</t>
  </si>
  <si>
    <t>T866DZC</t>
  </si>
  <si>
    <t>T950DDM</t>
  </si>
  <si>
    <t>T554BTU</t>
  </si>
  <si>
    <t>T573EDN</t>
  </si>
  <si>
    <t>T472EFM</t>
  </si>
  <si>
    <t>Parking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</si>
</sst>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[$-409]dd/mmm/yy;@"/>
    <numFmt numFmtId="166" formatCode="General\ "/>
    <numFmt numFmtId="167" formatCode="_([$$-409]* #,##0_);_([$$-409]* \(#,##0\);_([$$-409]* &quot;-&quot;??_);_(@_)"/>
    <numFmt numFmtId="168" formatCode="[$-409]d\-mmm\-yy;@"/>
    <numFmt numFmtId="169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/>
    <xf numFmtId="0" fontId="4" fillId="2" borderId="4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2" fillId="2" borderId="0" xfId="0" applyFont="1" applyFill="1"/>
    <xf numFmtId="0" fontId="2" fillId="2" borderId="8" xfId="0" applyFont="1" applyFill="1" applyBorder="1" applyAlignment="1">
      <alignment horizontal="center" vertical="center" wrapText="1"/>
    </xf>
    <xf numFmtId="165" fontId="2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4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166" fontId="11" fillId="6" borderId="9" xfId="0" applyNumberFormat="1" applyFont="1" applyFill="1" applyBorder="1" applyAlignment="1">
      <alignment horizontal="center"/>
    </xf>
    <xf numFmtId="167" fontId="12" fillId="0" borderId="9" xfId="1" applyNumberFormat="1" applyFont="1" applyFill="1" applyBorder="1" applyAlignment="1" applyProtection="1">
      <alignment horizontal="center"/>
    </xf>
    <xf numFmtId="164" fontId="12" fillId="0" borderId="9" xfId="2" applyNumberFormat="1" applyFont="1" applyFill="1" applyBorder="1" applyAlignment="1" applyProtection="1">
      <alignment horizontal="center"/>
    </xf>
    <xf numFmtId="0" fontId="6" fillId="0" borderId="0" xfId="0" applyFont="1"/>
    <xf numFmtId="164" fontId="11" fillId="3" borderId="9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168" fontId="13" fillId="7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168" fontId="6" fillId="7" borderId="8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0" fontId="14" fillId="7" borderId="8" xfId="0" applyFont="1" applyFill="1" applyBorder="1" applyAlignment="1" applyProtection="1">
      <alignment horizontal="center" vertical="center"/>
      <protection locked="0"/>
    </xf>
    <xf numFmtId="169" fontId="13" fillId="7" borderId="8" xfId="3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1" fontId="8" fillId="5" borderId="8" xfId="0" applyNumberFormat="1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1" fontId="11" fillId="5" borderId="8" xfId="0" applyNumberFormat="1" applyFont="1" applyFill="1" applyBorder="1" applyAlignment="1">
      <alignment horizontal="center"/>
    </xf>
    <xf numFmtId="0" fontId="0" fillId="7" borderId="8" xfId="0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7" borderId="8" xfId="0" applyFont="1" applyFill="1" applyBorder="1" applyAlignment="1">
      <alignment horizontal="center"/>
    </xf>
    <xf numFmtId="168" fontId="0" fillId="7" borderId="8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5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166" fontId="11" fillId="3" borderId="9" xfId="0" applyNumberFormat="1" applyFont="1" applyFill="1" applyBorder="1" applyAlignment="1">
      <alignment horizontal="center"/>
    </xf>
  </cellXfs>
  <cellStyles count="4">
    <cellStyle name="Comma" xfId="1" builtinId="3"/>
    <cellStyle name="Comma 2 7" xfId="3" xr:uid="{FF64E7B9-4535-492E-B004-F1B1F765D2CF}"/>
    <cellStyle name="Currency" xfId="2" builtinId="4"/>
    <cellStyle name="Normal" xfId="0" builtinId="0"/>
  </cellStyles>
  <dxfs count="81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AF3A-B0BD-4195-98FC-AA112F119317}">
  <dimension ref="A1:Q12"/>
  <sheetViews>
    <sheetView tabSelected="1" topLeftCell="B1" workbookViewId="0">
      <selection activeCell="N9" sqref="N9"/>
    </sheetView>
  </sheetViews>
  <sheetFormatPr defaultRowHeight="15" x14ac:dyDescent="0.25"/>
  <cols>
    <col min="2" max="2" width="17.42578125" bestFit="1" customWidth="1"/>
    <col min="3" max="3" width="12.85546875" customWidth="1"/>
    <col min="4" max="4" width="11.7109375" customWidth="1"/>
    <col min="5" max="5" width="11.140625" customWidth="1"/>
    <col min="6" max="6" width="11.7109375" customWidth="1"/>
    <col min="7" max="7" width="12.28515625" customWidth="1"/>
    <col min="8" max="8" width="9.28515625" bestFit="1" customWidth="1"/>
    <col min="9" max="10" width="11.7109375" customWidth="1"/>
    <col min="11" max="11" width="11.85546875" customWidth="1"/>
    <col min="12" max="12" width="10" customWidth="1"/>
    <col min="14" max="14" width="13.28515625" customWidth="1"/>
    <col min="15" max="15" width="11.5703125" customWidth="1"/>
  </cols>
  <sheetData>
    <row r="1" spans="1:17" ht="17.25" customHeight="1" x14ac:dyDescent="0.25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42" t="s">
        <v>1</v>
      </c>
      <c r="O1" s="43"/>
      <c r="P1" s="43"/>
      <c r="Q1" s="46">
        <f>SUM(Q4:Q11)</f>
        <v>1600</v>
      </c>
    </row>
    <row r="2" spans="1:17" ht="17.25" customHeight="1" x14ac:dyDescent="0.25">
      <c r="A2" s="4" t="s">
        <v>93</v>
      </c>
      <c r="B2" s="5"/>
      <c r="C2" s="5"/>
      <c r="D2" s="6"/>
      <c r="E2" s="7"/>
      <c r="F2" s="7"/>
      <c r="G2" s="7"/>
      <c r="H2" s="7"/>
      <c r="I2" s="7"/>
      <c r="J2" s="7"/>
      <c r="K2" s="7"/>
      <c r="L2" s="7"/>
      <c r="M2" s="7"/>
      <c r="N2" s="44"/>
      <c r="O2" s="45"/>
      <c r="P2" s="45"/>
      <c r="Q2" s="47"/>
    </row>
    <row r="3" spans="1:17" s="11" customFormat="1" ht="55.9" customHeight="1" x14ac:dyDescent="0.25">
      <c r="A3" s="8" t="s">
        <v>2</v>
      </c>
      <c r="B3" s="8" t="s">
        <v>94</v>
      </c>
      <c r="C3" s="8" t="s">
        <v>3</v>
      </c>
      <c r="D3" s="8" t="s">
        <v>4</v>
      </c>
      <c r="E3" s="8" t="s">
        <v>6</v>
      </c>
      <c r="F3" s="8" t="s">
        <v>7</v>
      </c>
      <c r="G3" s="9" t="s">
        <v>8</v>
      </c>
      <c r="H3" s="9" t="s">
        <v>9</v>
      </c>
      <c r="I3" s="9" t="s">
        <v>10</v>
      </c>
      <c r="J3" s="9" t="s">
        <v>18</v>
      </c>
      <c r="K3" s="9" t="s">
        <v>19</v>
      </c>
      <c r="L3" s="9" t="s">
        <v>61</v>
      </c>
      <c r="M3" s="10" t="s">
        <v>11</v>
      </c>
      <c r="N3" s="10" t="s">
        <v>12</v>
      </c>
      <c r="O3" s="10" t="s">
        <v>112</v>
      </c>
      <c r="P3" s="10" t="s">
        <v>13</v>
      </c>
      <c r="Q3" s="10" t="s">
        <v>14</v>
      </c>
    </row>
    <row r="4" spans="1:17" s="20" customFormat="1" ht="17.25" customHeight="1" x14ac:dyDescent="0.25">
      <c r="A4" s="12" t="s">
        <v>15</v>
      </c>
      <c r="B4" s="48" t="s">
        <v>95</v>
      </c>
      <c r="C4" s="37" t="s">
        <v>96</v>
      </c>
      <c r="D4" s="38" t="s">
        <v>97</v>
      </c>
      <c r="E4" s="15" t="s">
        <v>17</v>
      </c>
      <c r="F4" s="15" t="s">
        <v>92</v>
      </c>
      <c r="G4" s="41">
        <v>45987</v>
      </c>
      <c r="H4" s="41">
        <v>45993</v>
      </c>
      <c r="I4" s="36">
        <f>H4-G4</f>
        <v>6</v>
      </c>
      <c r="J4" s="41">
        <v>45994</v>
      </c>
      <c r="K4" s="41">
        <v>45995</v>
      </c>
      <c r="L4" s="34">
        <f>K4-J4</f>
        <v>1</v>
      </c>
      <c r="M4" s="16">
        <v>7</v>
      </c>
      <c r="N4" s="17">
        <v>0</v>
      </c>
      <c r="O4" s="18">
        <v>150</v>
      </c>
      <c r="P4" s="18">
        <v>250</v>
      </c>
      <c r="Q4" s="19">
        <f>O4+P4*N4</f>
        <v>150</v>
      </c>
    </row>
    <row r="5" spans="1:17" s="20" customFormat="1" ht="17.25" customHeight="1" x14ac:dyDescent="0.25">
      <c r="A5" s="12" t="s">
        <v>15</v>
      </c>
      <c r="B5" s="49"/>
      <c r="C5" s="37" t="s">
        <v>98</v>
      </c>
      <c r="D5" s="38" t="s">
        <v>99</v>
      </c>
      <c r="E5" s="15" t="s">
        <v>17</v>
      </c>
      <c r="F5" s="15" t="s">
        <v>92</v>
      </c>
      <c r="G5" s="41">
        <v>45995</v>
      </c>
      <c r="H5" s="41">
        <v>45997</v>
      </c>
      <c r="I5" s="36">
        <f>H5-G5</f>
        <v>2</v>
      </c>
      <c r="J5" s="41">
        <v>45999</v>
      </c>
      <c r="K5" s="41">
        <v>46000</v>
      </c>
      <c r="L5" s="34">
        <f t="shared" ref="L5:L11" si="0">K5-J5</f>
        <v>1</v>
      </c>
      <c r="M5" s="16">
        <v>7</v>
      </c>
      <c r="N5" s="17">
        <v>0</v>
      </c>
      <c r="O5" s="51"/>
      <c r="P5" s="18">
        <v>250</v>
      </c>
      <c r="Q5" s="19">
        <f t="shared" ref="Q5:Q11" si="1">O5+P5*N5</f>
        <v>0</v>
      </c>
    </row>
    <row r="6" spans="1:17" s="20" customFormat="1" ht="17.25" customHeight="1" x14ac:dyDescent="0.25">
      <c r="A6" s="12" t="s">
        <v>15</v>
      </c>
      <c r="B6" s="49"/>
      <c r="C6" s="39" t="s">
        <v>100</v>
      </c>
      <c r="D6" s="33" t="s">
        <v>101</v>
      </c>
      <c r="E6" s="15" t="s">
        <v>17</v>
      </c>
      <c r="F6" s="15" t="s">
        <v>92</v>
      </c>
      <c r="G6" s="41">
        <v>45992</v>
      </c>
      <c r="H6" s="41">
        <v>45997</v>
      </c>
      <c r="I6" s="36">
        <f t="shared" ref="I6:I11" si="2">H6-G6</f>
        <v>5</v>
      </c>
      <c r="J6" s="41">
        <v>45999</v>
      </c>
      <c r="K6" s="41">
        <v>46000</v>
      </c>
      <c r="L6" s="34">
        <f t="shared" si="0"/>
        <v>1</v>
      </c>
      <c r="M6" s="16">
        <v>7</v>
      </c>
      <c r="N6" s="17">
        <v>0</v>
      </c>
      <c r="O6" s="51"/>
      <c r="P6" s="18">
        <v>250</v>
      </c>
      <c r="Q6" s="19">
        <f t="shared" si="1"/>
        <v>0</v>
      </c>
    </row>
    <row r="7" spans="1:17" s="20" customFormat="1" ht="17.25" customHeight="1" x14ac:dyDescent="0.25">
      <c r="A7" s="12" t="s">
        <v>15</v>
      </c>
      <c r="B7" s="49"/>
      <c r="C7" s="38" t="s">
        <v>102</v>
      </c>
      <c r="D7" s="38" t="s">
        <v>103</v>
      </c>
      <c r="E7" s="15" t="s">
        <v>17</v>
      </c>
      <c r="F7" s="15" t="s">
        <v>92</v>
      </c>
      <c r="G7" s="41">
        <v>45991</v>
      </c>
      <c r="H7" s="41">
        <v>45993</v>
      </c>
      <c r="I7" s="36">
        <f>H7-G7</f>
        <v>2</v>
      </c>
      <c r="J7" s="41">
        <v>45994</v>
      </c>
      <c r="K7" s="41">
        <v>45995</v>
      </c>
      <c r="L7" s="34">
        <f t="shared" si="0"/>
        <v>1</v>
      </c>
      <c r="M7" s="16">
        <v>7</v>
      </c>
      <c r="N7" s="17">
        <v>0</v>
      </c>
      <c r="O7" s="18">
        <v>400</v>
      </c>
      <c r="P7" s="18">
        <v>250</v>
      </c>
      <c r="Q7" s="19">
        <f t="shared" si="1"/>
        <v>400</v>
      </c>
    </row>
    <row r="8" spans="1:17" s="20" customFormat="1" ht="17.25" customHeight="1" x14ac:dyDescent="0.25">
      <c r="A8" s="12" t="s">
        <v>15</v>
      </c>
      <c r="B8" s="49"/>
      <c r="C8" s="40" t="s">
        <v>104</v>
      </c>
      <c r="D8" s="35" t="s">
        <v>105</v>
      </c>
      <c r="E8" s="15" t="s">
        <v>17</v>
      </c>
      <c r="F8" s="15" t="s">
        <v>92</v>
      </c>
      <c r="G8" s="41">
        <v>45995</v>
      </c>
      <c r="H8" s="41">
        <v>45997</v>
      </c>
      <c r="I8" s="36">
        <f t="shared" si="2"/>
        <v>2</v>
      </c>
      <c r="J8" s="41">
        <v>45999</v>
      </c>
      <c r="K8" s="41">
        <v>46000</v>
      </c>
      <c r="L8" s="34">
        <f t="shared" si="0"/>
        <v>1</v>
      </c>
      <c r="M8" s="16">
        <v>7</v>
      </c>
      <c r="N8" s="17">
        <v>0</v>
      </c>
      <c r="O8" s="51"/>
      <c r="P8" s="18">
        <v>250</v>
      </c>
      <c r="Q8" s="19">
        <f t="shared" si="1"/>
        <v>0</v>
      </c>
    </row>
    <row r="9" spans="1:17" s="20" customFormat="1" ht="17.25" customHeight="1" x14ac:dyDescent="0.25">
      <c r="A9" s="12" t="s">
        <v>15</v>
      </c>
      <c r="B9" s="49"/>
      <c r="C9" s="37" t="s">
        <v>106</v>
      </c>
      <c r="D9" s="38" t="s">
        <v>107</v>
      </c>
      <c r="E9" s="15" t="s">
        <v>17</v>
      </c>
      <c r="F9" s="15" t="s">
        <v>92</v>
      </c>
      <c r="G9" s="41">
        <v>45987</v>
      </c>
      <c r="H9" s="41">
        <v>45993</v>
      </c>
      <c r="I9" s="36">
        <f t="shared" si="2"/>
        <v>6</v>
      </c>
      <c r="J9" s="41">
        <v>45994</v>
      </c>
      <c r="K9" s="41">
        <v>45995</v>
      </c>
      <c r="L9" s="34">
        <f t="shared" si="0"/>
        <v>1</v>
      </c>
      <c r="M9" s="16">
        <v>7</v>
      </c>
      <c r="N9" s="17">
        <v>0</v>
      </c>
      <c r="O9" s="18">
        <v>150</v>
      </c>
      <c r="P9" s="18">
        <v>250</v>
      </c>
      <c r="Q9" s="19">
        <f t="shared" si="1"/>
        <v>150</v>
      </c>
    </row>
    <row r="10" spans="1:17" s="20" customFormat="1" ht="17.25" customHeight="1" x14ac:dyDescent="0.25">
      <c r="A10" s="12" t="s">
        <v>15</v>
      </c>
      <c r="B10" s="49"/>
      <c r="C10" s="37" t="s">
        <v>108</v>
      </c>
      <c r="D10" s="38" t="s">
        <v>109</v>
      </c>
      <c r="E10" s="15" t="s">
        <v>17</v>
      </c>
      <c r="F10" s="15" t="s">
        <v>92</v>
      </c>
      <c r="G10" s="41">
        <v>45987</v>
      </c>
      <c r="H10" s="41">
        <v>45993</v>
      </c>
      <c r="I10" s="36">
        <f t="shared" si="2"/>
        <v>6</v>
      </c>
      <c r="J10" s="41">
        <v>45994</v>
      </c>
      <c r="K10" s="41">
        <v>45995</v>
      </c>
      <c r="L10" s="34">
        <f t="shared" si="0"/>
        <v>1</v>
      </c>
      <c r="M10" s="16">
        <v>7</v>
      </c>
      <c r="N10" s="17">
        <v>0</v>
      </c>
      <c r="O10" s="18">
        <v>150</v>
      </c>
      <c r="P10" s="18">
        <v>250</v>
      </c>
      <c r="Q10" s="19">
        <f t="shared" si="1"/>
        <v>150</v>
      </c>
    </row>
    <row r="11" spans="1:17" s="20" customFormat="1" ht="17.25" customHeight="1" x14ac:dyDescent="0.25">
      <c r="A11" s="12" t="s">
        <v>15</v>
      </c>
      <c r="B11" s="50"/>
      <c r="C11" s="37" t="s">
        <v>110</v>
      </c>
      <c r="D11" s="38" t="s">
        <v>111</v>
      </c>
      <c r="E11" s="15" t="s">
        <v>17</v>
      </c>
      <c r="F11" s="15" t="s">
        <v>92</v>
      </c>
      <c r="G11" s="41">
        <v>45982</v>
      </c>
      <c r="H11" s="41">
        <v>45992</v>
      </c>
      <c r="I11" s="36">
        <f t="shared" si="2"/>
        <v>10</v>
      </c>
      <c r="J11" s="41">
        <v>45994</v>
      </c>
      <c r="K11" s="41">
        <v>45995</v>
      </c>
      <c r="L11" s="34">
        <f t="shared" si="0"/>
        <v>1</v>
      </c>
      <c r="M11" s="16">
        <v>7</v>
      </c>
      <c r="N11" s="17">
        <f t="shared" ref="N11" si="3">MAX(I11-M11)</f>
        <v>3</v>
      </c>
      <c r="O11" s="51"/>
      <c r="P11" s="18">
        <v>250</v>
      </c>
      <c r="Q11" s="19">
        <f t="shared" si="1"/>
        <v>750</v>
      </c>
    </row>
    <row r="12" spans="1:17" x14ac:dyDescent="0.25">
      <c r="Q12" s="21">
        <f>SUM(Q4:Q11)</f>
        <v>1600</v>
      </c>
    </row>
  </sheetData>
  <mergeCells count="3">
    <mergeCell ref="N1:P2"/>
    <mergeCell ref="Q1:Q2"/>
    <mergeCell ref="B4:B11"/>
  </mergeCells>
  <conditionalFormatting sqref="C9:C11 C4:C5">
    <cfRule type="duplicateValues" dxfId="817" priority="1"/>
  </conditionalFormatting>
  <conditionalFormatting sqref="C3:D3">
    <cfRule type="duplicateValues" dxfId="816" priority="360"/>
    <cfRule type="duplicateValues" dxfId="815" priority="361"/>
    <cfRule type="duplicateValues" dxfId="814" priority="362"/>
    <cfRule type="duplicateValues" dxfId="813" priority="363"/>
    <cfRule type="duplicateValues" dxfId="812" priority="364"/>
    <cfRule type="duplicateValues" dxfId="811" priority="365"/>
    <cfRule type="duplicateValues" dxfId="810" priority="366"/>
  </conditionalFormatting>
  <conditionalFormatting sqref="D2 C3">
    <cfRule type="duplicateValues" dxfId="809" priority="348"/>
  </conditionalFormatting>
  <conditionalFormatting sqref="E1:E2">
    <cfRule type="duplicateValues" dxfId="808" priority="356"/>
    <cfRule type="duplicateValues" dxfId="807" priority="357"/>
    <cfRule type="duplicateValues" dxfId="806" priority="358"/>
    <cfRule type="duplicateValues" dxfId="805" priority="359"/>
  </conditionalFormatting>
  <dataValidations count="1">
    <dataValidation type="date" operator="greaterThan" allowBlank="1" showInputMessage="1" showErrorMessage="1" sqref="G4:H11 J4:K11" xr:uid="{0AB73761-056F-4352-B99D-96B0437E0907}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4691-A717-4A8E-A437-A747A5EA8C3D}">
  <dimension ref="A1:P13"/>
  <sheetViews>
    <sheetView workbookViewId="0">
      <selection activeCell="I16" sqref="I16"/>
    </sheetView>
  </sheetViews>
  <sheetFormatPr defaultRowHeight="15" x14ac:dyDescent="0.25"/>
  <cols>
    <col min="2" max="2" width="13.42578125" bestFit="1" customWidth="1"/>
    <col min="7" max="7" width="9.140625" customWidth="1"/>
    <col min="10" max="10" width="11.7109375" customWidth="1"/>
    <col min="11" max="11" width="9.85546875" customWidth="1"/>
  </cols>
  <sheetData>
    <row r="1" spans="1:16" ht="17.2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2" t="s">
        <v>1</v>
      </c>
      <c r="O1" s="43"/>
      <c r="P1" s="46">
        <f>SUM(P4:P7)</f>
        <v>5000</v>
      </c>
    </row>
    <row r="2" spans="1:16" ht="17.25" customHeight="1" x14ac:dyDescent="0.25">
      <c r="A2" s="4" t="s">
        <v>20</v>
      </c>
      <c r="B2" s="5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44"/>
      <c r="O2" s="45"/>
      <c r="P2" s="47"/>
    </row>
    <row r="3" spans="1:16" s="11" customFormat="1" ht="55.9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  <c r="I3" s="9" t="s">
        <v>10</v>
      </c>
      <c r="J3" s="9" t="s">
        <v>18</v>
      </c>
      <c r="K3" s="9" t="s">
        <v>19</v>
      </c>
      <c r="L3" s="9" t="s">
        <v>61</v>
      </c>
      <c r="M3" s="10" t="s">
        <v>11</v>
      </c>
      <c r="N3" s="10" t="s">
        <v>12</v>
      </c>
      <c r="O3" s="10" t="s">
        <v>13</v>
      </c>
      <c r="P3" s="10" t="s">
        <v>14</v>
      </c>
    </row>
    <row r="4" spans="1:16" s="20" customFormat="1" ht="17.25" customHeight="1" x14ac:dyDescent="0.25">
      <c r="A4" s="12" t="s">
        <v>15</v>
      </c>
      <c r="B4" s="27" t="s">
        <v>62</v>
      </c>
      <c r="C4" s="27" t="s">
        <v>63</v>
      </c>
      <c r="D4" s="13" t="s">
        <v>16</v>
      </c>
      <c r="E4" s="14"/>
      <c r="F4" s="15"/>
      <c r="G4" s="26">
        <v>45754</v>
      </c>
      <c r="H4" s="26">
        <v>45769</v>
      </c>
      <c r="I4" s="22">
        <f>H4-G4</f>
        <v>15</v>
      </c>
      <c r="J4" s="26"/>
      <c r="K4" s="26"/>
      <c r="L4" s="22">
        <f>K4-J4</f>
        <v>0</v>
      </c>
      <c r="M4" s="16">
        <v>10</v>
      </c>
      <c r="N4" s="17">
        <f>MAX(0,I4+L4-M4)</f>
        <v>5</v>
      </c>
      <c r="O4" s="18">
        <v>250</v>
      </c>
      <c r="P4" s="19">
        <f>+N4*O4</f>
        <v>1250</v>
      </c>
    </row>
    <row r="5" spans="1:16" s="20" customFormat="1" ht="17.25" customHeight="1" x14ac:dyDescent="0.25">
      <c r="A5" s="12" t="s">
        <v>15</v>
      </c>
      <c r="B5" s="27" t="s">
        <v>64</v>
      </c>
      <c r="C5" s="28" t="s">
        <v>65</v>
      </c>
      <c r="D5" s="13" t="s">
        <v>16</v>
      </c>
      <c r="E5" s="14"/>
      <c r="F5" s="15"/>
      <c r="G5" s="26">
        <v>45745</v>
      </c>
      <c r="H5" s="26"/>
      <c r="I5" s="22">
        <f>H5-G5</f>
        <v>-45745</v>
      </c>
      <c r="J5" s="26"/>
      <c r="K5" s="26"/>
      <c r="L5" s="22">
        <f t="shared" ref="L5:L12" si="0">K5-J5</f>
        <v>0</v>
      </c>
      <c r="M5" s="16">
        <v>10</v>
      </c>
      <c r="N5" s="17">
        <f t="shared" ref="N5:N7" si="1">MAX(0,I5+L5-M5)</f>
        <v>0</v>
      </c>
      <c r="O5" s="18">
        <v>250</v>
      </c>
      <c r="P5" s="19">
        <f t="shared" ref="P5:P7" si="2">+N5*O5</f>
        <v>0</v>
      </c>
    </row>
    <row r="6" spans="1:16" s="20" customFormat="1" ht="17.25" customHeight="1" x14ac:dyDescent="0.25">
      <c r="A6" s="12" t="s">
        <v>15</v>
      </c>
      <c r="B6" s="27" t="s">
        <v>66</v>
      </c>
      <c r="C6" s="27" t="s">
        <v>67</v>
      </c>
      <c r="D6" s="13" t="s">
        <v>16</v>
      </c>
      <c r="E6" s="14"/>
      <c r="F6" s="15"/>
      <c r="G6" s="26">
        <v>45747</v>
      </c>
      <c r="H6" s="26">
        <v>45765</v>
      </c>
      <c r="I6" s="22">
        <f t="shared" ref="I6:I7" si="3">H6-G6</f>
        <v>18</v>
      </c>
      <c r="J6" s="26">
        <v>45767</v>
      </c>
      <c r="K6" s="26">
        <v>45768</v>
      </c>
      <c r="L6" s="22">
        <f t="shared" si="0"/>
        <v>1</v>
      </c>
      <c r="M6" s="16">
        <v>10</v>
      </c>
      <c r="N6" s="17">
        <f t="shared" si="1"/>
        <v>9</v>
      </c>
      <c r="O6" s="18">
        <v>250</v>
      </c>
      <c r="P6" s="19">
        <f t="shared" si="2"/>
        <v>2250</v>
      </c>
    </row>
    <row r="7" spans="1:16" s="20" customFormat="1" ht="17.25" customHeight="1" x14ac:dyDescent="0.25">
      <c r="A7" s="12" t="s">
        <v>15</v>
      </c>
      <c r="B7" s="27" t="s">
        <v>68</v>
      </c>
      <c r="C7" s="27" t="s">
        <v>69</v>
      </c>
      <c r="D7" s="13" t="s">
        <v>16</v>
      </c>
      <c r="E7" s="14"/>
      <c r="F7" s="15"/>
      <c r="G7" s="26">
        <v>45746</v>
      </c>
      <c r="H7" s="26">
        <v>45759</v>
      </c>
      <c r="I7" s="22">
        <f t="shared" si="3"/>
        <v>13</v>
      </c>
      <c r="J7" s="26">
        <v>45762</v>
      </c>
      <c r="K7" s="26">
        <v>45765</v>
      </c>
      <c r="L7" s="22">
        <f t="shared" si="0"/>
        <v>3</v>
      </c>
      <c r="M7" s="16">
        <v>10</v>
      </c>
      <c r="N7" s="17">
        <f t="shared" si="1"/>
        <v>6</v>
      </c>
      <c r="O7" s="18">
        <v>250</v>
      </c>
      <c r="P7" s="19">
        <f t="shared" si="2"/>
        <v>1500</v>
      </c>
    </row>
    <row r="8" spans="1:16" s="20" customFormat="1" ht="17.25" customHeight="1" x14ac:dyDescent="0.25">
      <c r="A8" s="12" t="s">
        <v>15</v>
      </c>
      <c r="B8" s="27" t="s">
        <v>70</v>
      </c>
      <c r="C8" s="27" t="s">
        <v>71</v>
      </c>
      <c r="D8" s="13" t="s">
        <v>16</v>
      </c>
      <c r="E8" s="14"/>
      <c r="F8" s="15"/>
      <c r="G8" s="26">
        <v>45748</v>
      </c>
      <c r="H8" s="26">
        <v>45765</v>
      </c>
      <c r="I8" s="22">
        <f t="shared" ref="I8:I12" si="4">H8-G8</f>
        <v>17</v>
      </c>
      <c r="J8" s="26">
        <v>45767</v>
      </c>
      <c r="K8" s="26">
        <v>45770</v>
      </c>
      <c r="L8" s="22">
        <f t="shared" si="0"/>
        <v>3</v>
      </c>
      <c r="M8" s="16">
        <v>10</v>
      </c>
      <c r="N8" s="17">
        <f t="shared" ref="N8:N12" si="5">MAX(0,I8+L8-M8)</f>
        <v>10</v>
      </c>
      <c r="O8" s="18">
        <v>250</v>
      </c>
      <c r="P8" s="19">
        <f t="shared" ref="P8:P12" si="6">+N8*O8</f>
        <v>2500</v>
      </c>
    </row>
    <row r="9" spans="1:16" s="20" customFormat="1" ht="17.25" customHeight="1" x14ac:dyDescent="0.25">
      <c r="A9" s="12" t="s">
        <v>15</v>
      </c>
      <c r="B9" s="27" t="s">
        <v>72</v>
      </c>
      <c r="C9" s="27" t="s">
        <v>73</v>
      </c>
      <c r="D9" s="13" t="s">
        <v>16</v>
      </c>
      <c r="E9" s="14"/>
      <c r="F9" s="15"/>
      <c r="G9" s="26">
        <v>45748</v>
      </c>
      <c r="H9" s="26">
        <v>45765</v>
      </c>
      <c r="I9" s="22">
        <f t="shared" si="4"/>
        <v>17</v>
      </c>
      <c r="J9" s="26">
        <v>45767</v>
      </c>
      <c r="K9" s="26">
        <v>45770</v>
      </c>
      <c r="L9" s="22">
        <f t="shared" si="0"/>
        <v>3</v>
      </c>
      <c r="M9" s="16">
        <v>10</v>
      </c>
      <c r="N9" s="17">
        <f t="shared" si="5"/>
        <v>10</v>
      </c>
      <c r="O9" s="18">
        <v>250</v>
      </c>
      <c r="P9" s="19">
        <f t="shared" si="6"/>
        <v>2500</v>
      </c>
    </row>
    <row r="10" spans="1:16" x14ac:dyDescent="0.25">
      <c r="A10" s="12" t="s">
        <v>15</v>
      </c>
      <c r="B10" s="27" t="s">
        <v>74</v>
      </c>
      <c r="C10" s="27" t="s">
        <v>75</v>
      </c>
      <c r="D10" s="13" t="s">
        <v>16</v>
      </c>
      <c r="E10" s="14"/>
      <c r="F10" s="15"/>
      <c r="G10" s="26">
        <v>45745</v>
      </c>
      <c r="H10" s="26">
        <v>45766</v>
      </c>
      <c r="I10" s="22">
        <f t="shared" si="4"/>
        <v>21</v>
      </c>
      <c r="J10" s="26">
        <v>45769</v>
      </c>
      <c r="K10" s="26">
        <v>45770</v>
      </c>
      <c r="L10" s="22">
        <f t="shared" si="0"/>
        <v>1</v>
      </c>
      <c r="M10" s="16">
        <v>10</v>
      </c>
      <c r="N10" s="17">
        <f t="shared" si="5"/>
        <v>12</v>
      </c>
      <c r="O10" s="18">
        <v>250</v>
      </c>
      <c r="P10" s="19">
        <f t="shared" si="6"/>
        <v>3000</v>
      </c>
    </row>
    <row r="11" spans="1:16" x14ac:dyDescent="0.25">
      <c r="A11" s="12" t="s">
        <v>15</v>
      </c>
      <c r="B11" s="27" t="s">
        <v>76</v>
      </c>
      <c r="C11" s="27" t="s">
        <v>77</v>
      </c>
      <c r="D11" s="13" t="s">
        <v>16</v>
      </c>
      <c r="E11" s="14"/>
      <c r="F11" s="15"/>
      <c r="G11" s="26">
        <v>45745</v>
      </c>
      <c r="H11" s="26">
        <v>45766</v>
      </c>
      <c r="I11" s="22">
        <f t="shared" si="4"/>
        <v>21</v>
      </c>
      <c r="J11" s="26">
        <v>45769</v>
      </c>
      <c r="K11" s="26">
        <v>45770</v>
      </c>
      <c r="L11" s="22">
        <f t="shared" si="0"/>
        <v>1</v>
      </c>
      <c r="M11" s="16">
        <v>10</v>
      </c>
      <c r="N11" s="17">
        <f t="shared" si="5"/>
        <v>12</v>
      </c>
      <c r="O11" s="18">
        <v>250</v>
      </c>
      <c r="P11" s="19">
        <f t="shared" si="6"/>
        <v>3000</v>
      </c>
    </row>
    <row r="12" spans="1:16" x14ac:dyDescent="0.25">
      <c r="A12" s="12" t="s">
        <v>15</v>
      </c>
      <c r="B12" s="27" t="s">
        <v>78</v>
      </c>
      <c r="C12" s="27" t="s">
        <v>79</v>
      </c>
      <c r="D12" s="13" t="s">
        <v>16</v>
      </c>
      <c r="E12" s="14"/>
      <c r="F12" s="15"/>
      <c r="G12" s="26">
        <v>45745</v>
      </c>
      <c r="H12" s="26">
        <v>45766</v>
      </c>
      <c r="I12" s="22">
        <f t="shared" si="4"/>
        <v>21</v>
      </c>
      <c r="J12" s="26">
        <v>45769</v>
      </c>
      <c r="K12" s="26">
        <v>45772</v>
      </c>
      <c r="L12" s="22">
        <f t="shared" si="0"/>
        <v>3</v>
      </c>
      <c r="M12" s="16">
        <v>10</v>
      </c>
      <c r="N12" s="17">
        <f t="shared" si="5"/>
        <v>14</v>
      </c>
      <c r="O12" s="18">
        <v>250</v>
      </c>
      <c r="P12" s="19">
        <f t="shared" si="6"/>
        <v>3500</v>
      </c>
    </row>
    <row r="13" spans="1:16" x14ac:dyDescent="0.25">
      <c r="P13" s="21">
        <f>SUM(P4:P12)</f>
        <v>19500</v>
      </c>
    </row>
  </sheetData>
  <mergeCells count="2">
    <mergeCell ref="N1:O2"/>
    <mergeCell ref="P1:P2"/>
  </mergeCells>
  <conditionalFormatting sqref="B4">
    <cfRule type="duplicateValues" dxfId="804" priority="112"/>
    <cfRule type="duplicateValues" dxfId="803" priority="113"/>
    <cfRule type="duplicateValues" dxfId="802" priority="114"/>
    <cfRule type="duplicateValues" dxfId="801" priority="115"/>
    <cfRule type="duplicateValues" dxfId="800" priority="116"/>
    <cfRule type="duplicateValues" dxfId="799" priority="117"/>
    <cfRule type="duplicateValues" dxfId="798" priority="118"/>
    <cfRule type="duplicateValues" dxfId="797" priority="119"/>
    <cfRule type="duplicateValues" dxfId="796" priority="120"/>
    <cfRule type="duplicateValues" dxfId="795" priority="121"/>
    <cfRule type="duplicateValues" dxfId="794" priority="122"/>
    <cfRule type="duplicateValues" dxfId="793" priority="123"/>
    <cfRule type="duplicateValues" dxfId="792" priority="124"/>
    <cfRule type="duplicateValues" dxfId="791" priority="125"/>
    <cfRule type="duplicateValues" dxfId="790" priority="126"/>
    <cfRule type="duplicateValues" dxfId="789" priority="127"/>
    <cfRule type="duplicateValues" dxfId="788" priority="128"/>
    <cfRule type="duplicateValues" dxfId="787" priority="129"/>
    <cfRule type="duplicateValues" dxfId="786" priority="130"/>
    <cfRule type="duplicateValues" dxfId="785" priority="131"/>
    <cfRule type="duplicateValues" dxfId="784" priority="132"/>
    <cfRule type="duplicateValues" dxfId="783" priority="133"/>
    <cfRule type="duplicateValues" dxfId="782" priority="134"/>
    <cfRule type="duplicateValues" dxfId="781" priority="135"/>
    <cfRule type="duplicateValues" dxfId="780" priority="136"/>
    <cfRule type="duplicateValues" dxfId="779" priority="137"/>
    <cfRule type="duplicateValues" dxfId="778" priority="138"/>
    <cfRule type="duplicateValues" dxfId="777" priority="139"/>
    <cfRule type="duplicateValues" dxfId="776" priority="140"/>
    <cfRule type="duplicateValues" dxfId="775" priority="141"/>
    <cfRule type="duplicateValues" dxfId="774" priority="142"/>
    <cfRule type="duplicateValues" dxfId="773" priority="143"/>
    <cfRule type="duplicateValues" dxfId="772" priority="144"/>
    <cfRule type="duplicateValues" dxfId="771" priority="145"/>
    <cfRule type="duplicateValues" dxfId="770" priority="146"/>
    <cfRule type="duplicateValues" dxfId="769" priority="147"/>
    <cfRule type="duplicateValues" dxfId="768" priority="148"/>
    <cfRule type="duplicateValues" dxfId="767" priority="149"/>
  </conditionalFormatting>
  <conditionalFormatting sqref="B5">
    <cfRule type="duplicateValues" dxfId="766" priority="10"/>
    <cfRule type="duplicateValues" dxfId="765" priority="11"/>
    <cfRule type="duplicateValues" dxfId="764" priority="12"/>
    <cfRule type="duplicateValues" dxfId="763" priority="13"/>
    <cfRule type="duplicateValues" dxfId="762" priority="14"/>
    <cfRule type="duplicateValues" dxfId="761" priority="15"/>
    <cfRule type="duplicateValues" dxfId="760" priority="16"/>
    <cfRule type="duplicateValues" dxfId="759" priority="17"/>
    <cfRule type="duplicateValues" dxfId="758" priority="18"/>
    <cfRule type="duplicateValues" dxfId="757" priority="19"/>
    <cfRule type="duplicateValues" dxfId="756" priority="20"/>
    <cfRule type="duplicateValues" dxfId="755" priority="21"/>
    <cfRule type="duplicateValues" dxfId="754" priority="22"/>
    <cfRule type="duplicateValues" dxfId="753" priority="23"/>
    <cfRule type="duplicateValues" dxfId="752" priority="24"/>
    <cfRule type="duplicateValues" dxfId="751" priority="25"/>
    <cfRule type="duplicateValues" dxfId="750" priority="26"/>
    <cfRule type="duplicateValues" dxfId="749" priority="27"/>
    <cfRule type="duplicateValues" dxfId="748" priority="28"/>
    <cfRule type="duplicateValues" dxfId="747" priority="29"/>
    <cfRule type="duplicateValues" dxfId="746" priority="30"/>
    <cfRule type="duplicateValues" dxfId="745" priority="31"/>
    <cfRule type="duplicateValues" dxfId="744" priority="32"/>
    <cfRule type="duplicateValues" dxfId="743" priority="33"/>
    <cfRule type="duplicateValues" dxfId="742" priority="34"/>
    <cfRule type="duplicateValues" dxfId="741" priority="35"/>
    <cfRule type="duplicateValues" dxfId="740" priority="36"/>
    <cfRule type="duplicateValues" dxfId="739" priority="37"/>
    <cfRule type="duplicateValues" dxfId="738" priority="38"/>
    <cfRule type="duplicateValues" dxfId="737" priority="39"/>
    <cfRule type="duplicateValues" dxfId="736" priority="40"/>
    <cfRule type="duplicateValues" dxfId="735" priority="41"/>
    <cfRule type="duplicateValues" dxfId="734" priority="42"/>
  </conditionalFormatting>
  <conditionalFormatting sqref="B6">
    <cfRule type="duplicateValues" dxfId="733" priority="75"/>
    <cfRule type="duplicateValues" dxfId="732" priority="76"/>
    <cfRule type="duplicateValues" dxfId="731" priority="77"/>
    <cfRule type="duplicateValues" dxfId="730" priority="78"/>
    <cfRule type="duplicateValues" dxfId="729" priority="79"/>
    <cfRule type="duplicateValues" dxfId="728" priority="80"/>
    <cfRule type="duplicateValues" dxfId="727" priority="81"/>
    <cfRule type="duplicateValues" dxfId="726" priority="82"/>
    <cfRule type="duplicateValues" dxfId="725" priority="83"/>
    <cfRule type="duplicateValues" dxfId="724" priority="84"/>
    <cfRule type="duplicateValues" dxfId="723" priority="85"/>
    <cfRule type="duplicateValues" dxfId="722" priority="86"/>
    <cfRule type="duplicateValues" dxfId="721" priority="87"/>
    <cfRule type="duplicateValues" dxfId="720" priority="88"/>
    <cfRule type="duplicateValues" dxfId="719" priority="89"/>
    <cfRule type="duplicateValues" dxfId="718" priority="90"/>
    <cfRule type="duplicateValues" dxfId="717" priority="91"/>
    <cfRule type="duplicateValues" dxfId="716" priority="92"/>
    <cfRule type="duplicateValues" dxfId="715" priority="93"/>
    <cfRule type="duplicateValues" dxfId="714" priority="94"/>
    <cfRule type="duplicateValues" dxfId="713" priority="95"/>
    <cfRule type="duplicateValues" dxfId="712" priority="96"/>
    <cfRule type="duplicateValues" dxfId="711" priority="97"/>
    <cfRule type="duplicateValues" dxfId="710" priority="98"/>
    <cfRule type="duplicateValues" dxfId="709" priority="99"/>
    <cfRule type="duplicateValues" dxfId="708" priority="100"/>
    <cfRule type="duplicateValues" dxfId="707" priority="101"/>
    <cfRule type="duplicateValues" dxfId="706" priority="102"/>
    <cfRule type="duplicateValues" dxfId="705" priority="103"/>
    <cfRule type="duplicateValues" dxfId="704" priority="104"/>
    <cfRule type="duplicateValues" dxfId="703" priority="105"/>
    <cfRule type="duplicateValues" dxfId="702" priority="106"/>
    <cfRule type="duplicateValues" dxfId="701" priority="107"/>
    <cfRule type="duplicateValues" dxfId="700" priority="108"/>
    <cfRule type="duplicateValues" dxfId="699" priority="109"/>
    <cfRule type="duplicateValues" dxfId="698" priority="110"/>
    <cfRule type="duplicateValues" dxfId="697" priority="111"/>
  </conditionalFormatting>
  <conditionalFormatting sqref="B7:B9">
    <cfRule type="duplicateValues" dxfId="696" priority="305"/>
    <cfRule type="duplicateValues" dxfId="695" priority="306"/>
    <cfRule type="duplicateValues" dxfId="694" priority="307"/>
    <cfRule type="duplicateValues" dxfId="693" priority="308"/>
    <cfRule type="duplicateValues" dxfId="692" priority="309"/>
    <cfRule type="duplicateValues" dxfId="691" priority="310"/>
    <cfRule type="duplicateValues" dxfId="690" priority="311"/>
    <cfRule type="duplicateValues" dxfId="689" priority="312"/>
    <cfRule type="duplicateValues" dxfId="688" priority="313"/>
    <cfRule type="duplicateValues" dxfId="687" priority="314"/>
    <cfRule type="duplicateValues" dxfId="686" priority="315"/>
    <cfRule type="duplicateValues" dxfId="685" priority="316"/>
    <cfRule type="duplicateValues" dxfId="684" priority="317"/>
    <cfRule type="duplicateValues" dxfId="683" priority="318"/>
    <cfRule type="duplicateValues" dxfId="682" priority="319"/>
    <cfRule type="duplicateValues" dxfId="681" priority="320"/>
    <cfRule type="duplicateValues" dxfId="680" priority="321"/>
    <cfRule type="duplicateValues" dxfId="679" priority="322"/>
    <cfRule type="duplicateValues" dxfId="678" priority="323"/>
    <cfRule type="duplicateValues" dxfId="677" priority="324"/>
    <cfRule type="duplicateValues" dxfId="676" priority="325"/>
    <cfRule type="duplicateValues" dxfId="675" priority="326"/>
    <cfRule type="duplicateValues" dxfId="674" priority="327"/>
    <cfRule type="duplicateValues" dxfId="673" priority="328"/>
    <cfRule type="duplicateValues" dxfId="672" priority="329"/>
    <cfRule type="duplicateValues" dxfId="671" priority="330"/>
    <cfRule type="duplicateValues" dxfId="670" priority="331"/>
    <cfRule type="duplicateValues" dxfId="669" priority="332"/>
    <cfRule type="duplicateValues" dxfId="668" priority="333"/>
    <cfRule type="duplicateValues" dxfId="667" priority="334"/>
    <cfRule type="duplicateValues" dxfId="666" priority="335"/>
    <cfRule type="duplicateValues" dxfId="665" priority="336"/>
  </conditionalFormatting>
  <conditionalFormatting sqref="B3:D3">
    <cfRule type="duplicateValues" dxfId="664" priority="206"/>
    <cfRule type="duplicateValues" dxfId="663" priority="299"/>
    <cfRule type="duplicateValues" dxfId="662" priority="300"/>
    <cfRule type="duplicateValues" dxfId="661" priority="301"/>
    <cfRule type="duplicateValues" dxfId="660" priority="302"/>
    <cfRule type="duplicateValues" dxfId="659" priority="303"/>
    <cfRule type="duplicateValues" dxfId="658" priority="304"/>
  </conditionalFormatting>
  <conditionalFormatting sqref="C2 B3">
    <cfRule type="duplicateValues" dxfId="657" priority="297"/>
  </conditionalFormatting>
  <conditionalFormatting sqref="C4">
    <cfRule type="duplicateValues" dxfId="656" priority="8"/>
    <cfRule type="duplicateValues" dxfId="655" priority="9"/>
  </conditionalFormatting>
  <conditionalFormatting sqref="C4:C9">
    <cfRule type="containsText" dxfId="654" priority="1" operator="containsText" text="TBA">
      <formula>NOT(ISERROR(SEARCH("TBA",C4)))</formula>
    </cfRule>
  </conditionalFormatting>
  <conditionalFormatting sqref="C5">
    <cfRule type="duplicateValues" dxfId="653" priority="2"/>
    <cfRule type="duplicateValues" dxfId="652" priority="3"/>
  </conditionalFormatting>
  <conditionalFormatting sqref="C6">
    <cfRule type="duplicateValues" dxfId="651" priority="6"/>
    <cfRule type="duplicateValues" dxfId="650" priority="7"/>
  </conditionalFormatting>
  <conditionalFormatting sqref="C7:C9">
    <cfRule type="duplicateValues" dxfId="649" priority="337"/>
    <cfRule type="duplicateValues" dxfId="648" priority="338"/>
  </conditionalFormatting>
  <conditionalFormatting sqref="E1:E2">
    <cfRule type="duplicateValues" dxfId="647" priority="204"/>
    <cfRule type="duplicateValues" dxfId="646" priority="213"/>
    <cfRule type="duplicateValues" dxfId="645" priority="214"/>
    <cfRule type="duplicateValues" dxfId="644" priority="215"/>
  </conditionalFormatting>
  <dataValidations count="1">
    <dataValidation type="date" operator="greaterThan" allowBlank="1" showInputMessage="1" showErrorMessage="1" sqref="G4:H12 J4:K12" xr:uid="{D92F2E3C-BACD-4C29-AF1D-250A5E56E6F3}">
      <formula1>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8ED5-5BEF-403B-9C34-EF99BFA54574}">
  <dimension ref="A1:P8"/>
  <sheetViews>
    <sheetView workbookViewId="0">
      <selection activeCell="O4" sqref="O4:P7"/>
    </sheetView>
  </sheetViews>
  <sheetFormatPr defaultRowHeight="15" x14ac:dyDescent="0.25"/>
  <cols>
    <col min="2" max="2" width="13.42578125" bestFit="1" customWidth="1"/>
    <col min="7" max="7" width="9.140625" customWidth="1"/>
    <col min="10" max="10" width="11.7109375" customWidth="1"/>
    <col min="11" max="11" width="9.85546875" customWidth="1"/>
  </cols>
  <sheetData>
    <row r="1" spans="1:16" ht="17.2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2" t="s">
        <v>1</v>
      </c>
      <c r="O1" s="43"/>
      <c r="P1" s="46">
        <f>SUM(P4:P7)</f>
        <v>4500</v>
      </c>
    </row>
    <row r="2" spans="1:16" ht="17.25" customHeight="1" x14ac:dyDescent="0.25">
      <c r="A2" s="4" t="s">
        <v>20</v>
      </c>
      <c r="B2" s="5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44"/>
      <c r="O2" s="45"/>
      <c r="P2" s="47"/>
    </row>
    <row r="3" spans="1:16" s="11" customFormat="1" ht="55.9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  <c r="I3" s="9" t="s">
        <v>10</v>
      </c>
      <c r="J3" s="9" t="s">
        <v>18</v>
      </c>
      <c r="K3" s="9" t="s">
        <v>19</v>
      </c>
      <c r="L3" s="9" t="s">
        <v>61</v>
      </c>
      <c r="M3" s="10" t="s">
        <v>11</v>
      </c>
      <c r="N3" s="10" t="s">
        <v>12</v>
      </c>
      <c r="O3" s="10" t="s">
        <v>13</v>
      </c>
      <c r="P3" s="10" t="s">
        <v>14</v>
      </c>
    </row>
    <row r="4" spans="1:16" s="20" customFormat="1" ht="17.25" customHeight="1" x14ac:dyDescent="0.25">
      <c r="A4" s="12" t="s">
        <v>15</v>
      </c>
      <c r="B4" s="23" t="s">
        <v>41</v>
      </c>
      <c r="C4" s="23" t="s">
        <v>42</v>
      </c>
      <c r="D4" s="13" t="s">
        <v>16</v>
      </c>
      <c r="E4" s="14"/>
      <c r="F4" s="15"/>
      <c r="G4" s="24">
        <v>45755</v>
      </c>
      <c r="H4" s="24">
        <v>45771</v>
      </c>
      <c r="I4" s="22">
        <f>H4-G4</f>
        <v>16</v>
      </c>
      <c r="J4" s="24">
        <v>45774</v>
      </c>
      <c r="K4" s="24"/>
      <c r="L4" s="22">
        <f>K4-J4</f>
        <v>-45774</v>
      </c>
      <c r="M4" s="16">
        <v>10</v>
      </c>
      <c r="N4" s="17">
        <f>MAX(0,I4+L4-M4)</f>
        <v>0</v>
      </c>
      <c r="O4" s="18">
        <v>250</v>
      </c>
      <c r="P4" s="19">
        <f t="shared" ref="P4:P7" si="0">+N4*O4</f>
        <v>0</v>
      </c>
    </row>
    <row r="5" spans="1:16" s="20" customFormat="1" ht="17.25" customHeight="1" x14ac:dyDescent="0.25">
      <c r="A5" s="12" t="s">
        <v>15</v>
      </c>
      <c r="B5" s="23" t="s">
        <v>43</v>
      </c>
      <c r="C5" s="23" t="s">
        <v>44</v>
      </c>
      <c r="D5" s="13" t="s">
        <v>16</v>
      </c>
      <c r="E5" s="14"/>
      <c r="F5" s="15"/>
      <c r="G5" s="24">
        <v>45753</v>
      </c>
      <c r="H5" s="24">
        <v>45771</v>
      </c>
      <c r="I5" s="22">
        <f>H5-G5</f>
        <v>18</v>
      </c>
      <c r="J5" s="24">
        <v>45774</v>
      </c>
      <c r="K5" s="24"/>
      <c r="L5" s="22">
        <f t="shared" ref="L5:L7" si="1">K5-J5</f>
        <v>-45774</v>
      </c>
      <c r="M5" s="16">
        <v>10</v>
      </c>
      <c r="N5" s="17">
        <f t="shared" ref="N5:N7" si="2">MAX(0,I5+L5-M5)</f>
        <v>0</v>
      </c>
      <c r="O5" s="18">
        <v>250</v>
      </c>
      <c r="P5" s="19">
        <f t="shared" si="0"/>
        <v>0</v>
      </c>
    </row>
    <row r="6" spans="1:16" s="20" customFormat="1" ht="17.25" customHeight="1" x14ac:dyDescent="0.25">
      <c r="A6" s="12" t="s">
        <v>15</v>
      </c>
      <c r="B6" s="23" t="s">
        <v>45</v>
      </c>
      <c r="C6" s="23" t="s">
        <v>46</v>
      </c>
      <c r="D6" s="13" t="s">
        <v>16</v>
      </c>
      <c r="E6" s="14"/>
      <c r="F6" s="15"/>
      <c r="G6" s="24">
        <v>45753</v>
      </c>
      <c r="H6" s="24">
        <v>45771</v>
      </c>
      <c r="I6" s="22">
        <f t="shared" ref="I6:I7" si="3">H6-G6</f>
        <v>18</v>
      </c>
      <c r="J6" s="24"/>
      <c r="K6" s="24"/>
      <c r="L6" s="22">
        <f t="shared" si="1"/>
        <v>0</v>
      </c>
      <c r="M6" s="16">
        <v>10</v>
      </c>
      <c r="N6" s="17">
        <f t="shared" si="2"/>
        <v>8</v>
      </c>
      <c r="O6" s="18">
        <v>250</v>
      </c>
      <c r="P6" s="19">
        <f t="shared" si="0"/>
        <v>2000</v>
      </c>
    </row>
    <row r="7" spans="1:16" s="20" customFormat="1" ht="17.25" customHeight="1" x14ac:dyDescent="0.25">
      <c r="A7" s="12" t="s">
        <v>15</v>
      </c>
      <c r="B7" s="23" t="s">
        <v>47</v>
      </c>
      <c r="C7" s="23" t="s">
        <v>48</v>
      </c>
      <c r="D7" s="13" t="s">
        <v>16</v>
      </c>
      <c r="E7" s="14"/>
      <c r="F7" s="15"/>
      <c r="G7" s="24">
        <v>45748</v>
      </c>
      <c r="H7" s="24">
        <v>45765</v>
      </c>
      <c r="I7" s="22">
        <f t="shared" si="3"/>
        <v>17</v>
      </c>
      <c r="J7" s="24">
        <v>45767</v>
      </c>
      <c r="K7" s="24">
        <v>45770</v>
      </c>
      <c r="L7" s="22">
        <f t="shared" si="1"/>
        <v>3</v>
      </c>
      <c r="M7" s="16">
        <v>10</v>
      </c>
      <c r="N7" s="17">
        <f t="shared" si="2"/>
        <v>10</v>
      </c>
      <c r="O7" s="18">
        <v>250</v>
      </c>
      <c r="P7" s="19">
        <f t="shared" si="0"/>
        <v>2500</v>
      </c>
    </row>
    <row r="8" spans="1:16" x14ac:dyDescent="0.25">
      <c r="P8" s="21">
        <f>SUM(P4:P7)</f>
        <v>4500</v>
      </c>
    </row>
  </sheetData>
  <mergeCells count="2">
    <mergeCell ref="N1:O2"/>
    <mergeCell ref="P1:P2"/>
  </mergeCells>
  <conditionalFormatting sqref="B4">
    <cfRule type="duplicateValues" dxfId="643" priority="112"/>
    <cfRule type="duplicateValues" dxfId="642" priority="113"/>
    <cfRule type="duplicateValues" dxfId="641" priority="114"/>
    <cfRule type="duplicateValues" dxfId="640" priority="115"/>
    <cfRule type="duplicateValues" dxfId="639" priority="116"/>
    <cfRule type="duplicateValues" dxfId="638" priority="117"/>
    <cfRule type="duplicateValues" dxfId="637" priority="118"/>
    <cfRule type="duplicateValues" dxfId="636" priority="119"/>
    <cfRule type="duplicateValues" dxfId="635" priority="120"/>
    <cfRule type="duplicateValues" dxfId="634" priority="121"/>
    <cfRule type="duplicateValues" dxfId="633" priority="122"/>
    <cfRule type="duplicateValues" dxfId="632" priority="123"/>
    <cfRule type="duplicateValues" dxfId="631" priority="124"/>
    <cfRule type="duplicateValues" dxfId="630" priority="125"/>
    <cfRule type="duplicateValues" dxfId="629" priority="126"/>
    <cfRule type="duplicateValues" dxfId="628" priority="127"/>
    <cfRule type="duplicateValues" dxfId="627" priority="128"/>
    <cfRule type="duplicateValues" dxfId="626" priority="129"/>
    <cfRule type="duplicateValues" dxfId="625" priority="130"/>
    <cfRule type="duplicateValues" dxfId="624" priority="131"/>
    <cfRule type="duplicateValues" dxfId="623" priority="132"/>
    <cfRule type="duplicateValues" dxfId="622" priority="133"/>
    <cfRule type="duplicateValues" dxfId="621" priority="134"/>
    <cfRule type="duplicateValues" dxfId="620" priority="135"/>
    <cfRule type="duplicateValues" dxfId="619" priority="136"/>
    <cfRule type="duplicateValues" dxfId="618" priority="137"/>
    <cfRule type="duplicateValues" dxfId="617" priority="138"/>
    <cfRule type="duplicateValues" dxfId="616" priority="139"/>
    <cfRule type="duplicateValues" dxfId="615" priority="140"/>
    <cfRule type="duplicateValues" dxfId="614" priority="141"/>
    <cfRule type="duplicateValues" dxfId="613" priority="142"/>
    <cfRule type="duplicateValues" dxfId="612" priority="143"/>
    <cfRule type="duplicateValues" dxfId="611" priority="144"/>
    <cfRule type="duplicateValues" dxfId="610" priority="145"/>
    <cfRule type="duplicateValues" dxfId="609" priority="146"/>
    <cfRule type="duplicateValues" dxfId="608" priority="147"/>
    <cfRule type="duplicateValues" dxfId="607" priority="148"/>
    <cfRule type="duplicateValues" dxfId="606" priority="149"/>
  </conditionalFormatting>
  <conditionalFormatting sqref="B5">
    <cfRule type="duplicateValues" dxfId="605" priority="10"/>
    <cfRule type="duplicateValues" dxfId="604" priority="11"/>
    <cfRule type="duplicateValues" dxfId="603" priority="12"/>
    <cfRule type="duplicateValues" dxfId="602" priority="13"/>
    <cfRule type="duplicateValues" dxfId="601" priority="14"/>
    <cfRule type="duplicateValues" dxfId="600" priority="15"/>
    <cfRule type="duplicateValues" dxfId="599" priority="16"/>
    <cfRule type="duplicateValues" dxfId="598" priority="17"/>
    <cfRule type="duplicateValues" dxfId="597" priority="18"/>
    <cfRule type="duplicateValues" dxfId="596" priority="19"/>
    <cfRule type="duplicateValues" dxfId="595" priority="20"/>
    <cfRule type="duplicateValues" dxfId="594" priority="21"/>
    <cfRule type="duplicateValues" dxfId="593" priority="22"/>
    <cfRule type="duplicateValues" dxfId="592" priority="23"/>
    <cfRule type="duplicateValues" dxfId="591" priority="24"/>
    <cfRule type="duplicateValues" dxfId="590" priority="25"/>
    <cfRule type="duplicateValues" dxfId="589" priority="26"/>
    <cfRule type="duplicateValues" dxfId="588" priority="27"/>
    <cfRule type="duplicateValues" dxfId="587" priority="28"/>
    <cfRule type="duplicateValues" dxfId="586" priority="29"/>
    <cfRule type="duplicateValues" dxfId="585" priority="30"/>
    <cfRule type="duplicateValues" dxfId="584" priority="31"/>
    <cfRule type="duplicateValues" dxfId="583" priority="32"/>
    <cfRule type="duplicateValues" dxfId="582" priority="33"/>
    <cfRule type="duplicateValues" dxfId="581" priority="34"/>
    <cfRule type="duplicateValues" dxfId="580" priority="35"/>
    <cfRule type="duplicateValues" dxfId="579" priority="36"/>
    <cfRule type="duplicateValues" dxfId="578" priority="37"/>
    <cfRule type="duplicateValues" dxfId="577" priority="38"/>
    <cfRule type="duplicateValues" dxfId="576" priority="39"/>
    <cfRule type="duplicateValues" dxfId="575" priority="40"/>
    <cfRule type="duplicateValues" dxfId="574" priority="41"/>
    <cfRule type="duplicateValues" dxfId="573" priority="42"/>
  </conditionalFormatting>
  <conditionalFormatting sqref="B6">
    <cfRule type="duplicateValues" dxfId="572" priority="75"/>
    <cfRule type="duplicateValues" dxfId="571" priority="76"/>
    <cfRule type="duplicateValues" dxfId="570" priority="77"/>
    <cfRule type="duplicateValues" dxfId="569" priority="78"/>
    <cfRule type="duplicateValues" dxfId="568" priority="79"/>
    <cfRule type="duplicateValues" dxfId="567" priority="80"/>
    <cfRule type="duplicateValues" dxfId="566" priority="81"/>
    <cfRule type="duplicateValues" dxfId="565" priority="82"/>
    <cfRule type="duplicateValues" dxfId="564" priority="83"/>
    <cfRule type="duplicateValues" dxfId="563" priority="84"/>
    <cfRule type="duplicateValues" dxfId="562" priority="85"/>
    <cfRule type="duplicateValues" dxfId="561" priority="86"/>
    <cfRule type="duplicateValues" dxfId="560" priority="87"/>
    <cfRule type="duplicateValues" dxfId="559" priority="88"/>
    <cfRule type="duplicateValues" dxfId="558" priority="89"/>
    <cfRule type="duplicateValues" dxfId="557" priority="90"/>
    <cfRule type="duplicateValues" dxfId="556" priority="91"/>
    <cfRule type="duplicateValues" dxfId="555" priority="92"/>
    <cfRule type="duplicateValues" dxfId="554" priority="93"/>
    <cfRule type="duplicateValues" dxfId="553" priority="94"/>
    <cfRule type="duplicateValues" dxfId="552" priority="95"/>
    <cfRule type="duplicateValues" dxfId="551" priority="96"/>
    <cfRule type="duplicateValues" dxfId="550" priority="97"/>
    <cfRule type="duplicateValues" dxfId="549" priority="98"/>
    <cfRule type="duplicateValues" dxfId="548" priority="99"/>
    <cfRule type="duplicateValues" dxfId="547" priority="100"/>
    <cfRule type="duplicateValues" dxfId="546" priority="101"/>
    <cfRule type="duplicateValues" dxfId="545" priority="102"/>
    <cfRule type="duplicateValues" dxfId="544" priority="103"/>
    <cfRule type="duplicateValues" dxfId="543" priority="104"/>
    <cfRule type="duplicateValues" dxfId="542" priority="105"/>
    <cfRule type="duplicateValues" dxfId="541" priority="106"/>
    <cfRule type="duplicateValues" dxfId="540" priority="107"/>
    <cfRule type="duplicateValues" dxfId="539" priority="108"/>
    <cfRule type="duplicateValues" dxfId="538" priority="109"/>
    <cfRule type="duplicateValues" dxfId="537" priority="110"/>
    <cfRule type="duplicateValues" dxfId="536" priority="111"/>
  </conditionalFormatting>
  <conditionalFormatting sqref="B7">
    <cfRule type="duplicateValues" dxfId="535" priority="43"/>
    <cfRule type="duplicateValues" dxfId="534" priority="44"/>
    <cfRule type="duplicateValues" dxfId="533" priority="45"/>
    <cfRule type="duplicateValues" dxfId="532" priority="46"/>
    <cfRule type="duplicateValues" dxfId="531" priority="47"/>
    <cfRule type="duplicateValues" dxfId="530" priority="48"/>
    <cfRule type="duplicateValues" dxfId="529" priority="49"/>
    <cfRule type="duplicateValues" dxfId="528" priority="50"/>
    <cfRule type="duplicateValues" dxfId="527" priority="51"/>
    <cfRule type="duplicateValues" dxfId="526" priority="52"/>
    <cfRule type="duplicateValues" dxfId="525" priority="53"/>
    <cfRule type="duplicateValues" dxfId="524" priority="54"/>
    <cfRule type="duplicateValues" dxfId="523" priority="55"/>
    <cfRule type="duplicateValues" dxfId="522" priority="56"/>
    <cfRule type="duplicateValues" dxfId="521" priority="57"/>
    <cfRule type="duplicateValues" dxfId="520" priority="58"/>
    <cfRule type="duplicateValues" dxfId="519" priority="59"/>
    <cfRule type="duplicateValues" dxfId="518" priority="60"/>
    <cfRule type="duplicateValues" dxfId="517" priority="61"/>
    <cfRule type="duplicateValues" dxfId="516" priority="62"/>
    <cfRule type="duplicateValues" dxfId="515" priority="63"/>
    <cfRule type="duplicateValues" dxfId="514" priority="64"/>
    <cfRule type="duplicateValues" dxfId="513" priority="65"/>
    <cfRule type="duplicateValues" dxfId="512" priority="66"/>
    <cfRule type="duplicateValues" dxfId="511" priority="67"/>
    <cfRule type="duplicateValues" dxfId="510" priority="68"/>
    <cfRule type="duplicateValues" dxfId="509" priority="69"/>
    <cfRule type="duplicateValues" dxfId="508" priority="70"/>
    <cfRule type="duplicateValues" dxfId="507" priority="71"/>
    <cfRule type="duplicateValues" dxfId="506" priority="72"/>
    <cfRule type="duplicateValues" dxfId="505" priority="73"/>
    <cfRule type="duplicateValues" dxfId="504" priority="74"/>
  </conditionalFormatting>
  <conditionalFormatting sqref="B3:D3">
    <cfRule type="duplicateValues" dxfId="503" priority="151"/>
    <cfRule type="duplicateValues" dxfId="502" priority="156"/>
    <cfRule type="duplicateValues" dxfId="501" priority="157"/>
    <cfRule type="duplicateValues" dxfId="500" priority="158"/>
    <cfRule type="duplicateValues" dxfId="499" priority="159"/>
    <cfRule type="duplicateValues" dxfId="498" priority="160"/>
    <cfRule type="duplicateValues" dxfId="497" priority="161"/>
  </conditionalFormatting>
  <conditionalFormatting sqref="C2 B3">
    <cfRule type="duplicateValues" dxfId="496" priority="155"/>
  </conditionalFormatting>
  <conditionalFormatting sqref="C4">
    <cfRule type="duplicateValues" dxfId="495" priority="8"/>
    <cfRule type="duplicateValues" dxfId="494" priority="9"/>
  </conditionalFormatting>
  <conditionalFormatting sqref="C4:C7">
    <cfRule type="containsText" dxfId="493" priority="1" operator="containsText" text="TBA">
      <formula>NOT(ISERROR(SEARCH("TBA",C4)))</formula>
    </cfRule>
  </conditionalFormatting>
  <conditionalFormatting sqref="C5">
    <cfRule type="duplicateValues" dxfId="492" priority="2"/>
    <cfRule type="duplicateValues" dxfId="491" priority="3"/>
  </conditionalFormatting>
  <conditionalFormatting sqref="C6">
    <cfRule type="duplicateValues" dxfId="490" priority="6"/>
    <cfRule type="duplicateValues" dxfId="489" priority="7"/>
  </conditionalFormatting>
  <conditionalFormatting sqref="C7">
    <cfRule type="duplicateValues" dxfId="488" priority="4"/>
    <cfRule type="duplicateValues" dxfId="487" priority="5"/>
  </conditionalFormatting>
  <conditionalFormatting sqref="E1:E2">
    <cfRule type="duplicateValues" dxfId="486" priority="150"/>
    <cfRule type="duplicateValues" dxfId="485" priority="152"/>
    <cfRule type="duplicateValues" dxfId="484" priority="153"/>
    <cfRule type="duplicateValues" dxfId="483" priority="154"/>
  </conditionalFormatting>
  <dataValidations count="1">
    <dataValidation type="date" operator="greaterThan" allowBlank="1" showInputMessage="1" showErrorMessage="1" sqref="G4:H7 J4:K7" xr:uid="{C9B32780-68B4-40C0-8F33-15806DEB8A1B}">
      <formula1>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1037-2879-492C-8701-FEBEA397FB70}">
  <dimension ref="A1:P10"/>
  <sheetViews>
    <sheetView workbookViewId="0">
      <selection activeCell="O4" sqref="O4:P9"/>
    </sheetView>
  </sheetViews>
  <sheetFormatPr defaultRowHeight="15" x14ac:dyDescent="0.25"/>
  <cols>
    <col min="2" max="2" width="13.42578125" bestFit="1" customWidth="1"/>
    <col min="7" max="7" width="9.140625" customWidth="1"/>
    <col min="10" max="10" width="11.7109375" customWidth="1"/>
    <col min="11" max="11" width="9.85546875" customWidth="1"/>
  </cols>
  <sheetData>
    <row r="1" spans="1:16" ht="17.2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2" t="s">
        <v>1</v>
      </c>
      <c r="O1" s="43"/>
      <c r="P1" s="46">
        <f>SUM(P4:P7)</f>
        <v>0</v>
      </c>
    </row>
    <row r="2" spans="1:16" ht="17.25" customHeight="1" x14ac:dyDescent="0.25">
      <c r="A2" s="4" t="s">
        <v>20</v>
      </c>
      <c r="B2" s="5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44"/>
      <c r="O2" s="45"/>
      <c r="P2" s="47"/>
    </row>
    <row r="3" spans="1:16" s="11" customFormat="1" ht="55.9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  <c r="I3" s="9" t="s">
        <v>10</v>
      </c>
      <c r="J3" s="9" t="s">
        <v>18</v>
      </c>
      <c r="K3" s="9" t="s">
        <v>19</v>
      </c>
      <c r="L3" s="9" t="s">
        <v>61</v>
      </c>
      <c r="M3" s="10" t="s">
        <v>11</v>
      </c>
      <c r="N3" s="10" t="s">
        <v>12</v>
      </c>
      <c r="O3" s="10" t="s">
        <v>13</v>
      </c>
      <c r="P3" s="10" t="s">
        <v>14</v>
      </c>
    </row>
    <row r="4" spans="1:16" s="20" customFormat="1" ht="17.25" customHeight="1" x14ac:dyDescent="0.25">
      <c r="A4" s="12" t="s">
        <v>15</v>
      </c>
      <c r="B4" s="23" t="s">
        <v>49</v>
      </c>
      <c r="C4" s="23" t="s">
        <v>50</v>
      </c>
      <c r="D4" s="13" t="s">
        <v>16</v>
      </c>
      <c r="E4" s="14"/>
      <c r="F4" s="15"/>
      <c r="G4" s="24">
        <v>45761</v>
      </c>
      <c r="H4" s="24">
        <v>45771</v>
      </c>
      <c r="I4" s="22">
        <f>H4-G4</f>
        <v>10</v>
      </c>
      <c r="J4" s="24"/>
      <c r="K4" s="24"/>
      <c r="L4" s="22">
        <f>K4-J4</f>
        <v>0</v>
      </c>
      <c r="M4" s="16">
        <v>10</v>
      </c>
      <c r="N4" s="17">
        <f>MAX(0,I4+L4-M4)</f>
        <v>0</v>
      </c>
      <c r="O4" s="18">
        <v>250</v>
      </c>
      <c r="P4" s="19">
        <f t="shared" ref="P4:P9" si="0">+N4*O4</f>
        <v>0</v>
      </c>
    </row>
    <row r="5" spans="1:16" s="20" customFormat="1" ht="17.25" customHeight="1" x14ac:dyDescent="0.25">
      <c r="A5" s="12" t="s">
        <v>15</v>
      </c>
      <c r="B5" s="23" t="s">
        <v>51</v>
      </c>
      <c r="C5" s="23" t="s">
        <v>52</v>
      </c>
      <c r="D5" s="13" t="s">
        <v>16</v>
      </c>
      <c r="E5" s="14"/>
      <c r="F5" s="15"/>
      <c r="G5" s="24">
        <v>45761</v>
      </c>
      <c r="H5" s="24"/>
      <c r="I5" s="22">
        <f>H5-G5</f>
        <v>-45761</v>
      </c>
      <c r="J5" s="24"/>
      <c r="K5" s="24"/>
      <c r="L5" s="22">
        <f t="shared" ref="L5:L9" si="1">K5-J5</f>
        <v>0</v>
      </c>
      <c r="M5" s="16">
        <v>10</v>
      </c>
      <c r="N5" s="17">
        <f t="shared" ref="N5:N9" si="2">MAX(0,I5+L5-M5)</f>
        <v>0</v>
      </c>
      <c r="O5" s="18">
        <v>250</v>
      </c>
      <c r="P5" s="19">
        <f t="shared" si="0"/>
        <v>0</v>
      </c>
    </row>
    <row r="6" spans="1:16" s="20" customFormat="1" ht="17.25" customHeight="1" x14ac:dyDescent="0.25">
      <c r="A6" s="12" t="s">
        <v>15</v>
      </c>
      <c r="B6" s="23" t="s">
        <v>53</v>
      </c>
      <c r="C6" s="23" t="s">
        <v>54</v>
      </c>
      <c r="D6" s="13" t="s">
        <v>16</v>
      </c>
      <c r="E6" s="14"/>
      <c r="F6" s="15"/>
      <c r="G6" s="24">
        <v>45764</v>
      </c>
      <c r="H6" s="24"/>
      <c r="I6" s="22">
        <f t="shared" ref="I6:I9" si="3">H6-G6</f>
        <v>-45764</v>
      </c>
      <c r="J6" s="24"/>
      <c r="K6" s="24"/>
      <c r="L6" s="22">
        <f t="shared" si="1"/>
        <v>0</v>
      </c>
      <c r="M6" s="16">
        <v>10</v>
      </c>
      <c r="N6" s="17">
        <f t="shared" si="2"/>
        <v>0</v>
      </c>
      <c r="O6" s="18">
        <v>250</v>
      </c>
      <c r="P6" s="19">
        <f t="shared" si="0"/>
        <v>0</v>
      </c>
    </row>
    <row r="7" spans="1:16" s="20" customFormat="1" ht="17.25" customHeight="1" x14ac:dyDescent="0.25">
      <c r="A7" s="12" t="s">
        <v>15</v>
      </c>
      <c r="B7" s="23" t="s">
        <v>55</v>
      </c>
      <c r="C7" s="23" t="s">
        <v>56</v>
      </c>
      <c r="D7" s="13" t="s">
        <v>16</v>
      </c>
      <c r="E7" s="14"/>
      <c r="F7" s="15"/>
      <c r="G7" s="24">
        <v>45761</v>
      </c>
      <c r="H7" s="24"/>
      <c r="I7" s="22">
        <f t="shared" si="3"/>
        <v>-45761</v>
      </c>
      <c r="J7" s="24"/>
      <c r="K7" s="24"/>
      <c r="L7" s="22">
        <f t="shared" si="1"/>
        <v>0</v>
      </c>
      <c r="M7" s="16">
        <v>10</v>
      </c>
      <c r="N7" s="17">
        <f t="shared" si="2"/>
        <v>0</v>
      </c>
      <c r="O7" s="18">
        <v>250</v>
      </c>
      <c r="P7" s="19">
        <f t="shared" si="0"/>
        <v>0</v>
      </c>
    </row>
    <row r="8" spans="1:16" s="20" customFormat="1" ht="17.25" customHeight="1" x14ac:dyDescent="0.25">
      <c r="A8" s="12" t="s">
        <v>15</v>
      </c>
      <c r="B8" s="23" t="s">
        <v>57</v>
      </c>
      <c r="C8" s="23" t="s">
        <v>58</v>
      </c>
      <c r="D8" s="13" t="s">
        <v>16</v>
      </c>
      <c r="E8" s="14"/>
      <c r="F8" s="15"/>
      <c r="G8" s="24">
        <v>45754</v>
      </c>
      <c r="H8" s="24">
        <v>45771</v>
      </c>
      <c r="I8" s="22">
        <f t="shared" si="3"/>
        <v>17</v>
      </c>
      <c r="J8" s="24">
        <v>45774</v>
      </c>
      <c r="K8" s="24"/>
      <c r="L8" s="22">
        <f t="shared" si="1"/>
        <v>-45774</v>
      </c>
      <c r="M8" s="16">
        <v>10</v>
      </c>
      <c r="N8" s="17">
        <f t="shared" si="2"/>
        <v>0</v>
      </c>
      <c r="O8" s="18">
        <v>250</v>
      </c>
      <c r="P8" s="19">
        <f t="shared" si="0"/>
        <v>0</v>
      </c>
    </row>
    <row r="9" spans="1:16" s="20" customFormat="1" ht="17.25" customHeight="1" x14ac:dyDescent="0.25">
      <c r="A9" s="12" t="s">
        <v>15</v>
      </c>
      <c r="B9" s="23" t="s">
        <v>59</v>
      </c>
      <c r="C9" s="23" t="s">
        <v>60</v>
      </c>
      <c r="D9" s="13" t="s">
        <v>16</v>
      </c>
      <c r="E9" s="14"/>
      <c r="F9" s="15"/>
      <c r="G9" s="24">
        <v>45754</v>
      </c>
      <c r="H9" s="24">
        <v>45771</v>
      </c>
      <c r="I9" s="22">
        <f t="shared" si="3"/>
        <v>17</v>
      </c>
      <c r="J9" s="24">
        <v>45774</v>
      </c>
      <c r="K9" s="24"/>
      <c r="L9" s="22">
        <f t="shared" si="1"/>
        <v>-45774</v>
      </c>
      <c r="M9" s="16">
        <v>10</v>
      </c>
      <c r="N9" s="17">
        <f t="shared" si="2"/>
        <v>0</v>
      </c>
      <c r="O9" s="18">
        <v>250</v>
      </c>
      <c r="P9" s="19">
        <f t="shared" si="0"/>
        <v>0</v>
      </c>
    </row>
    <row r="10" spans="1:16" x14ac:dyDescent="0.25">
      <c r="P10" s="21">
        <f>SUM(P4:P9)</f>
        <v>0</v>
      </c>
    </row>
  </sheetData>
  <mergeCells count="2">
    <mergeCell ref="N1:O2"/>
    <mergeCell ref="P1:P2"/>
  </mergeCells>
  <conditionalFormatting sqref="B4">
    <cfRule type="duplicateValues" dxfId="482" priority="78"/>
    <cfRule type="duplicateValues" dxfId="481" priority="79"/>
    <cfRule type="duplicateValues" dxfId="480" priority="80"/>
    <cfRule type="duplicateValues" dxfId="479" priority="81"/>
    <cfRule type="duplicateValues" dxfId="478" priority="82"/>
    <cfRule type="duplicateValues" dxfId="477" priority="83"/>
    <cfRule type="duplicateValues" dxfId="476" priority="84"/>
    <cfRule type="duplicateValues" dxfId="475" priority="85"/>
    <cfRule type="duplicateValues" dxfId="474" priority="86"/>
    <cfRule type="duplicateValues" dxfId="473" priority="87"/>
    <cfRule type="duplicateValues" dxfId="472" priority="88"/>
    <cfRule type="duplicateValues" dxfId="471" priority="89"/>
    <cfRule type="duplicateValues" dxfId="470" priority="90"/>
    <cfRule type="duplicateValues" dxfId="469" priority="91"/>
    <cfRule type="duplicateValues" dxfId="468" priority="92"/>
    <cfRule type="duplicateValues" dxfId="467" priority="93"/>
    <cfRule type="duplicateValues" dxfId="466" priority="94"/>
    <cfRule type="duplicateValues" dxfId="465" priority="95"/>
    <cfRule type="duplicateValues" dxfId="464" priority="96"/>
    <cfRule type="duplicateValues" dxfId="463" priority="97"/>
    <cfRule type="duplicateValues" dxfId="462" priority="98"/>
    <cfRule type="duplicateValues" dxfId="461" priority="99"/>
    <cfRule type="duplicateValues" dxfId="460" priority="100"/>
    <cfRule type="duplicateValues" dxfId="459" priority="101"/>
    <cfRule type="duplicateValues" dxfId="458" priority="102"/>
    <cfRule type="duplicateValues" dxfId="457" priority="103"/>
    <cfRule type="duplicateValues" dxfId="456" priority="104"/>
    <cfRule type="duplicateValues" dxfId="455" priority="105"/>
    <cfRule type="duplicateValues" dxfId="454" priority="106"/>
    <cfRule type="duplicateValues" dxfId="453" priority="107"/>
    <cfRule type="duplicateValues" dxfId="452" priority="108"/>
    <cfRule type="duplicateValues" dxfId="451" priority="109"/>
    <cfRule type="duplicateValues" dxfId="450" priority="110"/>
    <cfRule type="duplicateValues" dxfId="449" priority="111"/>
    <cfRule type="duplicateValues" dxfId="448" priority="112"/>
    <cfRule type="duplicateValues" dxfId="447" priority="113"/>
    <cfRule type="duplicateValues" dxfId="446" priority="114"/>
    <cfRule type="duplicateValues" dxfId="445" priority="115"/>
  </conditionalFormatting>
  <conditionalFormatting sqref="B5">
    <cfRule type="duplicateValues" dxfId="444" priority="8"/>
    <cfRule type="duplicateValues" dxfId="443" priority="9"/>
    <cfRule type="duplicateValues" dxfId="442" priority="10"/>
    <cfRule type="duplicateValues" dxfId="441" priority="11"/>
    <cfRule type="duplicateValues" dxfId="440" priority="12"/>
    <cfRule type="duplicateValues" dxfId="439" priority="13"/>
    <cfRule type="duplicateValues" dxfId="438" priority="14"/>
    <cfRule type="duplicateValues" dxfId="437" priority="15"/>
    <cfRule type="duplicateValues" dxfId="436" priority="16"/>
    <cfRule type="duplicateValues" dxfId="435" priority="17"/>
    <cfRule type="duplicateValues" dxfId="434" priority="18"/>
    <cfRule type="duplicateValues" dxfId="433" priority="19"/>
    <cfRule type="duplicateValues" dxfId="432" priority="20"/>
    <cfRule type="duplicateValues" dxfId="431" priority="21"/>
    <cfRule type="duplicateValues" dxfId="430" priority="22"/>
    <cfRule type="duplicateValues" dxfId="429" priority="23"/>
    <cfRule type="duplicateValues" dxfId="428" priority="24"/>
    <cfRule type="duplicateValues" dxfId="427" priority="25"/>
    <cfRule type="duplicateValues" dxfId="426" priority="26"/>
    <cfRule type="duplicateValues" dxfId="425" priority="27"/>
    <cfRule type="duplicateValues" dxfId="424" priority="28"/>
    <cfRule type="duplicateValues" dxfId="423" priority="29"/>
    <cfRule type="duplicateValues" dxfId="422" priority="30"/>
    <cfRule type="duplicateValues" dxfId="421" priority="31"/>
    <cfRule type="duplicateValues" dxfId="420" priority="32"/>
    <cfRule type="duplicateValues" dxfId="419" priority="33"/>
    <cfRule type="duplicateValues" dxfId="418" priority="34"/>
    <cfRule type="duplicateValues" dxfId="417" priority="35"/>
    <cfRule type="duplicateValues" dxfId="416" priority="36"/>
    <cfRule type="duplicateValues" dxfId="415" priority="37"/>
    <cfRule type="duplicateValues" dxfId="414" priority="38"/>
    <cfRule type="duplicateValues" dxfId="413" priority="39"/>
    <cfRule type="duplicateValues" dxfId="412" priority="40"/>
  </conditionalFormatting>
  <conditionalFormatting sqref="B6">
    <cfRule type="duplicateValues" dxfId="411" priority="41"/>
    <cfRule type="duplicateValues" dxfId="410" priority="42"/>
    <cfRule type="duplicateValues" dxfId="409" priority="43"/>
    <cfRule type="duplicateValues" dxfId="408" priority="44"/>
    <cfRule type="duplicateValues" dxfId="407" priority="45"/>
    <cfRule type="duplicateValues" dxfId="406" priority="46"/>
    <cfRule type="duplicateValues" dxfId="405" priority="47"/>
    <cfRule type="duplicateValues" dxfId="404" priority="48"/>
    <cfRule type="duplicateValues" dxfId="403" priority="49"/>
    <cfRule type="duplicateValues" dxfId="402" priority="50"/>
    <cfRule type="duplicateValues" dxfId="401" priority="51"/>
    <cfRule type="duplicateValues" dxfId="400" priority="52"/>
    <cfRule type="duplicateValues" dxfId="399" priority="53"/>
    <cfRule type="duplicateValues" dxfId="398" priority="54"/>
    <cfRule type="duplicateValues" dxfId="397" priority="55"/>
    <cfRule type="duplicateValues" dxfId="396" priority="56"/>
    <cfRule type="duplicateValues" dxfId="395" priority="57"/>
    <cfRule type="duplicateValues" dxfId="394" priority="58"/>
    <cfRule type="duplicateValues" dxfId="393" priority="59"/>
    <cfRule type="duplicateValues" dxfId="392" priority="60"/>
    <cfRule type="duplicateValues" dxfId="391" priority="61"/>
    <cfRule type="duplicateValues" dxfId="390" priority="62"/>
    <cfRule type="duplicateValues" dxfId="389" priority="63"/>
    <cfRule type="duplicateValues" dxfId="388" priority="64"/>
    <cfRule type="duplicateValues" dxfId="387" priority="65"/>
    <cfRule type="duplicateValues" dxfId="386" priority="66"/>
    <cfRule type="duplicateValues" dxfId="385" priority="67"/>
    <cfRule type="duplicateValues" dxfId="384" priority="68"/>
    <cfRule type="duplicateValues" dxfId="383" priority="69"/>
    <cfRule type="duplicateValues" dxfId="382" priority="70"/>
    <cfRule type="duplicateValues" dxfId="381" priority="71"/>
    <cfRule type="duplicateValues" dxfId="380" priority="72"/>
    <cfRule type="duplicateValues" dxfId="379" priority="73"/>
    <cfRule type="duplicateValues" dxfId="378" priority="74"/>
    <cfRule type="duplicateValues" dxfId="377" priority="75"/>
    <cfRule type="duplicateValues" dxfId="376" priority="76"/>
    <cfRule type="duplicateValues" dxfId="375" priority="77"/>
  </conditionalFormatting>
  <conditionalFormatting sqref="B7:B9">
    <cfRule type="duplicateValues" dxfId="374" priority="128"/>
    <cfRule type="duplicateValues" dxfId="373" priority="129"/>
    <cfRule type="duplicateValues" dxfId="372" priority="130"/>
    <cfRule type="duplicateValues" dxfId="371" priority="131"/>
    <cfRule type="duplicateValues" dxfId="370" priority="132"/>
    <cfRule type="duplicateValues" dxfId="369" priority="133"/>
    <cfRule type="duplicateValues" dxfId="368" priority="134"/>
    <cfRule type="duplicateValues" dxfId="367" priority="135"/>
    <cfRule type="duplicateValues" dxfId="366" priority="136"/>
    <cfRule type="duplicateValues" dxfId="365" priority="137"/>
    <cfRule type="duplicateValues" dxfId="364" priority="138"/>
    <cfRule type="duplicateValues" dxfId="363" priority="139"/>
    <cfRule type="duplicateValues" dxfId="362" priority="140"/>
    <cfRule type="duplicateValues" dxfId="361" priority="141"/>
    <cfRule type="duplicateValues" dxfId="360" priority="142"/>
    <cfRule type="duplicateValues" dxfId="359" priority="143"/>
    <cfRule type="duplicateValues" dxfId="358" priority="144"/>
    <cfRule type="duplicateValues" dxfId="357" priority="145"/>
    <cfRule type="duplicateValues" dxfId="356" priority="146"/>
    <cfRule type="duplicateValues" dxfId="355" priority="147"/>
    <cfRule type="duplicateValues" dxfId="354" priority="148"/>
    <cfRule type="duplicateValues" dxfId="353" priority="149"/>
    <cfRule type="duplicateValues" dxfId="352" priority="150"/>
    <cfRule type="duplicateValues" dxfId="351" priority="151"/>
    <cfRule type="duplicateValues" dxfId="350" priority="152"/>
    <cfRule type="duplicateValues" dxfId="349" priority="153"/>
    <cfRule type="duplicateValues" dxfId="348" priority="154"/>
    <cfRule type="duplicateValues" dxfId="347" priority="155"/>
    <cfRule type="duplicateValues" dxfId="346" priority="156"/>
    <cfRule type="duplicateValues" dxfId="345" priority="157"/>
    <cfRule type="duplicateValues" dxfId="344" priority="158"/>
    <cfRule type="duplicateValues" dxfId="343" priority="159"/>
  </conditionalFormatting>
  <conditionalFormatting sqref="B3:D3">
    <cfRule type="duplicateValues" dxfId="342" priority="117"/>
    <cfRule type="duplicateValues" dxfId="341" priority="122"/>
    <cfRule type="duplicateValues" dxfId="340" priority="123"/>
    <cfRule type="duplicateValues" dxfId="339" priority="124"/>
    <cfRule type="duplicateValues" dxfId="338" priority="125"/>
    <cfRule type="duplicateValues" dxfId="337" priority="126"/>
    <cfRule type="duplicateValues" dxfId="336" priority="127"/>
  </conditionalFormatting>
  <conditionalFormatting sqref="C2 B3">
    <cfRule type="duplicateValues" dxfId="335" priority="121"/>
  </conditionalFormatting>
  <conditionalFormatting sqref="C4">
    <cfRule type="duplicateValues" dxfId="334" priority="6"/>
    <cfRule type="duplicateValues" dxfId="333" priority="7"/>
  </conditionalFormatting>
  <conditionalFormatting sqref="C4:C9">
    <cfRule type="containsText" dxfId="332" priority="1" operator="containsText" text="TBA">
      <formula>NOT(ISERROR(SEARCH("TBA",C4)))</formula>
    </cfRule>
  </conditionalFormatting>
  <conditionalFormatting sqref="C5">
    <cfRule type="duplicateValues" dxfId="331" priority="2"/>
    <cfRule type="duplicateValues" dxfId="330" priority="3"/>
  </conditionalFormatting>
  <conditionalFormatting sqref="C6">
    <cfRule type="duplicateValues" dxfId="329" priority="4"/>
    <cfRule type="duplicateValues" dxfId="328" priority="5"/>
  </conditionalFormatting>
  <conditionalFormatting sqref="C7:C9">
    <cfRule type="duplicateValues" dxfId="327" priority="160"/>
    <cfRule type="duplicateValues" dxfId="326" priority="161"/>
  </conditionalFormatting>
  <conditionalFormatting sqref="E1:E2">
    <cfRule type="duplicateValues" dxfId="325" priority="116"/>
    <cfRule type="duplicateValues" dxfId="324" priority="118"/>
    <cfRule type="duplicateValues" dxfId="323" priority="119"/>
    <cfRule type="duplicateValues" dxfId="322" priority="120"/>
  </conditionalFormatting>
  <dataValidations count="1">
    <dataValidation type="date" operator="greaterThan" allowBlank="1" showInputMessage="1" showErrorMessage="1" sqref="G4:H9 J4:K9" xr:uid="{DCDBFCEB-8F10-4060-9E11-AFAE18C13C0E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54484-BA24-43F6-9913-6E8EAA9179C6}">
  <dimension ref="A1:P14"/>
  <sheetViews>
    <sheetView workbookViewId="0">
      <selection activeCell="L3" sqref="L3:M3"/>
    </sheetView>
  </sheetViews>
  <sheetFormatPr defaultRowHeight="15" x14ac:dyDescent="0.25"/>
  <cols>
    <col min="2" max="2" width="13.42578125" bestFit="1" customWidth="1"/>
    <col min="7" max="7" width="9.140625" customWidth="1"/>
    <col min="10" max="10" width="11.7109375" customWidth="1"/>
    <col min="11" max="11" width="9.85546875" customWidth="1"/>
  </cols>
  <sheetData>
    <row r="1" spans="1:16" ht="17.2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2" t="s">
        <v>1</v>
      </c>
      <c r="O1" s="43"/>
      <c r="P1" s="46">
        <f>SUM(P4:P10)</f>
        <v>0</v>
      </c>
    </row>
    <row r="2" spans="1:16" ht="17.25" customHeight="1" x14ac:dyDescent="0.25">
      <c r="A2" s="4" t="s">
        <v>20</v>
      </c>
      <c r="B2" s="5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44"/>
      <c r="O2" s="45"/>
      <c r="P2" s="47"/>
    </row>
    <row r="3" spans="1:16" s="11" customFormat="1" ht="55.9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  <c r="I3" s="9" t="s">
        <v>10</v>
      </c>
      <c r="J3" s="9" t="s">
        <v>18</v>
      </c>
      <c r="K3" s="9" t="s">
        <v>19</v>
      </c>
      <c r="L3" s="9" t="s">
        <v>61</v>
      </c>
      <c r="M3" s="10" t="s">
        <v>11</v>
      </c>
      <c r="N3" s="10" t="s">
        <v>12</v>
      </c>
      <c r="O3" s="10" t="s">
        <v>13</v>
      </c>
      <c r="P3" s="10" t="s">
        <v>14</v>
      </c>
    </row>
    <row r="4" spans="1:16" s="20" customFormat="1" ht="17.25" customHeight="1" x14ac:dyDescent="0.25">
      <c r="A4" s="12" t="s">
        <v>15</v>
      </c>
      <c r="B4" s="23" t="s">
        <v>21</v>
      </c>
      <c r="C4" s="23" t="s">
        <v>22</v>
      </c>
      <c r="D4" s="13" t="s">
        <v>16</v>
      </c>
      <c r="E4" s="14"/>
      <c r="F4" s="15"/>
      <c r="G4" s="26">
        <v>45767</v>
      </c>
      <c r="H4" s="26"/>
      <c r="I4" s="22">
        <f>H4-G4</f>
        <v>-45767</v>
      </c>
      <c r="J4" s="24"/>
      <c r="K4" s="24"/>
      <c r="L4" s="22">
        <f t="shared" ref="L4:L13" si="0">K4-J4</f>
        <v>0</v>
      </c>
      <c r="M4" s="16">
        <v>10</v>
      </c>
      <c r="N4" s="17">
        <f>MAX(0,I4+L4-M4)</f>
        <v>0</v>
      </c>
      <c r="O4" s="18">
        <v>250</v>
      </c>
      <c r="P4" s="19">
        <f>+N4*O4</f>
        <v>0</v>
      </c>
    </row>
    <row r="5" spans="1:16" s="20" customFormat="1" ht="17.25" customHeight="1" x14ac:dyDescent="0.25">
      <c r="A5" s="12" t="s">
        <v>15</v>
      </c>
      <c r="B5" s="23" t="s">
        <v>23</v>
      </c>
      <c r="C5" s="23" t="s">
        <v>24</v>
      </c>
      <c r="D5" s="13" t="s">
        <v>16</v>
      </c>
      <c r="E5" s="14"/>
      <c r="F5" s="15"/>
      <c r="G5" s="26"/>
      <c r="H5" s="26"/>
      <c r="I5" s="22">
        <f>H5-G5</f>
        <v>0</v>
      </c>
      <c r="J5" s="24"/>
      <c r="K5" s="24"/>
      <c r="L5" s="22">
        <f t="shared" si="0"/>
        <v>0</v>
      </c>
      <c r="M5" s="16">
        <v>10</v>
      </c>
      <c r="N5" s="17">
        <f t="shared" ref="N5:N13" si="1">MAX(0,I5+L5-M5)</f>
        <v>0</v>
      </c>
      <c r="O5" s="18">
        <v>250</v>
      </c>
      <c r="P5" s="19">
        <f t="shared" ref="P5:P13" si="2">+N5*O5</f>
        <v>0</v>
      </c>
    </row>
    <row r="6" spans="1:16" s="20" customFormat="1" ht="17.25" customHeight="1" x14ac:dyDescent="0.25">
      <c r="A6" s="12" t="s">
        <v>15</v>
      </c>
      <c r="B6" s="23" t="s">
        <v>25</v>
      </c>
      <c r="C6" s="23" t="s">
        <v>26</v>
      </c>
      <c r="D6" s="13" t="s">
        <v>16</v>
      </c>
      <c r="E6" s="14"/>
      <c r="F6" s="15"/>
      <c r="G6" s="26">
        <v>45771</v>
      </c>
      <c r="H6" s="26"/>
      <c r="I6" s="22">
        <f t="shared" ref="I6:I13" si="3">H6-G6</f>
        <v>-45771</v>
      </c>
      <c r="J6" s="24"/>
      <c r="K6" s="24"/>
      <c r="L6" s="22">
        <f t="shared" si="0"/>
        <v>0</v>
      </c>
      <c r="M6" s="16">
        <v>10</v>
      </c>
      <c r="N6" s="17">
        <f t="shared" si="1"/>
        <v>0</v>
      </c>
      <c r="O6" s="18">
        <v>250</v>
      </c>
      <c r="P6" s="19">
        <f t="shared" si="2"/>
        <v>0</v>
      </c>
    </row>
    <row r="7" spans="1:16" s="20" customFormat="1" ht="17.25" customHeight="1" x14ac:dyDescent="0.25">
      <c r="A7" s="12" t="s">
        <v>15</v>
      </c>
      <c r="B7" s="23" t="s">
        <v>27</v>
      </c>
      <c r="C7" s="23" t="s">
        <v>28</v>
      </c>
      <c r="D7" s="13" t="s">
        <v>16</v>
      </c>
      <c r="E7" s="14"/>
      <c r="F7" s="15"/>
      <c r="G7" s="26">
        <v>45771</v>
      </c>
      <c r="H7" s="26"/>
      <c r="I7" s="22">
        <f t="shared" si="3"/>
        <v>-45771</v>
      </c>
      <c r="J7" s="24"/>
      <c r="K7" s="24"/>
      <c r="L7" s="22">
        <f t="shared" si="0"/>
        <v>0</v>
      </c>
      <c r="M7" s="16">
        <v>10</v>
      </c>
      <c r="N7" s="17">
        <f t="shared" si="1"/>
        <v>0</v>
      </c>
      <c r="O7" s="18">
        <v>250</v>
      </c>
      <c r="P7" s="19">
        <f t="shared" si="2"/>
        <v>0</v>
      </c>
    </row>
    <row r="8" spans="1:16" s="20" customFormat="1" ht="17.25" customHeight="1" x14ac:dyDescent="0.25">
      <c r="A8" s="12" t="s">
        <v>15</v>
      </c>
      <c r="B8" s="23" t="s">
        <v>29</v>
      </c>
      <c r="C8" s="23" t="s">
        <v>30</v>
      </c>
      <c r="D8" s="13" t="s">
        <v>16</v>
      </c>
      <c r="E8" s="14"/>
      <c r="F8" s="15"/>
      <c r="G8" s="26">
        <v>45771</v>
      </c>
      <c r="H8" s="26"/>
      <c r="I8" s="22">
        <f t="shared" si="3"/>
        <v>-45771</v>
      </c>
      <c r="J8" s="24"/>
      <c r="K8" s="24"/>
      <c r="L8" s="22">
        <f t="shared" si="0"/>
        <v>0</v>
      </c>
      <c r="M8" s="16">
        <v>10</v>
      </c>
      <c r="N8" s="17">
        <f t="shared" si="1"/>
        <v>0</v>
      </c>
      <c r="O8" s="18">
        <v>250</v>
      </c>
      <c r="P8" s="19">
        <f t="shared" si="2"/>
        <v>0</v>
      </c>
    </row>
    <row r="9" spans="1:16" s="20" customFormat="1" ht="17.25" customHeight="1" x14ac:dyDescent="0.25">
      <c r="A9" s="12" t="s">
        <v>15</v>
      </c>
      <c r="B9" s="23" t="s">
        <v>31</v>
      </c>
      <c r="C9" s="23" t="s">
        <v>32</v>
      </c>
      <c r="D9" s="13" t="s">
        <v>16</v>
      </c>
      <c r="E9" s="14"/>
      <c r="F9" s="15"/>
      <c r="G9" s="26">
        <v>45768</v>
      </c>
      <c r="H9" s="26"/>
      <c r="I9" s="22">
        <f t="shared" si="3"/>
        <v>-45768</v>
      </c>
      <c r="J9" s="24"/>
      <c r="K9" s="24"/>
      <c r="L9" s="22">
        <f t="shared" si="0"/>
        <v>0</v>
      </c>
      <c r="M9" s="16">
        <v>10</v>
      </c>
      <c r="N9" s="17">
        <f t="shared" si="1"/>
        <v>0</v>
      </c>
      <c r="O9" s="18">
        <v>250</v>
      </c>
      <c r="P9" s="19">
        <f t="shared" si="2"/>
        <v>0</v>
      </c>
    </row>
    <row r="10" spans="1:16" s="20" customFormat="1" ht="17.25" customHeight="1" x14ac:dyDescent="0.25">
      <c r="A10" s="12" t="s">
        <v>15</v>
      </c>
      <c r="B10" s="23" t="s">
        <v>33</v>
      </c>
      <c r="C10" s="23" t="s">
        <v>34</v>
      </c>
      <c r="D10" s="13" t="s">
        <v>16</v>
      </c>
      <c r="E10" s="14"/>
      <c r="F10" s="15"/>
      <c r="G10" s="26">
        <v>45769</v>
      </c>
      <c r="H10" s="26"/>
      <c r="I10" s="22">
        <f t="shared" si="3"/>
        <v>-45769</v>
      </c>
      <c r="J10" s="24"/>
      <c r="K10" s="24"/>
      <c r="L10" s="22">
        <f t="shared" si="0"/>
        <v>0</v>
      </c>
      <c r="M10" s="16">
        <v>10</v>
      </c>
      <c r="N10" s="17">
        <f t="shared" si="1"/>
        <v>0</v>
      </c>
      <c r="O10" s="18">
        <v>250</v>
      </c>
      <c r="P10" s="19">
        <f t="shared" si="2"/>
        <v>0</v>
      </c>
    </row>
    <row r="11" spans="1:16" s="20" customFormat="1" ht="17.25" customHeight="1" x14ac:dyDescent="0.25">
      <c r="A11" s="12" t="s">
        <v>15</v>
      </c>
      <c r="B11" s="23" t="s">
        <v>35</v>
      </c>
      <c r="C11" s="23" t="s">
        <v>36</v>
      </c>
      <c r="D11" s="13" t="s">
        <v>16</v>
      </c>
      <c r="E11" s="14"/>
      <c r="F11" s="15"/>
      <c r="G11" s="26">
        <v>45768</v>
      </c>
      <c r="H11" s="26">
        <v>45773</v>
      </c>
      <c r="I11" s="22">
        <f t="shared" si="3"/>
        <v>5</v>
      </c>
      <c r="J11" s="24"/>
      <c r="K11" s="24"/>
      <c r="L11" s="22">
        <f t="shared" si="0"/>
        <v>0</v>
      </c>
      <c r="M11" s="16">
        <v>10</v>
      </c>
      <c r="N11" s="17">
        <f t="shared" si="1"/>
        <v>0</v>
      </c>
      <c r="O11" s="18">
        <v>250</v>
      </c>
      <c r="P11" s="19">
        <f t="shared" si="2"/>
        <v>0</v>
      </c>
    </row>
    <row r="12" spans="1:16" x14ac:dyDescent="0.25">
      <c r="A12" s="12" t="s">
        <v>15</v>
      </c>
      <c r="B12" s="23" t="s">
        <v>37</v>
      </c>
      <c r="C12" s="23" t="s">
        <v>38</v>
      </c>
      <c r="D12" s="13" t="s">
        <v>16</v>
      </c>
      <c r="E12" s="14"/>
      <c r="F12" s="15"/>
      <c r="G12" s="26">
        <v>45761</v>
      </c>
      <c r="H12" s="26">
        <v>45773</v>
      </c>
      <c r="I12" s="22">
        <f t="shared" si="3"/>
        <v>12</v>
      </c>
      <c r="J12" s="24"/>
      <c r="K12" s="24"/>
      <c r="L12" s="22">
        <f t="shared" si="0"/>
        <v>0</v>
      </c>
      <c r="M12" s="16">
        <v>10</v>
      </c>
      <c r="N12" s="17">
        <f t="shared" si="1"/>
        <v>2</v>
      </c>
      <c r="O12" s="18">
        <v>250</v>
      </c>
      <c r="P12" s="19">
        <f t="shared" si="2"/>
        <v>500</v>
      </c>
    </row>
    <row r="13" spans="1:16" x14ac:dyDescent="0.25">
      <c r="A13" s="12" t="s">
        <v>15</v>
      </c>
      <c r="B13" s="25" t="s">
        <v>39</v>
      </c>
      <c r="C13" s="25" t="s">
        <v>40</v>
      </c>
      <c r="D13" s="13" t="s">
        <v>16</v>
      </c>
      <c r="E13" s="14"/>
      <c r="F13" s="15"/>
      <c r="G13" s="26"/>
      <c r="H13" s="26"/>
      <c r="I13" s="22">
        <f t="shared" si="3"/>
        <v>0</v>
      </c>
      <c r="J13" s="24"/>
      <c r="K13" s="24"/>
      <c r="L13" s="22">
        <f t="shared" si="0"/>
        <v>0</v>
      </c>
      <c r="M13" s="16">
        <v>10</v>
      </c>
      <c r="N13" s="17">
        <f t="shared" si="1"/>
        <v>0</v>
      </c>
      <c r="O13" s="18">
        <v>250</v>
      </c>
      <c r="P13" s="19">
        <f t="shared" si="2"/>
        <v>0</v>
      </c>
    </row>
    <row r="14" spans="1:16" x14ac:dyDescent="0.25">
      <c r="P14" s="21">
        <f>SUM(P4:P13)</f>
        <v>500</v>
      </c>
    </row>
  </sheetData>
  <mergeCells count="2">
    <mergeCell ref="N1:O2"/>
    <mergeCell ref="P1:P2"/>
  </mergeCells>
  <conditionalFormatting sqref="B4">
    <cfRule type="duplicateValues" dxfId="321" priority="112"/>
    <cfRule type="duplicateValues" dxfId="320" priority="113"/>
    <cfRule type="duplicateValues" dxfId="319" priority="114"/>
    <cfRule type="duplicateValues" dxfId="318" priority="115"/>
    <cfRule type="duplicateValues" dxfId="317" priority="116"/>
    <cfRule type="duplicateValues" dxfId="316" priority="117"/>
    <cfRule type="duplicateValues" dxfId="315" priority="118"/>
    <cfRule type="duplicateValues" dxfId="314" priority="119"/>
    <cfRule type="duplicateValues" dxfId="313" priority="120"/>
    <cfRule type="duplicateValues" dxfId="312" priority="121"/>
    <cfRule type="duplicateValues" dxfId="311" priority="122"/>
    <cfRule type="duplicateValues" dxfId="310" priority="123"/>
    <cfRule type="duplicateValues" dxfId="309" priority="124"/>
    <cfRule type="duplicateValues" dxfId="308" priority="125"/>
    <cfRule type="duplicateValues" dxfId="307" priority="126"/>
    <cfRule type="duplicateValues" dxfId="306" priority="127"/>
    <cfRule type="duplicateValues" dxfId="305" priority="128"/>
    <cfRule type="duplicateValues" dxfId="304" priority="129"/>
    <cfRule type="duplicateValues" dxfId="303" priority="130"/>
    <cfRule type="duplicateValues" dxfId="302" priority="131"/>
    <cfRule type="duplicateValues" dxfId="301" priority="132"/>
    <cfRule type="duplicateValues" dxfId="300" priority="133"/>
    <cfRule type="duplicateValues" dxfId="299" priority="134"/>
    <cfRule type="duplicateValues" dxfId="298" priority="135"/>
    <cfRule type="duplicateValues" dxfId="297" priority="136"/>
    <cfRule type="duplicateValues" dxfId="296" priority="137"/>
    <cfRule type="duplicateValues" dxfId="295" priority="138"/>
    <cfRule type="duplicateValues" dxfId="294" priority="139"/>
    <cfRule type="duplicateValues" dxfId="293" priority="140"/>
    <cfRule type="duplicateValues" dxfId="292" priority="141"/>
    <cfRule type="duplicateValues" dxfId="291" priority="142"/>
    <cfRule type="duplicateValues" dxfId="290" priority="143"/>
    <cfRule type="duplicateValues" dxfId="289" priority="144"/>
    <cfRule type="duplicateValues" dxfId="288" priority="145"/>
    <cfRule type="duplicateValues" dxfId="287" priority="146"/>
    <cfRule type="duplicateValues" dxfId="286" priority="147"/>
    <cfRule type="duplicateValues" dxfId="285" priority="148"/>
    <cfRule type="duplicateValues" dxfId="284" priority="149"/>
  </conditionalFormatting>
  <conditionalFormatting sqref="B5">
    <cfRule type="duplicateValues" dxfId="283" priority="10"/>
    <cfRule type="duplicateValues" dxfId="282" priority="11"/>
    <cfRule type="duplicateValues" dxfId="281" priority="12"/>
    <cfRule type="duplicateValues" dxfId="280" priority="13"/>
    <cfRule type="duplicateValues" dxfId="279" priority="14"/>
    <cfRule type="duplicateValues" dxfId="278" priority="15"/>
    <cfRule type="duplicateValues" dxfId="277" priority="16"/>
    <cfRule type="duplicateValues" dxfId="276" priority="17"/>
    <cfRule type="duplicateValues" dxfId="275" priority="18"/>
    <cfRule type="duplicateValues" dxfId="274" priority="19"/>
    <cfRule type="duplicateValues" dxfId="273" priority="20"/>
    <cfRule type="duplicateValues" dxfId="272" priority="21"/>
    <cfRule type="duplicateValues" dxfId="271" priority="22"/>
    <cfRule type="duplicateValues" dxfId="270" priority="23"/>
    <cfRule type="duplicateValues" dxfId="269" priority="24"/>
    <cfRule type="duplicateValues" dxfId="268" priority="25"/>
    <cfRule type="duplicateValues" dxfId="267" priority="26"/>
    <cfRule type="duplicateValues" dxfId="266" priority="27"/>
    <cfRule type="duplicateValues" dxfId="265" priority="28"/>
    <cfRule type="duplicateValues" dxfId="264" priority="29"/>
    <cfRule type="duplicateValues" dxfId="263" priority="30"/>
    <cfRule type="duplicateValues" dxfId="262" priority="31"/>
    <cfRule type="duplicateValues" dxfId="261" priority="32"/>
    <cfRule type="duplicateValues" dxfId="260" priority="33"/>
    <cfRule type="duplicateValues" dxfId="259" priority="34"/>
    <cfRule type="duplicateValues" dxfId="258" priority="35"/>
    <cfRule type="duplicateValues" dxfId="257" priority="36"/>
    <cfRule type="duplicateValues" dxfId="256" priority="37"/>
    <cfRule type="duplicateValues" dxfId="255" priority="38"/>
    <cfRule type="duplicateValues" dxfId="254" priority="39"/>
    <cfRule type="duplicateValues" dxfId="253" priority="40"/>
    <cfRule type="duplicateValues" dxfId="252" priority="41"/>
    <cfRule type="duplicateValues" dxfId="251" priority="42"/>
  </conditionalFormatting>
  <conditionalFormatting sqref="B6">
    <cfRule type="duplicateValues" dxfId="250" priority="75"/>
    <cfRule type="duplicateValues" dxfId="249" priority="76"/>
    <cfRule type="duplicateValues" dxfId="248" priority="77"/>
    <cfRule type="duplicateValues" dxfId="247" priority="78"/>
    <cfRule type="duplicateValues" dxfId="246" priority="79"/>
    <cfRule type="duplicateValues" dxfId="245" priority="80"/>
    <cfRule type="duplicateValues" dxfId="244" priority="81"/>
    <cfRule type="duplicateValues" dxfId="243" priority="82"/>
    <cfRule type="duplicateValues" dxfId="242" priority="83"/>
    <cfRule type="duplicateValues" dxfId="241" priority="84"/>
    <cfRule type="duplicateValues" dxfId="240" priority="85"/>
    <cfRule type="duplicateValues" dxfId="239" priority="86"/>
    <cfRule type="duplicateValues" dxfId="238" priority="87"/>
    <cfRule type="duplicateValues" dxfId="237" priority="88"/>
    <cfRule type="duplicateValues" dxfId="236" priority="89"/>
    <cfRule type="duplicateValues" dxfId="235" priority="90"/>
    <cfRule type="duplicateValues" dxfId="234" priority="91"/>
    <cfRule type="duplicateValues" dxfId="233" priority="92"/>
    <cfRule type="duplicateValues" dxfId="232" priority="93"/>
    <cfRule type="duplicateValues" dxfId="231" priority="94"/>
    <cfRule type="duplicateValues" dxfId="230" priority="95"/>
    <cfRule type="duplicateValues" dxfId="229" priority="96"/>
    <cfRule type="duplicateValues" dxfId="228" priority="97"/>
    <cfRule type="duplicateValues" dxfId="227" priority="98"/>
    <cfRule type="duplicateValues" dxfId="226" priority="99"/>
    <cfRule type="duplicateValues" dxfId="225" priority="100"/>
    <cfRule type="duplicateValues" dxfId="224" priority="101"/>
    <cfRule type="duplicateValues" dxfId="223" priority="102"/>
    <cfRule type="duplicateValues" dxfId="222" priority="103"/>
    <cfRule type="duplicateValues" dxfId="221" priority="104"/>
    <cfRule type="duplicateValues" dxfId="220" priority="105"/>
    <cfRule type="duplicateValues" dxfId="219" priority="106"/>
    <cfRule type="duplicateValues" dxfId="218" priority="107"/>
    <cfRule type="duplicateValues" dxfId="217" priority="108"/>
    <cfRule type="duplicateValues" dxfId="216" priority="109"/>
    <cfRule type="duplicateValues" dxfId="215" priority="110"/>
    <cfRule type="duplicateValues" dxfId="214" priority="111"/>
  </conditionalFormatting>
  <conditionalFormatting sqref="B7">
    <cfRule type="duplicateValues" dxfId="213" priority="43"/>
    <cfRule type="duplicateValues" dxfId="212" priority="44"/>
    <cfRule type="duplicateValues" dxfId="211" priority="45"/>
    <cfRule type="duplicateValues" dxfId="210" priority="46"/>
    <cfRule type="duplicateValues" dxfId="209" priority="47"/>
    <cfRule type="duplicateValues" dxfId="208" priority="48"/>
    <cfRule type="duplicateValues" dxfId="207" priority="49"/>
    <cfRule type="duplicateValues" dxfId="206" priority="50"/>
    <cfRule type="duplicateValues" dxfId="205" priority="51"/>
    <cfRule type="duplicateValues" dxfId="204" priority="52"/>
    <cfRule type="duplicateValues" dxfId="203" priority="53"/>
    <cfRule type="duplicateValues" dxfId="202" priority="54"/>
    <cfRule type="duplicateValues" dxfId="201" priority="55"/>
    <cfRule type="duplicateValues" dxfId="200" priority="56"/>
    <cfRule type="duplicateValues" dxfId="199" priority="57"/>
    <cfRule type="duplicateValues" dxfId="198" priority="58"/>
    <cfRule type="duplicateValues" dxfId="197" priority="59"/>
    <cfRule type="duplicateValues" dxfId="196" priority="60"/>
    <cfRule type="duplicateValues" dxfId="195" priority="61"/>
    <cfRule type="duplicateValues" dxfId="194" priority="62"/>
    <cfRule type="duplicateValues" dxfId="193" priority="63"/>
    <cfRule type="duplicateValues" dxfId="192" priority="64"/>
    <cfRule type="duplicateValues" dxfId="191" priority="65"/>
    <cfRule type="duplicateValues" dxfId="190" priority="66"/>
    <cfRule type="duplicateValues" dxfId="189" priority="67"/>
    <cfRule type="duplicateValues" dxfId="188" priority="68"/>
    <cfRule type="duplicateValues" dxfId="187" priority="69"/>
    <cfRule type="duplicateValues" dxfId="186" priority="70"/>
    <cfRule type="duplicateValues" dxfId="185" priority="71"/>
    <cfRule type="duplicateValues" dxfId="184" priority="72"/>
    <cfRule type="duplicateValues" dxfId="183" priority="73"/>
    <cfRule type="duplicateValues" dxfId="182" priority="74"/>
  </conditionalFormatting>
  <conditionalFormatting sqref="B3:D3">
    <cfRule type="duplicateValues" dxfId="181" priority="152"/>
  </conditionalFormatting>
  <conditionalFormatting sqref="C4">
    <cfRule type="duplicateValues" dxfId="180" priority="8"/>
    <cfRule type="duplicateValues" dxfId="179" priority="9"/>
  </conditionalFormatting>
  <conditionalFormatting sqref="C4:C7">
    <cfRule type="containsText" dxfId="178" priority="1" operator="containsText" text="TBA">
      <formula>NOT(ISERROR(SEARCH("TBA",C4)))</formula>
    </cfRule>
  </conditionalFormatting>
  <conditionalFormatting sqref="C5">
    <cfRule type="duplicateValues" dxfId="177" priority="2"/>
    <cfRule type="duplicateValues" dxfId="176" priority="3"/>
  </conditionalFormatting>
  <conditionalFormatting sqref="C6">
    <cfRule type="duplicateValues" dxfId="175" priority="6"/>
    <cfRule type="duplicateValues" dxfId="174" priority="7"/>
  </conditionalFormatting>
  <conditionalFormatting sqref="C7">
    <cfRule type="duplicateValues" dxfId="173" priority="4"/>
    <cfRule type="duplicateValues" dxfId="172" priority="5"/>
  </conditionalFormatting>
  <conditionalFormatting sqref="C11 B3:D3">
    <cfRule type="duplicateValues" dxfId="171" priority="156"/>
    <cfRule type="duplicateValues" dxfId="170" priority="157"/>
    <cfRule type="duplicateValues" dxfId="169" priority="158"/>
    <cfRule type="duplicateValues" dxfId="168" priority="159"/>
    <cfRule type="duplicateValues" dxfId="167" priority="160"/>
    <cfRule type="duplicateValues" dxfId="166" priority="161"/>
  </conditionalFormatting>
  <conditionalFormatting sqref="C11 C2 B3">
    <cfRule type="duplicateValues" dxfId="165" priority="151"/>
  </conditionalFormatting>
  <conditionalFormatting sqref="E1:E2">
    <cfRule type="duplicateValues" dxfId="164" priority="150"/>
    <cfRule type="duplicateValues" dxfId="163" priority="153"/>
    <cfRule type="duplicateValues" dxfId="162" priority="154"/>
    <cfRule type="duplicateValues" dxfId="161" priority="155"/>
  </conditionalFormatting>
  <dataValidations count="1">
    <dataValidation type="date" operator="greaterThan" allowBlank="1" showInputMessage="1" showErrorMessage="1" sqref="G4:H10 J4:K13 H11:H13" xr:uid="{101B2EE8-3ECB-4D09-BD61-8FE4FB01C90F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6227-153F-4532-9EFA-D838F974D918}">
  <dimension ref="A1:P10"/>
  <sheetViews>
    <sheetView workbookViewId="0">
      <selection activeCell="H20" sqref="H20"/>
    </sheetView>
  </sheetViews>
  <sheetFormatPr defaultRowHeight="15" x14ac:dyDescent="0.25"/>
  <cols>
    <col min="2" max="2" width="13.42578125" bestFit="1" customWidth="1"/>
    <col min="7" max="7" width="9.140625" customWidth="1"/>
    <col min="10" max="10" width="11.7109375" customWidth="1"/>
    <col min="11" max="11" width="9.85546875" customWidth="1"/>
  </cols>
  <sheetData>
    <row r="1" spans="1:16" ht="17.25" customHeight="1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2" t="s">
        <v>1</v>
      </c>
      <c r="O1" s="43"/>
      <c r="P1" s="46">
        <f>SUM(P4:P9)</f>
        <v>0</v>
      </c>
    </row>
    <row r="2" spans="1:16" ht="17.25" customHeight="1" x14ac:dyDescent="0.25">
      <c r="A2" s="4" t="s">
        <v>20</v>
      </c>
      <c r="B2" s="5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44"/>
      <c r="O2" s="45"/>
      <c r="P2" s="47"/>
    </row>
    <row r="3" spans="1:16" s="11" customFormat="1" ht="55.9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  <c r="I3" s="9" t="s">
        <v>10</v>
      </c>
      <c r="J3" s="9" t="s">
        <v>18</v>
      </c>
      <c r="K3" s="9" t="s">
        <v>19</v>
      </c>
      <c r="L3" s="9" t="s">
        <v>61</v>
      </c>
      <c r="M3" s="10" t="s">
        <v>11</v>
      </c>
      <c r="N3" s="10" t="s">
        <v>12</v>
      </c>
      <c r="O3" s="10" t="s">
        <v>13</v>
      </c>
      <c r="P3" s="10" t="s">
        <v>14</v>
      </c>
    </row>
    <row r="4" spans="1:16" s="20" customFormat="1" ht="17.25" customHeight="1" x14ac:dyDescent="0.25">
      <c r="A4" s="12" t="s">
        <v>15</v>
      </c>
      <c r="B4" s="29" t="s">
        <v>80</v>
      </c>
      <c r="C4" s="29" t="s">
        <v>81</v>
      </c>
      <c r="D4" s="13" t="s">
        <v>16</v>
      </c>
      <c r="E4" s="14"/>
      <c r="F4" s="15"/>
      <c r="G4" s="26"/>
      <c r="H4" s="26"/>
      <c r="I4" s="22">
        <f>H4-G4</f>
        <v>0</v>
      </c>
      <c r="J4" s="24"/>
      <c r="K4" s="24"/>
      <c r="L4" s="22">
        <f t="shared" ref="L4:L9" si="0">K4-J4</f>
        <v>0</v>
      </c>
      <c r="M4" s="16">
        <v>10</v>
      </c>
      <c r="N4" s="17">
        <f>MAX(0,I4+L4-M4)</f>
        <v>0</v>
      </c>
      <c r="O4" s="18">
        <v>250</v>
      </c>
      <c r="P4" s="19">
        <f>+N4*O4</f>
        <v>0</v>
      </c>
    </row>
    <row r="5" spans="1:16" s="20" customFormat="1" ht="17.25" customHeight="1" x14ac:dyDescent="0.25">
      <c r="A5" s="12" t="s">
        <v>15</v>
      </c>
      <c r="B5" s="29" t="s">
        <v>82</v>
      </c>
      <c r="C5" s="29" t="s">
        <v>83</v>
      </c>
      <c r="D5" s="13" t="s">
        <v>16</v>
      </c>
      <c r="E5" s="14"/>
      <c r="F5" s="15"/>
      <c r="G5" s="26"/>
      <c r="H5" s="26"/>
      <c r="I5" s="22">
        <f>H5-G5</f>
        <v>0</v>
      </c>
      <c r="J5" s="24"/>
      <c r="K5" s="24"/>
      <c r="L5" s="22">
        <f t="shared" si="0"/>
        <v>0</v>
      </c>
      <c r="M5" s="16">
        <v>10</v>
      </c>
      <c r="N5" s="17">
        <f t="shared" ref="N5:N9" si="1">MAX(0,I5+L5-M5)</f>
        <v>0</v>
      </c>
      <c r="O5" s="18">
        <v>250</v>
      </c>
      <c r="P5" s="19">
        <f t="shared" ref="P5:P9" si="2">+N5*O5</f>
        <v>0</v>
      </c>
    </row>
    <row r="6" spans="1:16" s="20" customFormat="1" ht="17.25" customHeight="1" x14ac:dyDescent="0.25">
      <c r="A6" s="12" t="s">
        <v>15</v>
      </c>
      <c r="B6" s="29" t="s">
        <v>84</v>
      </c>
      <c r="C6" s="29" t="s">
        <v>85</v>
      </c>
      <c r="D6" s="13" t="s">
        <v>16</v>
      </c>
      <c r="E6" s="14"/>
      <c r="F6" s="15"/>
      <c r="G6" s="26"/>
      <c r="H6" s="26"/>
      <c r="I6" s="22">
        <f t="shared" ref="I6:I9" si="3">H6-G6</f>
        <v>0</v>
      </c>
      <c r="J6" s="24"/>
      <c r="K6" s="24"/>
      <c r="L6" s="22">
        <f t="shared" si="0"/>
        <v>0</v>
      </c>
      <c r="M6" s="16">
        <v>10</v>
      </c>
      <c r="N6" s="17">
        <f t="shared" si="1"/>
        <v>0</v>
      </c>
      <c r="O6" s="18">
        <v>250</v>
      </c>
      <c r="P6" s="19">
        <f t="shared" si="2"/>
        <v>0</v>
      </c>
    </row>
    <row r="7" spans="1:16" s="20" customFormat="1" ht="17.25" customHeight="1" x14ac:dyDescent="0.25">
      <c r="A7" s="12" t="s">
        <v>15</v>
      </c>
      <c r="B7" s="30" t="s">
        <v>86</v>
      </c>
      <c r="C7" s="29" t="s">
        <v>87</v>
      </c>
      <c r="D7" s="13" t="s">
        <v>16</v>
      </c>
      <c r="E7" s="14"/>
      <c r="F7" s="15"/>
      <c r="G7" s="26"/>
      <c r="H7" s="26"/>
      <c r="I7" s="22">
        <f t="shared" si="3"/>
        <v>0</v>
      </c>
      <c r="J7" s="24"/>
      <c r="K7" s="24"/>
      <c r="L7" s="22">
        <f t="shared" si="0"/>
        <v>0</v>
      </c>
      <c r="M7" s="16">
        <v>10</v>
      </c>
      <c r="N7" s="17">
        <f t="shared" si="1"/>
        <v>0</v>
      </c>
      <c r="O7" s="18">
        <v>250</v>
      </c>
      <c r="P7" s="19">
        <f t="shared" si="2"/>
        <v>0</v>
      </c>
    </row>
    <row r="8" spans="1:16" s="20" customFormat="1" ht="17.25" customHeight="1" x14ac:dyDescent="0.25">
      <c r="A8" s="12" t="s">
        <v>15</v>
      </c>
      <c r="B8" s="30" t="s">
        <v>88</v>
      </c>
      <c r="C8" s="29" t="s">
        <v>89</v>
      </c>
      <c r="D8" s="13" t="s">
        <v>16</v>
      </c>
      <c r="E8" s="14"/>
      <c r="F8" s="15"/>
      <c r="G8" s="26"/>
      <c r="H8" s="26"/>
      <c r="I8" s="22">
        <f t="shared" si="3"/>
        <v>0</v>
      </c>
      <c r="J8" s="24"/>
      <c r="K8" s="24"/>
      <c r="L8" s="22">
        <f t="shared" si="0"/>
        <v>0</v>
      </c>
      <c r="M8" s="16">
        <v>10</v>
      </c>
      <c r="N8" s="17">
        <f t="shared" si="1"/>
        <v>0</v>
      </c>
      <c r="O8" s="18">
        <v>250</v>
      </c>
      <c r="P8" s="19">
        <f t="shared" si="2"/>
        <v>0</v>
      </c>
    </row>
    <row r="9" spans="1:16" s="20" customFormat="1" ht="17.25" customHeight="1" x14ac:dyDescent="0.25">
      <c r="A9" s="12" t="s">
        <v>15</v>
      </c>
      <c r="B9" s="31" t="s">
        <v>90</v>
      </c>
      <c r="C9" s="32" t="s">
        <v>91</v>
      </c>
      <c r="D9" s="13" t="s">
        <v>16</v>
      </c>
      <c r="E9" s="14"/>
      <c r="F9" s="15"/>
      <c r="G9" s="26"/>
      <c r="H9" s="26"/>
      <c r="I9" s="22">
        <f t="shared" si="3"/>
        <v>0</v>
      </c>
      <c r="J9" s="24"/>
      <c r="K9" s="24"/>
      <c r="L9" s="22">
        <f t="shared" si="0"/>
        <v>0</v>
      </c>
      <c r="M9" s="16">
        <v>10</v>
      </c>
      <c r="N9" s="17">
        <f t="shared" si="1"/>
        <v>0</v>
      </c>
      <c r="O9" s="18">
        <v>250</v>
      </c>
      <c r="P9" s="19">
        <f t="shared" si="2"/>
        <v>0</v>
      </c>
    </row>
    <row r="10" spans="1:16" x14ac:dyDescent="0.25">
      <c r="P10" s="21">
        <f>SUM(P4:P9)</f>
        <v>0</v>
      </c>
    </row>
  </sheetData>
  <mergeCells count="2">
    <mergeCell ref="N1:O2"/>
    <mergeCell ref="P1:P2"/>
  </mergeCells>
  <conditionalFormatting sqref="B4">
    <cfRule type="duplicateValues" dxfId="160" priority="112"/>
    <cfRule type="duplicateValues" dxfId="159" priority="113"/>
    <cfRule type="duplicateValues" dxfId="158" priority="114"/>
    <cfRule type="duplicateValues" dxfId="157" priority="115"/>
    <cfRule type="duplicateValues" dxfId="156" priority="116"/>
    <cfRule type="duplicateValues" dxfId="155" priority="117"/>
    <cfRule type="duplicateValues" dxfId="154" priority="118"/>
    <cfRule type="duplicateValues" dxfId="153" priority="119"/>
    <cfRule type="duplicateValues" dxfId="152" priority="120"/>
    <cfRule type="duplicateValues" dxfId="151" priority="121"/>
    <cfRule type="duplicateValues" dxfId="150" priority="122"/>
    <cfRule type="duplicateValues" dxfId="149" priority="123"/>
    <cfRule type="duplicateValues" dxfId="148" priority="124"/>
    <cfRule type="duplicateValues" dxfId="147" priority="125"/>
    <cfRule type="duplicateValues" dxfId="146" priority="126"/>
    <cfRule type="duplicateValues" dxfId="145" priority="127"/>
    <cfRule type="duplicateValues" dxfId="144" priority="128"/>
    <cfRule type="duplicateValues" dxfId="143" priority="129"/>
    <cfRule type="duplicateValues" dxfId="142" priority="130"/>
    <cfRule type="duplicateValues" dxfId="141" priority="131"/>
    <cfRule type="duplicateValues" dxfId="140" priority="132"/>
    <cfRule type="duplicateValues" dxfId="139" priority="133"/>
    <cfRule type="duplicateValues" dxfId="138" priority="134"/>
    <cfRule type="duplicateValues" dxfId="137" priority="135"/>
    <cfRule type="duplicateValues" dxfId="136" priority="136"/>
    <cfRule type="duplicateValues" dxfId="135" priority="137"/>
    <cfRule type="duplicateValues" dxfId="134" priority="138"/>
    <cfRule type="duplicateValues" dxfId="133" priority="139"/>
    <cfRule type="duplicateValues" dxfId="132" priority="140"/>
    <cfRule type="duplicateValues" dxfId="131" priority="141"/>
    <cfRule type="duplicateValues" dxfId="130" priority="142"/>
    <cfRule type="duplicateValues" dxfId="129" priority="143"/>
    <cfRule type="duplicateValues" dxfId="128" priority="144"/>
    <cfRule type="duplicateValues" dxfId="127" priority="145"/>
    <cfRule type="duplicateValues" dxfId="126" priority="146"/>
    <cfRule type="duplicateValues" dxfId="125" priority="147"/>
    <cfRule type="duplicateValues" dxfId="124" priority="148"/>
    <cfRule type="duplicateValues" dxfId="123" priority="149"/>
  </conditionalFormatting>
  <conditionalFormatting sqref="B5">
    <cfRule type="duplicateValues" dxfId="122" priority="10"/>
    <cfRule type="duplicateValues" dxfId="121" priority="11"/>
    <cfRule type="duplicateValues" dxfId="120" priority="12"/>
    <cfRule type="duplicateValues" dxfId="119" priority="13"/>
    <cfRule type="duplicateValues" dxfId="118" priority="14"/>
    <cfRule type="duplicateValues" dxfId="117" priority="15"/>
    <cfRule type="duplicateValues" dxfId="116" priority="16"/>
    <cfRule type="duplicateValues" dxfId="115" priority="17"/>
    <cfRule type="duplicateValues" dxfId="114" priority="18"/>
    <cfRule type="duplicateValues" dxfId="113" priority="19"/>
    <cfRule type="duplicateValues" dxfId="112" priority="20"/>
    <cfRule type="duplicateValues" dxfId="111" priority="21"/>
    <cfRule type="duplicateValues" dxfId="110" priority="22"/>
    <cfRule type="duplicateValues" dxfId="109" priority="23"/>
    <cfRule type="duplicateValues" dxfId="108" priority="24"/>
    <cfRule type="duplicateValues" dxfId="107" priority="25"/>
    <cfRule type="duplicateValues" dxfId="106" priority="26"/>
    <cfRule type="duplicateValues" dxfId="105" priority="27"/>
    <cfRule type="duplicateValues" dxfId="104" priority="28"/>
    <cfRule type="duplicateValues" dxfId="103" priority="29"/>
    <cfRule type="duplicateValues" dxfId="102" priority="30"/>
    <cfRule type="duplicateValues" dxfId="101" priority="31"/>
    <cfRule type="duplicateValues" dxfId="100" priority="32"/>
    <cfRule type="duplicateValues" dxfId="99" priority="33"/>
    <cfRule type="duplicateValues" dxfId="98" priority="34"/>
    <cfRule type="duplicateValues" dxfId="97" priority="35"/>
    <cfRule type="duplicateValues" dxfId="96" priority="36"/>
    <cfRule type="duplicateValues" dxfId="95" priority="37"/>
    <cfRule type="duplicateValues" dxfId="94" priority="38"/>
    <cfRule type="duplicateValues" dxfId="93" priority="39"/>
    <cfRule type="duplicateValues" dxfId="92" priority="40"/>
    <cfRule type="duplicateValues" dxfId="91" priority="41"/>
    <cfRule type="duplicateValues" dxfId="90" priority="42"/>
  </conditionalFormatting>
  <conditionalFormatting sqref="B6">
    <cfRule type="duplicateValues" dxfId="89" priority="75"/>
    <cfRule type="duplicateValues" dxfId="88" priority="76"/>
    <cfRule type="duplicateValues" dxfId="87" priority="77"/>
    <cfRule type="duplicateValues" dxfId="86" priority="78"/>
    <cfRule type="duplicateValues" dxfId="85" priority="79"/>
    <cfRule type="duplicateValues" dxfId="84" priority="80"/>
    <cfRule type="duplicateValues" dxfId="83" priority="81"/>
    <cfRule type="duplicateValues" dxfId="82" priority="82"/>
    <cfRule type="duplicateValues" dxfId="81" priority="83"/>
    <cfRule type="duplicateValues" dxfId="80" priority="84"/>
    <cfRule type="duplicateValues" dxfId="79" priority="85"/>
    <cfRule type="duplicateValues" dxfId="78" priority="86"/>
    <cfRule type="duplicateValues" dxfId="77" priority="87"/>
    <cfRule type="duplicateValues" dxfId="76" priority="88"/>
    <cfRule type="duplicateValues" dxfId="75" priority="89"/>
    <cfRule type="duplicateValues" dxfId="74" priority="90"/>
    <cfRule type="duplicateValues" dxfId="73" priority="91"/>
    <cfRule type="duplicateValues" dxfId="72" priority="92"/>
    <cfRule type="duplicateValues" dxfId="71" priority="93"/>
    <cfRule type="duplicateValues" dxfId="70" priority="94"/>
    <cfRule type="duplicateValues" dxfId="69" priority="95"/>
    <cfRule type="duplicateValues" dxfId="68" priority="96"/>
    <cfRule type="duplicateValues" dxfId="67" priority="97"/>
    <cfRule type="duplicateValues" dxfId="66" priority="98"/>
    <cfRule type="duplicateValues" dxfId="65" priority="99"/>
    <cfRule type="duplicateValues" dxfId="64" priority="100"/>
    <cfRule type="duplicateValues" dxfId="63" priority="101"/>
    <cfRule type="duplicateValues" dxfId="62" priority="102"/>
    <cfRule type="duplicateValues" dxfId="61" priority="103"/>
    <cfRule type="duplicateValues" dxfId="60" priority="104"/>
    <cfRule type="duplicateValues" dxfId="59" priority="105"/>
    <cfRule type="duplicateValues" dxfId="58" priority="106"/>
    <cfRule type="duplicateValues" dxfId="57" priority="107"/>
    <cfRule type="duplicateValues" dxfId="56" priority="108"/>
    <cfRule type="duplicateValues" dxfId="55" priority="109"/>
    <cfRule type="duplicateValues" dxfId="54" priority="110"/>
    <cfRule type="duplicateValues" dxfId="53" priority="111"/>
  </conditionalFormatting>
  <conditionalFormatting sqref="B7">
    <cfRule type="duplicateValues" dxfId="52" priority="43"/>
    <cfRule type="duplicateValues" dxfId="51" priority="44"/>
    <cfRule type="duplicateValues" dxfId="50" priority="45"/>
    <cfRule type="duplicateValues" dxfId="49" priority="46"/>
    <cfRule type="duplicateValues" dxfId="48" priority="47"/>
    <cfRule type="duplicateValues" dxfId="47" priority="48"/>
    <cfRule type="duplicateValues" dxfId="46" priority="49"/>
    <cfRule type="duplicateValues" dxfId="45" priority="50"/>
    <cfRule type="duplicateValues" dxfId="44" priority="51"/>
    <cfRule type="duplicateValues" dxfId="43" priority="52"/>
    <cfRule type="duplicateValues" dxfId="42" priority="53"/>
    <cfRule type="duplicateValues" dxfId="41" priority="54"/>
    <cfRule type="duplicateValues" dxfId="40" priority="55"/>
    <cfRule type="duplicateValues" dxfId="39" priority="56"/>
    <cfRule type="duplicateValues" dxfId="38" priority="57"/>
    <cfRule type="duplicateValues" dxfId="37" priority="58"/>
    <cfRule type="duplicateValues" dxfId="36" priority="59"/>
    <cfRule type="duplicateValues" dxfId="35" priority="60"/>
    <cfRule type="duplicateValues" dxfId="34" priority="61"/>
    <cfRule type="duplicateValues" dxfId="33" priority="62"/>
    <cfRule type="duplicateValues" dxfId="32" priority="63"/>
    <cfRule type="duplicateValues" dxfId="31" priority="64"/>
    <cfRule type="duplicateValues" dxfId="30" priority="65"/>
    <cfRule type="duplicateValues" dxfId="29" priority="66"/>
    <cfRule type="duplicateValues" dxfId="28" priority="67"/>
    <cfRule type="duplicateValues" dxfId="27" priority="68"/>
    <cfRule type="duplicateValues" dxfId="26" priority="69"/>
    <cfRule type="duplicateValues" dxfId="25" priority="70"/>
    <cfRule type="duplicateValues" dxfId="24" priority="71"/>
    <cfRule type="duplicateValues" dxfId="23" priority="72"/>
    <cfRule type="duplicateValues" dxfId="22" priority="73"/>
    <cfRule type="duplicateValues" dxfId="21" priority="74"/>
  </conditionalFormatting>
  <conditionalFormatting sqref="B3:D3">
    <cfRule type="duplicateValues" dxfId="20" priority="152"/>
    <cfRule type="duplicateValues" dxfId="19" priority="341"/>
    <cfRule type="duplicateValues" dxfId="18" priority="342"/>
    <cfRule type="duplicateValues" dxfId="17" priority="343"/>
    <cfRule type="duplicateValues" dxfId="16" priority="344"/>
    <cfRule type="duplicateValues" dxfId="15" priority="345"/>
    <cfRule type="duplicateValues" dxfId="14" priority="346"/>
  </conditionalFormatting>
  <conditionalFormatting sqref="C2 B3">
    <cfRule type="duplicateValues" dxfId="13" priority="339"/>
  </conditionalFormatting>
  <conditionalFormatting sqref="C4">
    <cfRule type="duplicateValues" dxfId="12" priority="8"/>
    <cfRule type="duplicateValues" dxfId="11" priority="9"/>
  </conditionalFormatting>
  <conditionalFormatting sqref="C4:C7">
    <cfRule type="containsText" dxfId="10" priority="1" operator="containsText" text="TBA">
      <formula>NOT(ISERROR(SEARCH("TBA",C4)))</formula>
    </cfRule>
  </conditionalFormatting>
  <conditionalFormatting sqref="C5">
    <cfRule type="duplicateValues" dxfId="9" priority="2"/>
    <cfRule type="duplicateValues" dxfId="8" priority="3"/>
  </conditionalFormatting>
  <conditionalFormatting sqref="C6">
    <cfRule type="duplicateValues" dxfId="7" priority="6"/>
    <cfRule type="duplicateValues" dxfId="6" priority="7"/>
  </conditionalFormatting>
  <conditionalFormatting sqref="C7">
    <cfRule type="duplicateValues" dxfId="5" priority="4"/>
    <cfRule type="duplicateValues" dxfId="4" priority="5"/>
  </conditionalFormatting>
  <conditionalFormatting sqref="E1:E2">
    <cfRule type="duplicateValues" dxfId="3" priority="150"/>
    <cfRule type="duplicateValues" dxfId="2" priority="153"/>
    <cfRule type="duplicateValues" dxfId="1" priority="154"/>
    <cfRule type="duplicateValues" dxfId="0" priority="155"/>
  </conditionalFormatting>
  <dataValidations count="1">
    <dataValidation type="date" operator="greaterThan" allowBlank="1" showInputMessage="1" showErrorMessage="1" sqref="G4:H9 J4:K9" xr:uid="{CCCE1798-76C9-4440-B1AE-D8D2BCA3FCE6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DEMURRAGE CHARGES</vt:lpstr>
      <vt:lpstr>GOSUSNH8490239</vt:lpstr>
      <vt:lpstr>GOSUSNH20976372</vt:lpstr>
      <vt:lpstr>EPIRCHNSHG011298</vt:lpstr>
      <vt:lpstr>SHCR50003900</vt:lpstr>
      <vt:lpstr>GOSUSNH20976503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overland</dc:creator>
  <cp:lastModifiedBy>Overland Tracking</cp:lastModifiedBy>
  <dcterms:created xsi:type="dcterms:W3CDTF">2025-04-17T08:28:40Z</dcterms:created>
  <dcterms:modified xsi:type="dcterms:W3CDTF">2025-12-18T04:52:16Z</dcterms:modified>
</cp:coreProperties>
</file>