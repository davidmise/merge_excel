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lum\Desktop\EXPORT STANDING CHARGES\"/>
    </mc:Choice>
  </mc:AlternateContent>
  <xr:revisionPtr revIDLastSave="0" documentId="8_{94C7DEAD-9237-4A13-941F-B06435233278}" xr6:coauthVersionLast="47" xr6:coauthVersionMax="47" xr10:uidLastSave="{00000000-0000-0000-0000-000000000000}"/>
  <bookViews>
    <workbookView xWindow="-120" yWindow="-120" windowWidth="20730" windowHeight="11040" xr2:uid="{2A6FBC08-4D8A-421B-9D70-6E5B97947D03}"/>
  </bookViews>
  <sheets>
    <sheet name="Glencore KCC Site Delays" sheetId="1" r:id="rId1"/>
  </sheets>
  <definedNames>
    <definedName name="_xlnm._FilterDatabase" localSheetId="0" hidden="1">'Glencore KCC Site Delays'!$M$1:$M$3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" i="1" l="1"/>
  <c r="R39" i="1" s="1"/>
  <c r="P40" i="1"/>
  <c r="R40" i="1" s="1"/>
  <c r="P41" i="1"/>
  <c r="R41" i="1" s="1"/>
  <c r="N38" i="1"/>
  <c r="P38" i="1" s="1"/>
  <c r="R38" i="1" s="1"/>
  <c r="N39" i="1"/>
  <c r="N40" i="1"/>
  <c r="N41" i="1"/>
  <c r="N37" i="1"/>
  <c r="P37" i="1" s="1"/>
  <c r="R37" i="1" s="1"/>
  <c r="N36" i="1"/>
  <c r="P36" i="1" s="1"/>
  <c r="R36" i="1" s="1"/>
  <c r="N35" i="1"/>
  <c r="P35" i="1" s="1"/>
  <c r="R35" i="1" s="1"/>
  <c r="N34" i="1"/>
  <c r="P34" i="1" s="1"/>
  <c r="R34" i="1" s="1"/>
  <c r="N33" i="1"/>
  <c r="P33" i="1" s="1"/>
  <c r="R33" i="1" s="1"/>
  <c r="N32" i="1"/>
  <c r="P32" i="1" s="1"/>
  <c r="R32" i="1" s="1"/>
  <c r="N31" i="1"/>
  <c r="P31" i="1" s="1"/>
  <c r="R31" i="1" s="1"/>
  <c r="N30" i="1"/>
  <c r="P30" i="1" s="1"/>
  <c r="R30" i="1" s="1"/>
  <c r="N29" i="1"/>
  <c r="P29" i="1" s="1"/>
  <c r="R29" i="1" s="1"/>
  <c r="N28" i="1"/>
  <c r="P28" i="1" s="1"/>
  <c r="R28" i="1" s="1"/>
  <c r="N27" i="1"/>
  <c r="P27" i="1" s="1"/>
  <c r="R27" i="1" s="1"/>
  <c r="N26" i="1"/>
  <c r="P26" i="1" s="1"/>
  <c r="R26" i="1" s="1"/>
  <c r="N25" i="1"/>
  <c r="P25" i="1" s="1"/>
  <c r="R25" i="1" s="1"/>
  <c r="N24" i="1"/>
  <c r="P24" i="1" s="1"/>
  <c r="R24" i="1" s="1"/>
  <c r="N22" i="1" l="1"/>
  <c r="P22" i="1" s="1"/>
  <c r="R22" i="1" s="1"/>
  <c r="N23" i="1"/>
  <c r="P23" i="1" s="1"/>
  <c r="R23" i="1" s="1"/>
  <c r="N21" i="1"/>
  <c r="P21" i="1" s="1"/>
  <c r="R21" i="1" s="1"/>
  <c r="N4" i="1" l="1"/>
  <c r="P4" i="1" s="1"/>
  <c r="R4" i="1" s="1"/>
  <c r="N5" i="1"/>
  <c r="P5" i="1" s="1"/>
  <c r="R5" i="1" s="1"/>
  <c r="N17" i="1"/>
  <c r="P17" i="1" s="1"/>
  <c r="N18" i="1"/>
  <c r="P18" i="1" s="1"/>
  <c r="R18" i="1" s="1"/>
  <c r="N6" i="1"/>
  <c r="P6" i="1" s="1"/>
  <c r="R6" i="1" s="1"/>
  <c r="N7" i="1"/>
  <c r="P7" i="1" s="1"/>
  <c r="R7" i="1" s="1"/>
  <c r="N8" i="1"/>
  <c r="P8" i="1" s="1"/>
  <c r="R8" i="1" s="1"/>
  <c r="N19" i="1"/>
  <c r="P19" i="1" s="1"/>
  <c r="R19" i="1" s="1"/>
  <c r="N20" i="1"/>
  <c r="P20" i="1" s="1"/>
  <c r="R20" i="1" s="1"/>
  <c r="N9" i="1"/>
  <c r="P9" i="1" s="1"/>
  <c r="R9" i="1" s="1"/>
  <c r="N10" i="1"/>
  <c r="P10" i="1" s="1"/>
  <c r="R10" i="1" s="1"/>
  <c r="N11" i="1"/>
  <c r="P11" i="1" s="1"/>
  <c r="R11" i="1" s="1"/>
  <c r="N12" i="1"/>
  <c r="P12" i="1" s="1"/>
  <c r="R12" i="1" s="1"/>
  <c r="N13" i="1"/>
  <c r="P13" i="1" s="1"/>
  <c r="R13" i="1" s="1"/>
  <c r="N14" i="1"/>
  <c r="P14" i="1" s="1"/>
  <c r="R14" i="1" s="1"/>
  <c r="N15" i="1"/>
  <c r="P15" i="1" s="1"/>
  <c r="R15" i="1" s="1"/>
  <c r="N16" i="1"/>
  <c r="P16" i="1" s="1"/>
  <c r="R16" i="1" s="1"/>
  <c r="R17" i="1" l="1"/>
  <c r="R42" i="1" s="1"/>
  <c r="R1" i="1" l="1"/>
</calcChain>
</file>

<file path=xl/sharedStrings.xml><?xml version="1.0" encoding="utf-8"?>
<sst xmlns="http://schemas.openxmlformats.org/spreadsheetml/2006/main" count="392" uniqueCount="174">
  <si>
    <t>Remark</t>
  </si>
  <si>
    <t>Free Days</t>
  </si>
  <si>
    <t xml:space="preserve">Loading Date </t>
  </si>
  <si>
    <t>Current Location</t>
  </si>
  <si>
    <t>Trailer 1</t>
  </si>
  <si>
    <t>Trailer 2</t>
  </si>
  <si>
    <t>Mine</t>
  </si>
  <si>
    <t>Overland Group of Companies</t>
  </si>
  <si>
    <t>KCC -- Overland Truck demurrage charges report</t>
  </si>
  <si>
    <t>Haulier Name</t>
  </si>
  <si>
    <t>Overland</t>
  </si>
  <si>
    <t>Truck Registration</t>
  </si>
  <si>
    <t>Corridor</t>
  </si>
  <si>
    <t xml:space="preserve">Export Lot </t>
  </si>
  <si>
    <t xml:space="preserve">Date Reported For Loading </t>
  </si>
  <si>
    <t>Dispatch Date</t>
  </si>
  <si>
    <t>Empty-to-Dispatch</t>
  </si>
  <si>
    <t>Chargeable Demurrage Days</t>
  </si>
  <si>
    <t>Rate</t>
  </si>
  <si>
    <t>Total</t>
  </si>
  <si>
    <t>Total Amount in USD</t>
  </si>
  <si>
    <t>KCC</t>
  </si>
  <si>
    <t>In transit</t>
  </si>
  <si>
    <t>Commodity</t>
  </si>
  <si>
    <t>Copper cathodes</t>
  </si>
  <si>
    <t>NAKONDE</t>
  </si>
  <si>
    <t>NDOLA</t>
  </si>
  <si>
    <t>KONKOLA</t>
  </si>
  <si>
    <t>K-LESA DRC</t>
  </si>
  <si>
    <t>T311EES</t>
  </si>
  <si>
    <t>T158DDY</t>
  </si>
  <si>
    <t>T879CQL</t>
  </si>
  <si>
    <t>T663CJT</t>
  </si>
  <si>
    <t>T342DWZ</t>
  </si>
  <si>
    <t>T640DPW</t>
  </si>
  <si>
    <t>T899ECV</t>
  </si>
  <si>
    <t>T418BVZ</t>
  </si>
  <si>
    <t>T336EFR</t>
  </si>
  <si>
    <t>T176EES</t>
  </si>
  <si>
    <t>T586DMJ</t>
  </si>
  <si>
    <t>T860DVK</t>
  </si>
  <si>
    <t>T232DNF</t>
  </si>
  <si>
    <t>T870DRL</t>
  </si>
  <si>
    <t>T154EJA</t>
  </si>
  <si>
    <t>T940DEY</t>
  </si>
  <si>
    <t>T301BXT</t>
  </si>
  <si>
    <t>T884ECV</t>
  </si>
  <si>
    <t>T310EES</t>
  </si>
  <si>
    <t>T621DPV</t>
  </si>
  <si>
    <t>T309EES</t>
  </si>
  <si>
    <t>T149DDY</t>
  </si>
  <si>
    <t>T581DPW</t>
  </si>
  <si>
    <t>T469DZH</t>
  </si>
  <si>
    <t>T657DQF</t>
  </si>
  <si>
    <t>T988ANZ</t>
  </si>
  <si>
    <t>T386ABA</t>
  </si>
  <si>
    <t>T375CRT</t>
  </si>
  <si>
    <t>T426EFH</t>
  </si>
  <si>
    <t>T553CTF</t>
  </si>
  <si>
    <t>T122DXM</t>
  </si>
  <si>
    <t>T123DXM</t>
  </si>
  <si>
    <t>T406BJE</t>
  </si>
  <si>
    <t>T233DQD</t>
  </si>
  <si>
    <t>T517DQD</t>
  </si>
  <si>
    <t>T463CBM</t>
  </si>
  <si>
    <t>T225EMP</t>
  </si>
  <si>
    <t>T292EFX</t>
  </si>
  <si>
    <t>T296EFX</t>
  </si>
  <si>
    <t>T524AUU</t>
  </si>
  <si>
    <t>T254EMM</t>
  </si>
  <si>
    <t>T287BED</t>
  </si>
  <si>
    <t>T960DWJ</t>
  </si>
  <si>
    <t>T432DBY</t>
  </si>
  <si>
    <t>T569CTF</t>
  </si>
  <si>
    <t>T566DTR</t>
  </si>
  <si>
    <t>T398DRY</t>
  </si>
  <si>
    <t>T693EHV</t>
  </si>
  <si>
    <t>T227EMP</t>
  </si>
  <si>
    <t>T320DGN</t>
  </si>
  <si>
    <t>T758CVC</t>
  </si>
  <si>
    <t>T720EFH</t>
  </si>
  <si>
    <t>T660CKC</t>
  </si>
  <si>
    <t>T254DQD</t>
  </si>
  <si>
    <t>T515DQD</t>
  </si>
  <si>
    <t>T245ARR</t>
  </si>
  <si>
    <t>T759EHV</t>
  </si>
  <si>
    <t>T225EMM</t>
  </si>
  <si>
    <t>T651AEE</t>
  </si>
  <si>
    <t>T885CBB</t>
  </si>
  <si>
    <t>T208DZH</t>
  </si>
  <si>
    <t>T193DZH</t>
  </si>
  <si>
    <t>T872DQF</t>
  </si>
  <si>
    <t>T875DQF</t>
  </si>
  <si>
    <t>T347DWZ</t>
  </si>
  <si>
    <t>T936DEY</t>
  </si>
  <si>
    <t>T144DDY</t>
  </si>
  <si>
    <t>T337DWZ</t>
  </si>
  <si>
    <t>T934DEY</t>
  </si>
  <si>
    <t>T890CQL</t>
  </si>
  <si>
    <t>T893CJS</t>
  </si>
  <si>
    <t>T545BXN</t>
  </si>
  <si>
    <t>T949BZF</t>
  </si>
  <si>
    <t>T859CTU</t>
  </si>
  <si>
    <t>T227EMM</t>
  </si>
  <si>
    <t>T539BWU</t>
  </si>
  <si>
    <t>T110APA</t>
  </si>
  <si>
    <t>T900CBB</t>
  </si>
  <si>
    <t>T134DUG</t>
  </si>
  <si>
    <t>T344DEX</t>
  </si>
  <si>
    <t>T873CBB</t>
  </si>
  <si>
    <t>T940DWJ</t>
  </si>
  <si>
    <t>T303BED</t>
  </si>
  <si>
    <t>T532EFH</t>
  </si>
  <si>
    <t>T867CBB</t>
  </si>
  <si>
    <t>T230EMM</t>
  </si>
  <si>
    <t>T162BZX</t>
  </si>
  <si>
    <t>T718EFH</t>
  </si>
  <si>
    <t>KC3/24863</t>
  </si>
  <si>
    <t>KC2/26270</t>
  </si>
  <si>
    <t>KC3/24857</t>
  </si>
  <si>
    <t>KC2/26188</t>
  </si>
  <si>
    <t>KC2/26257</t>
  </si>
  <si>
    <t>KC3/24849</t>
  </si>
  <si>
    <t>KC2/26178</t>
  </si>
  <si>
    <t>KC3/24869</t>
  </si>
  <si>
    <t>KC3/24875</t>
  </si>
  <si>
    <t>KC3/24908</t>
  </si>
  <si>
    <t>KC3/24907</t>
  </si>
  <si>
    <t>KC2/26358</t>
  </si>
  <si>
    <t>KC3/24921</t>
  </si>
  <si>
    <t>KC2/26309</t>
  </si>
  <si>
    <t>KC2/26352</t>
  </si>
  <si>
    <t>KC2/26346</t>
  </si>
  <si>
    <t>KC3/24922</t>
  </si>
  <si>
    <t>KC3/24924</t>
  </si>
  <si>
    <t>KC2/26347</t>
  </si>
  <si>
    <t>KC3/24926</t>
  </si>
  <si>
    <t>KC2/26374</t>
  </si>
  <si>
    <t>KC2/26376</t>
  </si>
  <si>
    <t>KC3/24941</t>
  </si>
  <si>
    <t>WHISKEY</t>
  </si>
  <si>
    <t>L-MBASHI</t>
  </si>
  <si>
    <t>KC2/26397</t>
  </si>
  <si>
    <t>T180EES</t>
  </si>
  <si>
    <t>T521AUU</t>
  </si>
  <si>
    <t>T117DUG</t>
  </si>
  <si>
    <t>T212EES</t>
  </si>
  <si>
    <t>T148EHW</t>
  </si>
  <si>
    <t>T251EMM</t>
  </si>
  <si>
    <t>T459DZH</t>
  </si>
  <si>
    <t>T190BUF</t>
  </si>
  <si>
    <t>T256EMM</t>
  </si>
  <si>
    <t>T363EFR</t>
  </si>
  <si>
    <t>T238EFX</t>
  </si>
  <si>
    <t>T312EFX</t>
  </si>
  <si>
    <t>DCG DAR</t>
  </si>
  <si>
    <t>KC2/26315</t>
  </si>
  <si>
    <t>KC3/24966</t>
  </si>
  <si>
    <t>KC2/26417</t>
  </si>
  <si>
    <t>KC2/26423</t>
  </si>
  <si>
    <t>KC2/26293</t>
  </si>
  <si>
    <t>KC2/26311</t>
  </si>
  <si>
    <t>KC2/26443</t>
  </si>
  <si>
    <t>KC3/24873</t>
  </si>
  <si>
    <t>KC3/24987</t>
  </si>
  <si>
    <t>KC3/24982</t>
  </si>
  <si>
    <t>KC2/26382</t>
  </si>
  <si>
    <t>KC3/24936</t>
  </si>
  <si>
    <t>KC2/26387</t>
  </si>
  <si>
    <t>KC3/24951</t>
  </si>
  <si>
    <t>MKUSHI</t>
  </si>
  <si>
    <t>SERENJE</t>
  </si>
  <si>
    <t>KANYAKA</t>
  </si>
  <si>
    <t>MUTAKA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</si>
</sst>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/mmm/yy;@"/>
    <numFmt numFmtId="165" formatCode="General\ "/>
    <numFmt numFmtId="166" formatCode="_([$$-409]* #,##0_);_([$$-409]* \(#,##0\);_([$$-409]* &quot;-&quot;??_);_(@_)"/>
    <numFmt numFmtId="167" formatCode="_(&quot;$&quot;* #,##0_);_(&quot;$&quot;* \(#,##0\);_(&quot;$&quot;* &quot;-&quot;??_);_(@_)"/>
    <numFmt numFmtId="168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165" fontId="3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166" fontId="4" fillId="0" borderId="2" xfId="1" applyNumberFormat="1" applyFont="1" applyFill="1" applyBorder="1" applyAlignment="1" applyProtection="1">
      <alignment horizontal="center"/>
    </xf>
    <xf numFmtId="167" fontId="4" fillId="0" borderId="2" xfId="2" applyNumberFormat="1" applyFont="1" applyFill="1" applyBorder="1" applyAlignment="1" applyProtection="1">
      <alignment horizont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7" fontId="3" fillId="4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6" fontId="4" fillId="0" borderId="1" xfId="1" applyNumberFormat="1" applyFont="1" applyFill="1" applyBorder="1" applyAlignment="1" applyProtection="1">
      <alignment horizontal="center"/>
    </xf>
    <xf numFmtId="167" fontId="6" fillId="4" borderId="6" xfId="0" applyNumberFormat="1" applyFont="1" applyFill="1" applyBorder="1" applyAlignment="1">
      <alignment horizontal="center" vertical="center"/>
    </xf>
    <xf numFmtId="167" fontId="6" fillId="4" borderId="9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right" vertical="center"/>
    </xf>
    <xf numFmtId="0" fontId="8" fillId="4" borderId="8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/>
    </xf>
    <xf numFmtId="168" fontId="5" fillId="0" borderId="1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C32D-E559-4249-B076-3C783F663501}">
  <dimension ref="A1:R42"/>
  <sheetViews>
    <sheetView tabSelected="1" workbookViewId="0">
      <selection activeCell="F6" sqref="E6:F6"/>
    </sheetView>
  </sheetViews>
  <sheetFormatPr defaultColWidth="18.140625" defaultRowHeight="17.25" customHeight="1" x14ac:dyDescent="0.2"/>
  <cols>
    <col min="1" max="1" width="5.5703125" style="2" customWidth="1"/>
    <col min="2" max="2" width="8.85546875" style="2" customWidth="1"/>
    <col min="3" max="3" width="12.28515625" style="3" customWidth="1"/>
    <col min="4" max="4" width="8.7109375" style="3" bestFit="1" customWidth="1"/>
    <col min="5" max="5" width="9.5703125" style="3" customWidth="1"/>
    <col min="6" max="6" width="11.5703125" style="3" customWidth="1"/>
    <col min="7" max="7" width="14.7109375" style="3" customWidth="1"/>
    <col min="8" max="8" width="12.28515625" style="3" customWidth="1"/>
    <col min="9" max="9" width="13" style="3" customWidth="1"/>
    <col min="10" max="10" width="16.28515625" style="3" customWidth="1"/>
    <col min="11" max="11" width="12.5703125" style="3" customWidth="1"/>
    <col min="12" max="12" width="10.28515625" style="3" bestFit="1" customWidth="1"/>
    <col min="13" max="13" width="10.28515625" style="3" customWidth="1"/>
    <col min="14" max="14" width="8.7109375" style="3" bestFit="1" customWidth="1"/>
    <col min="15" max="15" width="5.7109375" style="3" bestFit="1" customWidth="1"/>
    <col min="16" max="16" width="11.28515625" style="3" bestFit="1" customWidth="1"/>
    <col min="17" max="17" width="6.7109375" style="3" bestFit="1" customWidth="1"/>
    <col min="18" max="18" width="10.140625" style="3" bestFit="1" customWidth="1"/>
    <col min="19" max="16384" width="18.140625" style="3"/>
  </cols>
  <sheetData>
    <row r="1" spans="1:18" customFormat="1" ht="17.25" customHeight="1" x14ac:dyDescent="0.25">
      <c r="A1" s="7" t="s">
        <v>7</v>
      </c>
      <c r="B1" s="1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26" t="s">
        <v>20</v>
      </c>
      <c r="Q1" s="27"/>
      <c r="R1" s="24">
        <f>SUM(R4:R41)</f>
        <v>7500</v>
      </c>
    </row>
    <row r="2" spans="1:18" customFormat="1" ht="17.25" customHeight="1" x14ac:dyDescent="0.25">
      <c r="A2" s="9" t="s">
        <v>8</v>
      </c>
      <c r="B2" s="1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28"/>
      <c r="Q2" s="29"/>
      <c r="R2" s="25"/>
    </row>
    <row r="3" spans="1:18" s="14" customFormat="1" ht="56.1" customHeight="1" x14ac:dyDescent="0.25">
      <c r="A3" s="11" t="s">
        <v>6</v>
      </c>
      <c r="B3" s="11" t="s">
        <v>9</v>
      </c>
      <c r="C3" s="11" t="s">
        <v>11</v>
      </c>
      <c r="D3" s="11" t="s">
        <v>4</v>
      </c>
      <c r="E3" s="11" t="s">
        <v>5</v>
      </c>
      <c r="F3" s="11" t="s">
        <v>12</v>
      </c>
      <c r="G3" s="11" t="s">
        <v>23</v>
      </c>
      <c r="H3" s="11" t="s">
        <v>13</v>
      </c>
      <c r="I3" s="11" t="s">
        <v>3</v>
      </c>
      <c r="J3" s="11" t="s">
        <v>0</v>
      </c>
      <c r="K3" s="12" t="s">
        <v>14</v>
      </c>
      <c r="L3" s="12" t="s">
        <v>2</v>
      </c>
      <c r="M3" s="12" t="s">
        <v>15</v>
      </c>
      <c r="N3" s="12" t="s">
        <v>16</v>
      </c>
      <c r="O3" s="13" t="s">
        <v>1</v>
      </c>
      <c r="P3" s="13" t="s">
        <v>17</v>
      </c>
      <c r="Q3" s="13" t="s">
        <v>18</v>
      </c>
      <c r="R3" s="13" t="s">
        <v>19</v>
      </c>
    </row>
    <row r="4" spans="1:18" ht="17.25" customHeight="1" x14ac:dyDescent="0.2">
      <c r="A4" s="16" t="s">
        <v>21</v>
      </c>
      <c r="B4" s="15" t="s">
        <v>10</v>
      </c>
      <c r="C4" s="20" t="s">
        <v>29</v>
      </c>
      <c r="D4" s="20" t="s">
        <v>54</v>
      </c>
      <c r="E4" s="20"/>
      <c r="F4" s="20" t="s">
        <v>155</v>
      </c>
      <c r="G4" s="20" t="s">
        <v>24</v>
      </c>
      <c r="H4" s="20" t="s">
        <v>117</v>
      </c>
      <c r="I4" s="20" t="s">
        <v>170</v>
      </c>
      <c r="J4" s="30" t="s">
        <v>22</v>
      </c>
      <c r="K4" s="31">
        <v>45943</v>
      </c>
      <c r="L4" s="31">
        <v>45953</v>
      </c>
      <c r="M4" s="31">
        <v>45959</v>
      </c>
      <c r="N4" s="1">
        <f t="shared" ref="N4:N17" si="0">MAX(0,M4-K4)</f>
        <v>16</v>
      </c>
      <c r="O4" s="4">
        <v>13</v>
      </c>
      <c r="P4" s="1">
        <f t="shared" ref="P4:P17" si="1">MAX(0,N4-O4)</f>
        <v>3</v>
      </c>
      <c r="Q4" s="5">
        <v>250</v>
      </c>
      <c r="R4" s="6">
        <f t="shared" ref="R4:R41" si="2">+P4*Q4</f>
        <v>750</v>
      </c>
    </row>
    <row r="5" spans="1:18" ht="17.25" customHeight="1" x14ac:dyDescent="0.2">
      <c r="A5" s="16" t="s">
        <v>21</v>
      </c>
      <c r="B5" s="15" t="s">
        <v>10</v>
      </c>
      <c r="C5" s="20" t="s">
        <v>30</v>
      </c>
      <c r="D5" s="20" t="s">
        <v>55</v>
      </c>
      <c r="E5" s="20"/>
      <c r="F5" s="20" t="s">
        <v>155</v>
      </c>
      <c r="G5" s="20" t="s">
        <v>24</v>
      </c>
      <c r="H5" s="20" t="s">
        <v>118</v>
      </c>
      <c r="I5" s="20" t="s">
        <v>170</v>
      </c>
      <c r="J5" s="30" t="s">
        <v>22</v>
      </c>
      <c r="K5" s="31">
        <v>45943</v>
      </c>
      <c r="L5" s="31">
        <v>45953</v>
      </c>
      <c r="M5" s="31">
        <v>45959</v>
      </c>
      <c r="N5" s="1">
        <f t="shared" si="0"/>
        <v>16</v>
      </c>
      <c r="O5" s="4">
        <v>13</v>
      </c>
      <c r="P5" s="1">
        <f t="shared" si="1"/>
        <v>3</v>
      </c>
      <c r="Q5" s="5">
        <v>250</v>
      </c>
      <c r="R5" s="6">
        <f t="shared" si="2"/>
        <v>750</v>
      </c>
    </row>
    <row r="6" spans="1:18" ht="17.25" customHeight="1" x14ac:dyDescent="0.2">
      <c r="A6" s="16" t="s">
        <v>21</v>
      </c>
      <c r="B6" s="15" t="s">
        <v>10</v>
      </c>
      <c r="C6" s="20" t="s">
        <v>31</v>
      </c>
      <c r="D6" s="20" t="s">
        <v>56</v>
      </c>
      <c r="E6" s="20" t="s">
        <v>57</v>
      </c>
      <c r="F6" s="20" t="s">
        <v>155</v>
      </c>
      <c r="G6" s="20" t="s">
        <v>24</v>
      </c>
      <c r="H6" s="20" t="s">
        <v>119</v>
      </c>
      <c r="I6" s="20" t="s">
        <v>170</v>
      </c>
      <c r="J6" s="30" t="s">
        <v>22</v>
      </c>
      <c r="K6" s="31">
        <v>45946</v>
      </c>
      <c r="L6" s="31">
        <v>45953</v>
      </c>
      <c r="M6" s="31">
        <v>45959</v>
      </c>
      <c r="N6" s="1">
        <f t="shared" ref="N6:N16" si="3">MAX(0,M6-K6)</f>
        <v>13</v>
      </c>
      <c r="O6" s="4">
        <v>13</v>
      </c>
      <c r="P6" s="1">
        <f t="shared" ref="P6:P16" si="4">MAX(0,N6-O6)</f>
        <v>0</v>
      </c>
      <c r="Q6" s="5">
        <v>250</v>
      </c>
      <c r="R6" s="6">
        <f t="shared" si="2"/>
        <v>0</v>
      </c>
    </row>
    <row r="7" spans="1:18" ht="17.25" customHeight="1" x14ac:dyDescent="0.2">
      <c r="A7" s="16" t="s">
        <v>21</v>
      </c>
      <c r="B7" s="15" t="s">
        <v>10</v>
      </c>
      <c r="C7" s="20" t="s">
        <v>32</v>
      </c>
      <c r="D7" s="20" t="s">
        <v>58</v>
      </c>
      <c r="E7" s="20"/>
      <c r="F7" s="20" t="s">
        <v>155</v>
      </c>
      <c r="G7" s="20" t="s">
        <v>24</v>
      </c>
      <c r="H7" s="20" t="s">
        <v>120</v>
      </c>
      <c r="I7" s="20" t="s">
        <v>27</v>
      </c>
      <c r="J7" s="30" t="s">
        <v>22</v>
      </c>
      <c r="K7" s="31">
        <v>45946</v>
      </c>
      <c r="L7" s="31">
        <v>45953</v>
      </c>
      <c r="M7" s="31">
        <v>45959</v>
      </c>
      <c r="N7" s="1">
        <f t="shared" si="3"/>
        <v>13</v>
      </c>
      <c r="O7" s="4">
        <v>13</v>
      </c>
      <c r="P7" s="1">
        <f t="shared" si="4"/>
        <v>0</v>
      </c>
      <c r="Q7" s="5">
        <v>250</v>
      </c>
      <c r="R7" s="6">
        <f t="shared" si="2"/>
        <v>0</v>
      </c>
    </row>
    <row r="8" spans="1:18" ht="17.25" customHeight="1" x14ac:dyDescent="0.2">
      <c r="A8" s="16" t="s">
        <v>21</v>
      </c>
      <c r="B8" s="15" t="s">
        <v>10</v>
      </c>
      <c r="C8" s="20" t="s">
        <v>33</v>
      </c>
      <c r="D8" s="20" t="s">
        <v>59</v>
      </c>
      <c r="E8" s="20" t="s">
        <v>60</v>
      </c>
      <c r="F8" s="20" t="s">
        <v>155</v>
      </c>
      <c r="G8" s="20" t="s">
        <v>24</v>
      </c>
      <c r="H8" s="20" t="s">
        <v>121</v>
      </c>
      <c r="I8" s="20" t="s">
        <v>170</v>
      </c>
      <c r="J8" s="30" t="s">
        <v>22</v>
      </c>
      <c r="K8" s="31">
        <v>45946</v>
      </c>
      <c r="L8" s="31">
        <v>45953</v>
      </c>
      <c r="M8" s="31">
        <v>45959</v>
      </c>
      <c r="N8" s="1">
        <f t="shared" si="3"/>
        <v>13</v>
      </c>
      <c r="O8" s="4">
        <v>13</v>
      </c>
      <c r="P8" s="1">
        <f t="shared" si="4"/>
        <v>0</v>
      </c>
      <c r="Q8" s="5">
        <v>250</v>
      </c>
      <c r="R8" s="6">
        <f t="shared" si="2"/>
        <v>0</v>
      </c>
    </row>
    <row r="9" spans="1:18" ht="17.25" customHeight="1" x14ac:dyDescent="0.2">
      <c r="A9" s="16" t="s">
        <v>21</v>
      </c>
      <c r="B9" s="15" t="s">
        <v>10</v>
      </c>
      <c r="C9" s="20" t="s">
        <v>34</v>
      </c>
      <c r="D9" s="20" t="s">
        <v>61</v>
      </c>
      <c r="E9" s="20"/>
      <c r="F9" s="20" t="s">
        <v>155</v>
      </c>
      <c r="G9" s="20" t="s">
        <v>24</v>
      </c>
      <c r="H9" s="20" t="s">
        <v>122</v>
      </c>
      <c r="I9" s="20" t="s">
        <v>26</v>
      </c>
      <c r="J9" s="30" t="s">
        <v>22</v>
      </c>
      <c r="K9" s="31">
        <v>45947</v>
      </c>
      <c r="L9" s="31">
        <v>45953</v>
      </c>
      <c r="M9" s="31">
        <v>45959</v>
      </c>
      <c r="N9" s="1">
        <f t="shared" si="3"/>
        <v>12</v>
      </c>
      <c r="O9" s="4">
        <v>13</v>
      </c>
      <c r="P9" s="1">
        <f t="shared" si="4"/>
        <v>0</v>
      </c>
      <c r="Q9" s="5">
        <v>250</v>
      </c>
      <c r="R9" s="6">
        <f t="shared" si="2"/>
        <v>0</v>
      </c>
    </row>
    <row r="10" spans="1:18" ht="17.25" customHeight="1" x14ac:dyDescent="0.2">
      <c r="A10" s="16" t="s">
        <v>21</v>
      </c>
      <c r="B10" s="15" t="s">
        <v>10</v>
      </c>
      <c r="C10" s="20" t="s">
        <v>35</v>
      </c>
      <c r="D10" s="20" t="s">
        <v>62</v>
      </c>
      <c r="E10" s="20" t="s">
        <v>63</v>
      </c>
      <c r="F10" s="20" t="s">
        <v>155</v>
      </c>
      <c r="G10" s="20" t="s">
        <v>24</v>
      </c>
      <c r="H10" s="20" t="s">
        <v>123</v>
      </c>
      <c r="I10" s="20" t="s">
        <v>25</v>
      </c>
      <c r="J10" s="30" t="s">
        <v>22</v>
      </c>
      <c r="K10" s="31">
        <v>45952</v>
      </c>
      <c r="L10" s="31">
        <v>45955</v>
      </c>
      <c r="M10" s="31">
        <v>45960</v>
      </c>
      <c r="N10" s="1">
        <f t="shared" si="3"/>
        <v>8</v>
      </c>
      <c r="O10" s="4">
        <v>13</v>
      </c>
      <c r="P10" s="1">
        <f t="shared" si="4"/>
        <v>0</v>
      </c>
      <c r="Q10" s="5">
        <v>250</v>
      </c>
      <c r="R10" s="6">
        <f t="shared" si="2"/>
        <v>0</v>
      </c>
    </row>
    <row r="11" spans="1:18" ht="17.25" customHeight="1" x14ac:dyDescent="0.2">
      <c r="A11" s="16" t="s">
        <v>21</v>
      </c>
      <c r="B11" s="15" t="s">
        <v>10</v>
      </c>
      <c r="C11" s="20" t="s">
        <v>36</v>
      </c>
      <c r="D11" s="20" t="s">
        <v>64</v>
      </c>
      <c r="E11" s="20" t="s">
        <v>65</v>
      </c>
      <c r="F11" s="20" t="s">
        <v>155</v>
      </c>
      <c r="G11" s="20" t="s">
        <v>24</v>
      </c>
      <c r="H11" s="20" t="s">
        <v>124</v>
      </c>
      <c r="I11" s="20" t="s">
        <v>170</v>
      </c>
      <c r="J11" s="30" t="s">
        <v>22</v>
      </c>
      <c r="K11" s="31">
        <v>45952</v>
      </c>
      <c r="L11" s="31">
        <v>45956</v>
      </c>
      <c r="M11" s="31">
        <v>45960</v>
      </c>
      <c r="N11" s="1">
        <f t="shared" si="3"/>
        <v>8</v>
      </c>
      <c r="O11" s="4">
        <v>13</v>
      </c>
      <c r="P11" s="1">
        <f t="shared" si="4"/>
        <v>0</v>
      </c>
      <c r="Q11" s="5">
        <v>250</v>
      </c>
      <c r="R11" s="6">
        <f t="shared" si="2"/>
        <v>0</v>
      </c>
    </row>
    <row r="12" spans="1:18" ht="17.25" customHeight="1" x14ac:dyDescent="0.2">
      <c r="A12" s="16" t="s">
        <v>21</v>
      </c>
      <c r="B12" s="15" t="s">
        <v>10</v>
      </c>
      <c r="C12" s="20" t="s">
        <v>37</v>
      </c>
      <c r="D12" s="20" t="s">
        <v>66</v>
      </c>
      <c r="E12" s="20" t="s">
        <v>67</v>
      </c>
      <c r="F12" s="20" t="s">
        <v>155</v>
      </c>
      <c r="G12" s="20" t="s">
        <v>24</v>
      </c>
      <c r="H12" s="20" t="s">
        <v>125</v>
      </c>
      <c r="I12" s="20" t="s">
        <v>170</v>
      </c>
      <c r="J12" s="30" t="s">
        <v>22</v>
      </c>
      <c r="K12" s="31">
        <v>45952</v>
      </c>
      <c r="L12" s="31">
        <v>45956</v>
      </c>
      <c r="M12" s="31">
        <v>45960</v>
      </c>
      <c r="N12" s="1">
        <f t="shared" si="3"/>
        <v>8</v>
      </c>
      <c r="O12" s="4">
        <v>13</v>
      </c>
      <c r="P12" s="1">
        <f t="shared" si="4"/>
        <v>0</v>
      </c>
      <c r="Q12" s="5">
        <v>250</v>
      </c>
      <c r="R12" s="6">
        <f t="shared" si="2"/>
        <v>0</v>
      </c>
    </row>
    <row r="13" spans="1:18" ht="17.25" customHeight="1" x14ac:dyDescent="0.2">
      <c r="A13" s="16" t="s">
        <v>21</v>
      </c>
      <c r="B13" s="15" t="s">
        <v>10</v>
      </c>
      <c r="C13" s="20" t="s">
        <v>38</v>
      </c>
      <c r="D13" s="20" t="s">
        <v>68</v>
      </c>
      <c r="E13" s="20" t="s">
        <v>69</v>
      </c>
      <c r="F13" s="20" t="s">
        <v>155</v>
      </c>
      <c r="G13" s="20" t="s">
        <v>24</v>
      </c>
      <c r="H13" s="20" t="s">
        <v>126</v>
      </c>
      <c r="I13" s="20" t="s">
        <v>170</v>
      </c>
      <c r="J13" s="30" t="s">
        <v>22</v>
      </c>
      <c r="K13" s="31">
        <v>45952</v>
      </c>
      <c r="L13" s="31">
        <v>45957</v>
      </c>
      <c r="M13" s="31">
        <v>45962</v>
      </c>
      <c r="N13" s="1">
        <f t="shared" si="3"/>
        <v>10</v>
      </c>
      <c r="O13" s="4">
        <v>13</v>
      </c>
      <c r="P13" s="1">
        <f t="shared" si="4"/>
        <v>0</v>
      </c>
      <c r="Q13" s="5">
        <v>250</v>
      </c>
      <c r="R13" s="6">
        <f t="shared" si="2"/>
        <v>0</v>
      </c>
    </row>
    <row r="14" spans="1:18" ht="17.25" customHeight="1" x14ac:dyDescent="0.2">
      <c r="A14" s="16" t="s">
        <v>21</v>
      </c>
      <c r="B14" s="15" t="s">
        <v>10</v>
      </c>
      <c r="C14" s="20" t="s">
        <v>39</v>
      </c>
      <c r="D14" s="20" t="s">
        <v>70</v>
      </c>
      <c r="E14" s="20" t="s">
        <v>71</v>
      </c>
      <c r="F14" s="20" t="s">
        <v>155</v>
      </c>
      <c r="G14" s="20" t="s">
        <v>24</v>
      </c>
      <c r="H14" s="20" t="s">
        <v>127</v>
      </c>
      <c r="I14" s="20" t="s">
        <v>26</v>
      </c>
      <c r="J14" s="30" t="s">
        <v>22</v>
      </c>
      <c r="K14" s="31">
        <v>45952</v>
      </c>
      <c r="L14" s="31">
        <v>45957</v>
      </c>
      <c r="M14" s="31">
        <v>45962</v>
      </c>
      <c r="N14" s="1">
        <f t="shared" si="3"/>
        <v>10</v>
      </c>
      <c r="O14" s="4">
        <v>13</v>
      </c>
      <c r="P14" s="1">
        <f t="shared" si="4"/>
        <v>0</v>
      </c>
      <c r="Q14" s="5">
        <v>250</v>
      </c>
      <c r="R14" s="6">
        <f t="shared" si="2"/>
        <v>0</v>
      </c>
    </row>
    <row r="15" spans="1:18" ht="17.25" customHeight="1" x14ac:dyDescent="0.2">
      <c r="A15" s="16" t="s">
        <v>21</v>
      </c>
      <c r="B15" s="15" t="s">
        <v>10</v>
      </c>
      <c r="C15" s="20" t="s">
        <v>40</v>
      </c>
      <c r="D15" s="20" t="s">
        <v>40</v>
      </c>
      <c r="E15" s="20" t="s">
        <v>72</v>
      </c>
      <c r="F15" s="20" t="s">
        <v>155</v>
      </c>
      <c r="G15" s="20" t="s">
        <v>24</v>
      </c>
      <c r="H15" s="20" t="s">
        <v>128</v>
      </c>
      <c r="I15" s="20" t="s">
        <v>170</v>
      </c>
      <c r="J15" s="30" t="s">
        <v>22</v>
      </c>
      <c r="K15" s="31">
        <v>45952</v>
      </c>
      <c r="L15" s="31">
        <v>45958</v>
      </c>
      <c r="M15" s="31">
        <v>45962</v>
      </c>
      <c r="N15" s="1">
        <f t="shared" si="3"/>
        <v>10</v>
      </c>
      <c r="O15" s="4">
        <v>13</v>
      </c>
      <c r="P15" s="1">
        <f t="shared" si="4"/>
        <v>0</v>
      </c>
      <c r="Q15" s="5">
        <v>250</v>
      </c>
      <c r="R15" s="6">
        <f t="shared" si="2"/>
        <v>0</v>
      </c>
    </row>
    <row r="16" spans="1:18" ht="17.25" customHeight="1" x14ac:dyDescent="0.2">
      <c r="A16" s="16" t="s">
        <v>21</v>
      </c>
      <c r="B16" s="15" t="s">
        <v>10</v>
      </c>
      <c r="C16" s="20" t="s">
        <v>41</v>
      </c>
      <c r="D16" s="20" t="s">
        <v>73</v>
      </c>
      <c r="E16" s="20" t="s">
        <v>74</v>
      </c>
      <c r="F16" s="20" t="s">
        <v>155</v>
      </c>
      <c r="G16" s="20" t="s">
        <v>24</v>
      </c>
      <c r="H16" s="20" t="s">
        <v>129</v>
      </c>
      <c r="I16" s="20" t="s">
        <v>26</v>
      </c>
      <c r="J16" s="30" t="s">
        <v>22</v>
      </c>
      <c r="K16" s="31">
        <v>45952</v>
      </c>
      <c r="L16" s="31">
        <v>45958</v>
      </c>
      <c r="M16" s="31">
        <v>45962</v>
      </c>
      <c r="N16" s="1">
        <f t="shared" si="3"/>
        <v>10</v>
      </c>
      <c r="O16" s="4">
        <v>13</v>
      </c>
      <c r="P16" s="1">
        <f t="shared" si="4"/>
        <v>0</v>
      </c>
      <c r="Q16" s="5">
        <v>250</v>
      </c>
      <c r="R16" s="6">
        <f t="shared" si="2"/>
        <v>0</v>
      </c>
    </row>
    <row r="17" spans="1:18" ht="17.25" customHeight="1" x14ac:dyDescent="0.2">
      <c r="A17" s="16" t="s">
        <v>21</v>
      </c>
      <c r="B17" s="15" t="s">
        <v>10</v>
      </c>
      <c r="C17" s="20" t="s">
        <v>42</v>
      </c>
      <c r="D17" s="20" t="s">
        <v>42</v>
      </c>
      <c r="E17" s="20" t="s">
        <v>75</v>
      </c>
      <c r="F17" s="20" t="s">
        <v>155</v>
      </c>
      <c r="G17" s="20" t="s">
        <v>24</v>
      </c>
      <c r="H17" s="20" t="s">
        <v>130</v>
      </c>
      <c r="I17" s="20" t="s">
        <v>170</v>
      </c>
      <c r="J17" s="30" t="s">
        <v>22</v>
      </c>
      <c r="K17" s="31">
        <v>45953</v>
      </c>
      <c r="L17" s="31">
        <v>45958</v>
      </c>
      <c r="M17" s="31">
        <v>45962</v>
      </c>
      <c r="N17" s="1">
        <f t="shared" si="0"/>
        <v>9</v>
      </c>
      <c r="O17" s="4">
        <v>13</v>
      </c>
      <c r="P17" s="1">
        <f t="shared" si="1"/>
        <v>0</v>
      </c>
      <c r="Q17" s="5">
        <v>250</v>
      </c>
      <c r="R17" s="6">
        <f t="shared" si="2"/>
        <v>0</v>
      </c>
    </row>
    <row r="18" spans="1:18" ht="17.25" customHeight="1" x14ac:dyDescent="0.2">
      <c r="A18" s="16" t="s">
        <v>21</v>
      </c>
      <c r="B18" s="15" t="s">
        <v>10</v>
      </c>
      <c r="C18" s="20" t="s">
        <v>43</v>
      </c>
      <c r="D18" s="20" t="s">
        <v>76</v>
      </c>
      <c r="E18" s="20" t="s">
        <v>77</v>
      </c>
      <c r="F18" s="20" t="s">
        <v>155</v>
      </c>
      <c r="G18" s="20" t="s">
        <v>24</v>
      </c>
      <c r="H18" s="20" t="s">
        <v>131</v>
      </c>
      <c r="I18" s="20" t="s">
        <v>170</v>
      </c>
      <c r="J18" s="30" t="s">
        <v>22</v>
      </c>
      <c r="K18" s="31">
        <v>45954</v>
      </c>
      <c r="L18" s="31">
        <v>45958</v>
      </c>
      <c r="M18" s="31">
        <v>45962</v>
      </c>
      <c r="N18" s="1">
        <f t="shared" ref="N18:N23" si="5">MAX(0,M18-K18)</f>
        <v>8</v>
      </c>
      <c r="O18" s="4">
        <v>13</v>
      </c>
      <c r="P18" s="1">
        <f t="shared" ref="P18:P23" si="6">MAX(0,N18-O18)</f>
        <v>0</v>
      </c>
      <c r="Q18" s="5">
        <v>250</v>
      </c>
      <c r="R18" s="6">
        <f t="shared" si="2"/>
        <v>0</v>
      </c>
    </row>
    <row r="19" spans="1:18" ht="17.25" customHeight="1" x14ac:dyDescent="0.2">
      <c r="A19" s="16" t="s">
        <v>21</v>
      </c>
      <c r="B19" s="15" t="s">
        <v>10</v>
      </c>
      <c r="C19" s="20" t="s">
        <v>44</v>
      </c>
      <c r="D19" s="20" t="s">
        <v>44</v>
      </c>
      <c r="E19" s="20" t="s">
        <v>78</v>
      </c>
      <c r="F19" s="20" t="s">
        <v>155</v>
      </c>
      <c r="G19" s="20" t="s">
        <v>24</v>
      </c>
      <c r="H19" s="20" t="s">
        <v>132</v>
      </c>
      <c r="I19" s="20" t="s">
        <v>170</v>
      </c>
      <c r="J19" s="30" t="s">
        <v>22</v>
      </c>
      <c r="K19" s="31">
        <v>45954</v>
      </c>
      <c r="L19" s="31">
        <v>45958</v>
      </c>
      <c r="M19" s="31">
        <v>45962</v>
      </c>
      <c r="N19" s="1">
        <f t="shared" si="5"/>
        <v>8</v>
      </c>
      <c r="O19" s="4">
        <v>13</v>
      </c>
      <c r="P19" s="1">
        <f t="shared" si="6"/>
        <v>0</v>
      </c>
      <c r="Q19" s="5">
        <v>250</v>
      </c>
      <c r="R19" s="6">
        <f t="shared" si="2"/>
        <v>0</v>
      </c>
    </row>
    <row r="20" spans="1:18" ht="17.25" customHeight="1" x14ac:dyDescent="0.2">
      <c r="A20" s="16" t="s">
        <v>21</v>
      </c>
      <c r="B20" s="15" t="s">
        <v>10</v>
      </c>
      <c r="C20" s="20" t="s">
        <v>45</v>
      </c>
      <c r="D20" s="20" t="s">
        <v>79</v>
      </c>
      <c r="E20" s="20" t="s">
        <v>80</v>
      </c>
      <c r="F20" s="20" t="s">
        <v>155</v>
      </c>
      <c r="G20" s="20" t="s">
        <v>24</v>
      </c>
      <c r="H20" s="20" t="s">
        <v>133</v>
      </c>
      <c r="I20" s="20" t="s">
        <v>26</v>
      </c>
      <c r="J20" s="30" t="s">
        <v>22</v>
      </c>
      <c r="K20" s="31">
        <v>45954</v>
      </c>
      <c r="L20" s="31">
        <v>45958</v>
      </c>
      <c r="M20" s="31">
        <v>45962</v>
      </c>
      <c r="N20" s="1">
        <f t="shared" si="5"/>
        <v>8</v>
      </c>
      <c r="O20" s="4">
        <v>13</v>
      </c>
      <c r="P20" s="1">
        <f t="shared" si="6"/>
        <v>0</v>
      </c>
      <c r="Q20" s="5">
        <v>250</v>
      </c>
      <c r="R20" s="6">
        <f t="shared" si="2"/>
        <v>0</v>
      </c>
    </row>
    <row r="21" spans="1:18" ht="17.25" customHeight="1" x14ac:dyDescent="0.2">
      <c r="A21" s="16" t="s">
        <v>21</v>
      </c>
      <c r="B21" s="15" t="s">
        <v>10</v>
      </c>
      <c r="C21" s="20" t="s">
        <v>46</v>
      </c>
      <c r="D21" s="20" t="s">
        <v>46</v>
      </c>
      <c r="E21" s="20" t="s">
        <v>81</v>
      </c>
      <c r="F21" s="20" t="s">
        <v>155</v>
      </c>
      <c r="G21" s="20" t="s">
        <v>24</v>
      </c>
      <c r="H21" s="20" t="s">
        <v>134</v>
      </c>
      <c r="I21" s="20" t="s">
        <v>171</v>
      </c>
      <c r="J21" s="30" t="s">
        <v>22</v>
      </c>
      <c r="K21" s="31">
        <v>45954</v>
      </c>
      <c r="L21" s="31">
        <v>45958</v>
      </c>
      <c r="M21" s="31">
        <v>45962</v>
      </c>
      <c r="N21" s="21">
        <f t="shared" si="5"/>
        <v>8</v>
      </c>
      <c r="O21" s="22">
        <v>13</v>
      </c>
      <c r="P21" s="21">
        <f t="shared" si="6"/>
        <v>0</v>
      </c>
      <c r="Q21" s="23">
        <v>250</v>
      </c>
      <c r="R21" s="6">
        <f t="shared" si="2"/>
        <v>0</v>
      </c>
    </row>
    <row r="22" spans="1:18" ht="17.25" customHeight="1" x14ac:dyDescent="0.2">
      <c r="A22" s="16" t="s">
        <v>21</v>
      </c>
      <c r="B22" s="15" t="s">
        <v>10</v>
      </c>
      <c r="C22" s="20" t="s">
        <v>47</v>
      </c>
      <c r="D22" s="20" t="s">
        <v>82</v>
      </c>
      <c r="E22" s="20" t="s">
        <v>83</v>
      </c>
      <c r="F22" s="20" t="s">
        <v>155</v>
      </c>
      <c r="G22" s="20" t="s">
        <v>24</v>
      </c>
      <c r="H22" s="20" t="s">
        <v>135</v>
      </c>
      <c r="I22" s="20" t="s">
        <v>28</v>
      </c>
      <c r="J22" s="30" t="s">
        <v>22</v>
      </c>
      <c r="K22" s="31">
        <v>45952</v>
      </c>
      <c r="L22" s="31">
        <v>45958</v>
      </c>
      <c r="M22" s="31">
        <v>45966</v>
      </c>
      <c r="N22" s="21">
        <f t="shared" si="5"/>
        <v>14</v>
      </c>
      <c r="O22" s="22">
        <v>13</v>
      </c>
      <c r="P22" s="21">
        <f t="shared" si="6"/>
        <v>1</v>
      </c>
      <c r="Q22" s="23">
        <v>250</v>
      </c>
      <c r="R22" s="6">
        <f t="shared" si="2"/>
        <v>250</v>
      </c>
    </row>
    <row r="23" spans="1:18" ht="16.5" customHeight="1" x14ac:dyDescent="0.2">
      <c r="A23" s="16" t="s">
        <v>21</v>
      </c>
      <c r="B23" s="15" t="s">
        <v>10</v>
      </c>
      <c r="C23" s="20" t="s">
        <v>48</v>
      </c>
      <c r="D23" s="20" t="s">
        <v>84</v>
      </c>
      <c r="E23" s="20"/>
      <c r="F23" s="20" t="s">
        <v>155</v>
      </c>
      <c r="G23" s="20" t="s">
        <v>24</v>
      </c>
      <c r="H23" s="20" t="s">
        <v>136</v>
      </c>
      <c r="I23" s="20" t="s">
        <v>26</v>
      </c>
      <c r="J23" s="30" t="s">
        <v>22</v>
      </c>
      <c r="K23" s="31">
        <v>45954</v>
      </c>
      <c r="L23" s="31">
        <v>45959</v>
      </c>
      <c r="M23" s="31">
        <v>45966</v>
      </c>
      <c r="N23" s="21">
        <f t="shared" si="5"/>
        <v>12</v>
      </c>
      <c r="O23" s="22">
        <v>13</v>
      </c>
      <c r="P23" s="21">
        <f t="shared" si="6"/>
        <v>0</v>
      </c>
      <c r="Q23" s="23">
        <v>250</v>
      </c>
      <c r="R23" s="6">
        <f t="shared" si="2"/>
        <v>0</v>
      </c>
    </row>
    <row r="24" spans="1:18" ht="17.25" customHeight="1" x14ac:dyDescent="0.2">
      <c r="A24" s="16" t="s">
        <v>21</v>
      </c>
      <c r="B24" s="15" t="s">
        <v>10</v>
      </c>
      <c r="C24" s="20" t="s">
        <v>49</v>
      </c>
      <c r="D24" s="20" t="s">
        <v>85</v>
      </c>
      <c r="E24" s="20" t="s">
        <v>86</v>
      </c>
      <c r="F24" s="20" t="s">
        <v>155</v>
      </c>
      <c r="G24" s="20" t="s">
        <v>24</v>
      </c>
      <c r="H24" s="20" t="s">
        <v>142</v>
      </c>
      <c r="I24" s="20" t="s">
        <v>140</v>
      </c>
      <c r="J24" s="30" t="s">
        <v>22</v>
      </c>
      <c r="K24" s="31">
        <v>45954</v>
      </c>
      <c r="L24" s="31">
        <v>45961</v>
      </c>
      <c r="M24" s="31">
        <v>45967</v>
      </c>
      <c r="N24" s="21">
        <f t="shared" ref="N24:N41" si="7">MAX(0,M24-K24)</f>
        <v>13</v>
      </c>
      <c r="O24" s="22">
        <v>13</v>
      </c>
      <c r="P24" s="21">
        <f t="shared" ref="P24:P41" si="8">MAX(0,N24-O24)</f>
        <v>0</v>
      </c>
      <c r="Q24" s="23">
        <v>250</v>
      </c>
      <c r="R24" s="6">
        <f t="shared" si="2"/>
        <v>0</v>
      </c>
    </row>
    <row r="25" spans="1:18" ht="17.25" customHeight="1" x14ac:dyDescent="0.2">
      <c r="A25" s="16" t="s">
        <v>21</v>
      </c>
      <c r="B25" s="15" t="s">
        <v>10</v>
      </c>
      <c r="C25" s="20" t="s">
        <v>50</v>
      </c>
      <c r="D25" s="20" t="s">
        <v>87</v>
      </c>
      <c r="E25" s="20"/>
      <c r="F25" s="20" t="s">
        <v>155</v>
      </c>
      <c r="G25" s="20" t="s">
        <v>24</v>
      </c>
      <c r="H25" s="20" t="s">
        <v>137</v>
      </c>
      <c r="I25" s="20" t="s">
        <v>28</v>
      </c>
      <c r="J25" s="30" t="s">
        <v>22</v>
      </c>
      <c r="K25" s="31">
        <v>45954</v>
      </c>
      <c r="L25" s="31">
        <v>45960</v>
      </c>
      <c r="M25" s="31">
        <v>45967</v>
      </c>
      <c r="N25" s="21">
        <f t="shared" si="7"/>
        <v>13</v>
      </c>
      <c r="O25" s="22">
        <v>13</v>
      </c>
      <c r="P25" s="21">
        <f t="shared" si="8"/>
        <v>0</v>
      </c>
      <c r="Q25" s="23">
        <v>250</v>
      </c>
      <c r="R25" s="6">
        <f t="shared" si="2"/>
        <v>0</v>
      </c>
    </row>
    <row r="26" spans="1:18" ht="17.25" customHeight="1" x14ac:dyDescent="0.2">
      <c r="A26" s="16" t="s">
        <v>21</v>
      </c>
      <c r="B26" s="15" t="s">
        <v>10</v>
      </c>
      <c r="C26" s="20" t="s">
        <v>51</v>
      </c>
      <c r="D26" s="20" t="s">
        <v>88</v>
      </c>
      <c r="E26" s="20"/>
      <c r="F26" s="20" t="s">
        <v>155</v>
      </c>
      <c r="G26" s="20" t="s">
        <v>24</v>
      </c>
      <c r="H26" s="20" t="s">
        <v>138</v>
      </c>
      <c r="I26" s="20" t="s">
        <v>140</v>
      </c>
      <c r="J26" s="30" t="s">
        <v>22</v>
      </c>
      <c r="K26" s="31">
        <v>45957</v>
      </c>
      <c r="L26" s="31">
        <v>45959</v>
      </c>
      <c r="M26" s="31">
        <v>45967</v>
      </c>
      <c r="N26" s="21">
        <f t="shared" si="7"/>
        <v>10</v>
      </c>
      <c r="O26" s="22">
        <v>13</v>
      </c>
      <c r="P26" s="21">
        <f t="shared" si="8"/>
        <v>0</v>
      </c>
      <c r="Q26" s="23">
        <v>250</v>
      </c>
      <c r="R26" s="6">
        <f t="shared" si="2"/>
        <v>0</v>
      </c>
    </row>
    <row r="27" spans="1:18" ht="17.25" customHeight="1" x14ac:dyDescent="0.2">
      <c r="A27" s="16" t="s">
        <v>21</v>
      </c>
      <c r="B27" s="15" t="s">
        <v>10</v>
      </c>
      <c r="C27" s="20" t="s">
        <v>52</v>
      </c>
      <c r="D27" s="20" t="s">
        <v>89</v>
      </c>
      <c r="E27" s="20" t="s">
        <v>90</v>
      </c>
      <c r="F27" s="20" t="s">
        <v>155</v>
      </c>
      <c r="G27" s="20" t="s">
        <v>24</v>
      </c>
      <c r="H27" s="20" t="s">
        <v>139</v>
      </c>
      <c r="I27" s="20" t="s">
        <v>28</v>
      </c>
      <c r="J27" s="30" t="s">
        <v>22</v>
      </c>
      <c r="K27" s="31">
        <v>45954</v>
      </c>
      <c r="L27" s="31">
        <v>45960</v>
      </c>
      <c r="M27" s="31">
        <v>45967</v>
      </c>
      <c r="N27" s="21">
        <f t="shared" si="7"/>
        <v>13</v>
      </c>
      <c r="O27" s="22">
        <v>13</v>
      </c>
      <c r="P27" s="21">
        <f t="shared" si="8"/>
        <v>0</v>
      </c>
      <c r="Q27" s="23">
        <v>250</v>
      </c>
      <c r="R27" s="6">
        <f t="shared" si="2"/>
        <v>0</v>
      </c>
    </row>
    <row r="28" spans="1:18" ht="17.25" customHeight="1" x14ac:dyDescent="0.2">
      <c r="A28" s="16" t="s">
        <v>21</v>
      </c>
      <c r="B28" s="15" t="s">
        <v>10</v>
      </c>
      <c r="C28" s="20" t="s">
        <v>53</v>
      </c>
      <c r="D28" s="20" t="s">
        <v>91</v>
      </c>
      <c r="E28" s="20" t="s">
        <v>92</v>
      </c>
      <c r="F28" s="20" t="s">
        <v>155</v>
      </c>
      <c r="G28" s="20" t="s">
        <v>24</v>
      </c>
      <c r="H28" s="20" t="s">
        <v>156</v>
      </c>
      <c r="I28" s="20" t="s">
        <v>140</v>
      </c>
      <c r="J28" s="30" t="s">
        <v>22</v>
      </c>
      <c r="K28" s="31">
        <v>45952</v>
      </c>
      <c r="L28" s="31">
        <v>45957</v>
      </c>
      <c r="M28" s="31">
        <v>45968</v>
      </c>
      <c r="N28" s="21">
        <f t="shared" si="7"/>
        <v>16</v>
      </c>
      <c r="O28" s="22">
        <v>13</v>
      </c>
      <c r="P28" s="21">
        <f t="shared" si="8"/>
        <v>3</v>
      </c>
      <c r="Q28" s="23">
        <v>250</v>
      </c>
      <c r="R28" s="6">
        <f t="shared" si="2"/>
        <v>750</v>
      </c>
    </row>
    <row r="29" spans="1:18" ht="17.25" customHeight="1" x14ac:dyDescent="0.2">
      <c r="A29" s="16" t="s">
        <v>21</v>
      </c>
      <c r="B29" s="15" t="s">
        <v>10</v>
      </c>
      <c r="C29" s="20" t="s">
        <v>93</v>
      </c>
      <c r="D29" s="20" t="s">
        <v>102</v>
      </c>
      <c r="E29" s="20" t="s">
        <v>103</v>
      </c>
      <c r="F29" s="20" t="s">
        <v>155</v>
      </c>
      <c r="G29" s="20" t="s">
        <v>24</v>
      </c>
      <c r="H29" s="20" t="s">
        <v>157</v>
      </c>
      <c r="I29" s="20" t="s">
        <v>172</v>
      </c>
      <c r="J29" s="30" t="s">
        <v>22</v>
      </c>
      <c r="K29" s="31">
        <v>45957</v>
      </c>
      <c r="L29" s="31">
        <v>45963</v>
      </c>
      <c r="M29" s="31">
        <v>45968</v>
      </c>
      <c r="N29" s="21">
        <f t="shared" si="7"/>
        <v>11</v>
      </c>
      <c r="O29" s="22">
        <v>13</v>
      </c>
      <c r="P29" s="21">
        <f t="shared" si="8"/>
        <v>0</v>
      </c>
      <c r="Q29" s="23">
        <v>250</v>
      </c>
      <c r="R29" s="6">
        <f t="shared" si="2"/>
        <v>0</v>
      </c>
    </row>
    <row r="30" spans="1:18" ht="17.25" customHeight="1" x14ac:dyDescent="0.2">
      <c r="A30" s="16" t="s">
        <v>21</v>
      </c>
      <c r="B30" s="15" t="s">
        <v>10</v>
      </c>
      <c r="C30" s="20" t="s">
        <v>94</v>
      </c>
      <c r="D30" s="20" t="s">
        <v>104</v>
      </c>
      <c r="E30" s="20"/>
      <c r="F30" s="20" t="s">
        <v>155</v>
      </c>
      <c r="G30" s="20" t="s">
        <v>24</v>
      </c>
      <c r="H30" s="20" t="s">
        <v>158</v>
      </c>
      <c r="I30" s="20" t="s">
        <v>172</v>
      </c>
      <c r="J30" s="30" t="s">
        <v>22</v>
      </c>
      <c r="K30" s="31">
        <v>45960</v>
      </c>
      <c r="L30" s="31">
        <v>45965</v>
      </c>
      <c r="M30" s="31">
        <v>45969</v>
      </c>
      <c r="N30" s="21">
        <f t="shared" si="7"/>
        <v>9</v>
      </c>
      <c r="O30" s="22">
        <v>13</v>
      </c>
      <c r="P30" s="21">
        <f t="shared" si="8"/>
        <v>0</v>
      </c>
      <c r="Q30" s="23">
        <v>250</v>
      </c>
      <c r="R30" s="6">
        <f t="shared" si="2"/>
        <v>0</v>
      </c>
    </row>
    <row r="31" spans="1:18" ht="17.25" customHeight="1" x14ac:dyDescent="0.2">
      <c r="A31" s="16" t="s">
        <v>21</v>
      </c>
      <c r="B31" s="15" t="s">
        <v>10</v>
      </c>
      <c r="C31" s="20" t="s">
        <v>95</v>
      </c>
      <c r="D31" s="20" t="s">
        <v>105</v>
      </c>
      <c r="E31" s="20"/>
      <c r="F31" s="20" t="s">
        <v>155</v>
      </c>
      <c r="G31" s="20" t="s">
        <v>24</v>
      </c>
      <c r="H31" s="20" t="s">
        <v>159</v>
      </c>
      <c r="I31" s="20" t="s">
        <v>172</v>
      </c>
      <c r="J31" s="30" t="s">
        <v>22</v>
      </c>
      <c r="K31" s="31">
        <v>45960</v>
      </c>
      <c r="L31" s="31">
        <v>45965</v>
      </c>
      <c r="M31" s="31">
        <v>45969</v>
      </c>
      <c r="N31" s="21">
        <f t="shared" si="7"/>
        <v>9</v>
      </c>
      <c r="O31" s="22">
        <v>13</v>
      </c>
      <c r="P31" s="21">
        <f t="shared" si="8"/>
        <v>0</v>
      </c>
      <c r="Q31" s="23">
        <v>250</v>
      </c>
      <c r="R31" s="6">
        <f t="shared" si="2"/>
        <v>0</v>
      </c>
    </row>
    <row r="32" spans="1:18" ht="17.25" customHeight="1" x14ac:dyDescent="0.2">
      <c r="A32" s="16" t="s">
        <v>21</v>
      </c>
      <c r="B32" s="15" t="s">
        <v>10</v>
      </c>
      <c r="C32" s="20" t="s">
        <v>96</v>
      </c>
      <c r="D32" s="20" t="s">
        <v>106</v>
      </c>
      <c r="E32" s="20" t="s">
        <v>107</v>
      </c>
      <c r="F32" s="20" t="s">
        <v>155</v>
      </c>
      <c r="G32" s="20" t="s">
        <v>24</v>
      </c>
      <c r="H32" s="20" t="s">
        <v>160</v>
      </c>
      <c r="I32" s="20" t="s">
        <v>28</v>
      </c>
      <c r="J32" s="30" t="s">
        <v>22</v>
      </c>
      <c r="K32" s="31">
        <v>45960</v>
      </c>
      <c r="L32" s="31">
        <v>45965</v>
      </c>
      <c r="M32" s="31">
        <v>45969</v>
      </c>
      <c r="N32" s="21">
        <f t="shared" si="7"/>
        <v>9</v>
      </c>
      <c r="O32" s="22">
        <v>13</v>
      </c>
      <c r="P32" s="21">
        <f t="shared" si="8"/>
        <v>0</v>
      </c>
      <c r="Q32" s="23">
        <v>250</v>
      </c>
      <c r="R32" s="6">
        <f t="shared" si="2"/>
        <v>0</v>
      </c>
    </row>
    <row r="33" spans="1:18" ht="17.25" customHeight="1" x14ac:dyDescent="0.2">
      <c r="A33" s="16" t="s">
        <v>21</v>
      </c>
      <c r="B33" s="15" t="s">
        <v>10</v>
      </c>
      <c r="C33" s="20" t="s">
        <v>97</v>
      </c>
      <c r="D33" s="20" t="s">
        <v>97</v>
      </c>
      <c r="E33" s="20" t="s">
        <v>108</v>
      </c>
      <c r="F33" s="20" t="s">
        <v>155</v>
      </c>
      <c r="G33" s="20" t="s">
        <v>24</v>
      </c>
      <c r="H33" s="20" t="s">
        <v>161</v>
      </c>
      <c r="I33" s="20" t="s">
        <v>141</v>
      </c>
      <c r="J33" s="30" t="s">
        <v>22</v>
      </c>
      <c r="K33" s="31">
        <v>45960</v>
      </c>
      <c r="L33" s="31">
        <v>45965</v>
      </c>
      <c r="M33" s="31">
        <v>45969</v>
      </c>
      <c r="N33" s="21">
        <f t="shared" si="7"/>
        <v>9</v>
      </c>
      <c r="O33" s="22">
        <v>13</v>
      </c>
      <c r="P33" s="21">
        <f t="shared" si="8"/>
        <v>0</v>
      </c>
      <c r="Q33" s="23">
        <v>250</v>
      </c>
      <c r="R33" s="6">
        <f t="shared" si="2"/>
        <v>0</v>
      </c>
    </row>
    <row r="34" spans="1:18" ht="17.25" customHeight="1" x14ac:dyDescent="0.2">
      <c r="A34" s="16" t="s">
        <v>21</v>
      </c>
      <c r="B34" s="15" t="s">
        <v>10</v>
      </c>
      <c r="C34" s="20" t="s">
        <v>98</v>
      </c>
      <c r="D34" s="20" t="s">
        <v>109</v>
      </c>
      <c r="E34" s="20" t="s">
        <v>110</v>
      </c>
      <c r="F34" s="20" t="s">
        <v>155</v>
      </c>
      <c r="G34" s="20" t="s">
        <v>24</v>
      </c>
      <c r="H34" s="20" t="s">
        <v>162</v>
      </c>
      <c r="I34" s="20" t="s">
        <v>28</v>
      </c>
      <c r="J34" s="30" t="s">
        <v>22</v>
      </c>
      <c r="K34" s="31">
        <v>45960</v>
      </c>
      <c r="L34" s="31">
        <v>45965</v>
      </c>
      <c r="M34" s="31">
        <v>45969</v>
      </c>
      <c r="N34" s="21">
        <f t="shared" si="7"/>
        <v>9</v>
      </c>
      <c r="O34" s="22">
        <v>13</v>
      </c>
      <c r="P34" s="21">
        <f t="shared" si="8"/>
        <v>0</v>
      </c>
      <c r="Q34" s="23">
        <v>250</v>
      </c>
      <c r="R34" s="6">
        <f t="shared" si="2"/>
        <v>0</v>
      </c>
    </row>
    <row r="35" spans="1:18" ht="17.25" customHeight="1" x14ac:dyDescent="0.2">
      <c r="A35" s="16" t="s">
        <v>21</v>
      </c>
      <c r="B35" s="15" t="s">
        <v>10</v>
      </c>
      <c r="C35" s="20" t="s">
        <v>99</v>
      </c>
      <c r="D35" s="20" t="s">
        <v>111</v>
      </c>
      <c r="E35" s="20" t="s">
        <v>112</v>
      </c>
      <c r="F35" s="20" t="s">
        <v>155</v>
      </c>
      <c r="G35" s="20" t="s">
        <v>24</v>
      </c>
      <c r="H35" s="20" t="s">
        <v>163</v>
      </c>
      <c r="I35" s="20" t="s">
        <v>28</v>
      </c>
      <c r="J35" s="30" t="s">
        <v>22</v>
      </c>
      <c r="K35" s="31">
        <v>45960</v>
      </c>
      <c r="L35" s="31">
        <v>45965</v>
      </c>
      <c r="M35" s="31">
        <v>45969</v>
      </c>
      <c r="N35" s="21">
        <f t="shared" si="7"/>
        <v>9</v>
      </c>
      <c r="O35" s="22">
        <v>13</v>
      </c>
      <c r="P35" s="21">
        <f t="shared" si="8"/>
        <v>0</v>
      </c>
      <c r="Q35" s="23">
        <v>250</v>
      </c>
      <c r="R35" s="6">
        <f t="shared" si="2"/>
        <v>0</v>
      </c>
    </row>
    <row r="36" spans="1:18" ht="17.25" customHeight="1" x14ac:dyDescent="0.2">
      <c r="A36" s="16" t="s">
        <v>21</v>
      </c>
      <c r="B36" s="15" t="s">
        <v>10</v>
      </c>
      <c r="C36" s="20" t="s">
        <v>100</v>
      </c>
      <c r="D36" s="20" t="s">
        <v>113</v>
      </c>
      <c r="E36" s="20" t="s">
        <v>114</v>
      </c>
      <c r="F36" s="20" t="s">
        <v>155</v>
      </c>
      <c r="G36" s="20" t="s">
        <v>24</v>
      </c>
      <c r="H36" s="20" t="s">
        <v>164</v>
      </c>
      <c r="I36" s="20" t="s">
        <v>140</v>
      </c>
      <c r="J36" s="30" t="s">
        <v>22</v>
      </c>
      <c r="K36" s="31">
        <v>45960</v>
      </c>
      <c r="L36" s="31">
        <v>45965</v>
      </c>
      <c r="M36" s="31">
        <v>45969</v>
      </c>
      <c r="N36" s="21">
        <f t="shared" si="7"/>
        <v>9</v>
      </c>
      <c r="O36" s="22">
        <v>13</v>
      </c>
      <c r="P36" s="21">
        <f t="shared" si="8"/>
        <v>0</v>
      </c>
      <c r="Q36" s="23">
        <v>250</v>
      </c>
      <c r="R36" s="6">
        <f t="shared" si="2"/>
        <v>0</v>
      </c>
    </row>
    <row r="37" spans="1:18" ht="17.25" customHeight="1" x14ac:dyDescent="0.2">
      <c r="A37" s="16" t="s">
        <v>21</v>
      </c>
      <c r="B37" s="15" t="s">
        <v>10</v>
      </c>
      <c r="C37" s="20" t="s">
        <v>101</v>
      </c>
      <c r="D37" s="20" t="s">
        <v>115</v>
      </c>
      <c r="E37" s="20" t="s">
        <v>116</v>
      </c>
      <c r="F37" s="20" t="s">
        <v>155</v>
      </c>
      <c r="G37" s="20" t="s">
        <v>24</v>
      </c>
      <c r="H37" s="20" t="s">
        <v>165</v>
      </c>
      <c r="I37" s="20" t="s">
        <v>140</v>
      </c>
      <c r="J37" s="30" t="s">
        <v>22</v>
      </c>
      <c r="K37" s="31">
        <v>45960</v>
      </c>
      <c r="L37" s="31">
        <v>45967</v>
      </c>
      <c r="M37" s="31">
        <v>45969</v>
      </c>
      <c r="N37" s="21">
        <f t="shared" si="7"/>
        <v>9</v>
      </c>
      <c r="O37" s="22">
        <v>13</v>
      </c>
      <c r="P37" s="21">
        <f t="shared" si="8"/>
        <v>0</v>
      </c>
      <c r="Q37" s="23">
        <v>250</v>
      </c>
      <c r="R37" s="6">
        <f t="shared" si="2"/>
        <v>0</v>
      </c>
    </row>
    <row r="38" spans="1:18" ht="17.25" customHeight="1" x14ac:dyDescent="0.2">
      <c r="A38" s="16" t="s">
        <v>21</v>
      </c>
      <c r="B38" s="15" t="s">
        <v>10</v>
      </c>
      <c r="C38" s="20" t="s">
        <v>143</v>
      </c>
      <c r="D38" s="20" t="s">
        <v>144</v>
      </c>
      <c r="E38" s="20" t="s">
        <v>145</v>
      </c>
      <c r="F38" s="20" t="s">
        <v>155</v>
      </c>
      <c r="G38" s="20" t="s">
        <v>24</v>
      </c>
      <c r="H38" s="20" t="s">
        <v>166</v>
      </c>
      <c r="I38" s="20" t="s">
        <v>173</v>
      </c>
      <c r="J38" s="30" t="s">
        <v>22</v>
      </c>
      <c r="K38" s="31">
        <v>45954</v>
      </c>
      <c r="L38" s="31">
        <v>45961</v>
      </c>
      <c r="M38" s="31">
        <v>45972</v>
      </c>
      <c r="N38" s="21">
        <f t="shared" si="7"/>
        <v>18</v>
      </c>
      <c r="O38" s="22">
        <v>13</v>
      </c>
      <c r="P38" s="21">
        <f t="shared" si="8"/>
        <v>5</v>
      </c>
      <c r="Q38" s="23">
        <v>250</v>
      </c>
      <c r="R38" s="6">
        <f t="shared" si="2"/>
        <v>1250</v>
      </c>
    </row>
    <row r="39" spans="1:18" ht="17.25" customHeight="1" x14ac:dyDescent="0.2">
      <c r="A39" s="16" t="s">
        <v>21</v>
      </c>
      <c r="B39" s="15" t="s">
        <v>10</v>
      </c>
      <c r="C39" s="20" t="s">
        <v>146</v>
      </c>
      <c r="D39" s="20" t="s">
        <v>147</v>
      </c>
      <c r="E39" s="20" t="s">
        <v>148</v>
      </c>
      <c r="F39" s="20" t="s">
        <v>155</v>
      </c>
      <c r="G39" s="20" t="s">
        <v>24</v>
      </c>
      <c r="H39" s="20" t="s">
        <v>167</v>
      </c>
      <c r="I39" s="20" t="s">
        <v>173</v>
      </c>
      <c r="J39" s="30" t="s">
        <v>22</v>
      </c>
      <c r="K39" s="31">
        <v>45954</v>
      </c>
      <c r="L39" s="31">
        <v>45961</v>
      </c>
      <c r="M39" s="31">
        <v>45972</v>
      </c>
      <c r="N39" s="21">
        <f t="shared" si="7"/>
        <v>18</v>
      </c>
      <c r="O39" s="22">
        <v>13</v>
      </c>
      <c r="P39" s="21">
        <f t="shared" si="8"/>
        <v>5</v>
      </c>
      <c r="Q39" s="23">
        <v>250</v>
      </c>
      <c r="R39" s="6">
        <f t="shared" si="2"/>
        <v>1250</v>
      </c>
    </row>
    <row r="40" spans="1:18" ht="17.25" customHeight="1" x14ac:dyDescent="0.2">
      <c r="A40" s="16" t="s">
        <v>21</v>
      </c>
      <c r="B40" s="15" t="s">
        <v>10</v>
      </c>
      <c r="C40" s="20" t="s">
        <v>149</v>
      </c>
      <c r="D40" s="20" t="s">
        <v>150</v>
      </c>
      <c r="E40" s="20" t="s">
        <v>151</v>
      </c>
      <c r="F40" s="20" t="s">
        <v>155</v>
      </c>
      <c r="G40" s="20" t="s">
        <v>24</v>
      </c>
      <c r="H40" s="20" t="s">
        <v>168</v>
      </c>
      <c r="I40" s="20" t="s">
        <v>173</v>
      </c>
      <c r="J40" s="30" t="s">
        <v>22</v>
      </c>
      <c r="K40" s="31">
        <v>45954</v>
      </c>
      <c r="L40" s="31">
        <v>45961</v>
      </c>
      <c r="M40" s="31">
        <v>45972</v>
      </c>
      <c r="N40" s="21">
        <f t="shared" si="7"/>
        <v>18</v>
      </c>
      <c r="O40" s="22">
        <v>13</v>
      </c>
      <c r="P40" s="21">
        <f t="shared" si="8"/>
        <v>5</v>
      </c>
      <c r="Q40" s="23">
        <v>250</v>
      </c>
      <c r="R40" s="6">
        <f t="shared" si="2"/>
        <v>1250</v>
      </c>
    </row>
    <row r="41" spans="1:18" ht="17.25" customHeight="1" x14ac:dyDescent="0.2">
      <c r="A41" s="16" t="s">
        <v>21</v>
      </c>
      <c r="B41" s="15" t="s">
        <v>10</v>
      </c>
      <c r="C41" s="20" t="s">
        <v>152</v>
      </c>
      <c r="D41" s="20" t="s">
        <v>153</v>
      </c>
      <c r="E41" s="20" t="s">
        <v>154</v>
      </c>
      <c r="F41" s="20" t="s">
        <v>155</v>
      </c>
      <c r="G41" s="20" t="s">
        <v>24</v>
      </c>
      <c r="H41" s="20" t="s">
        <v>169</v>
      </c>
      <c r="I41" s="20" t="s">
        <v>173</v>
      </c>
      <c r="J41" s="30" t="s">
        <v>22</v>
      </c>
      <c r="K41" s="31">
        <v>45954</v>
      </c>
      <c r="L41" s="31">
        <v>45961</v>
      </c>
      <c r="M41" s="31">
        <v>45972</v>
      </c>
      <c r="N41" s="21">
        <f t="shared" si="7"/>
        <v>18</v>
      </c>
      <c r="O41" s="22">
        <v>13</v>
      </c>
      <c r="P41" s="21">
        <f t="shared" si="8"/>
        <v>5</v>
      </c>
      <c r="Q41" s="23">
        <v>250</v>
      </c>
      <c r="R41" s="6">
        <f t="shared" si="2"/>
        <v>1250</v>
      </c>
    </row>
    <row r="42" spans="1:18" ht="17.25" customHeight="1" x14ac:dyDescent="0.2">
      <c r="R42" s="19">
        <f>SUM(R4:R41)</f>
        <v>7500</v>
      </c>
    </row>
  </sheetData>
  <autoFilter ref="M1:M3" xr:uid="{48C7C32D-E559-4249-B076-3C783F663501}"/>
  <sortState xmlns:xlrd2="http://schemas.microsoft.com/office/spreadsheetml/2017/richdata2" ref="A1:R3">
    <sortCondition descending="1" ref="N3"/>
  </sortState>
  <mergeCells count="2">
    <mergeCell ref="R1:R2"/>
    <mergeCell ref="P1:Q2"/>
  </mergeCells>
  <conditionalFormatting sqref="C42:C1048576 C1:C3">
    <cfRule type="duplicateValues" dxfId="24" priority="6"/>
    <cfRule type="duplicateValues" dxfId="23" priority="11"/>
    <cfRule type="duplicateValues" dxfId="22" priority="13"/>
    <cfRule type="duplicateValues" dxfId="21" priority="5808"/>
    <cfRule type="duplicateValues" dxfId="20" priority="5813"/>
  </conditionalFormatting>
  <conditionalFormatting sqref="C42:C1048576 C2:C3">
    <cfRule type="duplicateValues" dxfId="19" priority="5823"/>
  </conditionalFormatting>
  <conditionalFormatting sqref="C42:C1048576">
    <cfRule type="duplicateValues" dxfId="18" priority="5811"/>
  </conditionalFormatting>
  <conditionalFormatting sqref="C3:E3">
    <cfRule type="duplicateValues" dxfId="17" priority="5676"/>
  </conditionalFormatting>
  <conditionalFormatting sqref="C42:E1048576 C3:E3">
    <cfRule type="duplicateValues" dxfId="16" priority="5827"/>
    <cfRule type="duplicateValues" dxfId="15" priority="5828"/>
    <cfRule type="duplicateValues" dxfId="14" priority="5829"/>
    <cfRule type="duplicateValues" dxfId="13" priority="5830"/>
    <cfRule type="duplicateValues" dxfId="12" priority="5831"/>
    <cfRule type="duplicateValues" dxfId="11" priority="5832"/>
  </conditionalFormatting>
  <conditionalFormatting sqref="H3">
    <cfRule type="duplicateValues" dxfId="10" priority="93"/>
  </conditionalFormatting>
  <conditionalFormatting sqref="H42:H1048576 H1:H3">
    <cfRule type="duplicateValues" dxfId="9" priority="80"/>
    <cfRule type="duplicateValues" dxfId="8" priority="5736"/>
    <cfRule type="duplicateValues" dxfId="7" priority="5737"/>
    <cfRule type="duplicateValues" dxfId="6" priority="5738"/>
  </conditionalFormatting>
  <conditionalFormatting sqref="H42:H1048576 H3">
    <cfRule type="duplicateValues" dxfId="5" priority="5688"/>
    <cfRule type="duplicateValues" dxfId="4" priority="5692"/>
    <cfRule type="duplicateValues" dxfId="3" priority="5693"/>
    <cfRule type="duplicateValues" dxfId="2" priority="5694"/>
    <cfRule type="duplicateValues" dxfId="1" priority="5695"/>
    <cfRule type="duplicateValues" dxfId="0" priority="569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27D16CAED097448EE688311D445528" ma:contentTypeVersion="14" ma:contentTypeDescription="Create a new document." ma:contentTypeScope="" ma:versionID="2170f11a852abfd1c2db4ec2ea337a20">
  <xsd:schema xmlns:xsd="http://www.w3.org/2001/XMLSchema" xmlns:xs="http://www.w3.org/2001/XMLSchema" xmlns:p="http://schemas.microsoft.com/office/2006/metadata/properties" xmlns:ns3="d62ca27a-b144-4c92-8559-629fa177d692" xmlns:ns4="bb9c01b4-e23d-42ca-b63f-0118acabf01c" targetNamespace="http://schemas.microsoft.com/office/2006/metadata/properties" ma:root="true" ma:fieldsID="a9ec600c06866a0fdb859574642667eb" ns3:_="" ns4:_="">
    <xsd:import namespace="d62ca27a-b144-4c92-8559-629fa177d692"/>
    <xsd:import namespace="bb9c01b4-e23d-42ca-b63f-0118acabf0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ca27a-b144-4c92-8559-629fa177d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c01b4-e23d-42ca-b63f-0118acabf0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2ca27a-b144-4c92-8559-629fa177d692" xsi:nil="true"/>
  </documentManagement>
</p:properties>
</file>

<file path=customXml/itemProps1.xml><?xml version="1.0" encoding="utf-8"?>
<ds:datastoreItem xmlns:ds="http://schemas.openxmlformats.org/officeDocument/2006/customXml" ds:itemID="{DB93D9EE-26B5-4A4A-AC77-8D93F784E2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6F8C09-4633-4062-B94A-5DADF578CE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ca27a-b144-4c92-8559-629fa177d692"/>
    <ds:schemaRef ds:uri="bb9c01b4-e23d-42ca-b63f-0118acabf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AC508A-B17D-4EE0-AC44-A52785E5DC6D}">
  <ds:schemaRefs>
    <ds:schemaRef ds:uri="bb9c01b4-e23d-42ca-b63f-0118acabf01c"/>
    <ds:schemaRef ds:uri="http://purl.org/dc/elements/1.1/"/>
    <ds:schemaRef ds:uri="d62ca27a-b144-4c92-8559-629fa177d692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Glencore KCC Site Delays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 Tracking</dc:creator>
  <cp:lastModifiedBy>Overland Tracking</cp:lastModifiedBy>
  <dcterms:created xsi:type="dcterms:W3CDTF">2024-08-20T08:21:23Z</dcterms:created>
  <dcterms:modified xsi:type="dcterms:W3CDTF">2025-11-12T06:44:46Z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0x0101008527D16CAED097448EE688311D445528</vt:lpwstr>
  </property>
</Properties>
</file>