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um\Dropbox\Dropbox\CLIENTS REPORTS\_CURRENT REPORTS\IMPORT REPORTS\"/>
    </mc:Choice>
  </mc:AlternateContent>
  <xr:revisionPtr revIDLastSave="0" documentId="13_ncr:1_{C4AF73FF-8BBF-4130-99A8-807CA5797DFD}" xr6:coauthVersionLast="47" xr6:coauthVersionMax="47" xr10:uidLastSave="{00000000-0000-0000-0000-000000000000}"/>
  <bookViews>
    <workbookView xWindow="-120" yWindow="-120" windowWidth="20730" windowHeight="11040" tabRatio="773" xr2:uid="{00000000-000D-0000-FFFF-FFFF00000000}"/>
  </bookViews>
  <sheets>
    <sheet name="Summary" sheetId="4" r:id="rId1"/>
    <sheet name="Master" sheetId="6" r:id="rId2"/>
    <sheet name="BL-1A-Pumpi" sheetId="5" r:id="rId3"/>
    <sheet name="BL-1A-Kolwezi" sheetId="3" r:id="rId4"/>
    <sheet name="BL-1A-Likasi" sheetId="1" r:id="rId5"/>
    <sheet name="BL-1B-PUMPI" sheetId="9" r:id="rId6"/>
    <sheet name="BL-1B-Likasi " sheetId="8" r:id="rId7"/>
    <sheet name="BL-1B-KOLWEZI" sheetId="10" r:id="rId8"/>
  </sheets>
  <definedNames>
    <definedName name="_xlnm._FilterDatabase" localSheetId="3" hidden="1">'BL-1A-Kolwezi'!$G$1:$G$73</definedName>
    <definedName name="_xlnm._FilterDatabase" localSheetId="4" hidden="1">'BL-1A-Likasi'!$A$1:$AP$86</definedName>
    <definedName name="_xlnm._FilterDatabase" localSheetId="2" hidden="1">'BL-1A-Pumpi'!$G$1:$G$88</definedName>
    <definedName name="_xlnm._FilterDatabase" localSheetId="7" hidden="1">'BL-1B-KOLWEZI'!$A$1:$AP$43</definedName>
    <definedName name="_xlnm._FilterDatabase" localSheetId="6" hidden="1">'BL-1B-Likasi '!$A$1:$AP$51</definedName>
    <definedName name="_xlnm._FilterDatabase" localSheetId="5" hidden="1">'BL-1B-PUMPI'!$A$1:$AP$50</definedName>
  </definedNames>
  <calcPr calcId="191029"/>
</workbook>
</file>

<file path=xl/calcChain.xml><?xml version="1.0" encoding="utf-8"?>
<calcChain xmlns="http://schemas.openxmlformats.org/spreadsheetml/2006/main">
  <c r="A6" i="9" l="1"/>
  <c r="A7" i="9"/>
  <c r="A8" i="9"/>
  <c r="A9" i="9"/>
  <c r="A10" i="9"/>
  <c r="A11" i="9"/>
  <c r="A12" i="9"/>
  <c r="A13" i="9"/>
  <c r="A15" i="9"/>
  <c r="A16" i="9"/>
  <c r="A14" i="9"/>
  <c r="A19" i="9"/>
  <c r="A20" i="9"/>
  <c r="A18" i="9"/>
  <c r="A21" i="9"/>
  <c r="A22" i="9"/>
  <c r="A17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H3" i="8"/>
  <c r="J3" i="9"/>
  <c r="I3" i="9"/>
  <c r="H3" i="9"/>
  <c r="J3" i="6"/>
  <c r="I3" i="6"/>
  <c r="H3" i="6"/>
  <c r="AJ12" i="6"/>
  <c r="AL12" i="6" s="1"/>
  <c r="AN12" i="6" s="1"/>
  <c r="AP12" i="6" s="1"/>
  <c r="AE12" i="6"/>
  <c r="AG12" i="6" s="1"/>
  <c r="AI12" i="6" s="1"/>
  <c r="A12" i="6"/>
  <c r="AJ11" i="6"/>
  <c r="AL11" i="6" s="1"/>
  <c r="AN11" i="6" s="1"/>
  <c r="AP11" i="6" s="1"/>
  <c r="AE11" i="6"/>
  <c r="AG11" i="6" s="1"/>
  <c r="AI11" i="6" s="1"/>
  <c r="A11" i="6"/>
  <c r="AJ10" i="6"/>
  <c r="AL10" i="6" s="1"/>
  <c r="AN10" i="6" s="1"/>
  <c r="AP10" i="6" s="1"/>
  <c r="AE10" i="6"/>
  <c r="AG10" i="6" s="1"/>
  <c r="AI10" i="6" s="1"/>
  <c r="A10" i="6"/>
  <c r="AJ9" i="6"/>
  <c r="AL9" i="6" s="1"/>
  <c r="AN9" i="6" s="1"/>
  <c r="AE9" i="6"/>
  <c r="AG9" i="6" s="1"/>
  <c r="AI9" i="6" s="1"/>
  <c r="A9" i="6"/>
  <c r="AJ8" i="6"/>
  <c r="AL8" i="6" s="1"/>
  <c r="AN8" i="6" s="1"/>
  <c r="AP8" i="6" s="1"/>
  <c r="AE8" i="6"/>
  <c r="AG8" i="6" s="1"/>
  <c r="AI8" i="6" s="1"/>
  <c r="A8" i="6"/>
  <c r="AJ7" i="6"/>
  <c r="AL7" i="6" s="1"/>
  <c r="AN7" i="6" s="1"/>
  <c r="AE7" i="6"/>
  <c r="AG7" i="6" s="1"/>
  <c r="AI7" i="6" s="1"/>
  <c r="A7" i="6"/>
  <c r="AJ6" i="6"/>
  <c r="AL6" i="6" s="1"/>
  <c r="AN6" i="6" s="1"/>
  <c r="AE6" i="6"/>
  <c r="AG6" i="6" s="1"/>
  <c r="AI6" i="6" s="1"/>
  <c r="A6" i="6"/>
  <c r="AJ5" i="6"/>
  <c r="AL5" i="6" s="1"/>
  <c r="AN5" i="6" s="1"/>
  <c r="AE5" i="6"/>
  <c r="AG5" i="6" s="1"/>
  <c r="AI5" i="6" s="1"/>
  <c r="A5" i="6"/>
  <c r="AJ4" i="6"/>
  <c r="AL4" i="6" s="1"/>
  <c r="AN4" i="6" s="1"/>
  <c r="AP4" i="6" s="1"/>
  <c r="AE4" i="6"/>
  <c r="AG4" i="6" s="1"/>
  <c r="AI4" i="6" s="1"/>
  <c r="A4" i="6"/>
  <c r="A4" i="9"/>
  <c r="A5" i="9"/>
  <c r="AE4" i="9"/>
  <c r="AG4" i="9" s="1"/>
  <c r="AI4" i="9" s="1"/>
  <c r="AJ4" i="9"/>
  <c r="AL4" i="9" s="1"/>
  <c r="AN4" i="9" s="1"/>
  <c r="AE5" i="9"/>
  <c r="AG5" i="9" s="1"/>
  <c r="AI5" i="9" s="1"/>
  <c r="AJ5" i="9"/>
  <c r="AL5" i="9" s="1"/>
  <c r="AN5" i="9" s="1"/>
  <c r="AE6" i="9"/>
  <c r="AG6" i="9" s="1"/>
  <c r="AI6" i="9" s="1"/>
  <c r="AJ6" i="9"/>
  <c r="AL6" i="9" s="1"/>
  <c r="AN6" i="9" s="1"/>
  <c r="AE7" i="9"/>
  <c r="AG7" i="9" s="1"/>
  <c r="AI7" i="9" s="1"/>
  <c r="AJ7" i="9"/>
  <c r="AL7" i="9" s="1"/>
  <c r="AN7" i="9" s="1"/>
  <c r="AE8" i="9"/>
  <c r="AG8" i="9" s="1"/>
  <c r="AI8" i="9" s="1"/>
  <c r="AJ8" i="9"/>
  <c r="AL8" i="9" s="1"/>
  <c r="AN8" i="9" s="1"/>
  <c r="AE9" i="9"/>
  <c r="AG9" i="9" s="1"/>
  <c r="AI9" i="9" s="1"/>
  <c r="AJ9" i="9"/>
  <c r="AL9" i="9" s="1"/>
  <c r="AN9" i="9" s="1"/>
  <c r="AE10" i="9"/>
  <c r="AG10" i="9" s="1"/>
  <c r="AI10" i="9" s="1"/>
  <c r="AJ10" i="9"/>
  <c r="AL10" i="9" s="1"/>
  <c r="AN10" i="9" s="1"/>
  <c r="AE11" i="9"/>
  <c r="AG11" i="9" s="1"/>
  <c r="AI11" i="9" s="1"/>
  <c r="AJ11" i="9"/>
  <c r="AL11" i="9" s="1"/>
  <c r="AN11" i="9" s="1"/>
  <c r="AE12" i="9"/>
  <c r="AG12" i="9" s="1"/>
  <c r="AI12" i="9" s="1"/>
  <c r="AJ12" i="9"/>
  <c r="AL12" i="9" s="1"/>
  <c r="AN12" i="9" s="1"/>
  <c r="AP10" i="9" l="1"/>
  <c r="AP4" i="9"/>
  <c r="AP12" i="9"/>
  <c r="AP7" i="6"/>
  <c r="AP5" i="6"/>
  <c r="AP6" i="6"/>
  <c r="AP9" i="6"/>
  <c r="AP9" i="9"/>
  <c r="AP7" i="9"/>
  <c r="AP8" i="9"/>
  <c r="AP11" i="9"/>
  <c r="AP5" i="9"/>
  <c r="AP6" i="9"/>
  <c r="AE51" i="9" l="1"/>
  <c r="AG51" i="9" s="1"/>
  <c r="AI51" i="9" s="1"/>
  <c r="AJ51" i="9"/>
  <c r="AL51" i="9" s="1"/>
  <c r="AN51" i="9" s="1"/>
  <c r="AE52" i="9"/>
  <c r="AG52" i="9" s="1"/>
  <c r="AI52" i="9" s="1"/>
  <c r="AJ52" i="9"/>
  <c r="AL52" i="9" s="1"/>
  <c r="AN52" i="9" s="1"/>
  <c r="AE53" i="9"/>
  <c r="AG53" i="9" s="1"/>
  <c r="AI53" i="9" s="1"/>
  <c r="AJ53" i="9"/>
  <c r="AL53" i="9" s="1"/>
  <c r="AN53" i="9" s="1"/>
  <c r="AE54" i="9"/>
  <c r="AG54" i="9" s="1"/>
  <c r="AI54" i="9" s="1"/>
  <c r="AJ54" i="9"/>
  <c r="AL54" i="9" s="1"/>
  <c r="AN54" i="9" s="1"/>
  <c r="AE55" i="9"/>
  <c r="AG55" i="9" s="1"/>
  <c r="AI55" i="9" s="1"/>
  <c r="AJ55" i="9"/>
  <c r="AL55" i="9" s="1"/>
  <c r="AN55" i="9" s="1"/>
  <c r="AE56" i="9"/>
  <c r="AG56" i="9" s="1"/>
  <c r="AI56" i="9" s="1"/>
  <c r="AJ56" i="9"/>
  <c r="AL56" i="9" s="1"/>
  <c r="AN56" i="9" s="1"/>
  <c r="AP52" i="9" l="1"/>
  <c r="AP55" i="9"/>
  <c r="AP54" i="9"/>
  <c r="AP51" i="9"/>
  <c r="AP56" i="9"/>
  <c r="AP53" i="9"/>
  <c r="AO2" i="9" l="1"/>
  <c r="AO2" i="8"/>
  <c r="AO2" i="10"/>
  <c r="AE18" i="9"/>
  <c r="AG18" i="9" s="1"/>
  <c r="AI18" i="9" s="1"/>
  <c r="AJ18" i="9"/>
  <c r="AL18" i="9" s="1"/>
  <c r="AN18" i="9" s="1"/>
  <c r="AE23" i="9"/>
  <c r="AG23" i="9" s="1"/>
  <c r="AI23" i="9" s="1"/>
  <c r="AJ23" i="9"/>
  <c r="AL23" i="9" s="1"/>
  <c r="AN23" i="9" s="1"/>
  <c r="AE24" i="9"/>
  <c r="AG24" i="9" s="1"/>
  <c r="AI24" i="9" s="1"/>
  <c r="AJ24" i="9"/>
  <c r="AL24" i="9" s="1"/>
  <c r="AN24" i="9" s="1"/>
  <c r="AE14" i="9"/>
  <c r="AG14" i="9" s="1"/>
  <c r="AI14" i="9" s="1"/>
  <c r="AJ14" i="9"/>
  <c r="AL14" i="9" s="1"/>
  <c r="AN14" i="9" s="1"/>
  <c r="AE19" i="9"/>
  <c r="AG19" i="9" s="1"/>
  <c r="AI19" i="9" s="1"/>
  <c r="AJ19" i="9"/>
  <c r="AL19" i="9" s="1"/>
  <c r="AN19" i="9" s="1"/>
  <c r="AE15" i="9"/>
  <c r="AG15" i="9" s="1"/>
  <c r="AI15" i="9" s="1"/>
  <c r="AJ15" i="9"/>
  <c r="AL15" i="9" s="1"/>
  <c r="AN15" i="9" s="1"/>
  <c r="AE21" i="9"/>
  <c r="AG21" i="9" s="1"/>
  <c r="AI21" i="9" s="1"/>
  <c r="AJ21" i="9"/>
  <c r="AL21" i="9" s="1"/>
  <c r="AN21" i="9" s="1"/>
  <c r="AE22" i="9"/>
  <c r="AG22" i="9" s="1"/>
  <c r="AI22" i="9" s="1"/>
  <c r="AJ22" i="9"/>
  <c r="AL22" i="9" s="1"/>
  <c r="AN22" i="9" s="1"/>
  <c r="AE30" i="9"/>
  <c r="AG30" i="9" s="1"/>
  <c r="AI30" i="9" s="1"/>
  <c r="AJ30" i="9"/>
  <c r="AL30" i="9" s="1"/>
  <c r="AN30" i="9" s="1"/>
  <c r="AE31" i="9"/>
  <c r="AG31" i="9" s="1"/>
  <c r="AI31" i="9" s="1"/>
  <c r="AJ31" i="9"/>
  <c r="AL31" i="9" s="1"/>
  <c r="AN31" i="9" s="1"/>
  <c r="A13" i="6"/>
  <c r="A14" i="6"/>
  <c r="A15" i="6"/>
  <c r="A16" i="6"/>
  <c r="A17" i="6"/>
  <c r="A18" i="6"/>
  <c r="A19" i="6"/>
  <c r="A20" i="6"/>
  <c r="AP22" i="9" l="1"/>
  <c r="AP19" i="9"/>
  <c r="AP21" i="9"/>
  <c r="AP18" i="9"/>
  <c r="AP15" i="9"/>
  <c r="AP14" i="9"/>
  <c r="AP24" i="9"/>
  <c r="AP23" i="9"/>
  <c r="AP31" i="9"/>
  <c r="AP30" i="9"/>
  <c r="J3" i="10" l="1"/>
  <c r="I3" i="10"/>
  <c r="H3" i="10"/>
  <c r="AE27" i="9"/>
  <c r="AG27" i="9" s="1"/>
  <c r="AI27" i="9" s="1"/>
  <c r="AJ27" i="9"/>
  <c r="AL27" i="9" s="1"/>
  <c r="AN27" i="9" s="1"/>
  <c r="AE28" i="9"/>
  <c r="AG28" i="9" s="1"/>
  <c r="AI28" i="9" s="1"/>
  <c r="AJ28" i="9"/>
  <c r="AL28" i="9" s="1"/>
  <c r="AN28" i="9" s="1"/>
  <c r="AE17" i="9"/>
  <c r="AG17" i="9" s="1"/>
  <c r="AI17" i="9" s="1"/>
  <c r="AJ17" i="9"/>
  <c r="AL17" i="9" s="1"/>
  <c r="AN17" i="9" s="1"/>
  <c r="AE16" i="9"/>
  <c r="AG16" i="9" s="1"/>
  <c r="AI16" i="9" s="1"/>
  <c r="AJ16" i="9"/>
  <c r="AL16" i="9" s="1"/>
  <c r="AN16" i="9" s="1"/>
  <c r="AE29" i="9"/>
  <c r="AG29" i="9" s="1"/>
  <c r="AI29" i="9" s="1"/>
  <c r="AJ29" i="9"/>
  <c r="AL29" i="9" s="1"/>
  <c r="AN29" i="9" s="1"/>
  <c r="AE26" i="9"/>
  <c r="AG26" i="9" s="1"/>
  <c r="AI26" i="9" s="1"/>
  <c r="AJ26" i="9"/>
  <c r="AL26" i="9" s="1"/>
  <c r="AN26" i="9" s="1"/>
  <c r="AE20" i="9"/>
  <c r="AG20" i="9" s="1"/>
  <c r="AI20" i="9" s="1"/>
  <c r="AJ20" i="9"/>
  <c r="AL20" i="9" s="1"/>
  <c r="AN20" i="9" s="1"/>
  <c r="AE25" i="9"/>
  <c r="AG25" i="9" s="1"/>
  <c r="AI25" i="9" s="1"/>
  <c r="AJ25" i="9"/>
  <c r="AL25" i="9" s="1"/>
  <c r="AN25" i="9" s="1"/>
  <c r="AE13" i="9"/>
  <c r="AG13" i="9" s="1"/>
  <c r="AI13" i="9" s="1"/>
  <c r="AJ13" i="9"/>
  <c r="AL13" i="9" s="1"/>
  <c r="AN13" i="9" s="1"/>
  <c r="AJ31" i="6"/>
  <c r="AL31" i="6" s="1"/>
  <c r="AN31" i="6" s="1"/>
  <c r="AE31" i="6"/>
  <c r="AG31" i="6" s="1"/>
  <c r="AI31" i="6" s="1"/>
  <c r="A31" i="6"/>
  <c r="AJ30" i="6"/>
  <c r="AL30" i="6" s="1"/>
  <c r="AN30" i="6" s="1"/>
  <c r="AE30" i="6"/>
  <c r="AG30" i="6" s="1"/>
  <c r="AI30" i="6" s="1"/>
  <c r="A30" i="6"/>
  <c r="AJ29" i="6"/>
  <c r="AL29" i="6" s="1"/>
  <c r="AN29" i="6" s="1"/>
  <c r="AE29" i="6"/>
  <c r="AG29" i="6" s="1"/>
  <c r="AI29" i="6" s="1"/>
  <c r="A29" i="6"/>
  <c r="AJ28" i="6"/>
  <c r="AL28" i="6" s="1"/>
  <c r="AN28" i="6" s="1"/>
  <c r="AP28" i="6" s="1"/>
  <c r="AE28" i="6"/>
  <c r="AG28" i="6" s="1"/>
  <c r="AI28" i="6" s="1"/>
  <c r="A28" i="6"/>
  <c r="AJ27" i="6"/>
  <c r="AL27" i="6" s="1"/>
  <c r="AN27" i="6" s="1"/>
  <c r="AE27" i="6"/>
  <c r="AG27" i="6" s="1"/>
  <c r="AI27" i="6" s="1"/>
  <c r="A27" i="6"/>
  <c r="AJ26" i="6"/>
  <c r="AL26" i="6" s="1"/>
  <c r="AN26" i="6" s="1"/>
  <c r="AE26" i="6"/>
  <c r="AG26" i="6" s="1"/>
  <c r="AI26" i="6" s="1"/>
  <c r="A26" i="6"/>
  <c r="AJ25" i="6"/>
  <c r="AL25" i="6" s="1"/>
  <c r="AN25" i="6" s="1"/>
  <c r="AE25" i="6"/>
  <c r="AG25" i="6" s="1"/>
  <c r="AI25" i="6" s="1"/>
  <c r="A25" i="6"/>
  <c r="AJ24" i="6"/>
  <c r="AL24" i="6" s="1"/>
  <c r="AN24" i="6" s="1"/>
  <c r="AE24" i="6"/>
  <c r="AG24" i="6" s="1"/>
  <c r="AI24" i="6" s="1"/>
  <c r="A24" i="6"/>
  <c r="AJ23" i="6"/>
  <c r="AL23" i="6" s="1"/>
  <c r="AN23" i="6" s="1"/>
  <c r="AE23" i="6"/>
  <c r="AG23" i="6" s="1"/>
  <c r="AI23" i="6" s="1"/>
  <c r="A23" i="6"/>
  <c r="AJ22" i="6"/>
  <c r="AL22" i="6" s="1"/>
  <c r="AN22" i="6" s="1"/>
  <c r="AE22" i="6"/>
  <c r="AG22" i="6" s="1"/>
  <c r="AI22" i="6" s="1"/>
  <c r="A22" i="6"/>
  <c r="AJ21" i="6"/>
  <c r="AL21" i="6" s="1"/>
  <c r="AN21" i="6" s="1"/>
  <c r="AE21" i="6"/>
  <c r="AG21" i="6" s="1"/>
  <c r="AI21" i="6" s="1"/>
  <c r="A21" i="6"/>
  <c r="AP31" i="6" l="1"/>
  <c r="AP23" i="6"/>
  <c r="AP27" i="6"/>
  <c r="AP13" i="9"/>
  <c r="AP25" i="9"/>
  <c r="AP20" i="9"/>
  <c r="AP27" i="9"/>
  <c r="AP28" i="9"/>
  <c r="AP29" i="9"/>
  <c r="AP16" i="9"/>
  <c r="AP17" i="9"/>
  <c r="AP26" i="9"/>
  <c r="AP29" i="6"/>
  <c r="AP24" i="6"/>
  <c r="AP26" i="6"/>
  <c r="AP22" i="6"/>
  <c r="AP25" i="6"/>
  <c r="AP21" i="6"/>
  <c r="AP30" i="6"/>
  <c r="A8" i="8" l="1"/>
  <c r="A9" i="8"/>
  <c r="A6" i="8"/>
  <c r="A5" i="8"/>
  <c r="A13" i="8"/>
  <c r="A10" i="8"/>
  <c r="A14" i="8"/>
  <c r="A11" i="8"/>
  <c r="A12" i="8"/>
  <c r="A16" i="8"/>
  <c r="A17" i="8"/>
  <c r="A18" i="8"/>
  <c r="A15" i="8"/>
  <c r="J3" i="8" l="1"/>
  <c r="I3" i="8"/>
  <c r="AJ36" i="6"/>
  <c r="AL36" i="6" s="1"/>
  <c r="AN36" i="6" s="1"/>
  <c r="AE36" i="6"/>
  <c r="AG36" i="6" s="1"/>
  <c r="AI36" i="6" s="1"/>
  <c r="A36" i="6"/>
  <c r="AJ35" i="6"/>
  <c r="AL35" i="6" s="1"/>
  <c r="AN35" i="6" s="1"/>
  <c r="AE35" i="6"/>
  <c r="AG35" i="6" s="1"/>
  <c r="AI35" i="6" s="1"/>
  <c r="A35" i="6"/>
  <c r="AJ34" i="6"/>
  <c r="AL34" i="6" s="1"/>
  <c r="AN34" i="6" s="1"/>
  <c r="AE34" i="6"/>
  <c r="AG34" i="6" s="1"/>
  <c r="AI34" i="6" s="1"/>
  <c r="A34" i="6"/>
  <c r="AJ33" i="6"/>
  <c r="AL33" i="6" s="1"/>
  <c r="AN33" i="6" s="1"/>
  <c r="AE33" i="6"/>
  <c r="AG33" i="6" s="1"/>
  <c r="AI33" i="6" s="1"/>
  <c r="A33" i="6"/>
  <c r="AJ32" i="6"/>
  <c r="AL32" i="6" s="1"/>
  <c r="AN32" i="6" s="1"/>
  <c r="AE32" i="6"/>
  <c r="AG32" i="6" s="1"/>
  <c r="AI32" i="6" s="1"/>
  <c r="A32" i="6"/>
  <c r="A6" i="10"/>
  <c r="A4" i="10"/>
  <c r="A16" i="10"/>
  <c r="A7" i="10"/>
  <c r="A13" i="10"/>
  <c r="AE6" i="10"/>
  <c r="AG6" i="10" s="1"/>
  <c r="AI6" i="10" s="1"/>
  <c r="AJ6" i="10"/>
  <c r="AL6" i="10" s="1"/>
  <c r="AN6" i="10" s="1"/>
  <c r="AE4" i="10"/>
  <c r="AG4" i="10" s="1"/>
  <c r="AI4" i="10" s="1"/>
  <c r="AJ4" i="10"/>
  <c r="AL4" i="10" s="1"/>
  <c r="AN4" i="10" s="1"/>
  <c r="AE16" i="10"/>
  <c r="AG16" i="10" s="1"/>
  <c r="AI16" i="10" s="1"/>
  <c r="AJ16" i="10"/>
  <c r="AL16" i="10" s="1"/>
  <c r="AN16" i="10" s="1"/>
  <c r="AE7" i="10"/>
  <c r="AG7" i="10" s="1"/>
  <c r="AI7" i="10" s="1"/>
  <c r="AJ7" i="10"/>
  <c r="AL7" i="10" s="1"/>
  <c r="AN7" i="10" s="1"/>
  <c r="AE13" i="10"/>
  <c r="AG13" i="10" s="1"/>
  <c r="AI13" i="10" s="1"/>
  <c r="AJ13" i="10"/>
  <c r="AL13" i="10" s="1"/>
  <c r="AN13" i="10" s="1"/>
  <c r="AP13" i="10" l="1"/>
  <c r="AP6" i="10"/>
  <c r="AP33" i="6"/>
  <c r="AP36" i="6"/>
  <c r="AP7" i="10"/>
  <c r="AP4" i="10"/>
  <c r="AP32" i="6"/>
  <c r="AP35" i="6"/>
  <c r="AP34" i="6"/>
  <c r="AP16" i="10"/>
  <c r="AJ41" i="6" l="1"/>
  <c r="AL41" i="6" s="1"/>
  <c r="AN41" i="6" s="1"/>
  <c r="AE41" i="6"/>
  <c r="AG41" i="6" s="1"/>
  <c r="AI41" i="6" s="1"/>
  <c r="A41" i="6"/>
  <c r="AJ40" i="6"/>
  <c r="AL40" i="6" s="1"/>
  <c r="AN40" i="6" s="1"/>
  <c r="AE40" i="6"/>
  <c r="AG40" i="6" s="1"/>
  <c r="AI40" i="6" s="1"/>
  <c r="A40" i="6"/>
  <c r="AJ39" i="6"/>
  <c r="AL39" i="6" s="1"/>
  <c r="AN39" i="6" s="1"/>
  <c r="AE39" i="6"/>
  <c r="AG39" i="6" s="1"/>
  <c r="AI39" i="6" s="1"/>
  <c r="A39" i="6"/>
  <c r="AJ38" i="6"/>
  <c r="AL38" i="6" s="1"/>
  <c r="AN38" i="6" s="1"/>
  <c r="AE38" i="6"/>
  <c r="AG38" i="6" s="1"/>
  <c r="AI38" i="6" s="1"/>
  <c r="A38" i="6"/>
  <c r="AJ37" i="6"/>
  <c r="AL37" i="6" s="1"/>
  <c r="AN37" i="6" s="1"/>
  <c r="AE37" i="6"/>
  <c r="AG37" i="6" s="1"/>
  <c r="AI37" i="6" s="1"/>
  <c r="A37" i="6"/>
  <c r="AP41" i="6" l="1"/>
  <c r="AP38" i="6"/>
  <c r="AP37" i="6"/>
  <c r="AP39" i="6"/>
  <c r="AP40" i="6"/>
  <c r="AE14" i="10" l="1"/>
  <c r="AG14" i="10" s="1"/>
  <c r="AI14" i="10" s="1"/>
  <c r="AJ14" i="10"/>
  <c r="AL14" i="10" s="1"/>
  <c r="AN14" i="10" s="1"/>
  <c r="AE10" i="10"/>
  <c r="AG10" i="10" s="1"/>
  <c r="AI10" i="10" s="1"/>
  <c r="AJ10" i="10"/>
  <c r="AL10" i="10" s="1"/>
  <c r="AN10" i="10" s="1"/>
  <c r="AE15" i="10"/>
  <c r="AG15" i="10" s="1"/>
  <c r="AI15" i="10" s="1"/>
  <c r="AJ15" i="10"/>
  <c r="AL15" i="10" s="1"/>
  <c r="AN15" i="10" s="1"/>
  <c r="AE17" i="10"/>
  <c r="AG17" i="10" s="1"/>
  <c r="AI17" i="10" s="1"/>
  <c r="AJ17" i="10"/>
  <c r="AL17" i="10" s="1"/>
  <c r="AN17" i="10" s="1"/>
  <c r="AE8" i="10"/>
  <c r="AG8" i="10" s="1"/>
  <c r="AI8" i="10" s="1"/>
  <c r="AJ8" i="10"/>
  <c r="AL8" i="10" s="1"/>
  <c r="AN8" i="10" s="1"/>
  <c r="A14" i="10"/>
  <c r="A10" i="10"/>
  <c r="A15" i="10"/>
  <c r="A17" i="10"/>
  <c r="A8" i="10"/>
  <c r="AP8" i="10" l="1"/>
  <c r="AP10" i="10"/>
  <c r="AP14" i="10"/>
  <c r="AP17" i="10"/>
  <c r="AP15" i="10"/>
  <c r="AE24" i="8" l="1"/>
  <c r="AG24" i="8" s="1"/>
  <c r="AI24" i="8" s="1"/>
  <c r="AE20" i="8"/>
  <c r="AE25" i="8"/>
  <c r="AE26" i="8"/>
  <c r="AE27" i="8"/>
  <c r="AE28" i="8"/>
  <c r="AE13" i="8"/>
  <c r="AG13" i="8" s="1"/>
  <c r="AI13" i="8" s="1"/>
  <c r="AJ13" i="8"/>
  <c r="AL13" i="8" s="1"/>
  <c r="AN13" i="8" s="1"/>
  <c r="AE15" i="8"/>
  <c r="AG15" i="8" s="1"/>
  <c r="AI15" i="8" s="1"/>
  <c r="AJ15" i="8"/>
  <c r="AL15" i="8" s="1"/>
  <c r="AN15" i="8" s="1"/>
  <c r="AE10" i="8"/>
  <c r="AG10" i="8" s="1"/>
  <c r="AI10" i="8" s="1"/>
  <c r="AJ10" i="8"/>
  <c r="AL10" i="8" s="1"/>
  <c r="AN10" i="8" s="1"/>
  <c r="AE14" i="8"/>
  <c r="AG14" i="8" s="1"/>
  <c r="AI14" i="8" s="1"/>
  <c r="AJ14" i="8"/>
  <c r="AL14" i="8" s="1"/>
  <c r="AN14" i="8" s="1"/>
  <c r="AE17" i="8"/>
  <c r="AG17" i="8" s="1"/>
  <c r="AI17" i="8" s="1"/>
  <c r="AJ17" i="8"/>
  <c r="AL17" i="8" s="1"/>
  <c r="AN17" i="8" s="1"/>
  <c r="AE18" i="8"/>
  <c r="AG18" i="8" s="1"/>
  <c r="AI18" i="8" s="1"/>
  <c r="AJ18" i="8"/>
  <c r="AL18" i="8" s="1"/>
  <c r="AN18" i="8" s="1"/>
  <c r="AE12" i="8"/>
  <c r="AG12" i="8" s="1"/>
  <c r="AI12" i="8" s="1"/>
  <c r="AJ12" i="8"/>
  <c r="AL12" i="8" s="1"/>
  <c r="AN12" i="8" s="1"/>
  <c r="AE6" i="8"/>
  <c r="AG6" i="8" s="1"/>
  <c r="AI6" i="8" s="1"/>
  <c r="AJ6" i="8"/>
  <c r="AL6" i="8" s="1"/>
  <c r="AN6" i="8" s="1"/>
  <c r="AE11" i="8"/>
  <c r="AG11" i="8" s="1"/>
  <c r="AI11" i="8" s="1"/>
  <c r="AJ11" i="8"/>
  <c r="AL11" i="8" s="1"/>
  <c r="AN11" i="8" s="1"/>
  <c r="AE5" i="8"/>
  <c r="AG5" i="8" s="1"/>
  <c r="AI5" i="8" s="1"/>
  <c r="AJ5" i="8"/>
  <c r="AL5" i="8" s="1"/>
  <c r="AN5" i="8" s="1"/>
  <c r="AE19" i="8"/>
  <c r="AG19" i="8" s="1"/>
  <c r="AI19" i="8" s="1"/>
  <c r="AJ19" i="8"/>
  <c r="AL19" i="8" s="1"/>
  <c r="AN19" i="8" s="1"/>
  <c r="AE21" i="8"/>
  <c r="AG21" i="8" s="1"/>
  <c r="AI21" i="8" s="1"/>
  <c r="AJ21" i="8"/>
  <c r="AL21" i="8" s="1"/>
  <c r="AN21" i="8" s="1"/>
  <c r="AE23" i="8"/>
  <c r="AG23" i="8" s="1"/>
  <c r="AI23" i="8" s="1"/>
  <c r="AJ23" i="8"/>
  <c r="AL23" i="8" s="1"/>
  <c r="AN23" i="8" s="1"/>
  <c r="AE22" i="8"/>
  <c r="AG22" i="8" s="1"/>
  <c r="AI22" i="8" s="1"/>
  <c r="AJ22" i="8"/>
  <c r="AL22" i="8" s="1"/>
  <c r="AN22" i="8" s="1"/>
  <c r="AJ24" i="8"/>
  <c r="AL24" i="8" s="1"/>
  <c r="AN24" i="8" s="1"/>
  <c r="AP18" i="8" l="1"/>
  <c r="AP10" i="8"/>
  <c r="AP23" i="8"/>
  <c r="AP17" i="8"/>
  <c r="AP19" i="8"/>
  <c r="AP11" i="8"/>
  <c r="AP12" i="8"/>
  <c r="AP22" i="8"/>
  <c r="AP21" i="8"/>
  <c r="AP5" i="8"/>
  <c r="AP14" i="8"/>
  <c r="AP6" i="8"/>
  <c r="AP24" i="8"/>
  <c r="AP15" i="8"/>
  <c r="AP13" i="8"/>
  <c r="AJ32" i="10" l="1"/>
  <c r="AL32" i="10" s="1"/>
  <c r="AN32" i="10" s="1"/>
  <c r="AE32" i="10"/>
  <c r="AG32" i="10" s="1"/>
  <c r="AI32" i="10" s="1"/>
  <c r="A32" i="10"/>
  <c r="AJ37" i="10"/>
  <c r="AL37" i="10" s="1"/>
  <c r="AN37" i="10" s="1"/>
  <c r="AE37" i="10"/>
  <c r="AG37" i="10" s="1"/>
  <c r="AI37" i="10" s="1"/>
  <c r="A37" i="10"/>
  <c r="AJ34" i="10"/>
  <c r="AL34" i="10" s="1"/>
  <c r="AN34" i="10" s="1"/>
  <c r="AE34" i="10"/>
  <c r="AG34" i="10" s="1"/>
  <c r="AI34" i="10" s="1"/>
  <c r="A34" i="10"/>
  <c r="AJ23" i="10"/>
  <c r="AL23" i="10" s="1"/>
  <c r="AN23" i="10" s="1"/>
  <c r="AE23" i="10"/>
  <c r="AG23" i="10" s="1"/>
  <c r="AI23" i="10" s="1"/>
  <c r="A23" i="10"/>
  <c r="AJ33" i="10"/>
  <c r="AL33" i="10" s="1"/>
  <c r="AN33" i="10" s="1"/>
  <c r="AE33" i="10"/>
  <c r="AG33" i="10" s="1"/>
  <c r="AI33" i="10" s="1"/>
  <c r="A33" i="10"/>
  <c r="AJ35" i="10"/>
  <c r="AL35" i="10" s="1"/>
  <c r="AN35" i="10" s="1"/>
  <c r="AE35" i="10"/>
  <c r="AG35" i="10" s="1"/>
  <c r="AI35" i="10" s="1"/>
  <c r="A35" i="10"/>
  <c r="AJ31" i="10"/>
  <c r="AL31" i="10" s="1"/>
  <c r="AN31" i="10" s="1"/>
  <c r="AE31" i="10"/>
  <c r="AG31" i="10" s="1"/>
  <c r="AI31" i="10" s="1"/>
  <c r="A31" i="10"/>
  <c r="AJ30" i="10"/>
  <c r="AL30" i="10" s="1"/>
  <c r="AN30" i="10" s="1"/>
  <c r="AE30" i="10"/>
  <c r="AG30" i="10" s="1"/>
  <c r="AI30" i="10" s="1"/>
  <c r="A30" i="10"/>
  <c r="AJ36" i="10"/>
  <c r="AL36" i="10" s="1"/>
  <c r="AN36" i="10" s="1"/>
  <c r="AE36" i="10"/>
  <c r="AG36" i="10" s="1"/>
  <c r="AI36" i="10" s="1"/>
  <c r="A36" i="10"/>
  <c r="AJ42" i="10"/>
  <c r="AL42" i="10" s="1"/>
  <c r="AN42" i="10" s="1"/>
  <c r="AE42" i="10"/>
  <c r="AG42" i="10" s="1"/>
  <c r="AI42" i="10" s="1"/>
  <c r="A42" i="10"/>
  <c r="AJ12" i="10"/>
  <c r="AL12" i="10" s="1"/>
  <c r="AN12" i="10" s="1"/>
  <c r="AE12" i="10"/>
  <c r="AG12" i="10" s="1"/>
  <c r="AI12" i="10" s="1"/>
  <c r="A12" i="10"/>
  <c r="AJ25" i="10"/>
  <c r="AL25" i="10" s="1"/>
  <c r="AN25" i="10" s="1"/>
  <c r="AE25" i="10"/>
  <c r="AG25" i="10" s="1"/>
  <c r="AI25" i="10" s="1"/>
  <c r="A25" i="10"/>
  <c r="AJ5" i="10"/>
  <c r="AL5" i="10" s="1"/>
  <c r="AN5" i="10" s="1"/>
  <c r="AE5" i="10"/>
  <c r="AG5" i="10" s="1"/>
  <c r="AI5" i="10" s="1"/>
  <c r="A5" i="10"/>
  <c r="AJ41" i="10"/>
  <c r="AL41" i="10" s="1"/>
  <c r="AN41" i="10" s="1"/>
  <c r="AE41" i="10"/>
  <c r="AG41" i="10" s="1"/>
  <c r="AI41" i="10" s="1"/>
  <c r="A41" i="10"/>
  <c r="AJ39" i="10"/>
  <c r="AL39" i="10" s="1"/>
  <c r="AN39" i="10" s="1"/>
  <c r="AE39" i="10"/>
  <c r="AG39" i="10" s="1"/>
  <c r="AI39" i="10" s="1"/>
  <c r="A39" i="10"/>
  <c r="AJ43" i="10"/>
  <c r="AL43" i="10" s="1"/>
  <c r="AN43" i="10" s="1"/>
  <c r="AE43" i="10"/>
  <c r="AG43" i="10" s="1"/>
  <c r="AI43" i="10" s="1"/>
  <c r="A43" i="10"/>
  <c r="AJ29" i="10"/>
  <c r="AL29" i="10" s="1"/>
  <c r="AN29" i="10" s="1"/>
  <c r="AE29" i="10"/>
  <c r="AG29" i="10" s="1"/>
  <c r="AI29" i="10" s="1"/>
  <c r="A29" i="10"/>
  <c r="AJ27" i="10"/>
  <c r="AL27" i="10" s="1"/>
  <c r="AN27" i="10" s="1"/>
  <c r="AE27" i="10"/>
  <c r="AG27" i="10" s="1"/>
  <c r="AI27" i="10" s="1"/>
  <c r="A27" i="10"/>
  <c r="AJ38" i="10"/>
  <c r="AL38" i="10" s="1"/>
  <c r="AN38" i="10" s="1"/>
  <c r="AE38" i="10"/>
  <c r="AG38" i="10" s="1"/>
  <c r="AI38" i="10" s="1"/>
  <c r="A38" i="10"/>
  <c r="AJ28" i="10"/>
  <c r="AL28" i="10" s="1"/>
  <c r="AN28" i="10" s="1"/>
  <c r="AE28" i="10"/>
  <c r="AG28" i="10" s="1"/>
  <c r="AI28" i="10" s="1"/>
  <c r="A28" i="10"/>
  <c r="AJ9" i="10"/>
  <c r="AL9" i="10" s="1"/>
  <c r="AN9" i="10" s="1"/>
  <c r="AE9" i="10"/>
  <c r="AG9" i="10" s="1"/>
  <c r="AI9" i="10" s="1"/>
  <c r="A9" i="10"/>
  <c r="AJ20" i="10"/>
  <c r="AL20" i="10" s="1"/>
  <c r="AN20" i="10" s="1"/>
  <c r="AE20" i="10"/>
  <c r="AG20" i="10" s="1"/>
  <c r="AI20" i="10" s="1"/>
  <c r="A20" i="10"/>
  <c r="AJ19" i="10"/>
  <c r="AL19" i="10" s="1"/>
  <c r="AN19" i="10" s="1"/>
  <c r="AE19" i="10"/>
  <c r="AG19" i="10" s="1"/>
  <c r="AI19" i="10" s="1"/>
  <c r="A19" i="10"/>
  <c r="AJ11" i="10"/>
  <c r="AL11" i="10" s="1"/>
  <c r="AN11" i="10" s="1"/>
  <c r="AE11" i="10"/>
  <c r="AG11" i="10" s="1"/>
  <c r="AI11" i="10" s="1"/>
  <c r="A11" i="10"/>
  <c r="AJ24" i="10"/>
  <c r="AL24" i="10" s="1"/>
  <c r="AN24" i="10" s="1"/>
  <c r="AE24" i="10"/>
  <c r="AG24" i="10" s="1"/>
  <c r="AI24" i="10" s="1"/>
  <c r="A24" i="10"/>
  <c r="AJ22" i="10"/>
  <c r="AL22" i="10" s="1"/>
  <c r="AN22" i="10" s="1"/>
  <c r="AE22" i="10"/>
  <c r="AG22" i="10" s="1"/>
  <c r="AI22" i="10" s="1"/>
  <c r="A22" i="10"/>
  <c r="AJ21" i="10"/>
  <c r="AL21" i="10" s="1"/>
  <c r="AN21" i="10" s="1"/>
  <c r="AE21" i="10"/>
  <c r="AG21" i="10" s="1"/>
  <c r="AI21" i="10" s="1"/>
  <c r="A21" i="10"/>
  <c r="AJ18" i="10"/>
  <c r="AL18" i="10" s="1"/>
  <c r="AN18" i="10" s="1"/>
  <c r="AE18" i="10"/>
  <c r="AG18" i="10" s="1"/>
  <c r="AI18" i="10" s="1"/>
  <c r="A18" i="10"/>
  <c r="AJ40" i="10"/>
  <c r="AL40" i="10" s="1"/>
  <c r="AN40" i="10" s="1"/>
  <c r="AE40" i="10"/>
  <c r="AG40" i="10" s="1"/>
  <c r="AI40" i="10" s="1"/>
  <c r="A40" i="10"/>
  <c r="AJ26" i="10"/>
  <c r="AL26" i="10" s="1"/>
  <c r="AN26" i="10" s="1"/>
  <c r="AE26" i="10"/>
  <c r="AG26" i="10" s="1"/>
  <c r="AI26" i="10" s="1"/>
  <c r="A26" i="10"/>
  <c r="E1" i="10"/>
  <c r="AJ52" i="8"/>
  <c r="AL52" i="8" s="1"/>
  <c r="AN52" i="8" s="1"/>
  <c r="AE52" i="8"/>
  <c r="AG52" i="8" s="1"/>
  <c r="AI52" i="8" s="1"/>
  <c r="A52" i="8"/>
  <c r="AJ51" i="8"/>
  <c r="AL51" i="8" s="1"/>
  <c r="AN51" i="8" s="1"/>
  <c r="AE51" i="8"/>
  <c r="AG51" i="8" s="1"/>
  <c r="AI51" i="8" s="1"/>
  <c r="A51" i="8"/>
  <c r="AJ50" i="8"/>
  <c r="AL50" i="8" s="1"/>
  <c r="AN50" i="8" s="1"/>
  <c r="AE50" i="8"/>
  <c r="AG50" i="8" s="1"/>
  <c r="AI50" i="8" s="1"/>
  <c r="A50" i="8"/>
  <c r="AJ49" i="8"/>
  <c r="AL49" i="8" s="1"/>
  <c r="AN49" i="8" s="1"/>
  <c r="AE49" i="8"/>
  <c r="AG49" i="8" s="1"/>
  <c r="AI49" i="8" s="1"/>
  <c r="A49" i="8"/>
  <c r="AJ48" i="8"/>
  <c r="AL48" i="8" s="1"/>
  <c r="AN48" i="8" s="1"/>
  <c r="AE48" i="8"/>
  <c r="AG48" i="8" s="1"/>
  <c r="AI48" i="8" s="1"/>
  <c r="A48" i="8"/>
  <c r="AJ47" i="8"/>
  <c r="AL47" i="8" s="1"/>
  <c r="AN47" i="8" s="1"/>
  <c r="AE47" i="8"/>
  <c r="AG47" i="8" s="1"/>
  <c r="AI47" i="8" s="1"/>
  <c r="A47" i="8"/>
  <c r="AJ46" i="8"/>
  <c r="AL46" i="8" s="1"/>
  <c r="AN46" i="8" s="1"/>
  <c r="AE46" i="8"/>
  <c r="AG46" i="8" s="1"/>
  <c r="AI46" i="8" s="1"/>
  <c r="A46" i="8"/>
  <c r="AJ45" i="8"/>
  <c r="AL45" i="8" s="1"/>
  <c r="AN45" i="8" s="1"/>
  <c r="AE45" i="8"/>
  <c r="AG45" i="8" s="1"/>
  <c r="AI45" i="8" s="1"/>
  <c r="A45" i="8"/>
  <c r="AJ44" i="8"/>
  <c r="AL44" i="8" s="1"/>
  <c r="AN44" i="8" s="1"/>
  <c r="AE44" i="8"/>
  <c r="AG44" i="8" s="1"/>
  <c r="AI44" i="8" s="1"/>
  <c r="A44" i="8"/>
  <c r="AJ43" i="8"/>
  <c r="AL43" i="8" s="1"/>
  <c r="AN43" i="8" s="1"/>
  <c r="AE43" i="8"/>
  <c r="AG43" i="8" s="1"/>
  <c r="AI43" i="8" s="1"/>
  <c r="A43" i="8"/>
  <c r="AJ42" i="8"/>
  <c r="AL42" i="8" s="1"/>
  <c r="AN42" i="8" s="1"/>
  <c r="AE42" i="8"/>
  <c r="AG42" i="8" s="1"/>
  <c r="AI42" i="8" s="1"/>
  <c r="A42" i="8"/>
  <c r="AJ41" i="8"/>
  <c r="AL41" i="8" s="1"/>
  <c r="AN41" i="8" s="1"/>
  <c r="AE41" i="8"/>
  <c r="AG41" i="8" s="1"/>
  <c r="AI41" i="8" s="1"/>
  <c r="A41" i="8"/>
  <c r="AJ40" i="8"/>
  <c r="AL40" i="8" s="1"/>
  <c r="AN40" i="8" s="1"/>
  <c r="AE40" i="8"/>
  <c r="AG40" i="8" s="1"/>
  <c r="AI40" i="8" s="1"/>
  <c r="A40" i="8"/>
  <c r="AJ39" i="8"/>
  <c r="AL39" i="8" s="1"/>
  <c r="AN39" i="8" s="1"/>
  <c r="AE39" i="8"/>
  <c r="AG39" i="8" s="1"/>
  <c r="AI39" i="8" s="1"/>
  <c r="A39" i="8"/>
  <c r="AJ38" i="8"/>
  <c r="AL38" i="8" s="1"/>
  <c r="AN38" i="8" s="1"/>
  <c r="AE38" i="8"/>
  <c r="AG38" i="8" s="1"/>
  <c r="AI38" i="8" s="1"/>
  <c r="A38" i="8"/>
  <c r="AJ37" i="8"/>
  <c r="AL37" i="8" s="1"/>
  <c r="AN37" i="8" s="1"/>
  <c r="AE37" i="8"/>
  <c r="AG37" i="8" s="1"/>
  <c r="AI37" i="8" s="1"/>
  <c r="A37" i="8"/>
  <c r="AJ36" i="8"/>
  <c r="AL36" i="8" s="1"/>
  <c r="AN36" i="8" s="1"/>
  <c r="AE36" i="8"/>
  <c r="AG36" i="8" s="1"/>
  <c r="AI36" i="8" s="1"/>
  <c r="A36" i="8"/>
  <c r="AJ35" i="8"/>
  <c r="AL35" i="8" s="1"/>
  <c r="AN35" i="8" s="1"/>
  <c r="AE35" i="8"/>
  <c r="AG35" i="8" s="1"/>
  <c r="AI35" i="8" s="1"/>
  <c r="A35" i="8"/>
  <c r="AJ34" i="8"/>
  <c r="AL34" i="8" s="1"/>
  <c r="AN34" i="8" s="1"/>
  <c r="AE34" i="8"/>
  <c r="AG34" i="8" s="1"/>
  <c r="AI34" i="8" s="1"/>
  <c r="A34" i="8"/>
  <c r="AJ33" i="8"/>
  <c r="AL33" i="8" s="1"/>
  <c r="AN33" i="8" s="1"/>
  <c r="AE33" i="8"/>
  <c r="AG33" i="8" s="1"/>
  <c r="AI33" i="8" s="1"/>
  <c r="A33" i="8"/>
  <c r="AJ32" i="8"/>
  <c r="AL32" i="8" s="1"/>
  <c r="AN32" i="8" s="1"/>
  <c r="AE32" i="8"/>
  <c r="AG32" i="8" s="1"/>
  <c r="AI32" i="8" s="1"/>
  <c r="A32" i="8"/>
  <c r="AJ31" i="8"/>
  <c r="AL31" i="8" s="1"/>
  <c r="AN31" i="8" s="1"/>
  <c r="AE31" i="8"/>
  <c r="AG31" i="8" s="1"/>
  <c r="AI31" i="8" s="1"/>
  <c r="A31" i="8"/>
  <c r="AJ30" i="8"/>
  <c r="AL30" i="8" s="1"/>
  <c r="AN30" i="8" s="1"/>
  <c r="AE30" i="8"/>
  <c r="AG30" i="8" s="1"/>
  <c r="AI30" i="8" s="1"/>
  <c r="A30" i="8"/>
  <c r="AJ28" i="8"/>
  <c r="AL28" i="8" s="1"/>
  <c r="AN28" i="8" s="1"/>
  <c r="AG28" i="8"/>
  <c r="AI28" i="8" s="1"/>
  <c r="A28" i="8"/>
  <c r="AJ27" i="8"/>
  <c r="AL27" i="8" s="1"/>
  <c r="AN27" i="8" s="1"/>
  <c r="AG27" i="8"/>
  <c r="AI27" i="8" s="1"/>
  <c r="A27" i="8"/>
  <c r="AJ26" i="8"/>
  <c r="AL26" i="8" s="1"/>
  <c r="AN26" i="8" s="1"/>
  <c r="AG26" i="8"/>
  <c r="AI26" i="8" s="1"/>
  <c r="A26" i="8"/>
  <c r="AJ20" i="8"/>
  <c r="AL20" i="8" s="1"/>
  <c r="AN20" i="8" s="1"/>
  <c r="AG20" i="8"/>
  <c r="AI20" i="8" s="1"/>
  <c r="A20" i="8"/>
  <c r="AJ29" i="8"/>
  <c r="AL29" i="8" s="1"/>
  <c r="AN29" i="8" s="1"/>
  <c r="AE29" i="8"/>
  <c r="AG29" i="8" s="1"/>
  <c r="AI29" i="8" s="1"/>
  <c r="A29" i="8"/>
  <c r="A24" i="8"/>
  <c r="AJ25" i="8"/>
  <c r="AL25" i="8" s="1"/>
  <c r="AN25" i="8" s="1"/>
  <c r="AG25" i="8"/>
  <c r="AI25" i="8" s="1"/>
  <c r="A25" i="8"/>
  <c r="A22" i="8"/>
  <c r="A23" i="8"/>
  <c r="A21" i="8"/>
  <c r="A19" i="8"/>
  <c r="AJ16" i="8"/>
  <c r="AL16" i="8" s="1"/>
  <c r="AN16" i="8" s="1"/>
  <c r="AE16" i="8"/>
  <c r="AG16" i="8" s="1"/>
  <c r="AI16" i="8" s="1"/>
  <c r="AJ9" i="8"/>
  <c r="AL9" i="8" s="1"/>
  <c r="AN9" i="8" s="1"/>
  <c r="AE9" i="8"/>
  <c r="AG9" i="8" s="1"/>
  <c r="AI9" i="8" s="1"/>
  <c r="AJ8" i="8"/>
  <c r="AL8" i="8" s="1"/>
  <c r="AN8" i="8" s="1"/>
  <c r="AE8" i="8"/>
  <c r="AG8" i="8" s="1"/>
  <c r="AI8" i="8" s="1"/>
  <c r="AJ7" i="8"/>
  <c r="AL7" i="8" s="1"/>
  <c r="AN7" i="8" s="1"/>
  <c r="AE7" i="8"/>
  <c r="AG7" i="8" s="1"/>
  <c r="AI7" i="8" s="1"/>
  <c r="A7" i="8"/>
  <c r="AJ4" i="8"/>
  <c r="AL4" i="8" s="1"/>
  <c r="AN4" i="8" s="1"/>
  <c r="AE4" i="8"/>
  <c r="AG4" i="8" s="1"/>
  <c r="AI4" i="8" s="1"/>
  <c r="A4" i="8"/>
  <c r="E1" i="8"/>
  <c r="AJ50" i="9"/>
  <c r="AL50" i="9" s="1"/>
  <c r="AN50" i="9" s="1"/>
  <c r="AE50" i="9"/>
  <c r="AG50" i="9" s="1"/>
  <c r="AI50" i="9" s="1"/>
  <c r="AJ43" i="9"/>
  <c r="AL43" i="9" s="1"/>
  <c r="AN43" i="9" s="1"/>
  <c r="AE43" i="9"/>
  <c r="AG43" i="9" s="1"/>
  <c r="AI43" i="9" s="1"/>
  <c r="AJ49" i="9"/>
  <c r="AL49" i="9" s="1"/>
  <c r="AN49" i="9" s="1"/>
  <c r="AE49" i="9"/>
  <c r="AG49" i="9" s="1"/>
  <c r="AI49" i="9" s="1"/>
  <c r="AJ48" i="9"/>
  <c r="AL48" i="9" s="1"/>
  <c r="AN48" i="9" s="1"/>
  <c r="AE48" i="9"/>
  <c r="AG48" i="9" s="1"/>
  <c r="AI48" i="9" s="1"/>
  <c r="AJ47" i="9"/>
  <c r="AL47" i="9" s="1"/>
  <c r="AN47" i="9" s="1"/>
  <c r="AE47" i="9"/>
  <c r="AG47" i="9" s="1"/>
  <c r="AI47" i="9" s="1"/>
  <c r="AJ46" i="9"/>
  <c r="AL46" i="9" s="1"/>
  <c r="AN46" i="9" s="1"/>
  <c r="AE46" i="9"/>
  <c r="AG46" i="9" s="1"/>
  <c r="AI46" i="9" s="1"/>
  <c r="AJ45" i="9"/>
  <c r="AL45" i="9" s="1"/>
  <c r="AN45" i="9" s="1"/>
  <c r="AE45" i="9"/>
  <c r="AG45" i="9" s="1"/>
  <c r="AI45" i="9" s="1"/>
  <c r="AJ57" i="9"/>
  <c r="AL57" i="9" s="1"/>
  <c r="AN57" i="9" s="1"/>
  <c r="AE57" i="9"/>
  <c r="AG57" i="9" s="1"/>
  <c r="AI57" i="9" s="1"/>
  <c r="AJ44" i="9"/>
  <c r="AL44" i="9" s="1"/>
  <c r="AN44" i="9" s="1"/>
  <c r="AE44" i="9"/>
  <c r="AG44" i="9" s="1"/>
  <c r="AI44" i="9" s="1"/>
  <c r="AJ42" i="9"/>
  <c r="AL42" i="9" s="1"/>
  <c r="AN42" i="9" s="1"/>
  <c r="AE42" i="9"/>
  <c r="AG42" i="9" s="1"/>
  <c r="AI42" i="9" s="1"/>
  <c r="AJ41" i="9"/>
  <c r="AL41" i="9" s="1"/>
  <c r="AN41" i="9" s="1"/>
  <c r="AE41" i="9"/>
  <c r="AG41" i="9" s="1"/>
  <c r="AI41" i="9" s="1"/>
  <c r="AJ37" i="9"/>
  <c r="AL37" i="9" s="1"/>
  <c r="AN37" i="9" s="1"/>
  <c r="AE37" i="9"/>
  <c r="AG37" i="9" s="1"/>
  <c r="AI37" i="9" s="1"/>
  <c r="AJ36" i="9"/>
  <c r="AL36" i="9" s="1"/>
  <c r="AN36" i="9" s="1"/>
  <c r="AE36" i="9"/>
  <c r="AG36" i="9" s="1"/>
  <c r="AI36" i="9" s="1"/>
  <c r="AJ32" i="9"/>
  <c r="AL32" i="9" s="1"/>
  <c r="AN32" i="9" s="1"/>
  <c r="AE32" i="9"/>
  <c r="AG32" i="9" s="1"/>
  <c r="AI32" i="9" s="1"/>
  <c r="AJ40" i="9"/>
  <c r="AL40" i="9" s="1"/>
  <c r="AN40" i="9" s="1"/>
  <c r="AE40" i="9"/>
  <c r="AG40" i="9" s="1"/>
  <c r="AI40" i="9" s="1"/>
  <c r="AJ39" i="9"/>
  <c r="AL39" i="9" s="1"/>
  <c r="AN39" i="9" s="1"/>
  <c r="AE39" i="9"/>
  <c r="AG39" i="9" s="1"/>
  <c r="AI39" i="9" s="1"/>
  <c r="AJ38" i="9"/>
  <c r="AL38" i="9" s="1"/>
  <c r="AN38" i="9" s="1"/>
  <c r="AE38" i="9"/>
  <c r="AG38" i="9" s="1"/>
  <c r="AI38" i="9" s="1"/>
  <c r="AJ35" i="9"/>
  <c r="AL35" i="9" s="1"/>
  <c r="AN35" i="9" s="1"/>
  <c r="AE35" i="9"/>
  <c r="AG35" i="9" s="1"/>
  <c r="AI35" i="9" s="1"/>
  <c r="AJ34" i="9"/>
  <c r="AL34" i="9" s="1"/>
  <c r="AN34" i="9" s="1"/>
  <c r="AE34" i="9"/>
  <c r="AG34" i="9" s="1"/>
  <c r="AI34" i="9" s="1"/>
  <c r="AJ33" i="9"/>
  <c r="AL33" i="9" s="1"/>
  <c r="AN33" i="9" s="1"/>
  <c r="AE33" i="9"/>
  <c r="AG33" i="9" s="1"/>
  <c r="AI33" i="9" s="1"/>
  <c r="E1" i="9"/>
  <c r="AP86" i="1"/>
  <c r="AJ86" i="1"/>
  <c r="AL86" i="1" s="1"/>
  <c r="AN86" i="1" s="1"/>
  <c r="AI86" i="1"/>
  <c r="AG86" i="1"/>
  <c r="AE86" i="1"/>
  <c r="A86" i="1"/>
  <c r="AJ85" i="1"/>
  <c r="AL85" i="1" s="1"/>
  <c r="AN85" i="1" s="1"/>
  <c r="AI85" i="1"/>
  <c r="AP85" i="1" s="1"/>
  <c r="AG85" i="1"/>
  <c r="AE85" i="1"/>
  <c r="A85" i="1"/>
  <c r="AJ84" i="1"/>
  <c r="AL84" i="1" s="1"/>
  <c r="AN84" i="1" s="1"/>
  <c r="AI84" i="1"/>
  <c r="AP84" i="1" s="1"/>
  <c r="AG84" i="1"/>
  <c r="AE84" i="1"/>
  <c r="A84" i="1"/>
  <c r="AJ83" i="1"/>
  <c r="AL83" i="1" s="1"/>
  <c r="AN83" i="1" s="1"/>
  <c r="AP83" i="1" s="1"/>
  <c r="AI83" i="1"/>
  <c r="AG83" i="1"/>
  <c r="AE83" i="1"/>
  <c r="A83" i="1"/>
  <c r="AP82" i="1"/>
  <c r="AJ82" i="1"/>
  <c r="AL82" i="1" s="1"/>
  <c r="AN82" i="1" s="1"/>
  <c r="AI82" i="1"/>
  <c r="AG82" i="1"/>
  <c r="AE82" i="1"/>
  <c r="A82" i="1"/>
  <c r="AP81" i="1"/>
  <c r="AJ81" i="1"/>
  <c r="AL81" i="1" s="1"/>
  <c r="AN81" i="1" s="1"/>
  <c r="AI81" i="1"/>
  <c r="AG81" i="1"/>
  <c r="AE81" i="1"/>
  <c r="A81" i="1"/>
  <c r="AJ80" i="1"/>
  <c r="AL80" i="1" s="1"/>
  <c r="AN80" i="1" s="1"/>
  <c r="AI80" i="1"/>
  <c r="AP80" i="1" s="1"/>
  <c r="AG80" i="1"/>
  <c r="AE80" i="1"/>
  <c r="A80" i="1"/>
  <c r="AJ79" i="1"/>
  <c r="AL79" i="1" s="1"/>
  <c r="AN79" i="1" s="1"/>
  <c r="AP79" i="1" s="1"/>
  <c r="AI79" i="1"/>
  <c r="AG79" i="1"/>
  <c r="AE79" i="1"/>
  <c r="A79" i="1"/>
  <c r="AP78" i="1"/>
  <c r="AJ78" i="1"/>
  <c r="AL78" i="1" s="1"/>
  <c r="AN78" i="1" s="1"/>
  <c r="AI78" i="1"/>
  <c r="AG78" i="1"/>
  <c r="AE78" i="1"/>
  <c r="A78" i="1"/>
  <c r="AJ77" i="1"/>
  <c r="AL77" i="1" s="1"/>
  <c r="AN77" i="1" s="1"/>
  <c r="AI77" i="1"/>
  <c r="AP77" i="1" s="1"/>
  <c r="AG77" i="1"/>
  <c r="AE77" i="1"/>
  <c r="A77" i="1"/>
  <c r="AJ76" i="1"/>
  <c r="AL76" i="1" s="1"/>
  <c r="AN76" i="1" s="1"/>
  <c r="AI76" i="1"/>
  <c r="AP76" i="1" s="1"/>
  <c r="AG76" i="1"/>
  <c r="AE76" i="1"/>
  <c r="A76" i="1"/>
  <c r="AJ75" i="1"/>
  <c r="AL75" i="1" s="1"/>
  <c r="AN75" i="1" s="1"/>
  <c r="AP75" i="1" s="1"/>
  <c r="AI75" i="1"/>
  <c r="AG75" i="1"/>
  <c r="AE75" i="1"/>
  <c r="A75" i="1"/>
  <c r="AP74" i="1"/>
  <c r="AJ74" i="1"/>
  <c r="AL74" i="1" s="1"/>
  <c r="AN74" i="1" s="1"/>
  <c r="AI74" i="1"/>
  <c r="AG74" i="1"/>
  <c r="AE74" i="1"/>
  <c r="A74" i="1"/>
  <c r="AP73" i="1"/>
  <c r="AJ73" i="1"/>
  <c r="AL73" i="1" s="1"/>
  <c r="AN73" i="1" s="1"/>
  <c r="AI73" i="1"/>
  <c r="AG73" i="1"/>
  <c r="AE73" i="1"/>
  <c r="A73" i="1"/>
  <c r="AJ72" i="1"/>
  <c r="AL72" i="1" s="1"/>
  <c r="AN72" i="1" s="1"/>
  <c r="AI72" i="1"/>
  <c r="AP72" i="1" s="1"/>
  <c r="AG72" i="1"/>
  <c r="AE72" i="1"/>
  <c r="A72" i="1"/>
  <c r="AJ71" i="1"/>
  <c r="AL71" i="1" s="1"/>
  <c r="AN71" i="1" s="1"/>
  <c r="AP71" i="1" s="1"/>
  <c r="AI71" i="1"/>
  <c r="AG71" i="1"/>
  <c r="AE71" i="1"/>
  <c r="A71" i="1"/>
  <c r="AP70" i="1"/>
  <c r="AJ70" i="1"/>
  <c r="AL70" i="1" s="1"/>
  <c r="AN70" i="1" s="1"/>
  <c r="AI70" i="1"/>
  <c r="AG70" i="1"/>
  <c r="AE70" i="1"/>
  <c r="A70" i="1"/>
  <c r="AJ69" i="1"/>
  <c r="AL69" i="1" s="1"/>
  <c r="AN69" i="1" s="1"/>
  <c r="AI69" i="1"/>
  <c r="AP69" i="1" s="1"/>
  <c r="AG69" i="1"/>
  <c r="AE69" i="1"/>
  <c r="A69" i="1"/>
  <c r="AJ68" i="1"/>
  <c r="AL68" i="1" s="1"/>
  <c r="AN68" i="1" s="1"/>
  <c r="AI68" i="1"/>
  <c r="AP68" i="1" s="1"/>
  <c r="AG68" i="1"/>
  <c r="AE68" i="1"/>
  <c r="A68" i="1"/>
  <c r="AJ67" i="1"/>
  <c r="AL67" i="1" s="1"/>
  <c r="AN67" i="1" s="1"/>
  <c r="AP67" i="1" s="1"/>
  <c r="AI67" i="1"/>
  <c r="AG67" i="1"/>
  <c r="AE67" i="1"/>
  <c r="A67" i="1"/>
  <c r="AP66" i="1"/>
  <c r="AJ66" i="1"/>
  <c r="AL66" i="1" s="1"/>
  <c r="AN66" i="1" s="1"/>
  <c r="AI66" i="1"/>
  <c r="AG66" i="1"/>
  <c r="AE66" i="1"/>
  <c r="A66" i="1"/>
  <c r="AP65" i="1"/>
  <c r="AJ65" i="1"/>
  <c r="AL65" i="1" s="1"/>
  <c r="AN65" i="1" s="1"/>
  <c r="AI65" i="1"/>
  <c r="AG65" i="1"/>
  <c r="AE65" i="1"/>
  <c r="A65" i="1"/>
  <c r="AJ64" i="1"/>
  <c r="AL64" i="1" s="1"/>
  <c r="AN64" i="1" s="1"/>
  <c r="AI64" i="1"/>
  <c r="AP64" i="1" s="1"/>
  <c r="AG64" i="1"/>
  <c r="AE64" i="1"/>
  <c r="A64" i="1"/>
  <c r="AJ63" i="1"/>
  <c r="AL63" i="1" s="1"/>
  <c r="AN63" i="1" s="1"/>
  <c r="AP63" i="1" s="1"/>
  <c r="AI63" i="1"/>
  <c r="AG63" i="1"/>
  <c r="AE63" i="1"/>
  <c r="A63" i="1"/>
  <c r="AP62" i="1"/>
  <c r="AJ62" i="1"/>
  <c r="AL62" i="1" s="1"/>
  <c r="AN62" i="1" s="1"/>
  <c r="AI62" i="1"/>
  <c r="AG62" i="1"/>
  <c r="AE62" i="1"/>
  <c r="A62" i="1"/>
  <c r="AJ61" i="1"/>
  <c r="AL61" i="1" s="1"/>
  <c r="AN61" i="1" s="1"/>
  <c r="AI61" i="1"/>
  <c r="AP61" i="1" s="1"/>
  <c r="AG61" i="1"/>
  <c r="AE61" i="1"/>
  <c r="A61" i="1"/>
  <c r="AJ60" i="1"/>
  <c r="AL60" i="1" s="1"/>
  <c r="AN60" i="1" s="1"/>
  <c r="AI60" i="1"/>
  <c r="AP60" i="1" s="1"/>
  <c r="AG60" i="1"/>
  <c r="AE60" i="1"/>
  <c r="A60" i="1"/>
  <c r="AJ59" i="1"/>
  <c r="AL59" i="1" s="1"/>
  <c r="AN59" i="1" s="1"/>
  <c r="AP59" i="1" s="1"/>
  <c r="AI59" i="1"/>
  <c r="AG59" i="1"/>
  <c r="AE59" i="1"/>
  <c r="A59" i="1"/>
  <c r="AP58" i="1"/>
  <c r="AJ58" i="1"/>
  <c r="AL58" i="1" s="1"/>
  <c r="AN58" i="1" s="1"/>
  <c r="AI58" i="1"/>
  <c r="AG58" i="1"/>
  <c r="AE58" i="1"/>
  <c r="A58" i="1"/>
  <c r="AP57" i="1"/>
  <c r="AJ57" i="1"/>
  <c r="AL57" i="1" s="1"/>
  <c r="AN57" i="1" s="1"/>
  <c r="AI57" i="1"/>
  <c r="AG57" i="1"/>
  <c r="AE57" i="1"/>
  <c r="A57" i="1"/>
  <c r="AJ56" i="1"/>
  <c r="AL56" i="1" s="1"/>
  <c r="AN56" i="1" s="1"/>
  <c r="AI56" i="1"/>
  <c r="AP56" i="1" s="1"/>
  <c r="AG56" i="1"/>
  <c r="AE56" i="1"/>
  <c r="A56" i="1"/>
  <c r="AJ55" i="1"/>
  <c r="AL55" i="1" s="1"/>
  <c r="AN55" i="1" s="1"/>
  <c r="AP55" i="1" s="1"/>
  <c r="AI55" i="1"/>
  <c r="AG55" i="1"/>
  <c r="AE55" i="1"/>
  <c r="A55" i="1"/>
  <c r="AP54" i="1"/>
  <c r="AJ54" i="1"/>
  <c r="AL54" i="1" s="1"/>
  <c r="AN54" i="1" s="1"/>
  <c r="AG54" i="1"/>
  <c r="AI54" i="1" s="1"/>
  <c r="AE54" i="1"/>
  <c r="A54" i="1"/>
  <c r="AJ53" i="1"/>
  <c r="AL53" i="1" s="1"/>
  <c r="AN53" i="1" s="1"/>
  <c r="AI53" i="1"/>
  <c r="AP53" i="1" s="1"/>
  <c r="AG53" i="1"/>
  <c r="AE53" i="1"/>
  <c r="A53" i="1"/>
  <c r="AJ52" i="1"/>
  <c r="AL52" i="1" s="1"/>
  <c r="AN52" i="1" s="1"/>
  <c r="AI52" i="1"/>
  <c r="AP52" i="1" s="1"/>
  <c r="AG52" i="1"/>
  <c r="AE52" i="1"/>
  <c r="A52" i="1"/>
  <c r="AJ51" i="1"/>
  <c r="AL51" i="1" s="1"/>
  <c r="AN51" i="1" s="1"/>
  <c r="AP51" i="1" s="1"/>
  <c r="AI51" i="1"/>
  <c r="AG51" i="1"/>
  <c r="AE51" i="1"/>
  <c r="A51" i="1"/>
  <c r="AJ50" i="1"/>
  <c r="AL50" i="1" s="1"/>
  <c r="AN50" i="1" s="1"/>
  <c r="AG50" i="1"/>
  <c r="AI50" i="1" s="1"/>
  <c r="AP50" i="1" s="1"/>
  <c r="AE50" i="1"/>
  <c r="A50" i="1"/>
  <c r="AJ49" i="1"/>
  <c r="AL49" i="1" s="1"/>
  <c r="AN49" i="1" s="1"/>
  <c r="AI49" i="1"/>
  <c r="AP49" i="1" s="1"/>
  <c r="AG49" i="1"/>
  <c r="AE49" i="1"/>
  <c r="A49" i="1"/>
  <c r="AJ48" i="1"/>
  <c r="AL48" i="1" s="1"/>
  <c r="AN48" i="1" s="1"/>
  <c r="AI48" i="1"/>
  <c r="AP48" i="1" s="1"/>
  <c r="AG48" i="1"/>
  <c r="AE48" i="1"/>
  <c r="A48" i="1"/>
  <c r="AJ47" i="1"/>
  <c r="AL47" i="1" s="1"/>
  <c r="AN47" i="1" s="1"/>
  <c r="AP47" i="1" s="1"/>
  <c r="AI47" i="1"/>
  <c r="AG47" i="1"/>
  <c r="AE47" i="1"/>
  <c r="A47" i="1"/>
  <c r="AJ46" i="1"/>
  <c r="AL46" i="1" s="1"/>
  <c r="AN46" i="1" s="1"/>
  <c r="AG46" i="1"/>
  <c r="AI46" i="1" s="1"/>
  <c r="AP46" i="1" s="1"/>
  <c r="AE46" i="1"/>
  <c r="A46" i="1"/>
  <c r="AP45" i="1"/>
  <c r="AJ45" i="1"/>
  <c r="AL45" i="1" s="1"/>
  <c r="AN45" i="1" s="1"/>
  <c r="AI45" i="1"/>
  <c r="AG45" i="1"/>
  <c r="AE45" i="1"/>
  <c r="A45" i="1"/>
  <c r="AJ44" i="1"/>
  <c r="AL44" i="1" s="1"/>
  <c r="AN44" i="1" s="1"/>
  <c r="AI44" i="1"/>
  <c r="AP44" i="1" s="1"/>
  <c r="AG44" i="1"/>
  <c r="AE44" i="1"/>
  <c r="A44" i="1"/>
  <c r="AJ43" i="1"/>
  <c r="AL43" i="1" s="1"/>
  <c r="AN43" i="1" s="1"/>
  <c r="AP43" i="1" s="1"/>
  <c r="AI43" i="1"/>
  <c r="AG43" i="1"/>
  <c r="AE43" i="1"/>
  <c r="A43" i="1"/>
  <c r="AP42" i="1"/>
  <c r="AJ42" i="1"/>
  <c r="AL42" i="1" s="1"/>
  <c r="AN42" i="1" s="1"/>
  <c r="AG42" i="1"/>
  <c r="AI42" i="1" s="1"/>
  <c r="AE42" i="1"/>
  <c r="A42" i="1"/>
  <c r="AP41" i="1"/>
  <c r="AJ41" i="1"/>
  <c r="AL41" i="1" s="1"/>
  <c r="AN41" i="1" s="1"/>
  <c r="AI41" i="1"/>
  <c r="AG41" i="1"/>
  <c r="AE41" i="1"/>
  <c r="A41" i="1"/>
  <c r="AJ40" i="1"/>
  <c r="AL40" i="1" s="1"/>
  <c r="AN40" i="1" s="1"/>
  <c r="AI40" i="1"/>
  <c r="AP40" i="1" s="1"/>
  <c r="AG40" i="1"/>
  <c r="AE40" i="1"/>
  <c r="A40" i="1"/>
  <c r="AJ39" i="1"/>
  <c r="AL39" i="1" s="1"/>
  <c r="AN39" i="1" s="1"/>
  <c r="AP39" i="1" s="1"/>
  <c r="AI39" i="1"/>
  <c r="AG39" i="1"/>
  <c r="AE39" i="1"/>
  <c r="A39" i="1"/>
  <c r="AP38" i="1"/>
  <c r="AJ38" i="1"/>
  <c r="AL38" i="1" s="1"/>
  <c r="AN38" i="1" s="1"/>
  <c r="AG38" i="1"/>
  <c r="AI38" i="1" s="1"/>
  <c r="AE38" i="1"/>
  <c r="A38" i="1"/>
  <c r="AP37" i="1"/>
  <c r="AJ37" i="1"/>
  <c r="AL37" i="1" s="1"/>
  <c r="AN37" i="1" s="1"/>
  <c r="AI37" i="1"/>
  <c r="AG37" i="1"/>
  <c r="AE37" i="1"/>
  <c r="A37" i="1"/>
  <c r="AJ36" i="1"/>
  <c r="AL36" i="1" s="1"/>
  <c r="AN36" i="1" s="1"/>
  <c r="AI36" i="1"/>
  <c r="AP36" i="1" s="1"/>
  <c r="AG36" i="1"/>
  <c r="AE36" i="1"/>
  <c r="A36" i="1"/>
  <c r="AJ35" i="1"/>
  <c r="AL35" i="1" s="1"/>
  <c r="AN35" i="1" s="1"/>
  <c r="AP35" i="1" s="1"/>
  <c r="AI35" i="1"/>
  <c r="AG35" i="1"/>
  <c r="AE35" i="1"/>
  <c r="A35" i="1"/>
  <c r="AJ34" i="1"/>
  <c r="AL34" i="1" s="1"/>
  <c r="AN34" i="1" s="1"/>
  <c r="AG34" i="1"/>
  <c r="AI34" i="1" s="1"/>
  <c r="AP34" i="1" s="1"/>
  <c r="AE34" i="1"/>
  <c r="A34" i="1"/>
  <c r="AJ33" i="1"/>
  <c r="AL33" i="1" s="1"/>
  <c r="AN33" i="1" s="1"/>
  <c r="AI33" i="1"/>
  <c r="AP33" i="1" s="1"/>
  <c r="AG33" i="1"/>
  <c r="AE33" i="1"/>
  <c r="A33" i="1"/>
  <c r="AJ32" i="1"/>
  <c r="AL32" i="1" s="1"/>
  <c r="AN32" i="1" s="1"/>
  <c r="AE32" i="1"/>
  <c r="AG32" i="1" s="1"/>
  <c r="AI32" i="1" s="1"/>
  <c r="AP32" i="1" s="1"/>
  <c r="A32" i="1"/>
  <c r="AJ31" i="1"/>
  <c r="AL31" i="1" s="1"/>
  <c r="AN31" i="1" s="1"/>
  <c r="AP31" i="1" s="1"/>
  <c r="AI31" i="1"/>
  <c r="AG31" i="1"/>
  <c r="AE31" i="1"/>
  <c r="A31" i="1"/>
  <c r="AJ30" i="1"/>
  <c r="AL30" i="1" s="1"/>
  <c r="AN30" i="1" s="1"/>
  <c r="AG30" i="1"/>
  <c r="AI30" i="1" s="1"/>
  <c r="AP30" i="1" s="1"/>
  <c r="AE30" i="1"/>
  <c r="A30" i="1"/>
  <c r="AJ29" i="1"/>
  <c r="AL29" i="1" s="1"/>
  <c r="AN29" i="1" s="1"/>
  <c r="AI29" i="1"/>
  <c r="AP29" i="1" s="1"/>
  <c r="AG29" i="1"/>
  <c r="AE29" i="1"/>
  <c r="A29" i="1"/>
  <c r="AJ28" i="1"/>
  <c r="AL28" i="1" s="1"/>
  <c r="AN28" i="1" s="1"/>
  <c r="AI28" i="1"/>
  <c r="AP28" i="1" s="1"/>
  <c r="AG28" i="1"/>
  <c r="AE28" i="1"/>
  <c r="A28" i="1"/>
  <c r="AJ27" i="1"/>
  <c r="AL27" i="1" s="1"/>
  <c r="AN27" i="1" s="1"/>
  <c r="AP27" i="1" s="1"/>
  <c r="AI27" i="1"/>
  <c r="AG27" i="1"/>
  <c r="AE27" i="1"/>
  <c r="A27" i="1"/>
  <c r="AJ26" i="1"/>
  <c r="AL26" i="1" s="1"/>
  <c r="AN26" i="1" s="1"/>
  <c r="AG26" i="1"/>
  <c r="AI26" i="1" s="1"/>
  <c r="AP26" i="1" s="1"/>
  <c r="AE26" i="1"/>
  <c r="A26" i="1"/>
  <c r="AP25" i="1"/>
  <c r="AJ25" i="1"/>
  <c r="AL25" i="1" s="1"/>
  <c r="AN25" i="1" s="1"/>
  <c r="AI25" i="1"/>
  <c r="AG25" i="1"/>
  <c r="AE25" i="1"/>
  <c r="A25" i="1"/>
  <c r="AJ24" i="1"/>
  <c r="AL24" i="1" s="1"/>
  <c r="AN24" i="1" s="1"/>
  <c r="AI24" i="1"/>
  <c r="AP24" i="1" s="1"/>
  <c r="AG24" i="1"/>
  <c r="AE24" i="1"/>
  <c r="A24" i="1"/>
  <c r="AJ23" i="1"/>
  <c r="AL23" i="1" s="1"/>
  <c r="AN23" i="1" s="1"/>
  <c r="AP23" i="1" s="1"/>
  <c r="AI23" i="1"/>
  <c r="AG23" i="1"/>
  <c r="AE23" i="1"/>
  <c r="A23" i="1"/>
  <c r="AP22" i="1"/>
  <c r="AJ22" i="1"/>
  <c r="AL22" i="1" s="1"/>
  <c r="AN22" i="1" s="1"/>
  <c r="AG22" i="1"/>
  <c r="AI22" i="1" s="1"/>
  <c r="AE22" i="1"/>
  <c r="A22" i="1"/>
  <c r="AJ21" i="1"/>
  <c r="AL21" i="1" s="1"/>
  <c r="AN21" i="1" s="1"/>
  <c r="AI21" i="1"/>
  <c r="AP21" i="1" s="1"/>
  <c r="AG21" i="1"/>
  <c r="AE21" i="1"/>
  <c r="A21" i="1"/>
  <c r="AJ20" i="1"/>
  <c r="AL20" i="1" s="1"/>
  <c r="AN20" i="1" s="1"/>
  <c r="AI20" i="1"/>
  <c r="AP20" i="1" s="1"/>
  <c r="AG20" i="1"/>
  <c r="AE20" i="1"/>
  <c r="A20" i="1"/>
  <c r="AJ19" i="1"/>
  <c r="AL19" i="1" s="1"/>
  <c r="AN19" i="1" s="1"/>
  <c r="AP19" i="1" s="1"/>
  <c r="AI19" i="1"/>
  <c r="AG19" i="1"/>
  <c r="AE19" i="1"/>
  <c r="A19" i="1"/>
  <c r="AJ18" i="1"/>
  <c r="AL18" i="1" s="1"/>
  <c r="AN18" i="1" s="1"/>
  <c r="AG18" i="1"/>
  <c r="AI18" i="1" s="1"/>
  <c r="AP18" i="1" s="1"/>
  <c r="AE18" i="1"/>
  <c r="A18" i="1"/>
  <c r="AJ17" i="1"/>
  <c r="AL17" i="1" s="1"/>
  <c r="AN17" i="1" s="1"/>
  <c r="AI17" i="1"/>
  <c r="AP17" i="1" s="1"/>
  <c r="AG17" i="1"/>
  <c r="AE17" i="1"/>
  <c r="A17" i="1"/>
  <c r="AJ16" i="1"/>
  <c r="AL16" i="1" s="1"/>
  <c r="AN16" i="1" s="1"/>
  <c r="AI16" i="1"/>
  <c r="AP16" i="1" s="1"/>
  <c r="AG16" i="1"/>
  <c r="AE16" i="1"/>
  <c r="A16" i="1"/>
  <c r="AJ15" i="1"/>
  <c r="AL15" i="1" s="1"/>
  <c r="AN15" i="1" s="1"/>
  <c r="AP15" i="1" s="1"/>
  <c r="AI15" i="1"/>
  <c r="AG15" i="1"/>
  <c r="AE15" i="1"/>
  <c r="A15" i="1"/>
  <c r="AJ14" i="1"/>
  <c r="AL14" i="1" s="1"/>
  <c r="AN14" i="1" s="1"/>
  <c r="AG14" i="1"/>
  <c r="AI14" i="1" s="1"/>
  <c r="AP14" i="1" s="1"/>
  <c r="AE14" i="1"/>
  <c r="A14" i="1"/>
  <c r="AP13" i="1"/>
  <c r="AJ13" i="1"/>
  <c r="AL13" i="1" s="1"/>
  <c r="AN13" i="1" s="1"/>
  <c r="AI13" i="1"/>
  <c r="AG13" i="1"/>
  <c r="AE13" i="1"/>
  <c r="A13" i="1"/>
  <c r="AJ12" i="1"/>
  <c r="AL12" i="1" s="1"/>
  <c r="AN12" i="1" s="1"/>
  <c r="AI12" i="1"/>
  <c r="AP12" i="1" s="1"/>
  <c r="AG12" i="1"/>
  <c r="AE12" i="1"/>
  <c r="A12" i="1"/>
  <c r="AJ11" i="1"/>
  <c r="AL11" i="1" s="1"/>
  <c r="AN11" i="1" s="1"/>
  <c r="AP11" i="1" s="1"/>
  <c r="AI11" i="1"/>
  <c r="AG11" i="1"/>
  <c r="AE11" i="1"/>
  <c r="A11" i="1"/>
  <c r="AP10" i="1"/>
  <c r="AJ10" i="1"/>
  <c r="AL10" i="1" s="1"/>
  <c r="AN10" i="1" s="1"/>
  <c r="AG10" i="1"/>
  <c r="AI10" i="1" s="1"/>
  <c r="AE10" i="1"/>
  <c r="A10" i="1"/>
  <c r="AP9" i="1"/>
  <c r="AJ9" i="1"/>
  <c r="AL9" i="1" s="1"/>
  <c r="AN9" i="1" s="1"/>
  <c r="AI9" i="1"/>
  <c r="AG9" i="1"/>
  <c r="AE9" i="1"/>
  <c r="A9" i="1"/>
  <c r="AJ8" i="1"/>
  <c r="AL8" i="1" s="1"/>
  <c r="AN8" i="1" s="1"/>
  <c r="AI8" i="1"/>
  <c r="AP8" i="1" s="1"/>
  <c r="AG8" i="1"/>
  <c r="AE8" i="1"/>
  <c r="A8" i="1"/>
  <c r="AJ7" i="1"/>
  <c r="AL7" i="1" s="1"/>
  <c r="AN7" i="1" s="1"/>
  <c r="AP7" i="1" s="1"/>
  <c r="AI7" i="1"/>
  <c r="AG7" i="1"/>
  <c r="AE7" i="1"/>
  <c r="A7" i="1"/>
  <c r="AP6" i="1"/>
  <c r="AJ6" i="1"/>
  <c r="AL6" i="1" s="1"/>
  <c r="AN6" i="1" s="1"/>
  <c r="AG6" i="1"/>
  <c r="AI6" i="1" s="1"/>
  <c r="AE6" i="1"/>
  <c r="A6" i="1"/>
  <c r="AJ5" i="1"/>
  <c r="AL5" i="1" s="1"/>
  <c r="AN5" i="1" s="1"/>
  <c r="AI5" i="1"/>
  <c r="AP5" i="1" s="1"/>
  <c r="AG5" i="1"/>
  <c r="AE5" i="1"/>
  <c r="A5" i="1"/>
  <c r="AJ4" i="1"/>
  <c r="AL4" i="1" s="1"/>
  <c r="AN4" i="1" s="1"/>
  <c r="AI4" i="1"/>
  <c r="AP4" i="1" s="1"/>
  <c r="AG4" i="1"/>
  <c r="AE4" i="1"/>
  <c r="A4" i="1"/>
  <c r="J3" i="1"/>
  <c r="I3" i="1"/>
  <c r="H3" i="1"/>
  <c r="AO2" i="1"/>
  <c r="E1" i="1"/>
  <c r="AJ35" i="3"/>
  <c r="AL35" i="3" s="1"/>
  <c r="AN35" i="3" s="1"/>
  <c r="AI35" i="3"/>
  <c r="AP35" i="3" s="1"/>
  <c r="AG35" i="3"/>
  <c r="AE35" i="3"/>
  <c r="AL34" i="3"/>
  <c r="AN34" i="3" s="1"/>
  <c r="AP34" i="3" s="1"/>
  <c r="AJ34" i="3"/>
  <c r="AG34" i="3"/>
  <c r="AI34" i="3" s="1"/>
  <c r="AE34" i="3"/>
  <c r="AJ33" i="3"/>
  <c r="AL33" i="3" s="1"/>
  <c r="AN33" i="3" s="1"/>
  <c r="AP33" i="3" s="1"/>
  <c r="AG33" i="3"/>
  <c r="AI33" i="3" s="1"/>
  <c r="AE33" i="3"/>
  <c r="AJ32" i="3"/>
  <c r="AL32" i="3" s="1"/>
  <c r="AN32" i="3" s="1"/>
  <c r="AP32" i="3" s="1"/>
  <c r="AG32" i="3"/>
  <c r="AI32" i="3" s="1"/>
  <c r="AE32" i="3"/>
  <c r="AN31" i="3"/>
  <c r="AL31" i="3"/>
  <c r="AJ31" i="3"/>
  <c r="AE31" i="3"/>
  <c r="AG31" i="3" s="1"/>
  <c r="AI31" i="3" s="1"/>
  <c r="AL30" i="3"/>
  <c r="AN30" i="3" s="1"/>
  <c r="AP30" i="3" s="1"/>
  <c r="AJ30" i="3"/>
  <c r="AG30" i="3"/>
  <c r="AI30" i="3" s="1"/>
  <c r="AE30" i="3"/>
  <c r="AJ29" i="3"/>
  <c r="AL29" i="3" s="1"/>
  <c r="AN29" i="3" s="1"/>
  <c r="AP29" i="3" s="1"/>
  <c r="AE29" i="3"/>
  <c r="AG29" i="3" s="1"/>
  <c r="AI29" i="3" s="1"/>
  <c r="AN28" i="3"/>
  <c r="AP28" i="3" s="1"/>
  <c r="AL28" i="3"/>
  <c r="AJ28" i="3"/>
  <c r="AI28" i="3"/>
  <c r="AG28" i="3"/>
  <c r="AE28" i="3"/>
  <c r="AL27" i="3"/>
  <c r="AN27" i="3" s="1"/>
  <c r="AJ27" i="3"/>
  <c r="AG27" i="3"/>
  <c r="AI27" i="3" s="1"/>
  <c r="AP27" i="3" s="1"/>
  <c r="AE27" i="3"/>
  <c r="AJ26" i="3"/>
  <c r="AL26" i="3" s="1"/>
  <c r="AN26" i="3" s="1"/>
  <c r="AP26" i="3" s="1"/>
  <c r="AE26" i="3"/>
  <c r="AG26" i="3" s="1"/>
  <c r="AI26" i="3" s="1"/>
  <c r="AL25" i="3"/>
  <c r="AN25" i="3" s="1"/>
  <c r="AP25" i="3" s="1"/>
  <c r="AJ25" i="3"/>
  <c r="AI25" i="3"/>
  <c r="AG25" i="3"/>
  <c r="AE25" i="3"/>
  <c r="AJ24" i="3"/>
  <c r="AL24" i="3" s="1"/>
  <c r="AN24" i="3" s="1"/>
  <c r="AP24" i="3" s="1"/>
  <c r="AG24" i="3"/>
  <c r="AI24" i="3" s="1"/>
  <c r="AE24" i="3"/>
  <c r="AN23" i="3"/>
  <c r="AL23" i="3"/>
  <c r="AJ23" i="3"/>
  <c r="AI23" i="3"/>
  <c r="AE23" i="3"/>
  <c r="AG23" i="3" s="1"/>
  <c r="AL22" i="3"/>
  <c r="AN22" i="3" s="1"/>
  <c r="AJ22" i="3"/>
  <c r="AG22" i="3"/>
  <c r="AI22" i="3" s="1"/>
  <c r="AE22" i="3"/>
  <c r="AJ21" i="3"/>
  <c r="AL21" i="3" s="1"/>
  <c r="AN21" i="3" s="1"/>
  <c r="AP21" i="3" s="1"/>
  <c r="AE21" i="3"/>
  <c r="AG21" i="3" s="1"/>
  <c r="AI21" i="3" s="1"/>
  <c r="A21" i="3"/>
  <c r="AJ20" i="3"/>
  <c r="AL20" i="3" s="1"/>
  <c r="AN20" i="3" s="1"/>
  <c r="AP20" i="3" s="1"/>
  <c r="AE20" i="3"/>
  <c r="AG20" i="3" s="1"/>
  <c r="AI20" i="3" s="1"/>
  <c r="A20" i="3"/>
  <c r="AJ19" i="3"/>
  <c r="AL19" i="3" s="1"/>
  <c r="AN19" i="3" s="1"/>
  <c r="AP19" i="3" s="1"/>
  <c r="AE19" i="3"/>
  <c r="AG19" i="3" s="1"/>
  <c r="AI19" i="3" s="1"/>
  <c r="A19" i="3"/>
  <c r="AJ18" i="3"/>
  <c r="AL18" i="3" s="1"/>
  <c r="AN18" i="3" s="1"/>
  <c r="AP18" i="3" s="1"/>
  <c r="AE18" i="3"/>
  <c r="AG18" i="3" s="1"/>
  <c r="AI18" i="3" s="1"/>
  <c r="A18" i="3"/>
  <c r="AJ17" i="3"/>
  <c r="AL17" i="3" s="1"/>
  <c r="AN17" i="3" s="1"/>
  <c r="AP17" i="3" s="1"/>
  <c r="AE17" i="3"/>
  <c r="AG17" i="3" s="1"/>
  <c r="AI17" i="3" s="1"/>
  <c r="A17" i="3"/>
  <c r="AJ16" i="3"/>
  <c r="AL16" i="3" s="1"/>
  <c r="AN16" i="3" s="1"/>
  <c r="AP16" i="3" s="1"/>
  <c r="AE16" i="3"/>
  <c r="AG16" i="3" s="1"/>
  <c r="AI16" i="3" s="1"/>
  <c r="A16" i="3"/>
  <c r="AJ15" i="3"/>
  <c r="AL15" i="3" s="1"/>
  <c r="AN15" i="3" s="1"/>
  <c r="AP15" i="3" s="1"/>
  <c r="AE15" i="3"/>
  <c r="AG15" i="3" s="1"/>
  <c r="AI15" i="3" s="1"/>
  <c r="A15" i="3"/>
  <c r="AJ14" i="3"/>
  <c r="AL14" i="3" s="1"/>
  <c r="AN14" i="3" s="1"/>
  <c r="AP14" i="3" s="1"/>
  <c r="AE14" i="3"/>
  <c r="AG14" i="3" s="1"/>
  <c r="AI14" i="3" s="1"/>
  <c r="A14" i="3"/>
  <c r="AJ13" i="3"/>
  <c r="AL13" i="3" s="1"/>
  <c r="AN13" i="3" s="1"/>
  <c r="AP13" i="3" s="1"/>
  <c r="AE13" i="3"/>
  <c r="AG13" i="3" s="1"/>
  <c r="AI13" i="3" s="1"/>
  <c r="A13" i="3"/>
  <c r="AJ12" i="3"/>
  <c r="AL12" i="3" s="1"/>
  <c r="AN12" i="3" s="1"/>
  <c r="AP12" i="3" s="1"/>
  <c r="AE12" i="3"/>
  <c r="AG12" i="3" s="1"/>
  <c r="AI12" i="3" s="1"/>
  <c r="A12" i="3"/>
  <c r="AJ11" i="3"/>
  <c r="AL11" i="3" s="1"/>
  <c r="AN11" i="3" s="1"/>
  <c r="AP11" i="3" s="1"/>
  <c r="AE11" i="3"/>
  <c r="AG11" i="3" s="1"/>
  <c r="AI11" i="3" s="1"/>
  <c r="A11" i="3"/>
  <c r="AJ10" i="3"/>
  <c r="AL10" i="3" s="1"/>
  <c r="AN10" i="3" s="1"/>
  <c r="AP10" i="3" s="1"/>
  <c r="AE10" i="3"/>
  <c r="AG10" i="3" s="1"/>
  <c r="AI10" i="3" s="1"/>
  <c r="A10" i="3"/>
  <c r="AJ9" i="3"/>
  <c r="AL9" i="3" s="1"/>
  <c r="AN9" i="3" s="1"/>
  <c r="AP9" i="3" s="1"/>
  <c r="AE9" i="3"/>
  <c r="AG9" i="3" s="1"/>
  <c r="AI9" i="3" s="1"/>
  <c r="A9" i="3"/>
  <c r="AJ8" i="3"/>
  <c r="AL8" i="3" s="1"/>
  <c r="AN8" i="3" s="1"/>
  <c r="AP8" i="3" s="1"/>
  <c r="AE8" i="3"/>
  <c r="AG8" i="3" s="1"/>
  <c r="AI8" i="3" s="1"/>
  <c r="A8" i="3"/>
  <c r="AJ7" i="3"/>
  <c r="AL7" i="3" s="1"/>
  <c r="AN7" i="3" s="1"/>
  <c r="AP7" i="3" s="1"/>
  <c r="AE7" i="3"/>
  <c r="AG7" i="3" s="1"/>
  <c r="AI7" i="3" s="1"/>
  <c r="A7" i="3"/>
  <c r="AJ6" i="3"/>
  <c r="AL6" i="3" s="1"/>
  <c r="AN6" i="3" s="1"/>
  <c r="AE6" i="3"/>
  <c r="AG6" i="3" s="1"/>
  <c r="AI6" i="3" s="1"/>
  <c r="AI2" i="3" s="1"/>
  <c r="A6" i="3"/>
  <c r="AJ5" i="3"/>
  <c r="AL5" i="3" s="1"/>
  <c r="AN5" i="3" s="1"/>
  <c r="AP5" i="3" s="1"/>
  <c r="AE5" i="3"/>
  <c r="AG5" i="3" s="1"/>
  <c r="AI5" i="3" s="1"/>
  <c r="A5" i="3"/>
  <c r="AJ4" i="3"/>
  <c r="AL4" i="3" s="1"/>
  <c r="AN4" i="3" s="1"/>
  <c r="AE4" i="3"/>
  <c r="AG4" i="3" s="1"/>
  <c r="AI4" i="3" s="1"/>
  <c r="A4" i="3"/>
  <c r="J3" i="3"/>
  <c r="I3" i="3"/>
  <c r="H3" i="3"/>
  <c r="AO2" i="3"/>
  <c r="E1" i="3"/>
  <c r="AN58" i="5"/>
  <c r="AP58" i="5" s="1"/>
  <c r="AJ58" i="5"/>
  <c r="AL58" i="5" s="1"/>
  <c r="AE58" i="5"/>
  <c r="AG58" i="5" s="1"/>
  <c r="AI58" i="5" s="1"/>
  <c r="AL57" i="5"/>
  <c r="AN57" i="5" s="1"/>
  <c r="AP57" i="5" s="1"/>
  <c r="AJ57" i="5"/>
  <c r="AI57" i="5"/>
  <c r="AG57" i="5"/>
  <c r="AE57" i="5"/>
  <c r="AP56" i="5"/>
  <c r="AJ56" i="5"/>
  <c r="AL56" i="5" s="1"/>
  <c r="AN56" i="5" s="1"/>
  <c r="AG56" i="5"/>
  <c r="AI56" i="5" s="1"/>
  <c r="AE56" i="5"/>
  <c r="A56" i="5"/>
  <c r="AJ55" i="5"/>
  <c r="AL55" i="5" s="1"/>
  <c r="AN55" i="5" s="1"/>
  <c r="AP55" i="5" s="1"/>
  <c r="AG55" i="5"/>
  <c r="AI55" i="5" s="1"/>
  <c r="AE55" i="5"/>
  <c r="A55" i="5"/>
  <c r="AJ54" i="5"/>
  <c r="AL54" i="5" s="1"/>
  <c r="AN54" i="5" s="1"/>
  <c r="AP54" i="5" s="1"/>
  <c r="AG54" i="5"/>
  <c r="AI54" i="5" s="1"/>
  <c r="AE54" i="5"/>
  <c r="A54" i="5"/>
  <c r="AJ53" i="5"/>
  <c r="AL53" i="5" s="1"/>
  <c r="AN53" i="5" s="1"/>
  <c r="AP53" i="5" s="1"/>
  <c r="AG53" i="5"/>
  <c r="AI53" i="5" s="1"/>
  <c r="AE53" i="5"/>
  <c r="A53" i="5"/>
  <c r="AP52" i="5"/>
  <c r="AJ52" i="5"/>
  <c r="AL52" i="5" s="1"/>
  <c r="AN52" i="5" s="1"/>
  <c r="AG52" i="5"/>
  <c r="AI52" i="5" s="1"/>
  <c r="AE52" i="5"/>
  <c r="A52" i="5"/>
  <c r="AJ51" i="5"/>
  <c r="AL51" i="5" s="1"/>
  <c r="AN51" i="5" s="1"/>
  <c r="AP51" i="5" s="1"/>
  <c r="AG51" i="5"/>
  <c r="AI51" i="5" s="1"/>
  <c r="AE51" i="5"/>
  <c r="A51" i="5"/>
  <c r="AJ50" i="5"/>
  <c r="AL50" i="5" s="1"/>
  <c r="AN50" i="5" s="1"/>
  <c r="AP50" i="5" s="1"/>
  <c r="AG50" i="5"/>
  <c r="AI50" i="5" s="1"/>
  <c r="AE50" i="5"/>
  <c r="A50" i="5"/>
  <c r="AJ49" i="5"/>
  <c r="AL49" i="5" s="1"/>
  <c r="AN49" i="5" s="1"/>
  <c r="AP49" i="5" s="1"/>
  <c r="AG49" i="5"/>
  <c r="AI49" i="5" s="1"/>
  <c r="AE49" i="5"/>
  <c r="A49" i="5"/>
  <c r="AP48" i="5"/>
  <c r="AJ48" i="5"/>
  <c r="AL48" i="5" s="1"/>
  <c r="AN48" i="5" s="1"/>
  <c r="AG48" i="5"/>
  <c r="AI48" i="5" s="1"/>
  <c r="AE48" i="5"/>
  <c r="A48" i="5"/>
  <c r="AJ47" i="5"/>
  <c r="AL47" i="5" s="1"/>
  <c r="AN47" i="5" s="1"/>
  <c r="AP47" i="5" s="1"/>
  <c r="AG47" i="5"/>
  <c r="AI47" i="5" s="1"/>
  <c r="AE47" i="5"/>
  <c r="A47" i="5"/>
  <c r="AJ46" i="5"/>
  <c r="AL46" i="5" s="1"/>
  <c r="AN46" i="5" s="1"/>
  <c r="AP46" i="5" s="1"/>
  <c r="AG46" i="5"/>
  <c r="AI46" i="5" s="1"/>
  <c r="AE46" i="5"/>
  <c r="A46" i="5"/>
  <c r="AJ45" i="5"/>
  <c r="AL45" i="5" s="1"/>
  <c r="AN45" i="5" s="1"/>
  <c r="AP45" i="5" s="1"/>
  <c r="AG45" i="5"/>
  <c r="AI45" i="5" s="1"/>
  <c r="AE45" i="5"/>
  <c r="A45" i="5"/>
  <c r="AP44" i="5"/>
  <c r="AJ44" i="5"/>
  <c r="AL44" i="5" s="1"/>
  <c r="AN44" i="5" s="1"/>
  <c r="AG44" i="5"/>
  <c r="AI44" i="5" s="1"/>
  <c r="AE44" i="5"/>
  <c r="A44" i="5"/>
  <c r="AJ43" i="5"/>
  <c r="AL43" i="5" s="1"/>
  <c r="AN43" i="5" s="1"/>
  <c r="AP43" i="5" s="1"/>
  <c r="AG43" i="5"/>
  <c r="AI43" i="5" s="1"/>
  <c r="AE43" i="5"/>
  <c r="A43" i="5"/>
  <c r="AJ42" i="5"/>
  <c r="AL42" i="5" s="1"/>
  <c r="AN42" i="5" s="1"/>
  <c r="AP42" i="5" s="1"/>
  <c r="AG42" i="5"/>
  <c r="AI42" i="5" s="1"/>
  <c r="AE42" i="5"/>
  <c r="A42" i="5"/>
  <c r="AJ41" i="5"/>
  <c r="AL41" i="5" s="1"/>
  <c r="AN41" i="5" s="1"/>
  <c r="AP41" i="5" s="1"/>
  <c r="AG41" i="5"/>
  <c r="AI41" i="5" s="1"/>
  <c r="AE41" i="5"/>
  <c r="A41" i="5"/>
  <c r="AP40" i="5"/>
  <c r="AJ40" i="5"/>
  <c r="AL40" i="5" s="1"/>
  <c r="AN40" i="5" s="1"/>
  <c r="AG40" i="5"/>
  <c r="AI40" i="5" s="1"/>
  <c r="AE40" i="5"/>
  <c r="A40" i="5"/>
  <c r="AJ39" i="5"/>
  <c r="AL39" i="5" s="1"/>
  <c r="AN39" i="5" s="1"/>
  <c r="AP39" i="5" s="1"/>
  <c r="AG39" i="5"/>
  <c r="AI39" i="5" s="1"/>
  <c r="AE39" i="5"/>
  <c r="A39" i="5"/>
  <c r="AJ38" i="5"/>
  <c r="AL38" i="5" s="1"/>
  <c r="AN38" i="5" s="1"/>
  <c r="AP38" i="5" s="1"/>
  <c r="AG38" i="5"/>
  <c r="AI38" i="5" s="1"/>
  <c r="AI2" i="5" s="1"/>
  <c r="AE38" i="5"/>
  <c r="A38" i="5"/>
  <c r="AJ37" i="5"/>
  <c r="AL37" i="5" s="1"/>
  <c r="AN37" i="5" s="1"/>
  <c r="AP37" i="5" s="1"/>
  <c r="AG37" i="5"/>
  <c r="AI37" i="5" s="1"/>
  <c r="AE37" i="5"/>
  <c r="A37" i="5"/>
  <c r="AJ36" i="5"/>
  <c r="AL36" i="5" s="1"/>
  <c r="AN36" i="5" s="1"/>
  <c r="AG36" i="5"/>
  <c r="AI36" i="5" s="1"/>
  <c r="AP36" i="5" s="1"/>
  <c r="AE36" i="5"/>
  <c r="A36" i="5"/>
  <c r="AJ35" i="5"/>
  <c r="AL35" i="5" s="1"/>
  <c r="AN35" i="5" s="1"/>
  <c r="AP35" i="5" s="1"/>
  <c r="AI35" i="5"/>
  <c r="AG35" i="5"/>
  <c r="AE35" i="5"/>
  <c r="A35" i="5"/>
  <c r="AJ34" i="5"/>
  <c r="AL34" i="5" s="1"/>
  <c r="AN34" i="5" s="1"/>
  <c r="AG34" i="5"/>
  <c r="AI34" i="5" s="1"/>
  <c r="AP34" i="5" s="1"/>
  <c r="AE34" i="5"/>
  <c r="A34" i="5"/>
  <c r="AJ33" i="5"/>
  <c r="AL33" i="5" s="1"/>
  <c r="AN33" i="5" s="1"/>
  <c r="AP33" i="5" s="1"/>
  <c r="AI33" i="5"/>
  <c r="AG33" i="5"/>
  <c r="AE33" i="5"/>
  <c r="A33" i="5"/>
  <c r="AJ32" i="5"/>
  <c r="AL32" i="5" s="1"/>
  <c r="AN32" i="5" s="1"/>
  <c r="AG32" i="5"/>
  <c r="AI32" i="5" s="1"/>
  <c r="AP32" i="5" s="1"/>
  <c r="AE32" i="5"/>
  <c r="A32" i="5"/>
  <c r="AJ31" i="5"/>
  <c r="AL31" i="5" s="1"/>
  <c r="AN31" i="5" s="1"/>
  <c r="AP31" i="5" s="1"/>
  <c r="AI31" i="5"/>
  <c r="AG31" i="5"/>
  <c r="AE31" i="5"/>
  <c r="A31" i="5"/>
  <c r="AJ30" i="5"/>
  <c r="AL30" i="5" s="1"/>
  <c r="AN30" i="5" s="1"/>
  <c r="AG30" i="5"/>
  <c r="AI30" i="5" s="1"/>
  <c r="AP30" i="5" s="1"/>
  <c r="AE30" i="5"/>
  <c r="A30" i="5"/>
  <c r="AJ29" i="5"/>
  <c r="AL29" i="5" s="1"/>
  <c r="AN29" i="5" s="1"/>
  <c r="AP29" i="5" s="1"/>
  <c r="AI29" i="5"/>
  <c r="AG29" i="5"/>
  <c r="AE29" i="5"/>
  <c r="A29" i="5"/>
  <c r="AJ28" i="5"/>
  <c r="AL28" i="5" s="1"/>
  <c r="AN28" i="5" s="1"/>
  <c r="AG28" i="5"/>
  <c r="AI28" i="5" s="1"/>
  <c r="AP28" i="5" s="1"/>
  <c r="AE28" i="5"/>
  <c r="A28" i="5"/>
  <c r="AJ27" i="5"/>
  <c r="AL27" i="5" s="1"/>
  <c r="AN27" i="5" s="1"/>
  <c r="AP27" i="5" s="1"/>
  <c r="AI27" i="5"/>
  <c r="AG27" i="5"/>
  <c r="AE27" i="5"/>
  <c r="A27" i="5"/>
  <c r="AJ26" i="5"/>
  <c r="AL26" i="5" s="1"/>
  <c r="AN26" i="5" s="1"/>
  <c r="AG26" i="5"/>
  <c r="AI26" i="5" s="1"/>
  <c r="AP26" i="5" s="1"/>
  <c r="AE26" i="5"/>
  <c r="A26" i="5"/>
  <c r="AJ25" i="5"/>
  <c r="AL25" i="5" s="1"/>
  <c r="AN25" i="5" s="1"/>
  <c r="AP25" i="5" s="1"/>
  <c r="AI25" i="5"/>
  <c r="AG25" i="5"/>
  <c r="AE25" i="5"/>
  <c r="A25" i="5"/>
  <c r="AJ24" i="5"/>
  <c r="AL24" i="5" s="1"/>
  <c r="AN24" i="5" s="1"/>
  <c r="AG24" i="5"/>
  <c r="AI24" i="5" s="1"/>
  <c r="AP24" i="5" s="1"/>
  <c r="AE24" i="5"/>
  <c r="A24" i="5"/>
  <c r="AJ23" i="5"/>
  <c r="AL23" i="5" s="1"/>
  <c r="AN23" i="5" s="1"/>
  <c r="AP23" i="5" s="1"/>
  <c r="AI23" i="5"/>
  <c r="AG23" i="5"/>
  <c r="AE23" i="5"/>
  <c r="A23" i="5"/>
  <c r="AJ22" i="5"/>
  <c r="AL22" i="5" s="1"/>
  <c r="AN22" i="5" s="1"/>
  <c r="AG22" i="5"/>
  <c r="AI22" i="5" s="1"/>
  <c r="AP22" i="5" s="1"/>
  <c r="AE22" i="5"/>
  <c r="A22" i="5"/>
  <c r="AJ21" i="5"/>
  <c r="AL21" i="5" s="1"/>
  <c r="AN21" i="5" s="1"/>
  <c r="AP21" i="5" s="1"/>
  <c r="AI21" i="5"/>
  <c r="AG21" i="5"/>
  <c r="AE21" i="5"/>
  <c r="A21" i="5"/>
  <c r="AJ20" i="5"/>
  <c r="AL20" i="5" s="1"/>
  <c r="AN20" i="5" s="1"/>
  <c r="AG20" i="5"/>
  <c r="AI20" i="5" s="1"/>
  <c r="AP20" i="5" s="1"/>
  <c r="AE20" i="5"/>
  <c r="A20" i="5"/>
  <c r="AJ19" i="5"/>
  <c r="AL19" i="5" s="1"/>
  <c r="AN19" i="5" s="1"/>
  <c r="AP19" i="5" s="1"/>
  <c r="AI19" i="5"/>
  <c r="AG19" i="5"/>
  <c r="AE19" i="5"/>
  <c r="A19" i="5"/>
  <c r="AJ18" i="5"/>
  <c r="AL18" i="5" s="1"/>
  <c r="AN18" i="5" s="1"/>
  <c r="AG18" i="5"/>
  <c r="AI18" i="5" s="1"/>
  <c r="AP18" i="5" s="1"/>
  <c r="AE18" i="5"/>
  <c r="A18" i="5"/>
  <c r="AJ17" i="5"/>
  <c r="AL17" i="5" s="1"/>
  <c r="AN17" i="5" s="1"/>
  <c r="AP17" i="5" s="1"/>
  <c r="AI17" i="5"/>
  <c r="AG17" i="5"/>
  <c r="AE17" i="5"/>
  <c r="A17" i="5"/>
  <c r="AJ16" i="5"/>
  <c r="AL16" i="5" s="1"/>
  <c r="AN16" i="5" s="1"/>
  <c r="AG16" i="5"/>
  <c r="AI16" i="5" s="1"/>
  <c r="AP16" i="5" s="1"/>
  <c r="AE16" i="5"/>
  <c r="A16" i="5"/>
  <c r="AJ15" i="5"/>
  <c r="AL15" i="5" s="1"/>
  <c r="AN15" i="5" s="1"/>
  <c r="AE15" i="5"/>
  <c r="AG15" i="5" s="1"/>
  <c r="AI15" i="5" s="1"/>
  <c r="A15" i="5"/>
  <c r="AN14" i="5"/>
  <c r="AJ14" i="5"/>
  <c r="AL14" i="5" s="1"/>
  <c r="AG14" i="5"/>
  <c r="AI14" i="5" s="1"/>
  <c r="AP14" i="5" s="1"/>
  <c r="AE14" i="5"/>
  <c r="A14" i="5"/>
  <c r="AN13" i="5"/>
  <c r="AJ13" i="5"/>
  <c r="AL13" i="5" s="1"/>
  <c r="AE13" i="5"/>
  <c r="AG13" i="5" s="1"/>
  <c r="AI13" i="5" s="1"/>
  <c r="A13" i="5"/>
  <c r="AJ12" i="5"/>
  <c r="AL12" i="5" s="1"/>
  <c r="AN12" i="5" s="1"/>
  <c r="AP12" i="5" s="1"/>
  <c r="AE12" i="5"/>
  <c r="AG12" i="5" s="1"/>
  <c r="AI12" i="5" s="1"/>
  <c r="A12" i="5"/>
  <c r="AJ11" i="5"/>
  <c r="AL11" i="5" s="1"/>
  <c r="AN11" i="5" s="1"/>
  <c r="AP11" i="5" s="1"/>
  <c r="AI11" i="5"/>
  <c r="AG11" i="5"/>
  <c r="AE11" i="5"/>
  <c r="A11" i="5"/>
  <c r="AN10" i="5"/>
  <c r="AJ10" i="5"/>
  <c r="AL10" i="5" s="1"/>
  <c r="AG10" i="5"/>
  <c r="AI10" i="5" s="1"/>
  <c r="AP10" i="5" s="1"/>
  <c r="AE10" i="5"/>
  <c r="A10" i="5"/>
  <c r="AN9" i="5"/>
  <c r="AJ9" i="5"/>
  <c r="AL9" i="5" s="1"/>
  <c r="AE9" i="5"/>
  <c r="AG9" i="5" s="1"/>
  <c r="AI9" i="5" s="1"/>
  <c r="A9" i="5"/>
  <c r="AJ8" i="5"/>
  <c r="AL8" i="5" s="1"/>
  <c r="AN8" i="5" s="1"/>
  <c r="AE8" i="5"/>
  <c r="AG8" i="5" s="1"/>
  <c r="AI8" i="5" s="1"/>
  <c r="A8" i="5"/>
  <c r="AJ7" i="5"/>
  <c r="AL7" i="5" s="1"/>
  <c r="AN7" i="5" s="1"/>
  <c r="AP7" i="5" s="1"/>
  <c r="AI7" i="5"/>
  <c r="AG7" i="5"/>
  <c r="AE7" i="5"/>
  <c r="A7" i="5"/>
  <c r="AN6" i="5"/>
  <c r="AJ6" i="5"/>
  <c r="AL6" i="5" s="1"/>
  <c r="AG6" i="5"/>
  <c r="AI6" i="5" s="1"/>
  <c r="AP6" i="5" s="1"/>
  <c r="AE6" i="5"/>
  <c r="A6" i="5"/>
  <c r="AN5" i="5"/>
  <c r="AJ5" i="5"/>
  <c r="AL5" i="5" s="1"/>
  <c r="AE5" i="5"/>
  <c r="AG5" i="5" s="1"/>
  <c r="AI5" i="5" s="1"/>
  <c r="A5" i="5"/>
  <c r="AJ4" i="5"/>
  <c r="AL4" i="5" s="1"/>
  <c r="AN4" i="5" s="1"/>
  <c r="AE4" i="5"/>
  <c r="AG4" i="5" s="1"/>
  <c r="AI4" i="5" s="1"/>
  <c r="A4" i="5"/>
  <c r="J3" i="5"/>
  <c r="I3" i="5"/>
  <c r="H3" i="5"/>
  <c r="AO2" i="5"/>
  <c r="E1" i="5"/>
  <c r="AJ289" i="6"/>
  <c r="AL289" i="6" s="1"/>
  <c r="AN289" i="6" s="1"/>
  <c r="AE289" i="6"/>
  <c r="AG289" i="6" s="1"/>
  <c r="AI289" i="6" s="1"/>
  <c r="A289" i="6"/>
  <c r="AJ288" i="6"/>
  <c r="AL288" i="6" s="1"/>
  <c r="AN288" i="6" s="1"/>
  <c r="AE288" i="6"/>
  <c r="AG288" i="6" s="1"/>
  <c r="AI288" i="6" s="1"/>
  <c r="A288" i="6"/>
  <c r="AJ287" i="6"/>
  <c r="AL287" i="6" s="1"/>
  <c r="AN287" i="6" s="1"/>
  <c r="AE287" i="6"/>
  <c r="AG287" i="6" s="1"/>
  <c r="AI287" i="6" s="1"/>
  <c r="A287" i="6"/>
  <c r="AJ286" i="6"/>
  <c r="AL286" i="6" s="1"/>
  <c r="AN286" i="6" s="1"/>
  <c r="AE286" i="6"/>
  <c r="AG286" i="6" s="1"/>
  <c r="AI286" i="6" s="1"/>
  <c r="A286" i="6"/>
  <c r="AJ285" i="6"/>
  <c r="AL285" i="6" s="1"/>
  <c r="AN285" i="6" s="1"/>
  <c r="AE285" i="6"/>
  <c r="AG285" i="6" s="1"/>
  <c r="AI285" i="6" s="1"/>
  <c r="A285" i="6"/>
  <c r="AJ284" i="6"/>
  <c r="AL284" i="6" s="1"/>
  <c r="AN284" i="6" s="1"/>
  <c r="AE284" i="6"/>
  <c r="AG284" i="6" s="1"/>
  <c r="AI284" i="6" s="1"/>
  <c r="A284" i="6"/>
  <c r="AJ283" i="6"/>
  <c r="AL283" i="6" s="1"/>
  <c r="AN283" i="6" s="1"/>
  <c r="AE283" i="6"/>
  <c r="AG283" i="6" s="1"/>
  <c r="AI283" i="6" s="1"/>
  <c r="A283" i="6"/>
  <c r="AJ282" i="6"/>
  <c r="AL282" i="6" s="1"/>
  <c r="AN282" i="6" s="1"/>
  <c r="AE282" i="6"/>
  <c r="AG282" i="6" s="1"/>
  <c r="AI282" i="6" s="1"/>
  <c r="A282" i="6"/>
  <c r="AJ281" i="6"/>
  <c r="AL281" i="6" s="1"/>
  <c r="AN281" i="6" s="1"/>
  <c r="AP281" i="6" s="1"/>
  <c r="AE281" i="6"/>
  <c r="AG281" i="6" s="1"/>
  <c r="AI281" i="6" s="1"/>
  <c r="A281" i="6"/>
  <c r="AJ280" i="6"/>
  <c r="AL280" i="6" s="1"/>
  <c r="AN280" i="6" s="1"/>
  <c r="AE280" i="6"/>
  <c r="AG280" i="6" s="1"/>
  <c r="AI280" i="6" s="1"/>
  <c r="A280" i="6"/>
  <c r="AJ279" i="6"/>
  <c r="AL279" i="6" s="1"/>
  <c r="AN279" i="6" s="1"/>
  <c r="AE279" i="6"/>
  <c r="AG279" i="6" s="1"/>
  <c r="AI279" i="6" s="1"/>
  <c r="A279" i="6"/>
  <c r="AJ278" i="6"/>
  <c r="AL278" i="6" s="1"/>
  <c r="AN278" i="6" s="1"/>
  <c r="AE278" i="6"/>
  <c r="AG278" i="6" s="1"/>
  <c r="AI278" i="6" s="1"/>
  <c r="A278" i="6"/>
  <c r="AJ277" i="6"/>
  <c r="AL277" i="6" s="1"/>
  <c r="AN277" i="6" s="1"/>
  <c r="AE277" i="6"/>
  <c r="AG277" i="6" s="1"/>
  <c r="AI277" i="6" s="1"/>
  <c r="A277" i="6"/>
  <c r="AJ276" i="6"/>
  <c r="AL276" i="6" s="1"/>
  <c r="AN276" i="6" s="1"/>
  <c r="AE276" i="6"/>
  <c r="AG276" i="6" s="1"/>
  <c r="AI276" i="6" s="1"/>
  <c r="A276" i="6"/>
  <c r="AJ275" i="6"/>
  <c r="AL275" i="6" s="1"/>
  <c r="AN275" i="6" s="1"/>
  <c r="AE275" i="6"/>
  <c r="AG275" i="6" s="1"/>
  <c r="AI275" i="6" s="1"/>
  <c r="A275" i="6"/>
  <c r="AJ274" i="6"/>
  <c r="AL274" i="6" s="1"/>
  <c r="AN274" i="6" s="1"/>
  <c r="AE274" i="6"/>
  <c r="AG274" i="6" s="1"/>
  <c r="AI274" i="6" s="1"/>
  <c r="A274" i="6"/>
  <c r="AJ273" i="6"/>
  <c r="AL273" i="6" s="1"/>
  <c r="AN273" i="6" s="1"/>
  <c r="AP273" i="6" s="1"/>
  <c r="AE273" i="6"/>
  <c r="AG273" i="6" s="1"/>
  <c r="AI273" i="6" s="1"/>
  <c r="A273" i="6"/>
  <c r="AJ272" i="6"/>
  <c r="AL272" i="6" s="1"/>
  <c r="AN272" i="6" s="1"/>
  <c r="AE272" i="6"/>
  <c r="AG272" i="6" s="1"/>
  <c r="AI272" i="6" s="1"/>
  <c r="A272" i="6"/>
  <c r="AJ271" i="6"/>
  <c r="AL271" i="6" s="1"/>
  <c r="AN271" i="6" s="1"/>
  <c r="AE271" i="6"/>
  <c r="AG271" i="6" s="1"/>
  <c r="AI271" i="6" s="1"/>
  <c r="A271" i="6"/>
  <c r="AJ270" i="6"/>
  <c r="AL270" i="6" s="1"/>
  <c r="AN270" i="6" s="1"/>
  <c r="AE270" i="6"/>
  <c r="AG270" i="6" s="1"/>
  <c r="AI270" i="6" s="1"/>
  <c r="A270" i="6"/>
  <c r="AJ269" i="6"/>
  <c r="AL269" i="6" s="1"/>
  <c r="AN269" i="6" s="1"/>
  <c r="AE269" i="6"/>
  <c r="AG269" i="6" s="1"/>
  <c r="AI269" i="6" s="1"/>
  <c r="A269" i="6"/>
  <c r="AJ268" i="6"/>
  <c r="AL268" i="6" s="1"/>
  <c r="AN268" i="6" s="1"/>
  <c r="AE268" i="6"/>
  <c r="AG268" i="6" s="1"/>
  <c r="AI268" i="6" s="1"/>
  <c r="A268" i="6"/>
  <c r="AJ267" i="6"/>
  <c r="AL267" i="6" s="1"/>
  <c r="AN267" i="6" s="1"/>
  <c r="AE267" i="6"/>
  <c r="AG267" i="6" s="1"/>
  <c r="AI267" i="6" s="1"/>
  <c r="A267" i="6"/>
  <c r="AJ266" i="6"/>
  <c r="AL266" i="6" s="1"/>
  <c r="AN266" i="6" s="1"/>
  <c r="AE266" i="6"/>
  <c r="AG266" i="6" s="1"/>
  <c r="AI266" i="6" s="1"/>
  <c r="A266" i="6"/>
  <c r="AJ265" i="6"/>
  <c r="AL265" i="6" s="1"/>
  <c r="AN265" i="6" s="1"/>
  <c r="AP265" i="6" s="1"/>
  <c r="AE265" i="6"/>
  <c r="AG265" i="6" s="1"/>
  <c r="AI265" i="6" s="1"/>
  <c r="A265" i="6"/>
  <c r="AJ264" i="6"/>
  <c r="AL264" i="6" s="1"/>
  <c r="AN264" i="6" s="1"/>
  <c r="AE264" i="6"/>
  <c r="AG264" i="6" s="1"/>
  <c r="AI264" i="6" s="1"/>
  <c r="A264" i="6"/>
  <c r="AJ263" i="6"/>
  <c r="AL263" i="6" s="1"/>
  <c r="AN263" i="6" s="1"/>
  <c r="AE263" i="6"/>
  <c r="AG263" i="6" s="1"/>
  <c r="AI263" i="6" s="1"/>
  <c r="A263" i="6"/>
  <c r="AJ262" i="6"/>
  <c r="AL262" i="6" s="1"/>
  <c r="AN262" i="6" s="1"/>
  <c r="AE262" i="6"/>
  <c r="AG262" i="6" s="1"/>
  <c r="AI262" i="6" s="1"/>
  <c r="A262" i="6"/>
  <c r="AJ261" i="6"/>
  <c r="AL261" i="6" s="1"/>
  <c r="AN261" i="6" s="1"/>
  <c r="AE261" i="6"/>
  <c r="AG261" i="6" s="1"/>
  <c r="AI261" i="6" s="1"/>
  <c r="A261" i="6"/>
  <c r="AJ260" i="6"/>
  <c r="AL260" i="6" s="1"/>
  <c r="AN260" i="6" s="1"/>
  <c r="AE260" i="6"/>
  <c r="AG260" i="6" s="1"/>
  <c r="AI260" i="6" s="1"/>
  <c r="A260" i="6"/>
  <c r="AJ259" i="6"/>
  <c r="AL259" i="6" s="1"/>
  <c r="AN259" i="6" s="1"/>
  <c r="AE259" i="6"/>
  <c r="AG259" i="6" s="1"/>
  <c r="AI259" i="6" s="1"/>
  <c r="A259" i="6"/>
  <c r="AJ258" i="6"/>
  <c r="AL258" i="6" s="1"/>
  <c r="AN258" i="6" s="1"/>
  <c r="AE258" i="6"/>
  <c r="AG258" i="6" s="1"/>
  <c r="AI258" i="6" s="1"/>
  <c r="A258" i="6"/>
  <c r="AJ257" i="6"/>
  <c r="AL257" i="6" s="1"/>
  <c r="AN257" i="6" s="1"/>
  <c r="AP257" i="6" s="1"/>
  <c r="AE257" i="6"/>
  <c r="AG257" i="6" s="1"/>
  <c r="AI257" i="6" s="1"/>
  <c r="A257" i="6"/>
  <c r="AJ256" i="6"/>
  <c r="AL256" i="6" s="1"/>
  <c r="AN256" i="6" s="1"/>
  <c r="AE256" i="6"/>
  <c r="AG256" i="6" s="1"/>
  <c r="AI256" i="6" s="1"/>
  <c r="A256" i="6"/>
  <c r="AJ255" i="6"/>
  <c r="AL255" i="6" s="1"/>
  <c r="AN255" i="6" s="1"/>
  <c r="AE255" i="6"/>
  <c r="AG255" i="6" s="1"/>
  <c r="AI255" i="6" s="1"/>
  <c r="A255" i="6"/>
  <c r="AJ254" i="6"/>
  <c r="AL254" i="6" s="1"/>
  <c r="AN254" i="6" s="1"/>
  <c r="AE254" i="6"/>
  <c r="AG254" i="6" s="1"/>
  <c r="AI254" i="6" s="1"/>
  <c r="A254" i="6"/>
  <c r="AJ253" i="6"/>
  <c r="AL253" i="6" s="1"/>
  <c r="AN253" i="6" s="1"/>
  <c r="AE253" i="6"/>
  <c r="AG253" i="6" s="1"/>
  <c r="AI253" i="6" s="1"/>
  <c r="A253" i="6"/>
  <c r="AJ252" i="6"/>
  <c r="AL252" i="6" s="1"/>
  <c r="AN252" i="6" s="1"/>
  <c r="AE252" i="6"/>
  <c r="AG252" i="6" s="1"/>
  <c r="AI252" i="6" s="1"/>
  <c r="A252" i="6"/>
  <c r="AJ251" i="6"/>
  <c r="AL251" i="6" s="1"/>
  <c r="AN251" i="6" s="1"/>
  <c r="AE251" i="6"/>
  <c r="AG251" i="6" s="1"/>
  <c r="AI251" i="6" s="1"/>
  <c r="A251" i="6"/>
  <c r="AJ250" i="6"/>
  <c r="AL250" i="6" s="1"/>
  <c r="AN250" i="6" s="1"/>
  <c r="AE250" i="6"/>
  <c r="AG250" i="6" s="1"/>
  <c r="AI250" i="6" s="1"/>
  <c r="A250" i="6"/>
  <c r="AJ249" i="6"/>
  <c r="AL249" i="6" s="1"/>
  <c r="AN249" i="6" s="1"/>
  <c r="AP249" i="6" s="1"/>
  <c r="AE249" i="6"/>
  <c r="AG249" i="6" s="1"/>
  <c r="AI249" i="6" s="1"/>
  <c r="A249" i="6"/>
  <c r="AJ248" i="6"/>
  <c r="AL248" i="6" s="1"/>
  <c r="AN248" i="6" s="1"/>
  <c r="AE248" i="6"/>
  <c r="AG248" i="6" s="1"/>
  <c r="AI248" i="6" s="1"/>
  <c r="A248" i="6"/>
  <c r="AJ247" i="6"/>
  <c r="AL247" i="6" s="1"/>
  <c r="AN247" i="6" s="1"/>
  <c r="AE247" i="6"/>
  <c r="AG247" i="6" s="1"/>
  <c r="AI247" i="6" s="1"/>
  <c r="A247" i="6"/>
  <c r="AJ246" i="6"/>
  <c r="AL246" i="6" s="1"/>
  <c r="AN246" i="6" s="1"/>
  <c r="AE246" i="6"/>
  <c r="AG246" i="6" s="1"/>
  <c r="AI246" i="6" s="1"/>
  <c r="A246" i="6"/>
  <c r="AJ245" i="6"/>
  <c r="AL245" i="6" s="1"/>
  <c r="AN245" i="6" s="1"/>
  <c r="AE245" i="6"/>
  <c r="AG245" i="6" s="1"/>
  <c r="AI245" i="6" s="1"/>
  <c r="A245" i="6"/>
  <c r="AJ244" i="6"/>
  <c r="AL244" i="6" s="1"/>
  <c r="AN244" i="6" s="1"/>
  <c r="AE244" i="6"/>
  <c r="AG244" i="6" s="1"/>
  <c r="AI244" i="6" s="1"/>
  <c r="A244" i="6"/>
  <c r="AJ243" i="6"/>
  <c r="AL243" i="6" s="1"/>
  <c r="AN243" i="6" s="1"/>
  <c r="AE243" i="6"/>
  <c r="AG243" i="6" s="1"/>
  <c r="AI243" i="6" s="1"/>
  <c r="A243" i="6"/>
  <c r="AJ242" i="6"/>
  <c r="AL242" i="6" s="1"/>
  <c r="AN242" i="6" s="1"/>
  <c r="AE242" i="6"/>
  <c r="AG242" i="6" s="1"/>
  <c r="AI242" i="6" s="1"/>
  <c r="A242" i="6"/>
  <c r="AJ241" i="6"/>
  <c r="AL241" i="6" s="1"/>
  <c r="AN241" i="6" s="1"/>
  <c r="AE241" i="6"/>
  <c r="AG241" i="6" s="1"/>
  <c r="AI241" i="6" s="1"/>
  <c r="A241" i="6"/>
  <c r="AJ240" i="6"/>
  <c r="AL240" i="6" s="1"/>
  <c r="AN240" i="6" s="1"/>
  <c r="AE240" i="6"/>
  <c r="AG240" i="6" s="1"/>
  <c r="AI240" i="6" s="1"/>
  <c r="A240" i="6"/>
  <c r="AJ239" i="6"/>
  <c r="AL239" i="6" s="1"/>
  <c r="AN239" i="6" s="1"/>
  <c r="AE239" i="6"/>
  <c r="AG239" i="6" s="1"/>
  <c r="AI239" i="6" s="1"/>
  <c r="A239" i="6"/>
  <c r="AJ238" i="6"/>
  <c r="AL238" i="6" s="1"/>
  <c r="AN238" i="6" s="1"/>
  <c r="AE238" i="6"/>
  <c r="AG238" i="6" s="1"/>
  <c r="AI238" i="6" s="1"/>
  <c r="A238" i="6"/>
  <c r="AJ237" i="6"/>
  <c r="AL237" i="6" s="1"/>
  <c r="AN237" i="6" s="1"/>
  <c r="AE237" i="6"/>
  <c r="AG237" i="6" s="1"/>
  <c r="AI237" i="6" s="1"/>
  <c r="A237" i="6"/>
  <c r="AJ236" i="6"/>
  <c r="AL236" i="6" s="1"/>
  <c r="AN236" i="6" s="1"/>
  <c r="AE236" i="6"/>
  <c r="AG236" i="6" s="1"/>
  <c r="AI236" i="6" s="1"/>
  <c r="A236" i="6"/>
  <c r="AJ235" i="6"/>
  <c r="AL235" i="6" s="1"/>
  <c r="AN235" i="6" s="1"/>
  <c r="AE235" i="6"/>
  <c r="AG235" i="6" s="1"/>
  <c r="AI235" i="6" s="1"/>
  <c r="A235" i="6"/>
  <c r="AJ234" i="6"/>
  <c r="AL234" i="6" s="1"/>
  <c r="AN234" i="6" s="1"/>
  <c r="AE234" i="6"/>
  <c r="AG234" i="6" s="1"/>
  <c r="AI234" i="6" s="1"/>
  <c r="A234" i="6"/>
  <c r="AJ233" i="6"/>
  <c r="AL233" i="6" s="1"/>
  <c r="AN233" i="6" s="1"/>
  <c r="AE233" i="6"/>
  <c r="AG233" i="6" s="1"/>
  <c r="AI233" i="6" s="1"/>
  <c r="A233" i="6"/>
  <c r="AJ232" i="6"/>
  <c r="AL232" i="6" s="1"/>
  <c r="AN232" i="6" s="1"/>
  <c r="AE232" i="6"/>
  <c r="AG232" i="6" s="1"/>
  <c r="AI232" i="6" s="1"/>
  <c r="A232" i="6"/>
  <c r="AJ231" i="6"/>
  <c r="AL231" i="6" s="1"/>
  <c r="AN231" i="6" s="1"/>
  <c r="AE231" i="6"/>
  <c r="AG231" i="6" s="1"/>
  <c r="AI231" i="6" s="1"/>
  <c r="A231" i="6"/>
  <c r="AJ230" i="6"/>
  <c r="AL230" i="6" s="1"/>
  <c r="AN230" i="6" s="1"/>
  <c r="AE230" i="6"/>
  <c r="AG230" i="6" s="1"/>
  <c r="AI230" i="6" s="1"/>
  <c r="A230" i="6"/>
  <c r="AJ229" i="6"/>
  <c r="AL229" i="6" s="1"/>
  <c r="AN229" i="6" s="1"/>
  <c r="AE229" i="6"/>
  <c r="AG229" i="6" s="1"/>
  <c r="AI229" i="6" s="1"/>
  <c r="A229" i="6"/>
  <c r="AJ228" i="6"/>
  <c r="AL228" i="6" s="1"/>
  <c r="AN228" i="6" s="1"/>
  <c r="AE228" i="6"/>
  <c r="AG228" i="6" s="1"/>
  <c r="AI228" i="6" s="1"/>
  <c r="A228" i="6"/>
  <c r="AJ227" i="6"/>
  <c r="AL227" i="6" s="1"/>
  <c r="AN227" i="6" s="1"/>
  <c r="AE227" i="6"/>
  <c r="AG227" i="6" s="1"/>
  <c r="AI227" i="6" s="1"/>
  <c r="A227" i="6"/>
  <c r="AJ226" i="6"/>
  <c r="AL226" i="6" s="1"/>
  <c r="AN226" i="6" s="1"/>
  <c r="AE226" i="6"/>
  <c r="AG226" i="6" s="1"/>
  <c r="AI226" i="6" s="1"/>
  <c r="A226" i="6"/>
  <c r="AJ225" i="6"/>
  <c r="AL225" i="6" s="1"/>
  <c r="AN225" i="6" s="1"/>
  <c r="AE225" i="6"/>
  <c r="AG225" i="6" s="1"/>
  <c r="AI225" i="6" s="1"/>
  <c r="A225" i="6"/>
  <c r="AJ224" i="6"/>
  <c r="AL224" i="6" s="1"/>
  <c r="AN224" i="6" s="1"/>
  <c r="AE224" i="6"/>
  <c r="AG224" i="6" s="1"/>
  <c r="AI224" i="6" s="1"/>
  <c r="A224" i="6"/>
  <c r="AJ223" i="6"/>
  <c r="AL223" i="6" s="1"/>
  <c r="AN223" i="6" s="1"/>
  <c r="AE223" i="6"/>
  <c r="AG223" i="6" s="1"/>
  <c r="AI223" i="6" s="1"/>
  <c r="A223" i="6"/>
  <c r="AJ222" i="6"/>
  <c r="AL222" i="6" s="1"/>
  <c r="AN222" i="6" s="1"/>
  <c r="AE222" i="6"/>
  <c r="AG222" i="6" s="1"/>
  <c r="AI222" i="6" s="1"/>
  <c r="A222" i="6"/>
  <c r="AJ221" i="6"/>
  <c r="AL221" i="6" s="1"/>
  <c r="AN221" i="6" s="1"/>
  <c r="AE221" i="6"/>
  <c r="AG221" i="6" s="1"/>
  <c r="AI221" i="6" s="1"/>
  <c r="A221" i="6"/>
  <c r="AJ220" i="6"/>
  <c r="AL220" i="6" s="1"/>
  <c r="AN220" i="6" s="1"/>
  <c r="AE220" i="6"/>
  <c r="AG220" i="6" s="1"/>
  <c r="AI220" i="6" s="1"/>
  <c r="A220" i="6"/>
  <c r="AJ219" i="6"/>
  <c r="AL219" i="6" s="1"/>
  <c r="AN219" i="6" s="1"/>
  <c r="AE219" i="6"/>
  <c r="AG219" i="6" s="1"/>
  <c r="AI219" i="6" s="1"/>
  <c r="A219" i="6"/>
  <c r="AJ218" i="6"/>
  <c r="AL218" i="6" s="1"/>
  <c r="AN218" i="6" s="1"/>
  <c r="AE218" i="6"/>
  <c r="AG218" i="6" s="1"/>
  <c r="AI218" i="6" s="1"/>
  <c r="A218" i="6"/>
  <c r="AJ217" i="6"/>
  <c r="AL217" i="6" s="1"/>
  <c r="AN217" i="6" s="1"/>
  <c r="AE217" i="6"/>
  <c r="AG217" i="6" s="1"/>
  <c r="AI217" i="6" s="1"/>
  <c r="A217" i="6"/>
  <c r="AJ216" i="6"/>
  <c r="AL216" i="6" s="1"/>
  <c r="AN216" i="6" s="1"/>
  <c r="AE216" i="6"/>
  <c r="AG216" i="6" s="1"/>
  <c r="AI216" i="6" s="1"/>
  <c r="A216" i="6"/>
  <c r="AJ215" i="6"/>
  <c r="AL215" i="6" s="1"/>
  <c r="AN215" i="6" s="1"/>
  <c r="AE215" i="6"/>
  <c r="AG215" i="6" s="1"/>
  <c r="AI215" i="6" s="1"/>
  <c r="A215" i="6"/>
  <c r="AJ214" i="6"/>
  <c r="AL214" i="6" s="1"/>
  <c r="AN214" i="6" s="1"/>
  <c r="AE214" i="6"/>
  <c r="AG214" i="6" s="1"/>
  <c r="AI214" i="6" s="1"/>
  <c r="A214" i="6"/>
  <c r="AJ213" i="6"/>
  <c r="AL213" i="6" s="1"/>
  <c r="AN213" i="6" s="1"/>
  <c r="AE213" i="6"/>
  <c r="AG213" i="6" s="1"/>
  <c r="AI213" i="6" s="1"/>
  <c r="A213" i="6"/>
  <c r="AJ212" i="6"/>
  <c r="AL212" i="6" s="1"/>
  <c r="AN212" i="6" s="1"/>
  <c r="AE212" i="6"/>
  <c r="AG212" i="6" s="1"/>
  <c r="AI212" i="6" s="1"/>
  <c r="A212" i="6"/>
  <c r="AJ211" i="6"/>
  <c r="AL211" i="6" s="1"/>
  <c r="AN211" i="6" s="1"/>
  <c r="AE211" i="6"/>
  <c r="AG211" i="6" s="1"/>
  <c r="AI211" i="6" s="1"/>
  <c r="A211" i="6"/>
  <c r="AJ210" i="6"/>
  <c r="AL210" i="6" s="1"/>
  <c r="AN210" i="6" s="1"/>
  <c r="AE210" i="6"/>
  <c r="AG210" i="6" s="1"/>
  <c r="AI210" i="6" s="1"/>
  <c r="A210" i="6"/>
  <c r="AJ209" i="6"/>
  <c r="AL209" i="6" s="1"/>
  <c r="AN209" i="6" s="1"/>
  <c r="AE209" i="6"/>
  <c r="AG209" i="6" s="1"/>
  <c r="AI209" i="6" s="1"/>
  <c r="A209" i="6"/>
  <c r="AJ208" i="6"/>
  <c r="AL208" i="6" s="1"/>
  <c r="AN208" i="6" s="1"/>
  <c r="AE208" i="6"/>
  <c r="AG208" i="6" s="1"/>
  <c r="AI208" i="6" s="1"/>
  <c r="A208" i="6"/>
  <c r="AJ207" i="6"/>
  <c r="AL207" i="6" s="1"/>
  <c r="AN207" i="6" s="1"/>
  <c r="AE207" i="6"/>
  <c r="AG207" i="6" s="1"/>
  <c r="AI207" i="6" s="1"/>
  <c r="A207" i="6"/>
  <c r="AJ206" i="6"/>
  <c r="AL206" i="6" s="1"/>
  <c r="AN206" i="6" s="1"/>
  <c r="AE206" i="6"/>
  <c r="AG206" i="6" s="1"/>
  <c r="AI206" i="6" s="1"/>
  <c r="A206" i="6"/>
  <c r="AJ205" i="6"/>
  <c r="AL205" i="6" s="1"/>
  <c r="AN205" i="6" s="1"/>
  <c r="AE205" i="6"/>
  <c r="AG205" i="6" s="1"/>
  <c r="AI205" i="6" s="1"/>
  <c r="A205" i="6"/>
  <c r="AJ204" i="6"/>
  <c r="AL204" i="6" s="1"/>
  <c r="AN204" i="6" s="1"/>
  <c r="AE204" i="6"/>
  <c r="AG204" i="6" s="1"/>
  <c r="AI204" i="6" s="1"/>
  <c r="A204" i="6"/>
  <c r="AJ203" i="6"/>
  <c r="AL203" i="6" s="1"/>
  <c r="AN203" i="6" s="1"/>
  <c r="AE203" i="6"/>
  <c r="AG203" i="6" s="1"/>
  <c r="AI203" i="6" s="1"/>
  <c r="A203" i="6"/>
  <c r="AJ202" i="6"/>
  <c r="AL202" i="6" s="1"/>
  <c r="AN202" i="6" s="1"/>
  <c r="AE202" i="6"/>
  <c r="AG202" i="6" s="1"/>
  <c r="AI202" i="6" s="1"/>
  <c r="A202" i="6"/>
  <c r="AJ201" i="6"/>
  <c r="AL201" i="6" s="1"/>
  <c r="AN201" i="6" s="1"/>
  <c r="AE201" i="6"/>
  <c r="AG201" i="6" s="1"/>
  <c r="AI201" i="6" s="1"/>
  <c r="A201" i="6"/>
  <c r="AJ200" i="6"/>
  <c r="AL200" i="6" s="1"/>
  <c r="AN200" i="6" s="1"/>
  <c r="AE200" i="6"/>
  <c r="AG200" i="6" s="1"/>
  <c r="AI200" i="6" s="1"/>
  <c r="A200" i="6"/>
  <c r="AJ199" i="6"/>
  <c r="AL199" i="6" s="1"/>
  <c r="AN199" i="6" s="1"/>
  <c r="AE199" i="6"/>
  <c r="AG199" i="6" s="1"/>
  <c r="AI199" i="6" s="1"/>
  <c r="A199" i="6"/>
  <c r="AJ198" i="6"/>
  <c r="AL198" i="6" s="1"/>
  <c r="AN198" i="6" s="1"/>
  <c r="AE198" i="6"/>
  <c r="AG198" i="6" s="1"/>
  <c r="AI198" i="6" s="1"/>
  <c r="A198" i="6"/>
  <c r="AJ197" i="6"/>
  <c r="AL197" i="6" s="1"/>
  <c r="AN197" i="6" s="1"/>
  <c r="AE197" i="6"/>
  <c r="AG197" i="6" s="1"/>
  <c r="AI197" i="6" s="1"/>
  <c r="A197" i="6"/>
  <c r="AJ196" i="6"/>
  <c r="AL196" i="6" s="1"/>
  <c r="AN196" i="6" s="1"/>
  <c r="AE196" i="6"/>
  <c r="AG196" i="6" s="1"/>
  <c r="AI196" i="6" s="1"/>
  <c r="A196" i="6"/>
  <c r="AJ195" i="6"/>
  <c r="AL195" i="6" s="1"/>
  <c r="AN195" i="6" s="1"/>
  <c r="AE195" i="6"/>
  <c r="AG195" i="6" s="1"/>
  <c r="AI195" i="6" s="1"/>
  <c r="A195" i="6"/>
  <c r="AJ194" i="6"/>
  <c r="AL194" i="6" s="1"/>
  <c r="AN194" i="6" s="1"/>
  <c r="AE194" i="6"/>
  <c r="AG194" i="6" s="1"/>
  <c r="AI194" i="6" s="1"/>
  <c r="A194" i="6"/>
  <c r="AJ193" i="6"/>
  <c r="AL193" i="6" s="1"/>
  <c r="AN193" i="6" s="1"/>
  <c r="AE193" i="6"/>
  <c r="AG193" i="6" s="1"/>
  <c r="AI193" i="6" s="1"/>
  <c r="A193" i="6"/>
  <c r="AJ192" i="6"/>
  <c r="AL192" i="6" s="1"/>
  <c r="AN192" i="6" s="1"/>
  <c r="AE192" i="6"/>
  <c r="AG192" i="6" s="1"/>
  <c r="AI192" i="6" s="1"/>
  <c r="A192" i="6"/>
  <c r="AJ191" i="6"/>
  <c r="AL191" i="6" s="1"/>
  <c r="AN191" i="6" s="1"/>
  <c r="AE191" i="6"/>
  <c r="AG191" i="6" s="1"/>
  <c r="AI191" i="6" s="1"/>
  <c r="A191" i="6"/>
  <c r="AJ190" i="6"/>
  <c r="AL190" i="6" s="1"/>
  <c r="AN190" i="6" s="1"/>
  <c r="AE190" i="6"/>
  <c r="AG190" i="6" s="1"/>
  <c r="AI190" i="6" s="1"/>
  <c r="A190" i="6"/>
  <c r="AJ189" i="6"/>
  <c r="AL189" i="6" s="1"/>
  <c r="AN189" i="6" s="1"/>
  <c r="AE189" i="6"/>
  <c r="AG189" i="6" s="1"/>
  <c r="AI189" i="6" s="1"/>
  <c r="A189" i="6"/>
  <c r="AJ188" i="6"/>
  <c r="AL188" i="6" s="1"/>
  <c r="AN188" i="6" s="1"/>
  <c r="AE188" i="6"/>
  <c r="AG188" i="6" s="1"/>
  <c r="AI188" i="6" s="1"/>
  <c r="A188" i="6"/>
  <c r="AJ187" i="6"/>
  <c r="AL187" i="6" s="1"/>
  <c r="AN187" i="6" s="1"/>
  <c r="AE187" i="6"/>
  <c r="AG187" i="6" s="1"/>
  <c r="AI187" i="6" s="1"/>
  <c r="A187" i="6"/>
  <c r="AJ186" i="6"/>
  <c r="AL186" i="6" s="1"/>
  <c r="AN186" i="6" s="1"/>
  <c r="AE186" i="6"/>
  <c r="AG186" i="6" s="1"/>
  <c r="AI186" i="6" s="1"/>
  <c r="A186" i="6"/>
  <c r="AJ185" i="6"/>
  <c r="AL185" i="6" s="1"/>
  <c r="AN185" i="6" s="1"/>
  <c r="AE185" i="6"/>
  <c r="AG185" i="6" s="1"/>
  <c r="AI185" i="6" s="1"/>
  <c r="A185" i="6"/>
  <c r="AJ184" i="6"/>
  <c r="AL184" i="6" s="1"/>
  <c r="AN184" i="6" s="1"/>
  <c r="AE184" i="6"/>
  <c r="AG184" i="6" s="1"/>
  <c r="AI184" i="6" s="1"/>
  <c r="A184" i="6"/>
  <c r="AJ183" i="6"/>
  <c r="AL183" i="6" s="1"/>
  <c r="AN183" i="6" s="1"/>
  <c r="AE183" i="6"/>
  <c r="AG183" i="6" s="1"/>
  <c r="AI183" i="6" s="1"/>
  <c r="A183" i="6"/>
  <c r="AJ182" i="6"/>
  <c r="AL182" i="6" s="1"/>
  <c r="AN182" i="6" s="1"/>
  <c r="AE182" i="6"/>
  <c r="AG182" i="6" s="1"/>
  <c r="AI182" i="6" s="1"/>
  <c r="A182" i="6"/>
  <c r="AJ181" i="6"/>
  <c r="AL181" i="6" s="1"/>
  <c r="AN181" i="6" s="1"/>
  <c r="AE181" i="6"/>
  <c r="AG181" i="6" s="1"/>
  <c r="AI181" i="6" s="1"/>
  <c r="A181" i="6"/>
  <c r="AJ180" i="6"/>
  <c r="AL180" i="6" s="1"/>
  <c r="AN180" i="6" s="1"/>
  <c r="AE180" i="6"/>
  <c r="AG180" i="6" s="1"/>
  <c r="AI180" i="6" s="1"/>
  <c r="A180" i="6"/>
  <c r="AJ179" i="6"/>
  <c r="AL179" i="6" s="1"/>
  <c r="AN179" i="6" s="1"/>
  <c r="AE179" i="6"/>
  <c r="AG179" i="6" s="1"/>
  <c r="AI179" i="6" s="1"/>
  <c r="A179" i="6"/>
  <c r="AJ178" i="6"/>
  <c r="AL178" i="6" s="1"/>
  <c r="AN178" i="6" s="1"/>
  <c r="AE178" i="6"/>
  <c r="AG178" i="6" s="1"/>
  <c r="AI178" i="6" s="1"/>
  <c r="A178" i="6"/>
  <c r="AJ177" i="6"/>
  <c r="AL177" i="6" s="1"/>
  <c r="AN177" i="6" s="1"/>
  <c r="AE177" i="6"/>
  <c r="AG177" i="6" s="1"/>
  <c r="AI177" i="6" s="1"/>
  <c r="A177" i="6"/>
  <c r="AJ176" i="6"/>
  <c r="AL176" i="6" s="1"/>
  <c r="AN176" i="6" s="1"/>
  <c r="AE176" i="6"/>
  <c r="AG176" i="6" s="1"/>
  <c r="AI176" i="6" s="1"/>
  <c r="A176" i="6"/>
  <c r="AJ175" i="6"/>
  <c r="AL175" i="6" s="1"/>
  <c r="AN175" i="6" s="1"/>
  <c r="AE175" i="6"/>
  <c r="AG175" i="6" s="1"/>
  <c r="AI175" i="6" s="1"/>
  <c r="A175" i="6"/>
  <c r="AJ174" i="6"/>
  <c r="AL174" i="6" s="1"/>
  <c r="AN174" i="6" s="1"/>
  <c r="AE174" i="6"/>
  <c r="AG174" i="6" s="1"/>
  <c r="AI174" i="6" s="1"/>
  <c r="A174" i="6"/>
  <c r="AJ173" i="6"/>
  <c r="AL173" i="6" s="1"/>
  <c r="AN173" i="6" s="1"/>
  <c r="AE173" i="6"/>
  <c r="AG173" i="6" s="1"/>
  <c r="AI173" i="6" s="1"/>
  <c r="A173" i="6"/>
  <c r="AJ172" i="6"/>
  <c r="AL172" i="6" s="1"/>
  <c r="AN172" i="6" s="1"/>
  <c r="AE172" i="6"/>
  <c r="AG172" i="6" s="1"/>
  <c r="AI172" i="6" s="1"/>
  <c r="A172" i="6"/>
  <c r="AJ171" i="6"/>
  <c r="AL171" i="6" s="1"/>
  <c r="AN171" i="6" s="1"/>
  <c r="AE171" i="6"/>
  <c r="AG171" i="6" s="1"/>
  <c r="AI171" i="6" s="1"/>
  <c r="A171" i="6"/>
  <c r="AJ170" i="6"/>
  <c r="AL170" i="6" s="1"/>
  <c r="AN170" i="6" s="1"/>
  <c r="AE170" i="6"/>
  <c r="AG170" i="6" s="1"/>
  <c r="AI170" i="6" s="1"/>
  <c r="A170" i="6"/>
  <c r="AJ169" i="6"/>
  <c r="AL169" i="6" s="1"/>
  <c r="AN169" i="6" s="1"/>
  <c r="AE169" i="6"/>
  <c r="AG169" i="6" s="1"/>
  <c r="AI169" i="6" s="1"/>
  <c r="A169" i="6"/>
  <c r="AJ168" i="6"/>
  <c r="AL168" i="6" s="1"/>
  <c r="AN168" i="6" s="1"/>
  <c r="AE168" i="6"/>
  <c r="AG168" i="6" s="1"/>
  <c r="AI168" i="6" s="1"/>
  <c r="A168" i="6"/>
  <c r="AJ167" i="6"/>
  <c r="AL167" i="6" s="1"/>
  <c r="AN167" i="6" s="1"/>
  <c r="AE167" i="6"/>
  <c r="AG167" i="6" s="1"/>
  <c r="AI167" i="6" s="1"/>
  <c r="A167" i="6"/>
  <c r="AJ166" i="6"/>
  <c r="AL166" i="6" s="1"/>
  <c r="AN166" i="6" s="1"/>
  <c r="AE166" i="6"/>
  <c r="AG166" i="6" s="1"/>
  <c r="AI166" i="6" s="1"/>
  <c r="A166" i="6"/>
  <c r="AJ165" i="6"/>
  <c r="AL165" i="6" s="1"/>
  <c r="AN165" i="6" s="1"/>
  <c r="AE165" i="6"/>
  <c r="AG165" i="6" s="1"/>
  <c r="AI165" i="6" s="1"/>
  <c r="A165" i="6"/>
  <c r="AJ164" i="6"/>
  <c r="AL164" i="6" s="1"/>
  <c r="AN164" i="6" s="1"/>
  <c r="AE164" i="6"/>
  <c r="AG164" i="6" s="1"/>
  <c r="AI164" i="6" s="1"/>
  <c r="A164" i="6"/>
  <c r="AJ163" i="6"/>
  <c r="AL163" i="6" s="1"/>
  <c r="AN163" i="6" s="1"/>
  <c r="AE163" i="6"/>
  <c r="AG163" i="6" s="1"/>
  <c r="AI163" i="6" s="1"/>
  <c r="A163" i="6"/>
  <c r="AJ162" i="6"/>
  <c r="AL162" i="6" s="1"/>
  <c r="AN162" i="6" s="1"/>
  <c r="AE162" i="6"/>
  <c r="AG162" i="6" s="1"/>
  <c r="AI162" i="6" s="1"/>
  <c r="A162" i="6"/>
  <c r="AJ161" i="6"/>
  <c r="AL161" i="6" s="1"/>
  <c r="AN161" i="6" s="1"/>
  <c r="AP161" i="6" s="1"/>
  <c r="AE161" i="6"/>
  <c r="AG161" i="6" s="1"/>
  <c r="AI161" i="6" s="1"/>
  <c r="A161" i="6"/>
  <c r="AJ160" i="6"/>
  <c r="AL160" i="6" s="1"/>
  <c r="AN160" i="6" s="1"/>
  <c r="AE160" i="6"/>
  <c r="AG160" i="6" s="1"/>
  <c r="AI160" i="6" s="1"/>
  <c r="A160" i="6"/>
  <c r="AJ159" i="6"/>
  <c r="AL159" i="6" s="1"/>
  <c r="AN159" i="6" s="1"/>
  <c r="AE159" i="6"/>
  <c r="AG159" i="6" s="1"/>
  <c r="AI159" i="6" s="1"/>
  <c r="A159" i="6"/>
  <c r="AJ158" i="6"/>
  <c r="AL158" i="6" s="1"/>
  <c r="AN158" i="6" s="1"/>
  <c r="AE158" i="6"/>
  <c r="AG158" i="6" s="1"/>
  <c r="AI158" i="6" s="1"/>
  <c r="A158" i="6"/>
  <c r="AJ157" i="6"/>
  <c r="AL157" i="6" s="1"/>
  <c r="AN157" i="6" s="1"/>
  <c r="AP157" i="6" s="1"/>
  <c r="AE157" i="6"/>
  <c r="AG157" i="6" s="1"/>
  <c r="AI157" i="6" s="1"/>
  <c r="A157" i="6"/>
  <c r="AJ156" i="6"/>
  <c r="AL156" i="6" s="1"/>
  <c r="AN156" i="6" s="1"/>
  <c r="AE156" i="6"/>
  <c r="AG156" i="6" s="1"/>
  <c r="AI156" i="6" s="1"/>
  <c r="A156" i="6"/>
  <c r="AJ155" i="6"/>
  <c r="AL155" i="6" s="1"/>
  <c r="AN155" i="6" s="1"/>
  <c r="AE155" i="6"/>
  <c r="AG155" i="6" s="1"/>
  <c r="AI155" i="6" s="1"/>
  <c r="A155" i="6"/>
  <c r="AJ154" i="6"/>
  <c r="AL154" i="6" s="1"/>
  <c r="AN154" i="6" s="1"/>
  <c r="AE154" i="6"/>
  <c r="AG154" i="6" s="1"/>
  <c r="AI154" i="6" s="1"/>
  <c r="A154" i="6"/>
  <c r="AJ153" i="6"/>
  <c r="AL153" i="6" s="1"/>
  <c r="AN153" i="6" s="1"/>
  <c r="AE153" i="6"/>
  <c r="AG153" i="6" s="1"/>
  <c r="AI153" i="6" s="1"/>
  <c r="A153" i="6"/>
  <c r="AJ152" i="6"/>
  <c r="AL152" i="6" s="1"/>
  <c r="AN152" i="6" s="1"/>
  <c r="AE152" i="6"/>
  <c r="AG152" i="6" s="1"/>
  <c r="AI152" i="6" s="1"/>
  <c r="A152" i="6"/>
  <c r="AJ151" i="6"/>
  <c r="AL151" i="6" s="1"/>
  <c r="AN151" i="6" s="1"/>
  <c r="AE151" i="6"/>
  <c r="AG151" i="6" s="1"/>
  <c r="AI151" i="6" s="1"/>
  <c r="A151" i="6"/>
  <c r="AJ150" i="6"/>
  <c r="AL150" i="6" s="1"/>
  <c r="AN150" i="6" s="1"/>
  <c r="AE150" i="6"/>
  <c r="AG150" i="6" s="1"/>
  <c r="AI150" i="6" s="1"/>
  <c r="A150" i="6"/>
  <c r="AJ149" i="6"/>
  <c r="AL149" i="6" s="1"/>
  <c r="AN149" i="6" s="1"/>
  <c r="AE149" i="6"/>
  <c r="AG149" i="6" s="1"/>
  <c r="AI149" i="6" s="1"/>
  <c r="A149" i="6"/>
  <c r="AJ148" i="6"/>
  <c r="AL148" i="6" s="1"/>
  <c r="AN148" i="6" s="1"/>
  <c r="AE148" i="6"/>
  <c r="AG148" i="6" s="1"/>
  <c r="AI148" i="6" s="1"/>
  <c r="A148" i="6"/>
  <c r="AJ147" i="6"/>
  <c r="AL147" i="6" s="1"/>
  <c r="AN147" i="6" s="1"/>
  <c r="AE147" i="6"/>
  <c r="AG147" i="6" s="1"/>
  <c r="AI147" i="6" s="1"/>
  <c r="A147" i="6"/>
  <c r="AJ146" i="6"/>
  <c r="AL146" i="6" s="1"/>
  <c r="AN146" i="6" s="1"/>
  <c r="AE146" i="6"/>
  <c r="AG146" i="6" s="1"/>
  <c r="AI146" i="6" s="1"/>
  <c r="A146" i="6"/>
  <c r="AJ145" i="6"/>
  <c r="AL145" i="6" s="1"/>
  <c r="AN145" i="6" s="1"/>
  <c r="AE145" i="6"/>
  <c r="AG145" i="6" s="1"/>
  <c r="AI145" i="6" s="1"/>
  <c r="A145" i="6"/>
  <c r="AJ144" i="6"/>
  <c r="AL144" i="6" s="1"/>
  <c r="AN144" i="6" s="1"/>
  <c r="AE144" i="6"/>
  <c r="AG144" i="6" s="1"/>
  <c r="AI144" i="6" s="1"/>
  <c r="A144" i="6"/>
  <c r="AJ143" i="6"/>
  <c r="AL143" i="6" s="1"/>
  <c r="AN143" i="6" s="1"/>
  <c r="AE143" i="6"/>
  <c r="AG143" i="6" s="1"/>
  <c r="AI143" i="6" s="1"/>
  <c r="A143" i="6"/>
  <c r="AJ142" i="6"/>
  <c r="AL142" i="6" s="1"/>
  <c r="AN142" i="6" s="1"/>
  <c r="AE142" i="6"/>
  <c r="AG142" i="6" s="1"/>
  <c r="AI142" i="6" s="1"/>
  <c r="A142" i="6"/>
  <c r="AJ141" i="6"/>
  <c r="AL141" i="6" s="1"/>
  <c r="AN141" i="6" s="1"/>
  <c r="AE141" i="6"/>
  <c r="AG141" i="6" s="1"/>
  <c r="AI141" i="6" s="1"/>
  <c r="A141" i="6"/>
  <c r="AJ140" i="6"/>
  <c r="AL140" i="6" s="1"/>
  <c r="AN140" i="6" s="1"/>
  <c r="AE140" i="6"/>
  <c r="AG140" i="6" s="1"/>
  <c r="AI140" i="6" s="1"/>
  <c r="A140" i="6"/>
  <c r="AJ139" i="6"/>
  <c r="AL139" i="6" s="1"/>
  <c r="AN139" i="6" s="1"/>
  <c r="AE139" i="6"/>
  <c r="AG139" i="6" s="1"/>
  <c r="AI139" i="6" s="1"/>
  <c r="A139" i="6"/>
  <c r="AJ138" i="6"/>
  <c r="AL138" i="6" s="1"/>
  <c r="AN138" i="6" s="1"/>
  <c r="AE138" i="6"/>
  <c r="AG138" i="6" s="1"/>
  <c r="AI138" i="6" s="1"/>
  <c r="A138" i="6"/>
  <c r="AJ137" i="6"/>
  <c r="AL137" i="6" s="1"/>
  <c r="AN137" i="6" s="1"/>
  <c r="AE137" i="6"/>
  <c r="AG137" i="6" s="1"/>
  <c r="AI137" i="6" s="1"/>
  <c r="A137" i="6"/>
  <c r="AJ136" i="6"/>
  <c r="AL136" i="6" s="1"/>
  <c r="AN136" i="6" s="1"/>
  <c r="AE136" i="6"/>
  <c r="AG136" i="6" s="1"/>
  <c r="AI136" i="6" s="1"/>
  <c r="A136" i="6"/>
  <c r="AJ135" i="6"/>
  <c r="AL135" i="6" s="1"/>
  <c r="AN135" i="6" s="1"/>
  <c r="AE135" i="6"/>
  <c r="AG135" i="6" s="1"/>
  <c r="AI135" i="6" s="1"/>
  <c r="A135" i="6"/>
  <c r="AJ134" i="6"/>
  <c r="AL134" i="6" s="1"/>
  <c r="AN134" i="6" s="1"/>
  <c r="AE134" i="6"/>
  <c r="AG134" i="6" s="1"/>
  <c r="AI134" i="6" s="1"/>
  <c r="A134" i="6"/>
  <c r="AJ133" i="6"/>
  <c r="AL133" i="6" s="1"/>
  <c r="AN133" i="6" s="1"/>
  <c r="AE133" i="6"/>
  <c r="AG133" i="6" s="1"/>
  <c r="AI133" i="6" s="1"/>
  <c r="A133" i="6"/>
  <c r="AJ132" i="6"/>
  <c r="AL132" i="6" s="1"/>
  <c r="AN132" i="6" s="1"/>
  <c r="AE132" i="6"/>
  <c r="AG132" i="6" s="1"/>
  <c r="AI132" i="6" s="1"/>
  <c r="A132" i="6"/>
  <c r="AJ131" i="6"/>
  <c r="AL131" i="6" s="1"/>
  <c r="AN131" i="6" s="1"/>
  <c r="AE131" i="6"/>
  <c r="AG131" i="6" s="1"/>
  <c r="AI131" i="6" s="1"/>
  <c r="A131" i="6"/>
  <c r="AJ130" i="6"/>
  <c r="AL130" i="6" s="1"/>
  <c r="AN130" i="6" s="1"/>
  <c r="AE130" i="6"/>
  <c r="AG130" i="6" s="1"/>
  <c r="AI130" i="6" s="1"/>
  <c r="A130" i="6"/>
  <c r="AJ129" i="6"/>
  <c r="AL129" i="6" s="1"/>
  <c r="AN129" i="6" s="1"/>
  <c r="AE129" i="6"/>
  <c r="AG129" i="6" s="1"/>
  <c r="AI129" i="6" s="1"/>
  <c r="A129" i="6"/>
  <c r="AJ128" i="6"/>
  <c r="AL128" i="6" s="1"/>
  <c r="AN128" i="6" s="1"/>
  <c r="AE128" i="6"/>
  <c r="AG128" i="6" s="1"/>
  <c r="AI128" i="6" s="1"/>
  <c r="A128" i="6"/>
  <c r="AJ127" i="6"/>
  <c r="AL127" i="6" s="1"/>
  <c r="AN127" i="6" s="1"/>
  <c r="AE127" i="6"/>
  <c r="AG127" i="6" s="1"/>
  <c r="AI127" i="6" s="1"/>
  <c r="A127" i="6"/>
  <c r="AJ126" i="6"/>
  <c r="AL126" i="6" s="1"/>
  <c r="AN126" i="6" s="1"/>
  <c r="AE126" i="6"/>
  <c r="AG126" i="6" s="1"/>
  <c r="AI126" i="6" s="1"/>
  <c r="A126" i="6"/>
  <c r="AJ125" i="6"/>
  <c r="AL125" i="6" s="1"/>
  <c r="AN125" i="6" s="1"/>
  <c r="AE125" i="6"/>
  <c r="AG125" i="6" s="1"/>
  <c r="AI125" i="6" s="1"/>
  <c r="A125" i="6"/>
  <c r="AJ124" i="6"/>
  <c r="AL124" i="6" s="1"/>
  <c r="AN124" i="6" s="1"/>
  <c r="AE124" i="6"/>
  <c r="AG124" i="6" s="1"/>
  <c r="AI124" i="6" s="1"/>
  <c r="A124" i="6"/>
  <c r="AJ123" i="6"/>
  <c r="AL123" i="6" s="1"/>
  <c r="AN123" i="6" s="1"/>
  <c r="AE123" i="6"/>
  <c r="AG123" i="6" s="1"/>
  <c r="AI123" i="6" s="1"/>
  <c r="A123" i="6"/>
  <c r="AJ122" i="6"/>
  <c r="AL122" i="6" s="1"/>
  <c r="AN122" i="6" s="1"/>
  <c r="AE122" i="6"/>
  <c r="AG122" i="6" s="1"/>
  <c r="AI122" i="6" s="1"/>
  <c r="A122" i="6"/>
  <c r="AJ121" i="6"/>
  <c r="AL121" i="6" s="1"/>
  <c r="AN121" i="6" s="1"/>
  <c r="AE121" i="6"/>
  <c r="AG121" i="6" s="1"/>
  <c r="AI121" i="6" s="1"/>
  <c r="A121" i="6"/>
  <c r="AJ120" i="6"/>
  <c r="AL120" i="6" s="1"/>
  <c r="AN120" i="6" s="1"/>
  <c r="AE120" i="6"/>
  <c r="AG120" i="6" s="1"/>
  <c r="AI120" i="6" s="1"/>
  <c r="A120" i="6"/>
  <c r="AJ119" i="6"/>
  <c r="AL119" i="6" s="1"/>
  <c r="AN119" i="6" s="1"/>
  <c r="AE119" i="6"/>
  <c r="AG119" i="6" s="1"/>
  <c r="AI119" i="6" s="1"/>
  <c r="A119" i="6"/>
  <c r="AJ118" i="6"/>
  <c r="AL118" i="6" s="1"/>
  <c r="AN118" i="6" s="1"/>
  <c r="AE118" i="6"/>
  <c r="AG118" i="6" s="1"/>
  <c r="AI118" i="6" s="1"/>
  <c r="A118" i="6"/>
  <c r="AJ117" i="6"/>
  <c r="AL117" i="6" s="1"/>
  <c r="AN117" i="6" s="1"/>
  <c r="AE117" i="6"/>
  <c r="AG117" i="6" s="1"/>
  <c r="AI117" i="6" s="1"/>
  <c r="A117" i="6"/>
  <c r="AJ116" i="6"/>
  <c r="AL116" i="6" s="1"/>
  <c r="AN116" i="6" s="1"/>
  <c r="AE116" i="6"/>
  <c r="AG116" i="6" s="1"/>
  <c r="AI116" i="6" s="1"/>
  <c r="A116" i="6"/>
  <c r="AJ115" i="6"/>
  <c r="AL115" i="6" s="1"/>
  <c r="AN115" i="6" s="1"/>
  <c r="AE115" i="6"/>
  <c r="AG115" i="6" s="1"/>
  <c r="AI115" i="6" s="1"/>
  <c r="A115" i="6"/>
  <c r="AJ114" i="6"/>
  <c r="AL114" i="6" s="1"/>
  <c r="AN114" i="6" s="1"/>
  <c r="AE114" i="6"/>
  <c r="AG114" i="6" s="1"/>
  <c r="AI114" i="6" s="1"/>
  <c r="A114" i="6"/>
  <c r="AJ113" i="6"/>
  <c r="AL113" i="6" s="1"/>
  <c r="AN113" i="6" s="1"/>
  <c r="AE113" i="6"/>
  <c r="AG113" i="6" s="1"/>
  <c r="AI113" i="6" s="1"/>
  <c r="A113" i="6"/>
  <c r="AJ112" i="6"/>
  <c r="AL112" i="6" s="1"/>
  <c r="AN112" i="6" s="1"/>
  <c r="AE112" i="6"/>
  <c r="AG112" i="6" s="1"/>
  <c r="AI112" i="6" s="1"/>
  <c r="A112" i="6"/>
  <c r="AJ111" i="6"/>
  <c r="AL111" i="6" s="1"/>
  <c r="AN111" i="6" s="1"/>
  <c r="AE111" i="6"/>
  <c r="AG111" i="6" s="1"/>
  <c r="AI111" i="6" s="1"/>
  <c r="A111" i="6"/>
  <c r="AJ110" i="6"/>
  <c r="AL110" i="6" s="1"/>
  <c r="AN110" i="6" s="1"/>
  <c r="AE110" i="6"/>
  <c r="AG110" i="6" s="1"/>
  <c r="AI110" i="6" s="1"/>
  <c r="A110" i="6"/>
  <c r="AJ109" i="6"/>
  <c r="AL109" i="6" s="1"/>
  <c r="AN109" i="6" s="1"/>
  <c r="AE109" i="6"/>
  <c r="AG109" i="6" s="1"/>
  <c r="AI109" i="6" s="1"/>
  <c r="A109" i="6"/>
  <c r="AJ108" i="6"/>
  <c r="AL108" i="6" s="1"/>
  <c r="AN108" i="6" s="1"/>
  <c r="AE108" i="6"/>
  <c r="AG108" i="6" s="1"/>
  <c r="AI108" i="6" s="1"/>
  <c r="A108" i="6"/>
  <c r="AJ107" i="6"/>
  <c r="AL107" i="6" s="1"/>
  <c r="AN107" i="6" s="1"/>
  <c r="AE107" i="6"/>
  <c r="AG107" i="6" s="1"/>
  <c r="AI107" i="6" s="1"/>
  <c r="A107" i="6"/>
  <c r="AJ106" i="6"/>
  <c r="AL106" i="6" s="1"/>
  <c r="AN106" i="6" s="1"/>
  <c r="AE106" i="6"/>
  <c r="AG106" i="6" s="1"/>
  <c r="AI106" i="6" s="1"/>
  <c r="A106" i="6"/>
  <c r="AJ105" i="6"/>
  <c r="AL105" i="6" s="1"/>
  <c r="AN105" i="6" s="1"/>
  <c r="AE105" i="6"/>
  <c r="AG105" i="6" s="1"/>
  <c r="AI105" i="6" s="1"/>
  <c r="A105" i="6"/>
  <c r="AJ104" i="6"/>
  <c r="AL104" i="6" s="1"/>
  <c r="AN104" i="6" s="1"/>
  <c r="AE104" i="6"/>
  <c r="AG104" i="6" s="1"/>
  <c r="AI104" i="6" s="1"/>
  <c r="A104" i="6"/>
  <c r="AJ103" i="6"/>
  <c r="AL103" i="6" s="1"/>
  <c r="AN103" i="6" s="1"/>
  <c r="AE103" i="6"/>
  <c r="AG103" i="6" s="1"/>
  <c r="AI103" i="6" s="1"/>
  <c r="A103" i="6"/>
  <c r="AJ102" i="6"/>
  <c r="AL102" i="6" s="1"/>
  <c r="AN102" i="6" s="1"/>
  <c r="AE102" i="6"/>
  <c r="AG102" i="6" s="1"/>
  <c r="AI102" i="6" s="1"/>
  <c r="A102" i="6"/>
  <c r="AJ101" i="6"/>
  <c r="AL101" i="6" s="1"/>
  <c r="AN101" i="6" s="1"/>
  <c r="AE101" i="6"/>
  <c r="AG101" i="6" s="1"/>
  <c r="AI101" i="6" s="1"/>
  <c r="A101" i="6"/>
  <c r="AJ100" i="6"/>
  <c r="AL100" i="6" s="1"/>
  <c r="AN100" i="6" s="1"/>
  <c r="AE100" i="6"/>
  <c r="AG100" i="6" s="1"/>
  <c r="AI100" i="6" s="1"/>
  <c r="A100" i="6"/>
  <c r="AJ99" i="6"/>
  <c r="AL99" i="6" s="1"/>
  <c r="AN99" i="6" s="1"/>
  <c r="AE99" i="6"/>
  <c r="AG99" i="6" s="1"/>
  <c r="AI99" i="6" s="1"/>
  <c r="A99" i="6"/>
  <c r="AJ98" i="6"/>
  <c r="AL98" i="6" s="1"/>
  <c r="AN98" i="6" s="1"/>
  <c r="AE98" i="6"/>
  <c r="AG98" i="6" s="1"/>
  <c r="AI98" i="6" s="1"/>
  <c r="A98" i="6"/>
  <c r="AJ97" i="6"/>
  <c r="AL97" i="6" s="1"/>
  <c r="AN97" i="6" s="1"/>
  <c r="AE97" i="6"/>
  <c r="AG97" i="6" s="1"/>
  <c r="AI97" i="6" s="1"/>
  <c r="A97" i="6"/>
  <c r="AJ96" i="6"/>
  <c r="AL96" i="6" s="1"/>
  <c r="AN96" i="6" s="1"/>
  <c r="AP96" i="6" s="1"/>
  <c r="AE96" i="6"/>
  <c r="AG96" i="6" s="1"/>
  <c r="AI96" i="6" s="1"/>
  <c r="A96" i="6"/>
  <c r="AJ95" i="6"/>
  <c r="AL95" i="6" s="1"/>
  <c r="AN95" i="6" s="1"/>
  <c r="AE95" i="6"/>
  <c r="AG95" i="6" s="1"/>
  <c r="AI95" i="6" s="1"/>
  <c r="A95" i="6"/>
  <c r="AJ94" i="6"/>
  <c r="AL94" i="6" s="1"/>
  <c r="AN94" i="6" s="1"/>
  <c r="AE94" i="6"/>
  <c r="AG94" i="6" s="1"/>
  <c r="AI94" i="6" s="1"/>
  <c r="A94" i="6"/>
  <c r="AJ93" i="6"/>
  <c r="AL93" i="6" s="1"/>
  <c r="AN93" i="6" s="1"/>
  <c r="AE93" i="6"/>
  <c r="AG93" i="6" s="1"/>
  <c r="AI93" i="6" s="1"/>
  <c r="A93" i="6"/>
  <c r="AJ92" i="6"/>
  <c r="AL92" i="6" s="1"/>
  <c r="AN92" i="6" s="1"/>
  <c r="AE92" i="6"/>
  <c r="AG92" i="6" s="1"/>
  <c r="AI92" i="6" s="1"/>
  <c r="A92" i="6"/>
  <c r="AJ91" i="6"/>
  <c r="AL91" i="6" s="1"/>
  <c r="AN91" i="6" s="1"/>
  <c r="AE91" i="6"/>
  <c r="AG91" i="6" s="1"/>
  <c r="AI91" i="6" s="1"/>
  <c r="A91" i="6"/>
  <c r="AJ90" i="6"/>
  <c r="AL90" i="6" s="1"/>
  <c r="AN90" i="6" s="1"/>
  <c r="AE90" i="6"/>
  <c r="AG90" i="6" s="1"/>
  <c r="AI90" i="6" s="1"/>
  <c r="A90" i="6"/>
  <c r="AJ89" i="6"/>
  <c r="AL89" i="6" s="1"/>
  <c r="AN89" i="6" s="1"/>
  <c r="AE89" i="6"/>
  <c r="AG89" i="6" s="1"/>
  <c r="AI89" i="6" s="1"/>
  <c r="A89" i="6"/>
  <c r="AJ88" i="6"/>
  <c r="AL88" i="6" s="1"/>
  <c r="AN88" i="6" s="1"/>
  <c r="AE88" i="6"/>
  <c r="AG88" i="6" s="1"/>
  <c r="AI88" i="6" s="1"/>
  <c r="A88" i="6"/>
  <c r="AJ87" i="6"/>
  <c r="AL87" i="6" s="1"/>
  <c r="AN87" i="6" s="1"/>
  <c r="AE87" i="6"/>
  <c r="AG87" i="6" s="1"/>
  <c r="AI87" i="6" s="1"/>
  <c r="A87" i="6"/>
  <c r="AJ86" i="6"/>
  <c r="AL86" i="6" s="1"/>
  <c r="AN86" i="6" s="1"/>
  <c r="AE86" i="6"/>
  <c r="AG86" i="6" s="1"/>
  <c r="AI86" i="6" s="1"/>
  <c r="A86" i="6"/>
  <c r="AJ85" i="6"/>
  <c r="AL85" i="6" s="1"/>
  <c r="AN85" i="6" s="1"/>
  <c r="AE85" i="6"/>
  <c r="AG85" i="6" s="1"/>
  <c r="AI85" i="6" s="1"/>
  <c r="A85" i="6"/>
  <c r="AJ84" i="6"/>
  <c r="AL84" i="6" s="1"/>
  <c r="AN84" i="6" s="1"/>
  <c r="AE84" i="6"/>
  <c r="AG84" i="6" s="1"/>
  <c r="AI84" i="6" s="1"/>
  <c r="A84" i="6"/>
  <c r="AJ83" i="6"/>
  <c r="AL83" i="6" s="1"/>
  <c r="AN83" i="6" s="1"/>
  <c r="AE83" i="6"/>
  <c r="AG83" i="6" s="1"/>
  <c r="AI83" i="6" s="1"/>
  <c r="A83" i="6"/>
  <c r="AJ82" i="6"/>
  <c r="AL82" i="6" s="1"/>
  <c r="AN82" i="6" s="1"/>
  <c r="AE82" i="6"/>
  <c r="AG82" i="6" s="1"/>
  <c r="AI82" i="6" s="1"/>
  <c r="A82" i="6"/>
  <c r="AJ81" i="6"/>
  <c r="AL81" i="6" s="1"/>
  <c r="AN81" i="6" s="1"/>
  <c r="AE81" i="6"/>
  <c r="AG81" i="6" s="1"/>
  <c r="AI81" i="6" s="1"/>
  <c r="A81" i="6"/>
  <c r="AJ80" i="6"/>
  <c r="AL80" i="6" s="1"/>
  <c r="AN80" i="6" s="1"/>
  <c r="AE80" i="6"/>
  <c r="AG80" i="6" s="1"/>
  <c r="AI80" i="6" s="1"/>
  <c r="A80" i="6"/>
  <c r="AJ79" i="6"/>
  <c r="AL79" i="6" s="1"/>
  <c r="AN79" i="6" s="1"/>
  <c r="AE79" i="6"/>
  <c r="AG79" i="6" s="1"/>
  <c r="AI79" i="6" s="1"/>
  <c r="A79" i="6"/>
  <c r="AJ78" i="6"/>
  <c r="AL78" i="6" s="1"/>
  <c r="AN78" i="6" s="1"/>
  <c r="AE78" i="6"/>
  <c r="AG78" i="6" s="1"/>
  <c r="AI78" i="6" s="1"/>
  <c r="A78" i="6"/>
  <c r="AJ77" i="6"/>
  <c r="AL77" i="6" s="1"/>
  <c r="AN77" i="6" s="1"/>
  <c r="AE77" i="6"/>
  <c r="AG77" i="6" s="1"/>
  <c r="AI77" i="6" s="1"/>
  <c r="A77" i="6"/>
  <c r="AJ76" i="6"/>
  <c r="AL76" i="6" s="1"/>
  <c r="AN76" i="6" s="1"/>
  <c r="AE76" i="6"/>
  <c r="AG76" i="6" s="1"/>
  <c r="AI76" i="6" s="1"/>
  <c r="A76" i="6"/>
  <c r="AJ75" i="6"/>
  <c r="AL75" i="6" s="1"/>
  <c r="AN75" i="6" s="1"/>
  <c r="AE75" i="6"/>
  <c r="AG75" i="6" s="1"/>
  <c r="AI75" i="6" s="1"/>
  <c r="A75" i="6"/>
  <c r="AJ74" i="6"/>
  <c r="AL74" i="6" s="1"/>
  <c r="AN74" i="6" s="1"/>
  <c r="AE74" i="6"/>
  <c r="AG74" i="6" s="1"/>
  <c r="AI74" i="6" s="1"/>
  <c r="A74" i="6"/>
  <c r="AJ73" i="6"/>
  <c r="AL73" i="6" s="1"/>
  <c r="AN73" i="6" s="1"/>
  <c r="AE73" i="6"/>
  <c r="AG73" i="6" s="1"/>
  <c r="AI73" i="6" s="1"/>
  <c r="A73" i="6"/>
  <c r="AJ72" i="6"/>
  <c r="AL72" i="6" s="1"/>
  <c r="AN72" i="6" s="1"/>
  <c r="AE72" i="6"/>
  <c r="AG72" i="6" s="1"/>
  <c r="AI72" i="6" s="1"/>
  <c r="A72" i="6"/>
  <c r="AJ71" i="6"/>
  <c r="AL71" i="6" s="1"/>
  <c r="AN71" i="6" s="1"/>
  <c r="AE71" i="6"/>
  <c r="AG71" i="6" s="1"/>
  <c r="AI71" i="6" s="1"/>
  <c r="A71" i="6"/>
  <c r="AJ70" i="6"/>
  <c r="AL70" i="6" s="1"/>
  <c r="AN70" i="6" s="1"/>
  <c r="AE70" i="6"/>
  <c r="AG70" i="6" s="1"/>
  <c r="AI70" i="6" s="1"/>
  <c r="A70" i="6"/>
  <c r="AJ69" i="6"/>
  <c r="AL69" i="6" s="1"/>
  <c r="AN69" i="6" s="1"/>
  <c r="AE69" i="6"/>
  <c r="AG69" i="6" s="1"/>
  <c r="AI69" i="6" s="1"/>
  <c r="A69" i="6"/>
  <c r="AJ68" i="6"/>
  <c r="AL68" i="6" s="1"/>
  <c r="AN68" i="6" s="1"/>
  <c r="AE68" i="6"/>
  <c r="AG68" i="6" s="1"/>
  <c r="AI68" i="6" s="1"/>
  <c r="A68" i="6"/>
  <c r="AJ67" i="6"/>
  <c r="AL67" i="6" s="1"/>
  <c r="AN67" i="6" s="1"/>
  <c r="AE67" i="6"/>
  <c r="AG67" i="6" s="1"/>
  <c r="AI67" i="6" s="1"/>
  <c r="A67" i="6"/>
  <c r="AJ66" i="6"/>
  <c r="AL66" i="6" s="1"/>
  <c r="AN66" i="6" s="1"/>
  <c r="AE66" i="6"/>
  <c r="AG66" i="6" s="1"/>
  <c r="AI66" i="6" s="1"/>
  <c r="A66" i="6"/>
  <c r="AJ65" i="6"/>
  <c r="AL65" i="6" s="1"/>
  <c r="AN65" i="6" s="1"/>
  <c r="AE65" i="6"/>
  <c r="AG65" i="6" s="1"/>
  <c r="AI65" i="6" s="1"/>
  <c r="A65" i="6"/>
  <c r="AJ64" i="6"/>
  <c r="AL64" i="6" s="1"/>
  <c r="AN64" i="6" s="1"/>
  <c r="AE64" i="6"/>
  <c r="AG64" i="6" s="1"/>
  <c r="AI64" i="6" s="1"/>
  <c r="A64" i="6"/>
  <c r="AJ63" i="6"/>
  <c r="AL63" i="6" s="1"/>
  <c r="AN63" i="6" s="1"/>
  <c r="AE63" i="6"/>
  <c r="AG63" i="6" s="1"/>
  <c r="AI63" i="6" s="1"/>
  <c r="A63" i="6"/>
  <c r="AJ62" i="6"/>
  <c r="AL62" i="6" s="1"/>
  <c r="AN62" i="6" s="1"/>
  <c r="AE62" i="6"/>
  <c r="AG62" i="6" s="1"/>
  <c r="AI62" i="6" s="1"/>
  <c r="A62" i="6"/>
  <c r="AJ61" i="6"/>
  <c r="AL61" i="6" s="1"/>
  <c r="AN61" i="6" s="1"/>
  <c r="AE61" i="6"/>
  <c r="AG61" i="6" s="1"/>
  <c r="AI61" i="6" s="1"/>
  <c r="A61" i="6"/>
  <c r="AJ60" i="6"/>
  <c r="AL60" i="6" s="1"/>
  <c r="AN60" i="6" s="1"/>
  <c r="AE60" i="6"/>
  <c r="AG60" i="6" s="1"/>
  <c r="AI60" i="6" s="1"/>
  <c r="A60" i="6"/>
  <c r="AJ59" i="6"/>
  <c r="AL59" i="6" s="1"/>
  <c r="AN59" i="6" s="1"/>
  <c r="AE59" i="6"/>
  <c r="AG59" i="6" s="1"/>
  <c r="AI59" i="6" s="1"/>
  <c r="A59" i="6"/>
  <c r="AJ58" i="6"/>
  <c r="AL58" i="6" s="1"/>
  <c r="AN58" i="6" s="1"/>
  <c r="AE58" i="6"/>
  <c r="AG58" i="6" s="1"/>
  <c r="AI58" i="6" s="1"/>
  <c r="A58" i="6"/>
  <c r="AJ57" i="6"/>
  <c r="AL57" i="6" s="1"/>
  <c r="AN57" i="6" s="1"/>
  <c r="AE57" i="6"/>
  <c r="AG57" i="6" s="1"/>
  <c r="AI57" i="6" s="1"/>
  <c r="A57" i="6"/>
  <c r="AJ56" i="6"/>
  <c r="AL56" i="6" s="1"/>
  <c r="AN56" i="6" s="1"/>
  <c r="AE56" i="6"/>
  <c r="AG56" i="6" s="1"/>
  <c r="AI56" i="6" s="1"/>
  <c r="A56" i="6"/>
  <c r="AJ55" i="6"/>
  <c r="AL55" i="6" s="1"/>
  <c r="AN55" i="6" s="1"/>
  <c r="AE55" i="6"/>
  <c r="AG55" i="6" s="1"/>
  <c r="AI55" i="6" s="1"/>
  <c r="A55" i="6"/>
  <c r="AJ54" i="6"/>
  <c r="AL54" i="6" s="1"/>
  <c r="AN54" i="6" s="1"/>
  <c r="AE54" i="6"/>
  <c r="AG54" i="6" s="1"/>
  <c r="AI54" i="6" s="1"/>
  <c r="A54" i="6"/>
  <c r="AJ53" i="6"/>
  <c r="AL53" i="6" s="1"/>
  <c r="AN53" i="6" s="1"/>
  <c r="AE53" i="6"/>
  <c r="AG53" i="6" s="1"/>
  <c r="AI53" i="6" s="1"/>
  <c r="A53" i="6"/>
  <c r="AJ52" i="6"/>
  <c r="AL52" i="6" s="1"/>
  <c r="AN52" i="6" s="1"/>
  <c r="AE52" i="6"/>
  <c r="AG52" i="6" s="1"/>
  <c r="AI52" i="6" s="1"/>
  <c r="A52" i="6"/>
  <c r="AJ51" i="6"/>
  <c r="AL51" i="6" s="1"/>
  <c r="AN51" i="6" s="1"/>
  <c r="AE51" i="6"/>
  <c r="AG51" i="6" s="1"/>
  <c r="AI51" i="6" s="1"/>
  <c r="A51" i="6"/>
  <c r="AJ50" i="6"/>
  <c r="AL50" i="6" s="1"/>
  <c r="AN50" i="6" s="1"/>
  <c r="AE50" i="6"/>
  <c r="AG50" i="6" s="1"/>
  <c r="AI50" i="6" s="1"/>
  <c r="A50" i="6"/>
  <c r="AJ49" i="6"/>
  <c r="AL49" i="6" s="1"/>
  <c r="AN49" i="6" s="1"/>
  <c r="AE49" i="6"/>
  <c r="AG49" i="6" s="1"/>
  <c r="AI49" i="6" s="1"/>
  <c r="A49" i="6"/>
  <c r="AJ48" i="6"/>
  <c r="AL48" i="6" s="1"/>
  <c r="AN48" i="6" s="1"/>
  <c r="AE48" i="6"/>
  <c r="AG48" i="6" s="1"/>
  <c r="AI48" i="6" s="1"/>
  <c r="A48" i="6"/>
  <c r="AJ47" i="6"/>
  <c r="AL47" i="6" s="1"/>
  <c r="AN47" i="6" s="1"/>
  <c r="AE47" i="6"/>
  <c r="AG47" i="6" s="1"/>
  <c r="AI47" i="6" s="1"/>
  <c r="A47" i="6"/>
  <c r="AJ46" i="6"/>
  <c r="AL46" i="6" s="1"/>
  <c r="AN46" i="6" s="1"/>
  <c r="AE46" i="6"/>
  <c r="AG46" i="6" s="1"/>
  <c r="AI46" i="6" s="1"/>
  <c r="A46" i="6"/>
  <c r="AJ45" i="6"/>
  <c r="AL45" i="6" s="1"/>
  <c r="AN45" i="6" s="1"/>
  <c r="AE45" i="6"/>
  <c r="AG45" i="6" s="1"/>
  <c r="AI45" i="6" s="1"/>
  <c r="A45" i="6"/>
  <c r="AJ44" i="6"/>
  <c r="AL44" i="6" s="1"/>
  <c r="AN44" i="6" s="1"/>
  <c r="AE44" i="6"/>
  <c r="AG44" i="6" s="1"/>
  <c r="AI44" i="6" s="1"/>
  <c r="A44" i="6"/>
  <c r="AJ43" i="6"/>
  <c r="AL43" i="6" s="1"/>
  <c r="AN43" i="6" s="1"/>
  <c r="AE43" i="6"/>
  <c r="AG43" i="6" s="1"/>
  <c r="AI43" i="6" s="1"/>
  <c r="A43" i="6"/>
  <c r="AJ42" i="6"/>
  <c r="AL42" i="6" s="1"/>
  <c r="AN42" i="6" s="1"/>
  <c r="AE42" i="6"/>
  <c r="AG42" i="6" s="1"/>
  <c r="AI42" i="6" s="1"/>
  <c r="A42" i="6"/>
  <c r="M1" i="6"/>
  <c r="L1" i="6"/>
  <c r="K1" i="6"/>
  <c r="AO2" i="6"/>
  <c r="E1" i="6"/>
  <c r="L21" i="4"/>
  <c r="L20" i="4"/>
  <c r="L19" i="4"/>
  <c r="L18" i="4"/>
  <c r="L17" i="4"/>
  <c r="L16" i="4"/>
  <c r="L8" i="4"/>
  <c r="K8" i="4"/>
  <c r="F8" i="4"/>
  <c r="E8" i="4"/>
  <c r="D8" i="4"/>
  <c r="I7" i="4"/>
  <c r="C7" i="4"/>
  <c r="F6" i="4"/>
  <c r="P6" i="4" s="1"/>
  <c r="E6" i="4"/>
  <c r="O6" i="4" s="1"/>
  <c r="D6" i="4"/>
  <c r="F5" i="4"/>
  <c r="P5" i="4" s="1"/>
  <c r="E5" i="4"/>
  <c r="O5" i="4" s="1"/>
  <c r="D5" i="4"/>
  <c r="D7" i="4" s="1"/>
  <c r="F4" i="4"/>
  <c r="P4" i="4" s="1"/>
  <c r="E4" i="4"/>
  <c r="O4" i="4" s="1"/>
  <c r="D4" i="4"/>
  <c r="AI2" i="8" l="1"/>
  <c r="AN2" i="8"/>
  <c r="AI2" i="9"/>
  <c r="AN2" i="9"/>
  <c r="AP2" i="9" s="1"/>
  <c r="AP42" i="9"/>
  <c r="AP43" i="9"/>
  <c r="AI2" i="10"/>
  <c r="AN2" i="10"/>
  <c r="AP148" i="6"/>
  <c r="AP143" i="6"/>
  <c r="AN2" i="6"/>
  <c r="AP271" i="6"/>
  <c r="AP112" i="6"/>
  <c r="AP144" i="6"/>
  <c r="AP139" i="6"/>
  <c r="AP147" i="6"/>
  <c r="AP289" i="6"/>
  <c r="AP136" i="6"/>
  <c r="AP173" i="6"/>
  <c r="AP188" i="6"/>
  <c r="AP244" i="6"/>
  <c r="AP252" i="6"/>
  <c r="AP58" i="6"/>
  <c r="AP56" i="6"/>
  <c r="AP138" i="6"/>
  <c r="AP159" i="6"/>
  <c r="AP167" i="6"/>
  <c r="AP175" i="6"/>
  <c r="AI2" i="6"/>
  <c r="AP2" i="6" s="1"/>
  <c r="AP228" i="6"/>
  <c r="AP236" i="6"/>
  <c r="AP154" i="6"/>
  <c r="AP279" i="6"/>
  <c r="AP41" i="10"/>
  <c r="AP35" i="10"/>
  <c r="AP8" i="5"/>
  <c r="AP4" i="5"/>
  <c r="D9" i="4"/>
  <c r="AP5" i="5"/>
  <c r="AP9" i="5"/>
  <c r="AP13" i="5"/>
  <c r="AP15" i="5"/>
  <c r="AP88" i="6"/>
  <c r="AP142" i="6"/>
  <c r="AP160" i="6"/>
  <c r="AP239" i="6"/>
  <c r="AP255" i="6"/>
  <c r="O8" i="4"/>
  <c r="AP120" i="6"/>
  <c r="AP155" i="6"/>
  <c r="AP163" i="6"/>
  <c r="AP171" i="6"/>
  <c r="AP176" i="6"/>
  <c r="AN2" i="5"/>
  <c r="AP2" i="5" s="1"/>
  <c r="AP263" i="6"/>
  <c r="F9" i="4"/>
  <c r="P8" i="4"/>
  <c r="AP169" i="6"/>
  <c r="AP23" i="3"/>
  <c r="AP215" i="6"/>
  <c r="AP247" i="6"/>
  <c r="O7" i="4"/>
  <c r="AP146" i="6"/>
  <c r="AP156" i="6"/>
  <c r="AP164" i="6"/>
  <c r="AP177" i="6"/>
  <c r="AP243" i="6"/>
  <c r="AN2" i="3"/>
  <c r="AP2" i="3" s="1"/>
  <c r="AI2" i="1"/>
  <c r="AP135" i="6"/>
  <c r="E7" i="4"/>
  <c r="E9" i="4" s="1"/>
  <c r="AP151" i="6"/>
  <c r="AP4" i="3"/>
  <c r="AP6" i="3"/>
  <c r="AP22" i="3"/>
  <c r="AP31" i="3"/>
  <c r="F7" i="4"/>
  <c r="AP165" i="6"/>
  <c r="AN2" i="1"/>
  <c r="AP268" i="6"/>
  <c r="AP276" i="6"/>
  <c r="AP284" i="6"/>
  <c r="AP24" i="10"/>
  <c r="AP80" i="6"/>
  <c r="AP72" i="6"/>
  <c r="AP104" i="6"/>
  <c r="AP64" i="6"/>
  <c r="AP128" i="6"/>
  <c r="AP61" i="6"/>
  <c r="AP69" i="6"/>
  <c r="AP77" i="6"/>
  <c r="AP85" i="6"/>
  <c r="AP93" i="6"/>
  <c r="AP101" i="6"/>
  <c r="AP109" i="6"/>
  <c r="AP117" i="6"/>
  <c r="AP125" i="6"/>
  <c r="AP133" i="6"/>
  <c r="AP166" i="6"/>
  <c r="AP180" i="6"/>
  <c r="AP196" i="6"/>
  <c r="AP223" i="6"/>
  <c r="AP231" i="6"/>
  <c r="AP287" i="6"/>
  <c r="AP66" i="6"/>
  <c r="AP74" i="6"/>
  <c r="AP82" i="6"/>
  <c r="AP98" i="6"/>
  <c r="AP106" i="6"/>
  <c r="AP122" i="6"/>
  <c r="AP204" i="6"/>
  <c r="AP210" i="6"/>
  <c r="AP90" i="6"/>
  <c r="AP114" i="6"/>
  <c r="AP130" i="6"/>
  <c r="AP153" i="6"/>
  <c r="AP162" i="6"/>
  <c r="AP208" i="6"/>
  <c r="AP140" i="6"/>
  <c r="AP206" i="6"/>
  <c r="AP134" i="6"/>
  <c r="AP145" i="6"/>
  <c r="AP149" i="6"/>
  <c r="AP158" i="6"/>
  <c r="AP174" i="6"/>
  <c r="AP184" i="6"/>
  <c r="AP192" i="6"/>
  <c r="AP200" i="6"/>
  <c r="AP203" i="6"/>
  <c r="AP219" i="6"/>
  <c r="AP227" i="6"/>
  <c r="AP172" i="6"/>
  <c r="AP137" i="6"/>
  <c r="AP141" i="6"/>
  <c r="AP170" i="6"/>
  <c r="AP182" i="6"/>
  <c r="AP190" i="6"/>
  <c r="AP198" i="6"/>
  <c r="AP217" i="6"/>
  <c r="AP225" i="6"/>
  <c r="AP241" i="6"/>
  <c r="F11" i="4"/>
  <c r="AP150" i="6"/>
  <c r="AP152" i="6"/>
  <c r="AP168" i="6"/>
  <c r="AP185" i="6"/>
  <c r="AP193" i="6"/>
  <c r="AP201" i="6"/>
  <c r="AP212" i="6"/>
  <c r="AP220" i="6"/>
  <c r="AP260" i="6"/>
  <c r="AP21" i="10"/>
  <c r="AP38" i="10"/>
  <c r="AP12" i="10"/>
  <c r="AP26" i="10"/>
  <c r="AP20" i="10"/>
  <c r="AP36" i="10"/>
  <c r="AP32" i="10"/>
  <c r="AP35" i="9"/>
  <c r="AP38" i="9"/>
  <c r="AP42" i="6"/>
  <c r="AP50" i="6"/>
  <c r="AP63" i="6"/>
  <c r="AP71" i="6"/>
  <c r="AP79" i="6"/>
  <c r="AP87" i="6"/>
  <c r="AP95" i="6"/>
  <c r="AP103" i="6"/>
  <c r="AP111" i="6"/>
  <c r="AP119" i="6"/>
  <c r="AP127" i="6"/>
  <c r="AP54" i="6"/>
  <c r="AP68" i="6"/>
  <c r="AP84" i="6"/>
  <c r="AP92" i="6"/>
  <c r="AP100" i="6"/>
  <c r="AP108" i="6"/>
  <c r="AP116" i="6"/>
  <c r="AP124" i="6"/>
  <c r="AP132" i="6"/>
  <c r="AP48" i="6"/>
  <c r="AP76" i="6"/>
  <c r="AP65" i="6"/>
  <c r="AP73" i="6"/>
  <c r="AP81" i="6"/>
  <c r="AP89" i="6"/>
  <c r="AP97" i="6"/>
  <c r="AP105" i="6"/>
  <c r="AP113" i="6"/>
  <c r="AP121" i="6"/>
  <c r="AP129" i="6"/>
  <c r="AP46" i="6"/>
  <c r="AP45" i="6"/>
  <c r="AP49" i="6"/>
  <c r="AP53" i="6"/>
  <c r="AP55" i="6"/>
  <c r="AP57" i="6"/>
  <c r="AP62" i="6"/>
  <c r="AP70" i="6"/>
  <c r="AP78" i="6"/>
  <c r="AP86" i="6"/>
  <c r="AP94" i="6"/>
  <c r="AP102" i="6"/>
  <c r="AP110" i="6"/>
  <c r="AP118" i="6"/>
  <c r="AP126" i="6"/>
  <c r="AP44" i="6"/>
  <c r="AP52" i="6"/>
  <c r="AP60" i="6"/>
  <c r="AP43" i="6"/>
  <c r="AP47" i="6"/>
  <c r="AP51" i="6"/>
  <c r="AP59" i="6"/>
  <c r="AP67" i="6"/>
  <c r="AP75" i="6"/>
  <c r="AP83" i="6"/>
  <c r="AP91" i="6"/>
  <c r="AP99" i="6"/>
  <c r="AP107" i="6"/>
  <c r="AP115" i="6"/>
  <c r="AP123" i="6"/>
  <c r="AP131" i="6"/>
  <c r="AP183" i="6"/>
  <c r="AP191" i="6"/>
  <c r="AP199" i="6"/>
  <c r="AP178" i="6"/>
  <c r="AP186" i="6"/>
  <c r="AP194" i="6"/>
  <c r="AP202" i="6"/>
  <c r="D11" i="4"/>
  <c r="AP181" i="6"/>
  <c r="AP189" i="6"/>
  <c r="AP197" i="6"/>
  <c r="AP179" i="6"/>
  <c r="AP187" i="6"/>
  <c r="AP195" i="6"/>
  <c r="AP218" i="6"/>
  <c r="AP226" i="6"/>
  <c r="AP234" i="6"/>
  <c r="AP242" i="6"/>
  <c r="AP250" i="6"/>
  <c r="AP258" i="6"/>
  <c r="AP266" i="6"/>
  <c r="AP274" i="6"/>
  <c r="AP282" i="6"/>
  <c r="AP213" i="6"/>
  <c r="AP221" i="6"/>
  <c r="AP229" i="6"/>
  <c r="AP237" i="6"/>
  <c r="AP245" i="6"/>
  <c r="AP253" i="6"/>
  <c r="AP261" i="6"/>
  <c r="AP269" i="6"/>
  <c r="AP277" i="6"/>
  <c r="AP285" i="6"/>
  <c r="AP216" i="6"/>
  <c r="AP224" i="6"/>
  <c r="AP232" i="6"/>
  <c r="AP240" i="6"/>
  <c r="AP248" i="6"/>
  <c r="AP256" i="6"/>
  <c r="AP264" i="6"/>
  <c r="AP272" i="6"/>
  <c r="AP280" i="6"/>
  <c r="AP288" i="6"/>
  <c r="AP205" i="6"/>
  <c r="AP207" i="6"/>
  <c r="AP209" i="6"/>
  <c r="AP211" i="6"/>
  <c r="AP235" i="6"/>
  <c r="AP251" i="6"/>
  <c r="AP259" i="6"/>
  <c r="AP267" i="6"/>
  <c r="AP275" i="6"/>
  <c r="AP283" i="6"/>
  <c r="AP214" i="6"/>
  <c r="AP222" i="6"/>
  <c r="AP230" i="6"/>
  <c r="AP238" i="6"/>
  <c r="AP246" i="6"/>
  <c r="AP254" i="6"/>
  <c r="AP262" i="6"/>
  <c r="AP270" i="6"/>
  <c r="AP278" i="6"/>
  <c r="AP286" i="6"/>
  <c r="AP233" i="6"/>
  <c r="AP34" i="10"/>
  <c r="AP11" i="10"/>
  <c r="AP43" i="10"/>
  <c r="AP30" i="10"/>
  <c r="AP40" i="10"/>
  <c r="AP9" i="10"/>
  <c r="AP5" i="10"/>
  <c r="AP33" i="10"/>
  <c r="AP22" i="10"/>
  <c r="AP27" i="10"/>
  <c r="AP42" i="10"/>
  <c r="AP37" i="10"/>
  <c r="AP19" i="10"/>
  <c r="AP39" i="10"/>
  <c r="AP31" i="10"/>
  <c r="AP18" i="10"/>
  <c r="AP28" i="10"/>
  <c r="AP25" i="10"/>
  <c r="AP23" i="10"/>
  <c r="AP29" i="10"/>
  <c r="L22" i="4"/>
  <c r="AP50" i="9"/>
  <c r="AP34" i="9"/>
  <c r="AP57" i="9"/>
  <c r="AP46" i="9"/>
  <c r="AP48" i="9"/>
  <c r="AP44" i="9"/>
  <c r="AP45" i="9"/>
  <c r="AP47" i="9"/>
  <c r="AP49" i="9"/>
  <c r="AP41" i="9"/>
  <c r="AP40" i="9"/>
  <c r="AP39" i="9"/>
  <c r="AP32" i="9"/>
  <c r="AP37" i="9"/>
  <c r="AP36" i="9"/>
  <c r="AP8" i="8"/>
  <c r="AP40" i="8"/>
  <c r="AP48" i="8"/>
  <c r="AP9" i="8"/>
  <c r="AP44" i="8"/>
  <c r="AP52" i="8"/>
  <c r="AP39" i="8"/>
  <c r="AP7" i="8"/>
  <c r="AP38" i="8"/>
  <c r="AP4" i="8"/>
  <c r="AP46" i="8"/>
  <c r="AP47" i="8"/>
  <c r="AP33" i="9"/>
  <c r="AP42" i="8"/>
  <c r="AP20" i="8"/>
  <c r="AP27" i="8"/>
  <c r="AP28" i="8"/>
  <c r="AP31" i="8"/>
  <c r="AP33" i="8"/>
  <c r="AP35" i="8"/>
  <c r="AP37" i="8"/>
  <c r="AP45" i="8"/>
  <c r="AP16" i="8"/>
  <c r="AP43" i="8"/>
  <c r="AP51" i="8"/>
  <c r="AP25" i="8"/>
  <c r="AP29" i="8"/>
  <c r="AP26" i="8"/>
  <c r="AP30" i="8"/>
  <c r="AP32" i="8"/>
  <c r="AP34" i="8"/>
  <c r="AP36" i="8"/>
  <c r="AP41" i="8"/>
  <c r="AP49" i="8"/>
  <c r="AP50" i="8"/>
  <c r="AP2" i="8" l="1"/>
  <c r="AP2" i="10"/>
  <c r="O9" i="4"/>
  <c r="E11" i="4"/>
  <c r="AP2" i="1"/>
  <c r="P7" i="4"/>
  <c r="P9" i="4" s="1"/>
  <c r="J7" i="4"/>
  <c r="J9" i="4" s="1"/>
  <c r="K7" i="4"/>
  <c r="K9" i="4" s="1"/>
  <c r="L7" i="4"/>
  <c r="L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Salum</author>
  </authors>
  <commentList>
    <comment ref="C4" authorId="0" shapeId="0" xr:uid="{A038231B-81B5-425A-ACC5-9EF93455D11D}">
      <text>
        <r>
          <rPr>
            <b/>
            <sz val="9"/>
            <color indexed="81"/>
            <rFont val="Tahoma"/>
            <family val="2"/>
          </rPr>
          <t xml:space="preserve">Domtila
5 rebags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 shapeId="0" xr:uid="{781B887A-154B-426A-973F-3A31EC708F3E}">
      <text>
        <r>
          <rPr>
            <b/>
            <sz val="9"/>
            <color indexed="81"/>
            <rFont val="Tahoma"/>
            <family val="2"/>
          </rPr>
          <t>Domtila</t>
        </r>
        <r>
          <rPr>
            <sz val="9"/>
            <color indexed="81"/>
            <rFont val="Tahoma"/>
            <family val="2"/>
          </rPr>
          <t xml:space="preserve">
8 rebags
</t>
        </r>
      </text>
    </comment>
    <comment ref="C12" authorId="0" shapeId="0" xr:uid="{6509286E-EF11-42BA-88D2-E5FEEA9E7C4F}">
      <text>
        <r>
          <rPr>
            <b/>
            <sz val="9"/>
            <color indexed="81"/>
            <rFont val="Tahoma"/>
            <family val="2"/>
          </rPr>
          <t>Domtila 
9 rebags</t>
        </r>
      </text>
    </comment>
    <comment ref="C17" authorId="0" shapeId="0" xr:uid="{2314A9EA-7A12-40CA-9E29-6A8671FB99AA}">
      <text>
        <r>
          <rPr>
            <b/>
            <sz val="9"/>
            <color indexed="81"/>
            <rFont val="Tahoma"/>
            <family val="2"/>
          </rPr>
          <t>Domtila 
2rebags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 xr:uid="{363B8610-F38F-49EE-97F5-F12AE20DAB55}">
      <text>
        <r>
          <rPr>
            <b/>
            <sz val="9"/>
            <color indexed="81"/>
            <rFont val="Tahoma"/>
            <family val="2"/>
          </rPr>
          <t>Domtila:
5 bags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F0EC7CB6-E527-4EFB-8F3A-0004EDE86928}">
      <text>
        <r>
          <rPr>
            <b/>
            <sz val="9"/>
            <color indexed="81"/>
            <rFont val="Tahoma"/>
            <family val="2"/>
          </rPr>
          <t>Domtila;
5 bags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Salum</author>
  </authors>
  <commentList>
    <comment ref="C9" authorId="0" shapeId="0" xr:uid="{8C2EC238-EDF5-4348-A081-89111299162F}">
      <text>
        <r>
          <rPr>
            <b/>
            <sz val="9"/>
            <color indexed="81"/>
            <rFont val="Tahoma"/>
            <family val="2"/>
          </rPr>
          <t xml:space="preserve">Domtila
5rebags,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<sst xmlns="http://schemas.openxmlformats.org/spreadsheetml/2006/main" count="6307" uniqueCount="874">
  <si>
    <t>Summary Report - BC RAEDA 1A</t>
  </si>
  <si>
    <t>Summary Report - BC RAEDA 1B</t>
  </si>
  <si>
    <t>Type</t>
  </si>
  <si>
    <t>No of Trucks Released from WH</t>
  </si>
  <si>
    <t>Bags</t>
  </si>
  <si>
    <t>Net</t>
  </si>
  <si>
    <t>Gross</t>
  </si>
  <si>
    <t xml:space="preserve">DESTINATION </t>
  </si>
  <si>
    <t>NET</t>
  </si>
  <si>
    <t>GROSS</t>
  </si>
  <si>
    <t>Pumpi - 1A</t>
  </si>
  <si>
    <t>Pumpi - 1B</t>
  </si>
  <si>
    <t>PUMPI</t>
  </si>
  <si>
    <t>Likasi - 1A</t>
  </si>
  <si>
    <t>Likasi - 1B</t>
  </si>
  <si>
    <t>LIKASI</t>
  </si>
  <si>
    <t>Kolwezi - 1A</t>
  </si>
  <si>
    <t>Kolwezi - 1B</t>
  </si>
  <si>
    <t>KOLWEZI</t>
  </si>
  <si>
    <t>Total uplifted</t>
  </si>
  <si>
    <t>TOTAL UPLIFTED</t>
  </si>
  <si>
    <t>As per BoL -1A</t>
  </si>
  <si>
    <t>AS PER BL</t>
  </si>
  <si>
    <t>Stock in WH</t>
  </si>
  <si>
    <t>DIFFERENCE</t>
  </si>
  <si>
    <t>Difference</t>
  </si>
  <si>
    <t xml:space="preserve">BC RAEDA </t>
  </si>
  <si>
    <t>BL</t>
  </si>
  <si>
    <t>waiting to release Dar</t>
  </si>
  <si>
    <t xml:space="preserve">In -Transit TZ </t>
  </si>
  <si>
    <t xml:space="preserve">At Tunduma </t>
  </si>
  <si>
    <t>At Nakonde</t>
  </si>
  <si>
    <t xml:space="preserve">In -Transit Zambia </t>
  </si>
  <si>
    <t>At K-lesa Borders</t>
  </si>
  <si>
    <t>In transit DRC</t>
  </si>
  <si>
    <t xml:space="preserve">Waiting to Offload </t>
  </si>
  <si>
    <t>Offloaded</t>
  </si>
  <si>
    <t>Total</t>
  </si>
  <si>
    <t>1A Likasi</t>
  </si>
  <si>
    <t>1A kolwezi</t>
  </si>
  <si>
    <t>1A Pumpi</t>
  </si>
  <si>
    <t>1B Likasi</t>
  </si>
  <si>
    <t>1B Kolwezi</t>
  </si>
  <si>
    <t>1B Pumpi</t>
  </si>
  <si>
    <t>DAILY TRACKING REPORT - FORWARDING</t>
  </si>
  <si>
    <t>BC RAEDA</t>
  </si>
  <si>
    <t xml:space="preserve">H-DAN  </t>
  </si>
  <si>
    <t>GT OCEAN TRANSPORTATION LIMITED</t>
  </si>
  <si>
    <t>Total Amount</t>
  </si>
  <si>
    <t>序号</t>
  </si>
  <si>
    <t>提单号</t>
  </si>
  <si>
    <t>卡车牌号</t>
  </si>
  <si>
    <t>拖车牌号</t>
  </si>
  <si>
    <t>司机姓名</t>
  </si>
  <si>
    <t>目的地</t>
  </si>
  <si>
    <t>当前位置</t>
  </si>
  <si>
    <t>吨袋/bags</t>
  </si>
  <si>
    <t>净重/N.W.</t>
  </si>
  <si>
    <t>毛重/G.W.</t>
  </si>
  <si>
    <t>文件接收</t>
  </si>
  <si>
    <t>船司</t>
  </si>
  <si>
    <t>船名</t>
  </si>
  <si>
    <t>预计抵港</t>
  </si>
  <si>
    <t>实际靠泊</t>
  </si>
  <si>
    <t>船司放行</t>
  </si>
  <si>
    <t>装运时间</t>
  </si>
  <si>
    <t>起运时间</t>
  </si>
  <si>
    <t>到达TUNDUMA</t>
  </si>
  <si>
    <t>NAKONDE出发</t>
  </si>
  <si>
    <t>到达卡松ZAMBIA</t>
  </si>
  <si>
    <t>卡松ZAMBIA出发</t>
  </si>
  <si>
    <t>到达卡松DRC</t>
  </si>
  <si>
    <t>卡松出发DRC</t>
  </si>
  <si>
    <t>到达目的地</t>
  </si>
  <si>
    <t>卸货时间</t>
  </si>
  <si>
    <t>备注</t>
  </si>
  <si>
    <t>Border Delays</t>
  </si>
  <si>
    <t>Offloading Delays</t>
  </si>
  <si>
    <t>No.</t>
  </si>
  <si>
    <t>B/L</t>
  </si>
  <si>
    <t>TRUCK
NUMBER</t>
  </si>
  <si>
    <t>TRAILER 
NUMBER</t>
  </si>
  <si>
    <t>DRIVER
NAME</t>
  </si>
  <si>
    <t>FINAL
DESTINATION</t>
  </si>
  <si>
    <t>TRUCK POSITION</t>
  </si>
  <si>
    <t>HDAN</t>
  </si>
  <si>
    <t>DOCUMENTS RECEIVED</t>
  </si>
  <si>
    <t>SHIPPING
LINE</t>
  </si>
  <si>
    <t>VESSEL</t>
  </si>
  <si>
    <t>ETA</t>
  </si>
  <si>
    <t>ATB</t>
  </si>
  <si>
    <t>LINE RELEASE</t>
  </si>
  <si>
    <t>DATE LOADED</t>
  </si>
  <si>
    <t>DISPATCH DATE</t>
  </si>
  <si>
    <t>ARRIVED TUNDUMA BORDER</t>
  </si>
  <si>
    <t>DEPARTED
NAKONDE</t>
  </si>
  <si>
    <t xml:space="preserve">K-LESA ZAMBIA ARRIVED  </t>
  </si>
  <si>
    <t>K-LESA ZAMBIA DEPARTED</t>
  </si>
  <si>
    <t xml:space="preserve">K-LESA DRC ARRIVED  </t>
  </si>
  <si>
    <t>K-LESA DRC DEPARTED</t>
  </si>
  <si>
    <t>L-MBASHI ARRIVED</t>
  </si>
  <si>
    <t>DEPARTED L-MBASHI</t>
  </si>
  <si>
    <t>ARRIVED DESTINATION</t>
  </si>
  <si>
    <t>OFFLOADED</t>
  </si>
  <si>
    <t>COMMENTS</t>
  </si>
  <si>
    <t>Border  Days</t>
  </si>
  <si>
    <t>Free days</t>
  </si>
  <si>
    <t>Chargable Days</t>
  </si>
  <si>
    <t>Chargable Rate</t>
  </si>
  <si>
    <t>Border Delays Amt</t>
  </si>
  <si>
    <t>Offloading Days</t>
  </si>
  <si>
    <t>Offloading Delays Amt</t>
  </si>
  <si>
    <t>Parking Charges Amount</t>
  </si>
  <si>
    <t>TOTAL</t>
  </si>
  <si>
    <t>1B</t>
  </si>
  <si>
    <t>T797DRY</t>
  </si>
  <si>
    <t>T262DTD</t>
  </si>
  <si>
    <t>EMMANUEL PAUL MAKOYE</t>
  </si>
  <si>
    <t xml:space="preserve">SICODEX KOLWEZI </t>
  </si>
  <si>
    <t xml:space="preserve">CFS VINGUNGUTI </t>
  </si>
  <si>
    <t>AN-HDAN</t>
  </si>
  <si>
    <t>ESL</t>
  </si>
  <si>
    <t>BC Raeda</t>
  </si>
  <si>
    <t xml:space="preserve">Loaded waiting release </t>
  </si>
  <si>
    <t>T292DRM</t>
  </si>
  <si>
    <t>T978BXK</t>
  </si>
  <si>
    <t>IDDI TITUSI MKENGE</t>
  </si>
  <si>
    <t>T856DVK</t>
  </si>
  <si>
    <t>T439DBY</t>
  </si>
  <si>
    <t>HATIBU HAMADI KAMOTE</t>
  </si>
  <si>
    <t>T157EES</t>
  </si>
  <si>
    <t>T351EGE</t>
  </si>
  <si>
    <t>ATHUMANI SHABANI MILLONDOMO</t>
  </si>
  <si>
    <t>T767EAE</t>
  </si>
  <si>
    <t>T473DAA-T573DTR</t>
  </si>
  <si>
    <t xml:space="preserve">KOKOYO ALFAN LAWA </t>
  </si>
  <si>
    <t>T722BVB</t>
  </si>
  <si>
    <t>T416EFX-T201EFX</t>
  </si>
  <si>
    <t>ABDALAH OMARI MATAKA</t>
  </si>
  <si>
    <t>T467DZH</t>
  </si>
  <si>
    <t>T199DZH-T906DZG</t>
  </si>
  <si>
    <t>MARTIN DEVILLIER JAPANIS</t>
  </si>
  <si>
    <t>T207DYR</t>
  </si>
  <si>
    <t>T742BAK-T567DTR</t>
  </si>
  <si>
    <t>EDGAR FRANCIS LALISA</t>
  </si>
  <si>
    <t>T361EFR</t>
  </si>
  <si>
    <t>T436CRA-T511EFH</t>
  </si>
  <si>
    <t>JEREMIAH MASALA ALPHONCE</t>
  </si>
  <si>
    <t>T606DPW</t>
  </si>
  <si>
    <t>T182DED</t>
  </si>
  <si>
    <t>SHABANI SIASA NGOCHELA</t>
  </si>
  <si>
    <t>T446EFR</t>
  </si>
  <si>
    <t>T508ELF-T284EMP</t>
  </si>
  <si>
    <t>ADAM NASSORO CHARLES</t>
  </si>
  <si>
    <t>T418BXV</t>
  </si>
  <si>
    <t>T196BED-T677EFH</t>
  </si>
  <si>
    <t>JOSHUA BROWN NZAVIKE</t>
  </si>
  <si>
    <t>T206DYR</t>
  </si>
  <si>
    <t>T718DEG-T569DTR</t>
  </si>
  <si>
    <t>BAKARI KARATA AYUBU</t>
  </si>
  <si>
    <t>T348DWZ</t>
  </si>
  <si>
    <t>T540BWU-T271ELA</t>
  </si>
  <si>
    <t>ALLY ABDALLAH RASHID</t>
  </si>
  <si>
    <t>T717DMS</t>
  </si>
  <si>
    <t>T246DQD-T511DQD</t>
  </si>
  <si>
    <t>IDD MATAYI SABO</t>
  </si>
  <si>
    <t>T904ECV</t>
  </si>
  <si>
    <t>T717DEG</t>
  </si>
  <si>
    <t>BAKARI SALIM BAKARI</t>
  </si>
  <si>
    <t>T712DMS</t>
  </si>
  <si>
    <t>T494AUU-T389DSM</t>
  </si>
  <si>
    <t>ADAM SAID SHABANI</t>
  </si>
  <si>
    <t>T298DRF</t>
  </si>
  <si>
    <t>T399DRY</t>
  </si>
  <si>
    <t>ADOLF PAUL KILIMANJARO</t>
  </si>
  <si>
    <t>T610CKK</t>
  </si>
  <si>
    <t>T977BQX-T519EFH</t>
  </si>
  <si>
    <t>YUSUFU CLEMENT MUGOO</t>
  </si>
  <si>
    <t>T567ENQ</t>
  </si>
  <si>
    <t>T237EFX-T408EFX</t>
  </si>
  <si>
    <t>ROBINSON MKANDAWILE KASSIAN</t>
  </si>
  <si>
    <t>T859DVK</t>
  </si>
  <si>
    <t>T495DCA</t>
  </si>
  <si>
    <t>GABON KALUGE  MASALE</t>
  </si>
  <si>
    <t xml:space="preserve">Loaded Waiting release </t>
  </si>
  <si>
    <t>T160EES</t>
  </si>
  <si>
    <t>T730BAK-T539EFH</t>
  </si>
  <si>
    <t>HUSSEIN SALEH MGENI</t>
  </si>
  <si>
    <t>T134EES</t>
  </si>
  <si>
    <t>T695EHV-T262EMP</t>
  </si>
  <si>
    <t>HAMISI SALUMU MAGOMBEKA</t>
  </si>
  <si>
    <t>T873DRL</t>
  </si>
  <si>
    <t>T478CRA</t>
  </si>
  <si>
    <t>CASTORY HENRY MWILAPWA</t>
  </si>
  <si>
    <t>T579DMJ</t>
  </si>
  <si>
    <t>T486BCE-T123DUG</t>
  </si>
  <si>
    <t>AMBLOZI ZENO NKOSWE</t>
  </si>
  <si>
    <t>T596CJT</t>
  </si>
  <si>
    <t>T113BFS-T198EMP</t>
  </si>
  <si>
    <t>PASCHAL JANGSON MWAIPOPO</t>
  </si>
  <si>
    <t>T356DWZ</t>
  </si>
  <si>
    <t>T618DXS-T619DXS</t>
  </si>
  <si>
    <t>BASILIUS JOHN BANDA</t>
  </si>
  <si>
    <t>T704DRY</t>
  </si>
  <si>
    <t>T437DBY</t>
  </si>
  <si>
    <t>EVODY ANTONI PASTORY</t>
  </si>
  <si>
    <t>T362EFR</t>
  </si>
  <si>
    <t>T864CTU-T269ELA</t>
  </si>
  <si>
    <t>MUSTAFA MWIDINI WAKATI</t>
  </si>
  <si>
    <t>T659CJT</t>
  </si>
  <si>
    <t>T187BUF-T229EMP</t>
  </si>
  <si>
    <t>MLOWE MAIKO BENJAMIN</t>
  </si>
  <si>
    <t>T273CUN</t>
  </si>
  <si>
    <t>T387BXG-T619EFH</t>
  </si>
  <si>
    <t>NICHOLAS GWALUSAKO MWAKALEBELA</t>
  </si>
  <si>
    <t>LIKASI /SICODEX</t>
  </si>
  <si>
    <t>T709DMS</t>
  </si>
  <si>
    <t>T221DQD-T512DQD</t>
  </si>
  <si>
    <t>ALAMINI SADICK OMARY</t>
  </si>
  <si>
    <t>T141EES</t>
  </si>
  <si>
    <t>T998ANZ</t>
  </si>
  <si>
    <t>SHUKURU OMARY FUNUA</t>
  </si>
  <si>
    <t>T208DYR</t>
  </si>
  <si>
    <t>T213DEG-T574DTR</t>
  </si>
  <si>
    <t>RAMADHANI STEVEN KIMARO</t>
  </si>
  <si>
    <t>T459DZH</t>
  </si>
  <si>
    <t>T190BUF-T256EMM</t>
  </si>
  <si>
    <t>SAMBAI EMMANUEL JIHILA</t>
  </si>
  <si>
    <t>T327DWZ</t>
  </si>
  <si>
    <t>T208DSK</t>
  </si>
  <si>
    <t>JUMA KHALFANI SEMINDU</t>
  </si>
  <si>
    <t>T703BVB</t>
  </si>
  <si>
    <t>T254ARR-T230EMM</t>
  </si>
  <si>
    <t>SAID RASHIDI PAZI</t>
  </si>
  <si>
    <t>T585DMJ</t>
  </si>
  <si>
    <t>T709BMY-T965DWJ</t>
  </si>
  <si>
    <t>ALLY HUSSEIN NG'OMBO</t>
  </si>
  <si>
    <t>T516DQH</t>
  </si>
  <si>
    <t>T969ASG</t>
  </si>
  <si>
    <t>IBRAHIM ADAM IBRAHIM  </t>
  </si>
  <si>
    <t>T520BXN</t>
  </si>
  <si>
    <t>T144CTH-T274ELA</t>
  </si>
  <si>
    <t>FAIDHAL IAN SHUNDI</t>
  </si>
  <si>
    <t>T715DMS</t>
  </si>
  <si>
    <t>T249DQD-T514DQD</t>
  </si>
  <si>
    <t>ANTHONY ALLEN LUKINDO</t>
  </si>
  <si>
    <t>T373BVZ</t>
  </si>
  <si>
    <t>T650AVR-T234EMP</t>
  </si>
  <si>
    <t>RAJAB HUSSEIN ALLY</t>
  </si>
  <si>
    <t>T942DEY</t>
  </si>
  <si>
    <t>T343DGN</t>
  </si>
  <si>
    <t>PHILIPO ANYINGISYE MWANYINGILI</t>
  </si>
  <si>
    <t>T463DZH</t>
  </si>
  <si>
    <t>T340EBB-T569EBB</t>
  </si>
  <si>
    <t>JOSEPH NICODEMAS HOSEA</t>
  </si>
  <si>
    <t>T663DQF</t>
  </si>
  <si>
    <t>T881DQF-T882DQF</t>
  </si>
  <si>
    <t>KALIMU MASUDI KANZEMBE</t>
  </si>
  <si>
    <t>T432BVZ</t>
  </si>
  <si>
    <t>T748CVC-T246EMP</t>
  </si>
  <si>
    <t>HAMIS RASHID MIHAYO</t>
  </si>
  <si>
    <t>T255CVP</t>
  </si>
  <si>
    <t>T874CTU-T617EFH</t>
  </si>
  <si>
    <t>ABDALAH MASUDI ABDALAH</t>
  </si>
  <si>
    <t>T635BVP</t>
  </si>
  <si>
    <t>T777AXN-T285EMP</t>
  </si>
  <si>
    <t>EMMANUEL LEARNSON NJOWELA</t>
  </si>
  <si>
    <t>MBALA TZ</t>
  </si>
  <si>
    <t xml:space="preserve">In Transit </t>
  </si>
  <si>
    <t>T218EES</t>
  </si>
  <si>
    <t>T349EGE</t>
  </si>
  <si>
    <t>ABRAHAM KATINA SHIJA</t>
  </si>
  <si>
    <t>T580DMJ</t>
  </si>
  <si>
    <t>T735BAK-T935DWJ</t>
  </si>
  <si>
    <t>SEKO PAULO LUPEMBA</t>
  </si>
  <si>
    <t>T297EJA</t>
  </si>
  <si>
    <t>T151EHW-TT252EMP</t>
  </si>
  <si>
    <t>ABDALLAH ATHUMANI ALLY</t>
  </si>
  <si>
    <t>T657BZY</t>
  </si>
  <si>
    <t>T401BJE</t>
  </si>
  <si>
    <t>ELIAKIMU JUMA SAID</t>
  </si>
  <si>
    <t>T872EBS</t>
  </si>
  <si>
    <t>T966EBC-T550EBB</t>
  </si>
  <si>
    <t>ABDALLAH HAMIS OMARY</t>
  </si>
  <si>
    <t>T462DZH</t>
  </si>
  <si>
    <t>T200CVF-T212EMM</t>
  </si>
  <si>
    <t>JUMA BAKARI ALLY</t>
  </si>
  <si>
    <t>T350DWZ</t>
  </si>
  <si>
    <t>T645CKC-T581DTR</t>
  </si>
  <si>
    <t>MAKWAYA ATHUMANI MLUNDI</t>
  </si>
  <si>
    <t>T307CVN</t>
  </si>
  <si>
    <t>T508BWD-T930DWJ</t>
  </si>
  <si>
    <t>AHMED MUSHITAK MAWJI</t>
  </si>
  <si>
    <t>T539BXN</t>
  </si>
  <si>
    <t>T971CFD-T729EFH</t>
  </si>
  <si>
    <t>DAUDI DAMAS MWAPENDA</t>
  </si>
  <si>
    <t>T334DWZ</t>
  </si>
  <si>
    <t>T517AUU-T936DWJ</t>
  </si>
  <si>
    <t>WAZIRI SALEHE MWADEGU</t>
  </si>
  <si>
    <t>T586DMJ</t>
  </si>
  <si>
    <t>T287BED-T960DWJ</t>
  </si>
  <si>
    <t>SILAS  JONAS MAGAMBO</t>
  </si>
  <si>
    <t>T578DMJ</t>
  </si>
  <si>
    <t>T177DCZ-T556DTR</t>
  </si>
  <si>
    <t>BASHIRU JUMA SOMBI</t>
  </si>
  <si>
    <t>T645CJT</t>
  </si>
  <si>
    <t>T445CBM-T984DWJ</t>
  </si>
  <si>
    <t>SALIM ZUBERI ALLY</t>
  </si>
  <si>
    <t>T308BZY</t>
  </si>
  <si>
    <t>T405BQX-T260EMP</t>
  </si>
  <si>
    <t>KHAMIS MOHAMED ABDALLAH</t>
  </si>
  <si>
    <t>T201DYR</t>
  </si>
  <si>
    <t>T242AJP-T963DWJ</t>
  </si>
  <si>
    <t>MFAUME ISMAIL NASSORO</t>
  </si>
  <si>
    <t>T956CAS</t>
  </si>
  <si>
    <t>T468DAA-T281ELA</t>
  </si>
  <si>
    <t>JAMSHID ELIAS KIOBYA</t>
  </si>
  <si>
    <t>T230CVP</t>
  </si>
  <si>
    <t>T194BED-T690EFH</t>
  </si>
  <si>
    <t>AMINI OMARY HAMIS</t>
  </si>
  <si>
    <t>T498DMH</t>
  </si>
  <si>
    <t>T219DQD-T504DQD</t>
  </si>
  <si>
    <t>SALIMU HAMISS SAID</t>
  </si>
  <si>
    <t>T357DWZ</t>
  </si>
  <si>
    <t>T609DXS-T611DXS</t>
  </si>
  <si>
    <t>OMAR JUMA MACHIBYA</t>
  </si>
  <si>
    <t>T149DDY</t>
  </si>
  <si>
    <t>T651AEE</t>
  </si>
  <si>
    <t>MOHAMED OMARY MUZII</t>
  </si>
  <si>
    <t>CFS VINGUNGUTI</t>
  </si>
  <si>
    <t>T623DPV</t>
  </si>
  <si>
    <t>T101APA</t>
  </si>
  <si>
    <t>FREDRICK LUCAS NYAMHANGA</t>
  </si>
  <si>
    <t>T335DWZ</t>
  </si>
  <si>
    <t>T509AUU-T553DTR</t>
  </si>
  <si>
    <t>RASHID HAMIS NJENJEMA</t>
  </si>
  <si>
    <t>T324BZY</t>
  </si>
  <si>
    <t>T105APA-T719EFH</t>
  </si>
  <si>
    <t xml:space="preserve">ALEX GOMEL ROBERT </t>
  </si>
  <si>
    <t>T873CJS</t>
  </si>
  <si>
    <t>T383BXG-T671EFH</t>
  </si>
  <si>
    <t>SHABANI SAID ATHUMAN</t>
  </si>
  <si>
    <t>T627CKK</t>
  </si>
  <si>
    <t>T368CRT-T231EMP</t>
  </si>
  <si>
    <t>DANIEL CHRISANT MAKILIKA</t>
  </si>
  <si>
    <t>T624DPV</t>
  </si>
  <si>
    <t>T971ASG</t>
  </si>
  <si>
    <t>RAMADHANI SHABANI OMARY</t>
  </si>
  <si>
    <t>T275DTA</t>
  </si>
  <si>
    <t>T266DSM</t>
  </si>
  <si>
    <t>RAMADHANI ATHUMANI SALEHE</t>
  </si>
  <si>
    <t>T663CJT</t>
  </si>
  <si>
    <t>T463DAA-T276ELA</t>
  </si>
  <si>
    <t>IDDY SHABAN RAMADHAN </t>
  </si>
  <si>
    <t>T459DMH</t>
  </si>
  <si>
    <t>T661BAK-T417EFH</t>
  </si>
  <si>
    <t>AISHA HUSSENI RAMADHANI</t>
  </si>
  <si>
    <t>T473DZH</t>
  </si>
  <si>
    <t>T529BWD-T521EFH</t>
  </si>
  <si>
    <t>RASHID RAMADHAN HEMED</t>
  </si>
  <si>
    <t>Loaded waiting release</t>
  </si>
  <si>
    <t>T674CJT</t>
  </si>
  <si>
    <t>T728CVC-T998DWJ</t>
  </si>
  <si>
    <t>HAMIS MOHAMED NYANYANGE</t>
  </si>
  <si>
    <t>T170EES</t>
  </si>
  <si>
    <t>T741BYV-T620EFH</t>
  </si>
  <si>
    <t>ABDILLAH OMARY MNONJI</t>
  </si>
  <si>
    <t>T935BZF</t>
  </si>
  <si>
    <t>T169BZX-T248EMP</t>
  </si>
  <si>
    <t>ISIKE SAIDI ALLY</t>
  </si>
  <si>
    <t>T429CAF</t>
  </si>
  <si>
    <t>T109AQL-T676EFH</t>
  </si>
  <si>
    <t>MURTAZ HASHIM MPATILA</t>
  </si>
  <si>
    <t>T709EHZ</t>
  </si>
  <si>
    <t>T147EHW-T205EMP</t>
  </si>
  <si>
    <t>ONESMO LAULIN SIZIMWE</t>
  </si>
  <si>
    <t>T857CJS</t>
  </si>
  <si>
    <t>T184CVF-T615EFH</t>
  </si>
  <si>
    <t>SELEMANI TWALIBU SHEKI</t>
  </si>
  <si>
    <t>T202DYR</t>
  </si>
  <si>
    <t>T215DEG-T565DTR</t>
  </si>
  <si>
    <t>AMAN HARUNA NGOLLOH</t>
  </si>
  <si>
    <t>T320DWU</t>
  </si>
  <si>
    <t>T722BAK</t>
  </si>
  <si>
    <t xml:space="preserve">ERICK SAID MKAMI </t>
  </si>
  <si>
    <t>T937DEY</t>
  </si>
  <si>
    <t>T326DGN</t>
  </si>
  <si>
    <t>MRISHO OMARY KIDUKURI</t>
  </si>
  <si>
    <t>T697DRY</t>
  </si>
  <si>
    <t>T204DSK</t>
  </si>
  <si>
    <t>SALUM SAID MISODE</t>
  </si>
  <si>
    <t>T619BVP</t>
  </si>
  <si>
    <t>T812BVG-T415EFH</t>
  </si>
  <si>
    <t>MHINA HOSSENI NTULWE</t>
  </si>
  <si>
    <t>T311EES</t>
  </si>
  <si>
    <t>T988ANZ-T268ELA</t>
  </si>
  <si>
    <t>ISACK HARIM MWAMENGO</t>
  </si>
  <si>
    <t>T583DMJ</t>
  </si>
  <si>
    <t>T183DED-T508EFH</t>
  </si>
  <si>
    <t>THEONAS VICENT KALYALYA</t>
  </si>
  <si>
    <t>T901ECV</t>
  </si>
  <si>
    <t>T350BDR</t>
  </si>
  <si>
    <t>ISSA KASSIMU MWEMBA</t>
  </si>
  <si>
    <t>Loaded Waiting release</t>
  </si>
  <si>
    <t>T551DCZ</t>
  </si>
  <si>
    <t>T515BWD</t>
  </si>
  <si>
    <t>JUMAA HALFAN KIPANGA</t>
  </si>
  <si>
    <t>T895ECV</t>
  </si>
  <si>
    <t>T697CKC</t>
  </si>
  <si>
    <t>IDDI HASSAN CHILEU</t>
  </si>
  <si>
    <t>T599BXN</t>
  </si>
  <si>
    <t>T186BED-T689DUQ</t>
  </si>
  <si>
    <t>MAHAMOOD JAPANIS DEVILLIES</t>
  </si>
  <si>
    <t>T935CAS</t>
  </si>
  <si>
    <t>T118BFS-T408DTF</t>
  </si>
  <si>
    <t>DANIFRED F DEDU</t>
  </si>
  <si>
    <t>T883ECV</t>
  </si>
  <si>
    <t>T514AUU</t>
  </si>
  <si>
    <t>DAN JOHN NGWETA</t>
  </si>
  <si>
    <t>T927EGG</t>
  </si>
  <si>
    <t>T101DXM-T105DXM</t>
  </si>
  <si>
    <t>HAMAD JUMA OMARI</t>
  </si>
  <si>
    <t>T167EES</t>
  </si>
  <si>
    <t>T118DXM-T119DXM</t>
  </si>
  <si>
    <t>SHABANI RAMADHANI IDDI</t>
  </si>
  <si>
    <t>T451EFR</t>
  </si>
  <si>
    <t>T490ELF-T208EMP</t>
  </si>
  <si>
    <t>SAID MOHAMED KHALFANI</t>
  </si>
  <si>
    <t>T375EFR</t>
  </si>
  <si>
    <t>T236EFX-T407EFX</t>
  </si>
  <si>
    <t>CLOFAC FAUSTIN MALIMA</t>
  </si>
  <si>
    <t>T196DYR</t>
  </si>
  <si>
    <t>T548CTF-T996DWJ</t>
  </si>
  <si>
    <t>RAMADHAN MASOUD JAHADI</t>
  </si>
  <si>
    <t>T870DRL</t>
  </si>
  <si>
    <t>T398DRY</t>
  </si>
  <si>
    <t>GODFREY ALPHONCE PHILIPO</t>
  </si>
  <si>
    <t>T186EES</t>
  </si>
  <si>
    <t>T682BAK-T416EFH</t>
  </si>
  <si>
    <t>BOAZI NGAIMISI BAKILA</t>
  </si>
  <si>
    <t>T364EFR</t>
  </si>
  <si>
    <t>T492ELF-T257EMP</t>
  </si>
  <si>
    <t>ABUBAKARI SHABANI ABDALLAH</t>
  </si>
  <si>
    <t>T180EES</t>
  </si>
  <si>
    <t>T521AUU-T117DUG</t>
  </si>
  <si>
    <t>ELIAKIMU LEONARDI STEVEN</t>
  </si>
  <si>
    <t>1A</t>
  </si>
  <si>
    <t>T514BXN</t>
  </si>
  <si>
    <t>T863CBB-T513EFH</t>
  </si>
  <si>
    <t>GODWIN KOSAM SAMPAMBA</t>
  </si>
  <si>
    <t>T625BVP</t>
  </si>
  <si>
    <t>T419CRA-T952DWJ</t>
  </si>
  <si>
    <t>JUMA HUSSEIN CHOVU</t>
  </si>
  <si>
    <t>T346DWZ</t>
  </si>
  <si>
    <t>T108DXM-T109DXM</t>
  </si>
  <si>
    <t>ABASI MOHAMED MMINGE</t>
  </si>
  <si>
    <t>T934DEY</t>
  </si>
  <si>
    <t>T344DEX</t>
  </si>
  <si>
    <t>SHABANI JUMA KINUNDA</t>
  </si>
  <si>
    <t>T147EES</t>
  </si>
  <si>
    <t>T197CVF-T956DWJ</t>
  </si>
  <si>
    <t xml:space="preserve">PHILEMON JOHN NDAKI </t>
  </si>
  <si>
    <t>T890CQL</t>
  </si>
  <si>
    <t>T873CBB-T940DWJ</t>
  </si>
  <si>
    <t>MASHANGO SIFFA MTENDA</t>
  </si>
  <si>
    <t>T307DRF</t>
  </si>
  <si>
    <t>T494DCA</t>
  </si>
  <si>
    <t>MAGANGA EMMANUEL</t>
  </si>
  <si>
    <t>T884EBS</t>
  </si>
  <si>
    <t>T962EBC-T553EBB</t>
  </si>
  <si>
    <t xml:space="preserve">KAMEHA KENEDY CHALO </t>
  </si>
  <si>
    <t>T781CCY</t>
  </si>
  <si>
    <t>T326BXG-T525EFH</t>
  </si>
  <si>
    <t>MBWANA SAID ALLY</t>
  </si>
  <si>
    <t>T854EBS</t>
  </si>
  <si>
    <t>T965EBC-T552EBB</t>
  </si>
  <si>
    <t>PETER FANO KAZUNGU</t>
  </si>
  <si>
    <t>T449EFR</t>
  </si>
  <si>
    <t>T290EFX-T294EFX</t>
  </si>
  <si>
    <t>AGUSTINO SHIJA SWEKHE</t>
  </si>
  <si>
    <t>T676BXN</t>
  </si>
  <si>
    <t>T156BZX-T537EFH</t>
  </si>
  <si>
    <t>PRINCHIPATUS ALLY FUNGAMEZA </t>
  </si>
  <si>
    <t>T628DPW</t>
  </si>
  <si>
    <t>T977ASG</t>
  </si>
  <si>
    <t>MARTIN HERI NGOCHELO</t>
  </si>
  <si>
    <t>T477DZH</t>
  </si>
  <si>
    <t>T334EBBT566EBB</t>
  </si>
  <si>
    <t>JUMA FESTO PHINIAS</t>
  </si>
  <si>
    <t>T400DZH</t>
  </si>
  <si>
    <t>T502BWD-T289EMP</t>
  </si>
  <si>
    <t>JERRY KALEB MAZENGO</t>
  </si>
  <si>
    <t>T340DWZ</t>
  </si>
  <si>
    <t>T112DXM-T113DXM</t>
  </si>
  <si>
    <t>DAVID JOSEPH MALIMI</t>
  </si>
  <si>
    <t>T203DYR</t>
  </si>
  <si>
    <t>T772AHL-T948DWJ</t>
  </si>
  <si>
    <t>CHESKO CHUMILA NGWETA</t>
  </si>
  <si>
    <t>T869DRL</t>
  </si>
  <si>
    <t>T396DRY</t>
  </si>
  <si>
    <t>WILSON REVERIANI NGAIZA</t>
  </si>
  <si>
    <t>T465DZH</t>
  </si>
  <si>
    <t>T341EBB-T563EBB</t>
  </si>
  <si>
    <t>JUMA HAMISI BUNGARA</t>
  </si>
  <si>
    <t>T234DNF</t>
  </si>
  <si>
    <t>T763CVC-T959DWJ</t>
  </si>
  <si>
    <t>RAMADHAN SALUM BEHO</t>
  </si>
  <si>
    <t>T867EBS</t>
  </si>
  <si>
    <t>T961EBC-T558EBB</t>
  </si>
  <si>
    <t>PASTORY MZUMARI CHARLES</t>
  </si>
  <si>
    <t>T785CCY</t>
  </si>
  <si>
    <t>T768CVC-T261EMP</t>
  </si>
  <si>
    <t>MAGANGA MAYUNGA KAJALA</t>
  </si>
  <si>
    <t>T879EBS</t>
  </si>
  <si>
    <t>T969EBC-T548EBB</t>
  </si>
  <si>
    <t>DENIS MWEMEZI THOMAS</t>
  </si>
  <si>
    <t>T661BZY</t>
  </si>
  <si>
    <t>T464CRA-T696EFH</t>
  </si>
  <si>
    <t>MASOUD SHAMTE LUNGUSA</t>
  </si>
  <si>
    <t>T448EFR</t>
  </si>
  <si>
    <t>T225EFX-T399EFX</t>
  </si>
  <si>
    <t>MOHAMED ALLY MOHAMED</t>
  </si>
  <si>
    <t>T480DZH</t>
  </si>
  <si>
    <t>T202DZH-T856DZG</t>
  </si>
  <si>
    <t>PETER ERNEST JOSEPH</t>
  </si>
  <si>
    <t>T772EAE</t>
  </si>
  <si>
    <t>T753CVC-T993DWJ</t>
  </si>
  <si>
    <t>ATHUMANI BAKARI CHIKOKO</t>
  </si>
  <si>
    <t>T640EHZ</t>
  </si>
  <si>
    <t>T728EHV-T129DUG</t>
  </si>
  <si>
    <t>OMARY JUMA BODE</t>
  </si>
  <si>
    <t>T354DWZ</t>
  </si>
  <si>
    <t>T173DXQ-T176DXQ</t>
  </si>
  <si>
    <t>SAIDI OBEDI MSOFE</t>
  </si>
  <si>
    <t>T533EDX</t>
  </si>
  <si>
    <t>T933EDN</t>
  </si>
  <si>
    <t>SAMSON ISAYA MBONGELA</t>
  </si>
  <si>
    <t>T753EEY</t>
  </si>
  <si>
    <t>T664EFA</t>
  </si>
  <si>
    <t>MUSSA SAIDI ALLY</t>
  </si>
  <si>
    <t>T230ELH</t>
  </si>
  <si>
    <t>T328DVM-T220DXD</t>
  </si>
  <si>
    <t>MUBAARAK MUSTAFA MKETO</t>
  </si>
  <si>
    <t>T447EFR</t>
  </si>
  <si>
    <t>T239EFX-T315EFX</t>
  </si>
  <si>
    <t>EMANUEL ANDELILE MSUSI</t>
  </si>
  <si>
    <t>T356EFR</t>
  </si>
  <si>
    <t>T188EFX-T186EFX</t>
  </si>
  <si>
    <t>SAID AHMED ABBAS</t>
  </si>
  <si>
    <t>T381EFR</t>
  </si>
  <si>
    <t>T414EFX-T194EFX</t>
  </si>
  <si>
    <t>ABASI YAHAYA ALLY</t>
  </si>
  <si>
    <t>T545DMH</t>
  </si>
  <si>
    <t>T295BED-T202EMP</t>
  </si>
  <si>
    <t>PATRICK EMMANUEL MPEZYA</t>
  </si>
  <si>
    <t>T657DQF</t>
  </si>
  <si>
    <t>T872DQF-T875DQF</t>
  </si>
  <si>
    <t>MRISHO ULEDI ALLY</t>
  </si>
  <si>
    <t>T787CCY</t>
  </si>
  <si>
    <t>T268DQD-T510DQD</t>
  </si>
  <si>
    <t>BAKARI OMARI MSAFA</t>
  </si>
  <si>
    <t>T940DEY</t>
  </si>
  <si>
    <t>T320DGN</t>
  </si>
  <si>
    <t>SAID JUMA NASSOR</t>
  </si>
  <si>
    <t>T858DVK</t>
  </si>
  <si>
    <t>T536BWU</t>
  </si>
  <si>
    <t>ABDALLAH OMARY MNONJI</t>
  </si>
  <si>
    <t>T139EES</t>
  </si>
  <si>
    <t>T454CBM-T290EMP</t>
  </si>
  <si>
    <t>RAMADHANI OMARY MNONJI</t>
  </si>
  <si>
    <t>T328DWZ</t>
  </si>
  <si>
    <t>T390ALY</t>
  </si>
  <si>
    <t>VICTOR ANDREY MWAKALONGE</t>
  </si>
  <si>
    <t>T892ECV</t>
  </si>
  <si>
    <t>T699CKC</t>
  </si>
  <si>
    <t>PAUL STEVEN SIANGA</t>
  </si>
  <si>
    <t>T310EES</t>
  </si>
  <si>
    <t>T254DQD-T515DQD</t>
  </si>
  <si>
    <t>BAHATI A MWATUPOSOLE</t>
  </si>
  <si>
    <t>T214EES</t>
  </si>
  <si>
    <t>T177BUF-T218EMM</t>
  </si>
  <si>
    <t>BARAKA FARUKU SANGA</t>
  </si>
  <si>
    <t>T774EAE</t>
  </si>
  <si>
    <t>T180DED-T579DTR</t>
  </si>
  <si>
    <t>MWIDINI HASSANI OMARI</t>
  </si>
  <si>
    <t>T232DNF</t>
  </si>
  <si>
    <t>T569CTF-T566DTR</t>
  </si>
  <si>
    <t>BASHIRI WAZIRI MFINANGA</t>
  </si>
  <si>
    <t>T469DZH</t>
  </si>
  <si>
    <t>T208DZH-T193DZH</t>
  </si>
  <si>
    <t>ASAJILE RICHARD MWAKATUMBULA</t>
  </si>
  <si>
    <t>T621DPV</t>
  </si>
  <si>
    <t>T245ARR-T568DTR</t>
  </si>
  <si>
    <t>FRANSIS IZDOLI KALINGA</t>
  </si>
  <si>
    <t>T660DQF</t>
  </si>
  <si>
    <t>T226DQD-T509DQD</t>
  </si>
  <si>
    <t>SELEMANI MZEE MNEMO</t>
  </si>
  <si>
    <t>T349DWZ</t>
  </si>
  <si>
    <t>T190DXQ-T191DXQ</t>
  </si>
  <si>
    <t>CHRISTOPHER ADELIN MASAWE</t>
  </si>
  <si>
    <t>T859EBS</t>
  </si>
  <si>
    <t>T960EBC-T556EBB</t>
  </si>
  <si>
    <t>CHRISTIAN CLETUS CHILUMBA</t>
  </si>
  <si>
    <t>T332DWZ</t>
  </si>
  <si>
    <t>T417BQX-T373DSM</t>
  </si>
  <si>
    <t>JACKSON CHARLES NIKOBOGORO</t>
  </si>
  <si>
    <t>T327CFY</t>
  </si>
  <si>
    <t>T411BJE-T538EFH</t>
  </si>
  <si>
    <t>STEVEN LUCAS MBANGA</t>
  </si>
  <si>
    <t>T337DWZ</t>
  </si>
  <si>
    <t>T900CBB-T134DUG</t>
  </si>
  <si>
    <t>MSINDU JUMA SALUM</t>
  </si>
  <si>
    <t>T173EES</t>
  </si>
  <si>
    <t>T224DQD-T501DQD</t>
  </si>
  <si>
    <t>MAHMOUD AHMED MAYMUN</t>
  </si>
  <si>
    <t>T651BZY</t>
  </si>
  <si>
    <t>T654AVR-T512EFH</t>
  </si>
  <si>
    <t>OMARY JUMA MSUMARI</t>
  </si>
  <si>
    <t>T716DMS</t>
  </si>
  <si>
    <t>T270DQD-T507DQD</t>
  </si>
  <si>
    <t>DEOGRATIAS ENYASI SHIYO</t>
  </si>
  <si>
    <t>T679CJT</t>
  </si>
  <si>
    <t>T925CTU-T216EMM</t>
  </si>
  <si>
    <t>EZEKIEL SAMWEL SHILAYE</t>
  </si>
  <si>
    <t>T152EJA</t>
  </si>
  <si>
    <t>T760EHV-T136DUG</t>
  </si>
  <si>
    <t xml:space="preserve">MOGELA ABDALLAH MBAWALA </t>
  </si>
  <si>
    <t>T399DZH</t>
  </si>
  <si>
    <t>T344EBB-T561EBB</t>
  </si>
  <si>
    <t>MSAFIRI BAKARI MBEJA</t>
  </si>
  <si>
    <t>T383DZH</t>
  </si>
  <si>
    <t>T466CBM-T287EMP</t>
  </si>
  <si>
    <t>MOHAMED MUSSA MOHAMED</t>
  </si>
  <si>
    <t>T879CQL</t>
  </si>
  <si>
    <t>T375CRT-T426EFH</t>
  </si>
  <si>
    <t>JOHN PAULO MZALIFU</t>
  </si>
  <si>
    <t>AT DESTINATION</t>
  </si>
  <si>
    <t>Waiting to offload</t>
  </si>
  <si>
    <t>T299DRF</t>
  </si>
  <si>
    <t>T497DCA</t>
  </si>
  <si>
    <t>JUMA RAMADHAN GOGO</t>
  </si>
  <si>
    <t>COMPLETED</t>
  </si>
  <si>
    <t>T461DZH</t>
  </si>
  <si>
    <t>T503AUU-T245EMP</t>
  </si>
  <si>
    <t>DEOGRATIAS  TADEUS TARIMO</t>
  </si>
  <si>
    <t>T145EES</t>
  </si>
  <si>
    <t>T337BXK-T522EFH</t>
  </si>
  <si>
    <t>HUDHAIFA KAZEMBWE HILALY</t>
  </si>
  <si>
    <t>T355DWZ</t>
  </si>
  <si>
    <t>T186DXQ-T188DXQ</t>
  </si>
  <si>
    <t>VULISTER BEATUS TEMU</t>
  </si>
  <si>
    <t>T424DZH</t>
  </si>
  <si>
    <t>T315BED-T721EFH</t>
  </si>
  <si>
    <t>KITWANA RAMADHANI KUCHEMA</t>
  </si>
  <si>
    <t>RAMADHAN BEHO SALUM</t>
  </si>
  <si>
    <t>T203EES</t>
  </si>
  <si>
    <t>T726EHV-T210EMP</t>
  </si>
  <si>
    <t>KAYUSI COELESTINE ALFRED</t>
  </si>
  <si>
    <t>T189EGH</t>
  </si>
  <si>
    <t>T630DXS-T633DXS</t>
  </si>
  <si>
    <t>HARUOB MANSOORY SULEIMAN</t>
  </si>
  <si>
    <t>T182EES</t>
  </si>
  <si>
    <t>T184BUF-T536EFH</t>
  </si>
  <si>
    <t>HEMED MWIDADI ALLY</t>
  </si>
  <si>
    <t>T706EHZ</t>
  </si>
  <si>
    <t>T145EHW-T283EMP</t>
  </si>
  <si>
    <t>IDDY MOSHI IDDY</t>
  </si>
  <si>
    <t>T374DCA</t>
  </si>
  <si>
    <t>T360CRT</t>
  </si>
  <si>
    <t>ALI MWINYIJUMA MABADI</t>
  </si>
  <si>
    <t>T198DYR</t>
  </si>
  <si>
    <t>T639AVR-T577DTR</t>
  </si>
  <si>
    <t>FADHILI MOHAMED SASAMALO</t>
  </si>
  <si>
    <t>T170EBA</t>
  </si>
  <si>
    <t>T932AMG  -T257EMM</t>
  </si>
  <si>
    <t>SALUM JUNAIDI MDOSI</t>
  </si>
  <si>
    <t>T109AQL -T676EFH</t>
  </si>
  <si>
    <t>T548CTF -T996DWJ</t>
  </si>
  <si>
    <t>T197DYR</t>
  </si>
  <si>
    <t>T637DRM -T629DRM</t>
  </si>
  <si>
    <t>MGANGA ALLY MZUNDA</t>
  </si>
  <si>
    <t>T197CVF -T956DWJ</t>
  </si>
  <si>
    <t>T112DXM -T113DXM</t>
  </si>
  <si>
    <t>T277DTA</t>
  </si>
  <si>
    <t>T269DSM-T215EMM</t>
  </si>
  <si>
    <t>JUMA SEPH SHUNDA</t>
  </si>
  <si>
    <t>T411EFX -T220EFX</t>
  </si>
  <si>
    <t>FRUGENCE KAGANDE RAZALO</t>
  </si>
  <si>
    <t>T965EBC</t>
  </si>
  <si>
    <t>T219DPX</t>
  </si>
  <si>
    <t>T989ANZ</t>
  </si>
  <si>
    <t>ONESMO LAULIAN SIZMWE</t>
  </si>
  <si>
    <t>T961EBC -T558EBB</t>
  </si>
  <si>
    <t>T962CAS</t>
  </si>
  <si>
    <t>T444CRA -T614EFH</t>
  </si>
  <si>
    <t>EDWIN PATRICK ZEBADI</t>
  </si>
  <si>
    <t>T764EAE</t>
  </si>
  <si>
    <t>T481DAA-T576DTR</t>
  </si>
  <si>
    <t xml:space="preserve">MSAFIRI HOSEA MPOGOLE </t>
  </si>
  <si>
    <t>T214ELH</t>
  </si>
  <si>
    <t>T576ELH</t>
  </si>
  <si>
    <t>SHABANI ATHUMANI MASENDERA</t>
  </si>
  <si>
    <t>T666CJT</t>
  </si>
  <si>
    <t>T929CTU -T611EFH</t>
  </si>
  <si>
    <t>ALLY OMARY MNONJI</t>
  </si>
  <si>
    <t>T864EBK</t>
  </si>
  <si>
    <t>T402DTB-T216DXD</t>
  </si>
  <si>
    <t>MOHAMED MATHIAS JUMA</t>
  </si>
  <si>
    <t>T769EEY</t>
  </si>
  <si>
    <t>T681EFA</t>
  </si>
  <si>
    <t>ABDALLAH MOHAMED MBARAKA</t>
  </si>
  <si>
    <t>T664BXN</t>
  </si>
  <si>
    <t>T718CVC-T212EMP</t>
  </si>
  <si>
    <t>ISSA MKADARA SHAME</t>
  </si>
  <si>
    <t>T221EES</t>
  </si>
  <si>
    <t>T362EGE</t>
  </si>
  <si>
    <t>KHAMIS ATHMAN KASUBI</t>
  </si>
  <si>
    <t>T168EES</t>
  </si>
  <si>
    <t>T373CRT-T265EMP</t>
  </si>
  <si>
    <t>KASHINJE BUKUMBI JEREMIAN</t>
  </si>
  <si>
    <t>T561EHZ</t>
  </si>
  <si>
    <t>T692EHV-T247EMP</t>
  </si>
  <si>
    <t>NYASAHIRA WARYOBA DAMAS</t>
  </si>
  <si>
    <t>T339DWZ</t>
  </si>
  <si>
    <t>T192DXQ-T193DXQ</t>
  </si>
  <si>
    <t>OMARY HASHIM MBUNDA</t>
  </si>
  <si>
    <t>T294DRM</t>
  </si>
  <si>
    <t>T320BXG</t>
  </si>
  <si>
    <t>NICODEMUS JORDAN MATWEGULA</t>
  </si>
  <si>
    <t>T249CVP</t>
  </si>
  <si>
    <t>T759AXN-T341DXR</t>
  </si>
  <si>
    <t xml:space="preserve">JUMANNE MAMBO </t>
  </si>
  <si>
    <t>KIBAHA TZ</t>
  </si>
  <si>
    <t>T338EFR</t>
  </si>
  <si>
    <t>T371CRT-T102DWK</t>
  </si>
  <si>
    <t>NDANDA MATHIAS GEORGE</t>
  </si>
  <si>
    <t>T204DYR</t>
  </si>
  <si>
    <t>T114DXM-T115DXM</t>
  </si>
  <si>
    <t>HASSAN YAHAYA MWEKWALUMA</t>
  </si>
  <si>
    <t>T944DEY</t>
  </si>
  <si>
    <t>T383DGN</t>
  </si>
  <si>
    <t>FRANK PAULO CHIWANGO</t>
  </si>
  <si>
    <t>T355DZH</t>
  </si>
  <si>
    <t>T541BYZ-T219EMP</t>
  </si>
  <si>
    <t>CHARLES OMARI NYATEGA</t>
  </si>
  <si>
    <t xml:space="preserve">H-DAN </t>
  </si>
  <si>
    <t>B/L No.</t>
  </si>
  <si>
    <t>DOC</t>
  </si>
  <si>
    <t>T334EBB-T566EBB</t>
  </si>
  <si>
    <t xml:space="preserve"> T277DTA</t>
  </si>
  <si>
    <t xml:space="preserve">TUNDUMA </t>
  </si>
  <si>
    <t>B/D</t>
  </si>
  <si>
    <t xml:space="preserve">K-LESA DRC </t>
  </si>
  <si>
    <t>T186EES (T174EJA)</t>
  </si>
  <si>
    <t xml:space="preserve">COMPLETED </t>
  </si>
  <si>
    <t>T334EFR</t>
  </si>
  <si>
    <t>T106DMZ</t>
  </si>
  <si>
    <t>T638BVP</t>
  </si>
  <si>
    <t>T658BVB</t>
  </si>
  <si>
    <t>THOBIAS NICOLAUS ANDREA</t>
  </si>
  <si>
    <t>TWALIB JOSEPH CHUGA</t>
  </si>
  <si>
    <t>ZUBERI SAID ZUBERI</t>
  </si>
  <si>
    <t>PAULO CHARLES ANGA</t>
  </si>
  <si>
    <t>Loaded waitig release</t>
  </si>
  <si>
    <t>T109APA-T524EFH</t>
  </si>
  <si>
    <t>T634DRM-T640DRM</t>
  </si>
  <si>
    <t>T415EFX-T195EFX</t>
  </si>
  <si>
    <t>T702BMY-T528EFH</t>
  </si>
  <si>
    <t xml:space="preserve">K-LESA  ZM </t>
  </si>
  <si>
    <t>T903ECV</t>
  </si>
  <si>
    <t>T650DQF</t>
  </si>
  <si>
    <t>T658DQF</t>
  </si>
  <si>
    <t>T643DPW</t>
  </si>
  <si>
    <t>T872CQL</t>
  </si>
  <si>
    <t>ANTHONY ELIUD NGUMBI</t>
  </si>
  <si>
    <t>T211DEG</t>
  </si>
  <si>
    <t>T357EGE</t>
  </si>
  <si>
    <t>ABUBAKAR JUMA KIZENGA</t>
  </si>
  <si>
    <t>ALLY HUSSEIN KULILI</t>
  </si>
  <si>
    <t>HABIB ALLY MIANDANJE</t>
  </si>
  <si>
    <t>WILIADI LUKUSYILA MWAKYOMA</t>
  </si>
  <si>
    <t xml:space="preserve">T272DQD-T513DQD  </t>
  </si>
  <si>
    <t>T455CRA-T322DUD</t>
  </si>
  <si>
    <t>T879DQF-T880DQF</t>
  </si>
  <si>
    <t>K-LESA  DRC</t>
  </si>
  <si>
    <t xml:space="preserve">OFFLOADED </t>
  </si>
  <si>
    <t>T318CFY</t>
  </si>
  <si>
    <t>T998DNE</t>
  </si>
  <si>
    <t>T711DMS</t>
  </si>
  <si>
    <t>T830ENP</t>
  </si>
  <si>
    <t>T149EES</t>
  </si>
  <si>
    <t>T873CQL</t>
  </si>
  <si>
    <t>T796DRY</t>
  </si>
  <si>
    <t>T331DWZ</t>
  </si>
  <si>
    <t>T321CFY</t>
  </si>
  <si>
    <t>T205DSK</t>
  </si>
  <si>
    <t>T693BMY</t>
  </si>
  <si>
    <t>AHMED MOHAMED CHALACHALA</t>
  </si>
  <si>
    <t>MIRAJI JABIRY KAMONGO</t>
  </si>
  <si>
    <t>RICHARD IPOLE MWAKATUMBULA</t>
  </si>
  <si>
    <t>OMARY MOHAMED ALLY</t>
  </si>
  <si>
    <t>SHABANI JUMA KAPELA</t>
  </si>
  <si>
    <t>CHILE JACKOBU MAHENGE</t>
  </si>
  <si>
    <t>DEOGRASIAS INYASI SHIO</t>
  </si>
  <si>
    <t xml:space="preserve">HEMED SAID HEMED </t>
  </si>
  <si>
    <t>KENETH AMON LULENGA</t>
  </si>
  <si>
    <t>MASHAKA SALUM KIYOYA</t>
  </si>
  <si>
    <t>T200BED-T670EFH</t>
  </si>
  <si>
    <t>T724AHL-T372DSM</t>
  </si>
  <si>
    <t>T239DQD-T518DQD</t>
  </si>
  <si>
    <t>T413EFX-T192EFX</t>
  </si>
  <si>
    <t>T105EHW-T195EMP</t>
  </si>
  <si>
    <t>T178DED-T578DTR</t>
  </si>
  <si>
    <t>T203DEG-T987DWJ</t>
  </si>
  <si>
    <t xml:space="preserve">PUMPI </t>
  </si>
  <si>
    <t xml:space="preserve">K-LESA  DRC </t>
  </si>
  <si>
    <t>FUNGURUME   DRC</t>
  </si>
  <si>
    <t xml:space="preserve">NDOLA  ZM </t>
  </si>
  <si>
    <t>T825ENP</t>
  </si>
  <si>
    <t>T660BZH</t>
  </si>
  <si>
    <t>T223EES</t>
  </si>
  <si>
    <t>T885ECV</t>
  </si>
  <si>
    <t>T330DWZ</t>
  </si>
  <si>
    <t>T496DCA</t>
  </si>
  <si>
    <t>SHABANI SAID MBONDE</t>
  </si>
  <si>
    <t>PAULO JENGO PAULO</t>
  </si>
  <si>
    <t>AHIMIDIWE JACKSON MASAKI</t>
  </si>
  <si>
    <t>WILLIAM PAULO MINJA</t>
  </si>
  <si>
    <t>MASAMA G BARNABA</t>
  </si>
  <si>
    <t>T186DED-T575DTR</t>
  </si>
  <si>
    <t>T292EFX-T296EFX</t>
  </si>
  <si>
    <t>T648AVR-T380DSM</t>
  </si>
  <si>
    <t>T247ARR-T318DUD</t>
  </si>
  <si>
    <t>T699DRY</t>
  </si>
  <si>
    <t>T868CJS</t>
  </si>
  <si>
    <t>T797CCY</t>
  </si>
  <si>
    <t>T192EES</t>
  </si>
  <si>
    <t>T648CJT</t>
  </si>
  <si>
    <t>T497DMH</t>
  </si>
  <si>
    <t>T922EDD</t>
  </si>
  <si>
    <t>T207DSK</t>
  </si>
  <si>
    <t>T499DAA</t>
  </si>
  <si>
    <t>T714CWH</t>
  </si>
  <si>
    <t>OMARY HAMISI SALUM</t>
  </si>
  <si>
    <t>ABDULRAZAK ATHUMAN HABIBU</t>
  </si>
  <si>
    <t xml:space="preserve">RAMADHANI MOHAMED LIBONGE </t>
  </si>
  <si>
    <t>HAMIS SHAIBU NGAYELA</t>
  </si>
  <si>
    <t>CHARLES LUCAS MTENGULE</t>
  </si>
  <si>
    <t>MELKION NICHOLAUS NTOGHA</t>
  </si>
  <si>
    <t>ANDREW GEORGE KAUNDE</t>
  </si>
  <si>
    <t>T501EDC-T719EPL</t>
  </si>
  <si>
    <t>T541BWU-T275ELA</t>
  </si>
  <si>
    <t>T955ASG-T395DSM</t>
  </si>
  <si>
    <t>T169AHE-T693EFH</t>
  </si>
  <si>
    <t>TUNDUMA</t>
  </si>
  <si>
    <t xml:space="preserve">K-LESA ZM </t>
  </si>
  <si>
    <t>K-LESA DRC</t>
  </si>
  <si>
    <t>NAKONDE</t>
  </si>
  <si>
    <t xml:space="preserve">CHINGOLA ZM </t>
  </si>
  <si>
    <t xml:space="preserve">KONKOLA  ZM </t>
  </si>
  <si>
    <t xml:space="preserve">ISOKA ZM </t>
  </si>
  <si>
    <t xml:space="preserve">Modification </t>
  </si>
  <si>
    <t>IRINGA I TZ</t>
  </si>
  <si>
    <t>MBEYA  TZ</t>
  </si>
  <si>
    <t xml:space="preserve">CHINSALI ZM </t>
  </si>
  <si>
    <t xml:space="preserve">KAMANGU ZM </t>
  </si>
  <si>
    <t xml:space="preserve">CHILONGA ZM </t>
  </si>
  <si>
    <t xml:space="preserve">CHIMUTANDA ZM </t>
  </si>
  <si>
    <t xml:space="preserve">NALUBI ZM </t>
  </si>
  <si>
    <t xml:space="preserve">KANONA  ZM </t>
  </si>
  <si>
    <t xml:space="preserve">MKUSHI ZM </t>
  </si>
  <si>
    <t>NDOLA  ZM</t>
  </si>
  <si>
    <t xml:space="preserve">CHIMOTO ZM </t>
  </si>
  <si>
    <t xml:space="preserve">CHIMOTO   ZM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</si>
</sst>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\-mmm;@"/>
    <numFmt numFmtId="166" formatCode="_([$$-409]* #,##0.00_);_([$$-409]* \(#,##0.00\);_([$$-409]* &quot;-&quot;??_);_(@_)"/>
    <numFmt numFmtId="167" formatCode="0.0"/>
    <numFmt numFmtId="168" formatCode="yyyy\-mm\-dd;@"/>
    <numFmt numFmtId="169" formatCode="_([$$-409]* #,##0_);_([$$-409]* \(#,##0\);_([$$-409]* &quot;-&quot;??_);_(@_)"/>
    <numFmt numFmtId="170" formatCode="[$-409]d\-mmm\-yy;@"/>
    <numFmt numFmtId="171" formatCode="General\ "/>
  </numFmts>
  <fonts count="40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rgb="FF4A597A"/>
      <name val="Arial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00B050"/>
        <bgColor theme="4" tint="0.79995117038483843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4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EBEEF5"/>
      </bottom>
      <diagonal/>
    </border>
    <border>
      <left/>
      <right/>
      <top/>
      <bottom style="medium">
        <color theme="9" tint="-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rgb="FFEBEEF5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ck">
        <color theme="4"/>
      </right>
      <top/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4"/>
      </right>
      <top style="thin">
        <color theme="1"/>
      </top>
      <bottom style="thin">
        <color theme="1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</borders>
  <cellStyleXfs count="5">
    <xf numFmtId="0" fontId="0" fillId="0" borderId="0"/>
    <xf numFmtId="16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165" fontId="30" fillId="0" borderId="0"/>
    <xf numFmtId="0" fontId="31" fillId="0" borderId="0"/>
  </cellStyleXfs>
  <cellXfs count="2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6" fontId="0" fillId="0" borderId="0" xfId="2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168" fontId="2" fillId="0" borderId="0" xfId="0" applyNumberFormat="1" applyFont="1" applyAlignment="1">
      <alignment vertical="center"/>
    </xf>
    <xf numFmtId="169" fontId="7" fillId="0" borderId="0" xfId="2" applyNumberFormat="1" applyFont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168" fontId="9" fillId="4" borderId="6" xfId="0" applyNumberFormat="1" applyFont="1" applyFill="1" applyBorder="1" applyAlignment="1">
      <alignment horizontal="center" vertical="center" wrapText="1"/>
    </xf>
    <xf numFmtId="168" fontId="10" fillId="4" borderId="6" xfId="0" applyNumberFormat="1" applyFont="1" applyFill="1" applyBorder="1" applyAlignment="1">
      <alignment horizontal="center" vertical="center" wrapText="1"/>
    </xf>
    <xf numFmtId="169" fontId="11" fillId="2" borderId="1" xfId="0" applyNumberFormat="1" applyFont="1" applyFill="1" applyBorder="1" applyAlignment="1">
      <alignment horizontal="center" vertical="center"/>
    </xf>
    <xf numFmtId="169" fontId="8" fillId="3" borderId="7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168" fontId="12" fillId="4" borderId="8" xfId="0" applyNumberFormat="1" applyFont="1" applyFill="1" applyBorder="1" applyAlignment="1">
      <alignment horizontal="center" vertical="center" wrapText="1"/>
    </xf>
    <xf numFmtId="168" fontId="13" fillId="4" borderId="8" xfId="0" applyNumberFormat="1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166" fontId="13" fillId="2" borderId="8" xfId="2" applyNumberFormat="1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170" fontId="1" fillId="6" borderId="8" xfId="0" applyNumberFormat="1" applyFont="1" applyFill="1" applyBorder="1" applyAlignment="1">
      <alignment horizontal="center"/>
    </xf>
    <xf numFmtId="16" fontId="1" fillId="6" borderId="8" xfId="0" applyNumberFormat="1" applyFont="1" applyFill="1" applyBorder="1" applyAlignment="1">
      <alignment horizontal="center" vertical="center"/>
    </xf>
    <xf numFmtId="168" fontId="12" fillId="6" borderId="8" xfId="0" applyNumberFormat="1" applyFont="1" applyFill="1" applyBorder="1" applyAlignment="1">
      <alignment horizontal="center" vertical="center" wrapText="1"/>
    </xf>
    <xf numFmtId="168" fontId="13" fillId="6" borderId="8" xfId="0" applyNumberFormat="1" applyFont="1" applyFill="1" applyBorder="1" applyAlignment="1">
      <alignment horizontal="center" vertical="center" wrapText="1"/>
    </xf>
    <xf numFmtId="168" fontId="12" fillId="6" borderId="9" xfId="0" applyNumberFormat="1" applyFont="1" applyFill="1" applyBorder="1" applyAlignment="1">
      <alignment horizontal="center" vertical="center" wrapText="1"/>
    </xf>
    <xf numFmtId="168" fontId="14" fillId="6" borderId="8" xfId="0" applyNumberFormat="1" applyFont="1" applyFill="1" applyBorder="1" applyAlignment="1">
      <alignment horizontal="center" vertical="center" wrapText="1"/>
    </xf>
    <xf numFmtId="171" fontId="6" fillId="0" borderId="8" xfId="0" applyNumberFormat="1" applyFont="1" applyBorder="1" applyAlignment="1">
      <alignment horizontal="center" vertical="center"/>
    </xf>
    <xf numFmtId="171" fontId="1" fillId="0" borderId="8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66" fontId="1" fillId="0" borderId="8" xfId="2" applyNumberFormat="1" applyFont="1" applyBorder="1" applyAlignment="1">
      <alignment horizontal="center" vertical="center"/>
    </xf>
    <xf numFmtId="169" fontId="1" fillId="3" borderId="8" xfId="0" applyNumberFormat="1" applyFont="1" applyFill="1" applyBorder="1" applyAlignment="1">
      <alignment horizontal="center" vertical="center"/>
    </xf>
    <xf numFmtId="171" fontId="12" fillId="0" borderId="10" xfId="0" applyNumberFormat="1" applyFont="1" applyBorder="1" applyAlignment="1">
      <alignment horizontal="center" vertical="center"/>
    </xf>
    <xf numFmtId="171" fontId="14" fillId="0" borderId="8" xfId="0" applyNumberFormat="1" applyFont="1" applyBorder="1" applyAlignment="1">
      <alignment horizontal="center" vertical="center"/>
    </xf>
    <xf numFmtId="169" fontId="14" fillId="0" borderId="8" xfId="0" applyNumberFormat="1" applyFont="1" applyBorder="1" applyAlignment="1">
      <alignment horizontal="center" vertical="center"/>
    </xf>
    <xf numFmtId="166" fontId="14" fillId="0" borderId="8" xfId="2" applyNumberFormat="1" applyFont="1" applyBorder="1" applyAlignment="1">
      <alignment horizontal="center" vertical="center"/>
    </xf>
    <xf numFmtId="171" fontId="12" fillId="0" borderId="8" xfId="0" applyNumberFormat="1" applyFont="1" applyBorder="1" applyAlignment="1">
      <alignment horizontal="center" vertical="center"/>
    </xf>
    <xf numFmtId="169" fontId="14" fillId="3" borderId="8" xfId="0" applyNumberFormat="1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/>
    </xf>
    <xf numFmtId="0" fontId="14" fillId="6" borderId="8" xfId="4" applyFont="1" applyFill="1" applyBorder="1" applyAlignment="1">
      <alignment horizontal="center" vertical="center"/>
    </xf>
    <xf numFmtId="0" fontId="16" fillId="6" borderId="8" xfId="4" applyFont="1" applyFill="1" applyBorder="1" applyAlignment="1">
      <alignment horizontal="center"/>
    </xf>
    <xf numFmtId="168" fontId="6" fillId="6" borderId="8" xfId="0" applyNumberFormat="1" applyFont="1" applyFill="1" applyBorder="1" applyAlignment="1">
      <alignment horizontal="center" vertical="center" wrapText="1"/>
    </xf>
    <xf numFmtId="168" fontId="6" fillId="6" borderId="9" xfId="0" applyNumberFormat="1" applyFont="1" applyFill="1" applyBorder="1" applyAlignment="1">
      <alignment horizontal="center" vertical="center" wrapText="1"/>
    </xf>
    <xf numFmtId="168" fontId="1" fillId="6" borderId="8" xfId="0" applyNumberFormat="1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 vertical="center" wrapText="1"/>
    </xf>
    <xf numFmtId="22" fontId="17" fillId="7" borderId="11" xfId="0" applyNumberFormat="1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8" fillId="6" borderId="8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8" xfId="0" applyFill="1" applyBorder="1" applyAlignment="1">
      <alignment vertical="center"/>
    </xf>
    <xf numFmtId="0" fontId="1" fillId="6" borderId="9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70" fontId="19" fillId="6" borderId="8" xfId="0" applyNumberFormat="1" applyFont="1" applyFill="1" applyBorder="1" applyAlignment="1">
      <alignment horizontal="center"/>
    </xf>
    <xf numFmtId="170" fontId="14" fillId="6" borderId="8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1" fontId="1" fillId="6" borderId="8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170" fontId="1" fillId="8" borderId="8" xfId="0" applyNumberFormat="1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 vertical="center" wrapText="1"/>
    </xf>
    <xf numFmtId="16" fontId="1" fillId="8" borderId="8" xfId="0" applyNumberFormat="1" applyFont="1" applyFill="1" applyBorder="1" applyAlignment="1">
      <alignment horizontal="center" vertical="center"/>
    </xf>
    <xf numFmtId="170" fontId="19" fillId="8" borderId="8" xfId="0" applyNumberFormat="1" applyFont="1" applyFill="1" applyBorder="1" applyAlignment="1">
      <alignment horizontal="center"/>
    </xf>
    <xf numFmtId="168" fontId="14" fillId="8" borderId="8" xfId="0" applyNumberFormat="1" applyFont="1" applyFill="1" applyBorder="1" applyAlignment="1">
      <alignment horizontal="center" vertical="center" wrapText="1"/>
    </xf>
    <xf numFmtId="170" fontId="14" fillId="8" borderId="8" xfId="0" applyNumberFormat="1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" fontId="14" fillId="8" borderId="8" xfId="0" applyNumberFormat="1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/>
    </xf>
    <xf numFmtId="0" fontId="17" fillId="9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22" fontId="17" fillId="9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168" fontId="1" fillId="8" borderId="8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1" fontId="14" fillId="0" borderId="12" xfId="0" applyNumberFormat="1" applyFont="1" applyBorder="1" applyAlignment="1">
      <alignment horizontal="center" vertical="center"/>
    </xf>
    <xf numFmtId="169" fontId="14" fillId="0" borderId="12" xfId="0" applyNumberFormat="1" applyFont="1" applyBorder="1" applyAlignment="1">
      <alignment horizontal="center" vertical="center"/>
    </xf>
    <xf numFmtId="166" fontId="14" fillId="0" borderId="12" xfId="2" applyNumberFormat="1" applyFont="1" applyBorder="1" applyAlignment="1">
      <alignment horizontal="center" vertical="center"/>
    </xf>
    <xf numFmtId="169" fontId="14" fillId="3" borderId="12" xfId="0" applyNumberFormat="1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171" fontId="12" fillId="6" borderId="8" xfId="0" applyNumberFormat="1" applyFont="1" applyFill="1" applyBorder="1" applyAlignment="1">
      <alignment horizontal="center" vertical="center"/>
    </xf>
    <xf numFmtId="171" fontId="14" fillId="6" borderId="12" xfId="0" applyNumberFormat="1" applyFont="1" applyFill="1" applyBorder="1" applyAlignment="1">
      <alignment horizontal="center" vertical="center"/>
    </xf>
    <xf numFmtId="169" fontId="14" fillId="6" borderId="12" xfId="0" applyNumberFormat="1" applyFont="1" applyFill="1" applyBorder="1" applyAlignment="1">
      <alignment horizontal="center" vertical="center"/>
    </xf>
    <xf numFmtId="166" fontId="14" fillId="6" borderId="12" xfId="2" applyNumberFormat="1" applyFont="1" applyFill="1" applyBorder="1" applyAlignment="1">
      <alignment horizontal="center" vertical="center"/>
    </xf>
    <xf numFmtId="171" fontId="14" fillId="6" borderId="8" xfId="0" applyNumberFormat="1" applyFont="1" applyFill="1" applyBorder="1" applyAlignment="1">
      <alignment horizontal="center" vertical="center"/>
    </xf>
    <xf numFmtId="169" fontId="14" fillId="6" borderId="8" xfId="0" applyNumberFormat="1" applyFont="1" applyFill="1" applyBorder="1" applyAlignment="1">
      <alignment horizontal="center" vertical="center"/>
    </xf>
    <xf numFmtId="166" fontId="14" fillId="6" borderId="8" xfId="2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6" borderId="0" xfId="0" applyFill="1" applyAlignment="1">
      <alignment vertical="center"/>
    </xf>
    <xf numFmtId="0" fontId="17" fillId="6" borderId="13" xfId="0" applyFont="1" applyFill="1" applyBorder="1" applyAlignment="1">
      <alignment horizontal="center" vertical="center" wrapText="1"/>
    </xf>
    <xf numFmtId="22" fontId="17" fillId="6" borderId="1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8" fillId="6" borderId="0" xfId="0" applyFont="1" applyFill="1" applyAlignment="1">
      <alignment horizontal="center" vertical="center"/>
    </xf>
    <xf numFmtId="170" fontId="1" fillId="6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7" fillId="7" borderId="13" xfId="0" applyFont="1" applyFill="1" applyBorder="1" applyAlignment="1">
      <alignment horizontal="center" vertical="center" wrapText="1"/>
    </xf>
    <xf numFmtId="0" fontId="17" fillId="9" borderId="13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14" fontId="4" fillId="0" borderId="16" xfId="0" applyNumberFormat="1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67" fontId="3" fillId="0" borderId="16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8" fontId="3" fillId="0" borderId="16" xfId="0" applyNumberFormat="1" applyFont="1" applyBorder="1" applyAlignment="1">
      <alignment vertical="center"/>
    </xf>
    <xf numFmtId="168" fontId="0" fillId="0" borderId="16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169" fontId="7" fillId="0" borderId="16" xfId="2" applyNumberFormat="1" applyFont="1" applyBorder="1" applyAlignment="1">
      <alignment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168" fontId="9" fillId="4" borderId="20" xfId="0" applyNumberFormat="1" applyFont="1" applyFill="1" applyBorder="1" applyAlignment="1">
      <alignment horizontal="center" vertical="center" wrapText="1"/>
    </xf>
    <xf numFmtId="169" fontId="11" fillId="2" borderId="21" xfId="0" applyNumberFormat="1" applyFont="1" applyFill="1" applyBorder="1" applyAlignment="1">
      <alignment horizontal="center" vertical="center"/>
    </xf>
    <xf numFmtId="169" fontId="8" fillId="3" borderId="22" xfId="0" applyNumberFormat="1" applyFont="1" applyFill="1" applyBorder="1" applyAlignment="1">
      <alignment horizontal="center" vertical="center"/>
    </xf>
    <xf numFmtId="170" fontId="1" fillId="8" borderId="9" xfId="0" applyNumberFormat="1" applyFont="1" applyFill="1" applyBorder="1" applyAlignment="1">
      <alignment horizontal="center"/>
    </xf>
    <xf numFmtId="0" fontId="1" fillId="0" borderId="8" xfId="0" applyFont="1" applyBorder="1"/>
    <xf numFmtId="0" fontId="17" fillId="7" borderId="23" xfId="0" applyFont="1" applyFill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7" fontId="3" fillId="0" borderId="14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8" fontId="3" fillId="0" borderId="14" xfId="0" applyNumberFormat="1" applyFont="1" applyBorder="1" applyAlignment="1">
      <alignment vertical="center"/>
    </xf>
    <xf numFmtId="168" fontId="0" fillId="0" borderId="14" xfId="0" applyNumberFormat="1" applyBorder="1" applyAlignment="1">
      <alignment vertical="center"/>
    </xf>
    <xf numFmtId="0" fontId="9" fillId="4" borderId="24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/>
    </xf>
    <xf numFmtId="168" fontId="9" fillId="4" borderId="24" xfId="0" applyNumberFormat="1" applyFont="1" applyFill="1" applyBorder="1" applyAlignment="1">
      <alignment horizontal="center" vertical="center" wrapText="1"/>
    </xf>
    <xf numFmtId="169" fontId="8" fillId="3" borderId="25" xfId="0" applyNumberFormat="1" applyFont="1" applyFill="1" applyBorder="1" applyAlignment="1">
      <alignment horizontal="center" vertical="center"/>
    </xf>
    <xf numFmtId="2" fontId="12" fillId="3" borderId="8" xfId="0" applyNumberFormat="1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170" fontId="1" fillId="11" borderId="8" xfId="0" applyNumberFormat="1" applyFont="1" applyFill="1" applyBorder="1" applyAlignment="1">
      <alignment horizontal="center"/>
    </xf>
    <xf numFmtId="0" fontId="1" fillId="8" borderId="0" xfId="0" applyFont="1" applyFill="1" applyAlignment="1">
      <alignment vertical="center"/>
    </xf>
    <xf numFmtId="16" fontId="1" fillId="11" borderId="8" xfId="0" applyNumberFormat="1" applyFont="1" applyFill="1" applyBorder="1" applyAlignment="1">
      <alignment horizontal="center"/>
    </xf>
    <xf numFmtId="0" fontId="14" fillId="11" borderId="8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16" fontId="14" fillId="6" borderId="8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/>
    </xf>
    <xf numFmtId="0" fontId="14" fillId="12" borderId="8" xfId="0" applyFont="1" applyFill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/>
    </xf>
    <xf numFmtId="170" fontId="1" fillId="6" borderId="9" xfId="0" applyNumberFormat="1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168" fontId="1" fillId="6" borderId="8" xfId="0" applyNumberFormat="1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/>
    </xf>
    <xf numFmtId="0" fontId="14" fillId="6" borderId="26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4" fillId="6" borderId="26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vertical="center"/>
    </xf>
    <xf numFmtId="0" fontId="23" fillId="13" borderId="9" xfId="0" applyFont="1" applyFill="1" applyBorder="1" applyAlignment="1">
      <alignment vertical="center"/>
    </xf>
    <xf numFmtId="0" fontId="23" fillId="13" borderId="27" xfId="0" applyFont="1" applyFill="1" applyBorder="1" applyAlignment="1">
      <alignment vertical="center"/>
    </xf>
    <xf numFmtId="0" fontId="22" fillId="13" borderId="27" xfId="0" applyFont="1" applyFill="1" applyBorder="1" applyAlignment="1">
      <alignment vertical="center"/>
    </xf>
    <xf numFmtId="0" fontId="22" fillId="13" borderId="10" xfId="0" applyFont="1" applyFill="1" applyBorder="1" applyAlignment="1">
      <alignment vertical="center"/>
    </xf>
    <xf numFmtId="0" fontId="23" fillId="14" borderId="9" xfId="0" applyFont="1" applyFill="1" applyBorder="1" applyAlignment="1">
      <alignment vertical="center"/>
    </xf>
    <xf numFmtId="0" fontId="23" fillId="14" borderId="27" xfId="0" applyFont="1" applyFill="1" applyBorder="1" applyAlignment="1">
      <alignment vertical="center"/>
    </xf>
    <xf numFmtId="0" fontId="22" fillId="14" borderId="27" xfId="0" applyFont="1" applyFill="1" applyBorder="1" applyAlignment="1">
      <alignment vertical="center"/>
    </xf>
    <xf numFmtId="0" fontId="22" fillId="14" borderId="10" xfId="0" applyFont="1" applyFill="1" applyBorder="1" applyAlignment="1">
      <alignment vertical="center"/>
    </xf>
    <xf numFmtId="0" fontId="22" fillId="0" borderId="28" xfId="0" applyFont="1" applyBorder="1"/>
    <xf numFmtId="0" fontId="23" fillId="13" borderId="8" xfId="0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center" vertical="center" wrapText="1"/>
    </xf>
    <xf numFmtId="0" fontId="22" fillId="0" borderId="29" xfId="0" applyFont="1" applyBorder="1"/>
    <xf numFmtId="0" fontId="22" fillId="0" borderId="30" xfId="0" applyFont="1" applyBorder="1"/>
    <xf numFmtId="0" fontId="23" fillId="0" borderId="8" xfId="0" applyFont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164" fontId="23" fillId="0" borderId="8" xfId="1" applyFont="1" applyBorder="1" applyAlignment="1">
      <alignment horizontal="center" vertical="center"/>
    </xf>
    <xf numFmtId="0" fontId="23" fillId="0" borderId="8" xfId="0" applyFont="1" applyBorder="1" applyAlignment="1">
      <alignment horizontal="right" vertical="center"/>
    </xf>
    <xf numFmtId="43" fontId="22" fillId="0" borderId="31" xfId="0" applyNumberFormat="1" applyFont="1" applyBorder="1"/>
    <xf numFmtId="43" fontId="22" fillId="0" borderId="32" xfId="0" applyNumberFormat="1" applyFont="1" applyBorder="1"/>
    <xf numFmtId="0" fontId="23" fillId="15" borderId="8" xfId="0" applyFont="1" applyFill="1" applyBorder="1" applyAlignment="1">
      <alignment horizontal="left" vertical="center"/>
    </xf>
    <xf numFmtId="0" fontId="23" fillId="15" borderId="8" xfId="0" applyFont="1" applyFill="1" applyBorder="1" applyAlignment="1">
      <alignment horizontal="center" vertical="center"/>
    </xf>
    <xf numFmtId="164" fontId="23" fillId="15" borderId="8" xfId="1" applyFont="1" applyFill="1" applyBorder="1" applyAlignment="1">
      <alignment horizontal="center" vertical="center"/>
    </xf>
    <xf numFmtId="164" fontId="23" fillId="15" borderId="8" xfId="1" applyFont="1" applyFill="1" applyBorder="1" applyAlignment="1">
      <alignment horizontal="right" vertical="center"/>
    </xf>
    <xf numFmtId="43" fontId="22" fillId="8" borderId="0" xfId="0" applyNumberFormat="1" applyFont="1" applyFill="1"/>
    <xf numFmtId="43" fontId="22" fillId="8" borderId="33" xfId="0" applyNumberFormat="1" applyFont="1" applyFill="1" applyBorder="1"/>
    <xf numFmtId="0" fontId="23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center" vertical="center"/>
    </xf>
    <xf numFmtId="164" fontId="23" fillId="2" borderId="8" xfId="1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right" vertical="center"/>
    </xf>
    <xf numFmtId="164" fontId="23" fillId="2" borderId="8" xfId="1" applyFont="1" applyFill="1" applyBorder="1" applyAlignment="1">
      <alignment horizontal="right" vertical="center"/>
    </xf>
    <xf numFmtId="43" fontId="22" fillId="0" borderId="0" xfId="0" applyNumberFormat="1" applyFont="1"/>
    <xf numFmtId="43" fontId="22" fillId="0" borderId="33" xfId="0" applyNumberFormat="1" applyFont="1" applyBorder="1"/>
    <xf numFmtId="0" fontId="5" fillId="15" borderId="8" xfId="0" applyFont="1" applyFill="1" applyBorder="1" applyAlignment="1">
      <alignment horizontal="left" vertical="center"/>
    </xf>
    <xf numFmtId="0" fontId="5" fillId="15" borderId="8" xfId="0" applyFont="1" applyFill="1" applyBorder="1" applyAlignment="1">
      <alignment horizontal="center" vertical="center"/>
    </xf>
    <xf numFmtId="164" fontId="5" fillId="15" borderId="8" xfId="1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right" vertical="center"/>
    </xf>
    <xf numFmtId="164" fontId="5" fillId="15" borderId="8" xfId="1" applyFont="1" applyFill="1" applyBorder="1" applyAlignment="1">
      <alignment horizontal="right" vertical="center"/>
    </xf>
    <xf numFmtId="0" fontId="22" fillId="0" borderId="34" xfId="0" applyFont="1" applyBorder="1"/>
    <xf numFmtId="43" fontId="24" fillId="0" borderId="28" xfId="0" applyNumberFormat="1" applyFont="1" applyBorder="1"/>
    <xf numFmtId="43" fontId="24" fillId="0" borderId="35" xfId="0" applyNumberFormat="1" applyFont="1" applyBorder="1"/>
    <xf numFmtId="164" fontId="5" fillId="3" borderId="0" xfId="1" applyFont="1" applyFill="1" applyAlignment="1">
      <alignment vertical="center"/>
    </xf>
    <xf numFmtId="0" fontId="26" fillId="4" borderId="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5" fillId="14" borderId="8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 vertical="center" wrapText="1"/>
    </xf>
    <xf numFmtId="170" fontId="32" fillId="6" borderId="8" xfId="0" applyNumberFormat="1" applyFont="1" applyFill="1" applyBorder="1" applyAlignment="1">
      <alignment horizontal="center"/>
    </xf>
    <xf numFmtId="171" fontId="6" fillId="6" borderId="8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69" fontId="1" fillId="6" borderId="8" xfId="0" applyNumberFormat="1" applyFont="1" applyFill="1" applyBorder="1" applyAlignment="1">
      <alignment horizontal="center" vertical="center"/>
    </xf>
    <xf numFmtId="166" fontId="1" fillId="6" borderId="8" xfId="2" applyNumberFormat="1" applyFont="1" applyFill="1" applyBorder="1" applyAlignment="1">
      <alignment horizontal="center" vertical="center"/>
    </xf>
    <xf numFmtId="168" fontId="33" fillId="6" borderId="8" xfId="0" applyNumberFormat="1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16" fontId="1" fillId="11" borderId="8" xfId="0" applyNumberFormat="1" applyFont="1" applyFill="1" applyBorder="1" applyAlignment="1">
      <alignment horizontal="center" vertical="center"/>
    </xf>
    <xf numFmtId="168" fontId="34" fillId="6" borderId="8" xfId="0" applyNumberFormat="1" applyFont="1" applyFill="1" applyBorder="1" applyAlignment="1">
      <alignment horizontal="center" vertical="center" wrapText="1"/>
    </xf>
    <xf numFmtId="0" fontId="32" fillId="6" borderId="8" xfId="0" applyFont="1" applyFill="1" applyBorder="1" applyAlignment="1">
      <alignment horizontal="center" vertical="center"/>
    </xf>
    <xf numFmtId="0" fontId="32" fillId="6" borderId="8" xfId="0" applyFont="1" applyFill="1" applyBorder="1" applyAlignment="1">
      <alignment horizontal="center"/>
    </xf>
    <xf numFmtId="16" fontId="32" fillId="6" borderId="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168" fontId="35" fillId="6" borderId="8" xfId="0" applyNumberFormat="1" applyFont="1" applyFill="1" applyBorder="1" applyAlignment="1">
      <alignment horizontal="center" vertical="center" wrapText="1"/>
    </xf>
    <xf numFmtId="0" fontId="33" fillId="6" borderId="8" xfId="0" applyFont="1" applyFill="1" applyBorder="1" applyAlignment="1">
      <alignment horizontal="center" vertical="center"/>
    </xf>
    <xf numFmtId="0" fontId="36" fillId="6" borderId="8" xfId="0" applyFont="1" applyFill="1" applyBorder="1" applyAlignment="1">
      <alignment horizontal="center" vertical="center"/>
    </xf>
    <xf numFmtId="0" fontId="37" fillId="6" borderId="8" xfId="0" applyFont="1" applyFill="1" applyBorder="1" applyAlignment="1">
      <alignment horizontal="center" vertical="center"/>
    </xf>
    <xf numFmtId="0" fontId="37" fillId="6" borderId="8" xfId="0" applyFont="1" applyFill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168" fontId="34" fillId="4" borderId="8" xfId="0" applyNumberFormat="1" applyFont="1" applyFill="1" applyBorder="1" applyAlignment="1">
      <alignment horizontal="center" vertical="center" wrapText="1"/>
    </xf>
    <xf numFmtId="168" fontId="35" fillId="4" borderId="8" xfId="0" applyNumberFormat="1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vertical="center"/>
    </xf>
    <xf numFmtId="0" fontId="19" fillId="6" borderId="8" xfId="0" applyFont="1" applyFill="1" applyBorder="1" applyAlignment="1">
      <alignment vertical="center"/>
    </xf>
    <xf numFmtId="168" fontId="14" fillId="11" borderId="8" xfId="0" applyNumberFormat="1" applyFont="1" applyFill="1" applyBorder="1" applyAlignment="1">
      <alignment horizontal="center" vertical="center" wrapText="1"/>
    </xf>
    <xf numFmtId="1" fontId="1" fillId="11" borderId="8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70" fontId="1" fillId="6" borderId="1" xfId="0" applyNumberFormat="1" applyFont="1" applyFill="1" applyBorder="1" applyAlignment="1">
      <alignment horizontal="center"/>
    </xf>
    <xf numFmtId="2" fontId="23" fillId="0" borderId="8" xfId="0" applyNumberFormat="1" applyFont="1" applyBorder="1" applyAlignment="1">
      <alignment horizontal="right" vertical="center"/>
    </xf>
    <xf numFmtId="2" fontId="23" fillId="0" borderId="8" xfId="1" applyNumberFormat="1" applyFont="1" applyBorder="1" applyAlignment="1">
      <alignment horizontal="right" vertical="center"/>
    </xf>
    <xf numFmtId="2" fontId="21" fillId="6" borderId="8" xfId="0" applyNumberFormat="1" applyFont="1" applyFill="1" applyBorder="1" applyAlignment="1">
      <alignment horizontal="right" vertical="center" wrapText="1"/>
    </xf>
    <xf numFmtId="2" fontId="23" fillId="15" borderId="8" xfId="1" applyNumberFormat="1" applyFont="1" applyFill="1" applyBorder="1" applyAlignment="1">
      <alignment horizontal="right" vertical="center"/>
    </xf>
    <xf numFmtId="0" fontId="1" fillId="11" borderId="8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169" fontId="8" fillId="3" borderId="2" xfId="0" applyNumberFormat="1" applyFont="1" applyFill="1" applyBorder="1" applyAlignment="1">
      <alignment horizontal="center" vertical="center"/>
    </xf>
    <xf numFmtId="169" fontId="8" fillId="3" borderId="3" xfId="0" applyNumberFormat="1" applyFont="1" applyFill="1" applyBorder="1" applyAlignment="1">
      <alignment horizontal="center" vertical="center"/>
    </xf>
    <xf numFmtId="169" fontId="8" fillId="3" borderId="4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9" fontId="8" fillId="3" borderId="15" xfId="0" applyNumberFormat="1" applyFont="1" applyFill="1" applyBorder="1" applyAlignment="1">
      <alignment horizontal="center" vertical="center"/>
    </xf>
    <xf numFmtId="169" fontId="8" fillId="3" borderId="16" xfId="0" applyNumberFormat="1" applyFont="1" applyFill="1" applyBorder="1" applyAlignment="1">
      <alignment horizontal="center" vertical="center"/>
    </xf>
    <xf numFmtId="169" fontId="8" fillId="3" borderId="18" xfId="0" applyNumberFormat="1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Normal 4 4" xfId="3" xr:uid="{00000000-0005-0000-0000-000031000000}"/>
    <cellStyle name="Normal 69" xfId="4" xr:uid="{00000000-0005-0000-0000-000032000000}"/>
  </cellStyles>
  <dxfs count="87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238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2860" y="381571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238</xdr:row>
      <xdr:rowOff>0</xdr:rowOff>
    </xdr:from>
    <xdr:ext cx="12700" cy="12700"/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27555" y="381571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238</xdr:row>
      <xdr:rowOff>0</xdr:rowOff>
    </xdr:from>
    <xdr:ext cx="12700" cy="12700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42055" y="381571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238</xdr:row>
      <xdr:rowOff>0</xdr:rowOff>
    </xdr:from>
    <xdr:ext cx="12700" cy="12700"/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08725" y="381571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238</xdr:row>
      <xdr:rowOff>0</xdr:rowOff>
    </xdr:from>
    <xdr:ext cx="0" cy="9525"/>
    <xdr:pic>
      <xdr:nvPicPr>
        <xdr:cNvPr id="770" name="Picture 76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42055" y="3815715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289</xdr:row>
      <xdr:rowOff>0</xdr:rowOff>
    </xdr:from>
    <xdr:ext cx="12700" cy="12700"/>
    <xdr:pic>
      <xdr:nvPicPr>
        <xdr:cNvPr id="2898" name="Picture 2897" descr="https://mail.google.com/mail/u/0/images/cleardot.gif">
          <a:extLst>
            <a:ext uri="{FF2B5EF4-FFF2-40B4-BE49-F238E27FC236}">
              <a16:creationId xmlns:a16="http://schemas.microsoft.com/office/drawing/2014/main" id="{00000000-0008-0000-01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2860" y="4718304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59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45D587AA-4D5F-43D3-9B0B-C6E4D6AD9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6300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83F1281B-E68B-4E08-A74A-D22D06131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6300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12F6E52A-8CB6-4713-B569-3CF15D884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6300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6F2B5104-1701-43FB-BAD0-D0F7D1333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6300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89602756-314F-49EF-9B49-19A669D4B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830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4BDB7ADB-C065-4C88-AC57-482E57293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830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F810DF51-6AA6-4411-8303-C1E2D39F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830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242538D2-4FC9-4D27-AF5F-8EBBC19F6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1830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2860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12700" cy="12700"/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266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5342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41</xdr:row>
      <xdr:rowOff>0</xdr:rowOff>
    </xdr:from>
    <xdr:ext cx="12700" cy="12700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716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41</xdr:row>
      <xdr:rowOff>0</xdr:rowOff>
    </xdr:from>
    <xdr:ext cx="12700" cy="12700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2109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41</xdr:row>
      <xdr:rowOff>0</xdr:rowOff>
    </xdr:from>
    <xdr:ext cx="12700" cy="12700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2109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12700" cy="12700"/>
    <xdr:pic>
      <xdr:nvPicPr>
        <xdr:cNvPr id="506" name="Picture 505" descr="https://mail.google.com/mail/u/0/images/cleardot.gif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2860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12700" cy="12700"/>
    <xdr:pic>
      <xdr:nvPicPr>
        <xdr:cNvPr id="786" name="Picture 785" descr="https://mail.google.com/mail/u/0/images/cleardot.gif">
          <a:extLst>
            <a:ext uri="{FF2B5EF4-FFF2-40B4-BE49-F238E27FC236}">
              <a16:creationId xmlns:a16="http://schemas.microsoft.com/office/drawing/2014/main" id="{00000000-0008-0000-04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266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</xdr:row>
      <xdr:rowOff>0</xdr:rowOff>
    </xdr:from>
    <xdr:ext cx="0" cy="9525"/>
    <xdr:pic>
      <xdr:nvPicPr>
        <xdr:cNvPr id="802" name="Picture 801">
          <a:extLst>
            <a:ext uri="{FF2B5EF4-FFF2-40B4-BE49-F238E27FC236}">
              <a16:creationId xmlns:a16="http://schemas.microsoft.com/office/drawing/2014/main" id="{00000000-0008-0000-04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7165" y="8258175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</xdr:row>
      <xdr:rowOff>0</xdr:rowOff>
    </xdr:from>
    <xdr:ext cx="12700" cy="12700"/>
    <xdr:pic>
      <xdr:nvPicPr>
        <xdr:cNvPr id="834" name="Picture 833">
          <a:extLst>
            <a:ext uri="{FF2B5EF4-FFF2-40B4-BE49-F238E27FC236}">
              <a16:creationId xmlns:a16="http://schemas.microsoft.com/office/drawing/2014/main" id="{00000000-0008-0000-04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716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41</xdr:row>
      <xdr:rowOff>0</xdr:rowOff>
    </xdr:from>
    <xdr:ext cx="12700" cy="12700"/>
    <xdr:pic>
      <xdr:nvPicPr>
        <xdr:cNvPr id="882" name="Picture 881">
          <a:extLst>
            <a:ext uri="{FF2B5EF4-FFF2-40B4-BE49-F238E27FC236}">
              <a16:creationId xmlns:a16="http://schemas.microsoft.com/office/drawing/2014/main" id="{00000000-0008-0000-04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2109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41</xdr:row>
      <xdr:rowOff>0</xdr:rowOff>
    </xdr:from>
    <xdr:ext cx="12700" cy="12700"/>
    <xdr:pic>
      <xdr:nvPicPr>
        <xdr:cNvPr id="914" name="Picture 913">
          <a:extLst>
            <a:ext uri="{FF2B5EF4-FFF2-40B4-BE49-F238E27FC236}">
              <a16:creationId xmlns:a16="http://schemas.microsoft.com/office/drawing/2014/main" id="{00000000-0008-0000-04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2109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12700" cy="12700"/>
    <xdr:pic>
      <xdr:nvPicPr>
        <xdr:cNvPr id="978" name="Picture 977" descr="https://mail.google.com/mail/u/0/images/cleardot.gif">
          <a:extLst>
            <a:ext uri="{FF2B5EF4-FFF2-40B4-BE49-F238E27FC236}">
              <a16:creationId xmlns:a16="http://schemas.microsoft.com/office/drawing/2014/main" id="{00000000-0008-0000-04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2860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12700" cy="12700"/>
    <xdr:pic>
      <xdr:nvPicPr>
        <xdr:cNvPr id="1258" name="Picture 1257" descr="https://mail.google.com/mail/u/0/images/cleardot.gif">
          <a:extLst>
            <a:ext uri="{FF2B5EF4-FFF2-40B4-BE49-F238E27FC236}">
              <a16:creationId xmlns:a16="http://schemas.microsoft.com/office/drawing/2014/main" id="{00000000-0008-0000-0400-0000E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266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</xdr:row>
      <xdr:rowOff>0</xdr:rowOff>
    </xdr:from>
    <xdr:ext cx="0" cy="9525"/>
    <xdr:pic>
      <xdr:nvPicPr>
        <xdr:cNvPr id="1274" name="Picture 1273">
          <a:extLst>
            <a:ext uri="{FF2B5EF4-FFF2-40B4-BE49-F238E27FC236}">
              <a16:creationId xmlns:a16="http://schemas.microsoft.com/office/drawing/2014/main" id="{00000000-0008-0000-0400-0000F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7165" y="8258175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</xdr:row>
      <xdr:rowOff>0</xdr:rowOff>
    </xdr:from>
    <xdr:ext cx="12700" cy="12700"/>
    <xdr:pic>
      <xdr:nvPicPr>
        <xdr:cNvPr id="1306" name="Picture 1305">
          <a:extLst>
            <a:ext uri="{FF2B5EF4-FFF2-40B4-BE49-F238E27FC236}">
              <a16:creationId xmlns:a16="http://schemas.microsoft.com/office/drawing/2014/main" id="{00000000-0008-0000-0400-00001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716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41</xdr:row>
      <xdr:rowOff>0</xdr:rowOff>
    </xdr:from>
    <xdr:ext cx="12700" cy="12700"/>
    <xdr:pic>
      <xdr:nvPicPr>
        <xdr:cNvPr id="1354" name="Picture 1353">
          <a:extLst>
            <a:ext uri="{FF2B5EF4-FFF2-40B4-BE49-F238E27FC236}">
              <a16:creationId xmlns:a16="http://schemas.microsoft.com/office/drawing/2014/main" id="{00000000-0008-0000-04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2109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41</xdr:row>
      <xdr:rowOff>0</xdr:rowOff>
    </xdr:from>
    <xdr:ext cx="12700" cy="12700"/>
    <xdr:pic>
      <xdr:nvPicPr>
        <xdr:cNvPr id="1450" name="Picture 1449">
          <a:extLst>
            <a:ext uri="{FF2B5EF4-FFF2-40B4-BE49-F238E27FC236}">
              <a16:creationId xmlns:a16="http://schemas.microsoft.com/office/drawing/2014/main" id="{00000000-0008-0000-0400-0000A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21095" y="8258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0</xdr:col>
      <xdr:colOff>0</xdr:colOff>
      <xdr:row>57</xdr:row>
      <xdr:rowOff>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9225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628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631F2AEB-A6EA-4721-92BB-D78AE367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3" name="Picture 2">
          <a:extLst>
            <a:ext uri="{FF2B5EF4-FFF2-40B4-BE49-F238E27FC236}">
              <a16:creationId xmlns:a16="http://schemas.microsoft.com/office/drawing/2014/main" id="{FDFA71B8-7686-4963-8D05-DB357A56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28FABF55-A266-4FCD-B607-5B4DFE18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5" name="Picture 4">
          <a:extLst>
            <a:ext uri="{FF2B5EF4-FFF2-40B4-BE49-F238E27FC236}">
              <a16:creationId xmlns:a16="http://schemas.microsoft.com/office/drawing/2014/main" id="{D594A696-6FAE-4562-A753-17E725716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9EF440EF-66F4-433B-9186-F90036B5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7" name="Picture 6">
          <a:extLst>
            <a:ext uri="{FF2B5EF4-FFF2-40B4-BE49-F238E27FC236}">
              <a16:creationId xmlns:a16="http://schemas.microsoft.com/office/drawing/2014/main" id="{BB20BDD8-8E50-4966-94EC-BC5F738E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8" name="Picture 7">
          <a:extLst>
            <a:ext uri="{FF2B5EF4-FFF2-40B4-BE49-F238E27FC236}">
              <a16:creationId xmlns:a16="http://schemas.microsoft.com/office/drawing/2014/main" id="{65B71B81-259B-4F20-BB54-089B4CFCA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9" name="Picture 8">
          <a:extLst>
            <a:ext uri="{FF2B5EF4-FFF2-40B4-BE49-F238E27FC236}">
              <a16:creationId xmlns:a16="http://schemas.microsoft.com/office/drawing/2014/main" id="{F754BBB6-3815-4AFE-B638-7538532B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6D3CD895-2DDB-4CB2-A6D8-27BDB40E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11" name="Picture 10">
          <a:extLst>
            <a:ext uri="{FF2B5EF4-FFF2-40B4-BE49-F238E27FC236}">
              <a16:creationId xmlns:a16="http://schemas.microsoft.com/office/drawing/2014/main" id="{65D5D8A3-AF01-4478-9E58-011515D1B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12" name="Picture 11">
          <a:extLst>
            <a:ext uri="{FF2B5EF4-FFF2-40B4-BE49-F238E27FC236}">
              <a16:creationId xmlns:a16="http://schemas.microsoft.com/office/drawing/2014/main" id="{7A135DB2-3D99-4168-8A1D-1C67152DD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13" name="Picture 12">
          <a:extLst>
            <a:ext uri="{FF2B5EF4-FFF2-40B4-BE49-F238E27FC236}">
              <a16:creationId xmlns:a16="http://schemas.microsoft.com/office/drawing/2014/main" id="{EF259986-2B21-4601-B251-CDBC17D03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F8B75205-4F6C-4198-9B0C-3530E57A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15" name="Picture 14">
          <a:extLst>
            <a:ext uri="{FF2B5EF4-FFF2-40B4-BE49-F238E27FC236}">
              <a16:creationId xmlns:a16="http://schemas.microsoft.com/office/drawing/2014/main" id="{E9DC5E89-7C79-4EE2-8F6A-4EA1E5DCA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16" name="Picture 15">
          <a:extLst>
            <a:ext uri="{FF2B5EF4-FFF2-40B4-BE49-F238E27FC236}">
              <a16:creationId xmlns:a16="http://schemas.microsoft.com/office/drawing/2014/main" id="{35135942-05E4-4C7A-A2C3-E720450E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17" name="Picture 16">
          <a:extLst>
            <a:ext uri="{FF2B5EF4-FFF2-40B4-BE49-F238E27FC236}">
              <a16:creationId xmlns:a16="http://schemas.microsoft.com/office/drawing/2014/main" id="{B4BC080F-E0C3-417B-9189-996005ADE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4CD0A3C9-7EBA-42F0-AF7C-57F2FF860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19" name="Picture 18">
          <a:extLst>
            <a:ext uri="{FF2B5EF4-FFF2-40B4-BE49-F238E27FC236}">
              <a16:creationId xmlns:a16="http://schemas.microsoft.com/office/drawing/2014/main" id="{81D6C59A-2418-4AA7-A943-3A6BF092D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20" name="Picture 19">
          <a:extLst>
            <a:ext uri="{FF2B5EF4-FFF2-40B4-BE49-F238E27FC236}">
              <a16:creationId xmlns:a16="http://schemas.microsoft.com/office/drawing/2014/main" id="{CAF196AE-EBBB-482D-A562-E5C12BB53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21" name="Picture 20">
          <a:extLst>
            <a:ext uri="{FF2B5EF4-FFF2-40B4-BE49-F238E27FC236}">
              <a16:creationId xmlns:a16="http://schemas.microsoft.com/office/drawing/2014/main" id="{509A2E2D-4FDC-43D5-BFD8-4AF41A3BC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2C48D7A0-F876-4AF7-BAF9-3BD99BD0E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23" name="Picture 22">
          <a:extLst>
            <a:ext uri="{FF2B5EF4-FFF2-40B4-BE49-F238E27FC236}">
              <a16:creationId xmlns:a16="http://schemas.microsoft.com/office/drawing/2014/main" id="{80148127-DEF8-40D3-B35A-31F2389B2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24" name="Picture 23">
          <a:extLst>
            <a:ext uri="{FF2B5EF4-FFF2-40B4-BE49-F238E27FC236}">
              <a16:creationId xmlns:a16="http://schemas.microsoft.com/office/drawing/2014/main" id="{48D78B8D-DFBD-4941-90DA-08B0A53F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25" name="Picture 24">
          <a:extLst>
            <a:ext uri="{FF2B5EF4-FFF2-40B4-BE49-F238E27FC236}">
              <a16:creationId xmlns:a16="http://schemas.microsoft.com/office/drawing/2014/main" id="{395C8CEE-6E3D-4F04-9C93-B4D050B48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9C445EC9-696B-4D36-84F4-58B8B838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27" name="Picture 26">
          <a:extLst>
            <a:ext uri="{FF2B5EF4-FFF2-40B4-BE49-F238E27FC236}">
              <a16:creationId xmlns:a16="http://schemas.microsoft.com/office/drawing/2014/main" id="{91A1D0B7-7807-4D3B-BB73-CE18739D0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28" name="Picture 27">
          <a:extLst>
            <a:ext uri="{FF2B5EF4-FFF2-40B4-BE49-F238E27FC236}">
              <a16:creationId xmlns:a16="http://schemas.microsoft.com/office/drawing/2014/main" id="{66D6E988-93DA-4003-875D-D10295FE6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29" name="Picture 28">
          <a:extLst>
            <a:ext uri="{FF2B5EF4-FFF2-40B4-BE49-F238E27FC236}">
              <a16:creationId xmlns:a16="http://schemas.microsoft.com/office/drawing/2014/main" id="{AEB6C898-8D4F-40D4-A439-4CFBE6D24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11955E6A-132E-4115-9042-E65E0306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12700" cy="12700"/>
    <xdr:pic>
      <xdr:nvPicPr>
        <xdr:cNvPr id="31" name="Picture 30">
          <a:extLst>
            <a:ext uri="{FF2B5EF4-FFF2-40B4-BE49-F238E27FC236}">
              <a16:creationId xmlns:a16="http://schemas.microsoft.com/office/drawing/2014/main" id="{5E45A793-0DAB-4A1F-95A4-373BE39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54</xdr:row>
      <xdr:rowOff>0</xdr:rowOff>
    </xdr:from>
    <xdr:ext cx="12700" cy="12700"/>
    <xdr:pic>
      <xdr:nvPicPr>
        <xdr:cNvPr id="32" name="Picture 31">
          <a:extLst>
            <a:ext uri="{FF2B5EF4-FFF2-40B4-BE49-F238E27FC236}">
              <a16:creationId xmlns:a16="http://schemas.microsoft.com/office/drawing/2014/main" id="{5C5EF5E9-0566-4A9F-8E0D-CA1228BD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54</xdr:row>
      <xdr:rowOff>0</xdr:rowOff>
    </xdr:from>
    <xdr:ext cx="0" cy="9525"/>
    <xdr:pic>
      <xdr:nvPicPr>
        <xdr:cNvPr id="33" name="Picture 32">
          <a:extLst>
            <a:ext uri="{FF2B5EF4-FFF2-40B4-BE49-F238E27FC236}">
              <a16:creationId xmlns:a16="http://schemas.microsoft.com/office/drawing/2014/main" id="{BFCF8F40-EB23-4A4C-B531-C4EAE903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0" y="90678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43</xdr:row>
      <xdr:rowOff>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8275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P22"/>
  <sheetViews>
    <sheetView tabSelected="1" topLeftCell="A7" zoomScale="85" zoomScaleNormal="85" workbookViewId="0">
      <selection activeCell="F24" sqref="F24"/>
    </sheetView>
  </sheetViews>
  <sheetFormatPr defaultColWidth="9" defaultRowHeight="15"/>
  <cols>
    <col min="1" max="1" width="3.140625" customWidth="1"/>
    <col min="2" max="2" width="15.85546875" customWidth="1"/>
    <col min="3" max="3" width="13.85546875" customWidth="1"/>
    <col min="4" max="4" width="14.140625" customWidth="1"/>
    <col min="5" max="5" width="19.5703125" customWidth="1"/>
    <col min="6" max="6" width="15.7109375" customWidth="1"/>
    <col min="7" max="7" width="13.28515625" customWidth="1"/>
    <col min="8" max="8" width="17.42578125" customWidth="1"/>
    <col min="9" max="9" width="13.5703125" customWidth="1"/>
    <col min="10" max="10" width="23" customWidth="1"/>
    <col min="11" max="11" width="12.7109375" customWidth="1"/>
    <col min="12" max="12" width="16.42578125" customWidth="1"/>
    <col min="14" max="14" width="19.42578125" customWidth="1"/>
    <col min="15" max="15" width="10.85546875" customWidth="1"/>
    <col min="16" max="16" width="17.28515625" customWidth="1"/>
  </cols>
  <sheetData>
    <row r="1" spans="2:16" ht="11.45" customHeight="1"/>
    <row r="2" spans="2:16" s="199" customFormat="1" ht="24.6" customHeight="1">
      <c r="B2" s="201" t="s">
        <v>0</v>
      </c>
      <c r="C2" s="202"/>
      <c r="D2" s="202"/>
      <c r="E2" s="203"/>
      <c r="F2" s="204"/>
      <c r="H2" s="205" t="s">
        <v>1</v>
      </c>
      <c r="I2" s="206"/>
      <c r="J2" s="206"/>
      <c r="K2" s="207"/>
      <c r="L2" s="208"/>
      <c r="N2" s="209"/>
      <c r="O2" s="209"/>
      <c r="P2" s="209"/>
    </row>
    <row r="3" spans="2:16" s="199" customFormat="1" ht="47.25">
      <c r="B3" s="210" t="s">
        <v>2</v>
      </c>
      <c r="C3" s="211" t="s">
        <v>3</v>
      </c>
      <c r="D3" s="210" t="s">
        <v>4</v>
      </c>
      <c r="E3" s="210" t="s">
        <v>5</v>
      </c>
      <c r="F3" s="210" t="s">
        <v>6</v>
      </c>
      <c r="H3" s="210" t="s">
        <v>2</v>
      </c>
      <c r="I3" s="211" t="s">
        <v>3</v>
      </c>
      <c r="J3" s="210" t="s">
        <v>4</v>
      </c>
      <c r="K3" s="210" t="s">
        <v>5</v>
      </c>
      <c r="L3" s="210" t="s">
        <v>6</v>
      </c>
      <c r="M3" s="212"/>
      <c r="N3" s="199" t="s">
        <v>7</v>
      </c>
      <c r="O3" s="199" t="s">
        <v>8</v>
      </c>
      <c r="P3" s="213" t="s">
        <v>9</v>
      </c>
    </row>
    <row r="4" spans="2:16" s="199" customFormat="1" ht="24.95" customHeight="1">
      <c r="B4" s="214" t="s">
        <v>10</v>
      </c>
      <c r="C4" s="215">
        <v>53</v>
      </c>
      <c r="D4" s="216">
        <f>+'BL-1A-Pumpi'!H3</f>
        <v>1499</v>
      </c>
      <c r="E4" s="216">
        <f>+'BL-1A-Pumpi'!I3</f>
        <v>1871.6030000000001</v>
      </c>
      <c r="F4" s="216">
        <f>+'BL-1A-Pumpi'!J3</f>
        <v>1978.453</v>
      </c>
      <c r="H4" s="214" t="s">
        <v>11</v>
      </c>
      <c r="I4" s="217">
        <v>54</v>
      </c>
      <c r="J4" s="277">
        <v>1500</v>
      </c>
      <c r="K4" s="277">
        <v>1875</v>
      </c>
      <c r="L4" s="277">
        <v>1879.778</v>
      </c>
      <c r="M4" s="212"/>
      <c r="N4" s="199" t="s">
        <v>12</v>
      </c>
      <c r="O4" s="218">
        <f>E4+K4</f>
        <v>3746.6030000000001</v>
      </c>
      <c r="P4" s="219">
        <f>F4+L4</f>
        <v>3858.2309999999998</v>
      </c>
    </row>
    <row r="5" spans="2:16" s="199" customFormat="1" ht="24.95" customHeight="1">
      <c r="B5" s="214" t="s">
        <v>13</v>
      </c>
      <c r="C5" s="215">
        <v>72</v>
      </c>
      <c r="D5" s="216">
        <f>+'BL-1A-Likasi'!H3</f>
        <v>2024</v>
      </c>
      <c r="E5" s="216">
        <f>+'BL-1A-Likasi'!I3</f>
        <v>2527.1750000000002</v>
      </c>
      <c r="F5" s="216">
        <f>+'BL-1A-Likasi'!J3</f>
        <v>2798.2539999999999</v>
      </c>
      <c r="H5" s="214" t="s">
        <v>14</v>
      </c>
      <c r="I5" s="217">
        <v>49</v>
      </c>
      <c r="J5" s="278">
        <v>1365</v>
      </c>
      <c r="K5" s="278">
        <v>1711.3230000000001</v>
      </c>
      <c r="L5" s="278">
        <v>1734.7370000000001</v>
      </c>
      <c r="M5" s="212"/>
      <c r="N5" s="199" t="s">
        <v>15</v>
      </c>
      <c r="O5" s="218">
        <f>E5+K5</f>
        <v>4238.4980000000005</v>
      </c>
      <c r="P5" s="219">
        <f>F5+L5</f>
        <v>4532.991</v>
      </c>
    </row>
    <row r="6" spans="2:16" s="199" customFormat="1" ht="24.95" customHeight="1">
      <c r="B6" s="214" t="s">
        <v>16</v>
      </c>
      <c r="C6" s="215">
        <v>17</v>
      </c>
      <c r="D6" s="216">
        <f>+'BL-1A-Kolwezi'!H3</f>
        <v>476</v>
      </c>
      <c r="E6" s="216">
        <f>+'BL-1A-Kolwezi'!I3</f>
        <v>595</v>
      </c>
      <c r="F6" s="216">
        <f>+'BL-1A-Kolwezi'!J3</f>
        <v>596.21600000000001</v>
      </c>
      <c r="H6" s="214" t="s">
        <v>17</v>
      </c>
      <c r="I6" s="217">
        <v>40</v>
      </c>
      <c r="J6" s="279">
        <v>1125</v>
      </c>
      <c r="K6" s="279">
        <v>1407.5</v>
      </c>
      <c r="L6" s="279">
        <v>1411.4480000000001</v>
      </c>
      <c r="M6" s="212"/>
      <c r="N6" s="199" t="s">
        <v>18</v>
      </c>
      <c r="O6" s="218">
        <f>E6+J6</f>
        <v>1720</v>
      </c>
      <c r="P6" s="219">
        <f>F6+L6</f>
        <v>2007.6640000000002</v>
      </c>
    </row>
    <row r="7" spans="2:16" s="199" customFormat="1" ht="24.95" customHeight="1">
      <c r="B7" s="220" t="s">
        <v>19</v>
      </c>
      <c r="C7" s="221">
        <f>SUM(C4:C6)</f>
        <v>142</v>
      </c>
      <c r="D7" s="222">
        <f>SUM(D4:D6)</f>
        <v>3999</v>
      </c>
      <c r="E7" s="222">
        <f>SUM(E4:E6)</f>
        <v>4993.7780000000002</v>
      </c>
      <c r="F7" s="222">
        <f>SUM(F4:F6)</f>
        <v>5372.9230000000007</v>
      </c>
      <c r="H7" s="220" t="s">
        <v>19</v>
      </c>
      <c r="I7" s="223">
        <f>SUM(I4:I6)</f>
        <v>143</v>
      </c>
      <c r="J7" s="280">
        <f>SUM(J4:J6)</f>
        <v>3990</v>
      </c>
      <c r="K7" s="280">
        <f>SUM(K4:K6)</f>
        <v>4993.8230000000003</v>
      </c>
      <c r="L7" s="280">
        <f>SUM(L4:L6)</f>
        <v>5025.9630000000006</v>
      </c>
      <c r="M7" s="212"/>
      <c r="N7" s="199" t="s">
        <v>20</v>
      </c>
      <c r="O7" s="224">
        <f>SUM(O4:O6)</f>
        <v>9705.1010000000006</v>
      </c>
      <c r="P7" s="225">
        <f>SUM(P4:P6)</f>
        <v>10398.886</v>
      </c>
    </row>
    <row r="8" spans="2:16" s="199" customFormat="1" ht="24.95" customHeight="1">
      <c r="B8" s="226" t="s">
        <v>21</v>
      </c>
      <c r="C8" s="227">
        <v>144</v>
      </c>
      <c r="D8" s="228">
        <f>+Master!H1</f>
        <v>3992</v>
      </c>
      <c r="E8" s="228">
        <f>+Master!I1</f>
        <v>4990</v>
      </c>
      <c r="F8" s="228">
        <f>+Master!J1</f>
        <v>5003.991</v>
      </c>
      <c r="H8" s="226" t="s">
        <v>21</v>
      </c>
      <c r="I8" s="229"/>
      <c r="J8" s="229">
        <v>3991</v>
      </c>
      <c r="K8" s="230">
        <f>4988750/1000</f>
        <v>4988.75</v>
      </c>
      <c r="L8" s="230">
        <f>5002736.75/1000</f>
        <v>5002.73675</v>
      </c>
      <c r="M8" s="212"/>
      <c r="N8" s="199" t="s">
        <v>22</v>
      </c>
      <c r="O8" s="231">
        <f>E8+K8</f>
        <v>9978.75</v>
      </c>
      <c r="P8" s="232">
        <f>F8+L8</f>
        <v>10006.72775</v>
      </c>
    </row>
    <row r="9" spans="2:16" s="199" customFormat="1" ht="24.95" customHeight="1">
      <c r="B9" s="233" t="s">
        <v>23</v>
      </c>
      <c r="C9" s="234"/>
      <c r="D9" s="235">
        <f>+D8-D7</f>
        <v>-7</v>
      </c>
      <c r="E9" s="235">
        <f>+E8-E7</f>
        <v>-3.7780000000002474</v>
      </c>
      <c r="F9" s="235">
        <f>+F8-F7</f>
        <v>-368.9320000000007</v>
      </c>
      <c r="H9" s="233"/>
      <c r="I9" s="236"/>
      <c r="J9" s="237">
        <f>J8-J7</f>
        <v>1</v>
      </c>
      <c r="K9" s="237">
        <f>K8-K7</f>
        <v>-5.0730000000003201</v>
      </c>
      <c r="L9" s="237">
        <f>L8-L7</f>
        <v>-23.226250000000618</v>
      </c>
      <c r="M9" s="212"/>
      <c r="N9" s="238" t="s">
        <v>24</v>
      </c>
      <c r="O9" s="239">
        <f>O8-O7</f>
        <v>273.64899999999943</v>
      </c>
      <c r="P9" s="240">
        <f>P8-P7</f>
        <v>-392.15825000000041</v>
      </c>
    </row>
    <row r="10" spans="2:16" s="199" customFormat="1" ht="17.100000000000001" customHeight="1"/>
    <row r="11" spans="2:16" s="200" customFormat="1" ht="20.100000000000001" customHeight="1">
      <c r="B11" s="241"/>
      <c r="C11" s="241" t="s">
        <v>25</v>
      </c>
      <c r="D11" s="241">
        <f>+D7-Master!H3</f>
        <v>-4018</v>
      </c>
      <c r="E11" s="241">
        <f>+E7-Master!I3</f>
        <v>-5025.0730000000003</v>
      </c>
      <c r="F11" s="241">
        <f>+F7-Master!J3</f>
        <v>-5057.3559999999998</v>
      </c>
      <c r="H11" s="241"/>
      <c r="I11" s="241"/>
      <c r="J11" s="241"/>
      <c r="K11" s="241"/>
      <c r="L11" s="241"/>
    </row>
    <row r="12" spans="2:16" s="199" customFormat="1" ht="15.75"/>
    <row r="14" spans="2:16">
      <c r="B14" s="282" t="s">
        <v>26</v>
      </c>
      <c r="C14" s="282"/>
      <c r="D14" s="282"/>
      <c r="E14" s="282"/>
      <c r="F14" s="282"/>
      <c r="G14" s="282"/>
      <c r="H14" s="282"/>
      <c r="I14" s="282"/>
      <c r="J14" s="282"/>
      <c r="K14" s="282"/>
      <c r="L14" s="282"/>
    </row>
    <row r="15" spans="2:16" ht="30">
      <c r="B15" s="242" t="s">
        <v>27</v>
      </c>
      <c r="C15" s="242" t="s">
        <v>28</v>
      </c>
      <c r="D15" s="242" t="s">
        <v>29</v>
      </c>
      <c r="E15" s="242" t="s">
        <v>30</v>
      </c>
      <c r="F15" s="242" t="s">
        <v>31</v>
      </c>
      <c r="G15" s="242" t="s">
        <v>32</v>
      </c>
      <c r="H15" s="242" t="s">
        <v>33</v>
      </c>
      <c r="I15" s="242" t="s">
        <v>34</v>
      </c>
      <c r="J15" s="242" t="s">
        <v>35</v>
      </c>
      <c r="K15" s="242" t="s">
        <v>36</v>
      </c>
      <c r="L15" s="242" t="s">
        <v>37</v>
      </c>
    </row>
    <row r="16" spans="2:16">
      <c r="B16" s="243" t="s">
        <v>38</v>
      </c>
      <c r="C16" s="243">
        <v>0</v>
      </c>
      <c r="D16" s="243">
        <v>0</v>
      </c>
      <c r="E16" s="243">
        <v>0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243">
        <v>72</v>
      </c>
      <c r="L16" s="244">
        <f>SUM(C16:K16)</f>
        <v>72</v>
      </c>
    </row>
    <row r="17" spans="2:12">
      <c r="B17" s="243" t="s">
        <v>39</v>
      </c>
      <c r="C17" s="243">
        <v>0</v>
      </c>
      <c r="D17" s="243">
        <v>0</v>
      </c>
      <c r="E17" s="243">
        <v>0</v>
      </c>
      <c r="F17" s="243">
        <v>0</v>
      </c>
      <c r="G17" s="243">
        <v>0</v>
      </c>
      <c r="H17" s="243">
        <v>0</v>
      </c>
      <c r="I17" s="243">
        <v>0</v>
      </c>
      <c r="J17" s="243">
        <v>0</v>
      </c>
      <c r="K17" s="243">
        <v>18</v>
      </c>
      <c r="L17" s="244">
        <f t="shared" ref="L17:L21" si="0">SUM(C17:K17)</f>
        <v>18</v>
      </c>
    </row>
    <row r="18" spans="2:12">
      <c r="B18" s="243" t="s">
        <v>40</v>
      </c>
      <c r="C18" s="245">
        <v>0</v>
      </c>
      <c r="D18" s="243">
        <v>0</v>
      </c>
      <c r="E18" s="246">
        <v>0</v>
      </c>
      <c r="F18" s="245">
        <v>0</v>
      </c>
      <c r="G18" s="245">
        <v>0</v>
      </c>
      <c r="H18" s="245">
        <v>0</v>
      </c>
      <c r="I18" s="245">
        <v>1</v>
      </c>
      <c r="J18" s="245">
        <v>0</v>
      </c>
      <c r="K18" s="245">
        <v>52</v>
      </c>
      <c r="L18" s="244">
        <f t="shared" si="0"/>
        <v>53</v>
      </c>
    </row>
    <row r="19" spans="2:12" ht="14.25" customHeight="1">
      <c r="B19" s="247" t="s">
        <v>41</v>
      </c>
      <c r="C19" s="243">
        <v>0</v>
      </c>
      <c r="D19" s="243">
        <v>0</v>
      </c>
      <c r="E19" s="243">
        <v>0</v>
      </c>
      <c r="F19" s="243">
        <v>0</v>
      </c>
      <c r="G19" s="243">
        <v>2</v>
      </c>
      <c r="H19" s="243">
        <v>13</v>
      </c>
      <c r="I19" s="243">
        <v>0</v>
      </c>
      <c r="J19" s="243">
        <v>0</v>
      </c>
      <c r="K19" s="243">
        <v>34</v>
      </c>
      <c r="L19" s="244">
        <f t="shared" si="0"/>
        <v>49</v>
      </c>
    </row>
    <row r="20" spans="2:12">
      <c r="B20" s="247" t="s">
        <v>42</v>
      </c>
      <c r="C20" s="243">
        <v>0</v>
      </c>
      <c r="D20" s="243">
        <v>0</v>
      </c>
      <c r="E20" s="243">
        <v>2</v>
      </c>
      <c r="F20" s="243">
        <v>1</v>
      </c>
      <c r="G20" s="243">
        <v>9</v>
      </c>
      <c r="H20" s="243">
        <v>28</v>
      </c>
      <c r="I20" s="243">
        <v>0</v>
      </c>
      <c r="J20" s="243">
        <v>0</v>
      </c>
      <c r="K20" s="243">
        <v>0</v>
      </c>
      <c r="L20" s="244">
        <f t="shared" si="0"/>
        <v>40</v>
      </c>
    </row>
    <row r="21" spans="2:12">
      <c r="B21" s="247" t="s">
        <v>43</v>
      </c>
      <c r="C21" s="243">
        <v>0</v>
      </c>
      <c r="D21" s="243">
        <v>10</v>
      </c>
      <c r="E21" s="243">
        <v>1</v>
      </c>
      <c r="F21" s="243">
        <v>4</v>
      </c>
      <c r="G21" s="243">
        <v>14</v>
      </c>
      <c r="H21" s="243">
        <v>18</v>
      </c>
      <c r="I21" s="243">
        <v>0</v>
      </c>
      <c r="J21" s="243">
        <v>0</v>
      </c>
      <c r="K21" s="243">
        <v>7</v>
      </c>
      <c r="L21" s="244">
        <f t="shared" si="0"/>
        <v>54</v>
      </c>
    </row>
    <row r="22" spans="2:12">
      <c r="L22" s="248">
        <f>SUM(L16:L21)</f>
        <v>286</v>
      </c>
    </row>
  </sheetData>
  <mergeCells count="1">
    <mergeCell ref="B14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292"/>
  <sheetViews>
    <sheetView zoomScale="85" zoomScaleNormal="85" workbookViewId="0">
      <pane xSplit="5" ySplit="3" topLeftCell="F36" activePane="bottomRight" state="frozen"/>
      <selection pane="topRight"/>
      <selection pane="bottomLeft"/>
      <selection pane="bottomRight" activeCell="E43" sqref="E43"/>
    </sheetView>
  </sheetViews>
  <sheetFormatPr defaultColWidth="10.7109375" defaultRowHeight="15"/>
  <cols>
    <col min="1" max="1" width="8.140625" style="2" customWidth="1"/>
    <col min="2" max="3" width="10.7109375" style="2"/>
    <col min="4" max="4" width="25" style="2" customWidth="1"/>
    <col min="5" max="5" width="37.42578125" style="2" customWidth="1"/>
    <col min="6" max="6" width="16.140625" style="2" customWidth="1"/>
    <col min="7" max="7" width="20.42578125" style="2" customWidth="1"/>
    <col min="8" max="12" width="10.7109375" style="2"/>
    <col min="13" max="13" width="11.85546875" style="2" customWidth="1"/>
    <col min="14" max="28" width="10.7109375" style="2"/>
    <col min="29" max="29" width="14.42578125" style="2" customWidth="1"/>
    <col min="30" max="30" width="25.7109375" style="2" customWidth="1"/>
    <col min="31" max="34" width="10.7109375" style="2"/>
    <col min="35" max="35" width="10.7109375" style="4"/>
    <col min="36" max="41" width="10.7109375" style="2"/>
    <col min="42" max="42" width="17.28515625" style="2" customWidth="1"/>
    <col min="43" max="16384" width="10.7109375" style="2"/>
  </cols>
  <sheetData>
    <row r="1" spans="1:46" ht="23.25">
      <c r="A1" s="5" t="s">
        <v>44</v>
      </c>
      <c r="B1" s="5"/>
      <c r="C1" s="5"/>
      <c r="D1" s="5"/>
      <c r="E1" s="6">
        <f ca="1">TODAY()</f>
        <v>46045</v>
      </c>
      <c r="F1" s="176" t="s">
        <v>45</v>
      </c>
      <c r="G1" s="176" t="s">
        <v>46</v>
      </c>
      <c r="H1" s="8">
        <v>3992</v>
      </c>
      <c r="I1" s="8">
        <v>4990</v>
      </c>
      <c r="J1" s="8">
        <v>5003.991</v>
      </c>
      <c r="K1" s="177">
        <f>+H1-H3</f>
        <v>-4025</v>
      </c>
      <c r="L1" s="177">
        <f>+I1-I3</f>
        <v>-5028.8510000000006</v>
      </c>
      <c r="M1" s="178">
        <f>+J1-J3</f>
        <v>-5426.2880000000005</v>
      </c>
      <c r="N1" s="10" t="s">
        <v>47</v>
      </c>
      <c r="O1" s="11"/>
      <c r="P1" s="12"/>
      <c r="Q1" s="12"/>
      <c r="R1" s="13"/>
      <c r="S1" s="13"/>
      <c r="T1" s="10" t="s">
        <v>47</v>
      </c>
      <c r="U1" s="13"/>
      <c r="V1" s="13"/>
      <c r="W1" s="13"/>
      <c r="X1" s="13"/>
      <c r="Z1" s="13"/>
      <c r="AA1" s="13"/>
      <c r="AB1" s="13" t="s">
        <v>47</v>
      </c>
      <c r="AC1" s="13"/>
      <c r="AD1" s="13"/>
      <c r="AI1" s="15"/>
      <c r="AN1" s="283" t="s">
        <v>48</v>
      </c>
      <c r="AO1" s="284"/>
      <c r="AP1" s="285"/>
    </row>
    <row r="2" spans="1:46" ht="23.25">
      <c r="A2" s="16" t="s">
        <v>49</v>
      </c>
      <c r="B2" s="17" t="s">
        <v>50</v>
      </c>
      <c r="C2" s="17" t="s">
        <v>51</v>
      </c>
      <c r="D2" s="18" t="s">
        <v>52</v>
      </c>
      <c r="E2" s="18" t="s">
        <v>53</v>
      </c>
      <c r="F2" s="17" t="s">
        <v>54</v>
      </c>
      <c r="G2" s="18" t="s">
        <v>55</v>
      </c>
      <c r="H2" s="18" t="s">
        <v>56</v>
      </c>
      <c r="I2" s="18" t="s">
        <v>57</v>
      </c>
      <c r="J2" s="18" t="s">
        <v>58</v>
      </c>
      <c r="K2" s="18"/>
      <c r="L2" s="17" t="s">
        <v>59</v>
      </c>
      <c r="M2" s="17" t="s">
        <v>60</v>
      </c>
      <c r="N2" s="17" t="s">
        <v>61</v>
      </c>
      <c r="O2" s="19" t="s">
        <v>62</v>
      </c>
      <c r="P2" s="19" t="s">
        <v>63</v>
      </c>
      <c r="Q2" s="19" t="s">
        <v>64</v>
      </c>
      <c r="R2" s="19" t="s">
        <v>65</v>
      </c>
      <c r="S2" s="19" t="s">
        <v>66</v>
      </c>
      <c r="T2" s="19" t="s">
        <v>67</v>
      </c>
      <c r="U2" s="19" t="s">
        <v>68</v>
      </c>
      <c r="V2" s="19" t="s">
        <v>69</v>
      </c>
      <c r="W2" s="19" t="s">
        <v>70</v>
      </c>
      <c r="X2" s="20" t="s">
        <v>71</v>
      </c>
      <c r="Y2" s="20" t="s">
        <v>72</v>
      </c>
      <c r="Z2" s="19"/>
      <c r="AA2" s="19"/>
      <c r="AB2" s="19" t="s">
        <v>73</v>
      </c>
      <c r="AC2" s="19" t="s">
        <v>74</v>
      </c>
      <c r="AD2" s="19" t="s">
        <v>75</v>
      </c>
      <c r="AE2" s="286" t="s">
        <v>76</v>
      </c>
      <c r="AF2" s="286"/>
      <c r="AG2" s="286"/>
      <c r="AH2" s="286"/>
      <c r="AI2" s="21">
        <f>SUM(AI213:AI272)</f>
        <v>11400</v>
      </c>
      <c r="AJ2" s="286" t="s">
        <v>77</v>
      </c>
      <c r="AK2" s="286"/>
      <c r="AL2" s="286"/>
      <c r="AM2" s="286"/>
      <c r="AN2" s="21">
        <f>SUM(AN213:AN289)</f>
        <v>3400</v>
      </c>
      <c r="AO2" s="21">
        <f>SUM(AO213:AO289)</f>
        <v>2000</v>
      </c>
      <c r="AP2" s="22">
        <f>SUM(AI2:AO2)</f>
        <v>16800</v>
      </c>
      <c r="AQ2" s="23"/>
      <c r="AR2" s="1"/>
      <c r="AS2" s="1"/>
      <c r="AT2" s="1"/>
    </row>
    <row r="3" spans="1:46" s="1" customFormat="1" ht="42" customHeight="1">
      <c r="A3" s="24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6">
        <f>SUM(H4:H289)</f>
        <v>8017</v>
      </c>
      <c r="I3" s="26">
        <f>SUM(I4:I289)/1000</f>
        <v>10018.851000000001</v>
      </c>
      <c r="J3" s="26">
        <f>SUM(J4:J289)/1000</f>
        <v>10430.279</v>
      </c>
      <c r="K3" s="25" t="s">
        <v>85</v>
      </c>
      <c r="L3" s="25" t="s">
        <v>86</v>
      </c>
      <c r="M3" s="25" t="s">
        <v>87</v>
      </c>
      <c r="N3" s="25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93</v>
      </c>
      <c r="T3" s="27" t="s">
        <v>94</v>
      </c>
      <c r="U3" s="27" t="s">
        <v>95</v>
      </c>
      <c r="V3" s="27" t="s">
        <v>96</v>
      </c>
      <c r="W3" s="27" t="s">
        <v>97</v>
      </c>
      <c r="X3" s="28" t="s">
        <v>98</v>
      </c>
      <c r="Y3" s="28" t="s">
        <v>99</v>
      </c>
      <c r="Z3" s="27" t="s">
        <v>100</v>
      </c>
      <c r="AA3" s="27" t="s">
        <v>101</v>
      </c>
      <c r="AB3" s="27" t="s">
        <v>102</v>
      </c>
      <c r="AC3" s="27" t="s">
        <v>103</v>
      </c>
      <c r="AD3" s="27" t="s">
        <v>104</v>
      </c>
      <c r="AE3" s="29" t="s">
        <v>105</v>
      </c>
      <c r="AF3" s="29" t="s">
        <v>106</v>
      </c>
      <c r="AG3" s="29" t="s">
        <v>107</v>
      </c>
      <c r="AH3" s="29" t="s">
        <v>108</v>
      </c>
      <c r="AI3" s="30" t="s">
        <v>109</v>
      </c>
      <c r="AJ3" s="29" t="s">
        <v>110</v>
      </c>
      <c r="AK3" s="29" t="s">
        <v>106</v>
      </c>
      <c r="AL3" s="29" t="s">
        <v>107</v>
      </c>
      <c r="AM3" s="29" t="s">
        <v>108</v>
      </c>
      <c r="AN3" s="30" t="s">
        <v>111</v>
      </c>
      <c r="AO3" s="31" t="s">
        <v>112</v>
      </c>
      <c r="AP3" s="32" t="s">
        <v>113</v>
      </c>
    </row>
    <row r="4" spans="1:46" s="1" customFormat="1" ht="15" customHeight="1">
      <c r="A4" s="33">
        <f t="shared" ref="A4:A12" si="0">ROW()-3</f>
        <v>1</v>
      </c>
      <c r="B4" s="34" t="s">
        <v>114</v>
      </c>
      <c r="C4" s="35" t="s">
        <v>839</v>
      </c>
      <c r="D4" s="33" t="s">
        <v>850</v>
      </c>
      <c r="E4" s="33" t="s">
        <v>843</v>
      </c>
      <c r="F4" s="33" t="s">
        <v>814</v>
      </c>
      <c r="G4" s="37" t="s">
        <v>119</v>
      </c>
      <c r="H4" s="37">
        <v>28</v>
      </c>
      <c r="I4" s="34">
        <v>35000</v>
      </c>
      <c r="J4" s="34">
        <v>35098</v>
      </c>
      <c r="K4" s="34" t="s">
        <v>120</v>
      </c>
      <c r="L4" s="39">
        <v>45890</v>
      </c>
      <c r="M4" s="40" t="s">
        <v>121</v>
      </c>
      <c r="N4" s="39" t="s">
        <v>122</v>
      </c>
      <c r="O4" s="39">
        <v>45881</v>
      </c>
      <c r="P4" s="39">
        <v>45907</v>
      </c>
      <c r="Q4" s="39">
        <v>45892</v>
      </c>
      <c r="R4" s="39">
        <v>46040</v>
      </c>
      <c r="S4" s="41"/>
      <c r="T4" s="41"/>
      <c r="U4" s="41"/>
      <c r="V4" s="41"/>
      <c r="W4" s="41"/>
      <c r="X4" s="42"/>
      <c r="Y4" s="42"/>
      <c r="Z4" s="41"/>
      <c r="AA4" s="41"/>
      <c r="AB4" s="41"/>
      <c r="AC4" s="41"/>
      <c r="AD4" s="44" t="s">
        <v>763</v>
      </c>
      <c r="AE4" s="45">
        <f t="shared" ref="AE4:AE12" si="1">MAX(0,Y4-X4)</f>
        <v>0</v>
      </c>
      <c r="AF4" s="36">
        <v>7</v>
      </c>
      <c r="AG4" s="46">
        <f t="shared" ref="AG4:AG12" si="2">MAX(0,AE4-AF4)</f>
        <v>0</v>
      </c>
      <c r="AH4" s="47">
        <v>200</v>
      </c>
      <c r="AI4" s="48">
        <f t="shared" ref="AI4:AI12" si="3">MAX(0,AG4*AH4)</f>
        <v>0</v>
      </c>
      <c r="AJ4" s="45">
        <f t="shared" ref="AJ4:AJ12" si="4">MAX(0,AC4-AB4)</f>
        <v>0</v>
      </c>
      <c r="AK4" s="36">
        <v>2</v>
      </c>
      <c r="AL4" s="46">
        <f t="shared" ref="AL4:AL12" si="5">MAX(0,AJ4-AK4)</f>
        <v>0</v>
      </c>
      <c r="AM4" s="47">
        <v>200</v>
      </c>
      <c r="AN4" s="48">
        <f t="shared" ref="AN4:AN12" si="6">MAX(0,AL4*AM4)</f>
        <v>0</v>
      </c>
      <c r="AO4" s="47"/>
      <c r="AP4" s="49">
        <f t="shared" ref="AP4:AP12" si="7">AO4+AN4+AI4</f>
        <v>0</v>
      </c>
    </row>
    <row r="5" spans="1:46" s="1" customFormat="1" ht="15" customHeight="1">
      <c r="A5" s="33">
        <f t="shared" si="0"/>
        <v>2</v>
      </c>
      <c r="B5" s="34" t="s">
        <v>114</v>
      </c>
      <c r="C5" s="35" t="s">
        <v>838</v>
      </c>
      <c r="D5" s="35" t="s">
        <v>851</v>
      </c>
      <c r="E5" s="34" t="s">
        <v>844</v>
      </c>
      <c r="F5" s="33" t="s">
        <v>814</v>
      </c>
      <c r="G5" s="37" t="s">
        <v>119</v>
      </c>
      <c r="H5" s="37">
        <v>28</v>
      </c>
      <c r="I5" s="34">
        <v>35000</v>
      </c>
      <c r="J5" s="34">
        <v>35098</v>
      </c>
      <c r="K5" s="34" t="s">
        <v>120</v>
      </c>
      <c r="L5" s="39">
        <v>45890</v>
      </c>
      <c r="M5" s="40" t="s">
        <v>121</v>
      </c>
      <c r="N5" s="39" t="s">
        <v>122</v>
      </c>
      <c r="O5" s="39">
        <v>45881</v>
      </c>
      <c r="P5" s="39">
        <v>45907</v>
      </c>
      <c r="Q5" s="39">
        <v>45892</v>
      </c>
      <c r="R5" s="39">
        <v>46040</v>
      </c>
      <c r="S5" s="41"/>
      <c r="T5" s="41"/>
      <c r="U5" s="41"/>
      <c r="V5" s="41"/>
      <c r="W5" s="41"/>
      <c r="X5" s="42"/>
      <c r="Y5" s="42"/>
      <c r="Z5" s="41"/>
      <c r="AA5" s="41"/>
      <c r="AB5" s="41"/>
      <c r="AC5" s="41"/>
      <c r="AD5" s="44" t="s">
        <v>763</v>
      </c>
      <c r="AE5" s="50">
        <f t="shared" si="1"/>
        <v>0</v>
      </c>
      <c r="AF5" s="36">
        <v>7</v>
      </c>
      <c r="AG5" s="51">
        <f t="shared" si="2"/>
        <v>0</v>
      </c>
      <c r="AH5" s="52">
        <v>200</v>
      </c>
      <c r="AI5" s="53">
        <f t="shared" si="3"/>
        <v>0</v>
      </c>
      <c r="AJ5" s="54">
        <f t="shared" si="4"/>
        <v>0</v>
      </c>
      <c r="AK5" s="36">
        <v>2</v>
      </c>
      <c r="AL5" s="51">
        <f t="shared" si="5"/>
        <v>0</v>
      </c>
      <c r="AM5" s="52">
        <v>200</v>
      </c>
      <c r="AN5" s="53">
        <f t="shared" si="6"/>
        <v>0</v>
      </c>
      <c r="AO5" s="52"/>
      <c r="AP5" s="55">
        <f t="shared" si="7"/>
        <v>0</v>
      </c>
    </row>
    <row r="6" spans="1:46" s="1" customFormat="1" ht="15" customHeight="1">
      <c r="A6" s="33">
        <f t="shared" si="0"/>
        <v>3</v>
      </c>
      <c r="B6" s="34" t="s">
        <v>114</v>
      </c>
      <c r="C6" s="35" t="s">
        <v>834</v>
      </c>
      <c r="D6" s="35" t="s">
        <v>852</v>
      </c>
      <c r="E6" s="33" t="s">
        <v>845</v>
      </c>
      <c r="F6" s="33" t="s">
        <v>814</v>
      </c>
      <c r="G6" s="37" t="s">
        <v>119</v>
      </c>
      <c r="H6" s="37">
        <v>28</v>
      </c>
      <c r="I6" s="34">
        <v>35000</v>
      </c>
      <c r="J6" s="34">
        <v>35098</v>
      </c>
      <c r="K6" s="34" t="s">
        <v>120</v>
      </c>
      <c r="L6" s="39">
        <v>45890</v>
      </c>
      <c r="M6" s="40" t="s">
        <v>121</v>
      </c>
      <c r="N6" s="39" t="s">
        <v>122</v>
      </c>
      <c r="O6" s="39">
        <v>45881</v>
      </c>
      <c r="P6" s="39">
        <v>45907</v>
      </c>
      <c r="Q6" s="39">
        <v>45892</v>
      </c>
      <c r="R6" s="39">
        <v>46040</v>
      </c>
      <c r="S6" s="41"/>
      <c r="T6" s="41"/>
      <c r="U6" s="41"/>
      <c r="V6" s="41"/>
      <c r="W6" s="41"/>
      <c r="X6" s="42"/>
      <c r="Y6" s="42"/>
      <c r="Z6" s="41"/>
      <c r="AA6" s="41"/>
      <c r="AB6" s="41"/>
      <c r="AC6" s="41"/>
      <c r="AD6" s="44" t="s">
        <v>763</v>
      </c>
      <c r="AE6" s="45">
        <f t="shared" si="1"/>
        <v>0</v>
      </c>
      <c r="AF6" s="36">
        <v>7</v>
      </c>
      <c r="AG6" s="46">
        <f t="shared" si="2"/>
        <v>0</v>
      </c>
      <c r="AH6" s="47">
        <v>200</v>
      </c>
      <c r="AI6" s="48">
        <f t="shared" si="3"/>
        <v>0</v>
      </c>
      <c r="AJ6" s="45">
        <f t="shared" si="4"/>
        <v>0</v>
      </c>
      <c r="AK6" s="36">
        <v>2</v>
      </c>
      <c r="AL6" s="46">
        <f t="shared" si="5"/>
        <v>0</v>
      </c>
      <c r="AM6" s="47">
        <v>200</v>
      </c>
      <c r="AN6" s="48">
        <f t="shared" si="6"/>
        <v>0</v>
      </c>
      <c r="AO6" s="47"/>
      <c r="AP6" s="49">
        <f t="shared" si="7"/>
        <v>0</v>
      </c>
    </row>
    <row r="7" spans="1:46" s="1" customFormat="1" ht="15" customHeight="1">
      <c r="A7" s="33">
        <f t="shared" si="0"/>
        <v>4</v>
      </c>
      <c r="B7" s="34" t="s">
        <v>114</v>
      </c>
      <c r="C7" s="35" t="s">
        <v>621</v>
      </c>
      <c r="D7" s="35" t="s">
        <v>622</v>
      </c>
      <c r="E7" s="34" t="s">
        <v>623</v>
      </c>
      <c r="F7" s="33" t="s">
        <v>814</v>
      </c>
      <c r="G7" s="37" t="s">
        <v>119</v>
      </c>
      <c r="H7" s="37">
        <v>28</v>
      </c>
      <c r="I7" s="34">
        <v>35000</v>
      </c>
      <c r="J7" s="34">
        <v>35098</v>
      </c>
      <c r="K7" s="34" t="s">
        <v>120</v>
      </c>
      <c r="L7" s="39">
        <v>45890</v>
      </c>
      <c r="M7" s="40" t="s">
        <v>121</v>
      </c>
      <c r="N7" s="39" t="s">
        <v>122</v>
      </c>
      <c r="O7" s="39">
        <v>45881</v>
      </c>
      <c r="P7" s="39">
        <v>45907</v>
      </c>
      <c r="Q7" s="39">
        <v>45892</v>
      </c>
      <c r="R7" s="39">
        <v>46040</v>
      </c>
      <c r="S7" s="41"/>
      <c r="T7" s="41"/>
      <c r="U7" s="41"/>
      <c r="V7" s="41"/>
      <c r="W7" s="41"/>
      <c r="X7" s="42"/>
      <c r="Y7" s="42"/>
      <c r="Z7" s="41"/>
      <c r="AA7" s="41"/>
      <c r="AB7" s="41"/>
      <c r="AC7" s="41"/>
      <c r="AD7" s="44" t="s">
        <v>763</v>
      </c>
      <c r="AE7" s="50">
        <f t="shared" si="1"/>
        <v>0</v>
      </c>
      <c r="AF7" s="36">
        <v>7</v>
      </c>
      <c r="AG7" s="51">
        <f t="shared" si="2"/>
        <v>0</v>
      </c>
      <c r="AH7" s="52">
        <v>200</v>
      </c>
      <c r="AI7" s="53">
        <f t="shared" si="3"/>
        <v>0</v>
      </c>
      <c r="AJ7" s="54">
        <f t="shared" si="4"/>
        <v>0</v>
      </c>
      <c r="AK7" s="36">
        <v>2</v>
      </c>
      <c r="AL7" s="51">
        <f t="shared" si="5"/>
        <v>0</v>
      </c>
      <c r="AM7" s="52">
        <v>200</v>
      </c>
      <c r="AN7" s="53">
        <f t="shared" si="6"/>
        <v>0</v>
      </c>
      <c r="AO7" s="52"/>
      <c r="AP7" s="55">
        <f t="shared" si="7"/>
        <v>0</v>
      </c>
    </row>
    <row r="8" spans="1:46" s="1" customFormat="1" ht="15" customHeight="1">
      <c r="A8" s="33">
        <f t="shared" si="0"/>
        <v>5</v>
      </c>
      <c r="B8" s="34" t="s">
        <v>114</v>
      </c>
      <c r="C8" s="64" t="s">
        <v>739</v>
      </c>
      <c r="D8" s="34" t="s">
        <v>740</v>
      </c>
      <c r="E8" s="34" t="s">
        <v>741</v>
      </c>
      <c r="F8" s="33" t="s">
        <v>814</v>
      </c>
      <c r="G8" s="37" t="s">
        <v>119</v>
      </c>
      <c r="H8" s="37">
        <v>29</v>
      </c>
      <c r="I8" s="34">
        <v>36250</v>
      </c>
      <c r="J8" s="34">
        <v>36352</v>
      </c>
      <c r="K8" s="34" t="s">
        <v>120</v>
      </c>
      <c r="L8" s="39">
        <v>45890</v>
      </c>
      <c r="M8" s="40" t="s">
        <v>121</v>
      </c>
      <c r="N8" s="39" t="s">
        <v>122</v>
      </c>
      <c r="O8" s="39">
        <v>45881</v>
      </c>
      <c r="P8" s="39">
        <v>45907</v>
      </c>
      <c r="Q8" s="39">
        <v>45892</v>
      </c>
      <c r="R8" s="39">
        <v>46040</v>
      </c>
      <c r="S8" s="41"/>
      <c r="T8" s="41"/>
      <c r="U8" s="41"/>
      <c r="V8" s="41"/>
      <c r="W8" s="41"/>
      <c r="X8" s="42"/>
      <c r="Y8" s="42"/>
      <c r="Z8" s="41"/>
      <c r="AA8" s="41"/>
      <c r="AB8" s="41"/>
      <c r="AC8" s="41"/>
      <c r="AD8" s="44" t="s">
        <v>763</v>
      </c>
      <c r="AE8" s="45">
        <f t="shared" si="1"/>
        <v>0</v>
      </c>
      <c r="AF8" s="36">
        <v>7</v>
      </c>
      <c r="AG8" s="46">
        <f t="shared" si="2"/>
        <v>0</v>
      </c>
      <c r="AH8" s="47">
        <v>200</v>
      </c>
      <c r="AI8" s="48">
        <f t="shared" si="3"/>
        <v>0</v>
      </c>
      <c r="AJ8" s="45">
        <f t="shared" si="4"/>
        <v>0</v>
      </c>
      <c r="AK8" s="36">
        <v>2</v>
      </c>
      <c r="AL8" s="46">
        <f t="shared" si="5"/>
        <v>0</v>
      </c>
      <c r="AM8" s="47">
        <v>200</v>
      </c>
      <c r="AN8" s="48">
        <f t="shared" si="6"/>
        <v>0</v>
      </c>
      <c r="AO8" s="47"/>
      <c r="AP8" s="49">
        <f t="shared" si="7"/>
        <v>0</v>
      </c>
    </row>
    <row r="9" spans="1:46" s="1" customFormat="1" ht="15" customHeight="1">
      <c r="A9" s="33">
        <f t="shared" si="0"/>
        <v>6</v>
      </c>
      <c r="B9" s="34" t="s">
        <v>114</v>
      </c>
      <c r="C9" s="35" t="s">
        <v>835</v>
      </c>
      <c r="D9" s="35" t="s">
        <v>853</v>
      </c>
      <c r="E9" s="33" t="s">
        <v>846</v>
      </c>
      <c r="F9" s="33" t="s">
        <v>814</v>
      </c>
      <c r="G9" s="37" t="s">
        <v>119</v>
      </c>
      <c r="H9" s="37">
        <v>28</v>
      </c>
      <c r="I9" s="34">
        <v>35000</v>
      </c>
      <c r="J9" s="34">
        <v>35098</v>
      </c>
      <c r="K9" s="34" t="s">
        <v>120</v>
      </c>
      <c r="L9" s="39">
        <v>45890</v>
      </c>
      <c r="M9" s="40" t="s">
        <v>121</v>
      </c>
      <c r="N9" s="39" t="s">
        <v>122</v>
      </c>
      <c r="O9" s="39">
        <v>45881</v>
      </c>
      <c r="P9" s="39">
        <v>45907</v>
      </c>
      <c r="Q9" s="39">
        <v>45892</v>
      </c>
      <c r="R9" s="39">
        <v>46040</v>
      </c>
      <c r="S9" s="41"/>
      <c r="T9" s="41"/>
      <c r="U9" s="41"/>
      <c r="V9" s="41"/>
      <c r="W9" s="41"/>
      <c r="X9" s="42"/>
      <c r="Y9" s="42"/>
      <c r="Z9" s="41"/>
      <c r="AA9" s="41"/>
      <c r="AB9" s="41"/>
      <c r="AC9" s="41"/>
      <c r="AD9" s="44" t="s">
        <v>763</v>
      </c>
      <c r="AE9" s="50">
        <f t="shared" si="1"/>
        <v>0</v>
      </c>
      <c r="AF9" s="36">
        <v>7</v>
      </c>
      <c r="AG9" s="51">
        <f t="shared" si="2"/>
        <v>0</v>
      </c>
      <c r="AH9" s="52">
        <v>200</v>
      </c>
      <c r="AI9" s="53">
        <f t="shared" si="3"/>
        <v>0</v>
      </c>
      <c r="AJ9" s="54">
        <f t="shared" si="4"/>
        <v>0</v>
      </c>
      <c r="AK9" s="36">
        <v>2</v>
      </c>
      <c r="AL9" s="51">
        <f t="shared" si="5"/>
        <v>0</v>
      </c>
      <c r="AM9" s="52">
        <v>200</v>
      </c>
      <c r="AN9" s="53">
        <f t="shared" si="6"/>
        <v>0</v>
      </c>
      <c r="AO9" s="52"/>
      <c r="AP9" s="55">
        <f t="shared" si="7"/>
        <v>0</v>
      </c>
    </row>
    <row r="10" spans="1:46" s="1" customFormat="1" ht="15" customHeight="1">
      <c r="A10" s="33">
        <f t="shared" si="0"/>
        <v>7</v>
      </c>
      <c r="B10" s="34" t="s">
        <v>114</v>
      </c>
      <c r="C10" s="33" t="s">
        <v>833</v>
      </c>
      <c r="D10" s="33" t="s">
        <v>840</v>
      </c>
      <c r="E10" s="33" t="s">
        <v>847</v>
      </c>
      <c r="F10" s="33" t="s">
        <v>814</v>
      </c>
      <c r="G10" s="37" t="s">
        <v>119</v>
      </c>
      <c r="H10" s="37">
        <v>29</v>
      </c>
      <c r="I10" s="34">
        <v>36250</v>
      </c>
      <c r="J10" s="34">
        <v>36352</v>
      </c>
      <c r="K10" s="34" t="s">
        <v>120</v>
      </c>
      <c r="L10" s="39">
        <v>45890</v>
      </c>
      <c r="M10" s="40" t="s">
        <v>121</v>
      </c>
      <c r="N10" s="39" t="s">
        <v>122</v>
      </c>
      <c r="O10" s="39">
        <v>45881</v>
      </c>
      <c r="P10" s="39">
        <v>45907</v>
      </c>
      <c r="Q10" s="39">
        <v>45892</v>
      </c>
      <c r="R10" s="39">
        <v>46040</v>
      </c>
      <c r="S10" s="41"/>
      <c r="T10" s="41"/>
      <c r="U10" s="41"/>
      <c r="V10" s="41"/>
      <c r="W10" s="41"/>
      <c r="X10" s="42"/>
      <c r="Y10" s="42"/>
      <c r="Z10" s="41"/>
      <c r="AA10" s="41"/>
      <c r="AB10" s="41"/>
      <c r="AC10" s="41"/>
      <c r="AD10" s="44" t="s">
        <v>763</v>
      </c>
      <c r="AE10" s="45">
        <f t="shared" si="1"/>
        <v>0</v>
      </c>
      <c r="AF10" s="36">
        <v>7</v>
      </c>
      <c r="AG10" s="46">
        <f t="shared" si="2"/>
        <v>0</v>
      </c>
      <c r="AH10" s="47">
        <v>200</v>
      </c>
      <c r="AI10" s="48">
        <f t="shared" si="3"/>
        <v>0</v>
      </c>
      <c r="AJ10" s="45">
        <f t="shared" si="4"/>
        <v>0</v>
      </c>
      <c r="AK10" s="36">
        <v>2</v>
      </c>
      <c r="AL10" s="46">
        <f t="shared" si="5"/>
        <v>0</v>
      </c>
      <c r="AM10" s="47">
        <v>200</v>
      </c>
      <c r="AN10" s="48">
        <f t="shared" si="6"/>
        <v>0</v>
      </c>
      <c r="AO10" s="47"/>
      <c r="AP10" s="49">
        <f t="shared" si="7"/>
        <v>0</v>
      </c>
    </row>
    <row r="11" spans="1:46" s="1" customFormat="1" ht="15" customHeight="1">
      <c r="A11" s="33">
        <f t="shared" si="0"/>
        <v>8</v>
      </c>
      <c r="B11" s="34" t="s">
        <v>114</v>
      </c>
      <c r="C11" s="35" t="s">
        <v>837</v>
      </c>
      <c r="D11" s="35" t="s">
        <v>841</v>
      </c>
      <c r="E11" s="39" t="s">
        <v>848</v>
      </c>
      <c r="F11" s="33" t="s">
        <v>814</v>
      </c>
      <c r="G11" s="37" t="s">
        <v>119</v>
      </c>
      <c r="H11" s="37">
        <v>24</v>
      </c>
      <c r="I11" s="34">
        <v>30000</v>
      </c>
      <c r="J11" s="34">
        <v>30084</v>
      </c>
      <c r="K11" s="34" t="s">
        <v>120</v>
      </c>
      <c r="L11" s="39">
        <v>45890</v>
      </c>
      <c r="M11" s="40" t="s">
        <v>121</v>
      </c>
      <c r="N11" s="39" t="s">
        <v>122</v>
      </c>
      <c r="O11" s="39">
        <v>45881</v>
      </c>
      <c r="P11" s="39">
        <v>45907</v>
      </c>
      <c r="Q11" s="39">
        <v>45892</v>
      </c>
      <c r="R11" s="39">
        <v>46040</v>
      </c>
      <c r="S11" s="41"/>
      <c r="T11" s="41"/>
      <c r="U11" s="41"/>
      <c r="V11" s="41"/>
      <c r="W11" s="41"/>
      <c r="X11" s="42"/>
      <c r="Y11" s="42"/>
      <c r="Z11" s="41"/>
      <c r="AA11" s="41"/>
      <c r="AB11" s="41"/>
      <c r="AC11" s="41"/>
      <c r="AD11" s="44" t="s">
        <v>763</v>
      </c>
      <c r="AE11" s="50">
        <f t="shared" si="1"/>
        <v>0</v>
      </c>
      <c r="AF11" s="36">
        <v>7</v>
      </c>
      <c r="AG11" s="51">
        <f t="shared" si="2"/>
        <v>0</v>
      </c>
      <c r="AH11" s="52">
        <v>200</v>
      </c>
      <c r="AI11" s="53">
        <f t="shared" si="3"/>
        <v>0</v>
      </c>
      <c r="AJ11" s="54">
        <f t="shared" si="4"/>
        <v>0</v>
      </c>
      <c r="AK11" s="36">
        <v>2</v>
      </c>
      <c r="AL11" s="51">
        <f t="shared" si="5"/>
        <v>0</v>
      </c>
      <c r="AM11" s="52">
        <v>200</v>
      </c>
      <c r="AN11" s="53">
        <f t="shared" si="6"/>
        <v>0</v>
      </c>
      <c r="AO11" s="52"/>
      <c r="AP11" s="55">
        <f t="shared" si="7"/>
        <v>0</v>
      </c>
    </row>
    <row r="12" spans="1:46" s="1" customFormat="1" ht="15" customHeight="1">
      <c r="A12" s="33">
        <f t="shared" si="0"/>
        <v>9</v>
      </c>
      <c r="B12" s="34" t="s">
        <v>114</v>
      </c>
      <c r="C12" s="64" t="s">
        <v>836</v>
      </c>
      <c r="D12" s="64" t="s">
        <v>842</v>
      </c>
      <c r="E12" s="34" t="s">
        <v>849</v>
      </c>
      <c r="F12" s="33" t="s">
        <v>814</v>
      </c>
      <c r="G12" s="37" t="s">
        <v>119</v>
      </c>
      <c r="H12" s="37">
        <v>24</v>
      </c>
      <c r="I12" s="34">
        <v>30000</v>
      </c>
      <c r="J12" s="34">
        <v>30084</v>
      </c>
      <c r="K12" s="34" t="s">
        <v>120</v>
      </c>
      <c r="L12" s="39">
        <v>45890</v>
      </c>
      <c r="M12" s="40" t="s">
        <v>121</v>
      </c>
      <c r="N12" s="39" t="s">
        <v>122</v>
      </c>
      <c r="O12" s="39">
        <v>45881</v>
      </c>
      <c r="P12" s="39">
        <v>45907</v>
      </c>
      <c r="Q12" s="39">
        <v>45892</v>
      </c>
      <c r="R12" s="39">
        <v>46040</v>
      </c>
      <c r="S12" s="41"/>
      <c r="T12" s="41"/>
      <c r="U12" s="41"/>
      <c r="V12" s="41"/>
      <c r="W12" s="41"/>
      <c r="X12" s="42"/>
      <c r="Y12" s="42"/>
      <c r="Z12" s="41"/>
      <c r="AA12" s="41"/>
      <c r="AB12" s="41"/>
      <c r="AC12" s="41"/>
      <c r="AD12" s="44" t="s">
        <v>763</v>
      </c>
      <c r="AE12" s="45">
        <f t="shared" si="1"/>
        <v>0</v>
      </c>
      <c r="AF12" s="36">
        <v>7</v>
      </c>
      <c r="AG12" s="46">
        <f t="shared" si="2"/>
        <v>0</v>
      </c>
      <c r="AH12" s="47">
        <v>200</v>
      </c>
      <c r="AI12" s="48">
        <f t="shared" si="3"/>
        <v>0</v>
      </c>
      <c r="AJ12" s="45">
        <f t="shared" si="4"/>
        <v>0</v>
      </c>
      <c r="AK12" s="36">
        <v>2</v>
      </c>
      <c r="AL12" s="46">
        <f t="shared" si="5"/>
        <v>0</v>
      </c>
      <c r="AM12" s="47">
        <v>200</v>
      </c>
      <c r="AN12" s="48">
        <f t="shared" si="6"/>
        <v>0</v>
      </c>
      <c r="AO12" s="47"/>
      <c r="AP12" s="49">
        <f t="shared" si="7"/>
        <v>0</v>
      </c>
    </row>
    <row r="13" spans="1:46" s="1" customFormat="1" ht="15" customHeight="1">
      <c r="A13" s="33">
        <f t="shared" ref="A13:A20" si="8">ROW()-3</f>
        <v>10</v>
      </c>
      <c r="B13" s="34" t="s">
        <v>114</v>
      </c>
      <c r="C13" s="33" t="s">
        <v>630</v>
      </c>
      <c r="D13" s="35" t="s">
        <v>631</v>
      </c>
      <c r="E13" s="34" t="s">
        <v>632</v>
      </c>
      <c r="F13" s="33" t="s">
        <v>814</v>
      </c>
      <c r="G13" s="37" t="s">
        <v>119</v>
      </c>
      <c r="H13" s="37">
        <v>28</v>
      </c>
      <c r="I13" s="34">
        <v>35000</v>
      </c>
      <c r="J13" s="34">
        <v>35098</v>
      </c>
      <c r="K13" s="34" t="s">
        <v>120</v>
      </c>
      <c r="L13" s="39">
        <v>45890</v>
      </c>
      <c r="M13" s="40" t="s">
        <v>121</v>
      </c>
      <c r="N13" s="39" t="s">
        <v>122</v>
      </c>
      <c r="O13" s="39">
        <v>45881</v>
      </c>
      <c r="P13" s="39">
        <v>45907</v>
      </c>
      <c r="Q13" s="39">
        <v>45892</v>
      </c>
      <c r="R13" s="39">
        <v>46038</v>
      </c>
      <c r="S13" s="27"/>
      <c r="T13" s="27"/>
      <c r="U13" s="27"/>
      <c r="V13" s="27"/>
      <c r="W13" s="27"/>
      <c r="X13" s="28"/>
      <c r="Y13" s="28"/>
      <c r="Z13" s="27"/>
      <c r="AA13" s="27"/>
      <c r="AB13" s="27"/>
      <c r="AC13" s="27"/>
      <c r="AD13" s="44" t="s">
        <v>763</v>
      </c>
      <c r="AE13" s="29"/>
      <c r="AF13" s="29"/>
      <c r="AG13" s="29"/>
      <c r="AH13" s="29"/>
      <c r="AI13" s="30"/>
      <c r="AJ13" s="29"/>
      <c r="AK13" s="29"/>
      <c r="AL13" s="29"/>
      <c r="AM13" s="29"/>
      <c r="AN13" s="30"/>
      <c r="AO13" s="31"/>
      <c r="AP13" s="32"/>
    </row>
    <row r="14" spans="1:46" s="1" customFormat="1" ht="15" customHeight="1">
      <c r="A14" s="33">
        <f t="shared" si="8"/>
        <v>11</v>
      </c>
      <c r="B14" s="34" t="s">
        <v>114</v>
      </c>
      <c r="C14" s="35" t="s">
        <v>821</v>
      </c>
      <c r="D14" s="35" t="s">
        <v>823</v>
      </c>
      <c r="E14" s="34" t="s">
        <v>824</v>
      </c>
      <c r="F14" s="33" t="s">
        <v>814</v>
      </c>
      <c r="G14" s="37" t="s">
        <v>119</v>
      </c>
      <c r="H14" s="37">
        <v>29</v>
      </c>
      <c r="I14" s="34">
        <v>36250</v>
      </c>
      <c r="J14" s="34">
        <v>36352</v>
      </c>
      <c r="K14" s="34" t="s">
        <v>120</v>
      </c>
      <c r="L14" s="39">
        <v>45890</v>
      </c>
      <c r="M14" s="40" t="s">
        <v>121</v>
      </c>
      <c r="N14" s="39" t="s">
        <v>122</v>
      </c>
      <c r="O14" s="39">
        <v>45881</v>
      </c>
      <c r="P14" s="39">
        <v>45907</v>
      </c>
      <c r="Q14" s="39">
        <v>45892</v>
      </c>
      <c r="R14" s="39">
        <v>46038</v>
      </c>
      <c r="S14" s="27"/>
      <c r="T14" s="27"/>
      <c r="U14" s="27"/>
      <c r="V14" s="27"/>
      <c r="W14" s="27"/>
      <c r="X14" s="28"/>
      <c r="Y14" s="28"/>
      <c r="Z14" s="27"/>
      <c r="AA14" s="27"/>
      <c r="AB14" s="27"/>
      <c r="AC14" s="27"/>
      <c r="AD14" s="44" t="s">
        <v>763</v>
      </c>
      <c r="AE14" s="29"/>
      <c r="AF14" s="29"/>
      <c r="AG14" s="29"/>
      <c r="AH14" s="29"/>
      <c r="AI14" s="30"/>
      <c r="AJ14" s="29"/>
      <c r="AK14" s="29"/>
      <c r="AL14" s="29"/>
      <c r="AM14" s="29"/>
      <c r="AN14" s="30"/>
      <c r="AO14" s="31"/>
      <c r="AP14" s="32"/>
    </row>
    <row r="15" spans="1:46" s="1" customFormat="1" ht="15" customHeight="1">
      <c r="A15" s="33">
        <f t="shared" si="8"/>
        <v>12</v>
      </c>
      <c r="B15" s="34" t="s">
        <v>114</v>
      </c>
      <c r="C15" s="33" t="s">
        <v>585</v>
      </c>
      <c r="D15" s="35" t="s">
        <v>586</v>
      </c>
      <c r="E15" s="34" t="s">
        <v>587</v>
      </c>
      <c r="F15" s="33" t="s">
        <v>814</v>
      </c>
      <c r="G15" s="37" t="s">
        <v>119</v>
      </c>
      <c r="H15" s="37">
        <v>28</v>
      </c>
      <c r="I15" s="34">
        <v>35000</v>
      </c>
      <c r="J15" s="34">
        <v>35098</v>
      </c>
      <c r="K15" s="34" t="s">
        <v>120</v>
      </c>
      <c r="L15" s="39">
        <v>45890</v>
      </c>
      <c r="M15" s="40" t="s">
        <v>121</v>
      </c>
      <c r="N15" s="39" t="s">
        <v>122</v>
      </c>
      <c r="O15" s="39">
        <v>45881</v>
      </c>
      <c r="P15" s="39">
        <v>45907</v>
      </c>
      <c r="Q15" s="39">
        <v>45892</v>
      </c>
      <c r="R15" s="39">
        <v>46038</v>
      </c>
      <c r="S15" s="27"/>
      <c r="T15" s="27"/>
      <c r="U15" s="27"/>
      <c r="V15" s="27"/>
      <c r="W15" s="27"/>
      <c r="X15" s="28"/>
      <c r="Y15" s="28"/>
      <c r="Z15" s="27"/>
      <c r="AA15" s="27"/>
      <c r="AB15" s="27"/>
      <c r="AC15" s="27"/>
      <c r="AD15" s="44" t="s">
        <v>763</v>
      </c>
      <c r="AE15" s="29"/>
      <c r="AF15" s="29"/>
      <c r="AG15" s="29"/>
      <c r="AH15" s="29"/>
      <c r="AI15" s="30"/>
      <c r="AJ15" s="29"/>
      <c r="AK15" s="29"/>
      <c r="AL15" s="29"/>
      <c r="AM15" s="29"/>
      <c r="AN15" s="30"/>
      <c r="AO15" s="31"/>
      <c r="AP15" s="32"/>
    </row>
    <row r="16" spans="1:46" s="1" customFormat="1" ht="15" customHeight="1">
      <c r="A16" s="33">
        <f t="shared" si="8"/>
        <v>13</v>
      </c>
      <c r="B16" s="34" t="s">
        <v>114</v>
      </c>
      <c r="C16" s="34" t="s">
        <v>818</v>
      </c>
      <c r="D16" s="34" t="s">
        <v>830</v>
      </c>
      <c r="E16" s="34" t="s">
        <v>826</v>
      </c>
      <c r="F16" s="33" t="s">
        <v>814</v>
      </c>
      <c r="G16" s="37" t="s">
        <v>119</v>
      </c>
      <c r="H16" s="37">
        <v>28</v>
      </c>
      <c r="I16" s="34">
        <v>35000</v>
      </c>
      <c r="J16" s="34">
        <v>35098</v>
      </c>
      <c r="K16" s="34" t="s">
        <v>120</v>
      </c>
      <c r="L16" s="39">
        <v>45890</v>
      </c>
      <c r="M16" s="40" t="s">
        <v>121</v>
      </c>
      <c r="N16" s="39" t="s">
        <v>122</v>
      </c>
      <c r="O16" s="39">
        <v>45881</v>
      </c>
      <c r="P16" s="39">
        <v>45907</v>
      </c>
      <c r="Q16" s="39">
        <v>45892</v>
      </c>
      <c r="R16" s="39">
        <v>46038</v>
      </c>
      <c r="S16" s="27"/>
      <c r="T16" s="27"/>
      <c r="U16" s="27"/>
      <c r="V16" s="27"/>
      <c r="W16" s="27"/>
      <c r="X16" s="28"/>
      <c r="Y16" s="28"/>
      <c r="Z16" s="27"/>
      <c r="AA16" s="27"/>
      <c r="AB16" s="27"/>
      <c r="AC16" s="27"/>
      <c r="AD16" s="44" t="s">
        <v>763</v>
      </c>
      <c r="AE16" s="29"/>
      <c r="AF16" s="29"/>
      <c r="AG16" s="29"/>
      <c r="AH16" s="29"/>
      <c r="AI16" s="30"/>
      <c r="AJ16" s="29"/>
      <c r="AK16" s="29"/>
      <c r="AL16" s="29"/>
      <c r="AM16" s="29"/>
      <c r="AN16" s="30"/>
      <c r="AO16" s="31"/>
      <c r="AP16" s="32"/>
    </row>
    <row r="17" spans="1:42" s="1" customFormat="1" ht="15" customHeight="1">
      <c r="A17" s="33">
        <f t="shared" si="8"/>
        <v>14</v>
      </c>
      <c r="B17" s="34" t="s">
        <v>114</v>
      </c>
      <c r="C17" s="35" t="s">
        <v>615</v>
      </c>
      <c r="D17" s="35" t="s">
        <v>616</v>
      </c>
      <c r="E17" s="35" t="s">
        <v>617</v>
      </c>
      <c r="F17" s="33" t="s">
        <v>814</v>
      </c>
      <c r="G17" s="37" t="s">
        <v>119</v>
      </c>
      <c r="H17" s="37">
        <v>28</v>
      </c>
      <c r="I17" s="34">
        <v>35000</v>
      </c>
      <c r="J17" s="34">
        <v>35098</v>
      </c>
      <c r="K17" s="34" t="s">
        <v>120</v>
      </c>
      <c r="L17" s="39">
        <v>45890</v>
      </c>
      <c r="M17" s="40" t="s">
        <v>121</v>
      </c>
      <c r="N17" s="39" t="s">
        <v>122</v>
      </c>
      <c r="O17" s="39">
        <v>45881</v>
      </c>
      <c r="P17" s="39">
        <v>45907</v>
      </c>
      <c r="Q17" s="39">
        <v>45892</v>
      </c>
      <c r="R17" s="39">
        <v>46038</v>
      </c>
      <c r="S17" s="27"/>
      <c r="T17" s="27"/>
      <c r="U17" s="27"/>
      <c r="V17" s="27"/>
      <c r="W17" s="27"/>
      <c r="X17" s="28"/>
      <c r="Y17" s="28"/>
      <c r="Z17" s="27"/>
      <c r="AA17" s="27"/>
      <c r="AB17" s="27"/>
      <c r="AC17" s="27"/>
      <c r="AD17" s="44" t="s">
        <v>763</v>
      </c>
      <c r="AE17" s="29"/>
      <c r="AF17" s="29"/>
      <c r="AG17" s="29"/>
      <c r="AH17" s="29"/>
      <c r="AI17" s="30"/>
      <c r="AJ17" s="29"/>
      <c r="AK17" s="29"/>
      <c r="AL17" s="29"/>
      <c r="AM17" s="29"/>
      <c r="AN17" s="30"/>
      <c r="AO17" s="31"/>
      <c r="AP17" s="32"/>
    </row>
    <row r="18" spans="1:42" s="1" customFormat="1" ht="15" customHeight="1">
      <c r="A18" s="33">
        <f t="shared" si="8"/>
        <v>15</v>
      </c>
      <c r="B18" s="34" t="s">
        <v>114</v>
      </c>
      <c r="C18" s="33" t="s">
        <v>819</v>
      </c>
      <c r="D18" s="33" t="s">
        <v>831</v>
      </c>
      <c r="E18" s="33" t="s">
        <v>827</v>
      </c>
      <c r="F18" s="33" t="s">
        <v>814</v>
      </c>
      <c r="G18" s="37" t="s">
        <v>119</v>
      </c>
      <c r="H18" s="37">
        <v>28</v>
      </c>
      <c r="I18" s="34">
        <v>35000</v>
      </c>
      <c r="J18" s="34">
        <v>35098</v>
      </c>
      <c r="K18" s="34" t="s">
        <v>120</v>
      </c>
      <c r="L18" s="39">
        <v>45890</v>
      </c>
      <c r="M18" s="40" t="s">
        <v>121</v>
      </c>
      <c r="N18" s="39" t="s">
        <v>122</v>
      </c>
      <c r="O18" s="39">
        <v>45881</v>
      </c>
      <c r="P18" s="39">
        <v>45907</v>
      </c>
      <c r="Q18" s="39">
        <v>45892</v>
      </c>
      <c r="R18" s="39">
        <v>46038</v>
      </c>
      <c r="S18" s="27"/>
      <c r="T18" s="27"/>
      <c r="U18" s="27"/>
      <c r="V18" s="27"/>
      <c r="W18" s="27"/>
      <c r="X18" s="28"/>
      <c r="Y18" s="28"/>
      <c r="Z18" s="27"/>
      <c r="AA18" s="27"/>
      <c r="AB18" s="27"/>
      <c r="AC18" s="27"/>
      <c r="AD18" s="44" t="s">
        <v>763</v>
      </c>
      <c r="AE18" s="29"/>
      <c r="AF18" s="29"/>
      <c r="AG18" s="29"/>
      <c r="AH18" s="29"/>
      <c r="AI18" s="30"/>
      <c r="AJ18" s="29"/>
      <c r="AK18" s="29"/>
      <c r="AL18" s="29"/>
      <c r="AM18" s="29"/>
      <c r="AN18" s="30"/>
      <c r="AO18" s="31"/>
      <c r="AP18" s="32"/>
    </row>
    <row r="19" spans="1:42" s="1" customFormat="1" ht="15" customHeight="1">
      <c r="A19" s="33">
        <f t="shared" si="8"/>
        <v>16</v>
      </c>
      <c r="B19" s="34" t="s">
        <v>114</v>
      </c>
      <c r="C19" s="35" t="s">
        <v>822</v>
      </c>
      <c r="D19" s="35" t="s">
        <v>832</v>
      </c>
      <c r="E19" s="34" t="s">
        <v>828</v>
      </c>
      <c r="F19" s="33" t="s">
        <v>814</v>
      </c>
      <c r="G19" s="37" t="s">
        <v>119</v>
      </c>
      <c r="H19" s="37">
        <v>28</v>
      </c>
      <c r="I19" s="34">
        <v>35000</v>
      </c>
      <c r="J19" s="34">
        <v>35098</v>
      </c>
      <c r="K19" s="34" t="s">
        <v>120</v>
      </c>
      <c r="L19" s="39">
        <v>45890</v>
      </c>
      <c r="M19" s="40" t="s">
        <v>121</v>
      </c>
      <c r="N19" s="39" t="s">
        <v>122</v>
      </c>
      <c r="O19" s="39">
        <v>45881</v>
      </c>
      <c r="P19" s="39">
        <v>45907</v>
      </c>
      <c r="Q19" s="39">
        <v>45892</v>
      </c>
      <c r="R19" s="39">
        <v>46038</v>
      </c>
      <c r="S19" s="27"/>
      <c r="T19" s="27"/>
      <c r="U19" s="27"/>
      <c r="V19" s="27"/>
      <c r="W19" s="27"/>
      <c r="X19" s="28"/>
      <c r="Y19" s="28"/>
      <c r="Z19" s="27"/>
      <c r="AA19" s="27"/>
      <c r="AB19" s="27"/>
      <c r="AC19" s="27"/>
      <c r="AD19" s="44" t="s">
        <v>763</v>
      </c>
      <c r="AE19" s="29"/>
      <c r="AF19" s="29"/>
      <c r="AG19" s="29"/>
      <c r="AH19" s="29"/>
      <c r="AI19" s="30"/>
      <c r="AJ19" s="29"/>
      <c r="AK19" s="29"/>
      <c r="AL19" s="29"/>
      <c r="AM19" s="29"/>
      <c r="AN19" s="30"/>
      <c r="AO19" s="31"/>
      <c r="AP19" s="32"/>
    </row>
    <row r="20" spans="1:42" s="1" customFormat="1" ht="15" customHeight="1">
      <c r="A20" s="33">
        <f t="shared" si="8"/>
        <v>17</v>
      </c>
      <c r="B20" s="34" t="s">
        <v>114</v>
      </c>
      <c r="C20" s="275" t="s">
        <v>820</v>
      </c>
      <c r="D20" s="275" t="s">
        <v>829</v>
      </c>
      <c r="E20" s="276" t="s">
        <v>825</v>
      </c>
      <c r="F20" s="33" t="s">
        <v>814</v>
      </c>
      <c r="G20" s="37" t="s">
        <v>119</v>
      </c>
      <c r="H20" s="37">
        <v>28</v>
      </c>
      <c r="I20" s="34">
        <v>35000</v>
      </c>
      <c r="J20" s="34">
        <v>35098</v>
      </c>
      <c r="K20" s="34" t="s">
        <v>120</v>
      </c>
      <c r="L20" s="39">
        <v>45890</v>
      </c>
      <c r="M20" s="40" t="s">
        <v>121</v>
      </c>
      <c r="N20" s="39" t="s">
        <v>122</v>
      </c>
      <c r="O20" s="39">
        <v>45881</v>
      </c>
      <c r="P20" s="39">
        <v>45907</v>
      </c>
      <c r="Q20" s="39">
        <v>45892</v>
      </c>
      <c r="R20" s="39">
        <v>46036</v>
      </c>
      <c r="S20" s="39">
        <v>46038</v>
      </c>
      <c r="T20" s="27"/>
      <c r="U20" s="27"/>
      <c r="V20" s="27"/>
      <c r="W20" s="27"/>
      <c r="X20" s="28"/>
      <c r="Y20" s="28"/>
      <c r="Z20" s="27"/>
      <c r="AA20" s="27"/>
      <c r="AB20" s="27"/>
      <c r="AC20" s="27"/>
      <c r="AD20" s="44" t="s">
        <v>268</v>
      </c>
      <c r="AE20" s="29"/>
      <c r="AF20" s="29"/>
      <c r="AG20" s="29"/>
      <c r="AH20" s="29"/>
      <c r="AI20" s="30"/>
      <c r="AJ20" s="29"/>
      <c r="AK20" s="29"/>
      <c r="AL20" s="29"/>
      <c r="AM20" s="29"/>
      <c r="AN20" s="30"/>
      <c r="AO20" s="31"/>
      <c r="AP20" s="32"/>
    </row>
    <row r="21" spans="1:42" s="1" customFormat="1" ht="15" customHeight="1">
      <c r="A21" s="33">
        <f t="shared" ref="A21:A31" si="9">ROW()-3</f>
        <v>18</v>
      </c>
      <c r="B21" s="34" t="s">
        <v>114</v>
      </c>
      <c r="C21" s="35" t="s">
        <v>786</v>
      </c>
      <c r="D21" s="35" t="s">
        <v>807</v>
      </c>
      <c r="E21" s="34" t="s">
        <v>797</v>
      </c>
      <c r="F21" s="37" t="s">
        <v>814</v>
      </c>
      <c r="G21" s="37" t="s">
        <v>119</v>
      </c>
      <c r="H21" s="37">
        <v>28</v>
      </c>
      <c r="I21" s="34">
        <v>35000</v>
      </c>
      <c r="J21" s="34">
        <v>35098</v>
      </c>
      <c r="K21" s="34" t="s">
        <v>120</v>
      </c>
      <c r="L21" s="39">
        <v>45890</v>
      </c>
      <c r="M21" s="40" t="s">
        <v>121</v>
      </c>
      <c r="N21" s="39" t="s">
        <v>122</v>
      </c>
      <c r="O21" s="39">
        <v>45881</v>
      </c>
      <c r="P21" s="39">
        <v>45907</v>
      </c>
      <c r="Q21" s="39">
        <v>45892</v>
      </c>
      <c r="R21" s="39">
        <v>46031</v>
      </c>
      <c r="S21" s="41"/>
      <c r="T21" s="41"/>
      <c r="U21" s="41"/>
      <c r="V21" s="41"/>
      <c r="W21" s="41"/>
      <c r="X21" s="42"/>
      <c r="Y21" s="42"/>
      <c r="Z21" s="41"/>
      <c r="AA21" s="41"/>
      <c r="AB21" s="41"/>
      <c r="AC21" s="41"/>
      <c r="AD21" s="44" t="s">
        <v>763</v>
      </c>
      <c r="AE21" s="50">
        <f t="shared" ref="AE21:AE31" si="10">MAX(0,Y21-X21)</f>
        <v>0</v>
      </c>
      <c r="AF21" s="36">
        <v>7</v>
      </c>
      <c r="AG21" s="51">
        <f t="shared" ref="AG21:AG31" si="11">MAX(0,AE21-AF21)</f>
        <v>0</v>
      </c>
      <c r="AH21" s="52">
        <v>200</v>
      </c>
      <c r="AI21" s="53">
        <f t="shared" ref="AI21:AI31" si="12">MAX(0,AG21*AH21)</f>
        <v>0</v>
      </c>
      <c r="AJ21" s="54">
        <f t="shared" ref="AJ21:AJ31" si="13">MAX(0,AC21-AB21)</f>
        <v>0</v>
      </c>
      <c r="AK21" s="36">
        <v>2</v>
      </c>
      <c r="AL21" s="51">
        <f t="shared" ref="AL21:AL31" si="14">MAX(0,AJ21-AK21)</f>
        <v>0</v>
      </c>
      <c r="AM21" s="52">
        <v>200</v>
      </c>
      <c r="AN21" s="53">
        <f t="shared" ref="AN21:AN31" si="15">MAX(0,AL21*AM21)</f>
        <v>0</v>
      </c>
      <c r="AO21" s="52"/>
      <c r="AP21" s="55">
        <f t="shared" ref="AP21:AP31" si="16">AO21+AN21+AI21</f>
        <v>0</v>
      </c>
    </row>
    <row r="22" spans="1:42" s="1" customFormat="1" ht="15" customHeight="1">
      <c r="A22" s="33">
        <f t="shared" si="9"/>
        <v>19</v>
      </c>
      <c r="B22" s="34" t="s">
        <v>114</v>
      </c>
      <c r="C22" s="35" t="s">
        <v>787</v>
      </c>
      <c r="D22" s="35" t="s">
        <v>808</v>
      </c>
      <c r="E22" s="34" t="s">
        <v>798</v>
      </c>
      <c r="F22" s="37" t="s">
        <v>814</v>
      </c>
      <c r="G22" s="37" t="s">
        <v>119</v>
      </c>
      <c r="H22" s="37">
        <v>28</v>
      </c>
      <c r="I22" s="34">
        <v>35000</v>
      </c>
      <c r="J22" s="34">
        <v>35098</v>
      </c>
      <c r="K22" s="34" t="s">
        <v>120</v>
      </c>
      <c r="L22" s="39">
        <v>45890</v>
      </c>
      <c r="M22" s="40" t="s">
        <v>121</v>
      </c>
      <c r="N22" s="39" t="s">
        <v>122</v>
      </c>
      <c r="O22" s="39">
        <v>45881</v>
      </c>
      <c r="P22" s="39">
        <v>45907</v>
      </c>
      <c r="Q22" s="39">
        <v>45892</v>
      </c>
      <c r="R22" s="39">
        <v>46031</v>
      </c>
      <c r="S22" s="41"/>
      <c r="T22" s="41"/>
      <c r="U22" s="41"/>
      <c r="V22" s="41"/>
      <c r="W22" s="41"/>
      <c r="X22" s="42"/>
      <c r="Y22" s="42"/>
      <c r="Z22" s="41"/>
      <c r="AA22" s="41"/>
      <c r="AB22" s="41"/>
      <c r="AC22" s="41"/>
      <c r="AD22" s="44" t="s">
        <v>763</v>
      </c>
      <c r="AE22" s="45">
        <f t="shared" si="10"/>
        <v>0</v>
      </c>
      <c r="AF22" s="36">
        <v>7</v>
      </c>
      <c r="AG22" s="46">
        <f t="shared" si="11"/>
        <v>0</v>
      </c>
      <c r="AH22" s="47">
        <v>200</v>
      </c>
      <c r="AI22" s="48">
        <f t="shared" si="12"/>
        <v>0</v>
      </c>
      <c r="AJ22" s="45">
        <f t="shared" si="13"/>
        <v>0</v>
      </c>
      <c r="AK22" s="36">
        <v>2</v>
      </c>
      <c r="AL22" s="46">
        <f t="shared" si="14"/>
        <v>0</v>
      </c>
      <c r="AM22" s="47">
        <v>200</v>
      </c>
      <c r="AN22" s="48">
        <f t="shared" si="15"/>
        <v>0</v>
      </c>
      <c r="AO22" s="47"/>
      <c r="AP22" s="49">
        <f t="shared" si="16"/>
        <v>0</v>
      </c>
    </row>
    <row r="23" spans="1:42" s="1" customFormat="1" ht="15" customHeight="1">
      <c r="A23" s="33">
        <f t="shared" si="9"/>
        <v>20</v>
      </c>
      <c r="B23" s="34" t="s">
        <v>114</v>
      </c>
      <c r="C23" s="35" t="s">
        <v>788</v>
      </c>
      <c r="D23" s="35" t="s">
        <v>809</v>
      </c>
      <c r="E23" s="33" t="s">
        <v>799</v>
      </c>
      <c r="F23" s="37" t="s">
        <v>814</v>
      </c>
      <c r="G23" s="37" t="s">
        <v>119</v>
      </c>
      <c r="H23" s="37">
        <v>27</v>
      </c>
      <c r="I23" s="34">
        <v>33750</v>
      </c>
      <c r="J23" s="34">
        <v>33845</v>
      </c>
      <c r="K23" s="34" t="s">
        <v>120</v>
      </c>
      <c r="L23" s="39">
        <v>45890</v>
      </c>
      <c r="M23" s="40" t="s">
        <v>121</v>
      </c>
      <c r="N23" s="39" t="s">
        <v>122</v>
      </c>
      <c r="O23" s="39">
        <v>45881</v>
      </c>
      <c r="P23" s="39">
        <v>45907</v>
      </c>
      <c r="Q23" s="39">
        <v>45892</v>
      </c>
      <c r="R23" s="39">
        <v>46032</v>
      </c>
      <c r="S23" s="41"/>
      <c r="T23" s="41"/>
      <c r="U23" s="41"/>
      <c r="V23" s="41"/>
      <c r="W23" s="41"/>
      <c r="X23" s="42"/>
      <c r="Y23" s="42"/>
      <c r="Z23" s="41"/>
      <c r="AA23" s="41"/>
      <c r="AB23" s="41"/>
      <c r="AC23" s="41"/>
      <c r="AD23" s="44" t="s">
        <v>763</v>
      </c>
      <c r="AE23" s="50">
        <f t="shared" si="10"/>
        <v>0</v>
      </c>
      <c r="AF23" s="36">
        <v>7</v>
      </c>
      <c r="AG23" s="51">
        <f t="shared" si="11"/>
        <v>0</v>
      </c>
      <c r="AH23" s="52">
        <v>200</v>
      </c>
      <c r="AI23" s="53">
        <f t="shared" si="12"/>
        <v>0</v>
      </c>
      <c r="AJ23" s="54">
        <f t="shared" si="13"/>
        <v>0</v>
      </c>
      <c r="AK23" s="36">
        <v>2</v>
      </c>
      <c r="AL23" s="51">
        <f t="shared" si="14"/>
        <v>0</v>
      </c>
      <c r="AM23" s="52">
        <v>200</v>
      </c>
      <c r="AN23" s="53">
        <f t="shared" si="15"/>
        <v>0</v>
      </c>
      <c r="AO23" s="52"/>
      <c r="AP23" s="55">
        <f t="shared" si="16"/>
        <v>0</v>
      </c>
    </row>
    <row r="24" spans="1:42" s="1" customFormat="1" ht="15" customHeight="1">
      <c r="A24" s="33">
        <f t="shared" si="9"/>
        <v>21</v>
      </c>
      <c r="B24" s="34" t="s">
        <v>114</v>
      </c>
      <c r="C24" s="33" t="s">
        <v>789</v>
      </c>
      <c r="D24" s="33" t="s">
        <v>810</v>
      </c>
      <c r="E24" s="34" t="s">
        <v>800</v>
      </c>
      <c r="F24" s="37" t="s">
        <v>814</v>
      </c>
      <c r="G24" s="37" t="s">
        <v>119</v>
      </c>
      <c r="H24" s="37">
        <v>28</v>
      </c>
      <c r="I24" s="34">
        <v>35000</v>
      </c>
      <c r="J24" s="34">
        <v>35098</v>
      </c>
      <c r="K24" s="34" t="s">
        <v>120</v>
      </c>
      <c r="L24" s="39">
        <v>45890</v>
      </c>
      <c r="M24" s="40" t="s">
        <v>121</v>
      </c>
      <c r="N24" s="39" t="s">
        <v>122</v>
      </c>
      <c r="O24" s="39">
        <v>45881</v>
      </c>
      <c r="P24" s="39">
        <v>45907</v>
      </c>
      <c r="Q24" s="39">
        <v>45892</v>
      </c>
      <c r="R24" s="39">
        <v>46036</v>
      </c>
      <c r="S24" s="41"/>
      <c r="T24" s="41"/>
      <c r="U24" s="41"/>
      <c r="V24" s="41"/>
      <c r="W24" s="41"/>
      <c r="X24" s="42"/>
      <c r="Y24" s="42"/>
      <c r="Z24" s="41"/>
      <c r="AA24" s="41"/>
      <c r="AB24" s="41"/>
      <c r="AC24" s="41"/>
      <c r="AD24" s="44" t="s">
        <v>763</v>
      </c>
      <c r="AE24" s="45">
        <f t="shared" si="10"/>
        <v>0</v>
      </c>
      <c r="AF24" s="36">
        <v>7</v>
      </c>
      <c r="AG24" s="46">
        <f t="shared" si="11"/>
        <v>0</v>
      </c>
      <c r="AH24" s="47">
        <v>200</v>
      </c>
      <c r="AI24" s="48">
        <f t="shared" si="12"/>
        <v>0</v>
      </c>
      <c r="AJ24" s="45">
        <f t="shared" si="13"/>
        <v>0</v>
      </c>
      <c r="AK24" s="36">
        <v>2</v>
      </c>
      <c r="AL24" s="46">
        <f t="shared" si="14"/>
        <v>0</v>
      </c>
      <c r="AM24" s="47">
        <v>200</v>
      </c>
      <c r="AN24" s="48">
        <f t="shared" si="15"/>
        <v>0</v>
      </c>
      <c r="AO24" s="47"/>
      <c r="AP24" s="49">
        <f t="shared" si="16"/>
        <v>0</v>
      </c>
    </row>
    <row r="25" spans="1:42" s="1" customFormat="1" ht="15" customHeight="1">
      <c r="A25" s="33">
        <f t="shared" si="9"/>
        <v>22</v>
      </c>
      <c r="B25" s="34" t="s">
        <v>114</v>
      </c>
      <c r="C25" s="35" t="s">
        <v>790</v>
      </c>
      <c r="D25" s="35" t="s">
        <v>811</v>
      </c>
      <c r="E25" s="33" t="s">
        <v>801</v>
      </c>
      <c r="F25" s="37" t="s">
        <v>814</v>
      </c>
      <c r="G25" s="37" t="s">
        <v>119</v>
      </c>
      <c r="H25" s="37">
        <v>28</v>
      </c>
      <c r="I25" s="34">
        <v>35000</v>
      </c>
      <c r="J25" s="34">
        <v>35098</v>
      </c>
      <c r="K25" s="34" t="s">
        <v>120</v>
      </c>
      <c r="L25" s="39">
        <v>45890</v>
      </c>
      <c r="M25" s="40" t="s">
        <v>121</v>
      </c>
      <c r="N25" s="39" t="s">
        <v>122</v>
      </c>
      <c r="O25" s="39">
        <v>45881</v>
      </c>
      <c r="P25" s="39">
        <v>45907</v>
      </c>
      <c r="Q25" s="39">
        <v>45892</v>
      </c>
      <c r="R25" s="39">
        <v>46036</v>
      </c>
      <c r="S25" s="41"/>
      <c r="T25" s="41"/>
      <c r="U25" s="41"/>
      <c r="V25" s="41"/>
      <c r="W25" s="41"/>
      <c r="X25" s="42"/>
      <c r="Y25" s="42"/>
      <c r="Z25" s="41"/>
      <c r="AA25" s="41"/>
      <c r="AB25" s="41"/>
      <c r="AC25" s="41"/>
      <c r="AD25" s="44" t="s">
        <v>763</v>
      </c>
      <c r="AE25" s="50">
        <f t="shared" si="10"/>
        <v>0</v>
      </c>
      <c r="AF25" s="36">
        <v>7</v>
      </c>
      <c r="AG25" s="51">
        <f t="shared" si="11"/>
        <v>0</v>
      </c>
      <c r="AH25" s="52">
        <v>200</v>
      </c>
      <c r="AI25" s="53">
        <f t="shared" si="12"/>
        <v>0</v>
      </c>
      <c r="AJ25" s="54">
        <f t="shared" si="13"/>
        <v>0</v>
      </c>
      <c r="AK25" s="36">
        <v>2</v>
      </c>
      <c r="AL25" s="51">
        <f t="shared" si="14"/>
        <v>0</v>
      </c>
      <c r="AM25" s="52">
        <v>200</v>
      </c>
      <c r="AN25" s="53">
        <f t="shared" si="15"/>
        <v>0</v>
      </c>
      <c r="AO25" s="52"/>
      <c r="AP25" s="55">
        <f t="shared" si="16"/>
        <v>0</v>
      </c>
    </row>
    <row r="26" spans="1:42" s="1" customFormat="1" ht="15" customHeight="1">
      <c r="A26" s="33">
        <f t="shared" si="9"/>
        <v>23</v>
      </c>
      <c r="B26" s="34" t="s">
        <v>114</v>
      </c>
      <c r="C26" s="35" t="s">
        <v>791</v>
      </c>
      <c r="D26" s="35" t="s">
        <v>812</v>
      </c>
      <c r="E26" s="34" t="s">
        <v>802</v>
      </c>
      <c r="F26" s="37" t="s">
        <v>814</v>
      </c>
      <c r="G26" s="37" t="s">
        <v>119</v>
      </c>
      <c r="H26" s="37">
        <v>28</v>
      </c>
      <c r="I26" s="34">
        <v>35000</v>
      </c>
      <c r="J26" s="34">
        <v>35098</v>
      </c>
      <c r="K26" s="34" t="s">
        <v>120</v>
      </c>
      <c r="L26" s="39">
        <v>45890</v>
      </c>
      <c r="M26" s="40" t="s">
        <v>121</v>
      </c>
      <c r="N26" s="39" t="s">
        <v>122</v>
      </c>
      <c r="O26" s="39">
        <v>45881</v>
      </c>
      <c r="P26" s="39">
        <v>45907</v>
      </c>
      <c r="Q26" s="39">
        <v>45892</v>
      </c>
      <c r="R26" s="39">
        <v>46036</v>
      </c>
      <c r="S26" s="41"/>
      <c r="T26" s="41"/>
      <c r="U26" s="41"/>
      <c r="V26" s="41"/>
      <c r="W26" s="41"/>
      <c r="X26" s="42"/>
      <c r="Y26" s="42"/>
      <c r="Z26" s="41"/>
      <c r="AA26" s="41"/>
      <c r="AB26" s="41"/>
      <c r="AC26" s="41"/>
      <c r="AD26" s="44" t="s">
        <v>763</v>
      </c>
      <c r="AE26" s="45">
        <f t="shared" si="10"/>
        <v>0</v>
      </c>
      <c r="AF26" s="36">
        <v>7</v>
      </c>
      <c r="AG26" s="46">
        <f t="shared" si="11"/>
        <v>0</v>
      </c>
      <c r="AH26" s="47">
        <v>200</v>
      </c>
      <c r="AI26" s="48">
        <f t="shared" si="12"/>
        <v>0</v>
      </c>
      <c r="AJ26" s="45">
        <f t="shared" si="13"/>
        <v>0</v>
      </c>
      <c r="AK26" s="36">
        <v>2</v>
      </c>
      <c r="AL26" s="46">
        <f t="shared" si="14"/>
        <v>0</v>
      </c>
      <c r="AM26" s="47">
        <v>200</v>
      </c>
      <c r="AN26" s="48">
        <f t="shared" si="15"/>
        <v>0</v>
      </c>
      <c r="AO26" s="47"/>
      <c r="AP26" s="49">
        <f t="shared" si="16"/>
        <v>0</v>
      </c>
    </row>
    <row r="27" spans="1:42" s="1" customFormat="1" ht="15" customHeight="1">
      <c r="A27" s="33">
        <f t="shared" si="9"/>
        <v>24</v>
      </c>
      <c r="B27" s="34" t="s">
        <v>114</v>
      </c>
      <c r="C27" s="33" t="s">
        <v>633</v>
      </c>
      <c r="D27" s="35" t="s">
        <v>634</v>
      </c>
      <c r="E27" s="34" t="s">
        <v>635</v>
      </c>
      <c r="F27" s="37" t="s">
        <v>814</v>
      </c>
      <c r="G27" s="37" t="s">
        <v>119</v>
      </c>
      <c r="H27" s="37">
        <v>28</v>
      </c>
      <c r="I27" s="34">
        <v>35000</v>
      </c>
      <c r="J27" s="34">
        <v>35098</v>
      </c>
      <c r="K27" s="34" t="s">
        <v>120</v>
      </c>
      <c r="L27" s="39">
        <v>45890</v>
      </c>
      <c r="M27" s="40" t="s">
        <v>121</v>
      </c>
      <c r="N27" s="39" t="s">
        <v>122</v>
      </c>
      <c r="O27" s="39">
        <v>45881</v>
      </c>
      <c r="P27" s="39">
        <v>45907</v>
      </c>
      <c r="Q27" s="39">
        <v>45892</v>
      </c>
      <c r="R27" s="39">
        <v>46036</v>
      </c>
      <c r="S27" s="41"/>
      <c r="T27" s="41"/>
      <c r="U27" s="41"/>
      <c r="V27" s="41"/>
      <c r="W27" s="41"/>
      <c r="X27" s="42"/>
      <c r="Y27" s="42"/>
      <c r="Z27" s="41"/>
      <c r="AA27" s="41"/>
      <c r="AB27" s="41"/>
      <c r="AC27" s="41"/>
      <c r="AD27" s="44" t="s">
        <v>763</v>
      </c>
      <c r="AE27" s="50">
        <f t="shared" si="10"/>
        <v>0</v>
      </c>
      <c r="AF27" s="36">
        <v>7</v>
      </c>
      <c r="AG27" s="51">
        <f t="shared" si="11"/>
        <v>0</v>
      </c>
      <c r="AH27" s="52">
        <v>200</v>
      </c>
      <c r="AI27" s="53">
        <f t="shared" si="12"/>
        <v>0</v>
      </c>
      <c r="AJ27" s="54">
        <f t="shared" si="13"/>
        <v>0</v>
      </c>
      <c r="AK27" s="36">
        <v>2</v>
      </c>
      <c r="AL27" s="51">
        <f t="shared" si="14"/>
        <v>0</v>
      </c>
      <c r="AM27" s="52">
        <v>200</v>
      </c>
      <c r="AN27" s="53">
        <f t="shared" si="15"/>
        <v>0</v>
      </c>
      <c r="AO27" s="52"/>
      <c r="AP27" s="55">
        <f t="shared" si="16"/>
        <v>0</v>
      </c>
    </row>
    <row r="28" spans="1:42" s="1" customFormat="1" ht="15" customHeight="1">
      <c r="A28" s="33">
        <f t="shared" si="9"/>
        <v>25</v>
      </c>
      <c r="B28" s="34" t="s">
        <v>114</v>
      </c>
      <c r="C28" s="33" t="s">
        <v>618</v>
      </c>
      <c r="D28" s="35" t="s">
        <v>619</v>
      </c>
      <c r="E28" s="33" t="s">
        <v>803</v>
      </c>
      <c r="F28" s="37" t="s">
        <v>814</v>
      </c>
      <c r="G28" s="37" t="s">
        <v>119</v>
      </c>
      <c r="H28" s="37">
        <v>27</v>
      </c>
      <c r="I28" s="34">
        <v>33750</v>
      </c>
      <c r="J28" s="34">
        <v>33845</v>
      </c>
      <c r="K28" s="34" t="s">
        <v>120</v>
      </c>
      <c r="L28" s="39">
        <v>45890</v>
      </c>
      <c r="M28" s="40" t="s">
        <v>121</v>
      </c>
      <c r="N28" s="39" t="s">
        <v>122</v>
      </c>
      <c r="O28" s="39">
        <v>45881</v>
      </c>
      <c r="P28" s="39">
        <v>45907</v>
      </c>
      <c r="Q28" s="39">
        <v>45892</v>
      </c>
      <c r="R28" s="39">
        <v>46036</v>
      </c>
      <c r="S28" s="41"/>
      <c r="T28" s="41"/>
      <c r="U28" s="41"/>
      <c r="V28" s="41"/>
      <c r="W28" s="41"/>
      <c r="X28" s="42"/>
      <c r="Y28" s="42"/>
      <c r="Z28" s="41"/>
      <c r="AA28" s="41"/>
      <c r="AB28" s="41"/>
      <c r="AC28" s="41"/>
      <c r="AD28" s="44" t="s">
        <v>763</v>
      </c>
      <c r="AE28" s="45">
        <f t="shared" si="10"/>
        <v>0</v>
      </c>
      <c r="AF28" s="36">
        <v>7</v>
      </c>
      <c r="AG28" s="46">
        <f t="shared" si="11"/>
        <v>0</v>
      </c>
      <c r="AH28" s="47">
        <v>200</v>
      </c>
      <c r="AI28" s="48">
        <f t="shared" si="12"/>
        <v>0</v>
      </c>
      <c r="AJ28" s="45">
        <f t="shared" si="13"/>
        <v>0</v>
      </c>
      <c r="AK28" s="36">
        <v>2</v>
      </c>
      <c r="AL28" s="46">
        <f t="shared" si="14"/>
        <v>0</v>
      </c>
      <c r="AM28" s="47">
        <v>200</v>
      </c>
      <c r="AN28" s="48">
        <f t="shared" si="15"/>
        <v>0</v>
      </c>
      <c r="AO28" s="47"/>
      <c r="AP28" s="49">
        <f t="shared" si="16"/>
        <v>0</v>
      </c>
    </row>
    <row r="29" spans="1:42" s="1" customFormat="1" ht="15" customHeight="1">
      <c r="A29" s="33">
        <f t="shared" si="9"/>
        <v>26</v>
      </c>
      <c r="B29" s="34" t="s">
        <v>114</v>
      </c>
      <c r="C29" s="35" t="s">
        <v>792</v>
      </c>
      <c r="D29" s="35" t="s">
        <v>795</v>
      </c>
      <c r="E29" s="64" t="s">
        <v>804</v>
      </c>
      <c r="F29" s="37" t="s">
        <v>814</v>
      </c>
      <c r="G29" s="37" t="s">
        <v>119</v>
      </c>
      <c r="H29" s="37">
        <v>29</v>
      </c>
      <c r="I29" s="34">
        <v>36250</v>
      </c>
      <c r="J29" s="34">
        <v>36352</v>
      </c>
      <c r="K29" s="34" t="s">
        <v>120</v>
      </c>
      <c r="L29" s="39">
        <v>45890</v>
      </c>
      <c r="M29" s="40" t="s">
        <v>121</v>
      </c>
      <c r="N29" s="39" t="s">
        <v>122</v>
      </c>
      <c r="O29" s="39">
        <v>45881</v>
      </c>
      <c r="P29" s="39">
        <v>45907</v>
      </c>
      <c r="Q29" s="39">
        <v>45892</v>
      </c>
      <c r="R29" s="39">
        <v>46036</v>
      </c>
      <c r="S29" s="41"/>
      <c r="T29" s="41"/>
      <c r="U29" s="41"/>
      <c r="V29" s="41"/>
      <c r="W29" s="41"/>
      <c r="X29" s="42"/>
      <c r="Y29" s="42"/>
      <c r="Z29" s="41"/>
      <c r="AA29" s="41"/>
      <c r="AB29" s="41"/>
      <c r="AC29" s="41"/>
      <c r="AD29" s="44" t="s">
        <v>763</v>
      </c>
      <c r="AE29" s="50">
        <f t="shared" si="10"/>
        <v>0</v>
      </c>
      <c r="AF29" s="36">
        <v>7</v>
      </c>
      <c r="AG29" s="51">
        <f t="shared" si="11"/>
        <v>0</v>
      </c>
      <c r="AH29" s="52">
        <v>200</v>
      </c>
      <c r="AI29" s="53">
        <f t="shared" si="12"/>
        <v>0</v>
      </c>
      <c r="AJ29" s="54">
        <f t="shared" si="13"/>
        <v>0</v>
      </c>
      <c r="AK29" s="36">
        <v>2</v>
      </c>
      <c r="AL29" s="51">
        <f t="shared" si="14"/>
        <v>0</v>
      </c>
      <c r="AM29" s="52">
        <v>200</v>
      </c>
      <c r="AN29" s="53">
        <f t="shared" si="15"/>
        <v>0</v>
      </c>
      <c r="AO29" s="52"/>
      <c r="AP29" s="55">
        <f t="shared" si="16"/>
        <v>0</v>
      </c>
    </row>
    <row r="30" spans="1:42" s="1" customFormat="1" ht="15" customHeight="1">
      <c r="A30" s="33">
        <f t="shared" si="9"/>
        <v>27</v>
      </c>
      <c r="B30" s="34" t="s">
        <v>114</v>
      </c>
      <c r="C30" s="35" t="s">
        <v>793</v>
      </c>
      <c r="D30" s="35" t="s">
        <v>813</v>
      </c>
      <c r="E30" s="34" t="s">
        <v>805</v>
      </c>
      <c r="F30" s="37" t="s">
        <v>814</v>
      </c>
      <c r="G30" s="37" t="s">
        <v>119</v>
      </c>
      <c r="H30" s="37">
        <v>28</v>
      </c>
      <c r="I30" s="34">
        <v>35000</v>
      </c>
      <c r="J30" s="34">
        <v>35098</v>
      </c>
      <c r="K30" s="34" t="s">
        <v>120</v>
      </c>
      <c r="L30" s="39">
        <v>45890</v>
      </c>
      <c r="M30" s="40" t="s">
        <v>121</v>
      </c>
      <c r="N30" s="39" t="s">
        <v>122</v>
      </c>
      <c r="O30" s="39">
        <v>45881</v>
      </c>
      <c r="P30" s="39">
        <v>45907</v>
      </c>
      <c r="Q30" s="39">
        <v>45892</v>
      </c>
      <c r="R30" s="39">
        <v>46036</v>
      </c>
      <c r="S30" s="41"/>
      <c r="T30" s="41"/>
      <c r="U30" s="41"/>
      <c r="V30" s="41"/>
      <c r="W30" s="41"/>
      <c r="X30" s="42"/>
      <c r="Y30" s="42"/>
      <c r="Z30" s="41"/>
      <c r="AA30" s="41"/>
      <c r="AB30" s="41"/>
      <c r="AC30" s="41"/>
      <c r="AD30" s="44" t="s">
        <v>763</v>
      </c>
      <c r="AE30" s="45">
        <f t="shared" si="10"/>
        <v>0</v>
      </c>
      <c r="AF30" s="36">
        <v>7</v>
      </c>
      <c r="AG30" s="46">
        <f t="shared" si="11"/>
        <v>0</v>
      </c>
      <c r="AH30" s="47">
        <v>200</v>
      </c>
      <c r="AI30" s="48">
        <f t="shared" si="12"/>
        <v>0</v>
      </c>
      <c r="AJ30" s="45">
        <f t="shared" si="13"/>
        <v>0</v>
      </c>
      <c r="AK30" s="36">
        <v>2</v>
      </c>
      <c r="AL30" s="46">
        <f t="shared" si="14"/>
        <v>0</v>
      </c>
      <c r="AM30" s="47">
        <v>200</v>
      </c>
      <c r="AN30" s="48">
        <f t="shared" si="15"/>
        <v>0</v>
      </c>
      <c r="AO30" s="47"/>
      <c r="AP30" s="49">
        <f t="shared" si="16"/>
        <v>0</v>
      </c>
    </row>
    <row r="31" spans="1:42" s="1" customFormat="1" ht="15" customHeight="1">
      <c r="A31" s="33">
        <f t="shared" si="9"/>
        <v>28</v>
      </c>
      <c r="B31" s="34" t="s">
        <v>114</v>
      </c>
      <c r="C31" s="35" t="s">
        <v>794</v>
      </c>
      <c r="D31" s="35" t="s">
        <v>796</v>
      </c>
      <c r="E31" s="34" t="s">
        <v>806</v>
      </c>
      <c r="F31" s="37" t="s">
        <v>814</v>
      </c>
      <c r="G31" s="37" t="s">
        <v>119</v>
      </c>
      <c r="H31" s="37">
        <v>24</v>
      </c>
      <c r="I31" s="34">
        <v>30000</v>
      </c>
      <c r="J31" s="34">
        <v>30084</v>
      </c>
      <c r="K31" s="34" t="s">
        <v>120</v>
      </c>
      <c r="L31" s="39">
        <v>45890</v>
      </c>
      <c r="M31" s="40" t="s">
        <v>121</v>
      </c>
      <c r="N31" s="39" t="s">
        <v>122</v>
      </c>
      <c r="O31" s="39">
        <v>45881</v>
      </c>
      <c r="P31" s="39">
        <v>45907</v>
      </c>
      <c r="Q31" s="39">
        <v>45892</v>
      </c>
      <c r="R31" s="39">
        <v>46036</v>
      </c>
      <c r="S31" s="41"/>
      <c r="T31" s="41"/>
      <c r="U31" s="41"/>
      <c r="V31" s="41"/>
      <c r="W31" s="41"/>
      <c r="X31" s="42"/>
      <c r="Y31" s="42"/>
      <c r="Z31" s="41"/>
      <c r="AA31" s="41"/>
      <c r="AB31" s="41"/>
      <c r="AC31" s="41"/>
      <c r="AD31" s="44" t="s">
        <v>763</v>
      </c>
      <c r="AE31" s="50">
        <f t="shared" si="10"/>
        <v>0</v>
      </c>
      <c r="AF31" s="36">
        <v>7</v>
      </c>
      <c r="AG31" s="51">
        <f t="shared" si="11"/>
        <v>0</v>
      </c>
      <c r="AH31" s="52">
        <v>200</v>
      </c>
      <c r="AI31" s="53">
        <f t="shared" si="12"/>
        <v>0</v>
      </c>
      <c r="AJ31" s="54">
        <f t="shared" si="13"/>
        <v>0</v>
      </c>
      <c r="AK31" s="36">
        <v>2</v>
      </c>
      <c r="AL31" s="51">
        <f t="shared" si="14"/>
        <v>0</v>
      </c>
      <c r="AM31" s="52">
        <v>200</v>
      </c>
      <c r="AN31" s="53">
        <f t="shared" si="15"/>
        <v>0</v>
      </c>
      <c r="AO31" s="52"/>
      <c r="AP31" s="55">
        <f t="shared" si="16"/>
        <v>0</v>
      </c>
    </row>
    <row r="32" spans="1:42" s="262" customFormat="1" ht="15" customHeight="1">
      <c r="A32" s="259">
        <f t="shared" ref="A32:A36" si="17">ROW()-3</f>
        <v>29</v>
      </c>
      <c r="B32" s="260" t="s">
        <v>114</v>
      </c>
      <c r="C32" s="250" t="s">
        <v>770</v>
      </c>
      <c r="D32" s="259" t="s">
        <v>781</v>
      </c>
      <c r="E32" s="259" t="s">
        <v>774</v>
      </c>
      <c r="F32" s="33" t="s">
        <v>118</v>
      </c>
      <c r="G32" s="249" t="s">
        <v>119</v>
      </c>
      <c r="H32" s="38">
        <v>28</v>
      </c>
      <c r="I32" s="260">
        <v>35000</v>
      </c>
      <c r="J32" s="260">
        <v>35098</v>
      </c>
      <c r="K32" s="260" t="s">
        <v>120</v>
      </c>
      <c r="L32" s="250">
        <v>45890</v>
      </c>
      <c r="M32" s="261" t="s">
        <v>121</v>
      </c>
      <c r="N32" s="250" t="s">
        <v>122</v>
      </c>
      <c r="O32" s="250">
        <v>45881</v>
      </c>
      <c r="P32" s="250">
        <v>45907</v>
      </c>
      <c r="Q32" s="250">
        <v>45892</v>
      </c>
      <c r="R32" s="269"/>
      <c r="S32" s="269"/>
      <c r="T32" s="269"/>
      <c r="U32" s="269"/>
      <c r="V32" s="269"/>
      <c r="W32" s="269"/>
      <c r="X32" s="270"/>
      <c r="Y32" s="270"/>
      <c r="Z32" s="269"/>
      <c r="AA32" s="269"/>
      <c r="AB32" s="269"/>
      <c r="AC32" s="269"/>
      <c r="AD32" s="255" t="s">
        <v>763</v>
      </c>
      <c r="AE32" s="45">
        <f t="shared" ref="AE32:AE36" si="18">MAX(0,Y32-X32)</f>
        <v>0</v>
      </c>
      <c r="AF32" s="36">
        <v>7</v>
      </c>
      <c r="AG32" s="46">
        <f t="shared" ref="AG32:AG36" si="19">MAX(0,AE32-AF32)</f>
        <v>0</v>
      </c>
      <c r="AH32" s="47">
        <v>200</v>
      </c>
      <c r="AI32" s="48">
        <f t="shared" ref="AI32:AI36" si="20">MAX(0,AG32*AH32)</f>
        <v>0</v>
      </c>
      <c r="AJ32" s="45">
        <f t="shared" ref="AJ32:AJ36" si="21">MAX(0,AC32-AB32)</f>
        <v>0</v>
      </c>
      <c r="AK32" s="36">
        <v>2</v>
      </c>
      <c r="AL32" s="46">
        <f t="shared" ref="AL32:AL36" si="22">MAX(0,AJ32-AK32)</f>
        <v>0</v>
      </c>
      <c r="AM32" s="47">
        <v>200</v>
      </c>
      <c r="AN32" s="48">
        <f t="shared" ref="AN32:AN36" si="23">MAX(0,AL32*AM32)</f>
        <v>0</v>
      </c>
      <c r="AO32" s="47"/>
      <c r="AP32" s="49">
        <f t="shared" ref="AP32:AP36" si="24">AO32+AN32+AI32</f>
        <v>0</v>
      </c>
    </row>
    <row r="33" spans="1:42" s="262" customFormat="1" ht="15" customHeight="1">
      <c r="A33" s="259">
        <f t="shared" si="17"/>
        <v>30</v>
      </c>
      <c r="B33" s="260" t="s">
        <v>114</v>
      </c>
      <c r="C33" s="264" t="s">
        <v>773</v>
      </c>
      <c r="D33" s="264" t="s">
        <v>782</v>
      </c>
      <c r="E33" s="260" t="s">
        <v>777</v>
      </c>
      <c r="F33" s="33" t="s">
        <v>118</v>
      </c>
      <c r="G33" s="249" t="s">
        <v>119</v>
      </c>
      <c r="H33" s="38">
        <v>28</v>
      </c>
      <c r="I33" s="260">
        <v>35000</v>
      </c>
      <c r="J33" s="260">
        <v>35098</v>
      </c>
      <c r="K33" s="260" t="s">
        <v>120</v>
      </c>
      <c r="L33" s="250">
        <v>45890</v>
      </c>
      <c r="M33" s="261" t="s">
        <v>121</v>
      </c>
      <c r="N33" s="250" t="s">
        <v>122</v>
      </c>
      <c r="O33" s="250">
        <v>45881</v>
      </c>
      <c r="P33" s="250">
        <v>45907</v>
      </c>
      <c r="Q33" s="250">
        <v>45892</v>
      </c>
      <c r="R33" s="269"/>
      <c r="S33" s="269"/>
      <c r="T33" s="269"/>
      <c r="U33" s="269"/>
      <c r="V33" s="269"/>
      <c r="W33" s="269"/>
      <c r="X33" s="270"/>
      <c r="Y33" s="270"/>
      <c r="Z33" s="269"/>
      <c r="AA33" s="269"/>
      <c r="AB33" s="269"/>
      <c r="AC33" s="269"/>
      <c r="AD33" s="255" t="s">
        <v>763</v>
      </c>
      <c r="AE33" s="50">
        <f t="shared" si="18"/>
        <v>0</v>
      </c>
      <c r="AF33" s="36">
        <v>7</v>
      </c>
      <c r="AG33" s="51">
        <f t="shared" si="19"/>
        <v>0</v>
      </c>
      <c r="AH33" s="52">
        <v>200</v>
      </c>
      <c r="AI33" s="53">
        <f t="shared" si="20"/>
        <v>0</v>
      </c>
      <c r="AJ33" s="54">
        <f t="shared" si="21"/>
        <v>0</v>
      </c>
      <c r="AK33" s="36">
        <v>2</v>
      </c>
      <c r="AL33" s="51">
        <f t="shared" si="22"/>
        <v>0</v>
      </c>
      <c r="AM33" s="52">
        <v>200</v>
      </c>
      <c r="AN33" s="53">
        <f t="shared" si="23"/>
        <v>0</v>
      </c>
      <c r="AO33" s="52"/>
      <c r="AP33" s="55">
        <f t="shared" si="24"/>
        <v>0</v>
      </c>
    </row>
    <row r="34" spans="1:42" s="262" customFormat="1" ht="15" customHeight="1">
      <c r="A34" s="259">
        <f t="shared" si="17"/>
        <v>31</v>
      </c>
      <c r="B34" s="260" t="s">
        <v>114</v>
      </c>
      <c r="C34" s="264" t="s">
        <v>771</v>
      </c>
      <c r="D34" s="264" t="s">
        <v>783</v>
      </c>
      <c r="E34" s="259" t="s">
        <v>778</v>
      </c>
      <c r="F34" s="33" t="s">
        <v>118</v>
      </c>
      <c r="G34" s="249" t="s">
        <v>119</v>
      </c>
      <c r="H34" s="38">
        <v>28</v>
      </c>
      <c r="I34" s="260">
        <v>35000</v>
      </c>
      <c r="J34" s="260">
        <v>35098</v>
      </c>
      <c r="K34" s="260" t="s">
        <v>120</v>
      </c>
      <c r="L34" s="250">
        <v>45890</v>
      </c>
      <c r="M34" s="261" t="s">
        <v>121</v>
      </c>
      <c r="N34" s="250" t="s">
        <v>122</v>
      </c>
      <c r="O34" s="250">
        <v>45881</v>
      </c>
      <c r="P34" s="250">
        <v>45907</v>
      </c>
      <c r="Q34" s="250">
        <v>45892</v>
      </c>
      <c r="R34" s="269"/>
      <c r="S34" s="269"/>
      <c r="T34" s="269"/>
      <c r="U34" s="269"/>
      <c r="V34" s="269"/>
      <c r="W34" s="269"/>
      <c r="X34" s="270"/>
      <c r="Y34" s="270"/>
      <c r="Z34" s="269"/>
      <c r="AA34" s="269"/>
      <c r="AB34" s="269"/>
      <c r="AC34" s="269"/>
      <c r="AD34" s="255" t="s">
        <v>763</v>
      </c>
      <c r="AE34" s="45">
        <f t="shared" si="18"/>
        <v>0</v>
      </c>
      <c r="AF34" s="36">
        <v>7</v>
      </c>
      <c r="AG34" s="46">
        <f t="shared" si="19"/>
        <v>0</v>
      </c>
      <c r="AH34" s="47">
        <v>200</v>
      </c>
      <c r="AI34" s="48">
        <f t="shared" si="20"/>
        <v>0</v>
      </c>
      <c r="AJ34" s="45">
        <f t="shared" si="21"/>
        <v>0</v>
      </c>
      <c r="AK34" s="36">
        <v>2</v>
      </c>
      <c r="AL34" s="46">
        <f t="shared" si="22"/>
        <v>0</v>
      </c>
      <c r="AM34" s="47">
        <v>200</v>
      </c>
      <c r="AN34" s="48">
        <f t="shared" si="23"/>
        <v>0</v>
      </c>
      <c r="AO34" s="47"/>
      <c r="AP34" s="49">
        <f t="shared" si="24"/>
        <v>0</v>
      </c>
    </row>
    <row r="35" spans="1:42" s="262" customFormat="1" ht="15" customHeight="1">
      <c r="A35" s="259">
        <f t="shared" si="17"/>
        <v>32</v>
      </c>
      <c r="B35" s="260" t="s">
        <v>114</v>
      </c>
      <c r="C35" s="264" t="s">
        <v>772</v>
      </c>
      <c r="D35" s="264" t="s">
        <v>775</v>
      </c>
      <c r="E35" s="260" t="s">
        <v>779</v>
      </c>
      <c r="F35" s="33" t="s">
        <v>118</v>
      </c>
      <c r="G35" s="249" t="s">
        <v>119</v>
      </c>
      <c r="H35" s="38">
        <v>25</v>
      </c>
      <c r="I35" s="260">
        <v>31250</v>
      </c>
      <c r="J35" s="260">
        <v>31338</v>
      </c>
      <c r="K35" s="260" t="s">
        <v>120</v>
      </c>
      <c r="L35" s="250">
        <v>45890</v>
      </c>
      <c r="M35" s="261" t="s">
        <v>121</v>
      </c>
      <c r="N35" s="250" t="s">
        <v>122</v>
      </c>
      <c r="O35" s="250">
        <v>45881</v>
      </c>
      <c r="P35" s="250">
        <v>45907</v>
      </c>
      <c r="Q35" s="250">
        <v>45892</v>
      </c>
      <c r="R35" s="269"/>
      <c r="S35" s="269"/>
      <c r="T35" s="269"/>
      <c r="U35" s="269"/>
      <c r="V35" s="269"/>
      <c r="W35" s="269"/>
      <c r="X35" s="270"/>
      <c r="Y35" s="270"/>
      <c r="Z35" s="269"/>
      <c r="AA35" s="269"/>
      <c r="AB35" s="269"/>
      <c r="AC35" s="269"/>
      <c r="AD35" s="255" t="s">
        <v>763</v>
      </c>
      <c r="AE35" s="50">
        <f t="shared" si="18"/>
        <v>0</v>
      </c>
      <c r="AF35" s="36">
        <v>7</v>
      </c>
      <c r="AG35" s="51">
        <f t="shared" si="19"/>
        <v>0</v>
      </c>
      <c r="AH35" s="52">
        <v>200</v>
      </c>
      <c r="AI35" s="53">
        <f t="shared" si="20"/>
        <v>0</v>
      </c>
      <c r="AJ35" s="54">
        <f t="shared" si="21"/>
        <v>0</v>
      </c>
      <c r="AK35" s="36">
        <v>2</v>
      </c>
      <c r="AL35" s="51">
        <f t="shared" si="22"/>
        <v>0</v>
      </c>
      <c r="AM35" s="52">
        <v>200</v>
      </c>
      <c r="AN35" s="53">
        <f t="shared" si="23"/>
        <v>0</v>
      </c>
      <c r="AO35" s="52"/>
      <c r="AP35" s="55">
        <f t="shared" si="24"/>
        <v>0</v>
      </c>
    </row>
    <row r="36" spans="1:42" s="262" customFormat="1" ht="15" customHeight="1">
      <c r="A36" s="259">
        <f t="shared" si="17"/>
        <v>33</v>
      </c>
      <c r="B36" s="260" t="s">
        <v>114</v>
      </c>
      <c r="C36" s="264" t="s">
        <v>769</v>
      </c>
      <c r="D36" s="264" t="s">
        <v>776</v>
      </c>
      <c r="E36" s="260" t="s">
        <v>780</v>
      </c>
      <c r="F36" s="33" t="s">
        <v>118</v>
      </c>
      <c r="G36" s="249" t="s">
        <v>119</v>
      </c>
      <c r="H36" s="249">
        <v>29</v>
      </c>
      <c r="I36" s="260">
        <v>36250</v>
      </c>
      <c r="J36" s="260">
        <v>36352</v>
      </c>
      <c r="K36" s="260" t="s">
        <v>120</v>
      </c>
      <c r="L36" s="250">
        <v>45890</v>
      </c>
      <c r="M36" s="261" t="s">
        <v>121</v>
      </c>
      <c r="N36" s="250" t="s">
        <v>122</v>
      </c>
      <c r="O36" s="250">
        <v>45881</v>
      </c>
      <c r="P36" s="250">
        <v>45907</v>
      </c>
      <c r="Q36" s="250">
        <v>45892</v>
      </c>
      <c r="R36" s="269"/>
      <c r="S36" s="269"/>
      <c r="T36" s="269"/>
      <c r="U36" s="269"/>
      <c r="V36" s="269"/>
      <c r="W36" s="269"/>
      <c r="X36" s="270"/>
      <c r="Y36" s="270"/>
      <c r="Z36" s="269"/>
      <c r="AA36" s="269"/>
      <c r="AB36" s="269"/>
      <c r="AC36" s="269"/>
      <c r="AD36" s="255" t="s">
        <v>763</v>
      </c>
      <c r="AE36" s="45">
        <f t="shared" si="18"/>
        <v>0</v>
      </c>
      <c r="AF36" s="36">
        <v>7</v>
      </c>
      <c r="AG36" s="46">
        <f t="shared" si="19"/>
        <v>0</v>
      </c>
      <c r="AH36" s="47">
        <v>200</v>
      </c>
      <c r="AI36" s="48">
        <f t="shared" si="20"/>
        <v>0</v>
      </c>
      <c r="AJ36" s="45">
        <f t="shared" si="21"/>
        <v>0</v>
      </c>
      <c r="AK36" s="36">
        <v>2</v>
      </c>
      <c r="AL36" s="46">
        <f t="shared" si="22"/>
        <v>0</v>
      </c>
      <c r="AM36" s="47">
        <v>200</v>
      </c>
      <c r="AN36" s="48">
        <f t="shared" si="23"/>
        <v>0</v>
      </c>
      <c r="AO36" s="47"/>
      <c r="AP36" s="49">
        <f t="shared" si="24"/>
        <v>0</v>
      </c>
    </row>
    <row r="37" spans="1:42" s="262" customFormat="1" ht="15" customHeight="1">
      <c r="A37" s="259">
        <f>ROW()-3</f>
        <v>34</v>
      </c>
      <c r="B37" s="260" t="s">
        <v>114</v>
      </c>
      <c r="C37" s="264" t="s">
        <v>642</v>
      </c>
      <c r="D37" s="264" t="s">
        <v>643</v>
      </c>
      <c r="E37" s="260" t="s">
        <v>644</v>
      </c>
      <c r="F37" s="33" t="s">
        <v>118</v>
      </c>
      <c r="G37" s="249" t="s">
        <v>119</v>
      </c>
      <c r="H37" s="38">
        <v>28</v>
      </c>
      <c r="I37" s="260">
        <v>35000</v>
      </c>
      <c r="J37" s="260">
        <v>35098</v>
      </c>
      <c r="K37" s="260" t="s">
        <v>120</v>
      </c>
      <c r="L37" s="250">
        <v>45890</v>
      </c>
      <c r="M37" s="261" t="s">
        <v>121</v>
      </c>
      <c r="N37" s="250" t="s">
        <v>122</v>
      </c>
      <c r="O37" s="250">
        <v>45881</v>
      </c>
      <c r="P37" s="250">
        <v>45907</v>
      </c>
      <c r="Q37" s="250">
        <v>45892</v>
      </c>
      <c r="R37" s="250">
        <v>46031</v>
      </c>
      <c r="S37" s="258"/>
      <c r="T37" s="258"/>
      <c r="U37" s="258"/>
      <c r="V37" s="258"/>
      <c r="W37" s="258"/>
      <c r="X37" s="263"/>
      <c r="Y37" s="263"/>
      <c r="Z37" s="258"/>
      <c r="AA37" s="258"/>
      <c r="AB37" s="258"/>
      <c r="AC37" s="258"/>
      <c r="AD37" s="255" t="s">
        <v>763</v>
      </c>
      <c r="AE37" s="50">
        <f t="shared" ref="AE37:AE41" si="25">MAX(0,Y37-X37)</f>
        <v>0</v>
      </c>
      <c r="AF37" s="36">
        <v>7</v>
      </c>
      <c r="AG37" s="51">
        <f t="shared" ref="AG37:AG41" si="26">MAX(0,AE37-AF37)</f>
        <v>0</v>
      </c>
      <c r="AH37" s="52">
        <v>200</v>
      </c>
      <c r="AI37" s="53">
        <f t="shared" ref="AI37:AI41" si="27">MAX(0,AG37*AH37)</f>
        <v>0</v>
      </c>
      <c r="AJ37" s="54">
        <f t="shared" ref="AJ37:AJ41" si="28">MAX(0,AC37-AB37)</f>
        <v>0</v>
      </c>
      <c r="AK37" s="36">
        <v>2</v>
      </c>
      <c r="AL37" s="51">
        <f t="shared" ref="AL37:AL41" si="29">MAX(0,AJ37-AK37)</f>
        <v>0</v>
      </c>
      <c r="AM37" s="52">
        <v>200</v>
      </c>
      <c r="AN37" s="53">
        <f t="shared" ref="AN37:AN41" si="30">MAX(0,AL37*AM37)</f>
        <v>0</v>
      </c>
      <c r="AO37" s="52"/>
      <c r="AP37" s="55">
        <f t="shared" ref="AP37:AP41" si="31">AO37+AN37+AI37</f>
        <v>0</v>
      </c>
    </row>
    <row r="38" spans="1:42" s="262" customFormat="1" ht="15" customHeight="1">
      <c r="A38" s="259">
        <f>ROW()-3</f>
        <v>35</v>
      </c>
      <c r="B38" s="260" t="s">
        <v>114</v>
      </c>
      <c r="C38" s="265" t="s">
        <v>758</v>
      </c>
      <c r="D38" s="265" t="s">
        <v>764</v>
      </c>
      <c r="E38" s="266" t="s">
        <v>759</v>
      </c>
      <c r="F38" s="33" t="s">
        <v>118</v>
      </c>
      <c r="G38" s="249" t="s">
        <v>119</v>
      </c>
      <c r="H38" s="38">
        <v>28</v>
      </c>
      <c r="I38" s="260">
        <v>35000</v>
      </c>
      <c r="J38" s="260">
        <v>35098</v>
      </c>
      <c r="K38" s="260" t="s">
        <v>120</v>
      </c>
      <c r="L38" s="250">
        <v>45890</v>
      </c>
      <c r="M38" s="261" t="s">
        <v>121</v>
      </c>
      <c r="N38" s="250" t="s">
        <v>122</v>
      </c>
      <c r="O38" s="250">
        <v>45881</v>
      </c>
      <c r="P38" s="250">
        <v>45907</v>
      </c>
      <c r="Q38" s="250">
        <v>45892</v>
      </c>
      <c r="R38" s="250">
        <v>46031</v>
      </c>
      <c r="S38" s="258"/>
      <c r="T38" s="258"/>
      <c r="U38" s="258"/>
      <c r="V38" s="258"/>
      <c r="W38" s="258"/>
      <c r="X38" s="263"/>
      <c r="Y38" s="263"/>
      <c r="Z38" s="258"/>
      <c r="AA38" s="258"/>
      <c r="AB38" s="258"/>
      <c r="AC38" s="258"/>
      <c r="AD38" s="255" t="s">
        <v>763</v>
      </c>
      <c r="AE38" s="45">
        <f t="shared" si="25"/>
        <v>0</v>
      </c>
      <c r="AF38" s="36">
        <v>7</v>
      </c>
      <c r="AG38" s="46">
        <f t="shared" si="26"/>
        <v>0</v>
      </c>
      <c r="AH38" s="47">
        <v>200</v>
      </c>
      <c r="AI38" s="48">
        <f t="shared" si="27"/>
        <v>0</v>
      </c>
      <c r="AJ38" s="45">
        <f t="shared" si="28"/>
        <v>0</v>
      </c>
      <c r="AK38" s="36">
        <v>2</v>
      </c>
      <c r="AL38" s="46">
        <f t="shared" si="29"/>
        <v>0</v>
      </c>
      <c r="AM38" s="47">
        <v>200</v>
      </c>
      <c r="AN38" s="48">
        <f t="shared" si="30"/>
        <v>0</v>
      </c>
      <c r="AO38" s="47"/>
      <c r="AP38" s="49">
        <f t="shared" si="31"/>
        <v>0</v>
      </c>
    </row>
    <row r="39" spans="1:42" s="262" customFormat="1" ht="15" customHeight="1">
      <c r="A39" s="259">
        <f>ROW()-3</f>
        <v>36</v>
      </c>
      <c r="B39" s="260" t="s">
        <v>114</v>
      </c>
      <c r="C39" s="265" t="s">
        <v>756</v>
      </c>
      <c r="D39" s="265" t="s">
        <v>765</v>
      </c>
      <c r="E39" s="267" t="s">
        <v>760</v>
      </c>
      <c r="F39" s="33" t="s">
        <v>118</v>
      </c>
      <c r="G39" s="249" t="s">
        <v>119</v>
      </c>
      <c r="H39" s="38">
        <v>28</v>
      </c>
      <c r="I39" s="260">
        <v>35000</v>
      </c>
      <c r="J39" s="260">
        <v>35098</v>
      </c>
      <c r="K39" s="260" t="s">
        <v>120</v>
      </c>
      <c r="L39" s="250">
        <v>45890</v>
      </c>
      <c r="M39" s="261" t="s">
        <v>121</v>
      </c>
      <c r="N39" s="250" t="s">
        <v>122</v>
      </c>
      <c r="O39" s="250">
        <v>45881</v>
      </c>
      <c r="P39" s="250">
        <v>45907</v>
      </c>
      <c r="Q39" s="250">
        <v>45892</v>
      </c>
      <c r="R39" s="250">
        <v>46031</v>
      </c>
      <c r="S39" s="258"/>
      <c r="T39" s="258"/>
      <c r="U39" s="258"/>
      <c r="V39" s="258"/>
      <c r="W39" s="258"/>
      <c r="X39" s="263"/>
      <c r="Y39" s="263"/>
      <c r="Z39" s="258"/>
      <c r="AA39" s="258"/>
      <c r="AB39" s="258"/>
      <c r="AC39" s="258"/>
      <c r="AD39" s="255" t="s">
        <v>763</v>
      </c>
      <c r="AE39" s="50">
        <f t="shared" si="25"/>
        <v>0</v>
      </c>
      <c r="AF39" s="36">
        <v>7</v>
      </c>
      <c r="AG39" s="51">
        <f t="shared" si="26"/>
        <v>0</v>
      </c>
      <c r="AH39" s="52">
        <v>200</v>
      </c>
      <c r="AI39" s="53">
        <f t="shared" si="27"/>
        <v>0</v>
      </c>
      <c r="AJ39" s="54">
        <f t="shared" si="28"/>
        <v>0</v>
      </c>
      <c r="AK39" s="36">
        <v>2</v>
      </c>
      <c r="AL39" s="51">
        <f t="shared" si="29"/>
        <v>0</v>
      </c>
      <c r="AM39" s="52">
        <v>200</v>
      </c>
      <c r="AN39" s="53">
        <f t="shared" si="30"/>
        <v>0</v>
      </c>
      <c r="AO39" s="52"/>
      <c r="AP39" s="55">
        <f t="shared" si="31"/>
        <v>0</v>
      </c>
    </row>
    <row r="40" spans="1:42" s="262" customFormat="1" ht="15" customHeight="1">
      <c r="A40" s="259">
        <f>ROW()-3</f>
        <v>37</v>
      </c>
      <c r="B40" s="260" t="s">
        <v>114</v>
      </c>
      <c r="C40" s="264" t="s">
        <v>755</v>
      </c>
      <c r="D40" s="264" t="s">
        <v>766</v>
      </c>
      <c r="E40" s="260" t="s">
        <v>761</v>
      </c>
      <c r="F40" s="33" t="s">
        <v>118</v>
      </c>
      <c r="G40" s="249" t="s">
        <v>119</v>
      </c>
      <c r="H40" s="38">
        <v>28</v>
      </c>
      <c r="I40" s="260">
        <v>35000</v>
      </c>
      <c r="J40" s="260">
        <v>35098</v>
      </c>
      <c r="K40" s="260" t="s">
        <v>120</v>
      </c>
      <c r="L40" s="250">
        <v>45890</v>
      </c>
      <c r="M40" s="261" t="s">
        <v>121</v>
      </c>
      <c r="N40" s="250" t="s">
        <v>122</v>
      </c>
      <c r="O40" s="250">
        <v>45881</v>
      </c>
      <c r="P40" s="250">
        <v>45907</v>
      </c>
      <c r="Q40" s="250">
        <v>45892</v>
      </c>
      <c r="R40" s="250">
        <v>46031</v>
      </c>
      <c r="S40" s="258"/>
      <c r="T40" s="258"/>
      <c r="U40" s="258"/>
      <c r="V40" s="258"/>
      <c r="W40" s="258"/>
      <c r="X40" s="263"/>
      <c r="Y40" s="263"/>
      <c r="Z40" s="258"/>
      <c r="AA40" s="258"/>
      <c r="AB40" s="258"/>
      <c r="AC40" s="258"/>
      <c r="AD40" s="255" t="s">
        <v>763</v>
      </c>
      <c r="AE40" s="45">
        <f t="shared" si="25"/>
        <v>0</v>
      </c>
      <c r="AF40" s="36">
        <v>7</v>
      </c>
      <c r="AG40" s="46">
        <f t="shared" si="26"/>
        <v>0</v>
      </c>
      <c r="AH40" s="47">
        <v>200</v>
      </c>
      <c r="AI40" s="48">
        <f t="shared" si="27"/>
        <v>0</v>
      </c>
      <c r="AJ40" s="45">
        <f t="shared" si="28"/>
        <v>0</v>
      </c>
      <c r="AK40" s="36">
        <v>2</v>
      </c>
      <c r="AL40" s="46">
        <f t="shared" si="29"/>
        <v>0</v>
      </c>
      <c r="AM40" s="47">
        <v>200</v>
      </c>
      <c r="AN40" s="48">
        <f t="shared" si="30"/>
        <v>0</v>
      </c>
      <c r="AO40" s="47"/>
      <c r="AP40" s="49">
        <f t="shared" si="31"/>
        <v>0</v>
      </c>
    </row>
    <row r="41" spans="1:42" s="262" customFormat="1" ht="15" customHeight="1">
      <c r="A41" s="259">
        <f>ROW()-3</f>
        <v>38</v>
      </c>
      <c r="B41" s="260" t="s">
        <v>114</v>
      </c>
      <c r="C41" s="250" t="s">
        <v>757</v>
      </c>
      <c r="D41" s="250" t="s">
        <v>767</v>
      </c>
      <c r="E41" s="259" t="s">
        <v>762</v>
      </c>
      <c r="F41" s="33" t="s">
        <v>118</v>
      </c>
      <c r="G41" s="249" t="s">
        <v>119</v>
      </c>
      <c r="H41" s="38">
        <v>28</v>
      </c>
      <c r="I41" s="260">
        <v>35000</v>
      </c>
      <c r="J41" s="260">
        <v>35098</v>
      </c>
      <c r="K41" s="260" t="s">
        <v>120</v>
      </c>
      <c r="L41" s="250">
        <v>45890</v>
      </c>
      <c r="M41" s="261" t="s">
        <v>121</v>
      </c>
      <c r="N41" s="250" t="s">
        <v>122</v>
      </c>
      <c r="O41" s="250">
        <v>45881</v>
      </c>
      <c r="P41" s="250">
        <v>45907</v>
      </c>
      <c r="Q41" s="250">
        <v>45892</v>
      </c>
      <c r="R41" s="250">
        <v>46031</v>
      </c>
      <c r="S41" s="258"/>
      <c r="T41" s="258"/>
      <c r="U41" s="258"/>
      <c r="V41" s="258"/>
      <c r="W41" s="258"/>
      <c r="X41" s="263"/>
      <c r="Y41" s="263"/>
      <c r="Z41" s="258"/>
      <c r="AA41" s="258"/>
      <c r="AB41" s="258"/>
      <c r="AC41" s="258"/>
      <c r="AD41" s="255" t="s">
        <v>763</v>
      </c>
      <c r="AE41" s="50">
        <f t="shared" si="25"/>
        <v>0</v>
      </c>
      <c r="AF41" s="36">
        <v>7</v>
      </c>
      <c r="AG41" s="51">
        <f t="shared" si="26"/>
        <v>0</v>
      </c>
      <c r="AH41" s="52">
        <v>200</v>
      </c>
      <c r="AI41" s="53">
        <f t="shared" si="27"/>
        <v>0</v>
      </c>
      <c r="AJ41" s="54">
        <f t="shared" si="28"/>
        <v>0</v>
      </c>
      <c r="AK41" s="36">
        <v>2</v>
      </c>
      <c r="AL41" s="51">
        <f t="shared" si="29"/>
        <v>0</v>
      </c>
      <c r="AM41" s="52">
        <v>200</v>
      </c>
      <c r="AN41" s="53">
        <f t="shared" si="30"/>
        <v>0</v>
      </c>
      <c r="AO41" s="52"/>
      <c r="AP41" s="55">
        <f t="shared" si="31"/>
        <v>0</v>
      </c>
    </row>
    <row r="42" spans="1:42" s="1" customFormat="1" ht="15" customHeight="1">
      <c r="A42" s="33">
        <f t="shared" ref="A42:A51" si="32">ROW()-3</f>
        <v>39</v>
      </c>
      <c r="B42" s="34" t="s">
        <v>114</v>
      </c>
      <c r="C42" s="35" t="s">
        <v>115</v>
      </c>
      <c r="D42" s="35" t="s">
        <v>116</v>
      </c>
      <c r="E42" s="33" t="s">
        <v>117</v>
      </c>
      <c r="F42" s="33" t="s">
        <v>118</v>
      </c>
      <c r="G42" s="37" t="s">
        <v>119</v>
      </c>
      <c r="H42" s="38">
        <v>29</v>
      </c>
      <c r="I42" s="34">
        <v>36250</v>
      </c>
      <c r="J42" s="34">
        <v>36352</v>
      </c>
      <c r="K42" s="34" t="s">
        <v>120</v>
      </c>
      <c r="L42" s="39">
        <v>45890</v>
      </c>
      <c r="M42" s="40" t="s">
        <v>121</v>
      </c>
      <c r="N42" s="39" t="s">
        <v>122</v>
      </c>
      <c r="O42" s="39">
        <v>45881</v>
      </c>
      <c r="P42" s="39">
        <v>45907</v>
      </c>
      <c r="Q42" s="39">
        <v>45892</v>
      </c>
      <c r="R42" s="39">
        <v>46029</v>
      </c>
      <c r="S42" s="41"/>
      <c r="T42" s="41"/>
      <c r="U42" s="41"/>
      <c r="V42" s="41"/>
      <c r="W42" s="41"/>
      <c r="X42" s="41"/>
      <c r="Y42" s="41"/>
      <c r="Z42" s="41"/>
      <c r="AA42" s="43"/>
      <c r="AB42" s="41"/>
      <c r="AC42" s="41"/>
      <c r="AD42" s="44" t="s">
        <v>123</v>
      </c>
      <c r="AE42" s="45">
        <f t="shared" ref="AE42:AE51" si="33">MAX(0,Y42-X42)</f>
        <v>0</v>
      </c>
      <c r="AF42" s="36">
        <v>7</v>
      </c>
      <c r="AG42" s="46">
        <f t="shared" ref="AG42:AG51" si="34">MAX(0,AE42-AF42)</f>
        <v>0</v>
      </c>
      <c r="AH42" s="47">
        <v>200</v>
      </c>
      <c r="AI42" s="48">
        <f t="shared" ref="AI42:AI51" si="35">MAX(0,AG42*AH42)</f>
        <v>0</v>
      </c>
      <c r="AJ42" s="45">
        <f t="shared" ref="AJ42:AJ51" si="36">MAX(0,AC42-AB42)</f>
        <v>0</v>
      </c>
      <c r="AK42" s="36">
        <v>2</v>
      </c>
      <c r="AL42" s="46">
        <f t="shared" ref="AL42:AL51" si="37">MAX(0,AJ42-AK42)</f>
        <v>0</v>
      </c>
      <c r="AM42" s="47">
        <v>200</v>
      </c>
      <c r="AN42" s="48">
        <f t="shared" ref="AN42:AN51" si="38">MAX(0,AL42*AM42)</f>
        <v>0</v>
      </c>
      <c r="AO42" s="47"/>
      <c r="AP42" s="49">
        <f t="shared" ref="AP42:AP51" si="39">AO42+AN42+AI42</f>
        <v>0</v>
      </c>
    </row>
    <row r="43" spans="1:42" s="1" customFormat="1" ht="15" customHeight="1">
      <c r="A43" s="33">
        <f t="shared" si="32"/>
        <v>40</v>
      </c>
      <c r="B43" s="34" t="s">
        <v>114</v>
      </c>
      <c r="C43" s="33" t="s">
        <v>124</v>
      </c>
      <c r="D43" s="35" t="s">
        <v>125</v>
      </c>
      <c r="E43" s="33" t="s">
        <v>126</v>
      </c>
      <c r="F43" s="33" t="s">
        <v>118</v>
      </c>
      <c r="G43" s="37" t="s">
        <v>119</v>
      </c>
      <c r="H43" s="38">
        <v>30</v>
      </c>
      <c r="I43" s="34">
        <v>37500</v>
      </c>
      <c r="J43" s="34">
        <v>37605</v>
      </c>
      <c r="K43" s="34" t="s">
        <v>120</v>
      </c>
      <c r="L43" s="39">
        <v>45890</v>
      </c>
      <c r="M43" s="40" t="s">
        <v>121</v>
      </c>
      <c r="N43" s="39" t="s">
        <v>122</v>
      </c>
      <c r="O43" s="39">
        <v>45881</v>
      </c>
      <c r="P43" s="39">
        <v>45907</v>
      </c>
      <c r="Q43" s="39">
        <v>45892</v>
      </c>
      <c r="R43" s="39">
        <v>46029</v>
      </c>
      <c r="S43" s="41"/>
      <c r="T43" s="41"/>
      <c r="U43" s="41"/>
      <c r="V43" s="41"/>
      <c r="W43" s="41"/>
      <c r="X43" s="41"/>
      <c r="Y43" s="41"/>
      <c r="Z43" s="41"/>
      <c r="AA43" s="43"/>
      <c r="AB43" s="41"/>
      <c r="AC43" s="41"/>
      <c r="AD43" s="44" t="s">
        <v>123</v>
      </c>
      <c r="AE43" s="50">
        <f t="shared" si="33"/>
        <v>0</v>
      </c>
      <c r="AF43" s="36">
        <v>7</v>
      </c>
      <c r="AG43" s="51">
        <f t="shared" si="34"/>
        <v>0</v>
      </c>
      <c r="AH43" s="52">
        <v>200</v>
      </c>
      <c r="AI43" s="53">
        <f t="shared" si="35"/>
        <v>0</v>
      </c>
      <c r="AJ43" s="54">
        <f t="shared" si="36"/>
        <v>0</v>
      </c>
      <c r="AK43" s="36">
        <v>2</v>
      </c>
      <c r="AL43" s="51">
        <f t="shared" si="37"/>
        <v>0</v>
      </c>
      <c r="AM43" s="52">
        <v>200</v>
      </c>
      <c r="AN43" s="53">
        <f t="shared" si="38"/>
        <v>0</v>
      </c>
      <c r="AO43" s="52"/>
      <c r="AP43" s="55">
        <f t="shared" si="39"/>
        <v>0</v>
      </c>
    </row>
    <row r="44" spans="1:42" s="1" customFormat="1" ht="15" customHeight="1">
      <c r="A44" s="33">
        <f t="shared" si="32"/>
        <v>41</v>
      </c>
      <c r="B44" s="34" t="s">
        <v>114</v>
      </c>
      <c r="C44" s="35" t="s">
        <v>127</v>
      </c>
      <c r="D44" s="35" t="s">
        <v>128</v>
      </c>
      <c r="E44" s="34" t="s">
        <v>129</v>
      </c>
      <c r="F44" s="33" t="s">
        <v>118</v>
      </c>
      <c r="G44" s="37" t="s">
        <v>119</v>
      </c>
      <c r="H44" s="38">
        <v>29</v>
      </c>
      <c r="I44" s="34">
        <v>36250</v>
      </c>
      <c r="J44" s="34">
        <v>36352</v>
      </c>
      <c r="K44" s="34" t="s">
        <v>120</v>
      </c>
      <c r="L44" s="39">
        <v>45890</v>
      </c>
      <c r="M44" s="40" t="s">
        <v>121</v>
      </c>
      <c r="N44" s="39" t="s">
        <v>122</v>
      </c>
      <c r="O44" s="39">
        <v>45881</v>
      </c>
      <c r="P44" s="39">
        <v>45907</v>
      </c>
      <c r="Q44" s="39">
        <v>45892</v>
      </c>
      <c r="R44" s="39">
        <v>46029</v>
      </c>
      <c r="S44" s="41"/>
      <c r="T44" s="41"/>
      <c r="U44" s="41"/>
      <c r="V44" s="41"/>
      <c r="W44" s="41"/>
      <c r="X44" s="41"/>
      <c r="Y44" s="41"/>
      <c r="Z44" s="41"/>
      <c r="AA44" s="43"/>
      <c r="AB44" s="41"/>
      <c r="AC44" s="41"/>
      <c r="AD44" s="44" t="s">
        <v>123</v>
      </c>
      <c r="AE44" s="45">
        <f t="shared" si="33"/>
        <v>0</v>
      </c>
      <c r="AF44" s="36">
        <v>7</v>
      </c>
      <c r="AG44" s="46">
        <f t="shared" si="34"/>
        <v>0</v>
      </c>
      <c r="AH44" s="47">
        <v>200</v>
      </c>
      <c r="AI44" s="48">
        <f t="shared" si="35"/>
        <v>0</v>
      </c>
      <c r="AJ44" s="45">
        <f t="shared" si="36"/>
        <v>0</v>
      </c>
      <c r="AK44" s="36">
        <v>2</v>
      </c>
      <c r="AL44" s="46">
        <f t="shared" si="37"/>
        <v>0</v>
      </c>
      <c r="AM44" s="47">
        <v>200</v>
      </c>
      <c r="AN44" s="48">
        <f t="shared" si="38"/>
        <v>0</v>
      </c>
      <c r="AO44" s="47"/>
      <c r="AP44" s="49">
        <f t="shared" si="39"/>
        <v>0</v>
      </c>
    </row>
    <row r="45" spans="1:42" s="1" customFormat="1" ht="15" customHeight="1">
      <c r="A45" s="33">
        <f t="shared" si="32"/>
        <v>42</v>
      </c>
      <c r="B45" s="34" t="s">
        <v>114</v>
      </c>
      <c r="C45" s="35" t="s">
        <v>130</v>
      </c>
      <c r="D45" s="35" t="s">
        <v>131</v>
      </c>
      <c r="E45" s="35" t="s">
        <v>132</v>
      </c>
      <c r="F45" s="33" t="s">
        <v>118</v>
      </c>
      <c r="G45" s="37" t="s">
        <v>119</v>
      </c>
      <c r="H45" s="38">
        <v>29</v>
      </c>
      <c r="I45" s="34">
        <v>36250</v>
      </c>
      <c r="J45" s="34">
        <v>36352</v>
      </c>
      <c r="K45" s="34" t="s">
        <v>120</v>
      </c>
      <c r="L45" s="39">
        <v>45890</v>
      </c>
      <c r="M45" s="40" t="s">
        <v>121</v>
      </c>
      <c r="N45" s="39" t="s">
        <v>122</v>
      </c>
      <c r="O45" s="39">
        <v>45881</v>
      </c>
      <c r="P45" s="39">
        <v>45907</v>
      </c>
      <c r="Q45" s="39">
        <v>45892</v>
      </c>
      <c r="R45" s="39">
        <v>46029</v>
      </c>
      <c r="S45" s="41"/>
      <c r="T45" s="41"/>
      <c r="U45" s="41"/>
      <c r="V45" s="41"/>
      <c r="W45" s="41"/>
      <c r="X45" s="41"/>
      <c r="Y45" s="41"/>
      <c r="Z45" s="41"/>
      <c r="AA45" s="43"/>
      <c r="AB45" s="41"/>
      <c r="AC45" s="41"/>
      <c r="AD45" s="44" t="s">
        <v>123</v>
      </c>
      <c r="AE45" s="50">
        <f t="shared" si="33"/>
        <v>0</v>
      </c>
      <c r="AF45" s="36">
        <v>7</v>
      </c>
      <c r="AG45" s="51">
        <f t="shared" si="34"/>
        <v>0</v>
      </c>
      <c r="AH45" s="52">
        <v>200</v>
      </c>
      <c r="AI45" s="53">
        <f t="shared" si="35"/>
        <v>0</v>
      </c>
      <c r="AJ45" s="54">
        <f t="shared" si="36"/>
        <v>0</v>
      </c>
      <c r="AK45" s="36">
        <v>2</v>
      </c>
      <c r="AL45" s="51">
        <f t="shared" si="37"/>
        <v>0</v>
      </c>
      <c r="AM45" s="52">
        <v>200</v>
      </c>
      <c r="AN45" s="53">
        <f t="shared" si="38"/>
        <v>0</v>
      </c>
      <c r="AO45" s="52"/>
      <c r="AP45" s="55">
        <f t="shared" si="39"/>
        <v>0</v>
      </c>
    </row>
    <row r="46" spans="1:42" s="1" customFormat="1" ht="15" customHeight="1">
      <c r="A46" s="33">
        <f t="shared" si="32"/>
        <v>43</v>
      </c>
      <c r="B46" s="34" t="s">
        <v>114</v>
      </c>
      <c r="C46" s="35" t="s">
        <v>133</v>
      </c>
      <c r="D46" s="35" t="s">
        <v>134</v>
      </c>
      <c r="E46" s="34" t="s">
        <v>135</v>
      </c>
      <c r="F46" s="33" t="s">
        <v>118</v>
      </c>
      <c r="G46" s="37" t="s">
        <v>119</v>
      </c>
      <c r="H46" s="38">
        <v>28</v>
      </c>
      <c r="I46" s="34">
        <v>35000</v>
      </c>
      <c r="J46" s="34">
        <v>35098</v>
      </c>
      <c r="K46" s="34" t="s">
        <v>120</v>
      </c>
      <c r="L46" s="39">
        <v>45890</v>
      </c>
      <c r="M46" s="40" t="s">
        <v>121</v>
      </c>
      <c r="N46" s="39" t="s">
        <v>122</v>
      </c>
      <c r="O46" s="39">
        <v>45881</v>
      </c>
      <c r="P46" s="39">
        <v>45907</v>
      </c>
      <c r="Q46" s="39">
        <v>45892</v>
      </c>
      <c r="R46" s="39">
        <v>46029</v>
      </c>
      <c r="S46" s="41"/>
      <c r="T46" s="41"/>
      <c r="U46" s="41"/>
      <c r="V46" s="41"/>
      <c r="W46" s="41"/>
      <c r="X46" s="41"/>
      <c r="Y46" s="41"/>
      <c r="Z46" s="41"/>
      <c r="AA46" s="43"/>
      <c r="AB46" s="41"/>
      <c r="AC46" s="41"/>
      <c r="AD46" s="44" t="s">
        <v>123</v>
      </c>
      <c r="AE46" s="45">
        <f t="shared" si="33"/>
        <v>0</v>
      </c>
      <c r="AF46" s="36">
        <v>7</v>
      </c>
      <c r="AG46" s="46">
        <f t="shared" si="34"/>
        <v>0</v>
      </c>
      <c r="AH46" s="47">
        <v>200</v>
      </c>
      <c r="AI46" s="48">
        <f t="shared" si="35"/>
        <v>0</v>
      </c>
      <c r="AJ46" s="45">
        <f t="shared" si="36"/>
        <v>0</v>
      </c>
      <c r="AK46" s="36">
        <v>2</v>
      </c>
      <c r="AL46" s="46">
        <f t="shared" si="37"/>
        <v>0</v>
      </c>
      <c r="AM46" s="47">
        <v>200</v>
      </c>
      <c r="AN46" s="48">
        <f t="shared" si="38"/>
        <v>0</v>
      </c>
      <c r="AO46" s="47"/>
      <c r="AP46" s="49">
        <f t="shared" si="39"/>
        <v>0</v>
      </c>
    </row>
    <row r="47" spans="1:42" s="1" customFormat="1" ht="15" customHeight="1">
      <c r="A47" s="33">
        <f t="shared" si="32"/>
        <v>44</v>
      </c>
      <c r="B47" s="34" t="s">
        <v>114</v>
      </c>
      <c r="C47" s="56" t="s">
        <v>136</v>
      </c>
      <c r="D47" s="56" t="s">
        <v>137</v>
      </c>
      <c r="E47" s="57" t="s">
        <v>138</v>
      </c>
      <c r="F47" s="33" t="s">
        <v>118</v>
      </c>
      <c r="G47" s="37" t="s">
        <v>119</v>
      </c>
      <c r="H47" s="38">
        <v>28</v>
      </c>
      <c r="I47" s="34">
        <v>35000</v>
      </c>
      <c r="J47" s="34">
        <v>35098</v>
      </c>
      <c r="K47" s="34" t="s">
        <v>120</v>
      </c>
      <c r="L47" s="39">
        <v>45890</v>
      </c>
      <c r="M47" s="40" t="s">
        <v>121</v>
      </c>
      <c r="N47" s="39" t="s">
        <v>122</v>
      </c>
      <c r="O47" s="39">
        <v>45881</v>
      </c>
      <c r="P47" s="39">
        <v>45907</v>
      </c>
      <c r="Q47" s="39">
        <v>45892</v>
      </c>
      <c r="R47" s="39">
        <v>46029</v>
      </c>
      <c r="S47" s="41"/>
      <c r="T47" s="41"/>
      <c r="U47" s="41"/>
      <c r="V47" s="41"/>
      <c r="W47" s="41"/>
      <c r="X47" s="41"/>
      <c r="Y47" s="41"/>
      <c r="Z47" s="41"/>
      <c r="AA47" s="43"/>
      <c r="AB47" s="41"/>
      <c r="AC47" s="41"/>
      <c r="AD47" s="44" t="s">
        <v>123</v>
      </c>
      <c r="AE47" s="50">
        <f t="shared" si="33"/>
        <v>0</v>
      </c>
      <c r="AF47" s="36">
        <v>7</v>
      </c>
      <c r="AG47" s="51">
        <f t="shared" si="34"/>
        <v>0</v>
      </c>
      <c r="AH47" s="52">
        <v>200</v>
      </c>
      <c r="AI47" s="53">
        <f t="shared" si="35"/>
        <v>0</v>
      </c>
      <c r="AJ47" s="54">
        <f t="shared" si="36"/>
        <v>0</v>
      </c>
      <c r="AK47" s="36">
        <v>2</v>
      </c>
      <c r="AL47" s="51">
        <f t="shared" si="37"/>
        <v>0</v>
      </c>
      <c r="AM47" s="52">
        <v>200</v>
      </c>
      <c r="AN47" s="53">
        <f t="shared" si="38"/>
        <v>0</v>
      </c>
      <c r="AO47" s="52"/>
      <c r="AP47" s="55">
        <f t="shared" si="39"/>
        <v>0</v>
      </c>
    </row>
    <row r="48" spans="1:42" s="1" customFormat="1" ht="15" customHeight="1">
      <c r="A48" s="33">
        <f t="shared" si="32"/>
        <v>45</v>
      </c>
      <c r="B48" s="34" t="s">
        <v>114</v>
      </c>
      <c r="C48" s="56" t="s">
        <v>139</v>
      </c>
      <c r="D48" s="56" t="s">
        <v>140</v>
      </c>
      <c r="E48" s="58" t="s">
        <v>141</v>
      </c>
      <c r="F48" s="33" t="s">
        <v>118</v>
      </c>
      <c r="G48" s="37" t="s">
        <v>119</v>
      </c>
      <c r="H48" s="38">
        <v>28</v>
      </c>
      <c r="I48" s="34">
        <v>35000</v>
      </c>
      <c r="J48" s="34">
        <v>35098</v>
      </c>
      <c r="K48" s="34" t="s">
        <v>120</v>
      </c>
      <c r="L48" s="39">
        <v>45890</v>
      </c>
      <c r="M48" s="40" t="s">
        <v>121</v>
      </c>
      <c r="N48" s="39" t="s">
        <v>122</v>
      </c>
      <c r="O48" s="39">
        <v>45881</v>
      </c>
      <c r="P48" s="39">
        <v>45907</v>
      </c>
      <c r="Q48" s="39">
        <v>45892</v>
      </c>
      <c r="R48" s="39">
        <v>46029</v>
      </c>
      <c r="S48" s="41"/>
      <c r="T48" s="41"/>
      <c r="U48" s="41"/>
      <c r="V48" s="41"/>
      <c r="W48" s="41"/>
      <c r="X48" s="41"/>
      <c r="Y48" s="41"/>
      <c r="Z48" s="41"/>
      <c r="AA48" s="43"/>
      <c r="AB48" s="41"/>
      <c r="AC48" s="41"/>
      <c r="AD48" s="44" t="s">
        <v>123</v>
      </c>
      <c r="AE48" s="45">
        <f t="shared" si="33"/>
        <v>0</v>
      </c>
      <c r="AF48" s="36">
        <v>7</v>
      </c>
      <c r="AG48" s="46">
        <f t="shared" si="34"/>
        <v>0</v>
      </c>
      <c r="AH48" s="47">
        <v>200</v>
      </c>
      <c r="AI48" s="48">
        <f t="shared" si="35"/>
        <v>0</v>
      </c>
      <c r="AJ48" s="45">
        <f t="shared" si="36"/>
        <v>0</v>
      </c>
      <c r="AK48" s="36">
        <v>2</v>
      </c>
      <c r="AL48" s="46">
        <f t="shared" si="37"/>
        <v>0</v>
      </c>
      <c r="AM48" s="47">
        <v>200</v>
      </c>
      <c r="AN48" s="48">
        <f t="shared" si="38"/>
        <v>0</v>
      </c>
      <c r="AO48" s="47"/>
      <c r="AP48" s="49">
        <f t="shared" si="39"/>
        <v>0</v>
      </c>
    </row>
    <row r="49" spans="1:42" s="1" customFormat="1" ht="15" customHeight="1">
      <c r="A49" s="33">
        <f t="shared" si="32"/>
        <v>46</v>
      </c>
      <c r="B49" s="34" t="s">
        <v>114</v>
      </c>
      <c r="C49" s="35" t="s">
        <v>142</v>
      </c>
      <c r="D49" s="35" t="s">
        <v>143</v>
      </c>
      <c r="E49" s="34" t="s">
        <v>144</v>
      </c>
      <c r="F49" s="33" t="s">
        <v>118</v>
      </c>
      <c r="G49" s="37" t="s">
        <v>119</v>
      </c>
      <c r="H49" s="37">
        <v>28</v>
      </c>
      <c r="I49" s="34">
        <v>35000</v>
      </c>
      <c r="J49" s="34">
        <v>35098</v>
      </c>
      <c r="K49" s="34" t="s">
        <v>120</v>
      </c>
      <c r="L49" s="39">
        <v>45890</v>
      </c>
      <c r="M49" s="40" t="s">
        <v>121</v>
      </c>
      <c r="N49" s="39" t="s">
        <v>122</v>
      </c>
      <c r="O49" s="39">
        <v>45881</v>
      </c>
      <c r="P49" s="39">
        <v>45907</v>
      </c>
      <c r="Q49" s="39">
        <v>45892</v>
      </c>
      <c r="R49" s="39">
        <v>46029</v>
      </c>
      <c r="S49" s="41"/>
      <c r="T49" s="41"/>
      <c r="U49" s="41"/>
      <c r="V49" s="41"/>
      <c r="W49" s="41"/>
      <c r="X49" s="41"/>
      <c r="Y49" s="41"/>
      <c r="Z49" s="41"/>
      <c r="AA49" s="43"/>
      <c r="AB49" s="41"/>
      <c r="AC49" s="41"/>
      <c r="AD49" s="44" t="s">
        <v>123</v>
      </c>
      <c r="AE49" s="45">
        <f t="shared" si="33"/>
        <v>0</v>
      </c>
      <c r="AF49" s="36">
        <v>7</v>
      </c>
      <c r="AG49" s="46">
        <f t="shared" si="34"/>
        <v>0</v>
      </c>
      <c r="AH49" s="47">
        <v>200</v>
      </c>
      <c r="AI49" s="48">
        <f t="shared" si="35"/>
        <v>0</v>
      </c>
      <c r="AJ49" s="45">
        <f t="shared" si="36"/>
        <v>0</v>
      </c>
      <c r="AK49" s="36">
        <v>2</v>
      </c>
      <c r="AL49" s="46">
        <f t="shared" si="37"/>
        <v>0</v>
      </c>
      <c r="AM49" s="47">
        <v>200</v>
      </c>
      <c r="AN49" s="48">
        <f t="shared" si="38"/>
        <v>0</v>
      </c>
      <c r="AO49" s="47"/>
      <c r="AP49" s="49">
        <f t="shared" si="39"/>
        <v>0</v>
      </c>
    </row>
    <row r="50" spans="1:42" s="1" customFormat="1" ht="15" customHeight="1">
      <c r="A50" s="33">
        <f t="shared" si="32"/>
        <v>47</v>
      </c>
      <c r="B50" s="34" t="s">
        <v>114</v>
      </c>
      <c r="C50" s="59" t="s">
        <v>145</v>
      </c>
      <c r="D50" s="59" t="s">
        <v>146</v>
      </c>
      <c r="E50" s="60" t="s">
        <v>147</v>
      </c>
      <c r="F50" s="33" t="s">
        <v>118</v>
      </c>
      <c r="G50" s="37" t="s">
        <v>119</v>
      </c>
      <c r="H50" s="37">
        <v>28</v>
      </c>
      <c r="I50" s="34">
        <v>35000</v>
      </c>
      <c r="J50" s="34">
        <v>35098</v>
      </c>
      <c r="K50" s="34" t="s">
        <v>120</v>
      </c>
      <c r="L50" s="39">
        <v>45890</v>
      </c>
      <c r="M50" s="40" t="s">
        <v>121</v>
      </c>
      <c r="N50" s="39" t="s">
        <v>122</v>
      </c>
      <c r="O50" s="39">
        <v>45881</v>
      </c>
      <c r="P50" s="39">
        <v>45907</v>
      </c>
      <c r="Q50" s="39">
        <v>45892</v>
      </c>
      <c r="R50" s="39">
        <v>46029</v>
      </c>
      <c r="S50" s="41"/>
      <c r="T50" s="41"/>
      <c r="U50" s="41"/>
      <c r="V50" s="41"/>
      <c r="W50" s="41"/>
      <c r="X50" s="41"/>
      <c r="Y50" s="41"/>
      <c r="Z50" s="41"/>
      <c r="AA50" s="43"/>
      <c r="AB50" s="41"/>
      <c r="AC50" s="41"/>
      <c r="AD50" s="44" t="s">
        <v>123</v>
      </c>
      <c r="AE50" s="50">
        <f t="shared" si="33"/>
        <v>0</v>
      </c>
      <c r="AF50" s="36">
        <v>7</v>
      </c>
      <c r="AG50" s="51">
        <f t="shared" si="34"/>
        <v>0</v>
      </c>
      <c r="AH50" s="52">
        <v>200</v>
      </c>
      <c r="AI50" s="53">
        <f t="shared" si="35"/>
        <v>0</v>
      </c>
      <c r="AJ50" s="54">
        <f t="shared" si="36"/>
        <v>0</v>
      </c>
      <c r="AK50" s="36">
        <v>2</v>
      </c>
      <c r="AL50" s="51">
        <f t="shared" si="37"/>
        <v>0</v>
      </c>
      <c r="AM50" s="52">
        <v>200</v>
      </c>
      <c r="AN50" s="53">
        <f t="shared" si="38"/>
        <v>0</v>
      </c>
      <c r="AO50" s="52"/>
      <c r="AP50" s="55">
        <f t="shared" si="39"/>
        <v>0</v>
      </c>
    </row>
    <row r="51" spans="1:42" s="1" customFormat="1" ht="15" customHeight="1">
      <c r="A51" s="33">
        <f t="shared" si="32"/>
        <v>48</v>
      </c>
      <c r="B51" s="34" t="s">
        <v>114</v>
      </c>
      <c r="C51" s="56" t="s">
        <v>148</v>
      </c>
      <c r="D51" s="56" t="s">
        <v>149</v>
      </c>
      <c r="E51" s="57" t="s">
        <v>150</v>
      </c>
      <c r="F51" s="33" t="s">
        <v>118</v>
      </c>
      <c r="G51" s="37" t="s">
        <v>119</v>
      </c>
      <c r="H51" s="37">
        <v>24</v>
      </c>
      <c r="I51" s="34">
        <v>30000</v>
      </c>
      <c r="J51" s="34">
        <v>30084</v>
      </c>
      <c r="K51" s="34" t="s">
        <v>120</v>
      </c>
      <c r="L51" s="39">
        <v>45890</v>
      </c>
      <c r="M51" s="40" t="s">
        <v>121</v>
      </c>
      <c r="N51" s="39" t="s">
        <v>122</v>
      </c>
      <c r="O51" s="39">
        <v>45881</v>
      </c>
      <c r="P51" s="39">
        <v>45907</v>
      </c>
      <c r="Q51" s="39">
        <v>45892</v>
      </c>
      <c r="R51" s="39">
        <v>46029</v>
      </c>
      <c r="S51" s="41"/>
      <c r="T51" s="41"/>
      <c r="U51" s="41"/>
      <c r="V51" s="41"/>
      <c r="W51" s="41"/>
      <c r="X51" s="41"/>
      <c r="Y51" s="41"/>
      <c r="Z51" s="41"/>
      <c r="AA51" s="43"/>
      <c r="AB51" s="41"/>
      <c r="AC51" s="41"/>
      <c r="AD51" s="44" t="s">
        <v>123</v>
      </c>
      <c r="AE51" s="45">
        <f t="shared" si="33"/>
        <v>0</v>
      </c>
      <c r="AF51" s="36">
        <v>7</v>
      </c>
      <c r="AG51" s="46">
        <f t="shared" si="34"/>
        <v>0</v>
      </c>
      <c r="AH51" s="47">
        <v>200</v>
      </c>
      <c r="AI51" s="48">
        <f t="shared" si="35"/>
        <v>0</v>
      </c>
      <c r="AJ51" s="45">
        <f t="shared" si="36"/>
        <v>0</v>
      </c>
      <c r="AK51" s="36">
        <v>2</v>
      </c>
      <c r="AL51" s="46">
        <f t="shared" si="37"/>
        <v>0</v>
      </c>
      <c r="AM51" s="47">
        <v>200</v>
      </c>
      <c r="AN51" s="48">
        <f t="shared" si="38"/>
        <v>0</v>
      </c>
      <c r="AO51" s="47"/>
      <c r="AP51" s="49">
        <f t="shared" si="39"/>
        <v>0</v>
      </c>
    </row>
    <row r="52" spans="1:42" s="1" customFormat="1" ht="15" customHeight="1">
      <c r="A52" s="33">
        <f t="shared" ref="A52:A61" si="40">ROW()-3</f>
        <v>49</v>
      </c>
      <c r="B52" s="34" t="s">
        <v>114</v>
      </c>
      <c r="C52" s="33" t="s">
        <v>151</v>
      </c>
      <c r="D52" s="33" t="s">
        <v>152</v>
      </c>
      <c r="E52" s="34" t="s">
        <v>153</v>
      </c>
      <c r="F52" s="33" t="s">
        <v>118</v>
      </c>
      <c r="G52" s="38" t="s">
        <v>119</v>
      </c>
      <c r="H52" s="38">
        <v>28</v>
      </c>
      <c r="I52" s="34">
        <v>35000</v>
      </c>
      <c r="J52" s="34">
        <v>35098</v>
      </c>
      <c r="K52" s="34" t="s">
        <v>120</v>
      </c>
      <c r="L52" s="39">
        <v>45890</v>
      </c>
      <c r="M52" s="40" t="s">
        <v>121</v>
      </c>
      <c r="N52" s="39" t="s">
        <v>122</v>
      </c>
      <c r="O52" s="39">
        <v>45881</v>
      </c>
      <c r="P52" s="39">
        <v>45907</v>
      </c>
      <c r="Q52" s="39">
        <v>45892</v>
      </c>
      <c r="R52" s="39">
        <v>46027</v>
      </c>
      <c r="S52" s="61"/>
      <c r="T52" s="61"/>
      <c r="U52" s="61"/>
      <c r="V52" s="61"/>
      <c r="W52" s="61"/>
      <c r="X52" s="61"/>
      <c r="Y52" s="61"/>
      <c r="Z52" s="61"/>
      <c r="AA52" s="62"/>
      <c r="AB52" s="61"/>
      <c r="AC52" s="61"/>
      <c r="AD52" s="63" t="s">
        <v>123</v>
      </c>
      <c r="AE52" s="45">
        <f t="shared" ref="AE52:AE61" si="41">MAX(0,Y52-X52)</f>
        <v>0</v>
      </c>
      <c r="AF52" s="36">
        <v>7</v>
      </c>
      <c r="AG52" s="46">
        <f t="shared" ref="AG52:AG61" si="42">MAX(0,AE52-AF52)</f>
        <v>0</v>
      </c>
      <c r="AH52" s="47">
        <v>200</v>
      </c>
      <c r="AI52" s="48">
        <f t="shared" ref="AI52:AI61" si="43">MAX(0,AG52*AH52)</f>
        <v>0</v>
      </c>
      <c r="AJ52" s="45">
        <f t="shared" ref="AJ52:AJ61" si="44">MAX(0,AC52-AB52)</f>
        <v>0</v>
      </c>
      <c r="AK52" s="36">
        <v>2</v>
      </c>
      <c r="AL52" s="46">
        <f t="shared" ref="AL52:AL61" si="45">MAX(0,AJ52-AK52)</f>
        <v>0</v>
      </c>
      <c r="AM52" s="47">
        <v>200</v>
      </c>
      <c r="AN52" s="48">
        <f t="shared" ref="AN52:AN61" si="46">MAX(0,AL52*AM52)</f>
        <v>0</v>
      </c>
      <c r="AO52" s="47"/>
      <c r="AP52" s="49">
        <f t="shared" ref="AP52:AP61" si="47">AO52+AN52+AI52</f>
        <v>0</v>
      </c>
    </row>
    <row r="53" spans="1:42" s="1" customFormat="1" ht="15" customHeight="1">
      <c r="A53" s="33">
        <f t="shared" si="40"/>
        <v>50</v>
      </c>
      <c r="B53" s="34" t="s">
        <v>114</v>
      </c>
      <c r="C53" s="33" t="s">
        <v>154</v>
      </c>
      <c r="D53" s="33" t="s">
        <v>155</v>
      </c>
      <c r="E53" s="34" t="s">
        <v>156</v>
      </c>
      <c r="F53" s="33" t="s">
        <v>118</v>
      </c>
      <c r="G53" s="38" t="s">
        <v>119</v>
      </c>
      <c r="H53" s="38">
        <v>28</v>
      </c>
      <c r="I53" s="34">
        <v>35000</v>
      </c>
      <c r="J53" s="34">
        <v>35098</v>
      </c>
      <c r="K53" s="34" t="s">
        <v>120</v>
      </c>
      <c r="L53" s="39">
        <v>45890</v>
      </c>
      <c r="M53" s="40" t="s">
        <v>121</v>
      </c>
      <c r="N53" s="39" t="s">
        <v>122</v>
      </c>
      <c r="O53" s="39">
        <v>45881</v>
      </c>
      <c r="P53" s="39">
        <v>45907</v>
      </c>
      <c r="Q53" s="39">
        <v>45892</v>
      </c>
      <c r="R53" s="39">
        <v>46027</v>
      </c>
      <c r="S53" s="61"/>
      <c r="T53" s="61"/>
      <c r="U53" s="61"/>
      <c r="V53" s="61"/>
      <c r="W53" s="61"/>
      <c r="X53" s="61"/>
      <c r="Y53" s="61"/>
      <c r="Z53" s="61"/>
      <c r="AA53" s="62"/>
      <c r="AB53" s="61"/>
      <c r="AC53" s="61"/>
      <c r="AD53" s="63" t="s">
        <v>123</v>
      </c>
      <c r="AE53" s="50">
        <f t="shared" si="41"/>
        <v>0</v>
      </c>
      <c r="AF53" s="36">
        <v>7</v>
      </c>
      <c r="AG53" s="51">
        <f t="shared" si="42"/>
        <v>0</v>
      </c>
      <c r="AH53" s="52">
        <v>200</v>
      </c>
      <c r="AI53" s="53">
        <f t="shared" si="43"/>
        <v>0</v>
      </c>
      <c r="AJ53" s="54">
        <f t="shared" si="44"/>
        <v>0</v>
      </c>
      <c r="AK53" s="36">
        <v>2</v>
      </c>
      <c r="AL53" s="51">
        <f t="shared" si="45"/>
        <v>0</v>
      </c>
      <c r="AM53" s="52">
        <v>200</v>
      </c>
      <c r="AN53" s="53">
        <f t="shared" si="46"/>
        <v>0</v>
      </c>
      <c r="AO53" s="52"/>
      <c r="AP53" s="55">
        <f t="shared" si="47"/>
        <v>0</v>
      </c>
    </row>
    <row r="54" spans="1:42" s="1" customFormat="1" ht="15" customHeight="1">
      <c r="A54" s="33">
        <f t="shared" si="40"/>
        <v>51</v>
      </c>
      <c r="B54" s="34" t="s">
        <v>114</v>
      </c>
      <c r="C54" s="33" t="s">
        <v>157</v>
      </c>
      <c r="D54" s="33" t="s">
        <v>158</v>
      </c>
      <c r="E54" s="34" t="s">
        <v>159</v>
      </c>
      <c r="F54" s="33" t="s">
        <v>118</v>
      </c>
      <c r="G54" s="38" t="s">
        <v>119</v>
      </c>
      <c r="H54" s="38">
        <v>29</v>
      </c>
      <c r="I54" s="34">
        <v>36250</v>
      </c>
      <c r="J54" s="34">
        <v>36352</v>
      </c>
      <c r="K54" s="34" t="s">
        <v>120</v>
      </c>
      <c r="L54" s="39">
        <v>45890</v>
      </c>
      <c r="M54" s="40" t="s">
        <v>121</v>
      </c>
      <c r="N54" s="39" t="s">
        <v>122</v>
      </c>
      <c r="O54" s="39">
        <v>45881</v>
      </c>
      <c r="P54" s="39">
        <v>45907</v>
      </c>
      <c r="Q54" s="39">
        <v>45892</v>
      </c>
      <c r="R54" s="39">
        <v>46027</v>
      </c>
      <c r="S54" s="61"/>
      <c r="T54" s="61"/>
      <c r="U54" s="61"/>
      <c r="V54" s="61"/>
      <c r="W54" s="61"/>
      <c r="X54" s="61"/>
      <c r="Y54" s="61"/>
      <c r="Z54" s="61"/>
      <c r="AA54" s="62"/>
      <c r="AB54" s="61"/>
      <c r="AC54" s="61"/>
      <c r="AD54" s="63" t="s">
        <v>123</v>
      </c>
      <c r="AE54" s="45">
        <f t="shared" si="41"/>
        <v>0</v>
      </c>
      <c r="AF54" s="36">
        <v>7</v>
      </c>
      <c r="AG54" s="46">
        <f t="shared" si="42"/>
        <v>0</v>
      </c>
      <c r="AH54" s="47">
        <v>200</v>
      </c>
      <c r="AI54" s="48">
        <f t="shared" si="43"/>
        <v>0</v>
      </c>
      <c r="AJ54" s="45">
        <f t="shared" si="44"/>
        <v>0</v>
      </c>
      <c r="AK54" s="36">
        <v>2</v>
      </c>
      <c r="AL54" s="46">
        <f t="shared" si="45"/>
        <v>0</v>
      </c>
      <c r="AM54" s="47">
        <v>200</v>
      </c>
      <c r="AN54" s="48">
        <f t="shared" si="46"/>
        <v>0</v>
      </c>
      <c r="AO54" s="47"/>
      <c r="AP54" s="49">
        <f t="shared" si="47"/>
        <v>0</v>
      </c>
    </row>
    <row r="55" spans="1:42" s="1" customFormat="1" ht="15" customHeight="1">
      <c r="A55" s="33">
        <f t="shared" si="40"/>
        <v>52</v>
      </c>
      <c r="B55" s="34" t="s">
        <v>114</v>
      </c>
      <c r="C55" s="33" t="s">
        <v>160</v>
      </c>
      <c r="D55" s="33" t="s">
        <v>161</v>
      </c>
      <c r="E55" s="33" t="s">
        <v>162</v>
      </c>
      <c r="F55" s="33" t="s">
        <v>118</v>
      </c>
      <c r="G55" s="38" t="s">
        <v>119</v>
      </c>
      <c r="H55" s="38">
        <v>28</v>
      </c>
      <c r="I55" s="34">
        <v>36250</v>
      </c>
      <c r="J55" s="34">
        <v>36352</v>
      </c>
      <c r="K55" s="34" t="s">
        <v>120</v>
      </c>
      <c r="L55" s="39">
        <v>45890</v>
      </c>
      <c r="M55" s="40" t="s">
        <v>121</v>
      </c>
      <c r="N55" s="39" t="s">
        <v>122</v>
      </c>
      <c r="O55" s="39">
        <v>45881</v>
      </c>
      <c r="P55" s="39">
        <v>45907</v>
      </c>
      <c r="Q55" s="39">
        <v>45892</v>
      </c>
      <c r="R55" s="39">
        <v>46027</v>
      </c>
      <c r="S55" s="61"/>
      <c r="T55" s="61"/>
      <c r="U55" s="61"/>
      <c r="V55" s="61"/>
      <c r="W55" s="61"/>
      <c r="X55" s="61"/>
      <c r="Y55" s="61"/>
      <c r="Z55" s="61"/>
      <c r="AA55" s="62"/>
      <c r="AB55" s="61"/>
      <c r="AC55" s="61"/>
      <c r="AD55" s="63" t="s">
        <v>123</v>
      </c>
      <c r="AE55" s="50">
        <f t="shared" si="41"/>
        <v>0</v>
      </c>
      <c r="AF55" s="36">
        <v>7</v>
      </c>
      <c r="AG55" s="51">
        <f t="shared" si="42"/>
        <v>0</v>
      </c>
      <c r="AH55" s="52">
        <v>200</v>
      </c>
      <c r="AI55" s="53">
        <f t="shared" si="43"/>
        <v>0</v>
      </c>
      <c r="AJ55" s="54">
        <f t="shared" si="44"/>
        <v>0</v>
      </c>
      <c r="AK55" s="36">
        <v>2</v>
      </c>
      <c r="AL55" s="51">
        <f t="shared" si="45"/>
        <v>0</v>
      </c>
      <c r="AM55" s="52">
        <v>200</v>
      </c>
      <c r="AN55" s="53">
        <f t="shared" si="46"/>
        <v>0</v>
      </c>
      <c r="AO55" s="52"/>
      <c r="AP55" s="55">
        <f t="shared" si="47"/>
        <v>0</v>
      </c>
    </row>
    <row r="56" spans="1:42" s="1" customFormat="1" ht="15" customHeight="1">
      <c r="A56" s="33">
        <f t="shared" si="40"/>
        <v>53</v>
      </c>
      <c r="B56" s="34" t="s">
        <v>114</v>
      </c>
      <c r="C56" s="33" t="s">
        <v>163</v>
      </c>
      <c r="D56" s="33" t="s">
        <v>164</v>
      </c>
      <c r="E56" s="34" t="s">
        <v>165</v>
      </c>
      <c r="F56" s="33" t="s">
        <v>118</v>
      </c>
      <c r="G56" s="38" t="s">
        <v>119</v>
      </c>
      <c r="H56" s="38">
        <v>27</v>
      </c>
      <c r="I56" s="34">
        <v>33750</v>
      </c>
      <c r="J56" s="34">
        <v>33845</v>
      </c>
      <c r="K56" s="34" t="s">
        <v>120</v>
      </c>
      <c r="L56" s="39">
        <v>45890</v>
      </c>
      <c r="M56" s="40" t="s">
        <v>121</v>
      </c>
      <c r="N56" s="39" t="s">
        <v>122</v>
      </c>
      <c r="O56" s="39">
        <v>45881</v>
      </c>
      <c r="P56" s="39">
        <v>45907</v>
      </c>
      <c r="Q56" s="39">
        <v>45892</v>
      </c>
      <c r="R56" s="39">
        <v>46027</v>
      </c>
      <c r="S56" s="61"/>
      <c r="T56" s="61"/>
      <c r="U56" s="61"/>
      <c r="V56" s="61"/>
      <c r="W56" s="61"/>
      <c r="X56" s="61"/>
      <c r="Y56" s="61"/>
      <c r="Z56" s="61"/>
      <c r="AA56" s="62"/>
      <c r="AB56" s="61"/>
      <c r="AC56" s="61"/>
      <c r="AD56" s="63" t="s">
        <v>123</v>
      </c>
      <c r="AE56" s="45">
        <f t="shared" si="41"/>
        <v>0</v>
      </c>
      <c r="AF56" s="36">
        <v>7</v>
      </c>
      <c r="AG56" s="46">
        <f t="shared" si="42"/>
        <v>0</v>
      </c>
      <c r="AH56" s="47">
        <v>200</v>
      </c>
      <c r="AI56" s="48">
        <f t="shared" si="43"/>
        <v>0</v>
      </c>
      <c r="AJ56" s="45">
        <f t="shared" si="44"/>
        <v>0</v>
      </c>
      <c r="AK56" s="36">
        <v>2</v>
      </c>
      <c r="AL56" s="46">
        <f t="shared" si="45"/>
        <v>0</v>
      </c>
      <c r="AM56" s="47">
        <v>200</v>
      </c>
      <c r="AN56" s="48">
        <f t="shared" si="46"/>
        <v>0</v>
      </c>
      <c r="AO56" s="47"/>
      <c r="AP56" s="49">
        <f t="shared" si="47"/>
        <v>0</v>
      </c>
    </row>
    <row r="57" spans="1:42" s="1" customFormat="1" ht="15" customHeight="1">
      <c r="A57" s="33">
        <f t="shared" si="40"/>
        <v>54</v>
      </c>
      <c r="B57" s="34" t="s">
        <v>114</v>
      </c>
      <c r="C57" s="33" t="s">
        <v>166</v>
      </c>
      <c r="D57" s="34" t="s">
        <v>167</v>
      </c>
      <c r="E57" s="34" t="s">
        <v>168</v>
      </c>
      <c r="F57" s="33" t="s">
        <v>118</v>
      </c>
      <c r="G57" s="38" t="s">
        <v>119</v>
      </c>
      <c r="H57" s="38">
        <v>29</v>
      </c>
      <c r="I57" s="34">
        <v>36250</v>
      </c>
      <c r="J57" s="34">
        <v>36352</v>
      </c>
      <c r="K57" s="34" t="s">
        <v>120</v>
      </c>
      <c r="L57" s="39">
        <v>45890</v>
      </c>
      <c r="M57" s="40" t="s">
        <v>121</v>
      </c>
      <c r="N57" s="39" t="s">
        <v>122</v>
      </c>
      <c r="O57" s="39">
        <v>45881</v>
      </c>
      <c r="P57" s="39">
        <v>45907</v>
      </c>
      <c r="Q57" s="39">
        <v>45892</v>
      </c>
      <c r="R57" s="39">
        <v>46027</v>
      </c>
      <c r="S57" s="61"/>
      <c r="T57" s="61"/>
      <c r="U57" s="61"/>
      <c r="V57" s="61"/>
      <c r="W57" s="61"/>
      <c r="X57" s="61"/>
      <c r="Y57" s="61"/>
      <c r="Z57" s="61"/>
      <c r="AA57" s="62"/>
      <c r="AB57" s="61"/>
      <c r="AC57" s="61"/>
      <c r="AD57" s="63" t="s">
        <v>123</v>
      </c>
      <c r="AE57" s="50">
        <f t="shared" si="41"/>
        <v>0</v>
      </c>
      <c r="AF57" s="36">
        <v>7</v>
      </c>
      <c r="AG57" s="51">
        <f t="shared" si="42"/>
        <v>0</v>
      </c>
      <c r="AH57" s="52">
        <v>200</v>
      </c>
      <c r="AI57" s="53">
        <f t="shared" si="43"/>
        <v>0</v>
      </c>
      <c r="AJ57" s="54">
        <f t="shared" si="44"/>
        <v>0</v>
      </c>
      <c r="AK57" s="36">
        <v>2</v>
      </c>
      <c r="AL57" s="51">
        <f t="shared" si="45"/>
        <v>0</v>
      </c>
      <c r="AM57" s="52">
        <v>200</v>
      </c>
      <c r="AN57" s="53">
        <f t="shared" si="46"/>
        <v>0</v>
      </c>
      <c r="AO57" s="52"/>
      <c r="AP57" s="55">
        <f t="shared" si="47"/>
        <v>0</v>
      </c>
    </row>
    <row r="58" spans="1:42" s="1" customFormat="1" ht="15" customHeight="1">
      <c r="A58" s="33">
        <f t="shared" si="40"/>
        <v>55</v>
      </c>
      <c r="B58" s="34" t="s">
        <v>114</v>
      </c>
      <c r="C58" s="33" t="s">
        <v>169</v>
      </c>
      <c r="D58" s="33" t="s">
        <v>170</v>
      </c>
      <c r="E58" s="33" t="s">
        <v>171</v>
      </c>
      <c r="F58" s="33" t="s">
        <v>118</v>
      </c>
      <c r="G58" s="38" t="s">
        <v>119</v>
      </c>
      <c r="H58" s="38">
        <v>28</v>
      </c>
      <c r="I58" s="34">
        <v>35000</v>
      </c>
      <c r="J58" s="34">
        <v>35098</v>
      </c>
      <c r="K58" s="34" t="s">
        <v>120</v>
      </c>
      <c r="L58" s="39">
        <v>45890</v>
      </c>
      <c r="M58" s="40" t="s">
        <v>121</v>
      </c>
      <c r="N58" s="39" t="s">
        <v>122</v>
      </c>
      <c r="O58" s="39">
        <v>45881</v>
      </c>
      <c r="P58" s="39">
        <v>45907</v>
      </c>
      <c r="Q58" s="39">
        <v>45892</v>
      </c>
      <c r="R58" s="39">
        <v>46027</v>
      </c>
      <c r="S58" s="61"/>
      <c r="T58" s="61"/>
      <c r="U58" s="61"/>
      <c r="V58" s="61"/>
      <c r="W58" s="61"/>
      <c r="X58" s="61"/>
      <c r="Y58" s="61"/>
      <c r="Z58" s="61"/>
      <c r="AA58" s="62"/>
      <c r="AB58" s="61"/>
      <c r="AC58" s="61"/>
      <c r="AD58" s="63" t="s">
        <v>123</v>
      </c>
      <c r="AE58" s="45">
        <f t="shared" si="41"/>
        <v>0</v>
      </c>
      <c r="AF58" s="36">
        <v>7</v>
      </c>
      <c r="AG58" s="46">
        <f t="shared" si="42"/>
        <v>0</v>
      </c>
      <c r="AH58" s="47">
        <v>200</v>
      </c>
      <c r="AI58" s="48">
        <f t="shared" si="43"/>
        <v>0</v>
      </c>
      <c r="AJ58" s="45">
        <f t="shared" si="44"/>
        <v>0</v>
      </c>
      <c r="AK58" s="36">
        <v>2</v>
      </c>
      <c r="AL58" s="46">
        <f t="shared" si="45"/>
        <v>0</v>
      </c>
      <c r="AM58" s="47">
        <v>200</v>
      </c>
      <c r="AN58" s="48">
        <f t="shared" si="46"/>
        <v>0</v>
      </c>
      <c r="AO58" s="47"/>
      <c r="AP58" s="49">
        <f t="shared" si="47"/>
        <v>0</v>
      </c>
    </row>
    <row r="59" spans="1:42" s="1" customFormat="1" ht="15" customHeight="1">
      <c r="A59" s="33">
        <f t="shared" si="40"/>
        <v>56</v>
      </c>
      <c r="B59" s="34" t="s">
        <v>114</v>
      </c>
      <c r="C59" s="33" t="s">
        <v>172</v>
      </c>
      <c r="D59" s="33" t="s">
        <v>173</v>
      </c>
      <c r="E59" s="34" t="s">
        <v>174</v>
      </c>
      <c r="F59" s="33" t="s">
        <v>118</v>
      </c>
      <c r="G59" s="38" t="s">
        <v>119</v>
      </c>
      <c r="H59" s="38">
        <v>29</v>
      </c>
      <c r="I59" s="34">
        <v>36250</v>
      </c>
      <c r="J59" s="34">
        <v>36352</v>
      </c>
      <c r="K59" s="34" t="s">
        <v>120</v>
      </c>
      <c r="L59" s="39">
        <v>45890</v>
      </c>
      <c r="M59" s="40" t="s">
        <v>121</v>
      </c>
      <c r="N59" s="39" t="s">
        <v>122</v>
      </c>
      <c r="O59" s="39">
        <v>45881</v>
      </c>
      <c r="P59" s="39">
        <v>45907</v>
      </c>
      <c r="Q59" s="39">
        <v>45892</v>
      </c>
      <c r="R59" s="39">
        <v>46027</v>
      </c>
      <c r="S59" s="61"/>
      <c r="T59" s="61"/>
      <c r="U59" s="61"/>
      <c r="V59" s="61"/>
      <c r="W59" s="61"/>
      <c r="X59" s="61"/>
      <c r="Y59" s="61"/>
      <c r="Z59" s="61"/>
      <c r="AA59" s="62"/>
      <c r="AB59" s="61"/>
      <c r="AC59" s="61"/>
      <c r="AD59" s="63" t="s">
        <v>123</v>
      </c>
      <c r="AE59" s="50">
        <f t="shared" si="41"/>
        <v>0</v>
      </c>
      <c r="AF59" s="36">
        <v>7</v>
      </c>
      <c r="AG59" s="51">
        <f t="shared" si="42"/>
        <v>0</v>
      </c>
      <c r="AH59" s="52">
        <v>200</v>
      </c>
      <c r="AI59" s="53">
        <f t="shared" si="43"/>
        <v>0</v>
      </c>
      <c r="AJ59" s="54">
        <f t="shared" si="44"/>
        <v>0</v>
      </c>
      <c r="AK59" s="36">
        <v>2</v>
      </c>
      <c r="AL59" s="51">
        <f t="shared" si="45"/>
        <v>0</v>
      </c>
      <c r="AM59" s="52">
        <v>200</v>
      </c>
      <c r="AN59" s="53">
        <f t="shared" si="46"/>
        <v>0</v>
      </c>
      <c r="AO59" s="52"/>
      <c r="AP59" s="55">
        <f t="shared" si="47"/>
        <v>0</v>
      </c>
    </row>
    <row r="60" spans="1:42" s="1" customFormat="1" ht="15" customHeight="1">
      <c r="A60" s="33">
        <f t="shared" si="40"/>
        <v>57</v>
      </c>
      <c r="B60" s="34" t="s">
        <v>114</v>
      </c>
      <c r="C60" s="33" t="s">
        <v>175</v>
      </c>
      <c r="D60" s="33" t="s">
        <v>176</v>
      </c>
      <c r="E60" s="34" t="s">
        <v>177</v>
      </c>
      <c r="F60" s="33" t="s">
        <v>118</v>
      </c>
      <c r="G60" s="38" t="s">
        <v>119</v>
      </c>
      <c r="H60" s="38">
        <v>28</v>
      </c>
      <c r="I60" s="34">
        <v>35000</v>
      </c>
      <c r="J60" s="34">
        <v>35098</v>
      </c>
      <c r="K60" s="34" t="s">
        <v>120</v>
      </c>
      <c r="L60" s="39">
        <v>45890</v>
      </c>
      <c r="M60" s="40" t="s">
        <v>121</v>
      </c>
      <c r="N60" s="39" t="s">
        <v>122</v>
      </c>
      <c r="O60" s="39">
        <v>45881</v>
      </c>
      <c r="P60" s="39">
        <v>45907</v>
      </c>
      <c r="Q60" s="39">
        <v>45892</v>
      </c>
      <c r="R60" s="39">
        <v>46027</v>
      </c>
      <c r="S60" s="61"/>
      <c r="T60" s="61"/>
      <c r="U60" s="61"/>
      <c r="V60" s="61"/>
      <c r="W60" s="61"/>
      <c r="X60" s="61"/>
      <c r="Y60" s="61"/>
      <c r="Z60" s="61"/>
      <c r="AA60" s="62"/>
      <c r="AB60" s="61"/>
      <c r="AC60" s="61"/>
      <c r="AD60" s="63" t="s">
        <v>123</v>
      </c>
      <c r="AE60" s="45">
        <f t="shared" si="41"/>
        <v>0</v>
      </c>
      <c r="AF60" s="36">
        <v>7</v>
      </c>
      <c r="AG60" s="46">
        <f t="shared" si="42"/>
        <v>0</v>
      </c>
      <c r="AH60" s="47">
        <v>200</v>
      </c>
      <c r="AI60" s="48">
        <f t="shared" si="43"/>
        <v>0</v>
      </c>
      <c r="AJ60" s="45">
        <f t="shared" si="44"/>
        <v>0</v>
      </c>
      <c r="AK60" s="36">
        <v>2</v>
      </c>
      <c r="AL60" s="46">
        <f t="shared" si="45"/>
        <v>0</v>
      </c>
      <c r="AM60" s="47">
        <v>200</v>
      </c>
      <c r="AN60" s="48">
        <f t="shared" si="46"/>
        <v>0</v>
      </c>
      <c r="AO60" s="47"/>
      <c r="AP60" s="49">
        <f t="shared" si="47"/>
        <v>0</v>
      </c>
    </row>
    <row r="61" spans="1:42" s="1" customFormat="1" ht="15" customHeight="1">
      <c r="A61" s="33">
        <f t="shared" si="40"/>
        <v>58</v>
      </c>
      <c r="B61" s="34" t="s">
        <v>114</v>
      </c>
      <c r="C61" s="39" t="s">
        <v>178</v>
      </c>
      <c r="D61" s="39" t="s">
        <v>179</v>
      </c>
      <c r="E61" s="34" t="s">
        <v>180</v>
      </c>
      <c r="F61" s="33" t="s">
        <v>118</v>
      </c>
      <c r="G61" s="38" t="s">
        <v>119</v>
      </c>
      <c r="H61" s="38">
        <v>28</v>
      </c>
      <c r="I61" s="34">
        <v>35000</v>
      </c>
      <c r="J61" s="34">
        <v>35098</v>
      </c>
      <c r="K61" s="34" t="s">
        <v>120</v>
      </c>
      <c r="L61" s="39">
        <v>45890</v>
      </c>
      <c r="M61" s="40" t="s">
        <v>121</v>
      </c>
      <c r="N61" s="39" t="s">
        <v>122</v>
      </c>
      <c r="O61" s="39">
        <v>45881</v>
      </c>
      <c r="P61" s="39">
        <v>45907</v>
      </c>
      <c r="Q61" s="39">
        <v>45892</v>
      </c>
      <c r="R61" s="39">
        <v>46027</v>
      </c>
      <c r="S61" s="61"/>
      <c r="T61" s="61"/>
      <c r="U61" s="61"/>
      <c r="V61" s="61"/>
      <c r="W61" s="61"/>
      <c r="X61" s="61"/>
      <c r="Y61" s="61"/>
      <c r="Z61" s="61"/>
      <c r="AA61" s="62"/>
      <c r="AB61" s="61"/>
      <c r="AC61" s="61"/>
      <c r="AD61" s="63" t="s">
        <v>123</v>
      </c>
      <c r="AE61" s="50">
        <f t="shared" si="41"/>
        <v>0</v>
      </c>
      <c r="AF61" s="36">
        <v>7</v>
      </c>
      <c r="AG61" s="51">
        <f t="shared" si="42"/>
        <v>0</v>
      </c>
      <c r="AH61" s="52">
        <v>200</v>
      </c>
      <c r="AI61" s="53">
        <f t="shared" si="43"/>
        <v>0</v>
      </c>
      <c r="AJ61" s="54">
        <f t="shared" si="44"/>
        <v>0</v>
      </c>
      <c r="AK61" s="36">
        <v>2</v>
      </c>
      <c r="AL61" s="51">
        <f t="shared" si="45"/>
        <v>0</v>
      </c>
      <c r="AM61" s="52">
        <v>200</v>
      </c>
      <c r="AN61" s="53">
        <f t="shared" si="46"/>
        <v>0</v>
      </c>
      <c r="AO61" s="52"/>
      <c r="AP61" s="55">
        <f t="shared" si="47"/>
        <v>0</v>
      </c>
    </row>
    <row r="62" spans="1:42" s="1" customFormat="1" ht="15" customHeight="1">
      <c r="A62" s="33">
        <f t="shared" ref="A62:A71" si="48">ROW()-3</f>
        <v>59</v>
      </c>
      <c r="B62" s="34" t="s">
        <v>114</v>
      </c>
      <c r="C62" s="35" t="s">
        <v>181</v>
      </c>
      <c r="D62" s="35" t="s">
        <v>182</v>
      </c>
      <c r="E62" s="33" t="s">
        <v>183</v>
      </c>
      <c r="F62" s="121" t="s">
        <v>118</v>
      </c>
      <c r="G62" s="37" t="s">
        <v>119</v>
      </c>
      <c r="H62" s="37">
        <v>29</v>
      </c>
      <c r="I62" s="34">
        <v>36250</v>
      </c>
      <c r="J62" s="34">
        <v>36352</v>
      </c>
      <c r="K62" s="34" t="s">
        <v>120</v>
      </c>
      <c r="L62" s="39">
        <v>45890</v>
      </c>
      <c r="M62" s="40" t="s">
        <v>121</v>
      </c>
      <c r="N62" s="39" t="s">
        <v>122</v>
      </c>
      <c r="O62" s="39">
        <v>45881</v>
      </c>
      <c r="P62" s="39">
        <v>45907</v>
      </c>
      <c r="Q62" s="39">
        <v>45892</v>
      </c>
      <c r="R62" s="39">
        <v>46025</v>
      </c>
      <c r="S62" s="41"/>
      <c r="T62" s="41"/>
      <c r="U62" s="41"/>
      <c r="V62" s="41"/>
      <c r="W62" s="41"/>
      <c r="X62" s="41"/>
      <c r="Y62" s="41"/>
      <c r="Z62" s="41"/>
      <c r="AA62" s="43"/>
      <c r="AB62" s="41"/>
      <c r="AC62" s="41"/>
      <c r="AD62" s="44" t="s">
        <v>184</v>
      </c>
      <c r="AE62" s="45">
        <f t="shared" ref="AE62:AE71" si="49">MAX(0,Y62-X62)</f>
        <v>0</v>
      </c>
      <c r="AF62" s="36">
        <v>7</v>
      </c>
      <c r="AG62" s="46">
        <f t="shared" ref="AG62:AG71" si="50">MAX(0,AE62-AF62)</f>
        <v>0</v>
      </c>
      <c r="AH62" s="47">
        <v>200</v>
      </c>
      <c r="AI62" s="48">
        <f t="shared" ref="AI62:AI71" si="51">MAX(0,AG62*AH62)</f>
        <v>0</v>
      </c>
      <c r="AJ62" s="45">
        <f t="shared" ref="AJ62:AJ71" si="52">MAX(0,AC62-AB62)</f>
        <v>0</v>
      </c>
      <c r="AK62" s="36">
        <v>2</v>
      </c>
      <c r="AL62" s="46">
        <f t="shared" ref="AL62:AL71" si="53">MAX(0,AJ62-AK62)</f>
        <v>0</v>
      </c>
      <c r="AM62" s="47">
        <v>200</v>
      </c>
      <c r="AN62" s="48">
        <f t="shared" ref="AN62:AN71" si="54">MAX(0,AL62*AM62)</f>
        <v>0</v>
      </c>
      <c r="AO62" s="47"/>
      <c r="AP62" s="49">
        <f t="shared" ref="AP62:AP71" si="55">AO62+AN62+AI62</f>
        <v>0</v>
      </c>
    </row>
    <row r="63" spans="1:42" s="1" customFormat="1" ht="15" customHeight="1">
      <c r="A63" s="33">
        <f t="shared" si="48"/>
        <v>60</v>
      </c>
      <c r="B63" s="34" t="s">
        <v>114</v>
      </c>
      <c r="C63" s="35" t="s">
        <v>185</v>
      </c>
      <c r="D63" s="35" t="s">
        <v>186</v>
      </c>
      <c r="E63" s="35" t="s">
        <v>187</v>
      </c>
      <c r="F63" s="121" t="s">
        <v>118</v>
      </c>
      <c r="G63" s="37" t="s">
        <v>119</v>
      </c>
      <c r="H63" s="37">
        <v>28</v>
      </c>
      <c r="I63" s="34">
        <v>35000</v>
      </c>
      <c r="J63" s="34">
        <v>35098</v>
      </c>
      <c r="K63" s="34" t="s">
        <v>120</v>
      </c>
      <c r="L63" s="39">
        <v>45890</v>
      </c>
      <c r="M63" s="40" t="s">
        <v>121</v>
      </c>
      <c r="N63" s="39" t="s">
        <v>122</v>
      </c>
      <c r="O63" s="39">
        <v>45881</v>
      </c>
      <c r="P63" s="39">
        <v>45907</v>
      </c>
      <c r="Q63" s="39">
        <v>45892</v>
      </c>
      <c r="R63" s="39">
        <v>46025</v>
      </c>
      <c r="S63" s="41"/>
      <c r="T63" s="41"/>
      <c r="U63" s="41"/>
      <c r="V63" s="41"/>
      <c r="W63" s="41"/>
      <c r="X63" s="41"/>
      <c r="Y63" s="41"/>
      <c r="Z63" s="41"/>
      <c r="AA63" s="43"/>
      <c r="AB63" s="41"/>
      <c r="AC63" s="41"/>
      <c r="AD63" s="44" t="s">
        <v>184</v>
      </c>
      <c r="AE63" s="50">
        <f t="shared" si="49"/>
        <v>0</v>
      </c>
      <c r="AF63" s="36">
        <v>7</v>
      </c>
      <c r="AG63" s="51">
        <f t="shared" si="50"/>
        <v>0</v>
      </c>
      <c r="AH63" s="52">
        <v>200</v>
      </c>
      <c r="AI63" s="53">
        <f t="shared" si="51"/>
        <v>0</v>
      </c>
      <c r="AJ63" s="54">
        <f t="shared" si="52"/>
        <v>0</v>
      </c>
      <c r="AK63" s="36">
        <v>2</v>
      </c>
      <c r="AL63" s="51">
        <f t="shared" si="53"/>
        <v>0</v>
      </c>
      <c r="AM63" s="52">
        <v>200</v>
      </c>
      <c r="AN63" s="53">
        <f t="shared" si="54"/>
        <v>0</v>
      </c>
      <c r="AO63" s="52"/>
      <c r="AP63" s="55">
        <f t="shared" si="55"/>
        <v>0</v>
      </c>
    </row>
    <row r="64" spans="1:42" s="1" customFormat="1" ht="15" customHeight="1">
      <c r="A64" s="33">
        <f t="shared" si="48"/>
        <v>61</v>
      </c>
      <c r="B64" s="34" t="s">
        <v>114</v>
      </c>
      <c r="C64" s="35" t="s">
        <v>188</v>
      </c>
      <c r="D64" s="35" t="s">
        <v>189</v>
      </c>
      <c r="E64" s="34" t="s">
        <v>190</v>
      </c>
      <c r="F64" s="121" t="s">
        <v>118</v>
      </c>
      <c r="G64" s="37" t="s">
        <v>119</v>
      </c>
      <c r="H64" s="37">
        <v>28</v>
      </c>
      <c r="I64" s="34">
        <v>35000</v>
      </c>
      <c r="J64" s="34">
        <v>35098</v>
      </c>
      <c r="K64" s="34" t="s">
        <v>120</v>
      </c>
      <c r="L64" s="39">
        <v>45890</v>
      </c>
      <c r="M64" s="40" t="s">
        <v>121</v>
      </c>
      <c r="N64" s="39" t="s">
        <v>122</v>
      </c>
      <c r="O64" s="39">
        <v>45881</v>
      </c>
      <c r="P64" s="39">
        <v>45907</v>
      </c>
      <c r="Q64" s="39">
        <v>45892</v>
      </c>
      <c r="R64" s="39">
        <v>46025</v>
      </c>
      <c r="S64" s="41"/>
      <c r="T64" s="41"/>
      <c r="U64" s="41"/>
      <c r="V64" s="41"/>
      <c r="W64" s="41"/>
      <c r="X64" s="41"/>
      <c r="Y64" s="41"/>
      <c r="Z64" s="41"/>
      <c r="AA64" s="43"/>
      <c r="AB64" s="41"/>
      <c r="AC64" s="41"/>
      <c r="AD64" s="44" t="s">
        <v>184</v>
      </c>
      <c r="AE64" s="45">
        <f t="shared" si="49"/>
        <v>0</v>
      </c>
      <c r="AF64" s="36">
        <v>7</v>
      </c>
      <c r="AG64" s="46">
        <f t="shared" si="50"/>
        <v>0</v>
      </c>
      <c r="AH64" s="47">
        <v>200</v>
      </c>
      <c r="AI64" s="48">
        <f t="shared" si="51"/>
        <v>0</v>
      </c>
      <c r="AJ64" s="45">
        <f t="shared" si="52"/>
        <v>0</v>
      </c>
      <c r="AK64" s="36">
        <v>2</v>
      </c>
      <c r="AL64" s="46">
        <f t="shared" si="53"/>
        <v>0</v>
      </c>
      <c r="AM64" s="47">
        <v>200</v>
      </c>
      <c r="AN64" s="48">
        <f t="shared" si="54"/>
        <v>0</v>
      </c>
      <c r="AO64" s="47"/>
      <c r="AP64" s="49">
        <f t="shared" si="55"/>
        <v>0</v>
      </c>
    </row>
    <row r="65" spans="1:42" s="1" customFormat="1" ht="15" customHeight="1">
      <c r="A65" s="33">
        <f t="shared" si="48"/>
        <v>62</v>
      </c>
      <c r="B65" s="34" t="s">
        <v>114</v>
      </c>
      <c r="C65" s="64" t="s">
        <v>191</v>
      </c>
      <c r="D65" s="34" t="s">
        <v>192</v>
      </c>
      <c r="E65" s="34" t="s">
        <v>193</v>
      </c>
      <c r="F65" s="121" t="s">
        <v>118</v>
      </c>
      <c r="G65" s="37" t="s">
        <v>119</v>
      </c>
      <c r="H65" s="37">
        <v>29</v>
      </c>
      <c r="I65" s="34">
        <v>36250</v>
      </c>
      <c r="J65" s="34">
        <v>36352</v>
      </c>
      <c r="K65" s="34" t="s">
        <v>120</v>
      </c>
      <c r="L65" s="39">
        <v>45890</v>
      </c>
      <c r="M65" s="40" t="s">
        <v>121</v>
      </c>
      <c r="N65" s="39" t="s">
        <v>122</v>
      </c>
      <c r="O65" s="39">
        <v>45881</v>
      </c>
      <c r="P65" s="39">
        <v>45907</v>
      </c>
      <c r="Q65" s="39">
        <v>45892</v>
      </c>
      <c r="R65" s="39">
        <v>46025</v>
      </c>
      <c r="S65" s="41"/>
      <c r="T65" s="41"/>
      <c r="U65" s="41"/>
      <c r="V65" s="41"/>
      <c r="W65" s="41"/>
      <c r="X65" s="41"/>
      <c r="Y65" s="41"/>
      <c r="Z65" s="41"/>
      <c r="AA65" s="43"/>
      <c r="AB65" s="41"/>
      <c r="AC65" s="41"/>
      <c r="AD65" s="44" t="s">
        <v>184</v>
      </c>
      <c r="AE65" s="50">
        <f t="shared" si="49"/>
        <v>0</v>
      </c>
      <c r="AF65" s="36">
        <v>7</v>
      </c>
      <c r="AG65" s="51">
        <f t="shared" si="50"/>
        <v>0</v>
      </c>
      <c r="AH65" s="52">
        <v>200</v>
      </c>
      <c r="AI65" s="53">
        <f t="shared" si="51"/>
        <v>0</v>
      </c>
      <c r="AJ65" s="54">
        <f t="shared" si="52"/>
        <v>0</v>
      </c>
      <c r="AK65" s="36">
        <v>2</v>
      </c>
      <c r="AL65" s="51">
        <f t="shared" si="53"/>
        <v>0</v>
      </c>
      <c r="AM65" s="52">
        <v>200</v>
      </c>
      <c r="AN65" s="53">
        <f t="shared" si="54"/>
        <v>0</v>
      </c>
      <c r="AO65" s="52"/>
      <c r="AP65" s="55">
        <f t="shared" si="55"/>
        <v>0</v>
      </c>
    </row>
    <row r="66" spans="1:42" s="1" customFormat="1" ht="15" customHeight="1">
      <c r="A66" s="33">
        <f t="shared" si="48"/>
        <v>63</v>
      </c>
      <c r="B66" s="34" t="s">
        <v>114</v>
      </c>
      <c r="C66" s="35" t="s">
        <v>194</v>
      </c>
      <c r="D66" s="35" t="s">
        <v>195</v>
      </c>
      <c r="E66" s="39" t="s">
        <v>196</v>
      </c>
      <c r="F66" s="121" t="s">
        <v>118</v>
      </c>
      <c r="G66" s="37" t="s">
        <v>119</v>
      </c>
      <c r="H66" s="37">
        <v>28</v>
      </c>
      <c r="I66" s="34">
        <v>35000</v>
      </c>
      <c r="J66" s="34">
        <v>35098</v>
      </c>
      <c r="K66" s="34" t="s">
        <v>120</v>
      </c>
      <c r="L66" s="39">
        <v>45890</v>
      </c>
      <c r="M66" s="40" t="s">
        <v>121</v>
      </c>
      <c r="N66" s="39" t="s">
        <v>122</v>
      </c>
      <c r="O66" s="39">
        <v>45881</v>
      </c>
      <c r="P66" s="39">
        <v>45907</v>
      </c>
      <c r="Q66" s="39">
        <v>45892</v>
      </c>
      <c r="R66" s="39">
        <v>46025</v>
      </c>
      <c r="S66" s="41"/>
      <c r="T66" s="41"/>
      <c r="U66" s="41"/>
      <c r="V66" s="41"/>
      <c r="W66" s="41"/>
      <c r="X66" s="41"/>
      <c r="Y66" s="41"/>
      <c r="Z66" s="41"/>
      <c r="AA66" s="43"/>
      <c r="AB66" s="41"/>
      <c r="AC66" s="41"/>
      <c r="AD66" s="44" t="s">
        <v>184</v>
      </c>
      <c r="AE66" s="45">
        <f t="shared" si="49"/>
        <v>0</v>
      </c>
      <c r="AF66" s="36">
        <v>7</v>
      </c>
      <c r="AG66" s="46">
        <f t="shared" si="50"/>
        <v>0</v>
      </c>
      <c r="AH66" s="47">
        <v>200</v>
      </c>
      <c r="AI66" s="48">
        <f t="shared" si="51"/>
        <v>0</v>
      </c>
      <c r="AJ66" s="45">
        <f t="shared" si="52"/>
        <v>0</v>
      </c>
      <c r="AK66" s="36">
        <v>2</v>
      </c>
      <c r="AL66" s="46">
        <f t="shared" si="53"/>
        <v>0</v>
      </c>
      <c r="AM66" s="47">
        <v>200</v>
      </c>
      <c r="AN66" s="48">
        <f t="shared" si="54"/>
        <v>0</v>
      </c>
      <c r="AO66" s="47"/>
      <c r="AP66" s="49">
        <f t="shared" si="55"/>
        <v>0</v>
      </c>
    </row>
    <row r="67" spans="1:42" s="1" customFormat="1" ht="15" customHeight="1">
      <c r="A67" s="33">
        <f t="shared" si="48"/>
        <v>64</v>
      </c>
      <c r="B67" s="34" t="s">
        <v>114</v>
      </c>
      <c r="C67" s="35" t="s">
        <v>197</v>
      </c>
      <c r="D67" s="35" t="s">
        <v>198</v>
      </c>
      <c r="E67" s="64" t="s">
        <v>199</v>
      </c>
      <c r="F67" s="121" t="s">
        <v>118</v>
      </c>
      <c r="G67" s="37" t="s">
        <v>119</v>
      </c>
      <c r="H67" s="37">
        <v>28</v>
      </c>
      <c r="I67" s="34">
        <v>35000</v>
      </c>
      <c r="J67" s="34">
        <v>35098</v>
      </c>
      <c r="K67" s="34" t="s">
        <v>120</v>
      </c>
      <c r="L67" s="39">
        <v>45890</v>
      </c>
      <c r="M67" s="40" t="s">
        <v>121</v>
      </c>
      <c r="N67" s="39" t="s">
        <v>122</v>
      </c>
      <c r="O67" s="39">
        <v>45881</v>
      </c>
      <c r="P67" s="39">
        <v>45907</v>
      </c>
      <c r="Q67" s="39">
        <v>45892</v>
      </c>
      <c r="R67" s="39">
        <v>46025</v>
      </c>
      <c r="S67" s="41"/>
      <c r="T67" s="41"/>
      <c r="U67" s="41"/>
      <c r="V67" s="41"/>
      <c r="W67" s="41"/>
      <c r="X67" s="41"/>
      <c r="Y67" s="41"/>
      <c r="Z67" s="41"/>
      <c r="AA67" s="43"/>
      <c r="AB67" s="41"/>
      <c r="AC67" s="41"/>
      <c r="AD67" s="44" t="s">
        <v>184</v>
      </c>
      <c r="AE67" s="50">
        <f t="shared" si="49"/>
        <v>0</v>
      </c>
      <c r="AF67" s="36">
        <v>7</v>
      </c>
      <c r="AG67" s="51">
        <f t="shared" si="50"/>
        <v>0</v>
      </c>
      <c r="AH67" s="52">
        <v>200</v>
      </c>
      <c r="AI67" s="53">
        <f t="shared" si="51"/>
        <v>0</v>
      </c>
      <c r="AJ67" s="54">
        <f t="shared" si="52"/>
        <v>0</v>
      </c>
      <c r="AK67" s="36">
        <v>2</v>
      </c>
      <c r="AL67" s="51">
        <f t="shared" si="53"/>
        <v>0</v>
      </c>
      <c r="AM67" s="52">
        <v>200</v>
      </c>
      <c r="AN67" s="53">
        <f t="shared" si="54"/>
        <v>0</v>
      </c>
      <c r="AO67" s="52"/>
      <c r="AP67" s="55">
        <f t="shared" si="55"/>
        <v>0</v>
      </c>
    </row>
    <row r="68" spans="1:42" s="1" customFormat="1" ht="15" customHeight="1">
      <c r="A68" s="33">
        <f t="shared" si="48"/>
        <v>65</v>
      </c>
      <c r="B68" s="34" t="s">
        <v>114</v>
      </c>
      <c r="C68" s="35" t="s">
        <v>200</v>
      </c>
      <c r="D68" s="35" t="s">
        <v>201</v>
      </c>
      <c r="E68" s="33" t="s">
        <v>202</v>
      </c>
      <c r="F68" s="121" t="s">
        <v>118</v>
      </c>
      <c r="G68" s="37" t="s">
        <v>119</v>
      </c>
      <c r="H68" s="37">
        <v>29</v>
      </c>
      <c r="I68" s="34">
        <v>36250</v>
      </c>
      <c r="J68" s="34">
        <v>36352</v>
      </c>
      <c r="K68" s="34" t="s">
        <v>120</v>
      </c>
      <c r="L68" s="39">
        <v>45890</v>
      </c>
      <c r="M68" s="40" t="s">
        <v>121</v>
      </c>
      <c r="N68" s="39" t="s">
        <v>122</v>
      </c>
      <c r="O68" s="39">
        <v>45881</v>
      </c>
      <c r="P68" s="39">
        <v>45907</v>
      </c>
      <c r="Q68" s="39">
        <v>45892</v>
      </c>
      <c r="R68" s="39">
        <v>46025</v>
      </c>
      <c r="S68" s="41"/>
      <c r="T68" s="41"/>
      <c r="U68" s="41"/>
      <c r="V68" s="41"/>
      <c r="W68" s="41"/>
      <c r="X68" s="41"/>
      <c r="Y68" s="41"/>
      <c r="Z68" s="41"/>
      <c r="AA68" s="43"/>
      <c r="AB68" s="41"/>
      <c r="AC68" s="41"/>
      <c r="AD68" s="44" t="s">
        <v>184</v>
      </c>
      <c r="AE68" s="45">
        <f t="shared" si="49"/>
        <v>0</v>
      </c>
      <c r="AF68" s="36">
        <v>7</v>
      </c>
      <c r="AG68" s="46">
        <f t="shared" si="50"/>
        <v>0</v>
      </c>
      <c r="AH68" s="47">
        <v>200</v>
      </c>
      <c r="AI68" s="48">
        <f t="shared" si="51"/>
        <v>0</v>
      </c>
      <c r="AJ68" s="45">
        <f t="shared" si="52"/>
        <v>0</v>
      </c>
      <c r="AK68" s="36">
        <v>2</v>
      </c>
      <c r="AL68" s="46">
        <f t="shared" si="53"/>
        <v>0</v>
      </c>
      <c r="AM68" s="47">
        <v>200</v>
      </c>
      <c r="AN68" s="48">
        <f t="shared" si="54"/>
        <v>0</v>
      </c>
      <c r="AO68" s="47"/>
      <c r="AP68" s="49">
        <f t="shared" si="55"/>
        <v>0</v>
      </c>
    </row>
    <row r="69" spans="1:42" s="1" customFormat="1" ht="15" customHeight="1">
      <c r="A69" s="33">
        <f t="shared" si="48"/>
        <v>66</v>
      </c>
      <c r="B69" s="34" t="s">
        <v>114</v>
      </c>
      <c r="C69" s="35" t="s">
        <v>203</v>
      </c>
      <c r="D69" s="35" t="s">
        <v>204</v>
      </c>
      <c r="E69" s="33" t="s">
        <v>205</v>
      </c>
      <c r="F69" s="121" t="s">
        <v>118</v>
      </c>
      <c r="G69" s="37" t="s">
        <v>119</v>
      </c>
      <c r="H69" s="37">
        <v>29</v>
      </c>
      <c r="I69" s="34">
        <v>36250</v>
      </c>
      <c r="J69" s="34">
        <v>36352</v>
      </c>
      <c r="K69" s="34" t="s">
        <v>120</v>
      </c>
      <c r="L69" s="39">
        <v>45890</v>
      </c>
      <c r="M69" s="40" t="s">
        <v>121</v>
      </c>
      <c r="N69" s="39" t="s">
        <v>122</v>
      </c>
      <c r="O69" s="39">
        <v>45881</v>
      </c>
      <c r="P69" s="39">
        <v>45907</v>
      </c>
      <c r="Q69" s="39">
        <v>45892</v>
      </c>
      <c r="R69" s="39">
        <v>46025</v>
      </c>
      <c r="S69" s="41"/>
      <c r="T69" s="41"/>
      <c r="U69" s="41"/>
      <c r="V69" s="41"/>
      <c r="W69" s="41"/>
      <c r="X69" s="41"/>
      <c r="Y69" s="41"/>
      <c r="Z69" s="41"/>
      <c r="AA69" s="43"/>
      <c r="AB69" s="41"/>
      <c r="AC69" s="41"/>
      <c r="AD69" s="44" t="s">
        <v>184</v>
      </c>
      <c r="AE69" s="50">
        <f t="shared" si="49"/>
        <v>0</v>
      </c>
      <c r="AF69" s="36">
        <v>7</v>
      </c>
      <c r="AG69" s="51">
        <f t="shared" si="50"/>
        <v>0</v>
      </c>
      <c r="AH69" s="52">
        <v>200</v>
      </c>
      <c r="AI69" s="53">
        <f t="shared" si="51"/>
        <v>0</v>
      </c>
      <c r="AJ69" s="54">
        <f t="shared" si="52"/>
        <v>0</v>
      </c>
      <c r="AK69" s="36">
        <v>2</v>
      </c>
      <c r="AL69" s="51">
        <f t="shared" si="53"/>
        <v>0</v>
      </c>
      <c r="AM69" s="52">
        <v>200</v>
      </c>
      <c r="AN69" s="53">
        <f t="shared" si="54"/>
        <v>0</v>
      </c>
      <c r="AO69" s="52"/>
      <c r="AP69" s="55">
        <f t="shared" si="55"/>
        <v>0</v>
      </c>
    </row>
    <row r="70" spans="1:42" s="1" customFormat="1" ht="15" customHeight="1">
      <c r="A70" s="33">
        <f t="shared" si="48"/>
        <v>67</v>
      </c>
      <c r="B70" s="34" t="s">
        <v>114</v>
      </c>
      <c r="C70" s="35" t="s">
        <v>206</v>
      </c>
      <c r="D70" s="35" t="s">
        <v>207</v>
      </c>
      <c r="E70" s="33" t="s">
        <v>208</v>
      </c>
      <c r="F70" s="121" t="s">
        <v>118</v>
      </c>
      <c r="G70" s="37" t="s">
        <v>119</v>
      </c>
      <c r="H70" s="37">
        <v>28</v>
      </c>
      <c r="I70" s="34">
        <v>35000</v>
      </c>
      <c r="J70" s="34">
        <v>35098</v>
      </c>
      <c r="K70" s="34" t="s">
        <v>120</v>
      </c>
      <c r="L70" s="39">
        <v>45890</v>
      </c>
      <c r="M70" s="40" t="s">
        <v>121</v>
      </c>
      <c r="N70" s="39" t="s">
        <v>122</v>
      </c>
      <c r="O70" s="39">
        <v>45881</v>
      </c>
      <c r="P70" s="39">
        <v>45907</v>
      </c>
      <c r="Q70" s="39">
        <v>45892</v>
      </c>
      <c r="R70" s="39">
        <v>46025</v>
      </c>
      <c r="S70" s="41"/>
      <c r="T70" s="41"/>
      <c r="U70" s="41"/>
      <c r="V70" s="41"/>
      <c r="W70" s="41"/>
      <c r="X70" s="41"/>
      <c r="Y70" s="41"/>
      <c r="Z70" s="41"/>
      <c r="AA70" s="43"/>
      <c r="AB70" s="41"/>
      <c r="AC70" s="41"/>
      <c r="AD70" s="44" t="s">
        <v>184</v>
      </c>
      <c r="AE70" s="45">
        <f t="shared" si="49"/>
        <v>0</v>
      </c>
      <c r="AF70" s="36">
        <v>7</v>
      </c>
      <c r="AG70" s="46">
        <f t="shared" si="50"/>
        <v>0</v>
      </c>
      <c r="AH70" s="47">
        <v>200</v>
      </c>
      <c r="AI70" s="48">
        <f t="shared" si="51"/>
        <v>0</v>
      </c>
      <c r="AJ70" s="45">
        <f t="shared" si="52"/>
        <v>0</v>
      </c>
      <c r="AK70" s="36">
        <v>2</v>
      </c>
      <c r="AL70" s="46">
        <f t="shared" si="53"/>
        <v>0</v>
      </c>
      <c r="AM70" s="47">
        <v>200</v>
      </c>
      <c r="AN70" s="48">
        <f t="shared" si="54"/>
        <v>0</v>
      </c>
      <c r="AO70" s="47"/>
      <c r="AP70" s="49">
        <f t="shared" si="55"/>
        <v>0</v>
      </c>
    </row>
    <row r="71" spans="1:42" s="1" customFormat="1" ht="15" customHeight="1">
      <c r="A71" s="33">
        <f t="shared" si="48"/>
        <v>68</v>
      </c>
      <c r="B71" s="34" t="s">
        <v>114</v>
      </c>
      <c r="C71" s="35" t="s">
        <v>209</v>
      </c>
      <c r="D71" s="35" t="s">
        <v>210</v>
      </c>
      <c r="E71" s="34" t="s">
        <v>211</v>
      </c>
      <c r="F71" s="121" t="s">
        <v>118</v>
      </c>
      <c r="G71" s="37" t="s">
        <v>119</v>
      </c>
      <c r="H71" s="37">
        <v>28</v>
      </c>
      <c r="I71" s="34">
        <v>35000</v>
      </c>
      <c r="J71" s="34">
        <v>35098</v>
      </c>
      <c r="K71" s="34" t="s">
        <v>120</v>
      </c>
      <c r="L71" s="39">
        <v>45890</v>
      </c>
      <c r="M71" s="40" t="s">
        <v>121</v>
      </c>
      <c r="N71" s="39" t="s">
        <v>122</v>
      </c>
      <c r="O71" s="39">
        <v>45881</v>
      </c>
      <c r="P71" s="39">
        <v>45907</v>
      </c>
      <c r="Q71" s="39">
        <v>45892</v>
      </c>
      <c r="R71" s="39">
        <v>46025</v>
      </c>
      <c r="S71" s="41"/>
      <c r="T71" s="41"/>
      <c r="U71" s="41"/>
      <c r="V71" s="41"/>
      <c r="W71" s="41"/>
      <c r="X71" s="41"/>
      <c r="Y71" s="41"/>
      <c r="Z71" s="41"/>
      <c r="AA71" s="43"/>
      <c r="AB71" s="41"/>
      <c r="AC71" s="41"/>
      <c r="AD71" s="44" t="s">
        <v>184</v>
      </c>
      <c r="AE71" s="50">
        <f t="shared" si="49"/>
        <v>0</v>
      </c>
      <c r="AF71" s="36">
        <v>7</v>
      </c>
      <c r="AG71" s="51">
        <f t="shared" si="50"/>
        <v>0</v>
      </c>
      <c r="AH71" s="52">
        <v>200</v>
      </c>
      <c r="AI71" s="53">
        <f t="shared" si="51"/>
        <v>0</v>
      </c>
      <c r="AJ71" s="54">
        <f t="shared" si="52"/>
        <v>0</v>
      </c>
      <c r="AK71" s="36">
        <v>2</v>
      </c>
      <c r="AL71" s="51">
        <f t="shared" si="53"/>
        <v>0</v>
      </c>
      <c r="AM71" s="52">
        <v>200</v>
      </c>
      <c r="AN71" s="53">
        <f t="shared" si="54"/>
        <v>0</v>
      </c>
      <c r="AO71" s="52"/>
      <c r="AP71" s="55">
        <f t="shared" si="55"/>
        <v>0</v>
      </c>
    </row>
    <row r="72" spans="1:42" s="1" customFormat="1" ht="15" customHeight="1">
      <c r="A72" s="33">
        <f t="shared" ref="A72:A81" si="56">ROW()-3</f>
        <v>69</v>
      </c>
      <c r="B72" s="34" t="s">
        <v>114</v>
      </c>
      <c r="C72" s="67" t="s">
        <v>212</v>
      </c>
      <c r="D72" s="67" t="s">
        <v>213</v>
      </c>
      <c r="E72" s="70" t="s">
        <v>214</v>
      </c>
      <c r="F72" s="34" t="s">
        <v>215</v>
      </c>
      <c r="G72" s="37" t="s">
        <v>119</v>
      </c>
      <c r="H72" s="37">
        <v>28</v>
      </c>
      <c r="I72" s="70">
        <v>35000</v>
      </c>
      <c r="J72" s="70">
        <v>35098</v>
      </c>
      <c r="K72" s="34" t="s">
        <v>120</v>
      </c>
      <c r="L72" s="39">
        <v>45890</v>
      </c>
      <c r="M72" s="40" t="s">
        <v>121</v>
      </c>
      <c r="N72" s="39" t="s">
        <v>122</v>
      </c>
      <c r="O72" s="39">
        <v>45881</v>
      </c>
      <c r="P72" s="39">
        <v>45907</v>
      </c>
      <c r="Q72" s="39">
        <v>45892</v>
      </c>
      <c r="R72" s="39">
        <v>46022</v>
      </c>
      <c r="S72" s="39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4" t="s">
        <v>123</v>
      </c>
      <c r="AE72" s="45">
        <f t="shared" ref="AE72:AE81" si="57">MAX(0,Y72-X72)</f>
        <v>0</v>
      </c>
      <c r="AF72" s="36">
        <v>7</v>
      </c>
      <c r="AG72" s="46">
        <f t="shared" ref="AG72:AG81" si="58">MAX(0,AE72-AF72)</f>
        <v>0</v>
      </c>
      <c r="AH72" s="47">
        <v>200</v>
      </c>
      <c r="AI72" s="48">
        <f t="shared" ref="AI72:AI81" si="59">MAX(0,AG72*AH72)</f>
        <v>0</v>
      </c>
      <c r="AJ72" s="45">
        <f t="shared" ref="AJ72:AJ81" si="60">MAX(0,AC72-AB72)</f>
        <v>0</v>
      </c>
      <c r="AK72" s="36">
        <v>2</v>
      </c>
      <c r="AL72" s="46">
        <f t="shared" ref="AL72:AL81" si="61">MAX(0,AJ72-AK72)</f>
        <v>0</v>
      </c>
      <c r="AM72" s="47">
        <v>200</v>
      </c>
      <c r="AN72" s="48">
        <f t="shared" ref="AN72:AN81" si="62">MAX(0,AL72*AM72)</f>
        <v>0</v>
      </c>
      <c r="AO72" s="47"/>
      <c r="AP72" s="49">
        <f t="shared" ref="AP72:AP81" si="63">AO72+AN72+AI72</f>
        <v>0</v>
      </c>
    </row>
    <row r="73" spans="1:42" s="1" customFormat="1" ht="15" customHeight="1">
      <c r="A73" s="33">
        <f t="shared" si="56"/>
        <v>70</v>
      </c>
      <c r="B73" s="34" t="s">
        <v>114</v>
      </c>
      <c r="C73" s="67" t="s">
        <v>216</v>
      </c>
      <c r="D73" s="67" t="s">
        <v>217</v>
      </c>
      <c r="E73" s="73" t="s">
        <v>218</v>
      </c>
      <c r="F73" s="34" t="s">
        <v>215</v>
      </c>
      <c r="G73" s="37" t="s">
        <v>119</v>
      </c>
      <c r="H73" s="37">
        <v>27</v>
      </c>
      <c r="I73" s="70">
        <v>33750</v>
      </c>
      <c r="J73" s="70">
        <v>33845</v>
      </c>
      <c r="K73" s="34" t="s">
        <v>120</v>
      </c>
      <c r="L73" s="39">
        <v>45890</v>
      </c>
      <c r="M73" s="40" t="s">
        <v>121</v>
      </c>
      <c r="N73" s="39" t="s">
        <v>122</v>
      </c>
      <c r="O73" s="39">
        <v>45881</v>
      </c>
      <c r="P73" s="39">
        <v>45907</v>
      </c>
      <c r="Q73" s="39">
        <v>45892</v>
      </c>
      <c r="R73" s="39">
        <v>46022</v>
      </c>
      <c r="S73" s="39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4" t="s">
        <v>123</v>
      </c>
      <c r="AE73" s="50">
        <f t="shared" si="57"/>
        <v>0</v>
      </c>
      <c r="AF73" s="36">
        <v>7</v>
      </c>
      <c r="AG73" s="51">
        <f t="shared" si="58"/>
        <v>0</v>
      </c>
      <c r="AH73" s="52">
        <v>200</v>
      </c>
      <c r="AI73" s="53">
        <f t="shared" si="59"/>
        <v>0</v>
      </c>
      <c r="AJ73" s="54">
        <f t="shared" si="60"/>
        <v>0</v>
      </c>
      <c r="AK73" s="36">
        <v>2</v>
      </c>
      <c r="AL73" s="51">
        <f t="shared" si="61"/>
        <v>0</v>
      </c>
      <c r="AM73" s="52">
        <v>200</v>
      </c>
      <c r="AN73" s="53">
        <f t="shared" si="62"/>
        <v>0</v>
      </c>
      <c r="AO73" s="52"/>
      <c r="AP73" s="55">
        <f t="shared" si="63"/>
        <v>0</v>
      </c>
    </row>
    <row r="74" spans="1:42" s="1" customFormat="1" ht="15" customHeight="1">
      <c r="A74" s="33">
        <f t="shared" si="56"/>
        <v>71</v>
      </c>
      <c r="B74" s="34" t="s">
        <v>114</v>
      </c>
      <c r="C74" s="69" t="s">
        <v>219</v>
      </c>
      <c r="D74" s="70" t="s">
        <v>220</v>
      </c>
      <c r="E74" s="70" t="s">
        <v>221</v>
      </c>
      <c r="F74" s="34" t="s">
        <v>215</v>
      </c>
      <c r="G74" s="37" t="s">
        <v>119</v>
      </c>
      <c r="H74" s="37">
        <v>29</v>
      </c>
      <c r="I74" s="70">
        <v>36250</v>
      </c>
      <c r="J74" s="70">
        <v>36352</v>
      </c>
      <c r="K74" s="34" t="s">
        <v>120</v>
      </c>
      <c r="L74" s="39">
        <v>45890</v>
      </c>
      <c r="M74" s="40" t="s">
        <v>121</v>
      </c>
      <c r="N74" s="39" t="s">
        <v>122</v>
      </c>
      <c r="O74" s="39">
        <v>45881</v>
      </c>
      <c r="P74" s="39">
        <v>45907</v>
      </c>
      <c r="Q74" s="39">
        <v>45892</v>
      </c>
      <c r="R74" s="39">
        <v>46022</v>
      </c>
      <c r="S74" s="39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4" t="s">
        <v>123</v>
      </c>
      <c r="AE74" s="45">
        <f t="shared" si="57"/>
        <v>0</v>
      </c>
      <c r="AF74" s="36">
        <v>7</v>
      </c>
      <c r="AG74" s="46">
        <f t="shared" si="58"/>
        <v>0</v>
      </c>
      <c r="AH74" s="47">
        <v>200</v>
      </c>
      <c r="AI74" s="48">
        <f t="shared" si="59"/>
        <v>0</v>
      </c>
      <c r="AJ74" s="45">
        <f t="shared" si="60"/>
        <v>0</v>
      </c>
      <c r="AK74" s="36">
        <v>2</v>
      </c>
      <c r="AL74" s="46">
        <f t="shared" si="61"/>
        <v>0</v>
      </c>
      <c r="AM74" s="47">
        <v>200</v>
      </c>
      <c r="AN74" s="48">
        <f t="shared" si="62"/>
        <v>0</v>
      </c>
      <c r="AO74" s="47"/>
      <c r="AP74" s="49">
        <f t="shared" si="63"/>
        <v>0</v>
      </c>
    </row>
    <row r="75" spans="1:42" s="1" customFormat="1" ht="15" customHeight="1">
      <c r="A75" s="33">
        <f t="shared" si="56"/>
        <v>72</v>
      </c>
      <c r="B75" s="34" t="s">
        <v>114</v>
      </c>
      <c r="C75" s="67" t="s">
        <v>222</v>
      </c>
      <c r="D75" s="67" t="s">
        <v>223</v>
      </c>
      <c r="E75" s="73" t="s">
        <v>224</v>
      </c>
      <c r="F75" s="34" t="s">
        <v>215</v>
      </c>
      <c r="G75" s="37" t="s">
        <v>119</v>
      </c>
      <c r="H75" s="37">
        <v>28</v>
      </c>
      <c r="I75" s="70">
        <v>35000</v>
      </c>
      <c r="J75" s="70">
        <v>35098</v>
      </c>
      <c r="K75" s="34" t="s">
        <v>120</v>
      </c>
      <c r="L75" s="39">
        <v>45890</v>
      </c>
      <c r="M75" s="40" t="s">
        <v>121</v>
      </c>
      <c r="N75" s="39" t="s">
        <v>122</v>
      </c>
      <c r="O75" s="39">
        <v>45881</v>
      </c>
      <c r="P75" s="39">
        <v>45907</v>
      </c>
      <c r="Q75" s="39">
        <v>45892</v>
      </c>
      <c r="R75" s="39">
        <v>46022</v>
      </c>
      <c r="S75" s="39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4" t="s">
        <v>123</v>
      </c>
      <c r="AE75" s="50">
        <f t="shared" si="57"/>
        <v>0</v>
      </c>
      <c r="AF75" s="36">
        <v>7</v>
      </c>
      <c r="AG75" s="51">
        <f t="shared" si="58"/>
        <v>0</v>
      </c>
      <c r="AH75" s="52">
        <v>200</v>
      </c>
      <c r="AI75" s="53">
        <f t="shared" si="59"/>
        <v>0</v>
      </c>
      <c r="AJ75" s="54">
        <f t="shared" si="60"/>
        <v>0</v>
      </c>
      <c r="AK75" s="36">
        <v>2</v>
      </c>
      <c r="AL75" s="51">
        <f t="shared" si="61"/>
        <v>0</v>
      </c>
      <c r="AM75" s="52">
        <v>200</v>
      </c>
      <c r="AN75" s="53">
        <f t="shared" si="62"/>
        <v>0</v>
      </c>
      <c r="AO75" s="52"/>
      <c r="AP75" s="55">
        <f t="shared" si="63"/>
        <v>0</v>
      </c>
    </row>
    <row r="76" spans="1:42" ht="15" customHeight="1">
      <c r="A76" s="33">
        <f t="shared" si="56"/>
        <v>73</v>
      </c>
      <c r="B76" s="34" t="s">
        <v>114</v>
      </c>
      <c r="C76" s="67" t="s">
        <v>225</v>
      </c>
      <c r="D76" s="67" t="s">
        <v>226</v>
      </c>
      <c r="E76" s="70" t="s">
        <v>227</v>
      </c>
      <c r="F76" s="34" t="s">
        <v>215</v>
      </c>
      <c r="G76" s="37" t="s">
        <v>119</v>
      </c>
      <c r="H76" s="37">
        <v>28</v>
      </c>
      <c r="I76" s="70">
        <v>35000</v>
      </c>
      <c r="J76" s="70">
        <v>35098</v>
      </c>
      <c r="K76" s="34" t="s">
        <v>120</v>
      </c>
      <c r="L76" s="39">
        <v>45890</v>
      </c>
      <c r="M76" s="40" t="s">
        <v>121</v>
      </c>
      <c r="N76" s="39" t="s">
        <v>122</v>
      </c>
      <c r="O76" s="39">
        <v>45881</v>
      </c>
      <c r="P76" s="39">
        <v>45907</v>
      </c>
      <c r="Q76" s="39">
        <v>45892</v>
      </c>
      <c r="R76" s="39">
        <v>46022</v>
      </c>
      <c r="S76" s="39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44" t="s">
        <v>123</v>
      </c>
      <c r="AE76" s="45">
        <f t="shared" si="57"/>
        <v>0</v>
      </c>
      <c r="AF76" s="36">
        <v>7</v>
      </c>
      <c r="AG76" s="46">
        <f t="shared" si="58"/>
        <v>0</v>
      </c>
      <c r="AH76" s="47">
        <v>200</v>
      </c>
      <c r="AI76" s="48">
        <f t="shared" si="59"/>
        <v>0</v>
      </c>
      <c r="AJ76" s="45">
        <f t="shared" si="60"/>
        <v>0</v>
      </c>
      <c r="AK76" s="36">
        <v>2</v>
      </c>
      <c r="AL76" s="46">
        <f t="shared" si="61"/>
        <v>0</v>
      </c>
      <c r="AM76" s="47">
        <v>200</v>
      </c>
      <c r="AN76" s="48">
        <f t="shared" si="62"/>
        <v>0</v>
      </c>
      <c r="AO76" s="47"/>
      <c r="AP76" s="49">
        <f t="shared" si="63"/>
        <v>0</v>
      </c>
    </row>
    <row r="77" spans="1:42" ht="15" customHeight="1">
      <c r="A77" s="33">
        <f t="shared" si="56"/>
        <v>74</v>
      </c>
      <c r="B77" s="34" t="s">
        <v>114</v>
      </c>
      <c r="C77" s="67" t="s">
        <v>228</v>
      </c>
      <c r="D77" s="67" t="s">
        <v>229</v>
      </c>
      <c r="E77" s="70" t="s">
        <v>230</v>
      </c>
      <c r="F77" s="34" t="s">
        <v>215</v>
      </c>
      <c r="G77" s="37" t="s">
        <v>119</v>
      </c>
      <c r="H77" s="37">
        <v>29</v>
      </c>
      <c r="I77" s="70">
        <v>36250</v>
      </c>
      <c r="J77" s="70">
        <v>36352</v>
      </c>
      <c r="K77" s="34" t="s">
        <v>120</v>
      </c>
      <c r="L77" s="39">
        <v>45890</v>
      </c>
      <c r="M77" s="40" t="s">
        <v>121</v>
      </c>
      <c r="N77" s="39" t="s">
        <v>122</v>
      </c>
      <c r="O77" s="39">
        <v>45881</v>
      </c>
      <c r="P77" s="39">
        <v>45907</v>
      </c>
      <c r="Q77" s="39">
        <v>45892</v>
      </c>
      <c r="R77" s="39">
        <v>46022</v>
      </c>
      <c r="S77" s="39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44" t="s">
        <v>123</v>
      </c>
      <c r="AE77" s="50">
        <f t="shared" si="57"/>
        <v>0</v>
      </c>
      <c r="AF77" s="36">
        <v>7</v>
      </c>
      <c r="AG77" s="51">
        <f t="shared" si="58"/>
        <v>0</v>
      </c>
      <c r="AH77" s="52">
        <v>200</v>
      </c>
      <c r="AI77" s="53">
        <f t="shared" si="59"/>
        <v>0</v>
      </c>
      <c r="AJ77" s="54">
        <f t="shared" si="60"/>
        <v>0</v>
      </c>
      <c r="AK77" s="36">
        <v>2</v>
      </c>
      <c r="AL77" s="51">
        <f t="shared" si="61"/>
        <v>0</v>
      </c>
      <c r="AM77" s="52">
        <v>200</v>
      </c>
      <c r="AN77" s="53">
        <f t="shared" si="62"/>
        <v>0</v>
      </c>
      <c r="AO77" s="52"/>
      <c r="AP77" s="55">
        <f t="shared" si="63"/>
        <v>0</v>
      </c>
    </row>
    <row r="78" spans="1:42" ht="15" customHeight="1">
      <c r="A78" s="33">
        <f t="shared" si="56"/>
        <v>75</v>
      </c>
      <c r="B78" s="34" t="s">
        <v>114</v>
      </c>
      <c r="C78" s="67" t="s">
        <v>231</v>
      </c>
      <c r="D78" s="67" t="s">
        <v>232</v>
      </c>
      <c r="E78" s="70" t="s">
        <v>233</v>
      </c>
      <c r="F78" s="34" t="s">
        <v>215</v>
      </c>
      <c r="G78" s="37" t="s">
        <v>119</v>
      </c>
      <c r="H78" s="37">
        <v>28</v>
      </c>
      <c r="I78" s="70">
        <v>35000</v>
      </c>
      <c r="J78" s="70">
        <v>35098</v>
      </c>
      <c r="K78" s="34" t="s">
        <v>120</v>
      </c>
      <c r="L78" s="39">
        <v>45890</v>
      </c>
      <c r="M78" s="40" t="s">
        <v>121</v>
      </c>
      <c r="N78" s="39" t="s">
        <v>122</v>
      </c>
      <c r="O78" s="39">
        <v>45881</v>
      </c>
      <c r="P78" s="39">
        <v>45907</v>
      </c>
      <c r="Q78" s="39">
        <v>45892</v>
      </c>
      <c r="R78" s="39">
        <v>46022</v>
      </c>
      <c r="S78" s="39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44" t="s">
        <v>123</v>
      </c>
      <c r="AE78" s="45">
        <f t="shared" si="57"/>
        <v>0</v>
      </c>
      <c r="AF78" s="36">
        <v>7</v>
      </c>
      <c r="AG78" s="46">
        <f t="shared" si="58"/>
        <v>0</v>
      </c>
      <c r="AH78" s="47">
        <v>200</v>
      </c>
      <c r="AI78" s="48">
        <f t="shared" si="59"/>
        <v>0</v>
      </c>
      <c r="AJ78" s="45">
        <f t="shared" si="60"/>
        <v>0</v>
      </c>
      <c r="AK78" s="36">
        <v>2</v>
      </c>
      <c r="AL78" s="46">
        <f t="shared" si="61"/>
        <v>0</v>
      </c>
      <c r="AM78" s="47">
        <v>200</v>
      </c>
      <c r="AN78" s="48">
        <f t="shared" si="62"/>
        <v>0</v>
      </c>
      <c r="AO78" s="47"/>
      <c r="AP78" s="49">
        <f t="shared" si="63"/>
        <v>0</v>
      </c>
    </row>
    <row r="79" spans="1:42" ht="15" customHeight="1">
      <c r="A79" s="33">
        <f t="shared" si="56"/>
        <v>76</v>
      </c>
      <c r="B79" s="34" t="s">
        <v>114</v>
      </c>
      <c r="C79" s="69" t="s">
        <v>234</v>
      </c>
      <c r="D79" s="70" t="s">
        <v>235</v>
      </c>
      <c r="E79" s="70" t="s">
        <v>236</v>
      </c>
      <c r="F79" s="34" t="s">
        <v>215</v>
      </c>
      <c r="G79" s="37" t="s">
        <v>119</v>
      </c>
      <c r="H79" s="37">
        <v>28</v>
      </c>
      <c r="I79" s="70">
        <v>35000</v>
      </c>
      <c r="J79" s="70">
        <v>35098</v>
      </c>
      <c r="K79" s="34" t="s">
        <v>120</v>
      </c>
      <c r="L79" s="39">
        <v>45890</v>
      </c>
      <c r="M79" s="40" t="s">
        <v>121</v>
      </c>
      <c r="N79" s="39" t="s">
        <v>122</v>
      </c>
      <c r="O79" s="39">
        <v>45881</v>
      </c>
      <c r="P79" s="39">
        <v>45907</v>
      </c>
      <c r="Q79" s="39">
        <v>45892</v>
      </c>
      <c r="R79" s="39">
        <v>46022</v>
      </c>
      <c r="S79" s="39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44" t="s">
        <v>123</v>
      </c>
      <c r="AE79" s="50">
        <f t="shared" si="57"/>
        <v>0</v>
      </c>
      <c r="AF79" s="36">
        <v>7</v>
      </c>
      <c r="AG79" s="51">
        <f t="shared" si="58"/>
        <v>0</v>
      </c>
      <c r="AH79" s="52">
        <v>200</v>
      </c>
      <c r="AI79" s="53">
        <f t="shared" si="59"/>
        <v>0</v>
      </c>
      <c r="AJ79" s="54">
        <f t="shared" si="60"/>
        <v>0</v>
      </c>
      <c r="AK79" s="36">
        <v>2</v>
      </c>
      <c r="AL79" s="51">
        <f t="shared" si="61"/>
        <v>0</v>
      </c>
      <c r="AM79" s="52">
        <v>200</v>
      </c>
      <c r="AN79" s="53">
        <f t="shared" si="62"/>
        <v>0</v>
      </c>
      <c r="AO79" s="52"/>
      <c r="AP79" s="55">
        <f t="shared" si="63"/>
        <v>0</v>
      </c>
    </row>
    <row r="80" spans="1:42" s="1" customFormat="1" ht="15" customHeight="1">
      <c r="A80" s="33">
        <f t="shared" si="56"/>
        <v>77</v>
      </c>
      <c r="B80" s="34" t="s">
        <v>114</v>
      </c>
      <c r="C80" s="67" t="s">
        <v>237</v>
      </c>
      <c r="D80" s="67" t="s">
        <v>238</v>
      </c>
      <c r="E80" s="70" t="s">
        <v>239</v>
      </c>
      <c r="F80" s="34" t="s">
        <v>215</v>
      </c>
      <c r="G80" s="37" t="s">
        <v>119</v>
      </c>
      <c r="H80" s="37">
        <v>29</v>
      </c>
      <c r="I80" s="70">
        <v>36250</v>
      </c>
      <c r="J80" s="70">
        <v>36352</v>
      </c>
      <c r="K80" s="34" t="s">
        <v>120</v>
      </c>
      <c r="L80" s="39">
        <v>45890</v>
      </c>
      <c r="M80" s="40" t="s">
        <v>121</v>
      </c>
      <c r="N80" s="39" t="s">
        <v>122</v>
      </c>
      <c r="O80" s="39">
        <v>45881</v>
      </c>
      <c r="P80" s="39">
        <v>45907</v>
      </c>
      <c r="Q80" s="39">
        <v>45892</v>
      </c>
      <c r="R80" s="39">
        <v>46022</v>
      </c>
      <c r="S80" s="39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4" t="s">
        <v>123</v>
      </c>
      <c r="AE80" s="45">
        <f t="shared" si="57"/>
        <v>0</v>
      </c>
      <c r="AF80" s="36">
        <v>7</v>
      </c>
      <c r="AG80" s="46">
        <f t="shared" si="58"/>
        <v>0</v>
      </c>
      <c r="AH80" s="47">
        <v>200</v>
      </c>
      <c r="AI80" s="48">
        <f t="shared" si="59"/>
        <v>0</v>
      </c>
      <c r="AJ80" s="45">
        <f t="shared" si="60"/>
        <v>0</v>
      </c>
      <c r="AK80" s="36">
        <v>2</v>
      </c>
      <c r="AL80" s="46">
        <f t="shared" si="61"/>
        <v>0</v>
      </c>
      <c r="AM80" s="47">
        <v>200</v>
      </c>
      <c r="AN80" s="48">
        <f t="shared" si="62"/>
        <v>0</v>
      </c>
      <c r="AO80" s="47"/>
      <c r="AP80" s="49">
        <f t="shared" si="63"/>
        <v>0</v>
      </c>
    </row>
    <row r="81" spans="1:42" s="1" customFormat="1" ht="15" customHeight="1">
      <c r="A81" s="33">
        <f t="shared" si="56"/>
        <v>78</v>
      </c>
      <c r="B81" s="34" t="s">
        <v>114</v>
      </c>
      <c r="C81" s="39" t="s">
        <v>240</v>
      </c>
      <c r="D81" s="39" t="s">
        <v>241</v>
      </c>
      <c r="E81" s="73" t="s">
        <v>242</v>
      </c>
      <c r="F81" s="34" t="s">
        <v>215</v>
      </c>
      <c r="G81" s="37" t="s">
        <v>119</v>
      </c>
      <c r="H81" s="37">
        <v>28</v>
      </c>
      <c r="I81" s="70">
        <v>35000</v>
      </c>
      <c r="J81" s="70">
        <v>35098</v>
      </c>
      <c r="K81" s="34" t="s">
        <v>120</v>
      </c>
      <c r="L81" s="39">
        <v>45890</v>
      </c>
      <c r="M81" s="40" t="s">
        <v>121</v>
      </c>
      <c r="N81" s="39" t="s">
        <v>122</v>
      </c>
      <c r="O81" s="39">
        <v>45881</v>
      </c>
      <c r="P81" s="39">
        <v>45907</v>
      </c>
      <c r="Q81" s="39">
        <v>45892</v>
      </c>
      <c r="R81" s="39">
        <v>46022</v>
      </c>
      <c r="S81" s="39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4" t="s">
        <v>123</v>
      </c>
      <c r="AE81" s="50">
        <f t="shared" si="57"/>
        <v>0</v>
      </c>
      <c r="AF81" s="36">
        <v>7</v>
      </c>
      <c r="AG81" s="51">
        <f t="shared" si="58"/>
        <v>0</v>
      </c>
      <c r="AH81" s="52">
        <v>200</v>
      </c>
      <c r="AI81" s="53">
        <f t="shared" si="59"/>
        <v>0</v>
      </c>
      <c r="AJ81" s="54">
        <f t="shared" si="60"/>
        <v>0</v>
      </c>
      <c r="AK81" s="36">
        <v>2</v>
      </c>
      <c r="AL81" s="51">
        <f t="shared" si="61"/>
        <v>0</v>
      </c>
      <c r="AM81" s="52">
        <v>200</v>
      </c>
      <c r="AN81" s="53">
        <f t="shared" si="62"/>
        <v>0</v>
      </c>
      <c r="AO81" s="52"/>
      <c r="AP81" s="55">
        <f t="shared" si="63"/>
        <v>0</v>
      </c>
    </row>
    <row r="82" spans="1:42" s="1" customFormat="1" ht="15" customHeight="1">
      <c r="A82" s="91">
        <f t="shared" ref="A82:A90" si="64">ROW()-3</f>
        <v>79</v>
      </c>
      <c r="B82" s="34" t="s">
        <v>114</v>
      </c>
      <c r="C82" s="35" t="s">
        <v>243</v>
      </c>
      <c r="D82" s="92" t="s">
        <v>244</v>
      </c>
      <c r="E82" s="36" t="s">
        <v>245</v>
      </c>
      <c r="F82" s="34" t="s">
        <v>215</v>
      </c>
      <c r="G82" s="37" t="s">
        <v>119</v>
      </c>
      <c r="H82" s="36">
        <v>27</v>
      </c>
      <c r="I82" s="34">
        <v>33750</v>
      </c>
      <c r="J82" s="34">
        <v>33845</v>
      </c>
      <c r="K82" s="34" t="s">
        <v>120</v>
      </c>
      <c r="L82" s="39">
        <v>45890</v>
      </c>
      <c r="M82" s="40" t="s">
        <v>121</v>
      </c>
      <c r="N82" s="39" t="s">
        <v>122</v>
      </c>
      <c r="O82" s="39">
        <v>45881</v>
      </c>
      <c r="P82" s="39">
        <v>45907</v>
      </c>
      <c r="Q82" s="39">
        <v>45892</v>
      </c>
      <c r="R82" s="39">
        <v>46020</v>
      </c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4" t="s">
        <v>123</v>
      </c>
      <c r="AE82" s="54">
        <f t="shared" ref="AE82:AE90" si="65">MAX(0,Y82-X82)</f>
        <v>0</v>
      </c>
      <c r="AF82" s="36">
        <v>7</v>
      </c>
      <c r="AG82" s="51">
        <f t="shared" ref="AG82:AG90" si="66">MAX(0,AE82-AF82)</f>
        <v>0</v>
      </c>
      <c r="AH82" s="52">
        <v>200</v>
      </c>
      <c r="AI82" s="53">
        <f t="shared" ref="AI82:AI90" si="67">MAX(0,AG82*AH82)</f>
        <v>0</v>
      </c>
      <c r="AJ82" s="54">
        <f t="shared" ref="AJ82:AJ90" si="68">MAX(0,AC82-AB82)</f>
        <v>0</v>
      </c>
      <c r="AK82" s="36">
        <v>2</v>
      </c>
      <c r="AL82" s="51">
        <f t="shared" ref="AL82:AL90" si="69">MAX(0,AJ82-AK82)</f>
        <v>0</v>
      </c>
      <c r="AM82" s="52">
        <v>200</v>
      </c>
      <c r="AN82" s="53">
        <f t="shared" ref="AN82:AN90" si="70">MAX(0,AL82*AM82)</f>
        <v>0</v>
      </c>
      <c r="AO82" s="52"/>
      <c r="AP82" s="55">
        <f t="shared" ref="AP82:AP90" si="71">AO82+AN82+AI82</f>
        <v>0</v>
      </c>
    </row>
    <row r="83" spans="1:42" s="1" customFormat="1" ht="15" customHeight="1">
      <c r="A83" s="91">
        <f t="shared" si="64"/>
        <v>80</v>
      </c>
      <c r="B83" s="34" t="s">
        <v>114</v>
      </c>
      <c r="C83" s="92" t="s">
        <v>246</v>
      </c>
      <c r="D83" s="92" t="s">
        <v>247</v>
      </c>
      <c r="E83" s="93" t="s">
        <v>248</v>
      </c>
      <c r="F83" s="34" t="s">
        <v>215</v>
      </c>
      <c r="G83" s="37" t="s">
        <v>119</v>
      </c>
      <c r="H83" s="36">
        <v>28</v>
      </c>
      <c r="I83" s="34">
        <v>35000</v>
      </c>
      <c r="J83" s="34">
        <v>35098</v>
      </c>
      <c r="K83" s="34" t="s">
        <v>120</v>
      </c>
      <c r="L83" s="39">
        <v>45890</v>
      </c>
      <c r="M83" s="40" t="s">
        <v>121</v>
      </c>
      <c r="N83" s="39" t="s">
        <v>122</v>
      </c>
      <c r="O83" s="39">
        <v>45881</v>
      </c>
      <c r="P83" s="39">
        <v>45907</v>
      </c>
      <c r="Q83" s="39">
        <v>45892</v>
      </c>
      <c r="R83" s="39">
        <v>46020</v>
      </c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4" t="s">
        <v>123</v>
      </c>
      <c r="AE83" s="45">
        <f t="shared" si="65"/>
        <v>0</v>
      </c>
      <c r="AF83" s="36">
        <v>7</v>
      </c>
      <c r="AG83" s="46">
        <f t="shared" si="66"/>
        <v>0</v>
      </c>
      <c r="AH83" s="47">
        <v>200</v>
      </c>
      <c r="AI83" s="48">
        <f t="shared" si="67"/>
        <v>0</v>
      </c>
      <c r="AJ83" s="45">
        <f t="shared" si="68"/>
        <v>0</v>
      </c>
      <c r="AK83" s="36">
        <v>2</v>
      </c>
      <c r="AL83" s="46">
        <f t="shared" si="69"/>
        <v>0</v>
      </c>
      <c r="AM83" s="47">
        <v>200</v>
      </c>
      <c r="AN83" s="48">
        <f t="shared" si="70"/>
        <v>0</v>
      </c>
      <c r="AO83" s="47"/>
      <c r="AP83" s="49">
        <f t="shared" si="71"/>
        <v>0</v>
      </c>
    </row>
    <row r="84" spans="1:42" s="1" customFormat="1" ht="15" customHeight="1">
      <c r="A84" s="91">
        <f t="shared" si="64"/>
        <v>81</v>
      </c>
      <c r="B84" s="34" t="s">
        <v>114</v>
      </c>
      <c r="C84" s="92" t="s">
        <v>249</v>
      </c>
      <c r="D84" s="92" t="s">
        <v>250</v>
      </c>
      <c r="E84" s="92" t="s">
        <v>251</v>
      </c>
      <c r="F84" s="34" t="s">
        <v>215</v>
      </c>
      <c r="G84" s="37" t="s">
        <v>119</v>
      </c>
      <c r="H84" s="36">
        <v>29</v>
      </c>
      <c r="I84" s="34">
        <v>36250</v>
      </c>
      <c r="J84" s="34">
        <v>36352</v>
      </c>
      <c r="K84" s="34" t="s">
        <v>120</v>
      </c>
      <c r="L84" s="39">
        <v>45890</v>
      </c>
      <c r="M84" s="40" t="s">
        <v>121</v>
      </c>
      <c r="N84" s="39" t="s">
        <v>122</v>
      </c>
      <c r="O84" s="39">
        <v>45881</v>
      </c>
      <c r="P84" s="39">
        <v>45907</v>
      </c>
      <c r="Q84" s="39">
        <v>45892</v>
      </c>
      <c r="R84" s="39">
        <v>46020</v>
      </c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4" t="s">
        <v>123</v>
      </c>
      <c r="AE84" s="54">
        <f t="shared" si="65"/>
        <v>0</v>
      </c>
      <c r="AF84" s="36">
        <v>7</v>
      </c>
      <c r="AG84" s="51">
        <f t="shared" si="66"/>
        <v>0</v>
      </c>
      <c r="AH84" s="52">
        <v>200</v>
      </c>
      <c r="AI84" s="53">
        <f t="shared" si="67"/>
        <v>0</v>
      </c>
      <c r="AJ84" s="54">
        <f t="shared" si="68"/>
        <v>0</v>
      </c>
      <c r="AK84" s="36">
        <v>2</v>
      </c>
      <c r="AL84" s="51">
        <f t="shared" si="69"/>
        <v>0</v>
      </c>
      <c r="AM84" s="52">
        <v>200</v>
      </c>
      <c r="AN84" s="53">
        <f t="shared" si="70"/>
        <v>0</v>
      </c>
      <c r="AO84" s="52"/>
      <c r="AP84" s="55">
        <f t="shared" si="71"/>
        <v>0</v>
      </c>
    </row>
    <row r="85" spans="1:42" s="1" customFormat="1" ht="15" customHeight="1">
      <c r="A85" s="91">
        <f t="shared" si="64"/>
        <v>82</v>
      </c>
      <c r="B85" s="34" t="s">
        <v>114</v>
      </c>
      <c r="C85" s="92" t="s">
        <v>252</v>
      </c>
      <c r="D85" s="92" t="s">
        <v>253</v>
      </c>
      <c r="E85" s="93" t="s">
        <v>254</v>
      </c>
      <c r="F85" s="34" t="s">
        <v>215</v>
      </c>
      <c r="G85" s="37" t="s">
        <v>119</v>
      </c>
      <c r="H85" s="36">
        <v>29</v>
      </c>
      <c r="I85" s="34">
        <v>36250</v>
      </c>
      <c r="J85" s="34">
        <v>36352</v>
      </c>
      <c r="K85" s="34" t="s">
        <v>120</v>
      </c>
      <c r="L85" s="39">
        <v>45890</v>
      </c>
      <c r="M85" s="40" t="s">
        <v>121</v>
      </c>
      <c r="N85" s="39" t="s">
        <v>122</v>
      </c>
      <c r="O85" s="39">
        <v>45881</v>
      </c>
      <c r="P85" s="39">
        <v>45907</v>
      </c>
      <c r="Q85" s="39">
        <v>45892</v>
      </c>
      <c r="R85" s="39">
        <v>46020</v>
      </c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4" t="s">
        <v>123</v>
      </c>
      <c r="AE85" s="54">
        <f t="shared" si="65"/>
        <v>0</v>
      </c>
      <c r="AF85" s="36">
        <v>7</v>
      </c>
      <c r="AG85" s="51">
        <f t="shared" si="66"/>
        <v>0</v>
      </c>
      <c r="AH85" s="52">
        <v>200</v>
      </c>
      <c r="AI85" s="53">
        <f t="shared" si="67"/>
        <v>0</v>
      </c>
      <c r="AJ85" s="54">
        <f t="shared" si="68"/>
        <v>0</v>
      </c>
      <c r="AK85" s="36">
        <v>2</v>
      </c>
      <c r="AL85" s="51">
        <f t="shared" si="69"/>
        <v>0</v>
      </c>
      <c r="AM85" s="52">
        <v>200</v>
      </c>
      <c r="AN85" s="53">
        <f t="shared" si="70"/>
        <v>0</v>
      </c>
      <c r="AO85" s="52"/>
      <c r="AP85" s="55">
        <f t="shared" si="71"/>
        <v>0</v>
      </c>
    </row>
    <row r="86" spans="1:42" s="1" customFormat="1" ht="15" customHeight="1">
      <c r="A86" s="91">
        <f t="shared" si="64"/>
        <v>83</v>
      </c>
      <c r="B86" s="34" t="s">
        <v>114</v>
      </c>
      <c r="C86" s="35" t="s">
        <v>255</v>
      </c>
      <c r="D86" s="35" t="s">
        <v>256</v>
      </c>
      <c r="E86" s="36" t="s">
        <v>257</v>
      </c>
      <c r="F86" s="34" t="s">
        <v>215</v>
      </c>
      <c r="G86" s="37" t="s">
        <v>119</v>
      </c>
      <c r="H86" s="36">
        <v>28</v>
      </c>
      <c r="I86" s="34">
        <v>35000</v>
      </c>
      <c r="J86" s="34">
        <v>35098</v>
      </c>
      <c r="K86" s="34" t="s">
        <v>120</v>
      </c>
      <c r="L86" s="39">
        <v>45890</v>
      </c>
      <c r="M86" s="40" t="s">
        <v>121</v>
      </c>
      <c r="N86" s="39" t="s">
        <v>122</v>
      </c>
      <c r="O86" s="39">
        <v>45881</v>
      </c>
      <c r="P86" s="39">
        <v>45907</v>
      </c>
      <c r="Q86" s="39">
        <v>45892</v>
      </c>
      <c r="R86" s="39">
        <v>46020</v>
      </c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4" t="s">
        <v>123</v>
      </c>
      <c r="AE86" s="45">
        <f t="shared" si="65"/>
        <v>0</v>
      </c>
      <c r="AF86" s="36">
        <v>7</v>
      </c>
      <c r="AG86" s="46">
        <f t="shared" si="66"/>
        <v>0</v>
      </c>
      <c r="AH86" s="47">
        <v>200</v>
      </c>
      <c r="AI86" s="48">
        <f t="shared" si="67"/>
        <v>0</v>
      </c>
      <c r="AJ86" s="45">
        <f t="shared" si="68"/>
        <v>0</v>
      </c>
      <c r="AK86" s="36">
        <v>2</v>
      </c>
      <c r="AL86" s="46">
        <f t="shared" si="69"/>
        <v>0</v>
      </c>
      <c r="AM86" s="47">
        <v>200</v>
      </c>
      <c r="AN86" s="48">
        <f t="shared" si="70"/>
        <v>0</v>
      </c>
      <c r="AO86" s="47"/>
      <c r="AP86" s="49">
        <f t="shared" si="71"/>
        <v>0</v>
      </c>
    </row>
    <row r="87" spans="1:42" s="1" customFormat="1" ht="15" customHeight="1">
      <c r="A87" s="91">
        <f t="shared" si="64"/>
        <v>84</v>
      </c>
      <c r="B87" s="34" t="s">
        <v>114</v>
      </c>
      <c r="C87" s="35" t="s">
        <v>258</v>
      </c>
      <c r="D87" s="92" t="s">
        <v>259</v>
      </c>
      <c r="E87" s="36" t="s">
        <v>260</v>
      </c>
      <c r="F87" s="34" t="s">
        <v>215</v>
      </c>
      <c r="G87" s="37" t="s">
        <v>119</v>
      </c>
      <c r="H87" s="36">
        <v>28</v>
      </c>
      <c r="I87" s="34">
        <v>35000</v>
      </c>
      <c r="J87" s="34">
        <v>35098</v>
      </c>
      <c r="K87" s="34" t="s">
        <v>120</v>
      </c>
      <c r="L87" s="39">
        <v>45890</v>
      </c>
      <c r="M87" s="40" t="s">
        <v>121</v>
      </c>
      <c r="N87" s="39" t="s">
        <v>122</v>
      </c>
      <c r="O87" s="39">
        <v>45881</v>
      </c>
      <c r="P87" s="39">
        <v>45907</v>
      </c>
      <c r="Q87" s="39">
        <v>45892</v>
      </c>
      <c r="R87" s="39">
        <v>46020</v>
      </c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4" t="s">
        <v>123</v>
      </c>
      <c r="AE87" s="54">
        <f t="shared" si="65"/>
        <v>0</v>
      </c>
      <c r="AF87" s="36">
        <v>7</v>
      </c>
      <c r="AG87" s="51">
        <f t="shared" si="66"/>
        <v>0</v>
      </c>
      <c r="AH87" s="52">
        <v>200</v>
      </c>
      <c r="AI87" s="53">
        <f t="shared" si="67"/>
        <v>0</v>
      </c>
      <c r="AJ87" s="54">
        <f t="shared" si="68"/>
        <v>0</v>
      </c>
      <c r="AK87" s="36">
        <v>2</v>
      </c>
      <c r="AL87" s="51">
        <f t="shared" si="69"/>
        <v>0</v>
      </c>
      <c r="AM87" s="52">
        <v>200</v>
      </c>
      <c r="AN87" s="53">
        <f t="shared" si="70"/>
        <v>0</v>
      </c>
      <c r="AO87" s="52"/>
      <c r="AP87" s="55">
        <f t="shared" si="71"/>
        <v>0</v>
      </c>
    </row>
    <row r="88" spans="1:42" s="1" customFormat="1" ht="15" customHeight="1">
      <c r="A88" s="91">
        <f t="shared" si="64"/>
        <v>85</v>
      </c>
      <c r="B88" s="34" t="s">
        <v>114</v>
      </c>
      <c r="C88" s="92" t="s">
        <v>261</v>
      </c>
      <c r="D88" s="92" t="s">
        <v>262</v>
      </c>
      <c r="E88" s="36" t="s">
        <v>263</v>
      </c>
      <c r="F88" s="34" t="s">
        <v>215</v>
      </c>
      <c r="G88" s="37" t="s">
        <v>119</v>
      </c>
      <c r="H88" s="36">
        <v>28</v>
      </c>
      <c r="I88" s="34">
        <v>35000</v>
      </c>
      <c r="J88" s="34">
        <v>35098</v>
      </c>
      <c r="K88" s="34" t="s">
        <v>120</v>
      </c>
      <c r="L88" s="39">
        <v>45890</v>
      </c>
      <c r="M88" s="40" t="s">
        <v>121</v>
      </c>
      <c r="N88" s="39" t="s">
        <v>122</v>
      </c>
      <c r="O88" s="39">
        <v>45881</v>
      </c>
      <c r="P88" s="39">
        <v>45907</v>
      </c>
      <c r="Q88" s="39">
        <v>45892</v>
      </c>
      <c r="R88" s="39">
        <v>46020</v>
      </c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4" t="s">
        <v>123</v>
      </c>
      <c r="AE88" s="45">
        <f t="shared" si="65"/>
        <v>0</v>
      </c>
      <c r="AF88" s="36">
        <v>7</v>
      </c>
      <c r="AG88" s="46">
        <f t="shared" si="66"/>
        <v>0</v>
      </c>
      <c r="AH88" s="47">
        <v>200</v>
      </c>
      <c r="AI88" s="48">
        <f t="shared" si="67"/>
        <v>0</v>
      </c>
      <c r="AJ88" s="45">
        <f t="shared" si="68"/>
        <v>0</v>
      </c>
      <c r="AK88" s="36">
        <v>2</v>
      </c>
      <c r="AL88" s="46">
        <f t="shared" si="69"/>
        <v>0</v>
      </c>
      <c r="AM88" s="47">
        <v>200</v>
      </c>
      <c r="AN88" s="48">
        <f t="shared" si="70"/>
        <v>0</v>
      </c>
      <c r="AO88" s="47"/>
      <c r="AP88" s="49">
        <f t="shared" si="71"/>
        <v>0</v>
      </c>
    </row>
    <row r="89" spans="1:42" s="1" customFormat="1" ht="15" customHeight="1">
      <c r="A89" s="91">
        <f t="shared" si="64"/>
        <v>86</v>
      </c>
      <c r="B89" s="34" t="s">
        <v>114</v>
      </c>
      <c r="C89" s="33" t="s">
        <v>264</v>
      </c>
      <c r="D89" s="36" t="s">
        <v>265</v>
      </c>
      <c r="E89" s="36" t="s">
        <v>266</v>
      </c>
      <c r="F89" s="34" t="s">
        <v>215</v>
      </c>
      <c r="G89" s="37" t="s">
        <v>267</v>
      </c>
      <c r="H89" s="38">
        <v>28</v>
      </c>
      <c r="I89" s="94">
        <v>35000</v>
      </c>
      <c r="J89" s="94">
        <v>35070</v>
      </c>
      <c r="K89" s="34" t="s">
        <v>120</v>
      </c>
      <c r="L89" s="39">
        <v>45890</v>
      </c>
      <c r="M89" s="40" t="s">
        <v>121</v>
      </c>
      <c r="N89" s="39" t="s">
        <v>122</v>
      </c>
      <c r="O89" s="39">
        <v>45881</v>
      </c>
      <c r="P89" s="39">
        <v>45907</v>
      </c>
      <c r="Q89" s="39">
        <v>45892</v>
      </c>
      <c r="R89" s="39">
        <v>46011</v>
      </c>
      <c r="S89" s="39">
        <v>46014</v>
      </c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44" t="s">
        <v>268</v>
      </c>
      <c r="AE89" s="54">
        <f t="shared" si="65"/>
        <v>0</v>
      </c>
      <c r="AF89" s="36">
        <v>7</v>
      </c>
      <c r="AG89" s="51">
        <f t="shared" si="66"/>
        <v>0</v>
      </c>
      <c r="AH89" s="52">
        <v>200</v>
      </c>
      <c r="AI89" s="53">
        <f t="shared" si="67"/>
        <v>0</v>
      </c>
      <c r="AJ89" s="54">
        <f t="shared" si="68"/>
        <v>0</v>
      </c>
      <c r="AK89" s="36">
        <v>2</v>
      </c>
      <c r="AL89" s="51">
        <f t="shared" si="69"/>
        <v>0</v>
      </c>
      <c r="AM89" s="52">
        <v>200</v>
      </c>
      <c r="AN89" s="53">
        <f t="shared" si="70"/>
        <v>0</v>
      </c>
      <c r="AO89" s="52"/>
      <c r="AP89" s="55">
        <f t="shared" si="71"/>
        <v>0</v>
      </c>
    </row>
    <row r="90" spans="1:42" s="1" customFormat="1" ht="15" customHeight="1">
      <c r="A90" s="91">
        <f t="shared" si="64"/>
        <v>87</v>
      </c>
      <c r="B90" s="34" t="s">
        <v>114</v>
      </c>
      <c r="C90" s="34" t="s">
        <v>269</v>
      </c>
      <c r="D90" s="93" t="s">
        <v>270</v>
      </c>
      <c r="E90" s="93" t="s">
        <v>271</v>
      </c>
      <c r="F90" s="34" t="s">
        <v>215</v>
      </c>
      <c r="G90" s="37" t="s">
        <v>267</v>
      </c>
      <c r="H90" s="38">
        <v>29</v>
      </c>
      <c r="I90" s="94">
        <v>36250</v>
      </c>
      <c r="J90" s="94">
        <v>36323</v>
      </c>
      <c r="K90" s="34" t="s">
        <v>120</v>
      </c>
      <c r="L90" s="39">
        <v>45890</v>
      </c>
      <c r="M90" s="40" t="s">
        <v>121</v>
      </c>
      <c r="N90" s="39" t="s">
        <v>122</v>
      </c>
      <c r="O90" s="39">
        <v>45881</v>
      </c>
      <c r="P90" s="39">
        <v>45907</v>
      </c>
      <c r="Q90" s="39">
        <v>45892</v>
      </c>
      <c r="R90" s="39">
        <v>46010</v>
      </c>
      <c r="S90" s="39">
        <v>46014</v>
      </c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44" t="s">
        <v>268</v>
      </c>
      <c r="AE90" s="45">
        <f t="shared" si="65"/>
        <v>0</v>
      </c>
      <c r="AF90" s="36">
        <v>7</v>
      </c>
      <c r="AG90" s="46">
        <f t="shared" si="66"/>
        <v>0</v>
      </c>
      <c r="AH90" s="47">
        <v>200</v>
      </c>
      <c r="AI90" s="48">
        <f t="shared" si="67"/>
        <v>0</v>
      </c>
      <c r="AJ90" s="45">
        <f t="shared" si="68"/>
        <v>0</v>
      </c>
      <c r="AK90" s="36">
        <v>2</v>
      </c>
      <c r="AL90" s="46">
        <f t="shared" si="69"/>
        <v>0</v>
      </c>
      <c r="AM90" s="47">
        <v>200</v>
      </c>
      <c r="AN90" s="48">
        <f t="shared" si="70"/>
        <v>0</v>
      </c>
      <c r="AO90" s="47"/>
      <c r="AP90" s="49">
        <f t="shared" si="71"/>
        <v>0</v>
      </c>
    </row>
    <row r="91" spans="1:42" s="1" customFormat="1" ht="15" customHeight="1">
      <c r="A91" s="91">
        <f t="shared" ref="A91:A108" si="72">ROW()-3</f>
        <v>88</v>
      </c>
      <c r="B91" s="34" t="s">
        <v>114</v>
      </c>
      <c r="C91" s="35" t="s">
        <v>272</v>
      </c>
      <c r="D91" s="35" t="s">
        <v>273</v>
      </c>
      <c r="E91" s="33" t="s">
        <v>274</v>
      </c>
      <c r="F91" s="34" t="s">
        <v>215</v>
      </c>
      <c r="G91" s="37" t="s">
        <v>119</v>
      </c>
      <c r="H91" s="37">
        <v>28</v>
      </c>
      <c r="I91" s="34">
        <v>35000</v>
      </c>
      <c r="J91" s="34">
        <v>35070</v>
      </c>
      <c r="K91" s="34" t="s">
        <v>120</v>
      </c>
      <c r="L91" s="39">
        <v>45890</v>
      </c>
      <c r="M91" s="40" t="s">
        <v>121</v>
      </c>
      <c r="N91" s="39" t="s">
        <v>122</v>
      </c>
      <c r="O91" s="39">
        <v>45881</v>
      </c>
      <c r="P91" s="39">
        <v>45907</v>
      </c>
      <c r="Q91" s="39">
        <v>45892</v>
      </c>
      <c r="R91" s="39">
        <v>46011</v>
      </c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4" t="s">
        <v>123</v>
      </c>
      <c r="AE91" s="54">
        <f t="shared" ref="AE91:AE98" si="73">MAX(0,Y91-X91)</f>
        <v>0</v>
      </c>
      <c r="AF91" s="36">
        <v>7</v>
      </c>
      <c r="AG91" s="51">
        <f t="shared" ref="AG91:AG98" si="74">MAX(0,AE91-AF91)</f>
        <v>0</v>
      </c>
      <c r="AH91" s="52">
        <v>200</v>
      </c>
      <c r="AI91" s="53">
        <f t="shared" ref="AI91:AI98" si="75">MAX(0,AG91*AH91)</f>
        <v>0</v>
      </c>
      <c r="AJ91" s="54">
        <f t="shared" ref="AJ91:AJ98" si="76">MAX(0,AC91-AB91)</f>
        <v>0</v>
      </c>
      <c r="AK91" s="36">
        <v>2</v>
      </c>
      <c r="AL91" s="51">
        <f t="shared" ref="AL91:AL98" si="77">MAX(0,AJ91-AK91)</f>
        <v>0</v>
      </c>
      <c r="AM91" s="52">
        <v>200</v>
      </c>
      <c r="AN91" s="53">
        <f t="shared" ref="AN91:AN98" si="78">MAX(0,AL91*AM91)</f>
        <v>0</v>
      </c>
      <c r="AO91" s="52"/>
      <c r="AP91" s="55">
        <f t="shared" ref="AP91:AP98" si="79">AO91+AN91+AI91</f>
        <v>0</v>
      </c>
    </row>
    <row r="92" spans="1:42" s="1" customFormat="1" ht="15" customHeight="1">
      <c r="A92" s="91">
        <f t="shared" si="72"/>
        <v>89</v>
      </c>
      <c r="B92" s="34" t="s">
        <v>114</v>
      </c>
      <c r="C92" s="35" t="s">
        <v>275</v>
      </c>
      <c r="D92" s="35" t="s">
        <v>276</v>
      </c>
      <c r="E92" s="34" t="s">
        <v>277</v>
      </c>
      <c r="F92" s="34" t="s">
        <v>215</v>
      </c>
      <c r="G92" s="37" t="s">
        <v>119</v>
      </c>
      <c r="H92" s="37">
        <v>28</v>
      </c>
      <c r="I92" s="34">
        <v>35000</v>
      </c>
      <c r="J92" s="34">
        <v>35070</v>
      </c>
      <c r="K92" s="34" t="s">
        <v>120</v>
      </c>
      <c r="L92" s="39">
        <v>45890</v>
      </c>
      <c r="M92" s="40" t="s">
        <v>121</v>
      </c>
      <c r="N92" s="39" t="s">
        <v>122</v>
      </c>
      <c r="O92" s="39">
        <v>45881</v>
      </c>
      <c r="P92" s="39">
        <v>45907</v>
      </c>
      <c r="Q92" s="39">
        <v>45892</v>
      </c>
      <c r="R92" s="39">
        <v>46011</v>
      </c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4" t="s">
        <v>123</v>
      </c>
      <c r="AE92" s="54">
        <f t="shared" si="73"/>
        <v>0</v>
      </c>
      <c r="AF92" s="36">
        <v>7</v>
      </c>
      <c r="AG92" s="51">
        <f t="shared" si="74"/>
        <v>0</v>
      </c>
      <c r="AH92" s="52">
        <v>200</v>
      </c>
      <c r="AI92" s="53">
        <f t="shared" si="75"/>
        <v>0</v>
      </c>
      <c r="AJ92" s="54">
        <f t="shared" si="76"/>
        <v>0</v>
      </c>
      <c r="AK92" s="36">
        <v>2</v>
      </c>
      <c r="AL92" s="51">
        <f t="shared" si="77"/>
        <v>0</v>
      </c>
      <c r="AM92" s="52">
        <v>200</v>
      </c>
      <c r="AN92" s="53">
        <f t="shared" si="78"/>
        <v>0</v>
      </c>
      <c r="AO92" s="52"/>
      <c r="AP92" s="55">
        <f t="shared" si="79"/>
        <v>0</v>
      </c>
    </row>
    <row r="93" spans="1:42" s="1" customFormat="1" ht="15" customHeight="1">
      <c r="A93" s="91">
        <f t="shared" si="72"/>
        <v>90</v>
      </c>
      <c r="B93" s="34" t="s">
        <v>114</v>
      </c>
      <c r="C93" s="39" t="s">
        <v>278</v>
      </c>
      <c r="D93" s="39" t="s">
        <v>279</v>
      </c>
      <c r="E93" s="95" t="s">
        <v>280</v>
      </c>
      <c r="F93" s="34" t="s">
        <v>215</v>
      </c>
      <c r="G93" s="37" t="s">
        <v>119</v>
      </c>
      <c r="H93" s="37">
        <v>24</v>
      </c>
      <c r="I93" s="33">
        <v>30000</v>
      </c>
      <c r="J93" s="77">
        <v>30084</v>
      </c>
      <c r="K93" s="34" t="s">
        <v>120</v>
      </c>
      <c r="L93" s="39">
        <v>45890</v>
      </c>
      <c r="M93" s="40" t="s">
        <v>121</v>
      </c>
      <c r="N93" s="39" t="s">
        <v>122</v>
      </c>
      <c r="O93" s="39">
        <v>45881</v>
      </c>
      <c r="P93" s="39">
        <v>45907</v>
      </c>
      <c r="Q93" s="39">
        <v>45892</v>
      </c>
      <c r="R93" s="39">
        <v>46011</v>
      </c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4" t="s">
        <v>123</v>
      </c>
      <c r="AE93" s="45">
        <f t="shared" si="73"/>
        <v>0</v>
      </c>
      <c r="AF93" s="36">
        <v>7</v>
      </c>
      <c r="AG93" s="46">
        <f t="shared" si="74"/>
        <v>0</v>
      </c>
      <c r="AH93" s="47">
        <v>200</v>
      </c>
      <c r="AI93" s="48">
        <f t="shared" si="75"/>
        <v>0</v>
      </c>
      <c r="AJ93" s="45">
        <f t="shared" si="76"/>
        <v>0</v>
      </c>
      <c r="AK93" s="36">
        <v>2</v>
      </c>
      <c r="AL93" s="46">
        <f t="shared" si="77"/>
        <v>0</v>
      </c>
      <c r="AM93" s="47">
        <v>200</v>
      </c>
      <c r="AN93" s="48">
        <f t="shared" si="78"/>
        <v>0</v>
      </c>
      <c r="AO93" s="47"/>
      <c r="AP93" s="49">
        <f t="shared" si="79"/>
        <v>0</v>
      </c>
    </row>
    <row r="94" spans="1:42" s="1" customFormat="1" ht="15" customHeight="1">
      <c r="A94" s="91">
        <f t="shared" si="72"/>
        <v>91</v>
      </c>
      <c r="B94" s="34" t="s">
        <v>114</v>
      </c>
      <c r="C94" s="35" t="s">
        <v>281</v>
      </c>
      <c r="D94" s="35" t="s">
        <v>282</v>
      </c>
      <c r="E94" s="34" t="s">
        <v>283</v>
      </c>
      <c r="F94" s="34" t="s">
        <v>215</v>
      </c>
      <c r="G94" s="37" t="s">
        <v>119</v>
      </c>
      <c r="H94" s="37">
        <v>28</v>
      </c>
      <c r="I94" s="34">
        <v>35000</v>
      </c>
      <c r="J94" s="34">
        <v>35070</v>
      </c>
      <c r="K94" s="34" t="s">
        <v>120</v>
      </c>
      <c r="L94" s="39">
        <v>45890</v>
      </c>
      <c r="M94" s="40" t="s">
        <v>121</v>
      </c>
      <c r="N94" s="39" t="s">
        <v>122</v>
      </c>
      <c r="O94" s="39">
        <v>45881</v>
      </c>
      <c r="P94" s="39">
        <v>45907</v>
      </c>
      <c r="Q94" s="39">
        <v>45892</v>
      </c>
      <c r="R94" s="39">
        <v>46011</v>
      </c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4" t="s">
        <v>123</v>
      </c>
      <c r="AE94" s="54">
        <f t="shared" si="73"/>
        <v>0</v>
      </c>
      <c r="AF94" s="36">
        <v>7</v>
      </c>
      <c r="AG94" s="51">
        <f t="shared" si="74"/>
        <v>0</v>
      </c>
      <c r="AH94" s="52">
        <v>200</v>
      </c>
      <c r="AI94" s="53">
        <f t="shared" si="75"/>
        <v>0</v>
      </c>
      <c r="AJ94" s="54">
        <f t="shared" si="76"/>
        <v>0</v>
      </c>
      <c r="AK94" s="36">
        <v>2</v>
      </c>
      <c r="AL94" s="51">
        <f t="shared" si="77"/>
        <v>0</v>
      </c>
      <c r="AM94" s="52">
        <v>200</v>
      </c>
      <c r="AN94" s="53">
        <f t="shared" si="78"/>
        <v>0</v>
      </c>
      <c r="AO94" s="52"/>
      <c r="AP94" s="55">
        <f t="shared" si="79"/>
        <v>0</v>
      </c>
    </row>
    <row r="95" spans="1:42" s="1" customFormat="1" ht="15" customHeight="1">
      <c r="A95" s="91">
        <f t="shared" si="72"/>
        <v>92</v>
      </c>
      <c r="B95" s="34" t="s">
        <v>114</v>
      </c>
      <c r="C95" s="35" t="s">
        <v>284</v>
      </c>
      <c r="D95" s="35" t="s">
        <v>285</v>
      </c>
      <c r="E95" s="34" t="s">
        <v>286</v>
      </c>
      <c r="F95" s="34" t="s">
        <v>215</v>
      </c>
      <c r="G95" s="37" t="s">
        <v>119</v>
      </c>
      <c r="H95" s="37">
        <v>28</v>
      </c>
      <c r="I95" s="34">
        <v>35000</v>
      </c>
      <c r="J95" s="34">
        <v>35070</v>
      </c>
      <c r="K95" s="34" t="s">
        <v>120</v>
      </c>
      <c r="L95" s="39">
        <v>45890</v>
      </c>
      <c r="M95" s="40" t="s">
        <v>121</v>
      </c>
      <c r="N95" s="39" t="s">
        <v>122</v>
      </c>
      <c r="O95" s="39">
        <v>45881</v>
      </c>
      <c r="P95" s="39">
        <v>45907</v>
      </c>
      <c r="Q95" s="39">
        <v>45892</v>
      </c>
      <c r="R95" s="39">
        <v>46011</v>
      </c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4" t="s">
        <v>123</v>
      </c>
      <c r="AE95" s="54">
        <f t="shared" si="73"/>
        <v>0</v>
      </c>
      <c r="AF95" s="36">
        <v>7</v>
      </c>
      <c r="AG95" s="51">
        <f t="shared" si="74"/>
        <v>0</v>
      </c>
      <c r="AH95" s="52">
        <v>200</v>
      </c>
      <c r="AI95" s="53">
        <f t="shared" si="75"/>
        <v>0</v>
      </c>
      <c r="AJ95" s="54">
        <f t="shared" si="76"/>
        <v>0</v>
      </c>
      <c r="AK95" s="36">
        <v>2</v>
      </c>
      <c r="AL95" s="51">
        <f t="shared" si="77"/>
        <v>0</v>
      </c>
      <c r="AM95" s="52">
        <v>200</v>
      </c>
      <c r="AN95" s="53">
        <f t="shared" si="78"/>
        <v>0</v>
      </c>
      <c r="AO95" s="52"/>
      <c r="AP95" s="55">
        <f t="shared" si="79"/>
        <v>0</v>
      </c>
    </row>
    <row r="96" spans="1:42" s="1" customFormat="1" ht="15" customHeight="1">
      <c r="A96" s="91">
        <f t="shared" si="72"/>
        <v>93</v>
      </c>
      <c r="B96" s="34" t="s">
        <v>114</v>
      </c>
      <c r="C96" s="64" t="s">
        <v>287</v>
      </c>
      <c r="D96" s="34" t="s">
        <v>288</v>
      </c>
      <c r="E96" s="34" t="s">
        <v>289</v>
      </c>
      <c r="F96" s="34" t="s">
        <v>215</v>
      </c>
      <c r="G96" s="37" t="s">
        <v>119</v>
      </c>
      <c r="H96" s="37">
        <v>28</v>
      </c>
      <c r="I96" s="34">
        <v>35000</v>
      </c>
      <c r="J96" s="34">
        <v>35070</v>
      </c>
      <c r="K96" s="34" t="s">
        <v>120</v>
      </c>
      <c r="L96" s="39">
        <v>45890</v>
      </c>
      <c r="M96" s="40" t="s">
        <v>121</v>
      </c>
      <c r="N96" s="39" t="s">
        <v>122</v>
      </c>
      <c r="O96" s="39">
        <v>45881</v>
      </c>
      <c r="P96" s="39">
        <v>45907</v>
      </c>
      <c r="Q96" s="39">
        <v>45892</v>
      </c>
      <c r="R96" s="39">
        <v>46010</v>
      </c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4" t="s">
        <v>123</v>
      </c>
      <c r="AE96" s="45">
        <f t="shared" si="73"/>
        <v>0</v>
      </c>
      <c r="AF96" s="36">
        <v>7</v>
      </c>
      <c r="AG96" s="46">
        <f t="shared" si="74"/>
        <v>0</v>
      </c>
      <c r="AH96" s="47">
        <v>200</v>
      </c>
      <c r="AI96" s="48">
        <f t="shared" si="75"/>
        <v>0</v>
      </c>
      <c r="AJ96" s="45">
        <f t="shared" si="76"/>
        <v>0</v>
      </c>
      <c r="AK96" s="36">
        <v>2</v>
      </c>
      <c r="AL96" s="46">
        <f t="shared" si="77"/>
        <v>0</v>
      </c>
      <c r="AM96" s="47">
        <v>200</v>
      </c>
      <c r="AN96" s="48">
        <f t="shared" si="78"/>
        <v>0</v>
      </c>
      <c r="AO96" s="47"/>
      <c r="AP96" s="49">
        <f t="shared" si="79"/>
        <v>0</v>
      </c>
    </row>
    <row r="97" spans="1:42" s="1" customFormat="1" ht="15" customHeight="1">
      <c r="A97" s="91">
        <f t="shared" si="72"/>
        <v>94</v>
      </c>
      <c r="B97" s="34" t="s">
        <v>114</v>
      </c>
      <c r="C97" s="39" t="s">
        <v>290</v>
      </c>
      <c r="D97" s="39" t="s">
        <v>291</v>
      </c>
      <c r="E97" s="72" t="s">
        <v>292</v>
      </c>
      <c r="F97" s="34" t="s">
        <v>215</v>
      </c>
      <c r="G97" s="37" t="s">
        <v>119</v>
      </c>
      <c r="H97" s="37">
        <v>28</v>
      </c>
      <c r="I97" s="34">
        <v>35000</v>
      </c>
      <c r="J97" s="34">
        <v>35070</v>
      </c>
      <c r="K97" s="34" t="s">
        <v>120</v>
      </c>
      <c r="L97" s="39">
        <v>45890</v>
      </c>
      <c r="M97" s="40" t="s">
        <v>121</v>
      </c>
      <c r="N97" s="39" t="s">
        <v>122</v>
      </c>
      <c r="O97" s="39">
        <v>45881</v>
      </c>
      <c r="P97" s="39">
        <v>45907</v>
      </c>
      <c r="Q97" s="39">
        <v>45892</v>
      </c>
      <c r="R97" s="39">
        <v>46011</v>
      </c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4" t="s">
        <v>123</v>
      </c>
      <c r="AE97" s="45">
        <f t="shared" si="73"/>
        <v>0</v>
      </c>
      <c r="AF97" s="36">
        <v>7</v>
      </c>
      <c r="AG97" s="46">
        <f t="shared" si="74"/>
        <v>0</v>
      </c>
      <c r="AH97" s="47">
        <v>200</v>
      </c>
      <c r="AI97" s="48">
        <f t="shared" si="75"/>
        <v>0</v>
      </c>
      <c r="AJ97" s="45">
        <f t="shared" si="76"/>
        <v>0</v>
      </c>
      <c r="AK97" s="36">
        <v>2</v>
      </c>
      <c r="AL97" s="46">
        <f t="shared" si="77"/>
        <v>0</v>
      </c>
      <c r="AM97" s="47">
        <v>200</v>
      </c>
      <c r="AN97" s="48">
        <f t="shared" si="78"/>
        <v>0</v>
      </c>
      <c r="AO97" s="47"/>
      <c r="AP97" s="49">
        <f t="shared" si="79"/>
        <v>0</v>
      </c>
    </row>
    <row r="98" spans="1:42" s="1" customFormat="1" ht="15" customHeight="1">
      <c r="A98" s="91">
        <f t="shared" si="72"/>
        <v>95</v>
      </c>
      <c r="B98" s="34" t="s">
        <v>114</v>
      </c>
      <c r="C98" s="33" t="s">
        <v>293</v>
      </c>
      <c r="D98" s="35" t="s">
        <v>294</v>
      </c>
      <c r="E98" s="33" t="s">
        <v>295</v>
      </c>
      <c r="F98" s="34" t="s">
        <v>215</v>
      </c>
      <c r="G98" s="37" t="s">
        <v>119</v>
      </c>
      <c r="H98" s="37">
        <v>28</v>
      </c>
      <c r="I98" s="34">
        <v>35000</v>
      </c>
      <c r="J98" s="34">
        <v>35070</v>
      </c>
      <c r="K98" s="34" t="s">
        <v>120</v>
      </c>
      <c r="L98" s="39">
        <v>45890</v>
      </c>
      <c r="M98" s="40" t="s">
        <v>121</v>
      </c>
      <c r="N98" s="39" t="s">
        <v>122</v>
      </c>
      <c r="O98" s="39">
        <v>45881</v>
      </c>
      <c r="P98" s="39">
        <v>45907</v>
      </c>
      <c r="Q98" s="39">
        <v>45892</v>
      </c>
      <c r="R98" s="39">
        <v>46010</v>
      </c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4" t="s">
        <v>123</v>
      </c>
      <c r="AE98" s="54">
        <f t="shared" si="73"/>
        <v>0</v>
      </c>
      <c r="AF98" s="36">
        <v>7</v>
      </c>
      <c r="AG98" s="51">
        <f t="shared" si="74"/>
        <v>0</v>
      </c>
      <c r="AH98" s="52">
        <v>200</v>
      </c>
      <c r="AI98" s="53">
        <f t="shared" si="75"/>
        <v>0</v>
      </c>
      <c r="AJ98" s="54">
        <f t="shared" si="76"/>
        <v>0</v>
      </c>
      <c r="AK98" s="36">
        <v>2</v>
      </c>
      <c r="AL98" s="51">
        <f t="shared" si="77"/>
        <v>0</v>
      </c>
      <c r="AM98" s="52">
        <v>200</v>
      </c>
      <c r="AN98" s="53">
        <f t="shared" si="78"/>
        <v>0</v>
      </c>
      <c r="AO98" s="52"/>
      <c r="AP98" s="55">
        <f t="shared" si="79"/>
        <v>0</v>
      </c>
    </row>
    <row r="99" spans="1:42" s="1" customFormat="1" ht="15" customHeight="1">
      <c r="A99" s="91">
        <f t="shared" si="72"/>
        <v>96</v>
      </c>
      <c r="B99" s="34" t="s">
        <v>114</v>
      </c>
      <c r="C99" s="35" t="s">
        <v>296</v>
      </c>
      <c r="D99" s="35" t="s">
        <v>297</v>
      </c>
      <c r="E99" s="34" t="s">
        <v>298</v>
      </c>
      <c r="F99" s="34" t="s">
        <v>215</v>
      </c>
      <c r="G99" s="37" t="s">
        <v>119</v>
      </c>
      <c r="H99" s="37">
        <v>28</v>
      </c>
      <c r="I99" s="34">
        <v>35000</v>
      </c>
      <c r="J99" s="34">
        <v>35070</v>
      </c>
      <c r="K99" s="34" t="s">
        <v>120</v>
      </c>
      <c r="L99" s="39">
        <v>45890</v>
      </c>
      <c r="M99" s="40" t="s">
        <v>121</v>
      </c>
      <c r="N99" s="39" t="s">
        <v>122</v>
      </c>
      <c r="O99" s="39">
        <v>45881</v>
      </c>
      <c r="P99" s="39">
        <v>45907</v>
      </c>
      <c r="Q99" s="39">
        <v>45892</v>
      </c>
      <c r="R99" s="39">
        <v>46010</v>
      </c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4" t="s">
        <v>123</v>
      </c>
      <c r="AE99" s="54">
        <f t="shared" ref="AE99:AE108" si="80">MAX(0,Y99-X99)</f>
        <v>0</v>
      </c>
      <c r="AF99" s="36">
        <v>7</v>
      </c>
      <c r="AG99" s="51">
        <f t="shared" ref="AG99:AG108" si="81">MAX(0,AE99-AF99)</f>
        <v>0</v>
      </c>
      <c r="AH99" s="52">
        <v>200</v>
      </c>
      <c r="AI99" s="53">
        <f t="shared" ref="AI99:AI108" si="82">MAX(0,AG99*AH99)</f>
        <v>0</v>
      </c>
      <c r="AJ99" s="54">
        <f t="shared" ref="AJ99:AJ108" si="83">MAX(0,AC99-AB99)</f>
        <v>0</v>
      </c>
      <c r="AK99" s="36">
        <v>2</v>
      </c>
      <c r="AL99" s="51">
        <f t="shared" ref="AL99:AL108" si="84">MAX(0,AJ99-AK99)</f>
        <v>0</v>
      </c>
      <c r="AM99" s="52">
        <v>200</v>
      </c>
      <c r="AN99" s="53">
        <f t="shared" ref="AN99:AN108" si="85">MAX(0,AL99*AM99)</f>
        <v>0</v>
      </c>
      <c r="AO99" s="52"/>
      <c r="AP99" s="55">
        <f t="shared" ref="AP99:AP108" si="86">AO99+AN99+AI99</f>
        <v>0</v>
      </c>
    </row>
    <row r="100" spans="1:42" s="1" customFormat="1" ht="15" customHeight="1">
      <c r="A100" s="91">
        <f t="shared" si="72"/>
        <v>97</v>
      </c>
      <c r="B100" s="34" t="s">
        <v>114</v>
      </c>
      <c r="C100" s="35" t="s">
        <v>299</v>
      </c>
      <c r="D100" s="35" t="s">
        <v>300</v>
      </c>
      <c r="E100" s="33" t="s">
        <v>301</v>
      </c>
      <c r="F100" s="34" t="s">
        <v>215</v>
      </c>
      <c r="G100" s="37" t="s">
        <v>119</v>
      </c>
      <c r="H100" s="37">
        <v>28</v>
      </c>
      <c r="I100" s="34">
        <v>35000</v>
      </c>
      <c r="J100" s="34">
        <v>35070</v>
      </c>
      <c r="K100" s="34" t="s">
        <v>120</v>
      </c>
      <c r="L100" s="39">
        <v>45890</v>
      </c>
      <c r="M100" s="40" t="s">
        <v>121</v>
      </c>
      <c r="N100" s="39" t="s">
        <v>122</v>
      </c>
      <c r="O100" s="39">
        <v>45881</v>
      </c>
      <c r="P100" s="39">
        <v>45907</v>
      </c>
      <c r="Q100" s="39">
        <v>45892</v>
      </c>
      <c r="R100" s="39">
        <v>46011</v>
      </c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4" t="s">
        <v>123</v>
      </c>
      <c r="AE100" s="45">
        <f t="shared" si="80"/>
        <v>0</v>
      </c>
      <c r="AF100" s="36">
        <v>7</v>
      </c>
      <c r="AG100" s="46">
        <f t="shared" si="81"/>
        <v>0</v>
      </c>
      <c r="AH100" s="47">
        <v>200</v>
      </c>
      <c r="AI100" s="48">
        <f t="shared" si="82"/>
        <v>0</v>
      </c>
      <c r="AJ100" s="45">
        <f t="shared" si="83"/>
        <v>0</v>
      </c>
      <c r="AK100" s="36">
        <v>2</v>
      </c>
      <c r="AL100" s="46">
        <f t="shared" si="84"/>
        <v>0</v>
      </c>
      <c r="AM100" s="47">
        <v>200</v>
      </c>
      <c r="AN100" s="48">
        <f t="shared" si="85"/>
        <v>0</v>
      </c>
      <c r="AO100" s="47"/>
      <c r="AP100" s="49">
        <f t="shared" si="86"/>
        <v>0</v>
      </c>
    </row>
    <row r="101" spans="1:42" s="1" customFormat="1" ht="15" customHeight="1">
      <c r="A101" s="91">
        <f t="shared" si="72"/>
        <v>98</v>
      </c>
      <c r="B101" s="34" t="s">
        <v>114</v>
      </c>
      <c r="C101" s="35" t="s">
        <v>302</v>
      </c>
      <c r="D101" s="35" t="s">
        <v>303</v>
      </c>
      <c r="E101" s="33" t="s">
        <v>304</v>
      </c>
      <c r="F101" s="34" t="s">
        <v>215</v>
      </c>
      <c r="G101" s="37" t="s">
        <v>119</v>
      </c>
      <c r="H101" s="37">
        <v>28</v>
      </c>
      <c r="I101" s="34">
        <v>35000</v>
      </c>
      <c r="J101" s="34">
        <v>35070</v>
      </c>
      <c r="K101" s="34" t="s">
        <v>120</v>
      </c>
      <c r="L101" s="39">
        <v>45890</v>
      </c>
      <c r="M101" s="40" t="s">
        <v>121</v>
      </c>
      <c r="N101" s="39" t="s">
        <v>122</v>
      </c>
      <c r="O101" s="39">
        <v>45881</v>
      </c>
      <c r="P101" s="39">
        <v>45907</v>
      </c>
      <c r="Q101" s="39">
        <v>45892</v>
      </c>
      <c r="R101" s="39">
        <v>46011</v>
      </c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4" t="s">
        <v>123</v>
      </c>
      <c r="AE101" s="45">
        <f t="shared" si="80"/>
        <v>0</v>
      </c>
      <c r="AF101" s="36">
        <v>7</v>
      </c>
      <c r="AG101" s="46">
        <f t="shared" si="81"/>
        <v>0</v>
      </c>
      <c r="AH101" s="47">
        <v>200</v>
      </c>
      <c r="AI101" s="48">
        <f t="shared" si="82"/>
        <v>0</v>
      </c>
      <c r="AJ101" s="45">
        <f t="shared" si="83"/>
        <v>0</v>
      </c>
      <c r="AK101" s="36">
        <v>2</v>
      </c>
      <c r="AL101" s="46">
        <f t="shared" si="84"/>
        <v>0</v>
      </c>
      <c r="AM101" s="47">
        <v>200</v>
      </c>
      <c r="AN101" s="48">
        <f t="shared" si="85"/>
        <v>0</v>
      </c>
      <c r="AO101" s="47"/>
      <c r="AP101" s="49">
        <f t="shared" si="86"/>
        <v>0</v>
      </c>
    </row>
    <row r="102" spans="1:42" s="1" customFormat="1" ht="15" customHeight="1">
      <c r="A102" s="91">
        <f t="shared" si="72"/>
        <v>99</v>
      </c>
      <c r="B102" s="34" t="s">
        <v>114</v>
      </c>
      <c r="C102" s="35" t="s">
        <v>305</v>
      </c>
      <c r="D102" s="35" t="s">
        <v>306</v>
      </c>
      <c r="E102" s="34" t="s">
        <v>307</v>
      </c>
      <c r="F102" s="34" t="s">
        <v>215</v>
      </c>
      <c r="G102" s="37" t="s">
        <v>119</v>
      </c>
      <c r="H102" s="37">
        <v>28</v>
      </c>
      <c r="I102" s="34">
        <v>35000</v>
      </c>
      <c r="J102" s="34">
        <v>35070</v>
      </c>
      <c r="K102" s="34" t="s">
        <v>120</v>
      </c>
      <c r="L102" s="39">
        <v>45890</v>
      </c>
      <c r="M102" s="40" t="s">
        <v>121</v>
      </c>
      <c r="N102" s="39" t="s">
        <v>122</v>
      </c>
      <c r="O102" s="39">
        <v>45881</v>
      </c>
      <c r="P102" s="39">
        <v>45907</v>
      </c>
      <c r="Q102" s="39">
        <v>45892</v>
      </c>
      <c r="R102" s="39">
        <v>46011</v>
      </c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4" t="s">
        <v>123</v>
      </c>
      <c r="AE102" s="54">
        <f t="shared" si="80"/>
        <v>0</v>
      </c>
      <c r="AF102" s="36">
        <v>7</v>
      </c>
      <c r="AG102" s="51">
        <f t="shared" si="81"/>
        <v>0</v>
      </c>
      <c r="AH102" s="52">
        <v>200</v>
      </c>
      <c r="AI102" s="53">
        <f t="shared" si="82"/>
        <v>0</v>
      </c>
      <c r="AJ102" s="54">
        <f t="shared" si="83"/>
        <v>0</v>
      </c>
      <c r="AK102" s="36">
        <v>2</v>
      </c>
      <c r="AL102" s="51">
        <f t="shared" si="84"/>
        <v>0</v>
      </c>
      <c r="AM102" s="52">
        <v>200</v>
      </c>
      <c r="AN102" s="53">
        <f t="shared" si="85"/>
        <v>0</v>
      </c>
      <c r="AO102" s="52"/>
      <c r="AP102" s="55">
        <f t="shared" si="86"/>
        <v>0</v>
      </c>
    </row>
    <row r="103" spans="1:42" s="1" customFormat="1" ht="15" customHeight="1">
      <c r="A103" s="91">
        <f t="shared" si="72"/>
        <v>100</v>
      </c>
      <c r="B103" s="34" t="s">
        <v>114</v>
      </c>
      <c r="C103" s="35" t="s">
        <v>308</v>
      </c>
      <c r="D103" s="35" t="s">
        <v>309</v>
      </c>
      <c r="E103" s="35" t="s">
        <v>310</v>
      </c>
      <c r="F103" s="34" t="s">
        <v>215</v>
      </c>
      <c r="G103" s="37" t="s">
        <v>119</v>
      </c>
      <c r="H103" s="37">
        <v>28</v>
      </c>
      <c r="I103" s="34">
        <v>35000</v>
      </c>
      <c r="J103" s="34">
        <v>35070</v>
      </c>
      <c r="K103" s="34" t="s">
        <v>120</v>
      </c>
      <c r="L103" s="39">
        <v>45890</v>
      </c>
      <c r="M103" s="40" t="s">
        <v>121</v>
      </c>
      <c r="N103" s="39" t="s">
        <v>122</v>
      </c>
      <c r="O103" s="39">
        <v>45881</v>
      </c>
      <c r="P103" s="39">
        <v>45907</v>
      </c>
      <c r="Q103" s="39">
        <v>45892</v>
      </c>
      <c r="R103" s="39">
        <v>46011</v>
      </c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4" t="s">
        <v>123</v>
      </c>
      <c r="AE103" s="45">
        <f t="shared" si="80"/>
        <v>0</v>
      </c>
      <c r="AF103" s="36">
        <v>7</v>
      </c>
      <c r="AG103" s="46">
        <f t="shared" si="81"/>
        <v>0</v>
      </c>
      <c r="AH103" s="47">
        <v>200</v>
      </c>
      <c r="AI103" s="48">
        <f t="shared" si="82"/>
        <v>0</v>
      </c>
      <c r="AJ103" s="45">
        <f t="shared" si="83"/>
        <v>0</v>
      </c>
      <c r="AK103" s="36">
        <v>2</v>
      </c>
      <c r="AL103" s="46">
        <f t="shared" si="84"/>
        <v>0</v>
      </c>
      <c r="AM103" s="47">
        <v>200</v>
      </c>
      <c r="AN103" s="48">
        <f t="shared" si="85"/>
        <v>0</v>
      </c>
      <c r="AO103" s="47"/>
      <c r="AP103" s="49">
        <f t="shared" si="86"/>
        <v>0</v>
      </c>
    </row>
    <row r="104" spans="1:42" s="1" customFormat="1" ht="15" customHeight="1">
      <c r="A104" s="91">
        <f t="shared" si="72"/>
        <v>101</v>
      </c>
      <c r="B104" s="34" t="s">
        <v>114</v>
      </c>
      <c r="C104" s="35" t="s">
        <v>311</v>
      </c>
      <c r="D104" s="35" t="s">
        <v>312</v>
      </c>
      <c r="E104" s="33" t="s">
        <v>313</v>
      </c>
      <c r="F104" s="34" t="s">
        <v>215</v>
      </c>
      <c r="G104" s="37" t="s">
        <v>119</v>
      </c>
      <c r="H104" s="37">
        <v>28</v>
      </c>
      <c r="I104" s="34">
        <v>35000</v>
      </c>
      <c r="J104" s="34">
        <v>35070</v>
      </c>
      <c r="K104" s="34" t="s">
        <v>120</v>
      </c>
      <c r="L104" s="39">
        <v>45890</v>
      </c>
      <c r="M104" s="40" t="s">
        <v>121</v>
      </c>
      <c r="N104" s="39" t="s">
        <v>122</v>
      </c>
      <c r="O104" s="39">
        <v>45881</v>
      </c>
      <c r="P104" s="39">
        <v>45907</v>
      </c>
      <c r="Q104" s="39">
        <v>45892</v>
      </c>
      <c r="R104" s="39">
        <v>46011</v>
      </c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4" t="s">
        <v>123</v>
      </c>
      <c r="AE104" s="54">
        <f t="shared" si="80"/>
        <v>0</v>
      </c>
      <c r="AF104" s="36">
        <v>7</v>
      </c>
      <c r="AG104" s="51">
        <f t="shared" si="81"/>
        <v>0</v>
      </c>
      <c r="AH104" s="52">
        <v>200</v>
      </c>
      <c r="AI104" s="53">
        <f t="shared" si="82"/>
        <v>0</v>
      </c>
      <c r="AJ104" s="54">
        <f t="shared" si="83"/>
        <v>0</v>
      </c>
      <c r="AK104" s="36">
        <v>2</v>
      </c>
      <c r="AL104" s="51">
        <f t="shared" si="84"/>
        <v>0</v>
      </c>
      <c r="AM104" s="52">
        <v>200</v>
      </c>
      <c r="AN104" s="53">
        <f t="shared" si="85"/>
        <v>0</v>
      </c>
      <c r="AO104" s="52"/>
      <c r="AP104" s="55">
        <f t="shared" si="86"/>
        <v>0</v>
      </c>
    </row>
    <row r="105" spans="1:42" s="1" customFormat="1" ht="15" customHeight="1">
      <c r="A105" s="91">
        <f t="shared" si="72"/>
        <v>102</v>
      </c>
      <c r="B105" s="34" t="s">
        <v>114</v>
      </c>
      <c r="C105" s="39" t="s">
        <v>314</v>
      </c>
      <c r="D105" s="39" t="s">
        <v>315</v>
      </c>
      <c r="E105" s="33" t="s">
        <v>316</v>
      </c>
      <c r="F105" s="34" t="s">
        <v>215</v>
      </c>
      <c r="G105" s="37" t="s">
        <v>119</v>
      </c>
      <c r="H105" s="37">
        <v>28</v>
      </c>
      <c r="I105" s="34">
        <v>35000</v>
      </c>
      <c r="J105" s="34">
        <v>35070</v>
      </c>
      <c r="K105" s="34" t="s">
        <v>120</v>
      </c>
      <c r="L105" s="39">
        <v>45890</v>
      </c>
      <c r="M105" s="40" t="s">
        <v>121</v>
      </c>
      <c r="N105" s="39" t="s">
        <v>122</v>
      </c>
      <c r="O105" s="39">
        <v>45881</v>
      </c>
      <c r="P105" s="39">
        <v>45907</v>
      </c>
      <c r="Q105" s="39">
        <v>45892</v>
      </c>
      <c r="R105" s="39">
        <v>46011</v>
      </c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4" t="s">
        <v>123</v>
      </c>
      <c r="AE105" s="45">
        <f t="shared" si="80"/>
        <v>0</v>
      </c>
      <c r="AF105" s="36">
        <v>7</v>
      </c>
      <c r="AG105" s="46">
        <f t="shared" si="81"/>
        <v>0</v>
      </c>
      <c r="AH105" s="47">
        <v>200</v>
      </c>
      <c r="AI105" s="48">
        <f t="shared" si="82"/>
        <v>0</v>
      </c>
      <c r="AJ105" s="45">
        <f t="shared" si="83"/>
        <v>0</v>
      </c>
      <c r="AK105" s="36">
        <v>2</v>
      </c>
      <c r="AL105" s="46">
        <f t="shared" si="84"/>
        <v>0</v>
      </c>
      <c r="AM105" s="47">
        <v>200</v>
      </c>
      <c r="AN105" s="48">
        <f t="shared" si="85"/>
        <v>0</v>
      </c>
      <c r="AO105" s="47"/>
      <c r="AP105" s="49">
        <f t="shared" si="86"/>
        <v>0</v>
      </c>
    </row>
    <row r="106" spans="1:42" s="1" customFormat="1" ht="15" customHeight="1">
      <c r="A106" s="91">
        <f t="shared" si="72"/>
        <v>103</v>
      </c>
      <c r="B106" s="34" t="s">
        <v>114</v>
      </c>
      <c r="C106" s="39" t="s">
        <v>317</v>
      </c>
      <c r="D106" s="39" t="s">
        <v>318</v>
      </c>
      <c r="E106" s="33" t="s">
        <v>319</v>
      </c>
      <c r="F106" s="34" t="s">
        <v>215</v>
      </c>
      <c r="G106" s="37" t="s">
        <v>119</v>
      </c>
      <c r="H106" s="37">
        <v>28</v>
      </c>
      <c r="I106" s="34">
        <v>35000</v>
      </c>
      <c r="J106" s="34">
        <v>35070</v>
      </c>
      <c r="K106" s="34" t="s">
        <v>120</v>
      </c>
      <c r="L106" s="39">
        <v>45890</v>
      </c>
      <c r="M106" s="40" t="s">
        <v>121</v>
      </c>
      <c r="N106" s="39" t="s">
        <v>122</v>
      </c>
      <c r="O106" s="39">
        <v>45881</v>
      </c>
      <c r="P106" s="39">
        <v>45907</v>
      </c>
      <c r="Q106" s="39">
        <v>45892</v>
      </c>
      <c r="R106" s="39">
        <v>46011</v>
      </c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4" t="s">
        <v>123</v>
      </c>
      <c r="AE106" s="54">
        <f t="shared" si="80"/>
        <v>0</v>
      </c>
      <c r="AF106" s="36">
        <v>7</v>
      </c>
      <c r="AG106" s="51">
        <f t="shared" si="81"/>
        <v>0</v>
      </c>
      <c r="AH106" s="52">
        <v>200</v>
      </c>
      <c r="AI106" s="53">
        <f t="shared" si="82"/>
        <v>0</v>
      </c>
      <c r="AJ106" s="54">
        <f t="shared" si="83"/>
        <v>0</v>
      </c>
      <c r="AK106" s="36">
        <v>2</v>
      </c>
      <c r="AL106" s="51">
        <f t="shared" si="84"/>
        <v>0</v>
      </c>
      <c r="AM106" s="52">
        <v>200</v>
      </c>
      <c r="AN106" s="53">
        <f t="shared" si="85"/>
        <v>0</v>
      </c>
      <c r="AO106" s="52"/>
      <c r="AP106" s="55">
        <f t="shared" si="86"/>
        <v>0</v>
      </c>
    </row>
    <row r="107" spans="1:42" s="1" customFormat="1" ht="15" customHeight="1">
      <c r="A107" s="91">
        <f t="shared" si="72"/>
        <v>104</v>
      </c>
      <c r="B107" s="34" t="s">
        <v>114</v>
      </c>
      <c r="C107" s="35" t="s">
        <v>320</v>
      </c>
      <c r="D107" s="35" t="s">
        <v>321</v>
      </c>
      <c r="E107" s="33" t="s">
        <v>322</v>
      </c>
      <c r="F107" s="34" t="s">
        <v>215</v>
      </c>
      <c r="G107" s="37" t="s">
        <v>119</v>
      </c>
      <c r="H107" s="37">
        <v>27</v>
      </c>
      <c r="I107" s="34">
        <v>33750</v>
      </c>
      <c r="J107" s="34">
        <v>33845</v>
      </c>
      <c r="K107" s="34" t="s">
        <v>120</v>
      </c>
      <c r="L107" s="39">
        <v>45890</v>
      </c>
      <c r="M107" s="40" t="s">
        <v>121</v>
      </c>
      <c r="N107" s="39" t="s">
        <v>122</v>
      </c>
      <c r="O107" s="39">
        <v>45881</v>
      </c>
      <c r="P107" s="39">
        <v>45907</v>
      </c>
      <c r="Q107" s="39">
        <v>45892</v>
      </c>
      <c r="R107" s="39">
        <v>46011</v>
      </c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4" t="s">
        <v>123</v>
      </c>
      <c r="AE107" s="54">
        <f t="shared" si="80"/>
        <v>0</v>
      </c>
      <c r="AF107" s="36">
        <v>7</v>
      </c>
      <c r="AG107" s="51">
        <f t="shared" si="81"/>
        <v>0</v>
      </c>
      <c r="AH107" s="52">
        <v>200</v>
      </c>
      <c r="AI107" s="53">
        <f t="shared" si="82"/>
        <v>0</v>
      </c>
      <c r="AJ107" s="54">
        <f t="shared" si="83"/>
        <v>0</v>
      </c>
      <c r="AK107" s="36">
        <v>2</v>
      </c>
      <c r="AL107" s="51">
        <f t="shared" si="84"/>
        <v>0</v>
      </c>
      <c r="AM107" s="52">
        <v>200</v>
      </c>
      <c r="AN107" s="53">
        <f t="shared" si="85"/>
        <v>0</v>
      </c>
      <c r="AO107" s="52"/>
      <c r="AP107" s="55">
        <f t="shared" si="86"/>
        <v>0</v>
      </c>
    </row>
    <row r="108" spans="1:42" s="1" customFormat="1" ht="15" customHeight="1">
      <c r="A108" s="91">
        <f t="shared" si="72"/>
        <v>105</v>
      </c>
      <c r="B108" s="34" t="s">
        <v>114</v>
      </c>
      <c r="C108" s="35" t="s">
        <v>323</v>
      </c>
      <c r="D108" s="35" t="s">
        <v>324</v>
      </c>
      <c r="E108" s="33" t="s">
        <v>325</v>
      </c>
      <c r="F108" s="34" t="s">
        <v>215</v>
      </c>
      <c r="G108" s="37" t="s">
        <v>119</v>
      </c>
      <c r="H108" s="37">
        <v>29</v>
      </c>
      <c r="I108" s="34">
        <v>36250</v>
      </c>
      <c r="J108" s="34">
        <v>36323</v>
      </c>
      <c r="K108" s="34" t="s">
        <v>120</v>
      </c>
      <c r="L108" s="39">
        <v>45890</v>
      </c>
      <c r="M108" s="40" t="s">
        <v>121</v>
      </c>
      <c r="N108" s="39" t="s">
        <v>122</v>
      </c>
      <c r="O108" s="39">
        <v>45881</v>
      </c>
      <c r="P108" s="39">
        <v>45907</v>
      </c>
      <c r="Q108" s="39">
        <v>45892</v>
      </c>
      <c r="R108" s="39">
        <v>46011</v>
      </c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4" t="s">
        <v>123</v>
      </c>
      <c r="AE108" s="45">
        <f t="shared" si="80"/>
        <v>0</v>
      </c>
      <c r="AF108" s="36">
        <v>7</v>
      </c>
      <c r="AG108" s="46">
        <f t="shared" si="81"/>
        <v>0</v>
      </c>
      <c r="AH108" s="47">
        <v>200</v>
      </c>
      <c r="AI108" s="48">
        <f t="shared" si="82"/>
        <v>0</v>
      </c>
      <c r="AJ108" s="45">
        <f t="shared" si="83"/>
        <v>0</v>
      </c>
      <c r="AK108" s="36">
        <v>2</v>
      </c>
      <c r="AL108" s="46">
        <f t="shared" si="84"/>
        <v>0</v>
      </c>
      <c r="AM108" s="47">
        <v>200</v>
      </c>
      <c r="AN108" s="48">
        <f t="shared" si="85"/>
        <v>0</v>
      </c>
      <c r="AO108" s="47"/>
      <c r="AP108" s="49">
        <f t="shared" si="86"/>
        <v>0</v>
      </c>
    </row>
    <row r="109" spans="1:42" s="1" customFormat="1" ht="15" customHeight="1">
      <c r="A109" s="91">
        <f t="shared" ref="A109:A118" si="87">ROW()-3</f>
        <v>106</v>
      </c>
      <c r="B109" s="34" t="s">
        <v>114</v>
      </c>
      <c r="C109" s="67" t="s">
        <v>326</v>
      </c>
      <c r="D109" s="67" t="s">
        <v>327</v>
      </c>
      <c r="E109" s="70" t="s">
        <v>328</v>
      </c>
      <c r="F109" s="34" t="s">
        <v>215</v>
      </c>
      <c r="G109" s="37" t="s">
        <v>329</v>
      </c>
      <c r="H109" s="37">
        <v>25</v>
      </c>
      <c r="I109" s="70">
        <v>31250</v>
      </c>
      <c r="J109" s="70">
        <v>31338</v>
      </c>
      <c r="K109" s="34" t="s">
        <v>120</v>
      </c>
      <c r="L109" s="39">
        <v>45890</v>
      </c>
      <c r="M109" s="40" t="s">
        <v>121</v>
      </c>
      <c r="N109" s="39" t="s">
        <v>122</v>
      </c>
      <c r="O109" s="39">
        <v>45881</v>
      </c>
      <c r="P109" s="39">
        <v>45907</v>
      </c>
      <c r="Q109" s="39">
        <v>45892</v>
      </c>
      <c r="R109" s="39">
        <v>46010</v>
      </c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4" t="s">
        <v>184</v>
      </c>
      <c r="AE109" s="45">
        <f t="shared" ref="AE109:AE118" si="88">MAX(0,Y109-X109)</f>
        <v>0</v>
      </c>
      <c r="AF109" s="36">
        <v>7</v>
      </c>
      <c r="AG109" s="46">
        <f t="shared" ref="AG109:AG118" si="89">MAX(0,AE109-AF109)</f>
        <v>0</v>
      </c>
      <c r="AH109" s="47">
        <v>200</v>
      </c>
      <c r="AI109" s="48">
        <f t="shared" ref="AI109:AI118" si="90">MAX(0,AG109*AH109)</f>
        <v>0</v>
      </c>
      <c r="AJ109" s="45">
        <f t="shared" ref="AJ109:AJ118" si="91">MAX(0,AC109-AB109)</f>
        <v>0</v>
      </c>
      <c r="AK109" s="36">
        <v>2</v>
      </c>
      <c r="AL109" s="46">
        <f t="shared" ref="AL109:AL118" si="92">MAX(0,AJ109-AK109)</f>
        <v>0</v>
      </c>
      <c r="AM109" s="47">
        <v>200</v>
      </c>
      <c r="AN109" s="48">
        <f t="shared" ref="AN109:AN118" si="93">MAX(0,AL109*AM109)</f>
        <v>0</v>
      </c>
      <c r="AO109" s="47"/>
      <c r="AP109" s="49">
        <f t="shared" ref="AP109:AP118" si="94">AO109+AN109+AI109</f>
        <v>0</v>
      </c>
    </row>
    <row r="110" spans="1:42" s="1" customFormat="1" ht="15" customHeight="1">
      <c r="A110" s="91">
        <f t="shared" si="87"/>
        <v>107</v>
      </c>
      <c r="B110" s="34" t="s">
        <v>114</v>
      </c>
      <c r="C110" s="67" t="s">
        <v>330</v>
      </c>
      <c r="D110" s="67" t="s">
        <v>331</v>
      </c>
      <c r="E110" s="70" t="s">
        <v>332</v>
      </c>
      <c r="F110" s="34" t="s">
        <v>215</v>
      </c>
      <c r="G110" s="37" t="s">
        <v>329</v>
      </c>
      <c r="H110" s="37">
        <v>24</v>
      </c>
      <c r="I110" s="33">
        <v>30000</v>
      </c>
      <c r="J110" s="77">
        <v>30084</v>
      </c>
      <c r="K110" s="34" t="s">
        <v>120</v>
      </c>
      <c r="L110" s="39">
        <v>45890</v>
      </c>
      <c r="M110" s="40" t="s">
        <v>121</v>
      </c>
      <c r="N110" s="39" t="s">
        <v>122</v>
      </c>
      <c r="O110" s="39">
        <v>45881</v>
      </c>
      <c r="P110" s="39">
        <v>45907</v>
      </c>
      <c r="Q110" s="39">
        <v>45892</v>
      </c>
      <c r="R110" s="39">
        <v>46010</v>
      </c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4" t="s">
        <v>184</v>
      </c>
      <c r="AE110" s="54">
        <f t="shared" si="88"/>
        <v>0</v>
      </c>
      <c r="AF110" s="36">
        <v>7</v>
      </c>
      <c r="AG110" s="51">
        <f t="shared" si="89"/>
        <v>0</v>
      </c>
      <c r="AH110" s="52">
        <v>200</v>
      </c>
      <c r="AI110" s="53">
        <f t="shared" si="90"/>
        <v>0</v>
      </c>
      <c r="AJ110" s="54">
        <f t="shared" si="91"/>
        <v>0</v>
      </c>
      <c r="AK110" s="36">
        <v>2</v>
      </c>
      <c r="AL110" s="51">
        <f t="shared" si="92"/>
        <v>0</v>
      </c>
      <c r="AM110" s="52">
        <v>200</v>
      </c>
      <c r="AN110" s="53">
        <f t="shared" si="93"/>
        <v>0</v>
      </c>
      <c r="AO110" s="52"/>
      <c r="AP110" s="55">
        <f t="shared" si="94"/>
        <v>0</v>
      </c>
    </row>
    <row r="111" spans="1:42" s="1" customFormat="1" ht="15" customHeight="1">
      <c r="A111" s="91">
        <f t="shared" si="87"/>
        <v>108</v>
      </c>
      <c r="B111" s="34" t="s">
        <v>114</v>
      </c>
      <c r="C111" s="67" t="s">
        <v>333</v>
      </c>
      <c r="D111" s="35" t="s">
        <v>334</v>
      </c>
      <c r="E111" s="73" t="s">
        <v>335</v>
      </c>
      <c r="F111" s="34" t="s">
        <v>215</v>
      </c>
      <c r="G111" s="37" t="s">
        <v>329</v>
      </c>
      <c r="H111" s="37">
        <v>28</v>
      </c>
      <c r="I111" s="70">
        <v>35000</v>
      </c>
      <c r="J111" s="70">
        <v>35070</v>
      </c>
      <c r="K111" s="34" t="s">
        <v>120</v>
      </c>
      <c r="L111" s="39">
        <v>45890</v>
      </c>
      <c r="M111" s="40" t="s">
        <v>121</v>
      </c>
      <c r="N111" s="39" t="s">
        <v>122</v>
      </c>
      <c r="O111" s="39">
        <v>45881</v>
      </c>
      <c r="P111" s="39">
        <v>45907</v>
      </c>
      <c r="Q111" s="39">
        <v>45892</v>
      </c>
      <c r="R111" s="39">
        <v>46010</v>
      </c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4" t="s">
        <v>184</v>
      </c>
      <c r="AE111" s="45">
        <f t="shared" si="88"/>
        <v>0</v>
      </c>
      <c r="AF111" s="36">
        <v>7</v>
      </c>
      <c r="AG111" s="46">
        <f t="shared" si="89"/>
        <v>0</v>
      </c>
      <c r="AH111" s="47">
        <v>200</v>
      </c>
      <c r="AI111" s="48">
        <f t="shared" si="90"/>
        <v>0</v>
      </c>
      <c r="AJ111" s="45">
        <f t="shared" si="91"/>
        <v>0</v>
      </c>
      <c r="AK111" s="36">
        <v>2</v>
      </c>
      <c r="AL111" s="46">
        <f t="shared" si="92"/>
        <v>0</v>
      </c>
      <c r="AM111" s="47">
        <v>200</v>
      </c>
      <c r="AN111" s="48">
        <f t="shared" si="93"/>
        <v>0</v>
      </c>
      <c r="AO111" s="47"/>
      <c r="AP111" s="49">
        <f t="shared" si="94"/>
        <v>0</v>
      </c>
    </row>
    <row r="112" spans="1:42" s="1" customFormat="1" ht="15" customHeight="1">
      <c r="A112" s="91">
        <f t="shared" si="87"/>
        <v>109</v>
      </c>
      <c r="B112" s="34" t="s">
        <v>114</v>
      </c>
      <c r="C112" s="67" t="s">
        <v>336</v>
      </c>
      <c r="D112" s="67" t="s">
        <v>337</v>
      </c>
      <c r="E112" s="125" t="s">
        <v>338</v>
      </c>
      <c r="F112" s="34" t="s">
        <v>215</v>
      </c>
      <c r="G112" s="37" t="s">
        <v>329</v>
      </c>
      <c r="H112" s="37">
        <v>28</v>
      </c>
      <c r="I112" s="70">
        <v>35000</v>
      </c>
      <c r="J112" s="70">
        <v>35070</v>
      </c>
      <c r="K112" s="34" t="s">
        <v>120</v>
      </c>
      <c r="L112" s="39">
        <v>45890</v>
      </c>
      <c r="M112" s="40" t="s">
        <v>121</v>
      </c>
      <c r="N112" s="39" t="s">
        <v>122</v>
      </c>
      <c r="O112" s="39">
        <v>45881</v>
      </c>
      <c r="P112" s="39">
        <v>45907</v>
      </c>
      <c r="Q112" s="39">
        <v>45892</v>
      </c>
      <c r="R112" s="39">
        <v>46010</v>
      </c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4" t="s">
        <v>184</v>
      </c>
      <c r="AE112" s="54">
        <f t="shared" si="88"/>
        <v>0</v>
      </c>
      <c r="AF112" s="36">
        <v>7</v>
      </c>
      <c r="AG112" s="51">
        <f t="shared" si="89"/>
        <v>0</v>
      </c>
      <c r="AH112" s="52">
        <v>200</v>
      </c>
      <c r="AI112" s="53">
        <f t="shared" si="90"/>
        <v>0</v>
      </c>
      <c r="AJ112" s="54">
        <f t="shared" si="91"/>
        <v>0</v>
      </c>
      <c r="AK112" s="36">
        <v>2</v>
      </c>
      <c r="AL112" s="51">
        <f t="shared" si="92"/>
        <v>0</v>
      </c>
      <c r="AM112" s="52">
        <v>200</v>
      </c>
      <c r="AN112" s="53">
        <f t="shared" si="93"/>
        <v>0</v>
      </c>
      <c r="AO112" s="52"/>
      <c r="AP112" s="55">
        <f t="shared" si="94"/>
        <v>0</v>
      </c>
    </row>
    <row r="113" spans="1:42" s="1" customFormat="1" ht="15" customHeight="1">
      <c r="A113" s="91">
        <f t="shared" si="87"/>
        <v>110</v>
      </c>
      <c r="B113" s="34" t="s">
        <v>114</v>
      </c>
      <c r="C113" s="75" t="s">
        <v>339</v>
      </c>
      <c r="D113" s="39" t="s">
        <v>340</v>
      </c>
      <c r="E113" s="73" t="s">
        <v>341</v>
      </c>
      <c r="F113" s="34" t="s">
        <v>215</v>
      </c>
      <c r="G113" s="37" t="s">
        <v>329</v>
      </c>
      <c r="H113" s="37">
        <v>28</v>
      </c>
      <c r="I113" s="70">
        <v>35000</v>
      </c>
      <c r="J113" s="70">
        <v>35070</v>
      </c>
      <c r="K113" s="34" t="s">
        <v>120</v>
      </c>
      <c r="L113" s="39">
        <v>45890</v>
      </c>
      <c r="M113" s="40" t="s">
        <v>121</v>
      </c>
      <c r="N113" s="39" t="s">
        <v>122</v>
      </c>
      <c r="O113" s="39">
        <v>45881</v>
      </c>
      <c r="P113" s="39">
        <v>45907</v>
      </c>
      <c r="Q113" s="39">
        <v>45892</v>
      </c>
      <c r="R113" s="39">
        <v>46010</v>
      </c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4" t="s">
        <v>184</v>
      </c>
      <c r="AE113" s="45">
        <f t="shared" si="88"/>
        <v>0</v>
      </c>
      <c r="AF113" s="36">
        <v>7</v>
      </c>
      <c r="AG113" s="46">
        <f t="shared" si="89"/>
        <v>0</v>
      </c>
      <c r="AH113" s="47">
        <v>200</v>
      </c>
      <c r="AI113" s="48">
        <f t="shared" si="90"/>
        <v>0</v>
      </c>
      <c r="AJ113" s="45">
        <f t="shared" si="91"/>
        <v>0</v>
      </c>
      <c r="AK113" s="36">
        <v>2</v>
      </c>
      <c r="AL113" s="46">
        <f t="shared" si="92"/>
        <v>0</v>
      </c>
      <c r="AM113" s="47">
        <v>200</v>
      </c>
      <c r="AN113" s="48">
        <f t="shared" si="93"/>
        <v>0</v>
      </c>
      <c r="AO113" s="47"/>
      <c r="AP113" s="49">
        <f t="shared" si="94"/>
        <v>0</v>
      </c>
    </row>
    <row r="114" spans="1:42" s="1" customFormat="1" ht="15" customHeight="1">
      <c r="A114" s="91">
        <f t="shared" si="87"/>
        <v>111</v>
      </c>
      <c r="B114" s="34" t="s">
        <v>114</v>
      </c>
      <c r="C114" s="75" t="s">
        <v>342</v>
      </c>
      <c r="D114" s="39" t="s">
        <v>343</v>
      </c>
      <c r="E114" s="76" t="s">
        <v>344</v>
      </c>
      <c r="F114" s="34" t="s">
        <v>215</v>
      </c>
      <c r="G114" s="37" t="s">
        <v>329</v>
      </c>
      <c r="H114" s="37">
        <v>28</v>
      </c>
      <c r="I114" s="70">
        <v>35000</v>
      </c>
      <c r="J114" s="70">
        <v>35070</v>
      </c>
      <c r="K114" s="34" t="s">
        <v>120</v>
      </c>
      <c r="L114" s="39">
        <v>45890</v>
      </c>
      <c r="M114" s="40" t="s">
        <v>121</v>
      </c>
      <c r="N114" s="39" t="s">
        <v>122</v>
      </c>
      <c r="O114" s="39">
        <v>45881</v>
      </c>
      <c r="P114" s="39">
        <v>45907</v>
      </c>
      <c r="Q114" s="39">
        <v>45892</v>
      </c>
      <c r="R114" s="39">
        <v>46010</v>
      </c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4" t="s">
        <v>184</v>
      </c>
      <c r="AE114" s="54">
        <f t="shared" si="88"/>
        <v>0</v>
      </c>
      <c r="AF114" s="36">
        <v>7</v>
      </c>
      <c r="AG114" s="51">
        <f t="shared" si="89"/>
        <v>0</v>
      </c>
      <c r="AH114" s="52">
        <v>200</v>
      </c>
      <c r="AI114" s="53">
        <f t="shared" si="90"/>
        <v>0</v>
      </c>
      <c r="AJ114" s="54">
        <f t="shared" si="91"/>
        <v>0</v>
      </c>
      <c r="AK114" s="36">
        <v>2</v>
      </c>
      <c r="AL114" s="51">
        <f t="shared" si="92"/>
        <v>0</v>
      </c>
      <c r="AM114" s="52">
        <v>200</v>
      </c>
      <c r="AN114" s="53">
        <f t="shared" si="93"/>
        <v>0</v>
      </c>
      <c r="AO114" s="52"/>
      <c r="AP114" s="55">
        <f t="shared" si="94"/>
        <v>0</v>
      </c>
    </row>
    <row r="115" spans="1:42" s="1" customFormat="1" ht="15" customHeight="1">
      <c r="A115" s="91">
        <f t="shared" si="87"/>
        <v>112</v>
      </c>
      <c r="B115" s="34" t="s">
        <v>114</v>
      </c>
      <c r="C115" s="69" t="s">
        <v>345</v>
      </c>
      <c r="D115" s="67" t="s">
        <v>346</v>
      </c>
      <c r="E115" s="67" t="s">
        <v>347</v>
      </c>
      <c r="F115" s="34" t="s">
        <v>215</v>
      </c>
      <c r="G115" s="37" t="s">
        <v>329</v>
      </c>
      <c r="H115" s="37">
        <v>24</v>
      </c>
      <c r="I115" s="33">
        <v>30000</v>
      </c>
      <c r="J115" s="77">
        <v>30084</v>
      </c>
      <c r="K115" s="34" t="s">
        <v>120</v>
      </c>
      <c r="L115" s="39">
        <v>45890</v>
      </c>
      <c r="M115" s="40" t="s">
        <v>121</v>
      </c>
      <c r="N115" s="39" t="s">
        <v>122</v>
      </c>
      <c r="O115" s="39">
        <v>45881</v>
      </c>
      <c r="P115" s="39">
        <v>45907</v>
      </c>
      <c r="Q115" s="39">
        <v>45892</v>
      </c>
      <c r="R115" s="39">
        <v>46010</v>
      </c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4" t="s">
        <v>184</v>
      </c>
      <c r="AE115" s="45">
        <f t="shared" si="88"/>
        <v>0</v>
      </c>
      <c r="AF115" s="36">
        <v>7</v>
      </c>
      <c r="AG115" s="46">
        <f t="shared" si="89"/>
        <v>0</v>
      </c>
      <c r="AH115" s="47">
        <v>200</v>
      </c>
      <c r="AI115" s="48">
        <f t="shared" si="90"/>
        <v>0</v>
      </c>
      <c r="AJ115" s="45">
        <f t="shared" si="91"/>
        <v>0</v>
      </c>
      <c r="AK115" s="36">
        <v>2</v>
      </c>
      <c r="AL115" s="46">
        <f t="shared" si="92"/>
        <v>0</v>
      </c>
      <c r="AM115" s="47">
        <v>200</v>
      </c>
      <c r="AN115" s="48">
        <f t="shared" si="93"/>
        <v>0</v>
      </c>
      <c r="AO115" s="47"/>
      <c r="AP115" s="49">
        <f t="shared" si="94"/>
        <v>0</v>
      </c>
    </row>
    <row r="116" spans="1:42" s="1" customFormat="1" ht="15" customHeight="1">
      <c r="A116" s="91">
        <f t="shared" si="87"/>
        <v>113</v>
      </c>
      <c r="B116" s="34" t="s">
        <v>114</v>
      </c>
      <c r="C116" s="69" t="s">
        <v>348</v>
      </c>
      <c r="D116" s="70" t="s">
        <v>349</v>
      </c>
      <c r="E116" s="70" t="s">
        <v>350</v>
      </c>
      <c r="F116" s="34" t="s">
        <v>215</v>
      </c>
      <c r="G116" s="37" t="s">
        <v>329</v>
      </c>
      <c r="H116" s="37">
        <v>24</v>
      </c>
      <c r="I116" s="70">
        <v>31250</v>
      </c>
      <c r="J116" s="70">
        <v>31338</v>
      </c>
      <c r="K116" s="34" t="s">
        <v>120</v>
      </c>
      <c r="L116" s="39">
        <v>45890</v>
      </c>
      <c r="M116" s="40" t="s">
        <v>121</v>
      </c>
      <c r="N116" s="39" t="s">
        <v>122</v>
      </c>
      <c r="O116" s="39">
        <v>45881</v>
      </c>
      <c r="P116" s="39">
        <v>45907</v>
      </c>
      <c r="Q116" s="39">
        <v>45892</v>
      </c>
      <c r="R116" s="39">
        <v>46010</v>
      </c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4" t="s">
        <v>184</v>
      </c>
      <c r="AE116" s="54">
        <f t="shared" si="88"/>
        <v>0</v>
      </c>
      <c r="AF116" s="36">
        <v>7</v>
      </c>
      <c r="AG116" s="51">
        <f t="shared" si="89"/>
        <v>0</v>
      </c>
      <c r="AH116" s="52">
        <v>200</v>
      </c>
      <c r="AI116" s="53">
        <f t="shared" si="90"/>
        <v>0</v>
      </c>
      <c r="AJ116" s="54">
        <f t="shared" si="91"/>
        <v>0</v>
      </c>
      <c r="AK116" s="36">
        <v>2</v>
      </c>
      <c r="AL116" s="51">
        <f t="shared" si="92"/>
        <v>0</v>
      </c>
      <c r="AM116" s="52">
        <v>200</v>
      </c>
      <c r="AN116" s="53">
        <f t="shared" si="93"/>
        <v>0</v>
      </c>
      <c r="AO116" s="52"/>
      <c r="AP116" s="55">
        <f t="shared" si="94"/>
        <v>0</v>
      </c>
    </row>
    <row r="117" spans="1:42" s="1" customFormat="1" ht="15" customHeight="1">
      <c r="A117" s="91">
        <f t="shared" si="87"/>
        <v>114</v>
      </c>
      <c r="B117" s="34" t="s">
        <v>114</v>
      </c>
      <c r="C117" s="67" t="s">
        <v>351</v>
      </c>
      <c r="D117" s="67" t="s">
        <v>352</v>
      </c>
      <c r="E117" s="70" t="s">
        <v>353</v>
      </c>
      <c r="F117" s="34" t="s">
        <v>215</v>
      </c>
      <c r="G117" s="37" t="s">
        <v>329</v>
      </c>
      <c r="H117" s="37">
        <v>28</v>
      </c>
      <c r="I117" s="70">
        <v>35000</v>
      </c>
      <c r="J117" s="70">
        <v>35070</v>
      </c>
      <c r="K117" s="34" t="s">
        <v>120</v>
      </c>
      <c r="L117" s="39">
        <v>45890</v>
      </c>
      <c r="M117" s="40" t="s">
        <v>121</v>
      </c>
      <c r="N117" s="39" t="s">
        <v>122</v>
      </c>
      <c r="O117" s="39">
        <v>45881</v>
      </c>
      <c r="P117" s="39">
        <v>45907</v>
      </c>
      <c r="Q117" s="39">
        <v>45892</v>
      </c>
      <c r="R117" s="39">
        <v>46010</v>
      </c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4" t="s">
        <v>184</v>
      </c>
      <c r="AE117" s="45">
        <f t="shared" si="88"/>
        <v>0</v>
      </c>
      <c r="AF117" s="36">
        <v>7</v>
      </c>
      <c r="AG117" s="46">
        <f t="shared" si="89"/>
        <v>0</v>
      </c>
      <c r="AH117" s="47">
        <v>200</v>
      </c>
      <c r="AI117" s="48">
        <f t="shared" si="90"/>
        <v>0</v>
      </c>
      <c r="AJ117" s="45">
        <f t="shared" si="91"/>
        <v>0</v>
      </c>
      <c r="AK117" s="36">
        <v>2</v>
      </c>
      <c r="AL117" s="46">
        <f t="shared" si="92"/>
        <v>0</v>
      </c>
      <c r="AM117" s="47">
        <v>200</v>
      </c>
      <c r="AN117" s="48">
        <f t="shared" si="93"/>
        <v>0</v>
      </c>
      <c r="AO117" s="47"/>
      <c r="AP117" s="49">
        <f t="shared" si="94"/>
        <v>0</v>
      </c>
    </row>
    <row r="118" spans="1:42" s="1" customFormat="1" ht="15" customHeight="1">
      <c r="A118" s="91">
        <f t="shared" si="87"/>
        <v>115</v>
      </c>
      <c r="B118" s="34" t="s">
        <v>114</v>
      </c>
      <c r="C118" s="67" t="s">
        <v>354</v>
      </c>
      <c r="D118" s="67" t="s">
        <v>355</v>
      </c>
      <c r="E118" s="70" t="s">
        <v>356</v>
      </c>
      <c r="F118" s="34" t="s">
        <v>215</v>
      </c>
      <c r="G118" s="37" t="s">
        <v>329</v>
      </c>
      <c r="H118" s="37">
        <v>28</v>
      </c>
      <c r="I118" s="70">
        <v>35000</v>
      </c>
      <c r="J118" s="70">
        <v>35070</v>
      </c>
      <c r="K118" s="34" t="s">
        <v>120</v>
      </c>
      <c r="L118" s="39">
        <v>45890</v>
      </c>
      <c r="M118" s="40" t="s">
        <v>121</v>
      </c>
      <c r="N118" s="39" t="s">
        <v>122</v>
      </c>
      <c r="O118" s="39">
        <v>45881</v>
      </c>
      <c r="P118" s="39">
        <v>45907</v>
      </c>
      <c r="Q118" s="39">
        <v>45892</v>
      </c>
      <c r="R118" s="39">
        <v>46010</v>
      </c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4" t="s">
        <v>184</v>
      </c>
      <c r="AE118" s="54">
        <f t="shared" si="88"/>
        <v>0</v>
      </c>
      <c r="AF118" s="36">
        <v>7</v>
      </c>
      <c r="AG118" s="51">
        <f t="shared" si="89"/>
        <v>0</v>
      </c>
      <c r="AH118" s="52">
        <v>200</v>
      </c>
      <c r="AI118" s="53">
        <f t="shared" si="90"/>
        <v>0</v>
      </c>
      <c r="AJ118" s="54">
        <f t="shared" si="91"/>
        <v>0</v>
      </c>
      <c r="AK118" s="36">
        <v>2</v>
      </c>
      <c r="AL118" s="51">
        <f t="shared" si="92"/>
        <v>0</v>
      </c>
      <c r="AM118" s="52">
        <v>200</v>
      </c>
      <c r="AN118" s="53">
        <f t="shared" si="93"/>
        <v>0</v>
      </c>
      <c r="AO118" s="52"/>
      <c r="AP118" s="55">
        <f t="shared" si="94"/>
        <v>0</v>
      </c>
    </row>
    <row r="119" spans="1:42" s="1" customFormat="1" ht="15" customHeight="1">
      <c r="A119" s="91">
        <f t="shared" ref="A119:A126" si="95">ROW()-3</f>
        <v>116</v>
      </c>
      <c r="B119" s="34" t="s">
        <v>114</v>
      </c>
      <c r="C119" s="35" t="s">
        <v>357</v>
      </c>
      <c r="D119" s="35" t="s">
        <v>358</v>
      </c>
      <c r="E119" s="95" t="s">
        <v>359</v>
      </c>
      <c r="F119" s="34" t="s">
        <v>215</v>
      </c>
      <c r="G119" s="33" t="s">
        <v>329</v>
      </c>
      <c r="H119" s="37">
        <v>28</v>
      </c>
      <c r="I119" s="34">
        <v>35000</v>
      </c>
      <c r="J119" s="34">
        <v>35070</v>
      </c>
      <c r="K119" s="34" t="s">
        <v>120</v>
      </c>
      <c r="L119" s="39">
        <v>45890</v>
      </c>
      <c r="M119" s="40" t="s">
        <v>121</v>
      </c>
      <c r="N119" s="39" t="s">
        <v>122</v>
      </c>
      <c r="O119" s="39">
        <v>45881</v>
      </c>
      <c r="P119" s="39">
        <v>45907</v>
      </c>
      <c r="Q119" s="39">
        <v>45892</v>
      </c>
      <c r="R119" s="39">
        <v>46006</v>
      </c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4" t="s">
        <v>360</v>
      </c>
      <c r="AE119" s="45">
        <f t="shared" ref="AE119:AE125" si="96">MAX(0,Y119-X119)</f>
        <v>0</v>
      </c>
      <c r="AF119" s="36">
        <v>7</v>
      </c>
      <c r="AG119" s="46">
        <f t="shared" ref="AG119:AG125" si="97">MAX(0,AE119-AF119)</f>
        <v>0</v>
      </c>
      <c r="AH119" s="47">
        <v>200</v>
      </c>
      <c r="AI119" s="48">
        <f t="shared" ref="AI119:AI125" si="98">MAX(0,AG119*AH119)</f>
        <v>0</v>
      </c>
      <c r="AJ119" s="45">
        <f t="shared" ref="AJ119:AJ125" si="99">MAX(0,AC119-AB119)</f>
        <v>0</v>
      </c>
      <c r="AK119" s="36">
        <v>2</v>
      </c>
      <c r="AL119" s="46">
        <f t="shared" ref="AL119:AL125" si="100">MAX(0,AJ119-AK119)</f>
        <v>0</v>
      </c>
      <c r="AM119" s="47">
        <v>200</v>
      </c>
      <c r="AN119" s="48">
        <f t="shared" ref="AN119:AN125" si="101">MAX(0,AL119*AM119)</f>
        <v>0</v>
      </c>
      <c r="AO119" s="47"/>
      <c r="AP119" s="49">
        <f t="shared" ref="AP119:AP125" si="102">AO119+AN119+AI119</f>
        <v>0</v>
      </c>
    </row>
    <row r="120" spans="1:42" s="1" customFormat="1" ht="15" customHeight="1">
      <c r="A120" s="91">
        <f t="shared" si="95"/>
        <v>117</v>
      </c>
      <c r="B120" s="34" t="s">
        <v>114</v>
      </c>
      <c r="C120" s="35" t="s">
        <v>361</v>
      </c>
      <c r="D120" s="35" t="s">
        <v>362</v>
      </c>
      <c r="E120" s="34" t="s">
        <v>363</v>
      </c>
      <c r="F120" s="34" t="s">
        <v>215</v>
      </c>
      <c r="G120" s="33" t="s">
        <v>329</v>
      </c>
      <c r="H120" s="37">
        <v>28</v>
      </c>
      <c r="I120" s="34">
        <v>35000</v>
      </c>
      <c r="J120" s="34">
        <v>35070</v>
      </c>
      <c r="K120" s="34" t="s">
        <v>120</v>
      </c>
      <c r="L120" s="39">
        <v>45890</v>
      </c>
      <c r="M120" s="40" t="s">
        <v>121</v>
      </c>
      <c r="N120" s="39" t="s">
        <v>122</v>
      </c>
      <c r="O120" s="39">
        <v>45881</v>
      </c>
      <c r="P120" s="39">
        <v>45907</v>
      </c>
      <c r="Q120" s="39">
        <v>45892</v>
      </c>
      <c r="R120" s="39">
        <v>46006</v>
      </c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4" t="s">
        <v>360</v>
      </c>
      <c r="AE120" s="54">
        <f t="shared" si="96"/>
        <v>0</v>
      </c>
      <c r="AF120" s="36">
        <v>7</v>
      </c>
      <c r="AG120" s="51">
        <f t="shared" si="97"/>
        <v>0</v>
      </c>
      <c r="AH120" s="52">
        <v>200</v>
      </c>
      <c r="AI120" s="53">
        <f t="shared" si="98"/>
        <v>0</v>
      </c>
      <c r="AJ120" s="54">
        <f t="shared" si="99"/>
        <v>0</v>
      </c>
      <c r="AK120" s="36">
        <v>2</v>
      </c>
      <c r="AL120" s="51">
        <f t="shared" si="100"/>
        <v>0</v>
      </c>
      <c r="AM120" s="52">
        <v>200</v>
      </c>
      <c r="AN120" s="53">
        <f t="shared" si="101"/>
        <v>0</v>
      </c>
      <c r="AO120" s="52"/>
      <c r="AP120" s="55">
        <f t="shared" si="102"/>
        <v>0</v>
      </c>
    </row>
    <row r="121" spans="1:42" s="1" customFormat="1" ht="15" customHeight="1">
      <c r="A121" s="91">
        <f t="shared" si="95"/>
        <v>118</v>
      </c>
      <c r="B121" s="34" t="s">
        <v>114</v>
      </c>
      <c r="C121" s="64" t="s">
        <v>364</v>
      </c>
      <c r="D121" s="34" t="s">
        <v>365</v>
      </c>
      <c r="E121" s="34" t="s">
        <v>366</v>
      </c>
      <c r="F121" s="34" t="s">
        <v>215</v>
      </c>
      <c r="G121" s="33" t="s">
        <v>329</v>
      </c>
      <c r="H121" s="37">
        <v>28</v>
      </c>
      <c r="I121" s="34">
        <v>35000</v>
      </c>
      <c r="J121" s="34">
        <v>35070</v>
      </c>
      <c r="K121" s="34" t="s">
        <v>120</v>
      </c>
      <c r="L121" s="39">
        <v>45890</v>
      </c>
      <c r="M121" s="40" t="s">
        <v>121</v>
      </c>
      <c r="N121" s="39" t="s">
        <v>122</v>
      </c>
      <c r="O121" s="39">
        <v>45881</v>
      </c>
      <c r="P121" s="39">
        <v>45907</v>
      </c>
      <c r="Q121" s="39">
        <v>45892</v>
      </c>
      <c r="R121" s="39">
        <v>46006</v>
      </c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4" t="s">
        <v>360</v>
      </c>
      <c r="AE121" s="45">
        <f t="shared" si="96"/>
        <v>0</v>
      </c>
      <c r="AF121" s="36">
        <v>7</v>
      </c>
      <c r="AG121" s="46">
        <f t="shared" si="97"/>
        <v>0</v>
      </c>
      <c r="AH121" s="47">
        <v>200</v>
      </c>
      <c r="AI121" s="48">
        <f t="shared" si="98"/>
        <v>0</v>
      </c>
      <c r="AJ121" s="45">
        <f t="shared" si="99"/>
        <v>0</v>
      </c>
      <c r="AK121" s="36">
        <v>2</v>
      </c>
      <c r="AL121" s="46">
        <f t="shared" si="100"/>
        <v>0</v>
      </c>
      <c r="AM121" s="47">
        <v>200</v>
      </c>
      <c r="AN121" s="48">
        <f t="shared" si="101"/>
        <v>0</v>
      </c>
      <c r="AO121" s="47"/>
      <c r="AP121" s="49">
        <f t="shared" si="102"/>
        <v>0</v>
      </c>
    </row>
    <row r="122" spans="1:42" s="1" customFormat="1" ht="15" customHeight="1">
      <c r="A122" s="91">
        <f t="shared" si="95"/>
        <v>119</v>
      </c>
      <c r="B122" s="34" t="s">
        <v>114</v>
      </c>
      <c r="C122" s="35" t="s">
        <v>367</v>
      </c>
      <c r="D122" s="35" t="s">
        <v>368</v>
      </c>
      <c r="E122" s="34" t="s">
        <v>369</v>
      </c>
      <c r="F122" s="34" t="s">
        <v>215</v>
      </c>
      <c r="G122" s="33" t="s">
        <v>329</v>
      </c>
      <c r="H122" s="37">
        <v>28</v>
      </c>
      <c r="I122" s="34">
        <v>35000</v>
      </c>
      <c r="J122" s="34">
        <v>35070</v>
      </c>
      <c r="K122" s="34" t="s">
        <v>120</v>
      </c>
      <c r="L122" s="39">
        <v>45890</v>
      </c>
      <c r="M122" s="40" t="s">
        <v>121</v>
      </c>
      <c r="N122" s="39" t="s">
        <v>122</v>
      </c>
      <c r="O122" s="39">
        <v>45881</v>
      </c>
      <c r="P122" s="39">
        <v>45907</v>
      </c>
      <c r="Q122" s="39">
        <v>45892</v>
      </c>
      <c r="R122" s="39">
        <v>46006</v>
      </c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4" t="s">
        <v>360</v>
      </c>
      <c r="AE122" s="54">
        <f t="shared" si="96"/>
        <v>0</v>
      </c>
      <c r="AF122" s="36">
        <v>7</v>
      </c>
      <c r="AG122" s="51">
        <f t="shared" si="97"/>
        <v>0</v>
      </c>
      <c r="AH122" s="52">
        <v>200</v>
      </c>
      <c r="AI122" s="53">
        <f t="shared" si="98"/>
        <v>0</v>
      </c>
      <c r="AJ122" s="54">
        <f t="shared" si="99"/>
        <v>0</v>
      </c>
      <c r="AK122" s="36">
        <v>2</v>
      </c>
      <c r="AL122" s="51">
        <f t="shared" si="100"/>
        <v>0</v>
      </c>
      <c r="AM122" s="52">
        <v>200</v>
      </c>
      <c r="AN122" s="53">
        <f t="shared" si="101"/>
        <v>0</v>
      </c>
      <c r="AO122" s="52"/>
      <c r="AP122" s="55">
        <f t="shared" si="102"/>
        <v>0</v>
      </c>
    </row>
    <row r="123" spans="1:42" s="1" customFormat="1" ht="15" customHeight="1">
      <c r="A123" s="91">
        <f t="shared" si="95"/>
        <v>120</v>
      </c>
      <c r="B123" s="34" t="s">
        <v>114</v>
      </c>
      <c r="C123" s="35" t="s">
        <v>370</v>
      </c>
      <c r="D123" s="35" t="s">
        <v>371</v>
      </c>
      <c r="E123" s="34" t="s">
        <v>372</v>
      </c>
      <c r="F123" s="34" t="s">
        <v>215</v>
      </c>
      <c r="G123" s="33" t="s">
        <v>329</v>
      </c>
      <c r="H123" s="37">
        <v>28</v>
      </c>
      <c r="I123" s="34">
        <v>35000</v>
      </c>
      <c r="J123" s="34">
        <v>35070</v>
      </c>
      <c r="K123" s="34" t="s">
        <v>120</v>
      </c>
      <c r="L123" s="39">
        <v>45890</v>
      </c>
      <c r="M123" s="40" t="s">
        <v>121</v>
      </c>
      <c r="N123" s="39" t="s">
        <v>122</v>
      </c>
      <c r="O123" s="39">
        <v>45881</v>
      </c>
      <c r="P123" s="39">
        <v>45907</v>
      </c>
      <c r="Q123" s="39">
        <v>45892</v>
      </c>
      <c r="R123" s="39">
        <v>46006</v>
      </c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4" t="s">
        <v>360</v>
      </c>
      <c r="AE123" s="45">
        <f t="shared" si="96"/>
        <v>0</v>
      </c>
      <c r="AF123" s="36">
        <v>7</v>
      </c>
      <c r="AG123" s="46">
        <f t="shared" si="97"/>
        <v>0</v>
      </c>
      <c r="AH123" s="47">
        <v>200</v>
      </c>
      <c r="AI123" s="48">
        <f t="shared" si="98"/>
        <v>0</v>
      </c>
      <c r="AJ123" s="45">
        <f t="shared" si="99"/>
        <v>0</v>
      </c>
      <c r="AK123" s="36">
        <v>2</v>
      </c>
      <c r="AL123" s="46">
        <f t="shared" si="100"/>
        <v>0</v>
      </c>
      <c r="AM123" s="47">
        <v>200</v>
      </c>
      <c r="AN123" s="48">
        <f t="shared" si="101"/>
        <v>0</v>
      </c>
      <c r="AO123" s="47"/>
      <c r="AP123" s="49">
        <f t="shared" si="102"/>
        <v>0</v>
      </c>
    </row>
    <row r="124" spans="1:42" s="1" customFormat="1" ht="15" customHeight="1">
      <c r="A124" s="91">
        <f t="shared" si="95"/>
        <v>121</v>
      </c>
      <c r="B124" s="34" t="s">
        <v>114</v>
      </c>
      <c r="C124" s="39" t="s">
        <v>373</v>
      </c>
      <c r="D124" s="39" t="s">
        <v>374</v>
      </c>
      <c r="E124" s="39" t="s">
        <v>375</v>
      </c>
      <c r="F124" s="34" t="s">
        <v>215</v>
      </c>
      <c r="G124" s="33" t="s">
        <v>329</v>
      </c>
      <c r="H124" s="37">
        <v>28</v>
      </c>
      <c r="I124" s="34">
        <v>35000</v>
      </c>
      <c r="J124" s="34">
        <v>35070</v>
      </c>
      <c r="K124" s="34" t="s">
        <v>120</v>
      </c>
      <c r="L124" s="39">
        <v>45890</v>
      </c>
      <c r="M124" s="40" t="s">
        <v>121</v>
      </c>
      <c r="N124" s="39" t="s">
        <v>122</v>
      </c>
      <c r="O124" s="39">
        <v>45881</v>
      </c>
      <c r="P124" s="39">
        <v>45907</v>
      </c>
      <c r="Q124" s="39">
        <v>45892</v>
      </c>
      <c r="R124" s="39">
        <v>46006</v>
      </c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4" t="s">
        <v>360</v>
      </c>
      <c r="AE124" s="54">
        <f t="shared" si="96"/>
        <v>0</v>
      </c>
      <c r="AF124" s="36">
        <v>7</v>
      </c>
      <c r="AG124" s="51">
        <f t="shared" si="97"/>
        <v>0</v>
      </c>
      <c r="AH124" s="52">
        <v>200</v>
      </c>
      <c r="AI124" s="53">
        <f t="shared" si="98"/>
        <v>0</v>
      </c>
      <c r="AJ124" s="54">
        <f t="shared" si="99"/>
        <v>0</v>
      </c>
      <c r="AK124" s="36">
        <v>2</v>
      </c>
      <c r="AL124" s="51">
        <f t="shared" si="100"/>
        <v>0</v>
      </c>
      <c r="AM124" s="52">
        <v>200</v>
      </c>
      <c r="AN124" s="53">
        <f t="shared" si="101"/>
        <v>0</v>
      </c>
      <c r="AO124" s="52"/>
      <c r="AP124" s="55">
        <f t="shared" si="102"/>
        <v>0</v>
      </c>
    </row>
    <row r="125" spans="1:42" s="1" customFormat="1" ht="15" customHeight="1">
      <c r="A125" s="91">
        <f t="shared" si="95"/>
        <v>122</v>
      </c>
      <c r="B125" s="34" t="s">
        <v>114</v>
      </c>
      <c r="C125" s="39" t="s">
        <v>376</v>
      </c>
      <c r="D125" s="39" t="s">
        <v>377</v>
      </c>
      <c r="E125" s="33" t="s">
        <v>378</v>
      </c>
      <c r="F125" s="34" t="s">
        <v>215</v>
      </c>
      <c r="G125" s="33" t="s">
        <v>329</v>
      </c>
      <c r="H125" s="37">
        <v>28</v>
      </c>
      <c r="I125" s="34">
        <v>35000</v>
      </c>
      <c r="J125" s="34">
        <v>35070</v>
      </c>
      <c r="K125" s="34" t="s">
        <v>120</v>
      </c>
      <c r="L125" s="39">
        <v>45890</v>
      </c>
      <c r="M125" s="40" t="s">
        <v>121</v>
      </c>
      <c r="N125" s="39" t="s">
        <v>122</v>
      </c>
      <c r="O125" s="39">
        <v>45881</v>
      </c>
      <c r="P125" s="39">
        <v>45907</v>
      </c>
      <c r="Q125" s="39">
        <v>45892</v>
      </c>
      <c r="R125" s="39">
        <v>46006</v>
      </c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4" t="s">
        <v>360</v>
      </c>
      <c r="AE125" s="45">
        <f t="shared" si="96"/>
        <v>0</v>
      </c>
      <c r="AF125" s="36">
        <v>7</v>
      </c>
      <c r="AG125" s="46">
        <f t="shared" si="97"/>
        <v>0</v>
      </c>
      <c r="AH125" s="47">
        <v>200</v>
      </c>
      <c r="AI125" s="48">
        <f t="shared" si="98"/>
        <v>0</v>
      </c>
      <c r="AJ125" s="45">
        <f t="shared" si="99"/>
        <v>0</v>
      </c>
      <c r="AK125" s="36">
        <v>2</v>
      </c>
      <c r="AL125" s="46">
        <f t="shared" si="100"/>
        <v>0</v>
      </c>
      <c r="AM125" s="47">
        <v>200</v>
      </c>
      <c r="AN125" s="48">
        <f t="shared" si="101"/>
        <v>0</v>
      </c>
      <c r="AO125" s="47"/>
      <c r="AP125" s="49">
        <f t="shared" si="102"/>
        <v>0</v>
      </c>
    </row>
    <row r="126" spans="1:42" s="68" customFormat="1" ht="15" customHeight="1">
      <c r="A126" s="91">
        <f t="shared" si="95"/>
        <v>123</v>
      </c>
      <c r="B126" s="34" t="s">
        <v>114</v>
      </c>
      <c r="C126" s="35" t="s">
        <v>379</v>
      </c>
      <c r="D126" s="64" t="s">
        <v>380</v>
      </c>
      <c r="E126" s="64" t="s">
        <v>381</v>
      </c>
      <c r="F126" s="34" t="s">
        <v>215</v>
      </c>
      <c r="G126" s="33" t="s">
        <v>329</v>
      </c>
      <c r="H126" s="37">
        <v>29</v>
      </c>
      <c r="I126" s="34">
        <v>36250</v>
      </c>
      <c r="J126" s="34">
        <v>36323</v>
      </c>
      <c r="K126" s="34" t="s">
        <v>120</v>
      </c>
      <c r="L126" s="39">
        <v>45890</v>
      </c>
      <c r="M126" s="40" t="s">
        <v>121</v>
      </c>
      <c r="N126" s="39" t="s">
        <v>122</v>
      </c>
      <c r="O126" s="39">
        <v>45881</v>
      </c>
      <c r="P126" s="39">
        <v>45907</v>
      </c>
      <c r="Q126" s="39">
        <v>45892</v>
      </c>
      <c r="R126" s="39">
        <v>46004</v>
      </c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4" t="s">
        <v>360</v>
      </c>
      <c r="AE126" s="54">
        <f t="shared" ref="AE126:AE136" si="103">MAX(0,Y126-X126)</f>
        <v>0</v>
      </c>
      <c r="AF126" s="36">
        <v>7</v>
      </c>
      <c r="AG126" s="51">
        <f t="shared" ref="AG126:AG136" si="104">MAX(0,AE126-AF126)</f>
        <v>0</v>
      </c>
      <c r="AH126" s="52">
        <v>200</v>
      </c>
      <c r="AI126" s="53">
        <f t="shared" ref="AI126:AI136" si="105">MAX(0,AG126*AH126)</f>
        <v>0</v>
      </c>
      <c r="AJ126" s="54">
        <f t="shared" ref="AJ126:AJ136" si="106">MAX(0,AC126-AB126)</f>
        <v>0</v>
      </c>
      <c r="AK126" s="36">
        <v>2</v>
      </c>
      <c r="AL126" s="51">
        <f t="shared" ref="AL126:AL136" si="107">MAX(0,AJ126-AK126)</f>
        <v>0</v>
      </c>
      <c r="AM126" s="52">
        <v>200</v>
      </c>
      <c r="AN126" s="53">
        <f t="shared" ref="AN126:AN136" si="108">MAX(0,AL126*AM126)</f>
        <v>0</v>
      </c>
      <c r="AO126" s="52"/>
      <c r="AP126" s="55">
        <f t="shared" ref="AP126:AP136" si="109">AO126+AN126+AI126</f>
        <v>0</v>
      </c>
    </row>
    <row r="127" spans="1:42" s="68" customFormat="1" ht="15" customHeight="1">
      <c r="A127" s="91">
        <f t="shared" ref="A127:A160" si="110">ROW()-3</f>
        <v>124</v>
      </c>
      <c r="B127" s="34" t="s">
        <v>114</v>
      </c>
      <c r="C127" s="35" t="s">
        <v>382</v>
      </c>
      <c r="D127" s="35" t="s">
        <v>383</v>
      </c>
      <c r="E127" s="33" t="s">
        <v>384</v>
      </c>
      <c r="F127" s="34" t="s">
        <v>215</v>
      </c>
      <c r="G127" s="33" t="s">
        <v>329</v>
      </c>
      <c r="H127" s="37">
        <v>29</v>
      </c>
      <c r="I127" s="34">
        <v>36250</v>
      </c>
      <c r="J127" s="34">
        <v>36323</v>
      </c>
      <c r="K127" s="34" t="s">
        <v>120</v>
      </c>
      <c r="L127" s="39">
        <v>45890</v>
      </c>
      <c r="M127" s="40" t="s">
        <v>121</v>
      </c>
      <c r="N127" s="39" t="s">
        <v>122</v>
      </c>
      <c r="O127" s="39">
        <v>45881</v>
      </c>
      <c r="P127" s="39">
        <v>45907</v>
      </c>
      <c r="Q127" s="39">
        <v>45892</v>
      </c>
      <c r="R127" s="39">
        <v>46004</v>
      </c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4" t="s">
        <v>360</v>
      </c>
      <c r="AE127" s="45">
        <f t="shared" si="103"/>
        <v>0</v>
      </c>
      <c r="AF127" s="36">
        <v>7</v>
      </c>
      <c r="AG127" s="46">
        <f t="shared" si="104"/>
        <v>0</v>
      </c>
      <c r="AH127" s="47">
        <v>200</v>
      </c>
      <c r="AI127" s="48">
        <f t="shared" si="105"/>
        <v>0</v>
      </c>
      <c r="AJ127" s="45">
        <f t="shared" si="106"/>
        <v>0</v>
      </c>
      <c r="AK127" s="36">
        <v>2</v>
      </c>
      <c r="AL127" s="46">
        <f t="shared" si="107"/>
        <v>0</v>
      </c>
      <c r="AM127" s="47">
        <v>200</v>
      </c>
      <c r="AN127" s="48">
        <f t="shared" si="108"/>
        <v>0</v>
      </c>
      <c r="AO127" s="47"/>
      <c r="AP127" s="49">
        <f t="shared" si="109"/>
        <v>0</v>
      </c>
    </row>
    <row r="128" spans="1:42" s="68" customFormat="1" ht="15" customHeight="1">
      <c r="A128" s="91">
        <f t="shared" si="110"/>
        <v>125</v>
      </c>
      <c r="B128" s="34" t="s">
        <v>114</v>
      </c>
      <c r="C128" s="39" t="s">
        <v>385</v>
      </c>
      <c r="D128" s="39" t="s">
        <v>386</v>
      </c>
      <c r="E128" s="33" t="s">
        <v>387</v>
      </c>
      <c r="F128" s="34" t="s">
        <v>215</v>
      </c>
      <c r="G128" s="33" t="s">
        <v>329</v>
      </c>
      <c r="H128" s="37">
        <v>29</v>
      </c>
      <c r="I128" s="34">
        <v>36250</v>
      </c>
      <c r="J128" s="34">
        <v>36323</v>
      </c>
      <c r="K128" s="34" t="s">
        <v>120</v>
      </c>
      <c r="L128" s="39">
        <v>45890</v>
      </c>
      <c r="M128" s="40" t="s">
        <v>121</v>
      </c>
      <c r="N128" s="39" t="s">
        <v>122</v>
      </c>
      <c r="O128" s="39">
        <v>45881</v>
      </c>
      <c r="P128" s="39">
        <v>45907</v>
      </c>
      <c r="Q128" s="39">
        <v>45892</v>
      </c>
      <c r="R128" s="39">
        <v>46004</v>
      </c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4" t="s">
        <v>360</v>
      </c>
      <c r="AE128" s="54">
        <f t="shared" si="103"/>
        <v>0</v>
      </c>
      <c r="AF128" s="36">
        <v>7</v>
      </c>
      <c r="AG128" s="51">
        <f t="shared" si="104"/>
        <v>0</v>
      </c>
      <c r="AH128" s="52">
        <v>200</v>
      </c>
      <c r="AI128" s="53">
        <f t="shared" si="105"/>
        <v>0</v>
      </c>
      <c r="AJ128" s="54">
        <f t="shared" si="106"/>
        <v>0</v>
      </c>
      <c r="AK128" s="36">
        <v>2</v>
      </c>
      <c r="AL128" s="51">
        <f t="shared" si="107"/>
        <v>0</v>
      </c>
      <c r="AM128" s="52">
        <v>200</v>
      </c>
      <c r="AN128" s="53">
        <f t="shared" si="108"/>
        <v>0</v>
      </c>
      <c r="AO128" s="52"/>
      <c r="AP128" s="55">
        <f t="shared" si="109"/>
        <v>0</v>
      </c>
    </row>
    <row r="129" spans="1:42" s="68" customFormat="1" ht="15" customHeight="1">
      <c r="A129" s="91">
        <f t="shared" si="110"/>
        <v>126</v>
      </c>
      <c r="B129" s="34" t="s">
        <v>114</v>
      </c>
      <c r="C129" s="35" t="s">
        <v>388</v>
      </c>
      <c r="D129" s="35" t="s">
        <v>389</v>
      </c>
      <c r="E129" s="34" t="s">
        <v>390</v>
      </c>
      <c r="F129" s="34" t="s">
        <v>215</v>
      </c>
      <c r="G129" s="33" t="s">
        <v>267</v>
      </c>
      <c r="H129" s="37">
        <v>29</v>
      </c>
      <c r="I129" s="34">
        <v>36250</v>
      </c>
      <c r="J129" s="34">
        <v>36323</v>
      </c>
      <c r="K129" s="34" t="s">
        <v>120</v>
      </c>
      <c r="L129" s="39">
        <v>45890</v>
      </c>
      <c r="M129" s="40" t="s">
        <v>121</v>
      </c>
      <c r="N129" s="39" t="s">
        <v>122</v>
      </c>
      <c r="O129" s="39">
        <v>45881</v>
      </c>
      <c r="P129" s="39">
        <v>45907</v>
      </c>
      <c r="Q129" s="39">
        <v>45892</v>
      </c>
      <c r="R129" s="39">
        <v>46004</v>
      </c>
      <c r="S129" s="39">
        <v>46005</v>
      </c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4" t="s">
        <v>268</v>
      </c>
      <c r="AE129" s="45">
        <f t="shared" si="103"/>
        <v>0</v>
      </c>
      <c r="AF129" s="36">
        <v>7</v>
      </c>
      <c r="AG129" s="46">
        <f t="shared" si="104"/>
        <v>0</v>
      </c>
      <c r="AH129" s="47">
        <v>200</v>
      </c>
      <c r="AI129" s="48">
        <f t="shared" si="105"/>
        <v>0</v>
      </c>
      <c r="AJ129" s="45">
        <f t="shared" si="106"/>
        <v>0</v>
      </c>
      <c r="AK129" s="36">
        <v>2</v>
      </c>
      <c r="AL129" s="46">
        <f t="shared" si="107"/>
        <v>0</v>
      </c>
      <c r="AM129" s="47">
        <v>200</v>
      </c>
      <c r="AN129" s="48">
        <f t="shared" si="108"/>
        <v>0</v>
      </c>
      <c r="AO129" s="47"/>
      <c r="AP129" s="49">
        <f t="shared" si="109"/>
        <v>0</v>
      </c>
    </row>
    <row r="130" spans="1:42" s="68" customFormat="1" ht="15" customHeight="1">
      <c r="A130" s="91">
        <f t="shared" si="110"/>
        <v>127</v>
      </c>
      <c r="B130" s="34" t="s">
        <v>114</v>
      </c>
      <c r="C130" s="35" t="s">
        <v>391</v>
      </c>
      <c r="D130" s="35" t="s">
        <v>392</v>
      </c>
      <c r="E130" s="34" t="s">
        <v>393</v>
      </c>
      <c r="F130" s="34" t="s">
        <v>215</v>
      </c>
      <c r="G130" s="33" t="s">
        <v>267</v>
      </c>
      <c r="H130" s="37">
        <v>28</v>
      </c>
      <c r="I130" s="34">
        <v>35000</v>
      </c>
      <c r="J130" s="34">
        <v>35070</v>
      </c>
      <c r="K130" s="34" t="s">
        <v>120</v>
      </c>
      <c r="L130" s="39">
        <v>45890</v>
      </c>
      <c r="M130" s="40" t="s">
        <v>121</v>
      </c>
      <c r="N130" s="39" t="s">
        <v>122</v>
      </c>
      <c r="O130" s="39">
        <v>45881</v>
      </c>
      <c r="P130" s="39">
        <v>45907</v>
      </c>
      <c r="Q130" s="39">
        <v>45892</v>
      </c>
      <c r="R130" s="39">
        <v>46004</v>
      </c>
      <c r="S130" s="39">
        <v>46005</v>
      </c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4" t="s">
        <v>268</v>
      </c>
      <c r="AE130" s="54">
        <f t="shared" si="103"/>
        <v>0</v>
      </c>
      <c r="AF130" s="36">
        <v>7</v>
      </c>
      <c r="AG130" s="51">
        <f t="shared" si="104"/>
        <v>0</v>
      </c>
      <c r="AH130" s="52">
        <v>200</v>
      </c>
      <c r="AI130" s="53">
        <f t="shared" si="105"/>
        <v>0</v>
      </c>
      <c r="AJ130" s="54">
        <f t="shared" si="106"/>
        <v>0</v>
      </c>
      <c r="AK130" s="36">
        <v>2</v>
      </c>
      <c r="AL130" s="51">
        <f t="shared" si="107"/>
        <v>0</v>
      </c>
      <c r="AM130" s="52">
        <v>200</v>
      </c>
      <c r="AN130" s="53">
        <f t="shared" si="108"/>
        <v>0</v>
      </c>
      <c r="AO130" s="52"/>
      <c r="AP130" s="55">
        <f t="shared" si="109"/>
        <v>0</v>
      </c>
    </row>
    <row r="131" spans="1:42" s="68" customFormat="1" ht="15" customHeight="1">
      <c r="A131" s="91">
        <f t="shared" si="110"/>
        <v>128</v>
      </c>
      <c r="B131" s="34" t="s">
        <v>114</v>
      </c>
      <c r="C131" s="33" t="s">
        <v>394</v>
      </c>
      <c r="D131" s="33" t="s">
        <v>395</v>
      </c>
      <c r="E131" s="64" t="s">
        <v>396</v>
      </c>
      <c r="F131" s="34" t="s">
        <v>215</v>
      </c>
      <c r="G131" s="33" t="s">
        <v>267</v>
      </c>
      <c r="H131" s="37">
        <v>28</v>
      </c>
      <c r="I131" s="34">
        <v>35000</v>
      </c>
      <c r="J131" s="34">
        <v>35070</v>
      </c>
      <c r="K131" s="34" t="s">
        <v>120</v>
      </c>
      <c r="L131" s="39">
        <v>45890</v>
      </c>
      <c r="M131" s="40" t="s">
        <v>121</v>
      </c>
      <c r="N131" s="39" t="s">
        <v>122</v>
      </c>
      <c r="O131" s="39">
        <v>45881</v>
      </c>
      <c r="P131" s="39">
        <v>45907</v>
      </c>
      <c r="Q131" s="39">
        <v>45892</v>
      </c>
      <c r="R131" s="39">
        <v>46004</v>
      </c>
      <c r="S131" s="39">
        <v>46005</v>
      </c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4" t="s">
        <v>268</v>
      </c>
      <c r="AE131" s="45">
        <f t="shared" si="103"/>
        <v>0</v>
      </c>
      <c r="AF131" s="36">
        <v>7</v>
      </c>
      <c r="AG131" s="46">
        <f t="shared" si="104"/>
        <v>0</v>
      </c>
      <c r="AH131" s="47">
        <v>200</v>
      </c>
      <c r="AI131" s="48">
        <f t="shared" si="105"/>
        <v>0</v>
      </c>
      <c r="AJ131" s="45">
        <f t="shared" si="106"/>
        <v>0</v>
      </c>
      <c r="AK131" s="36">
        <v>2</v>
      </c>
      <c r="AL131" s="46">
        <f t="shared" si="107"/>
        <v>0</v>
      </c>
      <c r="AM131" s="47">
        <v>200</v>
      </c>
      <c r="AN131" s="48">
        <f t="shared" si="108"/>
        <v>0</v>
      </c>
      <c r="AO131" s="47"/>
      <c r="AP131" s="49">
        <f t="shared" si="109"/>
        <v>0</v>
      </c>
    </row>
    <row r="132" spans="1:42" s="68" customFormat="1" ht="15" customHeight="1">
      <c r="A132" s="91">
        <f t="shared" si="110"/>
        <v>129</v>
      </c>
      <c r="B132" s="34" t="s">
        <v>114</v>
      </c>
      <c r="C132" s="35" t="s">
        <v>397</v>
      </c>
      <c r="D132" s="35" t="s">
        <v>398</v>
      </c>
      <c r="E132" s="34" t="s">
        <v>399</v>
      </c>
      <c r="F132" s="34" t="s">
        <v>215</v>
      </c>
      <c r="G132" s="33" t="s">
        <v>267</v>
      </c>
      <c r="H132" s="37">
        <v>28</v>
      </c>
      <c r="I132" s="34">
        <v>35000</v>
      </c>
      <c r="J132" s="34">
        <v>35070</v>
      </c>
      <c r="K132" s="34" t="s">
        <v>120</v>
      </c>
      <c r="L132" s="39">
        <v>45890</v>
      </c>
      <c r="M132" s="40" t="s">
        <v>121</v>
      </c>
      <c r="N132" s="39" t="s">
        <v>122</v>
      </c>
      <c r="O132" s="39">
        <v>45881</v>
      </c>
      <c r="P132" s="39">
        <v>45907</v>
      </c>
      <c r="Q132" s="39">
        <v>45892</v>
      </c>
      <c r="R132" s="39">
        <v>46004</v>
      </c>
      <c r="S132" s="39">
        <v>46005</v>
      </c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4" t="s">
        <v>268</v>
      </c>
      <c r="AE132" s="54">
        <f t="shared" si="103"/>
        <v>0</v>
      </c>
      <c r="AF132" s="36">
        <v>7</v>
      </c>
      <c r="AG132" s="51">
        <f t="shared" si="104"/>
        <v>0</v>
      </c>
      <c r="AH132" s="52">
        <v>200</v>
      </c>
      <c r="AI132" s="53">
        <f t="shared" si="105"/>
        <v>0</v>
      </c>
      <c r="AJ132" s="54">
        <f t="shared" si="106"/>
        <v>0</v>
      </c>
      <c r="AK132" s="36">
        <v>2</v>
      </c>
      <c r="AL132" s="51">
        <f t="shared" si="107"/>
        <v>0</v>
      </c>
      <c r="AM132" s="52">
        <v>200</v>
      </c>
      <c r="AN132" s="53">
        <f t="shared" si="108"/>
        <v>0</v>
      </c>
      <c r="AO132" s="52"/>
      <c r="AP132" s="55">
        <f t="shared" si="109"/>
        <v>0</v>
      </c>
    </row>
    <row r="133" spans="1:42" s="1" customFormat="1" ht="15" customHeight="1">
      <c r="A133" s="91">
        <f t="shared" ref="A133:A180" si="111">ROW()-3</f>
        <v>130</v>
      </c>
      <c r="B133" s="34" t="s">
        <v>114</v>
      </c>
      <c r="C133" s="35" t="s">
        <v>400</v>
      </c>
      <c r="D133" s="33" t="s">
        <v>401</v>
      </c>
      <c r="E133" s="33" t="s">
        <v>402</v>
      </c>
      <c r="F133" s="34" t="s">
        <v>215</v>
      </c>
      <c r="G133" s="37" t="s">
        <v>329</v>
      </c>
      <c r="H133" s="37">
        <v>29</v>
      </c>
      <c r="I133" s="34">
        <v>36323</v>
      </c>
      <c r="J133" s="34">
        <v>56000</v>
      </c>
      <c r="K133" s="34" t="s">
        <v>120</v>
      </c>
      <c r="L133" s="39">
        <v>45890</v>
      </c>
      <c r="M133" s="40" t="s">
        <v>121</v>
      </c>
      <c r="N133" s="39" t="s">
        <v>122</v>
      </c>
      <c r="O133" s="39">
        <v>45881</v>
      </c>
      <c r="P133" s="39">
        <v>45907</v>
      </c>
      <c r="Q133" s="39">
        <v>45892</v>
      </c>
      <c r="R133" s="39">
        <v>45999</v>
      </c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4" t="s">
        <v>403</v>
      </c>
      <c r="AE133" s="54">
        <f t="shared" si="103"/>
        <v>0</v>
      </c>
      <c r="AF133" s="36">
        <v>7</v>
      </c>
      <c r="AG133" s="51">
        <f t="shared" si="104"/>
        <v>0</v>
      </c>
      <c r="AH133" s="52">
        <v>200</v>
      </c>
      <c r="AI133" s="53">
        <f t="shared" si="105"/>
        <v>0</v>
      </c>
      <c r="AJ133" s="54">
        <f t="shared" si="106"/>
        <v>0</v>
      </c>
      <c r="AK133" s="36">
        <v>2</v>
      </c>
      <c r="AL133" s="51">
        <f t="shared" si="107"/>
        <v>0</v>
      </c>
      <c r="AM133" s="52">
        <v>200</v>
      </c>
      <c r="AN133" s="53">
        <f t="shared" si="108"/>
        <v>0</v>
      </c>
      <c r="AO133" s="52"/>
      <c r="AP133" s="55">
        <f t="shared" si="109"/>
        <v>0</v>
      </c>
    </row>
    <row r="134" spans="1:42" s="1" customFormat="1" ht="15" customHeight="1">
      <c r="A134" s="91">
        <f t="shared" si="111"/>
        <v>131</v>
      </c>
      <c r="B134" s="34" t="s">
        <v>114</v>
      </c>
      <c r="C134" s="35" t="s">
        <v>404</v>
      </c>
      <c r="D134" s="35" t="s">
        <v>405</v>
      </c>
      <c r="E134" s="34" t="s">
        <v>406</v>
      </c>
      <c r="F134" s="34" t="s">
        <v>215</v>
      </c>
      <c r="G134" s="37" t="s">
        <v>329</v>
      </c>
      <c r="H134" s="37">
        <v>29</v>
      </c>
      <c r="I134" s="34">
        <v>36250</v>
      </c>
      <c r="J134" s="34">
        <v>36323</v>
      </c>
      <c r="K134" s="34" t="s">
        <v>120</v>
      </c>
      <c r="L134" s="39">
        <v>45890</v>
      </c>
      <c r="M134" s="40" t="s">
        <v>121</v>
      </c>
      <c r="N134" s="39" t="s">
        <v>122</v>
      </c>
      <c r="O134" s="39">
        <v>45881</v>
      </c>
      <c r="P134" s="39">
        <v>45907</v>
      </c>
      <c r="Q134" s="39">
        <v>45892</v>
      </c>
      <c r="R134" s="39">
        <v>45990</v>
      </c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4" t="s">
        <v>403</v>
      </c>
      <c r="AE134" s="54">
        <f t="shared" si="103"/>
        <v>0</v>
      </c>
      <c r="AF134" s="36">
        <v>7</v>
      </c>
      <c r="AG134" s="51">
        <f t="shared" si="104"/>
        <v>0</v>
      </c>
      <c r="AH134" s="52">
        <v>200</v>
      </c>
      <c r="AI134" s="53">
        <f t="shared" si="105"/>
        <v>0</v>
      </c>
      <c r="AJ134" s="54">
        <f t="shared" si="106"/>
        <v>0</v>
      </c>
      <c r="AK134" s="36">
        <v>2</v>
      </c>
      <c r="AL134" s="51">
        <f t="shared" si="107"/>
        <v>0</v>
      </c>
      <c r="AM134" s="52">
        <v>200</v>
      </c>
      <c r="AN134" s="53">
        <f t="shared" si="108"/>
        <v>0</v>
      </c>
      <c r="AO134" s="52"/>
      <c r="AP134" s="55">
        <f t="shared" si="109"/>
        <v>0</v>
      </c>
    </row>
    <row r="135" spans="1:42" s="68" customFormat="1" ht="15" customHeight="1">
      <c r="A135" s="91">
        <f t="shared" si="110"/>
        <v>132</v>
      </c>
      <c r="B135" s="34" t="s">
        <v>114</v>
      </c>
      <c r="C135" s="35" t="s">
        <v>407</v>
      </c>
      <c r="D135" s="35" t="s">
        <v>408</v>
      </c>
      <c r="E135" s="33" t="s">
        <v>409</v>
      </c>
      <c r="F135" s="34" t="s">
        <v>215</v>
      </c>
      <c r="G135" s="33" t="s">
        <v>267</v>
      </c>
      <c r="H135" s="37">
        <v>29</v>
      </c>
      <c r="I135" s="34">
        <v>36250</v>
      </c>
      <c r="J135" s="34">
        <v>36323</v>
      </c>
      <c r="K135" s="34" t="s">
        <v>120</v>
      </c>
      <c r="L135" s="39">
        <v>45890</v>
      </c>
      <c r="M135" s="40" t="s">
        <v>121</v>
      </c>
      <c r="N135" s="39" t="s">
        <v>122</v>
      </c>
      <c r="O135" s="39">
        <v>45881</v>
      </c>
      <c r="P135" s="39">
        <v>45907</v>
      </c>
      <c r="Q135" s="39">
        <v>45892</v>
      </c>
      <c r="R135" s="39">
        <v>46004</v>
      </c>
      <c r="S135" s="39">
        <v>46005</v>
      </c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4" t="s">
        <v>268</v>
      </c>
      <c r="AE135" s="54">
        <f t="shared" si="103"/>
        <v>0</v>
      </c>
      <c r="AF135" s="36">
        <v>7</v>
      </c>
      <c r="AG135" s="51">
        <f t="shared" si="104"/>
        <v>0</v>
      </c>
      <c r="AH135" s="52">
        <v>200</v>
      </c>
      <c r="AI135" s="53">
        <f t="shared" si="105"/>
        <v>0</v>
      </c>
      <c r="AJ135" s="54">
        <f t="shared" si="106"/>
        <v>0</v>
      </c>
      <c r="AK135" s="36">
        <v>2</v>
      </c>
      <c r="AL135" s="51">
        <f t="shared" si="107"/>
        <v>0</v>
      </c>
      <c r="AM135" s="52">
        <v>200</v>
      </c>
      <c r="AN135" s="53">
        <f t="shared" si="108"/>
        <v>0</v>
      </c>
      <c r="AO135" s="52"/>
      <c r="AP135" s="55">
        <f t="shared" si="109"/>
        <v>0</v>
      </c>
    </row>
    <row r="136" spans="1:42" s="68" customFormat="1" ht="15" customHeight="1">
      <c r="A136" s="91">
        <f t="shared" si="110"/>
        <v>133</v>
      </c>
      <c r="B136" s="34" t="s">
        <v>114</v>
      </c>
      <c r="C136" s="35" t="s">
        <v>410</v>
      </c>
      <c r="D136" s="179" t="s">
        <v>411</v>
      </c>
      <c r="E136" s="33" t="s">
        <v>412</v>
      </c>
      <c r="F136" s="34" t="s">
        <v>215</v>
      </c>
      <c r="G136" s="33" t="s">
        <v>267</v>
      </c>
      <c r="H136" s="37">
        <v>28</v>
      </c>
      <c r="I136" s="34">
        <v>35000</v>
      </c>
      <c r="J136" s="34">
        <v>35070</v>
      </c>
      <c r="K136" s="34" t="s">
        <v>120</v>
      </c>
      <c r="L136" s="39">
        <v>45890</v>
      </c>
      <c r="M136" s="40" t="s">
        <v>121</v>
      </c>
      <c r="N136" s="39" t="s">
        <v>122</v>
      </c>
      <c r="O136" s="39">
        <v>45881</v>
      </c>
      <c r="P136" s="39">
        <v>45907</v>
      </c>
      <c r="Q136" s="39">
        <v>45892</v>
      </c>
      <c r="R136" s="39">
        <v>46004</v>
      </c>
      <c r="S136" s="39">
        <v>46005</v>
      </c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4" t="s">
        <v>268</v>
      </c>
      <c r="AE136" s="45">
        <f t="shared" si="103"/>
        <v>0</v>
      </c>
      <c r="AF136" s="36">
        <v>7</v>
      </c>
      <c r="AG136" s="46">
        <f t="shared" si="104"/>
        <v>0</v>
      </c>
      <c r="AH136" s="47">
        <v>200</v>
      </c>
      <c r="AI136" s="48">
        <f t="shared" si="105"/>
        <v>0</v>
      </c>
      <c r="AJ136" s="45">
        <f t="shared" si="106"/>
        <v>0</v>
      </c>
      <c r="AK136" s="36">
        <v>2</v>
      </c>
      <c r="AL136" s="46">
        <f t="shared" si="107"/>
        <v>0</v>
      </c>
      <c r="AM136" s="47">
        <v>200</v>
      </c>
      <c r="AN136" s="48">
        <f t="shared" si="108"/>
        <v>0</v>
      </c>
      <c r="AO136" s="47"/>
      <c r="AP136" s="49">
        <f t="shared" si="109"/>
        <v>0</v>
      </c>
    </row>
    <row r="137" spans="1:42" s="1" customFormat="1" ht="15" customHeight="1">
      <c r="A137" s="91">
        <f t="shared" ref="A137:A152" si="112">ROW()-3</f>
        <v>134</v>
      </c>
      <c r="B137" s="34" t="s">
        <v>114</v>
      </c>
      <c r="C137" s="35" t="s">
        <v>413</v>
      </c>
      <c r="D137" s="35" t="s">
        <v>414</v>
      </c>
      <c r="E137" s="33" t="s">
        <v>415</v>
      </c>
      <c r="F137" s="34" t="s">
        <v>215</v>
      </c>
      <c r="G137" s="37" t="s">
        <v>329</v>
      </c>
      <c r="H137" s="37">
        <v>28</v>
      </c>
      <c r="I137" s="34">
        <v>35000</v>
      </c>
      <c r="J137" s="34">
        <v>35070</v>
      </c>
      <c r="K137" s="34" t="s">
        <v>120</v>
      </c>
      <c r="L137" s="39">
        <v>45890</v>
      </c>
      <c r="M137" s="40" t="s">
        <v>121</v>
      </c>
      <c r="N137" s="39" t="s">
        <v>122</v>
      </c>
      <c r="O137" s="39">
        <v>45881</v>
      </c>
      <c r="P137" s="39">
        <v>45907</v>
      </c>
      <c r="Q137" s="39">
        <v>45892</v>
      </c>
      <c r="R137" s="39">
        <v>46001</v>
      </c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4" t="s">
        <v>403</v>
      </c>
      <c r="AE137" s="45">
        <f t="shared" ref="AE137:AE152" si="113">MAX(0,Y137-X137)</f>
        <v>0</v>
      </c>
      <c r="AF137" s="36">
        <v>7</v>
      </c>
      <c r="AG137" s="46">
        <f t="shared" ref="AG137:AG152" si="114">MAX(0,AE137-AF137)</f>
        <v>0</v>
      </c>
      <c r="AH137" s="47">
        <v>200</v>
      </c>
      <c r="AI137" s="48">
        <f t="shared" ref="AI137:AI152" si="115">MAX(0,AG137*AH137)</f>
        <v>0</v>
      </c>
      <c r="AJ137" s="45">
        <f t="shared" ref="AJ137:AJ152" si="116">MAX(0,AC137-AB137)</f>
        <v>0</v>
      </c>
      <c r="AK137" s="36">
        <v>2</v>
      </c>
      <c r="AL137" s="46">
        <f t="shared" ref="AL137:AL152" si="117">MAX(0,AJ137-AK137)</f>
        <v>0</v>
      </c>
      <c r="AM137" s="47">
        <v>200</v>
      </c>
      <c r="AN137" s="48">
        <f t="shared" ref="AN137:AN152" si="118">MAX(0,AL137*AM137)</f>
        <v>0</v>
      </c>
      <c r="AO137" s="47"/>
      <c r="AP137" s="49">
        <f t="shared" ref="AP137:AP152" si="119">AO137+AN137+AI137</f>
        <v>0</v>
      </c>
    </row>
    <row r="138" spans="1:42" s="1" customFormat="1" ht="15" customHeight="1">
      <c r="A138" s="91">
        <f t="shared" si="112"/>
        <v>135</v>
      </c>
      <c r="B138" s="34" t="s">
        <v>114</v>
      </c>
      <c r="C138" s="35" t="s">
        <v>416</v>
      </c>
      <c r="D138" s="35" t="s">
        <v>417</v>
      </c>
      <c r="E138" s="34" t="s">
        <v>418</v>
      </c>
      <c r="F138" s="34" t="s">
        <v>215</v>
      </c>
      <c r="G138" s="37" t="s">
        <v>329</v>
      </c>
      <c r="H138" s="37">
        <v>29</v>
      </c>
      <c r="I138" s="34">
        <v>36250</v>
      </c>
      <c r="J138" s="34">
        <v>36323</v>
      </c>
      <c r="K138" s="34" t="s">
        <v>120</v>
      </c>
      <c r="L138" s="39">
        <v>45890</v>
      </c>
      <c r="M138" s="40" t="s">
        <v>121</v>
      </c>
      <c r="N138" s="39" t="s">
        <v>122</v>
      </c>
      <c r="O138" s="39">
        <v>45881</v>
      </c>
      <c r="P138" s="39">
        <v>45907</v>
      </c>
      <c r="Q138" s="39">
        <v>45892</v>
      </c>
      <c r="R138" s="39">
        <v>46001</v>
      </c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4" t="s">
        <v>403</v>
      </c>
      <c r="AE138" s="45">
        <f t="shared" ref="AE138:AE147" si="120">MAX(0,Y138-X138)</f>
        <v>0</v>
      </c>
      <c r="AF138" s="36">
        <v>7</v>
      </c>
      <c r="AG138" s="46">
        <f t="shared" ref="AG138:AG147" si="121">MAX(0,AE138-AF138)</f>
        <v>0</v>
      </c>
      <c r="AH138" s="47">
        <v>200</v>
      </c>
      <c r="AI138" s="48">
        <f t="shared" ref="AI138:AI147" si="122">MAX(0,AG138*AH138)</f>
        <v>0</v>
      </c>
      <c r="AJ138" s="45">
        <f t="shared" ref="AJ138:AJ147" si="123">MAX(0,AC138-AB138)</f>
        <v>0</v>
      </c>
      <c r="AK138" s="36">
        <v>2</v>
      </c>
      <c r="AL138" s="46">
        <f t="shared" ref="AL138:AL147" si="124">MAX(0,AJ138-AK138)</f>
        <v>0</v>
      </c>
      <c r="AM138" s="47">
        <v>200</v>
      </c>
      <c r="AN138" s="48">
        <f t="shared" ref="AN138:AN147" si="125">MAX(0,AL138*AM138)</f>
        <v>0</v>
      </c>
      <c r="AO138" s="47"/>
      <c r="AP138" s="49">
        <f t="shared" ref="AP138:AP147" si="126">AO138+AN138+AI138</f>
        <v>0</v>
      </c>
    </row>
    <row r="139" spans="1:42" s="1" customFormat="1" ht="15" customHeight="1">
      <c r="A139" s="91">
        <f t="shared" si="112"/>
        <v>136</v>
      </c>
      <c r="B139" s="34" t="s">
        <v>114</v>
      </c>
      <c r="C139" s="35" t="s">
        <v>419</v>
      </c>
      <c r="D139" s="35" t="s">
        <v>420</v>
      </c>
      <c r="E139" s="64" t="s">
        <v>421</v>
      </c>
      <c r="F139" s="34" t="s">
        <v>215</v>
      </c>
      <c r="G139" s="37" t="s">
        <v>329</v>
      </c>
      <c r="H139" s="37">
        <v>29</v>
      </c>
      <c r="I139" s="34">
        <v>36250</v>
      </c>
      <c r="J139" s="34">
        <v>36323</v>
      </c>
      <c r="K139" s="34" t="s">
        <v>120</v>
      </c>
      <c r="L139" s="39">
        <v>45890</v>
      </c>
      <c r="M139" s="40" t="s">
        <v>121</v>
      </c>
      <c r="N139" s="39" t="s">
        <v>122</v>
      </c>
      <c r="O139" s="39">
        <v>45881</v>
      </c>
      <c r="P139" s="39">
        <v>45907</v>
      </c>
      <c r="Q139" s="39">
        <v>45892</v>
      </c>
      <c r="R139" s="39">
        <v>46002</v>
      </c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4" t="s">
        <v>403</v>
      </c>
      <c r="AE139" s="54">
        <f t="shared" si="120"/>
        <v>0</v>
      </c>
      <c r="AF139" s="36">
        <v>7</v>
      </c>
      <c r="AG139" s="51">
        <f t="shared" si="121"/>
        <v>0</v>
      </c>
      <c r="AH139" s="52">
        <v>200</v>
      </c>
      <c r="AI139" s="53">
        <f t="shared" si="122"/>
        <v>0</v>
      </c>
      <c r="AJ139" s="54">
        <f t="shared" si="123"/>
        <v>0</v>
      </c>
      <c r="AK139" s="36">
        <v>2</v>
      </c>
      <c r="AL139" s="51">
        <f t="shared" si="124"/>
        <v>0</v>
      </c>
      <c r="AM139" s="52">
        <v>200</v>
      </c>
      <c r="AN139" s="53">
        <f t="shared" si="125"/>
        <v>0</v>
      </c>
      <c r="AO139" s="52"/>
      <c r="AP139" s="55">
        <f t="shared" si="126"/>
        <v>0</v>
      </c>
    </row>
    <row r="140" spans="1:42" s="1" customFormat="1" ht="15" customHeight="1">
      <c r="A140" s="91">
        <f t="shared" si="112"/>
        <v>137</v>
      </c>
      <c r="B140" s="34" t="s">
        <v>114</v>
      </c>
      <c r="C140" s="35" t="s">
        <v>422</v>
      </c>
      <c r="D140" s="35" t="s">
        <v>423</v>
      </c>
      <c r="E140" s="35" t="s">
        <v>424</v>
      </c>
      <c r="F140" s="34" t="s">
        <v>215</v>
      </c>
      <c r="G140" s="37" t="s">
        <v>329</v>
      </c>
      <c r="H140" s="37">
        <v>28</v>
      </c>
      <c r="I140" s="34">
        <v>35000</v>
      </c>
      <c r="J140" s="34">
        <v>35070</v>
      </c>
      <c r="K140" s="34" t="s">
        <v>120</v>
      </c>
      <c r="L140" s="39">
        <v>45890</v>
      </c>
      <c r="M140" s="40" t="s">
        <v>121</v>
      </c>
      <c r="N140" s="39" t="s">
        <v>122</v>
      </c>
      <c r="O140" s="39">
        <v>45881</v>
      </c>
      <c r="P140" s="39">
        <v>45907</v>
      </c>
      <c r="Q140" s="39">
        <v>45892</v>
      </c>
      <c r="R140" s="39">
        <v>46002</v>
      </c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4" t="s">
        <v>403</v>
      </c>
      <c r="AE140" s="45">
        <f t="shared" si="120"/>
        <v>0</v>
      </c>
      <c r="AF140" s="36">
        <v>7</v>
      </c>
      <c r="AG140" s="46">
        <f t="shared" si="121"/>
        <v>0</v>
      </c>
      <c r="AH140" s="47">
        <v>200</v>
      </c>
      <c r="AI140" s="48">
        <f t="shared" si="122"/>
        <v>0</v>
      </c>
      <c r="AJ140" s="45">
        <f t="shared" si="123"/>
        <v>0</v>
      </c>
      <c r="AK140" s="36">
        <v>2</v>
      </c>
      <c r="AL140" s="46">
        <f t="shared" si="124"/>
        <v>0</v>
      </c>
      <c r="AM140" s="47">
        <v>200</v>
      </c>
      <c r="AN140" s="48">
        <f t="shared" si="125"/>
        <v>0</v>
      </c>
      <c r="AO140" s="47"/>
      <c r="AP140" s="49">
        <f t="shared" si="126"/>
        <v>0</v>
      </c>
    </row>
    <row r="141" spans="1:42" s="1" customFormat="1" ht="15" customHeight="1">
      <c r="A141" s="91">
        <f t="shared" si="112"/>
        <v>138</v>
      </c>
      <c r="B141" s="34" t="s">
        <v>114</v>
      </c>
      <c r="C141" s="35" t="s">
        <v>425</v>
      </c>
      <c r="D141" s="35" t="s">
        <v>426</v>
      </c>
      <c r="E141" s="35" t="s">
        <v>427</v>
      </c>
      <c r="F141" s="34" t="s">
        <v>215</v>
      </c>
      <c r="G141" s="37" t="s">
        <v>329</v>
      </c>
      <c r="H141" s="37">
        <v>28</v>
      </c>
      <c r="I141" s="34">
        <v>35000</v>
      </c>
      <c r="J141" s="34">
        <v>35070</v>
      </c>
      <c r="K141" s="34" t="s">
        <v>120</v>
      </c>
      <c r="L141" s="39">
        <v>45890</v>
      </c>
      <c r="M141" s="40" t="s">
        <v>121</v>
      </c>
      <c r="N141" s="39" t="s">
        <v>122</v>
      </c>
      <c r="O141" s="39">
        <v>45881</v>
      </c>
      <c r="P141" s="39">
        <v>45907</v>
      </c>
      <c r="Q141" s="39">
        <v>45892</v>
      </c>
      <c r="R141" s="39">
        <v>46002</v>
      </c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4" t="s">
        <v>403</v>
      </c>
      <c r="AE141" s="45">
        <f t="shared" si="120"/>
        <v>0</v>
      </c>
      <c r="AF141" s="36">
        <v>7</v>
      </c>
      <c r="AG141" s="46">
        <f t="shared" si="121"/>
        <v>0</v>
      </c>
      <c r="AH141" s="47">
        <v>200</v>
      </c>
      <c r="AI141" s="48">
        <f t="shared" si="122"/>
        <v>0</v>
      </c>
      <c r="AJ141" s="45">
        <f t="shared" si="123"/>
        <v>0</v>
      </c>
      <c r="AK141" s="36">
        <v>2</v>
      </c>
      <c r="AL141" s="46">
        <f t="shared" si="124"/>
        <v>0</v>
      </c>
      <c r="AM141" s="47">
        <v>200</v>
      </c>
      <c r="AN141" s="48">
        <f t="shared" si="125"/>
        <v>0</v>
      </c>
      <c r="AO141" s="47"/>
      <c r="AP141" s="49">
        <f t="shared" si="126"/>
        <v>0</v>
      </c>
    </row>
    <row r="142" spans="1:42" s="1" customFormat="1" ht="15" customHeight="1">
      <c r="A142" s="91">
        <f t="shared" si="112"/>
        <v>139</v>
      </c>
      <c r="B142" s="34" t="s">
        <v>114</v>
      </c>
      <c r="C142" s="35" t="s">
        <v>428</v>
      </c>
      <c r="D142" s="33" t="s">
        <v>429</v>
      </c>
      <c r="E142" s="33" t="s">
        <v>430</v>
      </c>
      <c r="F142" s="34" t="s">
        <v>215</v>
      </c>
      <c r="G142" s="37" t="s">
        <v>329</v>
      </c>
      <c r="H142" s="37">
        <v>28</v>
      </c>
      <c r="I142" s="34">
        <v>35000</v>
      </c>
      <c r="J142" s="34">
        <v>35070</v>
      </c>
      <c r="K142" s="34" t="s">
        <v>120</v>
      </c>
      <c r="L142" s="39">
        <v>45890</v>
      </c>
      <c r="M142" s="40" t="s">
        <v>121</v>
      </c>
      <c r="N142" s="39" t="s">
        <v>122</v>
      </c>
      <c r="O142" s="39">
        <v>45881</v>
      </c>
      <c r="P142" s="39">
        <v>45907</v>
      </c>
      <c r="Q142" s="39">
        <v>45892</v>
      </c>
      <c r="R142" s="39">
        <v>46002</v>
      </c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4" t="s">
        <v>403</v>
      </c>
      <c r="AE142" s="54">
        <f t="shared" si="120"/>
        <v>0</v>
      </c>
      <c r="AF142" s="36">
        <v>7</v>
      </c>
      <c r="AG142" s="51">
        <f t="shared" si="121"/>
        <v>0</v>
      </c>
      <c r="AH142" s="52">
        <v>200</v>
      </c>
      <c r="AI142" s="53">
        <f t="shared" si="122"/>
        <v>0</v>
      </c>
      <c r="AJ142" s="54">
        <f t="shared" si="123"/>
        <v>0</v>
      </c>
      <c r="AK142" s="36">
        <v>2</v>
      </c>
      <c r="AL142" s="51">
        <f t="shared" si="124"/>
        <v>0</v>
      </c>
      <c r="AM142" s="52">
        <v>200</v>
      </c>
      <c r="AN142" s="53">
        <f t="shared" si="125"/>
        <v>0</v>
      </c>
      <c r="AO142" s="52"/>
      <c r="AP142" s="55">
        <f t="shared" si="126"/>
        <v>0</v>
      </c>
    </row>
    <row r="143" spans="1:42" s="1" customFormat="1" ht="15" customHeight="1">
      <c r="A143" s="91">
        <f t="shared" si="111"/>
        <v>140</v>
      </c>
      <c r="B143" s="34" t="s">
        <v>114</v>
      </c>
      <c r="C143" s="35" t="s">
        <v>431</v>
      </c>
      <c r="D143" s="35" t="s">
        <v>432</v>
      </c>
      <c r="E143" s="33" t="s">
        <v>433</v>
      </c>
      <c r="F143" s="34" t="s">
        <v>215</v>
      </c>
      <c r="G143" s="37" t="s">
        <v>329</v>
      </c>
      <c r="H143" s="37">
        <v>28</v>
      </c>
      <c r="I143" s="34">
        <v>35000</v>
      </c>
      <c r="J143" s="34">
        <v>35070</v>
      </c>
      <c r="K143" s="34" t="s">
        <v>120</v>
      </c>
      <c r="L143" s="39">
        <v>45890</v>
      </c>
      <c r="M143" s="40" t="s">
        <v>121</v>
      </c>
      <c r="N143" s="39" t="s">
        <v>122</v>
      </c>
      <c r="O143" s="39">
        <v>45881</v>
      </c>
      <c r="P143" s="39">
        <v>45907</v>
      </c>
      <c r="Q143" s="39">
        <v>45892</v>
      </c>
      <c r="R143" s="39">
        <v>46002</v>
      </c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4" t="s">
        <v>403</v>
      </c>
      <c r="AE143" s="54">
        <f t="shared" si="120"/>
        <v>0</v>
      </c>
      <c r="AF143" s="36">
        <v>7</v>
      </c>
      <c r="AG143" s="51">
        <f t="shared" si="121"/>
        <v>0</v>
      </c>
      <c r="AH143" s="52">
        <v>200</v>
      </c>
      <c r="AI143" s="53">
        <f t="shared" si="122"/>
        <v>0</v>
      </c>
      <c r="AJ143" s="54">
        <f t="shared" si="123"/>
        <v>0</v>
      </c>
      <c r="AK143" s="36">
        <v>2</v>
      </c>
      <c r="AL143" s="51">
        <f t="shared" si="124"/>
        <v>0</v>
      </c>
      <c r="AM143" s="52">
        <v>200</v>
      </c>
      <c r="AN143" s="53">
        <f t="shared" si="125"/>
        <v>0</v>
      </c>
      <c r="AO143" s="52"/>
      <c r="AP143" s="55">
        <f t="shared" si="126"/>
        <v>0</v>
      </c>
    </row>
    <row r="144" spans="1:42" s="1" customFormat="1" ht="15" customHeight="1">
      <c r="A144" s="91">
        <f t="shared" si="111"/>
        <v>141</v>
      </c>
      <c r="B144" s="34" t="s">
        <v>114</v>
      </c>
      <c r="C144" s="35" t="s">
        <v>434</v>
      </c>
      <c r="D144" s="35" t="s">
        <v>435</v>
      </c>
      <c r="E144" s="34" t="s">
        <v>436</v>
      </c>
      <c r="F144" s="34" t="s">
        <v>215</v>
      </c>
      <c r="G144" s="37" t="s">
        <v>329</v>
      </c>
      <c r="H144" s="37">
        <v>29</v>
      </c>
      <c r="I144" s="34">
        <v>36250</v>
      </c>
      <c r="J144" s="34">
        <v>36323</v>
      </c>
      <c r="K144" s="34" t="s">
        <v>120</v>
      </c>
      <c r="L144" s="39">
        <v>45890</v>
      </c>
      <c r="M144" s="40" t="s">
        <v>121</v>
      </c>
      <c r="N144" s="39" t="s">
        <v>122</v>
      </c>
      <c r="O144" s="39">
        <v>45881</v>
      </c>
      <c r="P144" s="39">
        <v>45907</v>
      </c>
      <c r="Q144" s="39">
        <v>45892</v>
      </c>
      <c r="R144" s="39">
        <v>46002</v>
      </c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4" t="s">
        <v>403</v>
      </c>
      <c r="AE144" s="45">
        <f t="shared" si="120"/>
        <v>0</v>
      </c>
      <c r="AF144" s="36">
        <v>7</v>
      </c>
      <c r="AG144" s="46">
        <f t="shared" si="121"/>
        <v>0</v>
      </c>
      <c r="AH144" s="47">
        <v>200</v>
      </c>
      <c r="AI144" s="48">
        <f t="shared" si="122"/>
        <v>0</v>
      </c>
      <c r="AJ144" s="45">
        <f t="shared" si="123"/>
        <v>0</v>
      </c>
      <c r="AK144" s="36">
        <v>2</v>
      </c>
      <c r="AL144" s="46">
        <f t="shared" si="124"/>
        <v>0</v>
      </c>
      <c r="AM144" s="47">
        <v>200</v>
      </c>
      <c r="AN144" s="48">
        <f t="shared" si="125"/>
        <v>0</v>
      </c>
      <c r="AO144" s="47"/>
      <c r="AP144" s="49">
        <f t="shared" si="126"/>
        <v>0</v>
      </c>
    </row>
    <row r="145" spans="1:42" s="1" customFormat="1" ht="15" customHeight="1">
      <c r="A145" s="91">
        <f t="shared" si="111"/>
        <v>142</v>
      </c>
      <c r="B145" s="34" t="s">
        <v>114</v>
      </c>
      <c r="C145" s="35" t="s">
        <v>437</v>
      </c>
      <c r="D145" s="35" t="s">
        <v>438</v>
      </c>
      <c r="E145" s="34" t="s">
        <v>439</v>
      </c>
      <c r="F145" s="34" t="s">
        <v>215</v>
      </c>
      <c r="G145" s="37" t="s">
        <v>329</v>
      </c>
      <c r="H145" s="37">
        <v>28</v>
      </c>
      <c r="I145" s="34">
        <v>35000</v>
      </c>
      <c r="J145" s="34">
        <v>35070</v>
      </c>
      <c r="K145" s="34" t="s">
        <v>120</v>
      </c>
      <c r="L145" s="39">
        <v>45890</v>
      </c>
      <c r="M145" s="40" t="s">
        <v>121</v>
      </c>
      <c r="N145" s="39" t="s">
        <v>122</v>
      </c>
      <c r="O145" s="39">
        <v>45881</v>
      </c>
      <c r="P145" s="39">
        <v>45907</v>
      </c>
      <c r="Q145" s="39">
        <v>45892</v>
      </c>
      <c r="R145" s="39">
        <v>46002</v>
      </c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4" t="s">
        <v>403</v>
      </c>
      <c r="AE145" s="45">
        <f t="shared" si="120"/>
        <v>0</v>
      </c>
      <c r="AF145" s="36">
        <v>7</v>
      </c>
      <c r="AG145" s="46">
        <f t="shared" si="121"/>
        <v>0</v>
      </c>
      <c r="AH145" s="47">
        <v>200</v>
      </c>
      <c r="AI145" s="48">
        <f t="shared" si="122"/>
        <v>0</v>
      </c>
      <c r="AJ145" s="45">
        <f t="shared" si="123"/>
        <v>0</v>
      </c>
      <c r="AK145" s="36">
        <v>2</v>
      </c>
      <c r="AL145" s="46">
        <f t="shared" si="124"/>
        <v>0</v>
      </c>
      <c r="AM145" s="47">
        <v>200</v>
      </c>
      <c r="AN145" s="48">
        <f t="shared" si="125"/>
        <v>0</v>
      </c>
      <c r="AO145" s="47"/>
      <c r="AP145" s="49">
        <f t="shared" si="126"/>
        <v>0</v>
      </c>
    </row>
    <row r="146" spans="1:42" s="1" customFormat="1" ht="15" customHeight="1">
      <c r="A146" s="91">
        <f t="shared" si="111"/>
        <v>143</v>
      </c>
      <c r="B146" s="34" t="s">
        <v>114</v>
      </c>
      <c r="C146" s="35" t="s">
        <v>440</v>
      </c>
      <c r="D146" s="33" t="s">
        <v>441</v>
      </c>
      <c r="E146" s="34" t="s">
        <v>442</v>
      </c>
      <c r="F146" s="34" t="s">
        <v>215</v>
      </c>
      <c r="G146" s="37" t="s">
        <v>329</v>
      </c>
      <c r="H146" s="37">
        <v>28</v>
      </c>
      <c r="I146" s="34">
        <v>35000</v>
      </c>
      <c r="J146" s="34">
        <v>35070</v>
      </c>
      <c r="K146" s="34" t="s">
        <v>120</v>
      </c>
      <c r="L146" s="39">
        <v>45890</v>
      </c>
      <c r="M146" s="40" t="s">
        <v>121</v>
      </c>
      <c r="N146" s="39" t="s">
        <v>122</v>
      </c>
      <c r="O146" s="39">
        <v>45881</v>
      </c>
      <c r="P146" s="39">
        <v>45907</v>
      </c>
      <c r="Q146" s="39">
        <v>45892</v>
      </c>
      <c r="R146" s="39">
        <v>46002</v>
      </c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4" t="s">
        <v>403</v>
      </c>
      <c r="AE146" s="54">
        <f t="shared" si="120"/>
        <v>0</v>
      </c>
      <c r="AF146" s="36">
        <v>7</v>
      </c>
      <c r="AG146" s="51">
        <f t="shared" si="121"/>
        <v>0</v>
      </c>
      <c r="AH146" s="52">
        <v>200</v>
      </c>
      <c r="AI146" s="53">
        <f t="shared" si="122"/>
        <v>0</v>
      </c>
      <c r="AJ146" s="54">
        <f t="shared" si="123"/>
        <v>0</v>
      </c>
      <c r="AK146" s="36">
        <v>2</v>
      </c>
      <c r="AL146" s="51">
        <f t="shared" si="124"/>
        <v>0</v>
      </c>
      <c r="AM146" s="52">
        <v>200</v>
      </c>
      <c r="AN146" s="53">
        <f t="shared" si="125"/>
        <v>0</v>
      </c>
      <c r="AO146" s="52"/>
      <c r="AP146" s="55">
        <f t="shared" si="126"/>
        <v>0</v>
      </c>
    </row>
    <row r="147" spans="1:42" s="1" customFormat="1" ht="15" customHeight="1">
      <c r="A147" s="91">
        <f t="shared" si="111"/>
        <v>144</v>
      </c>
      <c r="B147" s="34" t="s">
        <v>114</v>
      </c>
      <c r="C147" s="64" t="s">
        <v>443</v>
      </c>
      <c r="D147" s="35" t="s">
        <v>444</v>
      </c>
      <c r="E147" s="35" t="s">
        <v>445</v>
      </c>
      <c r="F147" s="34" t="s">
        <v>215</v>
      </c>
      <c r="G147" s="37" t="s">
        <v>329</v>
      </c>
      <c r="H147" s="37">
        <v>28</v>
      </c>
      <c r="I147" s="34">
        <v>35000</v>
      </c>
      <c r="J147" s="34">
        <v>35070</v>
      </c>
      <c r="K147" s="34" t="s">
        <v>120</v>
      </c>
      <c r="L147" s="39">
        <v>45890</v>
      </c>
      <c r="M147" s="40" t="s">
        <v>121</v>
      </c>
      <c r="N147" s="39" t="s">
        <v>122</v>
      </c>
      <c r="O147" s="39">
        <v>45881</v>
      </c>
      <c r="P147" s="39">
        <v>45907</v>
      </c>
      <c r="Q147" s="39">
        <v>45892</v>
      </c>
      <c r="R147" s="39">
        <v>46002</v>
      </c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4" t="s">
        <v>403</v>
      </c>
      <c r="AE147" s="45">
        <f t="shared" si="120"/>
        <v>0</v>
      </c>
      <c r="AF147" s="36">
        <v>7</v>
      </c>
      <c r="AG147" s="46">
        <f t="shared" si="121"/>
        <v>0</v>
      </c>
      <c r="AH147" s="47">
        <v>200</v>
      </c>
      <c r="AI147" s="48">
        <f t="shared" si="122"/>
        <v>0</v>
      </c>
      <c r="AJ147" s="45">
        <f t="shared" si="123"/>
        <v>0</v>
      </c>
      <c r="AK147" s="36">
        <v>2</v>
      </c>
      <c r="AL147" s="46">
        <f t="shared" si="124"/>
        <v>0</v>
      </c>
      <c r="AM147" s="47">
        <v>200</v>
      </c>
      <c r="AN147" s="48">
        <f t="shared" si="125"/>
        <v>0</v>
      </c>
      <c r="AO147" s="47"/>
      <c r="AP147" s="49">
        <f t="shared" si="126"/>
        <v>0</v>
      </c>
    </row>
    <row r="148" spans="1:42" s="1" customFormat="1" ht="15" customHeight="1">
      <c r="A148" s="91">
        <f t="shared" si="112"/>
        <v>145</v>
      </c>
      <c r="B148" s="34" t="s">
        <v>446</v>
      </c>
      <c r="C148" s="35" t="s">
        <v>447</v>
      </c>
      <c r="D148" s="35" t="s">
        <v>448</v>
      </c>
      <c r="E148" s="39" t="s">
        <v>449</v>
      </c>
      <c r="F148" s="34" t="s">
        <v>215</v>
      </c>
      <c r="G148" s="37" t="s">
        <v>329</v>
      </c>
      <c r="H148" s="37">
        <v>28</v>
      </c>
      <c r="I148" s="34">
        <v>35000</v>
      </c>
      <c r="J148" s="34">
        <v>35070</v>
      </c>
      <c r="K148" s="34" t="s">
        <v>120</v>
      </c>
      <c r="L148" s="39">
        <v>45890</v>
      </c>
      <c r="M148" s="40" t="s">
        <v>121</v>
      </c>
      <c r="N148" s="39" t="s">
        <v>122</v>
      </c>
      <c r="O148" s="39">
        <v>45881</v>
      </c>
      <c r="P148" s="39">
        <v>45907</v>
      </c>
      <c r="Q148" s="39">
        <v>45892</v>
      </c>
      <c r="R148" s="39">
        <v>46001</v>
      </c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4" t="s">
        <v>403</v>
      </c>
      <c r="AE148" s="54">
        <f t="shared" si="113"/>
        <v>0</v>
      </c>
      <c r="AF148" s="36">
        <v>7</v>
      </c>
      <c r="AG148" s="51">
        <f t="shared" si="114"/>
        <v>0</v>
      </c>
      <c r="AH148" s="52">
        <v>200</v>
      </c>
      <c r="AI148" s="53">
        <f t="shared" si="115"/>
        <v>0</v>
      </c>
      <c r="AJ148" s="54">
        <f t="shared" si="116"/>
        <v>0</v>
      </c>
      <c r="AK148" s="36">
        <v>2</v>
      </c>
      <c r="AL148" s="51">
        <f t="shared" si="117"/>
        <v>0</v>
      </c>
      <c r="AM148" s="52">
        <v>200</v>
      </c>
      <c r="AN148" s="53">
        <f t="shared" si="118"/>
        <v>0</v>
      </c>
      <c r="AO148" s="52"/>
      <c r="AP148" s="55">
        <f t="shared" si="119"/>
        <v>0</v>
      </c>
    </row>
    <row r="149" spans="1:42" s="1" customFormat="1" ht="15" customHeight="1">
      <c r="A149" s="91">
        <f t="shared" si="112"/>
        <v>146</v>
      </c>
      <c r="B149" s="34" t="s">
        <v>446</v>
      </c>
      <c r="C149" s="64" t="s">
        <v>450</v>
      </c>
      <c r="D149" s="34" t="s">
        <v>451</v>
      </c>
      <c r="E149" s="34" t="s">
        <v>452</v>
      </c>
      <c r="F149" s="34" t="s">
        <v>215</v>
      </c>
      <c r="G149" s="37" t="s">
        <v>329</v>
      </c>
      <c r="H149" s="37">
        <v>28</v>
      </c>
      <c r="I149" s="34">
        <v>35000</v>
      </c>
      <c r="J149" s="34">
        <v>35070</v>
      </c>
      <c r="K149" s="34" t="s">
        <v>120</v>
      </c>
      <c r="L149" s="39">
        <v>45890</v>
      </c>
      <c r="M149" s="40" t="s">
        <v>121</v>
      </c>
      <c r="N149" s="39" t="s">
        <v>122</v>
      </c>
      <c r="O149" s="39">
        <v>45881</v>
      </c>
      <c r="P149" s="39">
        <v>45907</v>
      </c>
      <c r="Q149" s="39">
        <v>45892</v>
      </c>
      <c r="R149" s="39">
        <v>46002</v>
      </c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4" t="s">
        <v>403</v>
      </c>
      <c r="AE149" s="54">
        <f t="shared" si="113"/>
        <v>0</v>
      </c>
      <c r="AF149" s="36">
        <v>7</v>
      </c>
      <c r="AG149" s="51">
        <f t="shared" si="114"/>
        <v>0</v>
      </c>
      <c r="AH149" s="52">
        <v>200</v>
      </c>
      <c r="AI149" s="53">
        <f t="shared" si="115"/>
        <v>0</v>
      </c>
      <c r="AJ149" s="54">
        <f t="shared" si="116"/>
        <v>0</v>
      </c>
      <c r="AK149" s="36">
        <v>2</v>
      </c>
      <c r="AL149" s="51">
        <f t="shared" si="117"/>
        <v>0</v>
      </c>
      <c r="AM149" s="52">
        <v>200</v>
      </c>
      <c r="AN149" s="53">
        <f t="shared" si="118"/>
        <v>0</v>
      </c>
      <c r="AO149" s="52"/>
      <c r="AP149" s="55">
        <f t="shared" si="119"/>
        <v>0</v>
      </c>
    </row>
    <row r="150" spans="1:42" s="1" customFormat="1" ht="15" customHeight="1">
      <c r="A150" s="91">
        <f t="shared" si="112"/>
        <v>147</v>
      </c>
      <c r="B150" s="34" t="s">
        <v>446</v>
      </c>
      <c r="C150" s="35" t="s">
        <v>453</v>
      </c>
      <c r="D150" s="35" t="s">
        <v>454</v>
      </c>
      <c r="E150" s="34" t="s">
        <v>455</v>
      </c>
      <c r="F150" s="34" t="s">
        <v>215</v>
      </c>
      <c r="G150" s="37" t="s">
        <v>329</v>
      </c>
      <c r="H150" s="37">
        <v>29</v>
      </c>
      <c r="I150" s="34">
        <v>36250</v>
      </c>
      <c r="J150" s="34">
        <v>36323</v>
      </c>
      <c r="K150" s="34" t="s">
        <v>120</v>
      </c>
      <c r="L150" s="39">
        <v>45890</v>
      </c>
      <c r="M150" s="40" t="s">
        <v>121</v>
      </c>
      <c r="N150" s="39" t="s">
        <v>122</v>
      </c>
      <c r="O150" s="39">
        <v>45881</v>
      </c>
      <c r="P150" s="39">
        <v>45907</v>
      </c>
      <c r="Q150" s="39">
        <v>45892</v>
      </c>
      <c r="R150" s="39">
        <v>46002</v>
      </c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4" t="s">
        <v>403</v>
      </c>
      <c r="AE150" s="54">
        <f t="shared" si="113"/>
        <v>0</v>
      </c>
      <c r="AF150" s="36">
        <v>7</v>
      </c>
      <c r="AG150" s="51">
        <f t="shared" si="114"/>
        <v>0</v>
      </c>
      <c r="AH150" s="52">
        <v>200</v>
      </c>
      <c r="AI150" s="53">
        <f t="shared" si="115"/>
        <v>0</v>
      </c>
      <c r="AJ150" s="54">
        <f t="shared" si="116"/>
        <v>0</v>
      </c>
      <c r="AK150" s="36">
        <v>2</v>
      </c>
      <c r="AL150" s="51">
        <f t="shared" si="117"/>
        <v>0</v>
      </c>
      <c r="AM150" s="52">
        <v>200</v>
      </c>
      <c r="AN150" s="53">
        <f t="shared" si="118"/>
        <v>0</v>
      </c>
      <c r="AO150" s="52"/>
      <c r="AP150" s="55">
        <f t="shared" si="119"/>
        <v>0</v>
      </c>
    </row>
    <row r="151" spans="1:42" s="1" customFormat="1" ht="15" customHeight="1">
      <c r="A151" s="91">
        <f t="shared" si="112"/>
        <v>148</v>
      </c>
      <c r="B151" s="34" t="s">
        <v>446</v>
      </c>
      <c r="C151" s="35" t="s">
        <v>456</v>
      </c>
      <c r="D151" s="35" t="s">
        <v>457</v>
      </c>
      <c r="E151" s="34" t="s">
        <v>458</v>
      </c>
      <c r="F151" s="34" t="s">
        <v>215</v>
      </c>
      <c r="G151" s="37" t="s">
        <v>329</v>
      </c>
      <c r="H151" s="37">
        <v>29</v>
      </c>
      <c r="I151" s="34">
        <v>36250</v>
      </c>
      <c r="J151" s="34">
        <v>36323</v>
      </c>
      <c r="K151" s="34" t="s">
        <v>120</v>
      </c>
      <c r="L151" s="39">
        <v>45890</v>
      </c>
      <c r="M151" s="40" t="s">
        <v>121</v>
      </c>
      <c r="N151" s="39" t="s">
        <v>122</v>
      </c>
      <c r="O151" s="39">
        <v>45881</v>
      </c>
      <c r="P151" s="39">
        <v>45907</v>
      </c>
      <c r="Q151" s="39">
        <v>45892</v>
      </c>
      <c r="R151" s="39">
        <v>46002</v>
      </c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4" t="s">
        <v>403</v>
      </c>
      <c r="AE151" s="45">
        <f t="shared" si="113"/>
        <v>0</v>
      </c>
      <c r="AF151" s="36">
        <v>7</v>
      </c>
      <c r="AG151" s="46">
        <f t="shared" si="114"/>
        <v>0</v>
      </c>
      <c r="AH151" s="47">
        <v>200</v>
      </c>
      <c r="AI151" s="48">
        <f t="shared" si="115"/>
        <v>0</v>
      </c>
      <c r="AJ151" s="45">
        <f t="shared" si="116"/>
        <v>0</v>
      </c>
      <c r="AK151" s="36">
        <v>2</v>
      </c>
      <c r="AL151" s="46">
        <f t="shared" si="117"/>
        <v>0</v>
      </c>
      <c r="AM151" s="47">
        <v>200</v>
      </c>
      <c r="AN151" s="48">
        <f t="shared" si="118"/>
        <v>0</v>
      </c>
      <c r="AO151" s="47"/>
      <c r="AP151" s="49">
        <f t="shared" si="119"/>
        <v>0</v>
      </c>
    </row>
    <row r="152" spans="1:42" s="1" customFormat="1" ht="15" customHeight="1">
      <c r="A152" s="91">
        <f t="shared" si="112"/>
        <v>149</v>
      </c>
      <c r="B152" s="34" t="s">
        <v>446</v>
      </c>
      <c r="C152" s="35" t="s">
        <v>459</v>
      </c>
      <c r="D152" s="35" t="s">
        <v>460</v>
      </c>
      <c r="E152" s="34" t="s">
        <v>461</v>
      </c>
      <c r="F152" s="34" t="s">
        <v>215</v>
      </c>
      <c r="G152" s="37" t="s">
        <v>329</v>
      </c>
      <c r="H152" s="37">
        <v>28</v>
      </c>
      <c r="I152" s="34">
        <v>35000</v>
      </c>
      <c r="J152" s="34">
        <v>35070</v>
      </c>
      <c r="K152" s="34" t="s">
        <v>120</v>
      </c>
      <c r="L152" s="39">
        <v>45890</v>
      </c>
      <c r="M152" s="40" t="s">
        <v>121</v>
      </c>
      <c r="N152" s="39" t="s">
        <v>122</v>
      </c>
      <c r="O152" s="39">
        <v>45881</v>
      </c>
      <c r="P152" s="39">
        <v>45907</v>
      </c>
      <c r="Q152" s="39">
        <v>45892</v>
      </c>
      <c r="R152" s="39">
        <v>46002</v>
      </c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4" t="s">
        <v>403</v>
      </c>
      <c r="AE152" s="45">
        <f t="shared" si="113"/>
        <v>0</v>
      </c>
      <c r="AF152" s="36">
        <v>7</v>
      </c>
      <c r="AG152" s="46">
        <f t="shared" si="114"/>
        <v>0</v>
      </c>
      <c r="AH152" s="47">
        <v>200</v>
      </c>
      <c r="AI152" s="48">
        <f t="shared" si="115"/>
        <v>0</v>
      </c>
      <c r="AJ152" s="45">
        <f t="shared" si="116"/>
        <v>0</v>
      </c>
      <c r="AK152" s="36">
        <v>2</v>
      </c>
      <c r="AL152" s="46">
        <f t="shared" si="117"/>
        <v>0</v>
      </c>
      <c r="AM152" s="47">
        <v>200</v>
      </c>
      <c r="AN152" s="48">
        <f t="shared" si="118"/>
        <v>0</v>
      </c>
      <c r="AO152" s="47"/>
      <c r="AP152" s="49">
        <f t="shared" si="119"/>
        <v>0</v>
      </c>
    </row>
    <row r="153" spans="1:42" s="1" customFormat="1" ht="15" customHeight="1">
      <c r="A153" s="91">
        <f t="shared" si="111"/>
        <v>150</v>
      </c>
      <c r="B153" s="34" t="s">
        <v>446</v>
      </c>
      <c r="C153" s="35" t="s">
        <v>462</v>
      </c>
      <c r="D153" s="35" t="s">
        <v>463</v>
      </c>
      <c r="E153" s="39" t="s">
        <v>464</v>
      </c>
      <c r="F153" s="34" t="s">
        <v>215</v>
      </c>
      <c r="G153" s="37" t="s">
        <v>329</v>
      </c>
      <c r="H153" s="37">
        <v>28</v>
      </c>
      <c r="I153" s="34">
        <v>35000</v>
      </c>
      <c r="J153" s="34">
        <v>35070</v>
      </c>
      <c r="K153" s="34" t="s">
        <v>120</v>
      </c>
      <c r="L153" s="39">
        <v>45890</v>
      </c>
      <c r="M153" s="40" t="s">
        <v>121</v>
      </c>
      <c r="N153" s="39" t="s">
        <v>122</v>
      </c>
      <c r="O153" s="39">
        <v>45881</v>
      </c>
      <c r="P153" s="39">
        <v>45907</v>
      </c>
      <c r="Q153" s="39">
        <v>45892</v>
      </c>
      <c r="R153" s="39">
        <v>46002</v>
      </c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4" t="s">
        <v>403</v>
      </c>
      <c r="AE153" s="54">
        <f t="shared" ref="AE153:AE180" si="127">MAX(0,Y153-X153)</f>
        <v>0</v>
      </c>
      <c r="AF153" s="36">
        <v>7</v>
      </c>
      <c r="AG153" s="51">
        <f t="shared" ref="AG153:AG180" si="128">MAX(0,AE153-AF153)</f>
        <v>0</v>
      </c>
      <c r="AH153" s="52">
        <v>200</v>
      </c>
      <c r="AI153" s="53">
        <f t="shared" ref="AI153:AI180" si="129">MAX(0,AG153*AH153)</f>
        <v>0</v>
      </c>
      <c r="AJ153" s="54">
        <f t="shared" ref="AJ153:AJ180" si="130">MAX(0,AC153-AB153)</f>
        <v>0</v>
      </c>
      <c r="AK153" s="36">
        <v>2</v>
      </c>
      <c r="AL153" s="51">
        <f t="shared" ref="AL153:AL180" si="131">MAX(0,AJ153-AK153)</f>
        <v>0</v>
      </c>
      <c r="AM153" s="52">
        <v>200</v>
      </c>
      <c r="AN153" s="53">
        <f t="shared" ref="AN153:AN180" si="132">MAX(0,AL153*AM153)</f>
        <v>0</v>
      </c>
      <c r="AO153" s="52"/>
      <c r="AP153" s="55">
        <f t="shared" ref="AP153:AP180" si="133">AO153+AN153+AI153</f>
        <v>0</v>
      </c>
    </row>
    <row r="154" spans="1:42" s="1" customFormat="1" ht="15" customHeight="1">
      <c r="A154" s="91">
        <f t="shared" si="111"/>
        <v>151</v>
      </c>
      <c r="B154" s="34" t="s">
        <v>446</v>
      </c>
      <c r="C154" s="35" t="s">
        <v>465</v>
      </c>
      <c r="D154" s="35" t="s">
        <v>466</v>
      </c>
      <c r="E154" s="33" t="s">
        <v>467</v>
      </c>
      <c r="F154" s="34" t="s">
        <v>215</v>
      </c>
      <c r="G154" s="37" t="s">
        <v>329</v>
      </c>
      <c r="H154" s="37">
        <v>29</v>
      </c>
      <c r="I154" s="34">
        <v>36250</v>
      </c>
      <c r="J154" s="34">
        <v>36323</v>
      </c>
      <c r="K154" s="34" t="s">
        <v>120</v>
      </c>
      <c r="L154" s="39">
        <v>45890</v>
      </c>
      <c r="M154" s="40" t="s">
        <v>121</v>
      </c>
      <c r="N154" s="39" t="s">
        <v>122</v>
      </c>
      <c r="O154" s="39">
        <v>45881</v>
      </c>
      <c r="P154" s="39">
        <v>45907</v>
      </c>
      <c r="Q154" s="39">
        <v>45892</v>
      </c>
      <c r="R154" s="39">
        <v>46002</v>
      </c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4" t="s">
        <v>403</v>
      </c>
      <c r="AE154" s="45">
        <f t="shared" si="127"/>
        <v>0</v>
      </c>
      <c r="AF154" s="36">
        <v>7</v>
      </c>
      <c r="AG154" s="46">
        <f t="shared" si="128"/>
        <v>0</v>
      </c>
      <c r="AH154" s="47">
        <v>200</v>
      </c>
      <c r="AI154" s="48">
        <f t="shared" si="129"/>
        <v>0</v>
      </c>
      <c r="AJ154" s="45">
        <f t="shared" si="130"/>
        <v>0</v>
      </c>
      <c r="AK154" s="36">
        <v>2</v>
      </c>
      <c r="AL154" s="46">
        <f t="shared" si="131"/>
        <v>0</v>
      </c>
      <c r="AM154" s="47">
        <v>200</v>
      </c>
      <c r="AN154" s="48">
        <f t="shared" si="132"/>
        <v>0</v>
      </c>
      <c r="AO154" s="47"/>
      <c r="AP154" s="49">
        <f t="shared" si="133"/>
        <v>0</v>
      </c>
    </row>
    <row r="155" spans="1:42" s="1" customFormat="1" ht="15" customHeight="1">
      <c r="A155" s="91">
        <f t="shared" si="111"/>
        <v>152</v>
      </c>
      <c r="B155" s="34" t="s">
        <v>446</v>
      </c>
      <c r="C155" s="35" t="s">
        <v>468</v>
      </c>
      <c r="D155" s="34" t="s">
        <v>469</v>
      </c>
      <c r="E155" s="34" t="s">
        <v>470</v>
      </c>
      <c r="F155" s="34" t="s">
        <v>215</v>
      </c>
      <c r="G155" s="37" t="s">
        <v>329</v>
      </c>
      <c r="H155" s="37">
        <v>28</v>
      </c>
      <c r="I155" s="34">
        <v>35000</v>
      </c>
      <c r="J155" s="34">
        <v>35070</v>
      </c>
      <c r="K155" s="34" t="s">
        <v>120</v>
      </c>
      <c r="L155" s="39">
        <v>45890</v>
      </c>
      <c r="M155" s="40" t="s">
        <v>121</v>
      </c>
      <c r="N155" s="39" t="s">
        <v>122</v>
      </c>
      <c r="O155" s="39">
        <v>45881</v>
      </c>
      <c r="P155" s="39">
        <v>45907</v>
      </c>
      <c r="Q155" s="39">
        <v>45892</v>
      </c>
      <c r="R155" s="39">
        <v>46002</v>
      </c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4" t="s">
        <v>403</v>
      </c>
      <c r="AE155" s="54">
        <f t="shared" si="127"/>
        <v>0</v>
      </c>
      <c r="AF155" s="36">
        <v>7</v>
      </c>
      <c r="AG155" s="51">
        <f t="shared" si="128"/>
        <v>0</v>
      </c>
      <c r="AH155" s="52">
        <v>200</v>
      </c>
      <c r="AI155" s="53">
        <f t="shared" si="129"/>
        <v>0</v>
      </c>
      <c r="AJ155" s="54">
        <f t="shared" si="130"/>
        <v>0</v>
      </c>
      <c r="AK155" s="36">
        <v>2</v>
      </c>
      <c r="AL155" s="51">
        <f t="shared" si="131"/>
        <v>0</v>
      </c>
      <c r="AM155" s="52">
        <v>200</v>
      </c>
      <c r="AN155" s="53">
        <f t="shared" si="132"/>
        <v>0</v>
      </c>
      <c r="AO155" s="52"/>
      <c r="AP155" s="55">
        <f t="shared" si="133"/>
        <v>0</v>
      </c>
    </row>
    <row r="156" spans="1:42" s="1" customFormat="1" ht="15" customHeight="1">
      <c r="A156" s="91">
        <f t="shared" si="111"/>
        <v>153</v>
      </c>
      <c r="B156" s="34" t="s">
        <v>446</v>
      </c>
      <c r="C156" s="64" t="s">
        <v>471</v>
      </c>
      <c r="D156" s="34" t="s">
        <v>472</v>
      </c>
      <c r="E156" s="33" t="s">
        <v>473</v>
      </c>
      <c r="F156" s="34" t="s">
        <v>215</v>
      </c>
      <c r="G156" s="37" t="s">
        <v>329</v>
      </c>
      <c r="H156" s="37">
        <v>28</v>
      </c>
      <c r="I156" s="34">
        <v>35000</v>
      </c>
      <c r="J156" s="34">
        <v>35070</v>
      </c>
      <c r="K156" s="34" t="s">
        <v>120</v>
      </c>
      <c r="L156" s="39">
        <v>45890</v>
      </c>
      <c r="M156" s="40" t="s">
        <v>121</v>
      </c>
      <c r="N156" s="39" t="s">
        <v>122</v>
      </c>
      <c r="O156" s="39">
        <v>45881</v>
      </c>
      <c r="P156" s="39">
        <v>45907</v>
      </c>
      <c r="Q156" s="39">
        <v>45892</v>
      </c>
      <c r="R156" s="39">
        <v>46002</v>
      </c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4" t="s">
        <v>403</v>
      </c>
      <c r="AE156" s="45">
        <f t="shared" si="127"/>
        <v>0</v>
      </c>
      <c r="AF156" s="36">
        <v>7</v>
      </c>
      <c r="AG156" s="46">
        <f t="shared" si="128"/>
        <v>0</v>
      </c>
      <c r="AH156" s="47">
        <v>200</v>
      </c>
      <c r="AI156" s="48">
        <f t="shared" si="129"/>
        <v>0</v>
      </c>
      <c r="AJ156" s="45">
        <f t="shared" si="130"/>
        <v>0</v>
      </c>
      <c r="AK156" s="36">
        <v>2</v>
      </c>
      <c r="AL156" s="46">
        <f t="shared" si="131"/>
        <v>0</v>
      </c>
      <c r="AM156" s="47">
        <v>200</v>
      </c>
      <c r="AN156" s="48">
        <f t="shared" si="132"/>
        <v>0</v>
      </c>
      <c r="AO156" s="47"/>
      <c r="AP156" s="49">
        <f t="shared" si="133"/>
        <v>0</v>
      </c>
    </row>
    <row r="157" spans="1:42" s="1" customFormat="1" ht="15" customHeight="1">
      <c r="A157" s="91">
        <f t="shared" si="111"/>
        <v>154</v>
      </c>
      <c r="B157" s="34" t="s">
        <v>446</v>
      </c>
      <c r="C157" s="35" t="s">
        <v>474</v>
      </c>
      <c r="D157" s="35" t="s">
        <v>475</v>
      </c>
      <c r="E157" s="33" t="s">
        <v>476</v>
      </c>
      <c r="F157" s="34" t="s">
        <v>215</v>
      </c>
      <c r="G157" s="37" t="s">
        <v>329</v>
      </c>
      <c r="H157" s="37">
        <v>29</v>
      </c>
      <c r="I157" s="34">
        <v>36250</v>
      </c>
      <c r="J157" s="34">
        <v>36323</v>
      </c>
      <c r="K157" s="34" t="s">
        <v>120</v>
      </c>
      <c r="L157" s="39">
        <v>45890</v>
      </c>
      <c r="M157" s="40" t="s">
        <v>121</v>
      </c>
      <c r="N157" s="39" t="s">
        <v>122</v>
      </c>
      <c r="O157" s="39">
        <v>45881</v>
      </c>
      <c r="P157" s="39">
        <v>45907</v>
      </c>
      <c r="Q157" s="39">
        <v>45892</v>
      </c>
      <c r="R157" s="39">
        <v>46002</v>
      </c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4" t="s">
        <v>403</v>
      </c>
      <c r="AE157" s="54">
        <f t="shared" si="127"/>
        <v>0</v>
      </c>
      <c r="AF157" s="36">
        <v>7</v>
      </c>
      <c r="AG157" s="51">
        <f t="shared" si="128"/>
        <v>0</v>
      </c>
      <c r="AH157" s="52">
        <v>200</v>
      </c>
      <c r="AI157" s="53">
        <f t="shared" si="129"/>
        <v>0</v>
      </c>
      <c r="AJ157" s="54">
        <f t="shared" si="130"/>
        <v>0</v>
      </c>
      <c r="AK157" s="36">
        <v>2</v>
      </c>
      <c r="AL157" s="51">
        <f t="shared" si="131"/>
        <v>0</v>
      </c>
      <c r="AM157" s="52">
        <v>200</v>
      </c>
      <c r="AN157" s="53">
        <f t="shared" si="132"/>
        <v>0</v>
      </c>
      <c r="AO157" s="52"/>
      <c r="AP157" s="55">
        <f t="shared" si="133"/>
        <v>0</v>
      </c>
    </row>
    <row r="158" spans="1:42" s="1" customFormat="1" ht="15" customHeight="1">
      <c r="A158" s="91">
        <f t="shared" si="111"/>
        <v>155</v>
      </c>
      <c r="B158" s="34" t="s">
        <v>446</v>
      </c>
      <c r="C158" s="35" t="s">
        <v>477</v>
      </c>
      <c r="D158" s="35" t="s">
        <v>478</v>
      </c>
      <c r="E158" s="34" t="s">
        <v>479</v>
      </c>
      <c r="F158" s="34" t="s">
        <v>215</v>
      </c>
      <c r="G158" s="37" t="s">
        <v>329</v>
      </c>
      <c r="H158" s="37">
        <v>28</v>
      </c>
      <c r="I158" s="34">
        <v>35000</v>
      </c>
      <c r="J158" s="34">
        <v>35070</v>
      </c>
      <c r="K158" s="34" t="s">
        <v>120</v>
      </c>
      <c r="L158" s="39">
        <v>45890</v>
      </c>
      <c r="M158" s="40" t="s">
        <v>121</v>
      </c>
      <c r="N158" s="39" t="s">
        <v>122</v>
      </c>
      <c r="O158" s="39">
        <v>45881</v>
      </c>
      <c r="P158" s="39">
        <v>45907</v>
      </c>
      <c r="Q158" s="39">
        <v>45892</v>
      </c>
      <c r="R158" s="39">
        <v>46002</v>
      </c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4" t="s">
        <v>403</v>
      </c>
      <c r="AE158" s="45">
        <f t="shared" si="127"/>
        <v>0</v>
      </c>
      <c r="AF158" s="36">
        <v>7</v>
      </c>
      <c r="AG158" s="46">
        <f t="shared" si="128"/>
        <v>0</v>
      </c>
      <c r="AH158" s="47">
        <v>200</v>
      </c>
      <c r="AI158" s="48">
        <f t="shared" si="129"/>
        <v>0</v>
      </c>
      <c r="AJ158" s="45">
        <f t="shared" si="130"/>
        <v>0</v>
      </c>
      <c r="AK158" s="36">
        <v>2</v>
      </c>
      <c r="AL158" s="46">
        <f t="shared" si="131"/>
        <v>0</v>
      </c>
      <c r="AM158" s="47">
        <v>200</v>
      </c>
      <c r="AN158" s="48">
        <f t="shared" si="132"/>
        <v>0</v>
      </c>
      <c r="AO158" s="47"/>
      <c r="AP158" s="49">
        <f t="shared" si="133"/>
        <v>0</v>
      </c>
    </row>
    <row r="159" spans="1:42" s="1" customFormat="1" ht="15" customHeight="1">
      <c r="A159" s="91">
        <f t="shared" si="111"/>
        <v>156</v>
      </c>
      <c r="B159" s="34" t="s">
        <v>446</v>
      </c>
      <c r="C159" s="35" t="s">
        <v>480</v>
      </c>
      <c r="D159" s="34" t="s">
        <v>481</v>
      </c>
      <c r="E159" s="34" t="s">
        <v>482</v>
      </c>
      <c r="F159" s="34" t="s">
        <v>215</v>
      </c>
      <c r="G159" s="37" t="s">
        <v>329</v>
      </c>
      <c r="H159" s="37">
        <v>28</v>
      </c>
      <c r="I159" s="34">
        <v>35000</v>
      </c>
      <c r="J159" s="34">
        <v>35070</v>
      </c>
      <c r="K159" s="34" t="s">
        <v>120</v>
      </c>
      <c r="L159" s="39">
        <v>45890</v>
      </c>
      <c r="M159" s="40" t="s">
        <v>121</v>
      </c>
      <c r="N159" s="39" t="s">
        <v>122</v>
      </c>
      <c r="O159" s="39">
        <v>45881</v>
      </c>
      <c r="P159" s="39">
        <v>45907</v>
      </c>
      <c r="Q159" s="39">
        <v>45892</v>
      </c>
      <c r="R159" s="39">
        <v>46002</v>
      </c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4" t="s">
        <v>403</v>
      </c>
      <c r="AE159" s="54">
        <f t="shared" si="127"/>
        <v>0</v>
      </c>
      <c r="AF159" s="36">
        <v>7</v>
      </c>
      <c r="AG159" s="51">
        <f t="shared" si="128"/>
        <v>0</v>
      </c>
      <c r="AH159" s="52">
        <v>200</v>
      </c>
      <c r="AI159" s="53">
        <f t="shared" si="129"/>
        <v>0</v>
      </c>
      <c r="AJ159" s="54">
        <f t="shared" si="130"/>
        <v>0</v>
      </c>
      <c r="AK159" s="36">
        <v>2</v>
      </c>
      <c r="AL159" s="51">
        <f t="shared" si="131"/>
        <v>0</v>
      </c>
      <c r="AM159" s="52">
        <v>200</v>
      </c>
      <c r="AN159" s="53">
        <f t="shared" si="132"/>
        <v>0</v>
      </c>
      <c r="AO159" s="52"/>
      <c r="AP159" s="55">
        <f t="shared" si="133"/>
        <v>0</v>
      </c>
    </row>
    <row r="160" spans="1:42" s="68" customFormat="1" ht="15" customHeight="1">
      <c r="A160" s="91">
        <f t="shared" si="110"/>
        <v>157</v>
      </c>
      <c r="B160" s="34" t="s">
        <v>446</v>
      </c>
      <c r="C160" s="35" t="s">
        <v>483</v>
      </c>
      <c r="D160" s="35" t="s">
        <v>484</v>
      </c>
      <c r="E160" s="39" t="s">
        <v>485</v>
      </c>
      <c r="F160" s="34" t="s">
        <v>215</v>
      </c>
      <c r="G160" s="33" t="s">
        <v>267</v>
      </c>
      <c r="H160" s="37">
        <v>24</v>
      </c>
      <c r="I160" s="34">
        <v>30000</v>
      </c>
      <c r="J160" s="34">
        <v>30084</v>
      </c>
      <c r="K160" s="34" t="s">
        <v>120</v>
      </c>
      <c r="L160" s="39">
        <v>45890</v>
      </c>
      <c r="M160" s="40" t="s">
        <v>121</v>
      </c>
      <c r="N160" s="39" t="s">
        <v>122</v>
      </c>
      <c r="O160" s="39">
        <v>45881</v>
      </c>
      <c r="P160" s="39">
        <v>45907</v>
      </c>
      <c r="Q160" s="39">
        <v>45892</v>
      </c>
      <c r="R160" s="39">
        <v>46004</v>
      </c>
      <c r="S160" s="39">
        <v>46005</v>
      </c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4" t="s">
        <v>268</v>
      </c>
      <c r="AE160" s="45">
        <f t="shared" si="127"/>
        <v>0</v>
      </c>
      <c r="AF160" s="36">
        <v>7</v>
      </c>
      <c r="AG160" s="46">
        <f t="shared" si="128"/>
        <v>0</v>
      </c>
      <c r="AH160" s="47">
        <v>200</v>
      </c>
      <c r="AI160" s="48">
        <f t="shared" si="129"/>
        <v>0</v>
      </c>
      <c r="AJ160" s="45">
        <f t="shared" si="130"/>
        <v>0</v>
      </c>
      <c r="AK160" s="36">
        <v>2</v>
      </c>
      <c r="AL160" s="46">
        <f t="shared" si="131"/>
        <v>0</v>
      </c>
      <c r="AM160" s="47">
        <v>200</v>
      </c>
      <c r="AN160" s="48">
        <f t="shared" si="132"/>
        <v>0</v>
      </c>
      <c r="AO160" s="47"/>
      <c r="AP160" s="49">
        <f t="shared" si="133"/>
        <v>0</v>
      </c>
    </row>
    <row r="161" spans="1:42" s="1" customFormat="1" ht="15" customHeight="1">
      <c r="A161" s="91">
        <f t="shared" si="111"/>
        <v>158</v>
      </c>
      <c r="B161" s="34" t="s">
        <v>446</v>
      </c>
      <c r="C161" s="35" t="s">
        <v>486</v>
      </c>
      <c r="D161" s="35" t="s">
        <v>487</v>
      </c>
      <c r="E161" s="34" t="s">
        <v>488</v>
      </c>
      <c r="F161" s="34" t="s">
        <v>215</v>
      </c>
      <c r="G161" s="37" t="s">
        <v>329</v>
      </c>
      <c r="H161" s="37">
        <v>28</v>
      </c>
      <c r="I161" s="34">
        <v>35000</v>
      </c>
      <c r="J161" s="34">
        <v>35070</v>
      </c>
      <c r="K161" s="34" t="s">
        <v>120</v>
      </c>
      <c r="L161" s="39">
        <v>45890</v>
      </c>
      <c r="M161" s="40" t="s">
        <v>121</v>
      </c>
      <c r="N161" s="39" t="s">
        <v>122</v>
      </c>
      <c r="O161" s="39">
        <v>45881</v>
      </c>
      <c r="P161" s="39">
        <v>45907</v>
      </c>
      <c r="Q161" s="39">
        <v>45892</v>
      </c>
      <c r="R161" s="39">
        <v>46002</v>
      </c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4" t="s">
        <v>403</v>
      </c>
      <c r="AE161" s="54">
        <f t="shared" si="127"/>
        <v>0</v>
      </c>
      <c r="AF161" s="36">
        <v>7</v>
      </c>
      <c r="AG161" s="51">
        <f t="shared" si="128"/>
        <v>0</v>
      </c>
      <c r="AH161" s="52">
        <v>200</v>
      </c>
      <c r="AI161" s="53">
        <f t="shared" si="129"/>
        <v>0</v>
      </c>
      <c r="AJ161" s="54">
        <f t="shared" si="130"/>
        <v>0</v>
      </c>
      <c r="AK161" s="36">
        <v>2</v>
      </c>
      <c r="AL161" s="51">
        <f t="shared" si="131"/>
        <v>0</v>
      </c>
      <c r="AM161" s="52">
        <v>200</v>
      </c>
      <c r="AN161" s="53">
        <f t="shared" si="132"/>
        <v>0</v>
      </c>
      <c r="AO161" s="52"/>
      <c r="AP161" s="55">
        <f t="shared" si="133"/>
        <v>0</v>
      </c>
    </row>
    <row r="162" spans="1:42" s="1" customFormat="1" ht="15" customHeight="1">
      <c r="A162" s="91">
        <f t="shared" si="111"/>
        <v>159</v>
      </c>
      <c r="B162" s="34" t="s">
        <v>446</v>
      </c>
      <c r="C162" s="35" t="s">
        <v>489</v>
      </c>
      <c r="D162" s="35" t="s">
        <v>490</v>
      </c>
      <c r="E162" s="34" t="s">
        <v>491</v>
      </c>
      <c r="F162" s="34" t="s">
        <v>215</v>
      </c>
      <c r="G162" s="37" t="s">
        <v>329</v>
      </c>
      <c r="H162" s="37">
        <v>28</v>
      </c>
      <c r="I162" s="34">
        <v>35000</v>
      </c>
      <c r="J162" s="34">
        <v>35070</v>
      </c>
      <c r="K162" s="34" t="s">
        <v>120</v>
      </c>
      <c r="L162" s="39">
        <v>45890</v>
      </c>
      <c r="M162" s="40" t="s">
        <v>121</v>
      </c>
      <c r="N162" s="39" t="s">
        <v>122</v>
      </c>
      <c r="O162" s="39">
        <v>45881</v>
      </c>
      <c r="P162" s="39">
        <v>45907</v>
      </c>
      <c r="Q162" s="39">
        <v>45892</v>
      </c>
      <c r="R162" s="39">
        <v>46002</v>
      </c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4" t="s">
        <v>403</v>
      </c>
      <c r="AE162" s="45">
        <f t="shared" si="127"/>
        <v>0</v>
      </c>
      <c r="AF162" s="36">
        <v>7</v>
      </c>
      <c r="AG162" s="46">
        <f t="shared" si="128"/>
        <v>0</v>
      </c>
      <c r="AH162" s="47">
        <v>200</v>
      </c>
      <c r="AI162" s="48">
        <f t="shared" si="129"/>
        <v>0</v>
      </c>
      <c r="AJ162" s="45">
        <f t="shared" si="130"/>
        <v>0</v>
      </c>
      <c r="AK162" s="36">
        <v>2</v>
      </c>
      <c r="AL162" s="46">
        <f t="shared" si="131"/>
        <v>0</v>
      </c>
      <c r="AM162" s="47">
        <v>200</v>
      </c>
      <c r="AN162" s="48">
        <f t="shared" si="132"/>
        <v>0</v>
      </c>
      <c r="AO162" s="47"/>
      <c r="AP162" s="49">
        <f t="shared" si="133"/>
        <v>0</v>
      </c>
    </row>
    <row r="163" spans="1:42" s="1" customFormat="1" ht="15" customHeight="1">
      <c r="A163" s="91">
        <f t="shared" si="111"/>
        <v>160</v>
      </c>
      <c r="B163" s="34" t="s">
        <v>446</v>
      </c>
      <c r="C163" s="35" t="s">
        <v>492</v>
      </c>
      <c r="D163" s="35" t="s">
        <v>493</v>
      </c>
      <c r="E163" s="33" t="s">
        <v>494</v>
      </c>
      <c r="F163" s="34" t="s">
        <v>215</v>
      </c>
      <c r="G163" s="37" t="s">
        <v>329</v>
      </c>
      <c r="H163" s="37">
        <v>29</v>
      </c>
      <c r="I163" s="34">
        <v>35000</v>
      </c>
      <c r="J163" s="34">
        <v>35070</v>
      </c>
      <c r="K163" s="34" t="s">
        <v>120</v>
      </c>
      <c r="L163" s="39">
        <v>45890</v>
      </c>
      <c r="M163" s="40" t="s">
        <v>121</v>
      </c>
      <c r="N163" s="39" t="s">
        <v>122</v>
      </c>
      <c r="O163" s="39">
        <v>45881</v>
      </c>
      <c r="P163" s="39">
        <v>45907</v>
      </c>
      <c r="Q163" s="39">
        <v>45892</v>
      </c>
      <c r="R163" s="39">
        <v>46002</v>
      </c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4" t="s">
        <v>403</v>
      </c>
      <c r="AE163" s="54">
        <f t="shared" si="127"/>
        <v>0</v>
      </c>
      <c r="AF163" s="36">
        <v>7</v>
      </c>
      <c r="AG163" s="51">
        <f t="shared" si="128"/>
        <v>0</v>
      </c>
      <c r="AH163" s="52">
        <v>200</v>
      </c>
      <c r="AI163" s="53">
        <f t="shared" si="129"/>
        <v>0</v>
      </c>
      <c r="AJ163" s="54">
        <f t="shared" si="130"/>
        <v>0</v>
      </c>
      <c r="AK163" s="36">
        <v>2</v>
      </c>
      <c r="AL163" s="51">
        <f t="shared" si="131"/>
        <v>0</v>
      </c>
      <c r="AM163" s="52">
        <v>200</v>
      </c>
      <c r="AN163" s="53">
        <f t="shared" si="132"/>
        <v>0</v>
      </c>
      <c r="AO163" s="52"/>
      <c r="AP163" s="55">
        <f t="shared" si="133"/>
        <v>0</v>
      </c>
    </row>
    <row r="164" spans="1:42" s="1" customFormat="1" ht="15" customHeight="1">
      <c r="A164" s="91">
        <f t="shared" si="111"/>
        <v>161</v>
      </c>
      <c r="B164" s="34" t="s">
        <v>446</v>
      </c>
      <c r="C164" s="35" t="s">
        <v>495</v>
      </c>
      <c r="D164" s="35" t="s">
        <v>496</v>
      </c>
      <c r="E164" s="34" t="s">
        <v>497</v>
      </c>
      <c r="F164" s="34" t="s">
        <v>215</v>
      </c>
      <c r="G164" s="37" t="s">
        <v>329</v>
      </c>
      <c r="H164" s="37">
        <v>28</v>
      </c>
      <c r="I164" s="34">
        <v>35000</v>
      </c>
      <c r="J164" s="34">
        <v>35070</v>
      </c>
      <c r="K164" s="34" t="s">
        <v>120</v>
      </c>
      <c r="L164" s="39">
        <v>45890</v>
      </c>
      <c r="M164" s="40" t="s">
        <v>121</v>
      </c>
      <c r="N164" s="39" t="s">
        <v>122</v>
      </c>
      <c r="O164" s="39">
        <v>45881</v>
      </c>
      <c r="P164" s="39">
        <v>45907</v>
      </c>
      <c r="Q164" s="39">
        <v>45892</v>
      </c>
      <c r="R164" s="39">
        <v>46002</v>
      </c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4" t="s">
        <v>403</v>
      </c>
      <c r="AE164" s="45">
        <f t="shared" si="127"/>
        <v>0</v>
      </c>
      <c r="AF164" s="36">
        <v>7</v>
      </c>
      <c r="AG164" s="46">
        <f t="shared" si="128"/>
        <v>0</v>
      </c>
      <c r="AH164" s="47">
        <v>200</v>
      </c>
      <c r="AI164" s="48">
        <f t="shared" si="129"/>
        <v>0</v>
      </c>
      <c r="AJ164" s="45">
        <f t="shared" si="130"/>
        <v>0</v>
      </c>
      <c r="AK164" s="36">
        <v>2</v>
      </c>
      <c r="AL164" s="46">
        <f t="shared" si="131"/>
        <v>0</v>
      </c>
      <c r="AM164" s="47">
        <v>200</v>
      </c>
      <c r="AN164" s="48">
        <f t="shared" si="132"/>
        <v>0</v>
      </c>
      <c r="AO164" s="47"/>
      <c r="AP164" s="49">
        <f t="shared" si="133"/>
        <v>0</v>
      </c>
    </row>
    <row r="165" spans="1:42" s="1" customFormat="1" ht="15" customHeight="1">
      <c r="A165" s="91">
        <f t="shared" si="111"/>
        <v>162</v>
      </c>
      <c r="B165" s="34" t="s">
        <v>446</v>
      </c>
      <c r="C165" s="35" t="s">
        <v>498</v>
      </c>
      <c r="D165" s="35" t="s">
        <v>499</v>
      </c>
      <c r="E165" s="34" t="s">
        <v>500</v>
      </c>
      <c r="F165" s="34" t="s">
        <v>215</v>
      </c>
      <c r="G165" s="37" t="s">
        <v>329</v>
      </c>
      <c r="H165" s="37">
        <v>29</v>
      </c>
      <c r="I165" s="34">
        <v>36323</v>
      </c>
      <c r="J165" s="34">
        <v>56000</v>
      </c>
      <c r="K165" s="34" t="s">
        <v>120</v>
      </c>
      <c r="L165" s="39">
        <v>45890</v>
      </c>
      <c r="M165" s="40" t="s">
        <v>121</v>
      </c>
      <c r="N165" s="39" t="s">
        <v>122</v>
      </c>
      <c r="O165" s="39">
        <v>45881</v>
      </c>
      <c r="P165" s="39">
        <v>45907</v>
      </c>
      <c r="Q165" s="39">
        <v>45892</v>
      </c>
      <c r="R165" s="39">
        <v>45999</v>
      </c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4" t="s">
        <v>403</v>
      </c>
      <c r="AE165" s="54">
        <f t="shared" si="127"/>
        <v>0</v>
      </c>
      <c r="AF165" s="36">
        <v>7</v>
      </c>
      <c r="AG165" s="51">
        <f t="shared" si="128"/>
        <v>0</v>
      </c>
      <c r="AH165" s="52">
        <v>200</v>
      </c>
      <c r="AI165" s="53">
        <f t="shared" si="129"/>
        <v>0</v>
      </c>
      <c r="AJ165" s="54">
        <f t="shared" si="130"/>
        <v>0</v>
      </c>
      <c r="AK165" s="36">
        <v>2</v>
      </c>
      <c r="AL165" s="51">
        <f t="shared" si="131"/>
        <v>0</v>
      </c>
      <c r="AM165" s="52">
        <v>200</v>
      </c>
      <c r="AN165" s="53">
        <f t="shared" si="132"/>
        <v>0</v>
      </c>
      <c r="AO165" s="52"/>
      <c r="AP165" s="55">
        <f t="shared" si="133"/>
        <v>0</v>
      </c>
    </row>
    <row r="166" spans="1:42" s="1" customFormat="1" ht="15" customHeight="1">
      <c r="A166" s="91">
        <f t="shared" si="111"/>
        <v>163</v>
      </c>
      <c r="B166" s="34" t="s">
        <v>446</v>
      </c>
      <c r="C166" s="35" t="s">
        <v>501</v>
      </c>
      <c r="D166" s="35" t="s">
        <v>502</v>
      </c>
      <c r="E166" s="34" t="s">
        <v>503</v>
      </c>
      <c r="F166" s="34" t="s">
        <v>215</v>
      </c>
      <c r="G166" s="37" t="s">
        <v>329</v>
      </c>
      <c r="H166" s="37">
        <v>29</v>
      </c>
      <c r="I166" s="34">
        <v>36323</v>
      </c>
      <c r="J166" s="34">
        <v>56000</v>
      </c>
      <c r="K166" s="34" t="s">
        <v>120</v>
      </c>
      <c r="L166" s="39">
        <v>45890</v>
      </c>
      <c r="M166" s="40" t="s">
        <v>121</v>
      </c>
      <c r="N166" s="39" t="s">
        <v>122</v>
      </c>
      <c r="O166" s="39">
        <v>45881</v>
      </c>
      <c r="P166" s="39">
        <v>45907</v>
      </c>
      <c r="Q166" s="39">
        <v>45892</v>
      </c>
      <c r="R166" s="39">
        <v>45999</v>
      </c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4" t="s">
        <v>403</v>
      </c>
      <c r="AE166" s="45">
        <f t="shared" si="127"/>
        <v>0</v>
      </c>
      <c r="AF166" s="36">
        <v>7</v>
      </c>
      <c r="AG166" s="46">
        <f t="shared" si="128"/>
        <v>0</v>
      </c>
      <c r="AH166" s="47">
        <v>200</v>
      </c>
      <c r="AI166" s="48">
        <f t="shared" si="129"/>
        <v>0</v>
      </c>
      <c r="AJ166" s="45">
        <f t="shared" si="130"/>
        <v>0</v>
      </c>
      <c r="AK166" s="36">
        <v>2</v>
      </c>
      <c r="AL166" s="46">
        <f t="shared" si="131"/>
        <v>0</v>
      </c>
      <c r="AM166" s="47">
        <v>200</v>
      </c>
      <c r="AN166" s="48">
        <f t="shared" si="132"/>
        <v>0</v>
      </c>
      <c r="AO166" s="47"/>
      <c r="AP166" s="49">
        <f t="shared" si="133"/>
        <v>0</v>
      </c>
    </row>
    <row r="167" spans="1:42" s="1" customFormat="1" ht="15" customHeight="1">
      <c r="A167" s="91">
        <f t="shared" si="111"/>
        <v>164</v>
      </c>
      <c r="B167" s="34" t="s">
        <v>446</v>
      </c>
      <c r="C167" s="35" t="s">
        <v>504</v>
      </c>
      <c r="D167" s="34" t="s">
        <v>505</v>
      </c>
      <c r="E167" s="39" t="s">
        <v>506</v>
      </c>
      <c r="F167" s="34" t="s">
        <v>215</v>
      </c>
      <c r="G167" s="37" t="s">
        <v>329</v>
      </c>
      <c r="H167" s="37">
        <v>28</v>
      </c>
      <c r="I167" s="34">
        <v>35070</v>
      </c>
      <c r="J167" s="34">
        <v>56000</v>
      </c>
      <c r="K167" s="34" t="s">
        <v>120</v>
      </c>
      <c r="L167" s="39">
        <v>45890</v>
      </c>
      <c r="M167" s="40" t="s">
        <v>121</v>
      </c>
      <c r="N167" s="39" t="s">
        <v>122</v>
      </c>
      <c r="O167" s="39">
        <v>45881</v>
      </c>
      <c r="P167" s="39">
        <v>45907</v>
      </c>
      <c r="Q167" s="39">
        <v>45892</v>
      </c>
      <c r="R167" s="39">
        <v>45999</v>
      </c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4" t="s">
        <v>403</v>
      </c>
      <c r="AE167" s="54">
        <f t="shared" si="127"/>
        <v>0</v>
      </c>
      <c r="AF167" s="36">
        <v>7</v>
      </c>
      <c r="AG167" s="51">
        <f t="shared" si="128"/>
        <v>0</v>
      </c>
      <c r="AH167" s="52">
        <v>200</v>
      </c>
      <c r="AI167" s="53">
        <f t="shared" si="129"/>
        <v>0</v>
      </c>
      <c r="AJ167" s="54">
        <f t="shared" si="130"/>
        <v>0</v>
      </c>
      <c r="AK167" s="36">
        <v>2</v>
      </c>
      <c r="AL167" s="51">
        <f t="shared" si="131"/>
        <v>0</v>
      </c>
      <c r="AM167" s="52">
        <v>200</v>
      </c>
      <c r="AN167" s="53">
        <f t="shared" si="132"/>
        <v>0</v>
      </c>
      <c r="AO167" s="52"/>
      <c r="AP167" s="55">
        <f t="shared" si="133"/>
        <v>0</v>
      </c>
    </row>
    <row r="168" spans="1:42" s="1" customFormat="1" ht="15" customHeight="1">
      <c r="A168" s="91">
        <f t="shared" si="111"/>
        <v>165</v>
      </c>
      <c r="B168" s="34" t="s">
        <v>446</v>
      </c>
      <c r="C168" s="35" t="s">
        <v>507</v>
      </c>
      <c r="D168" s="35" t="s">
        <v>508</v>
      </c>
      <c r="E168" s="34" t="s">
        <v>509</v>
      </c>
      <c r="F168" s="34" t="s">
        <v>215</v>
      </c>
      <c r="G168" s="37" t="s">
        <v>329</v>
      </c>
      <c r="H168" s="37">
        <v>28</v>
      </c>
      <c r="I168" s="34">
        <v>35070</v>
      </c>
      <c r="J168" s="34">
        <v>56000</v>
      </c>
      <c r="K168" s="34" t="s">
        <v>120</v>
      </c>
      <c r="L168" s="39">
        <v>45890</v>
      </c>
      <c r="M168" s="40" t="s">
        <v>121</v>
      </c>
      <c r="N168" s="39" t="s">
        <v>122</v>
      </c>
      <c r="O168" s="39">
        <v>45881</v>
      </c>
      <c r="P168" s="39">
        <v>45907</v>
      </c>
      <c r="Q168" s="39">
        <v>45892</v>
      </c>
      <c r="R168" s="39">
        <v>45999</v>
      </c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4" t="s">
        <v>403</v>
      </c>
      <c r="AE168" s="45">
        <f t="shared" si="127"/>
        <v>0</v>
      </c>
      <c r="AF168" s="36">
        <v>7</v>
      </c>
      <c r="AG168" s="46">
        <f t="shared" si="128"/>
        <v>0</v>
      </c>
      <c r="AH168" s="47">
        <v>200</v>
      </c>
      <c r="AI168" s="48">
        <f t="shared" si="129"/>
        <v>0</v>
      </c>
      <c r="AJ168" s="45">
        <f t="shared" si="130"/>
        <v>0</v>
      </c>
      <c r="AK168" s="36">
        <v>2</v>
      </c>
      <c r="AL168" s="46">
        <f t="shared" si="131"/>
        <v>0</v>
      </c>
      <c r="AM168" s="47">
        <v>200</v>
      </c>
      <c r="AN168" s="48">
        <f t="shared" si="132"/>
        <v>0</v>
      </c>
      <c r="AO168" s="47"/>
      <c r="AP168" s="49">
        <f t="shared" si="133"/>
        <v>0</v>
      </c>
    </row>
    <row r="169" spans="1:42" s="1" customFormat="1" ht="15" customHeight="1">
      <c r="A169" s="91">
        <f t="shared" si="111"/>
        <v>166</v>
      </c>
      <c r="B169" s="34" t="s">
        <v>446</v>
      </c>
      <c r="C169" s="35" t="s">
        <v>510</v>
      </c>
      <c r="D169" s="35" t="s">
        <v>511</v>
      </c>
      <c r="E169" s="34" t="s">
        <v>512</v>
      </c>
      <c r="F169" s="34" t="s">
        <v>215</v>
      </c>
      <c r="G169" s="37" t="s">
        <v>329</v>
      </c>
      <c r="H169" s="37">
        <v>28</v>
      </c>
      <c r="I169" s="34">
        <v>35070</v>
      </c>
      <c r="J169" s="34">
        <v>56000</v>
      </c>
      <c r="K169" s="34" t="s">
        <v>120</v>
      </c>
      <c r="L169" s="39">
        <v>45890</v>
      </c>
      <c r="M169" s="40" t="s">
        <v>121</v>
      </c>
      <c r="N169" s="39" t="s">
        <v>122</v>
      </c>
      <c r="O169" s="39">
        <v>45881</v>
      </c>
      <c r="P169" s="39">
        <v>45907</v>
      </c>
      <c r="Q169" s="39">
        <v>45892</v>
      </c>
      <c r="R169" s="39">
        <v>45999</v>
      </c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4" t="s">
        <v>403</v>
      </c>
      <c r="AE169" s="54">
        <f t="shared" si="127"/>
        <v>0</v>
      </c>
      <c r="AF169" s="36">
        <v>7</v>
      </c>
      <c r="AG169" s="51">
        <f t="shared" si="128"/>
        <v>0</v>
      </c>
      <c r="AH169" s="52">
        <v>200</v>
      </c>
      <c r="AI169" s="53">
        <f t="shared" si="129"/>
        <v>0</v>
      </c>
      <c r="AJ169" s="54">
        <f t="shared" si="130"/>
        <v>0</v>
      </c>
      <c r="AK169" s="36">
        <v>2</v>
      </c>
      <c r="AL169" s="51">
        <f t="shared" si="131"/>
        <v>0</v>
      </c>
      <c r="AM169" s="52">
        <v>200</v>
      </c>
      <c r="AN169" s="53">
        <f t="shared" si="132"/>
        <v>0</v>
      </c>
      <c r="AO169" s="52"/>
      <c r="AP169" s="55">
        <f t="shared" si="133"/>
        <v>0</v>
      </c>
    </row>
    <row r="170" spans="1:42" s="1" customFormat="1" ht="15" customHeight="1">
      <c r="A170" s="91">
        <f t="shared" si="111"/>
        <v>167</v>
      </c>
      <c r="B170" s="34" t="s">
        <v>446</v>
      </c>
      <c r="C170" s="35" t="s">
        <v>513</v>
      </c>
      <c r="D170" s="34" t="s">
        <v>514</v>
      </c>
      <c r="E170" s="34" t="s">
        <v>515</v>
      </c>
      <c r="F170" s="34" t="s">
        <v>215</v>
      </c>
      <c r="G170" s="37" t="s">
        <v>329</v>
      </c>
      <c r="H170" s="37">
        <v>29</v>
      </c>
      <c r="I170" s="34">
        <v>36323</v>
      </c>
      <c r="J170" s="34">
        <v>56000</v>
      </c>
      <c r="K170" s="34" t="s">
        <v>120</v>
      </c>
      <c r="L170" s="39">
        <v>45890</v>
      </c>
      <c r="M170" s="40" t="s">
        <v>121</v>
      </c>
      <c r="N170" s="39" t="s">
        <v>122</v>
      </c>
      <c r="O170" s="39">
        <v>45881</v>
      </c>
      <c r="P170" s="39">
        <v>45907</v>
      </c>
      <c r="Q170" s="39">
        <v>45892</v>
      </c>
      <c r="R170" s="39">
        <v>45999</v>
      </c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4" t="s">
        <v>403</v>
      </c>
      <c r="AE170" s="45">
        <f t="shared" si="127"/>
        <v>0</v>
      </c>
      <c r="AF170" s="36">
        <v>7</v>
      </c>
      <c r="AG170" s="46">
        <f t="shared" si="128"/>
        <v>0</v>
      </c>
      <c r="AH170" s="47">
        <v>200</v>
      </c>
      <c r="AI170" s="48">
        <f t="shared" si="129"/>
        <v>0</v>
      </c>
      <c r="AJ170" s="45">
        <f t="shared" si="130"/>
        <v>0</v>
      </c>
      <c r="AK170" s="36">
        <v>2</v>
      </c>
      <c r="AL170" s="46">
        <f t="shared" si="131"/>
        <v>0</v>
      </c>
      <c r="AM170" s="47">
        <v>200</v>
      </c>
      <c r="AN170" s="48">
        <f t="shared" si="132"/>
        <v>0</v>
      </c>
      <c r="AO170" s="47"/>
      <c r="AP170" s="49">
        <f t="shared" si="133"/>
        <v>0</v>
      </c>
    </row>
    <row r="171" spans="1:42" s="1" customFormat="1" ht="15" customHeight="1">
      <c r="A171" s="91">
        <f t="shared" si="111"/>
        <v>168</v>
      </c>
      <c r="B171" s="34" t="s">
        <v>446</v>
      </c>
      <c r="C171" s="35" t="s">
        <v>516</v>
      </c>
      <c r="D171" s="35" t="s">
        <v>517</v>
      </c>
      <c r="E171" s="33" t="s">
        <v>518</v>
      </c>
      <c r="F171" s="34" t="s">
        <v>215</v>
      </c>
      <c r="G171" s="37" t="s">
        <v>329</v>
      </c>
      <c r="H171" s="37">
        <v>28</v>
      </c>
      <c r="I171" s="34">
        <v>35070</v>
      </c>
      <c r="J171" s="34">
        <v>56000</v>
      </c>
      <c r="K171" s="34" t="s">
        <v>120</v>
      </c>
      <c r="L171" s="39">
        <v>45890</v>
      </c>
      <c r="M171" s="40" t="s">
        <v>121</v>
      </c>
      <c r="N171" s="39" t="s">
        <v>122</v>
      </c>
      <c r="O171" s="39">
        <v>45881</v>
      </c>
      <c r="P171" s="39">
        <v>45907</v>
      </c>
      <c r="Q171" s="39">
        <v>45892</v>
      </c>
      <c r="R171" s="39">
        <v>45999</v>
      </c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4" t="s">
        <v>403</v>
      </c>
      <c r="AE171" s="45">
        <f t="shared" si="127"/>
        <v>0</v>
      </c>
      <c r="AF171" s="36">
        <v>7</v>
      </c>
      <c r="AG171" s="46">
        <f t="shared" si="128"/>
        <v>0</v>
      </c>
      <c r="AH171" s="47">
        <v>200</v>
      </c>
      <c r="AI171" s="48">
        <f t="shared" si="129"/>
        <v>0</v>
      </c>
      <c r="AJ171" s="45">
        <f t="shared" si="130"/>
        <v>0</v>
      </c>
      <c r="AK171" s="36">
        <v>2</v>
      </c>
      <c r="AL171" s="46">
        <f t="shared" si="131"/>
        <v>0</v>
      </c>
      <c r="AM171" s="47">
        <v>200</v>
      </c>
      <c r="AN171" s="48">
        <f t="shared" si="132"/>
        <v>0</v>
      </c>
      <c r="AO171" s="47"/>
      <c r="AP171" s="49">
        <f t="shared" si="133"/>
        <v>0</v>
      </c>
    </row>
    <row r="172" spans="1:42" s="1" customFormat="1" ht="15" customHeight="1">
      <c r="A172" s="91">
        <f t="shared" si="111"/>
        <v>169</v>
      </c>
      <c r="B172" s="34" t="s">
        <v>446</v>
      </c>
      <c r="C172" s="35" t="s">
        <v>519</v>
      </c>
      <c r="D172" s="33" t="s">
        <v>520</v>
      </c>
      <c r="E172" s="33" t="s">
        <v>521</v>
      </c>
      <c r="F172" s="34" t="s">
        <v>215</v>
      </c>
      <c r="G172" s="37" t="s">
        <v>329</v>
      </c>
      <c r="H172" s="37">
        <v>28</v>
      </c>
      <c r="I172" s="34">
        <v>35070</v>
      </c>
      <c r="J172" s="34">
        <v>56000</v>
      </c>
      <c r="K172" s="34" t="s">
        <v>120</v>
      </c>
      <c r="L172" s="39">
        <v>45890</v>
      </c>
      <c r="M172" s="40" t="s">
        <v>121</v>
      </c>
      <c r="N172" s="39" t="s">
        <v>122</v>
      </c>
      <c r="O172" s="39">
        <v>45881</v>
      </c>
      <c r="P172" s="39">
        <v>45907</v>
      </c>
      <c r="Q172" s="39">
        <v>45892</v>
      </c>
      <c r="R172" s="39">
        <v>45999</v>
      </c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4" t="s">
        <v>403</v>
      </c>
      <c r="AE172" s="54">
        <f t="shared" si="127"/>
        <v>0</v>
      </c>
      <c r="AF172" s="36">
        <v>7</v>
      </c>
      <c r="AG172" s="51">
        <f t="shared" si="128"/>
        <v>0</v>
      </c>
      <c r="AH172" s="52">
        <v>200</v>
      </c>
      <c r="AI172" s="53">
        <f t="shared" si="129"/>
        <v>0</v>
      </c>
      <c r="AJ172" s="54">
        <f t="shared" si="130"/>
        <v>0</v>
      </c>
      <c r="AK172" s="36">
        <v>2</v>
      </c>
      <c r="AL172" s="51">
        <f t="shared" si="131"/>
        <v>0</v>
      </c>
      <c r="AM172" s="52">
        <v>200</v>
      </c>
      <c r="AN172" s="53">
        <f t="shared" si="132"/>
        <v>0</v>
      </c>
      <c r="AO172" s="52"/>
      <c r="AP172" s="55">
        <f t="shared" si="133"/>
        <v>0</v>
      </c>
    </row>
    <row r="173" spans="1:42" s="1" customFormat="1" ht="15" customHeight="1">
      <c r="A173" s="91">
        <f t="shared" si="111"/>
        <v>170</v>
      </c>
      <c r="B173" s="34" t="s">
        <v>446</v>
      </c>
      <c r="C173" s="35" t="s">
        <v>522</v>
      </c>
      <c r="D173" s="35" t="s">
        <v>523</v>
      </c>
      <c r="E173" s="34" t="s">
        <v>524</v>
      </c>
      <c r="F173" s="34" t="s">
        <v>215</v>
      </c>
      <c r="G173" s="37" t="s">
        <v>329</v>
      </c>
      <c r="H173" s="37">
        <v>29</v>
      </c>
      <c r="I173" s="34">
        <v>36323</v>
      </c>
      <c r="J173" s="34">
        <v>56000</v>
      </c>
      <c r="K173" s="34" t="s">
        <v>120</v>
      </c>
      <c r="L173" s="39">
        <v>45890</v>
      </c>
      <c r="M173" s="40" t="s">
        <v>121</v>
      </c>
      <c r="N173" s="39" t="s">
        <v>122</v>
      </c>
      <c r="O173" s="39">
        <v>45881</v>
      </c>
      <c r="P173" s="39">
        <v>45907</v>
      </c>
      <c r="Q173" s="39">
        <v>45892</v>
      </c>
      <c r="R173" s="39">
        <v>45999</v>
      </c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4" t="s">
        <v>403</v>
      </c>
      <c r="AE173" s="45">
        <f t="shared" si="127"/>
        <v>0</v>
      </c>
      <c r="AF173" s="36">
        <v>7</v>
      </c>
      <c r="AG173" s="46">
        <f t="shared" si="128"/>
        <v>0</v>
      </c>
      <c r="AH173" s="47">
        <v>200</v>
      </c>
      <c r="AI173" s="48">
        <f t="shared" si="129"/>
        <v>0</v>
      </c>
      <c r="AJ173" s="45">
        <f t="shared" si="130"/>
        <v>0</v>
      </c>
      <c r="AK173" s="36">
        <v>2</v>
      </c>
      <c r="AL173" s="46">
        <f t="shared" si="131"/>
        <v>0</v>
      </c>
      <c r="AM173" s="47">
        <v>200</v>
      </c>
      <c r="AN173" s="48">
        <f t="shared" si="132"/>
        <v>0</v>
      </c>
      <c r="AO173" s="47"/>
      <c r="AP173" s="49">
        <f t="shared" si="133"/>
        <v>0</v>
      </c>
    </row>
    <row r="174" spans="1:42" s="1" customFormat="1" ht="15" customHeight="1">
      <c r="A174" s="91">
        <f t="shared" si="111"/>
        <v>171</v>
      </c>
      <c r="B174" s="34" t="s">
        <v>446</v>
      </c>
      <c r="C174" s="35" t="s">
        <v>525</v>
      </c>
      <c r="D174" s="35" t="s">
        <v>526</v>
      </c>
      <c r="E174" s="33" t="s">
        <v>527</v>
      </c>
      <c r="F174" s="34" t="s">
        <v>215</v>
      </c>
      <c r="G174" s="37" t="s">
        <v>329</v>
      </c>
      <c r="H174" s="37">
        <v>28</v>
      </c>
      <c r="I174" s="34">
        <v>35070</v>
      </c>
      <c r="J174" s="34">
        <v>56000</v>
      </c>
      <c r="K174" s="34" t="s">
        <v>120</v>
      </c>
      <c r="L174" s="39">
        <v>45890</v>
      </c>
      <c r="M174" s="40" t="s">
        <v>121</v>
      </c>
      <c r="N174" s="39" t="s">
        <v>122</v>
      </c>
      <c r="O174" s="39">
        <v>45881</v>
      </c>
      <c r="P174" s="39">
        <v>45907</v>
      </c>
      <c r="Q174" s="39">
        <v>45892</v>
      </c>
      <c r="R174" s="39">
        <v>45999</v>
      </c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4" t="s">
        <v>403</v>
      </c>
      <c r="AE174" s="54">
        <f t="shared" si="127"/>
        <v>0</v>
      </c>
      <c r="AF174" s="36">
        <v>7</v>
      </c>
      <c r="AG174" s="51">
        <f t="shared" si="128"/>
        <v>0</v>
      </c>
      <c r="AH174" s="52">
        <v>200</v>
      </c>
      <c r="AI174" s="53">
        <f t="shared" si="129"/>
        <v>0</v>
      </c>
      <c r="AJ174" s="54">
        <f t="shared" si="130"/>
        <v>0</v>
      </c>
      <c r="AK174" s="36">
        <v>2</v>
      </c>
      <c r="AL174" s="51">
        <f t="shared" si="131"/>
        <v>0</v>
      </c>
      <c r="AM174" s="52">
        <v>200</v>
      </c>
      <c r="AN174" s="53">
        <f t="shared" si="132"/>
        <v>0</v>
      </c>
      <c r="AO174" s="52"/>
      <c r="AP174" s="55">
        <f t="shared" si="133"/>
        <v>0</v>
      </c>
    </row>
    <row r="175" spans="1:42" s="1" customFormat="1" ht="15" customHeight="1">
      <c r="A175" s="91">
        <f t="shared" si="111"/>
        <v>172</v>
      </c>
      <c r="B175" s="34" t="s">
        <v>446</v>
      </c>
      <c r="C175" s="35" t="s">
        <v>528</v>
      </c>
      <c r="D175" s="35" t="s">
        <v>529</v>
      </c>
      <c r="E175" s="34" t="s">
        <v>530</v>
      </c>
      <c r="F175" s="34" t="s">
        <v>215</v>
      </c>
      <c r="G175" s="37" t="s">
        <v>329</v>
      </c>
      <c r="H175" s="37">
        <v>28</v>
      </c>
      <c r="I175" s="34">
        <v>35070</v>
      </c>
      <c r="J175" s="34">
        <v>56000</v>
      </c>
      <c r="K175" s="34" t="s">
        <v>120</v>
      </c>
      <c r="L175" s="39">
        <v>45890</v>
      </c>
      <c r="M175" s="40" t="s">
        <v>121</v>
      </c>
      <c r="N175" s="39" t="s">
        <v>122</v>
      </c>
      <c r="O175" s="39">
        <v>45881</v>
      </c>
      <c r="P175" s="39">
        <v>45907</v>
      </c>
      <c r="Q175" s="39">
        <v>45892</v>
      </c>
      <c r="R175" s="39">
        <v>45999</v>
      </c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4" t="s">
        <v>403</v>
      </c>
      <c r="AE175" s="45">
        <f t="shared" si="127"/>
        <v>0</v>
      </c>
      <c r="AF175" s="36">
        <v>7</v>
      </c>
      <c r="AG175" s="46">
        <f t="shared" si="128"/>
        <v>0</v>
      </c>
      <c r="AH175" s="47">
        <v>200</v>
      </c>
      <c r="AI175" s="48">
        <f t="shared" si="129"/>
        <v>0</v>
      </c>
      <c r="AJ175" s="45">
        <f t="shared" si="130"/>
        <v>0</v>
      </c>
      <c r="AK175" s="36">
        <v>2</v>
      </c>
      <c r="AL175" s="46">
        <f t="shared" si="131"/>
        <v>0</v>
      </c>
      <c r="AM175" s="47">
        <v>200</v>
      </c>
      <c r="AN175" s="48">
        <f t="shared" si="132"/>
        <v>0</v>
      </c>
      <c r="AO175" s="47"/>
      <c r="AP175" s="49">
        <f t="shared" si="133"/>
        <v>0</v>
      </c>
    </row>
    <row r="176" spans="1:42" s="1" customFormat="1" ht="15" customHeight="1">
      <c r="A176" s="91">
        <f t="shared" si="111"/>
        <v>173</v>
      </c>
      <c r="B176" s="34" t="s">
        <v>446</v>
      </c>
      <c r="C176" s="35" t="s">
        <v>531</v>
      </c>
      <c r="D176" s="35" t="s">
        <v>532</v>
      </c>
      <c r="E176" s="33" t="s">
        <v>533</v>
      </c>
      <c r="F176" s="34" t="s">
        <v>215</v>
      </c>
      <c r="G176" s="37" t="s">
        <v>329</v>
      </c>
      <c r="H176" s="37">
        <v>29</v>
      </c>
      <c r="I176" s="34">
        <v>36323</v>
      </c>
      <c r="J176" s="34">
        <v>56000</v>
      </c>
      <c r="K176" s="34" t="s">
        <v>120</v>
      </c>
      <c r="L176" s="39">
        <v>45890</v>
      </c>
      <c r="M176" s="40" t="s">
        <v>121</v>
      </c>
      <c r="N176" s="39" t="s">
        <v>122</v>
      </c>
      <c r="O176" s="39">
        <v>45881</v>
      </c>
      <c r="P176" s="39">
        <v>45907</v>
      </c>
      <c r="Q176" s="39">
        <v>45892</v>
      </c>
      <c r="R176" s="39">
        <v>45999</v>
      </c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4" t="s">
        <v>403</v>
      </c>
      <c r="AE176" s="54">
        <f t="shared" si="127"/>
        <v>0</v>
      </c>
      <c r="AF176" s="36">
        <v>7</v>
      </c>
      <c r="AG176" s="51">
        <f t="shared" si="128"/>
        <v>0</v>
      </c>
      <c r="AH176" s="52">
        <v>200</v>
      </c>
      <c r="AI176" s="53">
        <f t="shared" si="129"/>
        <v>0</v>
      </c>
      <c r="AJ176" s="54">
        <f t="shared" si="130"/>
        <v>0</v>
      </c>
      <c r="AK176" s="36">
        <v>2</v>
      </c>
      <c r="AL176" s="51">
        <f t="shared" si="131"/>
        <v>0</v>
      </c>
      <c r="AM176" s="52">
        <v>200</v>
      </c>
      <c r="AN176" s="53">
        <f t="shared" si="132"/>
        <v>0</v>
      </c>
      <c r="AO176" s="52"/>
      <c r="AP176" s="55">
        <f t="shared" si="133"/>
        <v>0</v>
      </c>
    </row>
    <row r="177" spans="1:42" s="1" customFormat="1" ht="15" customHeight="1">
      <c r="A177" s="91">
        <f t="shared" ref="A177:A192" si="134">ROW()-3</f>
        <v>174</v>
      </c>
      <c r="B177" s="34" t="s">
        <v>446</v>
      </c>
      <c r="C177" s="180" t="s">
        <v>534</v>
      </c>
      <c r="D177" s="181" t="s">
        <v>535</v>
      </c>
      <c r="E177" s="182" t="s">
        <v>536</v>
      </c>
      <c r="F177" s="34" t="s">
        <v>215</v>
      </c>
      <c r="G177" s="37" t="s">
        <v>329</v>
      </c>
      <c r="H177" s="37">
        <v>25</v>
      </c>
      <c r="I177" s="34">
        <v>31250</v>
      </c>
      <c r="J177" s="34">
        <v>31338</v>
      </c>
      <c r="K177" s="34" t="s">
        <v>120</v>
      </c>
      <c r="L177" s="39">
        <v>45890</v>
      </c>
      <c r="M177" s="40" t="s">
        <v>121</v>
      </c>
      <c r="N177" s="39" t="s">
        <v>122</v>
      </c>
      <c r="O177" s="39">
        <v>45881</v>
      </c>
      <c r="P177" s="39">
        <v>45907</v>
      </c>
      <c r="Q177" s="39">
        <v>45892</v>
      </c>
      <c r="R177" s="39">
        <v>45990</v>
      </c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4" t="s">
        <v>403</v>
      </c>
      <c r="AE177" s="54">
        <f t="shared" si="127"/>
        <v>0</v>
      </c>
      <c r="AF177" s="36">
        <v>7</v>
      </c>
      <c r="AG177" s="51">
        <f t="shared" si="128"/>
        <v>0</v>
      </c>
      <c r="AH177" s="52">
        <v>200</v>
      </c>
      <c r="AI177" s="53">
        <f t="shared" si="129"/>
        <v>0</v>
      </c>
      <c r="AJ177" s="54">
        <f t="shared" si="130"/>
        <v>0</v>
      </c>
      <c r="AK177" s="36">
        <v>2</v>
      </c>
      <c r="AL177" s="51">
        <f t="shared" si="131"/>
        <v>0</v>
      </c>
      <c r="AM177" s="52">
        <v>200</v>
      </c>
      <c r="AN177" s="53">
        <f t="shared" si="132"/>
        <v>0</v>
      </c>
      <c r="AO177" s="52"/>
      <c r="AP177" s="55">
        <f t="shared" si="133"/>
        <v>0</v>
      </c>
    </row>
    <row r="178" spans="1:42" s="1" customFormat="1" ht="15" customHeight="1">
      <c r="A178" s="91">
        <f t="shared" si="134"/>
        <v>175</v>
      </c>
      <c r="B178" s="34" t="s">
        <v>446</v>
      </c>
      <c r="C178" s="183" t="s">
        <v>537</v>
      </c>
      <c r="D178" s="184" t="s">
        <v>538</v>
      </c>
      <c r="E178" s="184" t="s">
        <v>539</v>
      </c>
      <c r="F178" s="34" t="s">
        <v>215</v>
      </c>
      <c r="G178" s="37" t="s">
        <v>329</v>
      </c>
      <c r="H178" s="37">
        <v>26</v>
      </c>
      <c r="I178" s="185">
        <v>32500</v>
      </c>
      <c r="J178" s="185">
        <v>32591</v>
      </c>
      <c r="K178" s="34" t="s">
        <v>120</v>
      </c>
      <c r="L178" s="39">
        <v>45890</v>
      </c>
      <c r="M178" s="40" t="s">
        <v>121</v>
      </c>
      <c r="N178" s="39" t="s">
        <v>122</v>
      </c>
      <c r="O178" s="39">
        <v>45881</v>
      </c>
      <c r="P178" s="39">
        <v>45907</v>
      </c>
      <c r="Q178" s="39">
        <v>45892</v>
      </c>
      <c r="R178" s="39">
        <v>45990</v>
      </c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4" t="s">
        <v>403</v>
      </c>
      <c r="AE178" s="54">
        <f t="shared" si="127"/>
        <v>0</v>
      </c>
      <c r="AF178" s="36">
        <v>7</v>
      </c>
      <c r="AG178" s="51">
        <f t="shared" si="128"/>
        <v>0</v>
      </c>
      <c r="AH178" s="52">
        <v>200</v>
      </c>
      <c r="AI178" s="53">
        <f t="shared" si="129"/>
        <v>0</v>
      </c>
      <c r="AJ178" s="54">
        <f t="shared" si="130"/>
        <v>0</v>
      </c>
      <c r="AK178" s="36">
        <v>2</v>
      </c>
      <c r="AL178" s="51">
        <f t="shared" si="131"/>
        <v>0</v>
      </c>
      <c r="AM178" s="52">
        <v>200</v>
      </c>
      <c r="AN178" s="53">
        <f t="shared" si="132"/>
        <v>0</v>
      </c>
      <c r="AO178" s="52"/>
      <c r="AP178" s="55">
        <f t="shared" si="133"/>
        <v>0</v>
      </c>
    </row>
    <row r="179" spans="1:42" s="1" customFormat="1" ht="15" customHeight="1">
      <c r="A179" s="91">
        <f t="shared" si="134"/>
        <v>176</v>
      </c>
      <c r="B179" s="34" t="s">
        <v>446</v>
      </c>
      <c r="C179" s="186" t="s">
        <v>540</v>
      </c>
      <c r="D179" s="186" t="s">
        <v>541</v>
      </c>
      <c r="E179" s="186" t="s">
        <v>542</v>
      </c>
      <c r="F179" s="34" t="s">
        <v>215</v>
      </c>
      <c r="G179" s="37" t="s">
        <v>329</v>
      </c>
      <c r="H179" s="37">
        <v>28</v>
      </c>
      <c r="I179" s="34">
        <v>35000</v>
      </c>
      <c r="J179" s="34">
        <v>35070</v>
      </c>
      <c r="K179" s="34" t="s">
        <v>120</v>
      </c>
      <c r="L179" s="39">
        <v>45890</v>
      </c>
      <c r="M179" s="40" t="s">
        <v>121</v>
      </c>
      <c r="N179" s="39" t="s">
        <v>122</v>
      </c>
      <c r="O179" s="39">
        <v>45881</v>
      </c>
      <c r="P179" s="39">
        <v>45907</v>
      </c>
      <c r="Q179" s="39">
        <v>45892</v>
      </c>
      <c r="R179" s="39">
        <v>45990</v>
      </c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4" t="s">
        <v>403</v>
      </c>
      <c r="AE179" s="54">
        <f t="shared" si="127"/>
        <v>0</v>
      </c>
      <c r="AF179" s="36">
        <v>7</v>
      </c>
      <c r="AG179" s="51">
        <f t="shared" si="128"/>
        <v>0</v>
      </c>
      <c r="AH179" s="52">
        <v>200</v>
      </c>
      <c r="AI179" s="53">
        <f t="shared" si="129"/>
        <v>0</v>
      </c>
      <c r="AJ179" s="54">
        <f t="shared" si="130"/>
        <v>0</v>
      </c>
      <c r="AK179" s="36">
        <v>2</v>
      </c>
      <c r="AL179" s="51">
        <f t="shared" si="131"/>
        <v>0</v>
      </c>
      <c r="AM179" s="52">
        <v>200</v>
      </c>
      <c r="AN179" s="53">
        <f t="shared" si="132"/>
        <v>0</v>
      </c>
      <c r="AO179" s="52"/>
      <c r="AP179" s="55">
        <f t="shared" si="133"/>
        <v>0</v>
      </c>
    </row>
    <row r="180" spans="1:42" s="1" customFormat="1" ht="15" customHeight="1">
      <c r="A180" s="91">
        <f t="shared" si="111"/>
        <v>177</v>
      </c>
      <c r="B180" s="34" t="s">
        <v>446</v>
      </c>
      <c r="C180" s="35" t="s">
        <v>543</v>
      </c>
      <c r="D180" s="35" t="s">
        <v>544</v>
      </c>
      <c r="E180" s="33" t="s">
        <v>545</v>
      </c>
      <c r="F180" s="34" t="s">
        <v>215</v>
      </c>
      <c r="G180" s="37" t="s">
        <v>329</v>
      </c>
      <c r="H180" s="37">
        <v>28</v>
      </c>
      <c r="I180" s="34">
        <v>35070</v>
      </c>
      <c r="J180" s="34">
        <v>56000</v>
      </c>
      <c r="K180" s="34" t="s">
        <v>120</v>
      </c>
      <c r="L180" s="39">
        <v>45890</v>
      </c>
      <c r="M180" s="40" t="s">
        <v>121</v>
      </c>
      <c r="N180" s="39" t="s">
        <v>122</v>
      </c>
      <c r="O180" s="39">
        <v>45881</v>
      </c>
      <c r="P180" s="39">
        <v>45907</v>
      </c>
      <c r="Q180" s="39">
        <v>45892</v>
      </c>
      <c r="R180" s="39">
        <v>45999</v>
      </c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4" t="s">
        <v>403</v>
      </c>
      <c r="AE180" s="45">
        <f t="shared" si="127"/>
        <v>0</v>
      </c>
      <c r="AF180" s="36">
        <v>7</v>
      </c>
      <c r="AG180" s="46">
        <f t="shared" si="128"/>
        <v>0</v>
      </c>
      <c r="AH180" s="47">
        <v>200</v>
      </c>
      <c r="AI180" s="48">
        <f t="shared" si="129"/>
        <v>0</v>
      </c>
      <c r="AJ180" s="45">
        <f t="shared" si="130"/>
        <v>0</v>
      </c>
      <c r="AK180" s="36">
        <v>2</v>
      </c>
      <c r="AL180" s="46">
        <f t="shared" si="131"/>
        <v>0</v>
      </c>
      <c r="AM180" s="47">
        <v>200</v>
      </c>
      <c r="AN180" s="48">
        <f t="shared" si="132"/>
        <v>0</v>
      </c>
      <c r="AO180" s="47"/>
      <c r="AP180" s="49">
        <f t="shared" si="133"/>
        <v>0</v>
      </c>
    </row>
    <row r="181" spans="1:42" s="1" customFormat="1" ht="15" customHeight="1">
      <c r="A181" s="91">
        <f t="shared" ref="A181:A182" si="135">ROW()-3</f>
        <v>178</v>
      </c>
      <c r="B181" s="34" t="s">
        <v>446</v>
      </c>
      <c r="C181" s="33" t="s">
        <v>546</v>
      </c>
      <c r="D181" s="33" t="s">
        <v>547</v>
      </c>
      <c r="E181" s="34" t="s">
        <v>548</v>
      </c>
      <c r="F181" s="34" t="s">
        <v>12</v>
      </c>
      <c r="G181" s="38" t="s">
        <v>329</v>
      </c>
      <c r="H181" s="38">
        <v>29</v>
      </c>
      <c r="I181" s="34">
        <v>35000</v>
      </c>
      <c r="J181" s="34">
        <v>35070</v>
      </c>
      <c r="K181" s="34" t="s">
        <v>120</v>
      </c>
      <c r="L181" s="39">
        <v>45890</v>
      </c>
      <c r="M181" s="40" t="s">
        <v>121</v>
      </c>
      <c r="N181" s="39" t="s">
        <v>122</v>
      </c>
      <c r="O181" s="39">
        <v>45881</v>
      </c>
      <c r="P181" s="39">
        <v>45907</v>
      </c>
      <c r="Q181" s="39">
        <v>45892</v>
      </c>
      <c r="R181" s="39">
        <v>45993</v>
      </c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3" t="s">
        <v>403</v>
      </c>
      <c r="AE181" s="45">
        <f t="shared" ref="AE181:AE182" si="136">MAX(0,Y181-X181)</f>
        <v>0</v>
      </c>
      <c r="AF181" s="36">
        <v>7</v>
      </c>
      <c r="AG181" s="46">
        <f t="shared" ref="AG181:AG182" si="137">MAX(0,AE181-AF181)</f>
        <v>0</v>
      </c>
      <c r="AH181" s="47">
        <v>200</v>
      </c>
      <c r="AI181" s="48">
        <f t="shared" ref="AI181:AI182" si="138">MAX(0,AG181*AH181)</f>
        <v>0</v>
      </c>
      <c r="AJ181" s="45">
        <f t="shared" ref="AJ181:AJ182" si="139">MAX(0,AC181-AB181)</f>
        <v>0</v>
      </c>
      <c r="AK181" s="36">
        <v>2</v>
      </c>
      <c r="AL181" s="46">
        <f t="shared" ref="AL181:AL182" si="140">MAX(0,AJ181-AK181)</f>
        <v>0</v>
      </c>
      <c r="AM181" s="47">
        <v>200</v>
      </c>
      <c r="AN181" s="48">
        <f t="shared" ref="AN181:AN182" si="141">MAX(0,AL181*AM181)</f>
        <v>0</v>
      </c>
      <c r="AO181" s="47"/>
      <c r="AP181" s="49">
        <f t="shared" ref="AP181:AP182" si="142">AO181+AN181+AI181</f>
        <v>0</v>
      </c>
    </row>
    <row r="182" spans="1:42" s="1" customFormat="1" ht="15" customHeight="1">
      <c r="A182" s="91">
        <f t="shared" si="135"/>
        <v>179</v>
      </c>
      <c r="B182" s="34" t="s">
        <v>446</v>
      </c>
      <c r="C182" s="34" t="s">
        <v>549</v>
      </c>
      <c r="D182" s="33" t="s">
        <v>550</v>
      </c>
      <c r="E182" s="33" t="s">
        <v>551</v>
      </c>
      <c r="F182" s="34" t="s">
        <v>12</v>
      </c>
      <c r="G182" s="38" t="s">
        <v>329</v>
      </c>
      <c r="H182" s="38">
        <v>29</v>
      </c>
      <c r="I182" s="34">
        <v>35000</v>
      </c>
      <c r="J182" s="34">
        <v>35070</v>
      </c>
      <c r="K182" s="34" t="s">
        <v>120</v>
      </c>
      <c r="L182" s="39">
        <v>45890</v>
      </c>
      <c r="M182" s="40" t="s">
        <v>121</v>
      </c>
      <c r="N182" s="39" t="s">
        <v>122</v>
      </c>
      <c r="O182" s="39">
        <v>45881</v>
      </c>
      <c r="P182" s="39">
        <v>45907</v>
      </c>
      <c r="Q182" s="39">
        <v>45892</v>
      </c>
      <c r="R182" s="39">
        <v>45993</v>
      </c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3" t="s">
        <v>403</v>
      </c>
      <c r="AE182" s="45">
        <f t="shared" si="136"/>
        <v>0</v>
      </c>
      <c r="AF182" s="36">
        <v>7</v>
      </c>
      <c r="AG182" s="46">
        <f t="shared" si="137"/>
        <v>0</v>
      </c>
      <c r="AH182" s="47">
        <v>200</v>
      </c>
      <c r="AI182" s="48">
        <f t="shared" si="138"/>
        <v>0</v>
      </c>
      <c r="AJ182" s="45">
        <f t="shared" si="139"/>
        <v>0</v>
      </c>
      <c r="AK182" s="36">
        <v>2</v>
      </c>
      <c r="AL182" s="46">
        <f t="shared" si="140"/>
        <v>0</v>
      </c>
      <c r="AM182" s="47">
        <v>200</v>
      </c>
      <c r="AN182" s="48">
        <f t="shared" si="141"/>
        <v>0</v>
      </c>
      <c r="AO182" s="47"/>
      <c r="AP182" s="49">
        <f t="shared" si="142"/>
        <v>0</v>
      </c>
    </row>
    <row r="183" spans="1:42" s="1" customFormat="1" ht="15" customHeight="1">
      <c r="A183" s="91">
        <f t="shared" ref="A183:A184" si="143">ROW()-3</f>
        <v>180</v>
      </c>
      <c r="B183" s="34" t="s">
        <v>446</v>
      </c>
      <c r="C183" s="35" t="s">
        <v>552</v>
      </c>
      <c r="D183" s="35" t="s">
        <v>553</v>
      </c>
      <c r="E183" s="35" t="s">
        <v>554</v>
      </c>
      <c r="F183" s="34" t="s">
        <v>12</v>
      </c>
      <c r="G183" s="37" t="s">
        <v>329</v>
      </c>
      <c r="H183" s="37">
        <v>28</v>
      </c>
      <c r="I183" s="34">
        <v>35000</v>
      </c>
      <c r="J183" s="34">
        <v>35070</v>
      </c>
      <c r="K183" s="34" t="s">
        <v>120</v>
      </c>
      <c r="L183" s="39">
        <v>45890</v>
      </c>
      <c r="M183" s="40" t="s">
        <v>121</v>
      </c>
      <c r="N183" s="39" t="s">
        <v>122</v>
      </c>
      <c r="O183" s="39">
        <v>45881</v>
      </c>
      <c r="P183" s="39">
        <v>45907</v>
      </c>
      <c r="Q183" s="39">
        <v>45892</v>
      </c>
      <c r="R183" s="39">
        <v>45992</v>
      </c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4" t="s">
        <v>403</v>
      </c>
      <c r="AE183" s="54">
        <f t="shared" ref="AE183:AE184" si="144">MAX(0,Y183-X183)</f>
        <v>0</v>
      </c>
      <c r="AF183" s="36">
        <v>7</v>
      </c>
      <c r="AG183" s="51">
        <f t="shared" ref="AG183:AG184" si="145">MAX(0,AE183-AF183)</f>
        <v>0</v>
      </c>
      <c r="AH183" s="52">
        <v>200</v>
      </c>
      <c r="AI183" s="53">
        <f t="shared" ref="AI183:AI184" si="146">MAX(0,AG183*AH183)</f>
        <v>0</v>
      </c>
      <c r="AJ183" s="54">
        <f t="shared" ref="AJ183:AJ184" si="147">MAX(0,AC183-AB183)</f>
        <v>0</v>
      </c>
      <c r="AK183" s="36">
        <v>2</v>
      </c>
      <c r="AL183" s="51">
        <f t="shared" ref="AL183:AL184" si="148">MAX(0,AJ183-AK183)</f>
        <v>0</v>
      </c>
      <c r="AM183" s="52">
        <v>200</v>
      </c>
      <c r="AN183" s="53">
        <f t="shared" ref="AN183:AN184" si="149">MAX(0,AL183*AM183)</f>
        <v>0</v>
      </c>
      <c r="AO183" s="52"/>
      <c r="AP183" s="55">
        <f t="shared" ref="AP183:AP184" si="150">AO183+AN183+AI183</f>
        <v>0</v>
      </c>
    </row>
    <row r="184" spans="1:42" s="1" customFormat="1" ht="15" customHeight="1">
      <c r="A184" s="91">
        <f t="shared" si="143"/>
        <v>181</v>
      </c>
      <c r="B184" s="34" t="s">
        <v>446</v>
      </c>
      <c r="C184" s="35" t="s">
        <v>555</v>
      </c>
      <c r="D184" s="35" t="s">
        <v>556</v>
      </c>
      <c r="E184" s="33" t="s">
        <v>557</v>
      </c>
      <c r="F184" s="34" t="s">
        <v>12</v>
      </c>
      <c r="G184" s="37" t="s">
        <v>329</v>
      </c>
      <c r="H184" s="37">
        <v>28</v>
      </c>
      <c r="I184" s="34">
        <v>35000</v>
      </c>
      <c r="J184" s="34">
        <v>35070</v>
      </c>
      <c r="K184" s="34" t="s">
        <v>120</v>
      </c>
      <c r="L184" s="39">
        <v>45890</v>
      </c>
      <c r="M184" s="40" t="s">
        <v>121</v>
      </c>
      <c r="N184" s="39" t="s">
        <v>122</v>
      </c>
      <c r="O184" s="39">
        <v>45881</v>
      </c>
      <c r="P184" s="39">
        <v>45907</v>
      </c>
      <c r="Q184" s="39">
        <v>45892</v>
      </c>
      <c r="R184" s="39">
        <v>45992</v>
      </c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4" t="s">
        <v>403</v>
      </c>
      <c r="AE184" s="54">
        <f t="shared" si="144"/>
        <v>0</v>
      </c>
      <c r="AF184" s="36">
        <v>7</v>
      </c>
      <c r="AG184" s="51">
        <f t="shared" si="145"/>
        <v>0</v>
      </c>
      <c r="AH184" s="52">
        <v>200</v>
      </c>
      <c r="AI184" s="53">
        <f t="shared" si="146"/>
        <v>0</v>
      </c>
      <c r="AJ184" s="54">
        <f t="shared" si="147"/>
        <v>0</v>
      </c>
      <c r="AK184" s="36">
        <v>2</v>
      </c>
      <c r="AL184" s="51">
        <f t="shared" si="148"/>
        <v>0</v>
      </c>
      <c r="AM184" s="52">
        <v>200</v>
      </c>
      <c r="AN184" s="53">
        <f t="shared" si="149"/>
        <v>0</v>
      </c>
      <c r="AO184" s="52"/>
      <c r="AP184" s="55">
        <f t="shared" si="150"/>
        <v>0</v>
      </c>
    </row>
    <row r="185" spans="1:42" s="1" customFormat="1" ht="15" customHeight="1">
      <c r="A185" s="91">
        <f t="shared" ref="A185:A187" si="151">ROW()-3</f>
        <v>182</v>
      </c>
      <c r="B185" s="34" t="s">
        <v>446</v>
      </c>
      <c r="C185" s="35" t="s">
        <v>558</v>
      </c>
      <c r="D185" s="35" t="s">
        <v>559</v>
      </c>
      <c r="E185" s="34" t="s">
        <v>560</v>
      </c>
      <c r="F185" s="34" t="s">
        <v>12</v>
      </c>
      <c r="G185" s="37" t="s">
        <v>329</v>
      </c>
      <c r="H185" s="37">
        <v>28</v>
      </c>
      <c r="I185" s="34">
        <v>35000</v>
      </c>
      <c r="J185" s="34">
        <v>35070</v>
      </c>
      <c r="K185" s="34" t="s">
        <v>120</v>
      </c>
      <c r="L185" s="39">
        <v>45890</v>
      </c>
      <c r="M185" s="40" t="s">
        <v>121</v>
      </c>
      <c r="N185" s="39" t="s">
        <v>122</v>
      </c>
      <c r="O185" s="39">
        <v>45881</v>
      </c>
      <c r="P185" s="39">
        <v>45907</v>
      </c>
      <c r="Q185" s="39">
        <v>45892</v>
      </c>
      <c r="R185" s="39">
        <v>45992</v>
      </c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4" t="s">
        <v>403</v>
      </c>
      <c r="AE185" s="54">
        <f t="shared" ref="AE185:AE187" si="152">MAX(0,Y185-X185)</f>
        <v>0</v>
      </c>
      <c r="AF185" s="36">
        <v>7</v>
      </c>
      <c r="AG185" s="51">
        <f t="shared" ref="AG185:AG187" si="153">MAX(0,AE185-AF185)</f>
        <v>0</v>
      </c>
      <c r="AH185" s="52">
        <v>200</v>
      </c>
      <c r="AI185" s="53">
        <f t="shared" ref="AI185:AI187" si="154">MAX(0,AG185*AH185)</f>
        <v>0</v>
      </c>
      <c r="AJ185" s="54">
        <f t="shared" ref="AJ185:AJ187" si="155">MAX(0,AC185-AB185)</f>
        <v>0</v>
      </c>
      <c r="AK185" s="36">
        <v>2</v>
      </c>
      <c r="AL185" s="51">
        <f t="shared" ref="AL185:AL187" si="156">MAX(0,AJ185-AK185)</f>
        <v>0</v>
      </c>
      <c r="AM185" s="52">
        <v>200</v>
      </c>
      <c r="AN185" s="53">
        <f t="shared" ref="AN185:AN187" si="157">MAX(0,AL185*AM185)</f>
        <v>0</v>
      </c>
      <c r="AO185" s="52"/>
      <c r="AP185" s="55">
        <f t="shared" ref="AP185:AP187" si="158">AO185+AN185+AI185</f>
        <v>0</v>
      </c>
    </row>
    <row r="186" spans="1:42" s="1" customFormat="1" ht="15" customHeight="1">
      <c r="A186" s="91">
        <f t="shared" si="151"/>
        <v>183</v>
      </c>
      <c r="B186" s="34" t="s">
        <v>446</v>
      </c>
      <c r="C186" s="35" t="s">
        <v>561</v>
      </c>
      <c r="D186" s="35" t="s">
        <v>562</v>
      </c>
      <c r="E186" s="35" t="s">
        <v>563</v>
      </c>
      <c r="F186" s="34" t="s">
        <v>12</v>
      </c>
      <c r="G186" s="37" t="s">
        <v>329</v>
      </c>
      <c r="H186" s="37">
        <v>29</v>
      </c>
      <c r="I186" s="34">
        <v>36250</v>
      </c>
      <c r="J186" s="34">
        <v>36323</v>
      </c>
      <c r="K186" s="34" t="s">
        <v>120</v>
      </c>
      <c r="L186" s="39">
        <v>45890</v>
      </c>
      <c r="M186" s="40" t="s">
        <v>121</v>
      </c>
      <c r="N186" s="39" t="s">
        <v>122</v>
      </c>
      <c r="O186" s="39">
        <v>45881</v>
      </c>
      <c r="P186" s="39">
        <v>45907</v>
      </c>
      <c r="Q186" s="39">
        <v>45892</v>
      </c>
      <c r="R186" s="39">
        <v>45992</v>
      </c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4" t="s">
        <v>403</v>
      </c>
      <c r="AE186" s="54">
        <f t="shared" si="152"/>
        <v>0</v>
      </c>
      <c r="AF186" s="36">
        <v>7</v>
      </c>
      <c r="AG186" s="51">
        <f t="shared" si="153"/>
        <v>0</v>
      </c>
      <c r="AH186" s="52">
        <v>200</v>
      </c>
      <c r="AI186" s="53">
        <f t="shared" si="154"/>
        <v>0</v>
      </c>
      <c r="AJ186" s="54">
        <f t="shared" si="155"/>
        <v>0</v>
      </c>
      <c r="AK186" s="36">
        <v>2</v>
      </c>
      <c r="AL186" s="51">
        <f t="shared" si="156"/>
        <v>0</v>
      </c>
      <c r="AM186" s="52">
        <v>200</v>
      </c>
      <c r="AN186" s="53">
        <f t="shared" si="157"/>
        <v>0</v>
      </c>
      <c r="AO186" s="52"/>
      <c r="AP186" s="55">
        <f t="shared" si="158"/>
        <v>0</v>
      </c>
    </row>
    <row r="187" spans="1:42" s="1" customFormat="1" ht="15" customHeight="1">
      <c r="A187" s="91">
        <f t="shared" si="151"/>
        <v>184</v>
      </c>
      <c r="B187" s="34" t="s">
        <v>446</v>
      </c>
      <c r="C187" s="35" t="s">
        <v>564</v>
      </c>
      <c r="D187" s="35" t="s">
        <v>565</v>
      </c>
      <c r="E187" s="35" t="s">
        <v>566</v>
      </c>
      <c r="F187" s="34" t="s">
        <v>12</v>
      </c>
      <c r="G187" s="37" t="s">
        <v>329</v>
      </c>
      <c r="H187" s="37">
        <v>29</v>
      </c>
      <c r="I187" s="34">
        <v>36250</v>
      </c>
      <c r="J187" s="34">
        <v>36323</v>
      </c>
      <c r="K187" s="34" t="s">
        <v>120</v>
      </c>
      <c r="L187" s="39">
        <v>45890</v>
      </c>
      <c r="M187" s="40" t="s">
        <v>121</v>
      </c>
      <c r="N187" s="39" t="s">
        <v>122</v>
      </c>
      <c r="O187" s="39">
        <v>45881</v>
      </c>
      <c r="P187" s="39">
        <v>45907</v>
      </c>
      <c r="Q187" s="39">
        <v>45892</v>
      </c>
      <c r="R187" s="39">
        <v>45992</v>
      </c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4" t="s">
        <v>403</v>
      </c>
      <c r="AE187" s="54">
        <f t="shared" si="152"/>
        <v>0</v>
      </c>
      <c r="AF187" s="36">
        <v>7</v>
      </c>
      <c r="AG187" s="51">
        <f t="shared" si="153"/>
        <v>0</v>
      </c>
      <c r="AH187" s="52">
        <v>200</v>
      </c>
      <c r="AI187" s="53">
        <f t="shared" si="154"/>
        <v>0</v>
      </c>
      <c r="AJ187" s="54">
        <f t="shared" si="155"/>
        <v>0</v>
      </c>
      <c r="AK187" s="36">
        <v>2</v>
      </c>
      <c r="AL187" s="51">
        <f t="shared" si="156"/>
        <v>0</v>
      </c>
      <c r="AM187" s="52">
        <v>200</v>
      </c>
      <c r="AN187" s="53">
        <f t="shared" si="157"/>
        <v>0</v>
      </c>
      <c r="AO187" s="52"/>
      <c r="AP187" s="55">
        <f t="shared" si="158"/>
        <v>0</v>
      </c>
    </row>
    <row r="188" spans="1:42" s="1" customFormat="1" ht="15" customHeight="1">
      <c r="A188" s="91">
        <f t="shared" ref="A188:A190" si="159">ROW()-3</f>
        <v>185</v>
      </c>
      <c r="B188" s="34" t="s">
        <v>446</v>
      </c>
      <c r="C188" s="35" t="s">
        <v>567</v>
      </c>
      <c r="D188" s="35" t="s">
        <v>568</v>
      </c>
      <c r="E188" s="34" t="s">
        <v>569</v>
      </c>
      <c r="F188" s="34" t="s">
        <v>12</v>
      </c>
      <c r="G188" s="37" t="s">
        <v>329</v>
      </c>
      <c r="H188" s="37">
        <v>28</v>
      </c>
      <c r="I188" s="34">
        <v>35000</v>
      </c>
      <c r="J188" s="34">
        <v>35070</v>
      </c>
      <c r="K188" s="34" t="s">
        <v>120</v>
      </c>
      <c r="L188" s="39">
        <v>45890</v>
      </c>
      <c r="M188" s="40" t="s">
        <v>121</v>
      </c>
      <c r="N188" s="39" t="s">
        <v>122</v>
      </c>
      <c r="O188" s="39">
        <v>45881</v>
      </c>
      <c r="P188" s="39">
        <v>45907</v>
      </c>
      <c r="Q188" s="39">
        <v>45892</v>
      </c>
      <c r="R188" s="39">
        <v>45992</v>
      </c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4" t="s">
        <v>403</v>
      </c>
      <c r="AE188" s="54">
        <f t="shared" ref="AE188:AE190" si="160">MAX(0,Y188-X188)</f>
        <v>0</v>
      </c>
      <c r="AF188" s="36">
        <v>7</v>
      </c>
      <c r="AG188" s="51">
        <f t="shared" ref="AG188:AG190" si="161">MAX(0,AE188-AF188)</f>
        <v>0</v>
      </c>
      <c r="AH188" s="52">
        <v>200</v>
      </c>
      <c r="AI188" s="53">
        <f t="shared" ref="AI188:AI190" si="162">MAX(0,AG188*AH188)</f>
        <v>0</v>
      </c>
      <c r="AJ188" s="54">
        <f t="shared" ref="AJ188:AJ190" si="163">MAX(0,AC188-AB188)</f>
        <v>0</v>
      </c>
      <c r="AK188" s="36">
        <v>2</v>
      </c>
      <c r="AL188" s="51">
        <f t="shared" ref="AL188:AL190" si="164">MAX(0,AJ188-AK188)</f>
        <v>0</v>
      </c>
      <c r="AM188" s="52">
        <v>200</v>
      </c>
      <c r="AN188" s="53">
        <f t="shared" ref="AN188:AN190" si="165">MAX(0,AL188*AM188)</f>
        <v>0</v>
      </c>
      <c r="AO188" s="52"/>
      <c r="AP188" s="55">
        <f t="shared" ref="AP188:AP190" si="166">AO188+AN188+AI188</f>
        <v>0</v>
      </c>
    </row>
    <row r="189" spans="1:42" s="1" customFormat="1" ht="15" customHeight="1">
      <c r="A189" s="91">
        <f t="shared" si="159"/>
        <v>186</v>
      </c>
      <c r="B189" s="34" t="s">
        <v>446</v>
      </c>
      <c r="C189" s="35" t="s">
        <v>570</v>
      </c>
      <c r="D189" s="33" t="s">
        <v>571</v>
      </c>
      <c r="E189" s="33" t="s">
        <v>572</v>
      </c>
      <c r="F189" s="34" t="s">
        <v>12</v>
      </c>
      <c r="G189" s="37" t="s">
        <v>329</v>
      </c>
      <c r="H189" s="37">
        <v>29</v>
      </c>
      <c r="I189" s="34">
        <v>36250</v>
      </c>
      <c r="J189" s="34">
        <v>36323</v>
      </c>
      <c r="K189" s="34" t="s">
        <v>120</v>
      </c>
      <c r="L189" s="39">
        <v>45890</v>
      </c>
      <c r="M189" s="40" t="s">
        <v>121</v>
      </c>
      <c r="N189" s="39" t="s">
        <v>122</v>
      </c>
      <c r="O189" s="39">
        <v>45881</v>
      </c>
      <c r="P189" s="39">
        <v>45907</v>
      </c>
      <c r="Q189" s="39">
        <v>45892</v>
      </c>
      <c r="R189" s="39">
        <v>45992</v>
      </c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4" t="s">
        <v>403</v>
      </c>
      <c r="AE189" s="54">
        <f t="shared" si="160"/>
        <v>0</v>
      </c>
      <c r="AF189" s="36">
        <v>7</v>
      </c>
      <c r="AG189" s="51">
        <f t="shared" si="161"/>
        <v>0</v>
      </c>
      <c r="AH189" s="52">
        <v>200</v>
      </c>
      <c r="AI189" s="53">
        <f t="shared" si="162"/>
        <v>0</v>
      </c>
      <c r="AJ189" s="54">
        <f t="shared" si="163"/>
        <v>0</v>
      </c>
      <c r="AK189" s="36">
        <v>2</v>
      </c>
      <c r="AL189" s="51">
        <f t="shared" si="164"/>
        <v>0</v>
      </c>
      <c r="AM189" s="52">
        <v>200</v>
      </c>
      <c r="AN189" s="53">
        <f t="shared" si="165"/>
        <v>0</v>
      </c>
      <c r="AO189" s="52"/>
      <c r="AP189" s="55">
        <f t="shared" si="166"/>
        <v>0</v>
      </c>
    </row>
    <row r="190" spans="1:42" s="1" customFormat="1" ht="15" customHeight="1">
      <c r="A190" s="91">
        <f t="shared" si="159"/>
        <v>187</v>
      </c>
      <c r="B190" s="34" t="s">
        <v>446</v>
      </c>
      <c r="C190" s="35" t="s">
        <v>573</v>
      </c>
      <c r="D190" s="35" t="s">
        <v>574</v>
      </c>
      <c r="E190" s="33" t="s">
        <v>575</v>
      </c>
      <c r="F190" s="34" t="s">
        <v>12</v>
      </c>
      <c r="G190" s="37" t="s">
        <v>329</v>
      </c>
      <c r="H190" s="37">
        <v>29</v>
      </c>
      <c r="I190" s="34">
        <v>36250</v>
      </c>
      <c r="J190" s="34">
        <v>36323</v>
      </c>
      <c r="K190" s="34" t="s">
        <v>120</v>
      </c>
      <c r="L190" s="39">
        <v>45890</v>
      </c>
      <c r="M190" s="40" t="s">
        <v>121</v>
      </c>
      <c r="N190" s="39" t="s">
        <v>122</v>
      </c>
      <c r="O190" s="39">
        <v>45881</v>
      </c>
      <c r="P190" s="39">
        <v>45907</v>
      </c>
      <c r="Q190" s="39">
        <v>45892</v>
      </c>
      <c r="R190" s="39">
        <v>45992</v>
      </c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4" t="s">
        <v>403</v>
      </c>
      <c r="AE190" s="54">
        <f t="shared" si="160"/>
        <v>0</v>
      </c>
      <c r="AF190" s="36">
        <v>7</v>
      </c>
      <c r="AG190" s="51">
        <f t="shared" si="161"/>
        <v>0</v>
      </c>
      <c r="AH190" s="52">
        <v>200</v>
      </c>
      <c r="AI190" s="53">
        <f t="shared" si="162"/>
        <v>0</v>
      </c>
      <c r="AJ190" s="54">
        <f t="shared" si="163"/>
        <v>0</v>
      </c>
      <c r="AK190" s="36">
        <v>2</v>
      </c>
      <c r="AL190" s="51">
        <f t="shared" si="164"/>
        <v>0</v>
      </c>
      <c r="AM190" s="52">
        <v>200</v>
      </c>
      <c r="AN190" s="53">
        <f t="shared" si="165"/>
        <v>0</v>
      </c>
      <c r="AO190" s="52"/>
      <c r="AP190" s="55">
        <f t="shared" si="166"/>
        <v>0</v>
      </c>
    </row>
    <row r="191" spans="1:42" s="1" customFormat="1" ht="15" customHeight="1">
      <c r="A191" s="91">
        <f t="shared" si="134"/>
        <v>188</v>
      </c>
      <c r="B191" s="34" t="s">
        <v>446</v>
      </c>
      <c r="C191" s="35" t="s">
        <v>576</v>
      </c>
      <c r="D191" s="35" t="s">
        <v>577</v>
      </c>
      <c r="E191" s="33" t="s">
        <v>578</v>
      </c>
      <c r="F191" s="34" t="s">
        <v>12</v>
      </c>
      <c r="G191" s="37" t="s">
        <v>329</v>
      </c>
      <c r="H191" s="37">
        <v>27</v>
      </c>
      <c r="I191" s="34">
        <v>33750</v>
      </c>
      <c r="J191" s="34">
        <v>33845</v>
      </c>
      <c r="K191" s="34" t="s">
        <v>120</v>
      </c>
      <c r="L191" s="39">
        <v>45890</v>
      </c>
      <c r="M191" s="40" t="s">
        <v>121</v>
      </c>
      <c r="N191" s="39" t="s">
        <v>122</v>
      </c>
      <c r="O191" s="39">
        <v>45881</v>
      </c>
      <c r="P191" s="39">
        <v>45907</v>
      </c>
      <c r="Q191" s="39">
        <v>45892</v>
      </c>
      <c r="R191" s="39">
        <v>45990</v>
      </c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4" t="s">
        <v>403</v>
      </c>
      <c r="AE191" s="54">
        <f t="shared" ref="AE191:AE192" si="167">MAX(0,Y191-X191)</f>
        <v>0</v>
      </c>
      <c r="AF191" s="36">
        <v>7</v>
      </c>
      <c r="AG191" s="51">
        <f t="shared" ref="AG191:AG192" si="168">MAX(0,AE191-AF191)</f>
        <v>0</v>
      </c>
      <c r="AH191" s="52">
        <v>200</v>
      </c>
      <c r="AI191" s="53">
        <f t="shared" ref="AI191:AI192" si="169">MAX(0,AG191*AH191)</f>
        <v>0</v>
      </c>
      <c r="AJ191" s="54">
        <f t="shared" ref="AJ191:AJ192" si="170">MAX(0,AC191-AB191)</f>
        <v>0</v>
      </c>
      <c r="AK191" s="36">
        <v>2</v>
      </c>
      <c r="AL191" s="51">
        <f t="shared" ref="AL191:AL192" si="171">MAX(0,AJ191-AK191)</f>
        <v>0</v>
      </c>
      <c r="AM191" s="52">
        <v>200</v>
      </c>
      <c r="AN191" s="53">
        <f t="shared" ref="AN191:AN192" si="172">MAX(0,AL191*AM191)</f>
        <v>0</v>
      </c>
      <c r="AO191" s="52"/>
      <c r="AP191" s="55">
        <f t="shared" ref="AP191:AP192" si="173">AO191+AN191+AI191</f>
        <v>0</v>
      </c>
    </row>
    <row r="192" spans="1:42" s="1" customFormat="1" ht="15" customHeight="1">
      <c r="A192" s="91">
        <f t="shared" si="134"/>
        <v>189</v>
      </c>
      <c r="B192" s="34" t="s">
        <v>446</v>
      </c>
      <c r="C192" s="35" t="s">
        <v>579</v>
      </c>
      <c r="D192" s="35" t="s">
        <v>580</v>
      </c>
      <c r="E192" s="34" t="s">
        <v>581</v>
      </c>
      <c r="F192" s="34" t="s">
        <v>12</v>
      </c>
      <c r="G192" s="37" t="s">
        <v>329</v>
      </c>
      <c r="H192" s="37">
        <v>28</v>
      </c>
      <c r="I192" s="34">
        <v>35000</v>
      </c>
      <c r="J192" s="34">
        <v>35070</v>
      </c>
      <c r="K192" s="34" t="s">
        <v>120</v>
      </c>
      <c r="L192" s="39">
        <v>45890</v>
      </c>
      <c r="M192" s="40" t="s">
        <v>121</v>
      </c>
      <c r="N192" s="39" t="s">
        <v>122</v>
      </c>
      <c r="O192" s="39">
        <v>45881</v>
      </c>
      <c r="P192" s="39">
        <v>45907</v>
      </c>
      <c r="Q192" s="39">
        <v>45892</v>
      </c>
      <c r="R192" s="39">
        <v>45990</v>
      </c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4" t="s">
        <v>403</v>
      </c>
      <c r="AE192" s="54">
        <f t="shared" si="167"/>
        <v>0</v>
      </c>
      <c r="AF192" s="36">
        <v>7</v>
      </c>
      <c r="AG192" s="51">
        <f t="shared" si="168"/>
        <v>0</v>
      </c>
      <c r="AH192" s="52">
        <v>200</v>
      </c>
      <c r="AI192" s="53">
        <f t="shared" si="169"/>
        <v>0</v>
      </c>
      <c r="AJ192" s="54">
        <f t="shared" si="170"/>
        <v>0</v>
      </c>
      <c r="AK192" s="36">
        <v>2</v>
      </c>
      <c r="AL192" s="51">
        <f t="shared" si="171"/>
        <v>0</v>
      </c>
      <c r="AM192" s="52">
        <v>200</v>
      </c>
      <c r="AN192" s="53">
        <f t="shared" si="172"/>
        <v>0</v>
      </c>
      <c r="AO192" s="52"/>
      <c r="AP192" s="55">
        <f t="shared" si="173"/>
        <v>0</v>
      </c>
    </row>
    <row r="193" spans="1:42" s="68" customFormat="1" ht="15" customHeight="1">
      <c r="A193" s="91">
        <f t="shared" ref="A193:A212" si="174">ROW()-3</f>
        <v>190</v>
      </c>
      <c r="B193" s="34" t="s">
        <v>446</v>
      </c>
      <c r="C193" s="92" t="s">
        <v>582</v>
      </c>
      <c r="D193" s="35" t="s">
        <v>583</v>
      </c>
      <c r="E193" s="34" t="s">
        <v>584</v>
      </c>
      <c r="F193" s="34" t="s">
        <v>12</v>
      </c>
      <c r="G193" s="37" t="s">
        <v>329</v>
      </c>
      <c r="H193" s="37">
        <v>28</v>
      </c>
      <c r="I193" s="34">
        <v>35000</v>
      </c>
      <c r="J193" s="34">
        <v>35070</v>
      </c>
      <c r="K193" s="34" t="s">
        <v>120</v>
      </c>
      <c r="L193" s="39">
        <v>45890</v>
      </c>
      <c r="M193" s="40" t="s">
        <v>121</v>
      </c>
      <c r="N193" s="39" t="s">
        <v>122</v>
      </c>
      <c r="O193" s="39">
        <v>45881</v>
      </c>
      <c r="P193" s="39">
        <v>45907</v>
      </c>
      <c r="Q193" s="39">
        <v>45892</v>
      </c>
      <c r="R193" s="39">
        <v>45988</v>
      </c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4" t="s">
        <v>403</v>
      </c>
      <c r="AE193" s="54">
        <f t="shared" ref="AE193:AE212" si="175">MAX(0,Y193-X193)</f>
        <v>0</v>
      </c>
      <c r="AF193" s="36">
        <v>7</v>
      </c>
      <c r="AG193" s="51">
        <f t="shared" ref="AG193:AG212" si="176">MAX(0,AE193-AF193)</f>
        <v>0</v>
      </c>
      <c r="AH193" s="52">
        <v>200</v>
      </c>
      <c r="AI193" s="53">
        <f t="shared" ref="AI193:AI212" si="177">MAX(0,AG193*AH193)</f>
        <v>0</v>
      </c>
      <c r="AJ193" s="54">
        <f t="shared" ref="AJ193:AJ212" si="178">MAX(0,AC193-AB193)</f>
        <v>0</v>
      </c>
      <c r="AK193" s="36">
        <v>2</v>
      </c>
      <c r="AL193" s="51">
        <f t="shared" ref="AL193:AL212" si="179">MAX(0,AJ193-AK193)</f>
        <v>0</v>
      </c>
      <c r="AM193" s="52">
        <v>200</v>
      </c>
      <c r="AN193" s="53">
        <f t="shared" ref="AN193:AN212" si="180">MAX(0,AL193*AM193)</f>
        <v>0</v>
      </c>
      <c r="AO193" s="52"/>
      <c r="AP193" s="55">
        <f t="shared" ref="AP193:AP214" si="181">AO193+AN193+AI193</f>
        <v>0</v>
      </c>
    </row>
    <row r="194" spans="1:42" s="68" customFormat="1" ht="15" customHeight="1">
      <c r="A194" s="91">
        <f t="shared" si="174"/>
        <v>191</v>
      </c>
      <c r="B194" s="34" t="s">
        <v>446</v>
      </c>
      <c r="C194" s="92" t="s">
        <v>166</v>
      </c>
      <c r="D194" s="34" t="s">
        <v>167</v>
      </c>
      <c r="E194" s="34" t="s">
        <v>168</v>
      </c>
      <c r="F194" s="34" t="s">
        <v>12</v>
      </c>
      <c r="G194" s="37" t="s">
        <v>329</v>
      </c>
      <c r="H194" s="37">
        <v>29</v>
      </c>
      <c r="I194" s="34">
        <v>36250</v>
      </c>
      <c r="J194" s="34">
        <v>36323</v>
      </c>
      <c r="K194" s="34" t="s">
        <v>120</v>
      </c>
      <c r="L194" s="39">
        <v>45890</v>
      </c>
      <c r="M194" s="40" t="s">
        <v>121</v>
      </c>
      <c r="N194" s="39" t="s">
        <v>122</v>
      </c>
      <c r="O194" s="39">
        <v>45881</v>
      </c>
      <c r="P194" s="39">
        <v>45907</v>
      </c>
      <c r="Q194" s="39">
        <v>45892</v>
      </c>
      <c r="R194" s="39">
        <v>45988</v>
      </c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4" t="s">
        <v>403</v>
      </c>
      <c r="AE194" s="54">
        <f t="shared" si="175"/>
        <v>0</v>
      </c>
      <c r="AF194" s="36">
        <v>7</v>
      </c>
      <c r="AG194" s="51">
        <f t="shared" si="176"/>
        <v>0</v>
      </c>
      <c r="AH194" s="52">
        <v>200</v>
      </c>
      <c r="AI194" s="53">
        <f t="shared" si="177"/>
        <v>0</v>
      </c>
      <c r="AJ194" s="54">
        <f t="shared" si="178"/>
        <v>0</v>
      </c>
      <c r="AK194" s="36">
        <v>2</v>
      </c>
      <c r="AL194" s="51">
        <f t="shared" si="179"/>
        <v>0</v>
      </c>
      <c r="AM194" s="52">
        <v>200</v>
      </c>
      <c r="AN194" s="53">
        <f t="shared" si="180"/>
        <v>0</v>
      </c>
      <c r="AO194" s="52"/>
      <c r="AP194" s="55">
        <f t="shared" si="181"/>
        <v>0</v>
      </c>
    </row>
    <row r="195" spans="1:42" s="68" customFormat="1" ht="15" customHeight="1">
      <c r="A195" s="91">
        <f t="shared" si="174"/>
        <v>192</v>
      </c>
      <c r="B195" s="34" t="s">
        <v>446</v>
      </c>
      <c r="C195" s="92" t="s">
        <v>585</v>
      </c>
      <c r="D195" s="35" t="s">
        <v>586</v>
      </c>
      <c r="E195" s="34" t="s">
        <v>587</v>
      </c>
      <c r="F195" s="34" t="s">
        <v>12</v>
      </c>
      <c r="G195" s="37" t="s">
        <v>329</v>
      </c>
      <c r="H195" s="37">
        <v>28</v>
      </c>
      <c r="I195" s="34">
        <v>35000</v>
      </c>
      <c r="J195" s="34">
        <v>35070</v>
      </c>
      <c r="K195" s="34" t="s">
        <v>120</v>
      </c>
      <c r="L195" s="39">
        <v>45890</v>
      </c>
      <c r="M195" s="40" t="s">
        <v>121</v>
      </c>
      <c r="N195" s="39" t="s">
        <v>122</v>
      </c>
      <c r="O195" s="39">
        <v>45881</v>
      </c>
      <c r="P195" s="39">
        <v>45907</v>
      </c>
      <c r="Q195" s="39">
        <v>45892</v>
      </c>
      <c r="R195" s="39">
        <v>45988</v>
      </c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4" t="s">
        <v>403</v>
      </c>
      <c r="AE195" s="54">
        <f t="shared" si="175"/>
        <v>0</v>
      </c>
      <c r="AF195" s="36">
        <v>7</v>
      </c>
      <c r="AG195" s="51">
        <f t="shared" si="176"/>
        <v>0</v>
      </c>
      <c r="AH195" s="52">
        <v>200</v>
      </c>
      <c r="AI195" s="53">
        <f t="shared" si="177"/>
        <v>0</v>
      </c>
      <c r="AJ195" s="54">
        <f t="shared" si="178"/>
        <v>0</v>
      </c>
      <c r="AK195" s="36">
        <v>2</v>
      </c>
      <c r="AL195" s="51">
        <f t="shared" si="179"/>
        <v>0</v>
      </c>
      <c r="AM195" s="52">
        <v>200</v>
      </c>
      <c r="AN195" s="53">
        <f t="shared" si="180"/>
        <v>0</v>
      </c>
      <c r="AO195" s="52"/>
      <c r="AP195" s="55">
        <f t="shared" si="181"/>
        <v>0</v>
      </c>
    </row>
    <row r="196" spans="1:42" s="68" customFormat="1" ht="15" customHeight="1">
      <c r="A196" s="91">
        <f t="shared" si="174"/>
        <v>193</v>
      </c>
      <c r="B196" s="34" t="s">
        <v>446</v>
      </c>
      <c r="C196" s="35" t="s">
        <v>588</v>
      </c>
      <c r="D196" s="35" t="s">
        <v>589</v>
      </c>
      <c r="E196" s="33" t="s">
        <v>590</v>
      </c>
      <c r="F196" s="34" t="s">
        <v>12</v>
      </c>
      <c r="G196" s="37" t="s">
        <v>329</v>
      </c>
      <c r="H196" s="37">
        <v>28</v>
      </c>
      <c r="I196" s="34">
        <v>35000</v>
      </c>
      <c r="J196" s="34">
        <v>35070</v>
      </c>
      <c r="K196" s="34" t="s">
        <v>120</v>
      </c>
      <c r="L196" s="39">
        <v>45890</v>
      </c>
      <c r="M196" s="40" t="s">
        <v>121</v>
      </c>
      <c r="N196" s="39" t="s">
        <v>122</v>
      </c>
      <c r="O196" s="39">
        <v>45881</v>
      </c>
      <c r="P196" s="39">
        <v>45907</v>
      </c>
      <c r="Q196" s="39">
        <v>45892</v>
      </c>
      <c r="R196" s="39">
        <v>45988</v>
      </c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4" t="s">
        <v>403</v>
      </c>
      <c r="AE196" s="54">
        <f t="shared" si="175"/>
        <v>0</v>
      </c>
      <c r="AF196" s="36">
        <v>7</v>
      </c>
      <c r="AG196" s="51">
        <f t="shared" si="176"/>
        <v>0</v>
      </c>
      <c r="AH196" s="52">
        <v>200</v>
      </c>
      <c r="AI196" s="53">
        <f t="shared" si="177"/>
        <v>0</v>
      </c>
      <c r="AJ196" s="54">
        <f t="shared" si="178"/>
        <v>0</v>
      </c>
      <c r="AK196" s="36">
        <v>2</v>
      </c>
      <c r="AL196" s="51">
        <f t="shared" si="179"/>
        <v>0</v>
      </c>
      <c r="AM196" s="52">
        <v>200</v>
      </c>
      <c r="AN196" s="53">
        <f t="shared" si="180"/>
        <v>0</v>
      </c>
      <c r="AO196" s="52"/>
      <c r="AP196" s="55">
        <f t="shared" si="181"/>
        <v>0</v>
      </c>
    </row>
    <row r="197" spans="1:42" s="68" customFormat="1" ht="15" customHeight="1">
      <c r="A197" s="91">
        <f t="shared" si="174"/>
        <v>194</v>
      </c>
      <c r="B197" s="34" t="s">
        <v>446</v>
      </c>
      <c r="C197" s="92" t="s">
        <v>591</v>
      </c>
      <c r="D197" s="33" t="s">
        <v>592</v>
      </c>
      <c r="E197" s="35" t="s">
        <v>593</v>
      </c>
      <c r="F197" s="34" t="s">
        <v>12</v>
      </c>
      <c r="G197" s="37" t="s">
        <v>329</v>
      </c>
      <c r="H197" s="37">
        <v>28</v>
      </c>
      <c r="I197" s="34">
        <v>35000</v>
      </c>
      <c r="J197" s="34">
        <v>35070</v>
      </c>
      <c r="K197" s="34" t="s">
        <v>120</v>
      </c>
      <c r="L197" s="39">
        <v>45890</v>
      </c>
      <c r="M197" s="40" t="s">
        <v>121</v>
      </c>
      <c r="N197" s="39" t="s">
        <v>122</v>
      </c>
      <c r="O197" s="39">
        <v>45881</v>
      </c>
      <c r="P197" s="39">
        <v>45907</v>
      </c>
      <c r="Q197" s="39">
        <v>45892</v>
      </c>
      <c r="R197" s="39">
        <v>45988</v>
      </c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4" t="s">
        <v>403</v>
      </c>
      <c r="AE197" s="54">
        <f t="shared" si="175"/>
        <v>0</v>
      </c>
      <c r="AF197" s="36">
        <v>7</v>
      </c>
      <c r="AG197" s="51">
        <f t="shared" si="176"/>
        <v>0</v>
      </c>
      <c r="AH197" s="52">
        <v>200</v>
      </c>
      <c r="AI197" s="53">
        <f t="shared" si="177"/>
        <v>0</v>
      </c>
      <c r="AJ197" s="54">
        <f t="shared" si="178"/>
        <v>0</v>
      </c>
      <c r="AK197" s="36">
        <v>2</v>
      </c>
      <c r="AL197" s="51">
        <f t="shared" si="179"/>
        <v>0</v>
      </c>
      <c r="AM197" s="52">
        <v>200</v>
      </c>
      <c r="AN197" s="53">
        <f t="shared" si="180"/>
        <v>0</v>
      </c>
      <c r="AO197" s="52"/>
      <c r="AP197" s="55">
        <f t="shared" si="181"/>
        <v>0</v>
      </c>
    </row>
    <row r="198" spans="1:42" s="68" customFormat="1" ht="15" customHeight="1">
      <c r="A198" s="91">
        <f t="shared" si="174"/>
        <v>195</v>
      </c>
      <c r="B198" s="34" t="s">
        <v>446</v>
      </c>
      <c r="C198" s="92" t="s">
        <v>594</v>
      </c>
      <c r="D198" s="35" t="s">
        <v>595</v>
      </c>
      <c r="E198" s="33" t="s">
        <v>596</v>
      </c>
      <c r="F198" s="34" t="s">
        <v>12</v>
      </c>
      <c r="G198" s="37" t="s">
        <v>329</v>
      </c>
      <c r="H198" s="37">
        <v>28</v>
      </c>
      <c r="I198" s="34">
        <v>35000</v>
      </c>
      <c r="J198" s="34">
        <v>35070</v>
      </c>
      <c r="K198" s="34" t="s">
        <v>120</v>
      </c>
      <c r="L198" s="39">
        <v>45890</v>
      </c>
      <c r="M198" s="40" t="s">
        <v>121</v>
      </c>
      <c r="N198" s="39" t="s">
        <v>122</v>
      </c>
      <c r="O198" s="39">
        <v>45881</v>
      </c>
      <c r="P198" s="39">
        <v>45907</v>
      </c>
      <c r="Q198" s="39">
        <v>45892</v>
      </c>
      <c r="R198" s="39">
        <v>45988</v>
      </c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4" t="s">
        <v>403</v>
      </c>
      <c r="AE198" s="54">
        <f t="shared" si="175"/>
        <v>0</v>
      </c>
      <c r="AF198" s="36">
        <v>7</v>
      </c>
      <c r="AG198" s="51">
        <f t="shared" si="176"/>
        <v>0</v>
      </c>
      <c r="AH198" s="52">
        <v>200</v>
      </c>
      <c r="AI198" s="53">
        <f t="shared" si="177"/>
        <v>0</v>
      </c>
      <c r="AJ198" s="54">
        <f t="shared" si="178"/>
        <v>0</v>
      </c>
      <c r="AK198" s="36">
        <v>2</v>
      </c>
      <c r="AL198" s="51">
        <f t="shared" si="179"/>
        <v>0</v>
      </c>
      <c r="AM198" s="52">
        <v>200</v>
      </c>
      <c r="AN198" s="53">
        <f t="shared" si="180"/>
        <v>0</v>
      </c>
      <c r="AO198" s="52"/>
      <c r="AP198" s="55">
        <f t="shared" si="181"/>
        <v>0</v>
      </c>
    </row>
    <row r="199" spans="1:42" s="68" customFormat="1" ht="15" customHeight="1">
      <c r="A199" s="91">
        <f t="shared" si="174"/>
        <v>196</v>
      </c>
      <c r="B199" s="34" t="s">
        <v>446</v>
      </c>
      <c r="C199" s="35" t="s">
        <v>124</v>
      </c>
      <c r="D199" s="35" t="s">
        <v>125</v>
      </c>
      <c r="E199" s="33" t="s">
        <v>126</v>
      </c>
      <c r="F199" s="34" t="s">
        <v>12</v>
      </c>
      <c r="G199" s="37" t="s">
        <v>329</v>
      </c>
      <c r="H199" s="37">
        <v>30</v>
      </c>
      <c r="I199" s="34">
        <v>37500</v>
      </c>
      <c r="J199" s="34">
        <v>37605</v>
      </c>
      <c r="K199" s="34" t="s">
        <v>120</v>
      </c>
      <c r="L199" s="39">
        <v>45890</v>
      </c>
      <c r="M199" s="40" t="s">
        <v>121</v>
      </c>
      <c r="N199" s="39" t="s">
        <v>122</v>
      </c>
      <c r="O199" s="39">
        <v>45881</v>
      </c>
      <c r="P199" s="39">
        <v>45907</v>
      </c>
      <c r="Q199" s="39">
        <v>45892</v>
      </c>
      <c r="R199" s="39">
        <v>45988</v>
      </c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4" t="s">
        <v>403</v>
      </c>
      <c r="AE199" s="54">
        <f t="shared" si="175"/>
        <v>0</v>
      </c>
      <c r="AF199" s="36">
        <v>7</v>
      </c>
      <c r="AG199" s="51">
        <f t="shared" si="176"/>
        <v>0</v>
      </c>
      <c r="AH199" s="52">
        <v>200</v>
      </c>
      <c r="AI199" s="53">
        <f t="shared" si="177"/>
        <v>0</v>
      </c>
      <c r="AJ199" s="54">
        <f t="shared" si="178"/>
        <v>0</v>
      </c>
      <c r="AK199" s="36">
        <v>2</v>
      </c>
      <c r="AL199" s="51">
        <f t="shared" si="179"/>
        <v>0</v>
      </c>
      <c r="AM199" s="52">
        <v>200</v>
      </c>
      <c r="AN199" s="53">
        <f t="shared" si="180"/>
        <v>0</v>
      </c>
      <c r="AO199" s="52"/>
      <c r="AP199" s="55">
        <f t="shared" si="181"/>
        <v>0</v>
      </c>
    </row>
    <row r="200" spans="1:42" s="68" customFormat="1" ht="15" customHeight="1">
      <c r="A200" s="91">
        <f t="shared" si="174"/>
        <v>197</v>
      </c>
      <c r="B200" s="34" t="s">
        <v>446</v>
      </c>
      <c r="C200" s="187" t="s">
        <v>597</v>
      </c>
      <c r="D200" s="39" t="s">
        <v>598</v>
      </c>
      <c r="E200" s="68" t="s">
        <v>599</v>
      </c>
      <c r="F200" s="34" t="s">
        <v>12</v>
      </c>
      <c r="G200" s="37" t="s">
        <v>329</v>
      </c>
      <c r="H200" s="37">
        <v>29</v>
      </c>
      <c r="I200" s="34">
        <v>36250</v>
      </c>
      <c r="J200" s="34">
        <v>36323</v>
      </c>
      <c r="K200" s="34" t="s">
        <v>120</v>
      </c>
      <c r="L200" s="39">
        <v>45890</v>
      </c>
      <c r="M200" s="40" t="s">
        <v>121</v>
      </c>
      <c r="N200" s="39" t="s">
        <v>122</v>
      </c>
      <c r="O200" s="39">
        <v>45881</v>
      </c>
      <c r="P200" s="39">
        <v>45907</v>
      </c>
      <c r="Q200" s="39">
        <v>45892</v>
      </c>
      <c r="R200" s="39">
        <v>45988</v>
      </c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4" t="s">
        <v>403</v>
      </c>
      <c r="AE200" s="54">
        <f t="shared" si="175"/>
        <v>0</v>
      </c>
      <c r="AF200" s="36">
        <v>7</v>
      </c>
      <c r="AG200" s="51">
        <f t="shared" si="176"/>
        <v>0</v>
      </c>
      <c r="AH200" s="52">
        <v>200</v>
      </c>
      <c r="AI200" s="53">
        <f t="shared" si="177"/>
        <v>0</v>
      </c>
      <c r="AJ200" s="54">
        <f t="shared" si="178"/>
        <v>0</v>
      </c>
      <c r="AK200" s="36">
        <v>2</v>
      </c>
      <c r="AL200" s="51">
        <f t="shared" si="179"/>
        <v>0</v>
      </c>
      <c r="AM200" s="52">
        <v>200</v>
      </c>
      <c r="AN200" s="53">
        <f t="shared" si="180"/>
        <v>0</v>
      </c>
      <c r="AO200" s="52"/>
      <c r="AP200" s="55">
        <f t="shared" si="181"/>
        <v>0</v>
      </c>
    </row>
    <row r="201" spans="1:42" s="68" customFormat="1" ht="15" customHeight="1">
      <c r="A201" s="91">
        <f t="shared" si="174"/>
        <v>198</v>
      </c>
      <c r="B201" s="34" t="s">
        <v>446</v>
      </c>
      <c r="C201" s="92" t="s">
        <v>600</v>
      </c>
      <c r="D201" s="35" t="s">
        <v>601</v>
      </c>
      <c r="E201" s="34" t="s">
        <v>602</v>
      </c>
      <c r="F201" s="34" t="s">
        <v>12</v>
      </c>
      <c r="G201" s="37" t="s">
        <v>329</v>
      </c>
      <c r="H201" s="37">
        <v>29</v>
      </c>
      <c r="I201" s="34">
        <v>36250</v>
      </c>
      <c r="J201" s="34">
        <v>36323</v>
      </c>
      <c r="K201" s="34" t="s">
        <v>120</v>
      </c>
      <c r="L201" s="39">
        <v>45890</v>
      </c>
      <c r="M201" s="40" t="s">
        <v>121</v>
      </c>
      <c r="N201" s="39" t="s">
        <v>122</v>
      </c>
      <c r="O201" s="39">
        <v>45881</v>
      </c>
      <c r="P201" s="39">
        <v>45907</v>
      </c>
      <c r="Q201" s="39">
        <v>45892</v>
      </c>
      <c r="R201" s="39">
        <v>45988</v>
      </c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4" t="s">
        <v>403</v>
      </c>
      <c r="AE201" s="54">
        <f t="shared" si="175"/>
        <v>0</v>
      </c>
      <c r="AF201" s="36">
        <v>7</v>
      </c>
      <c r="AG201" s="51">
        <f t="shared" si="176"/>
        <v>0</v>
      </c>
      <c r="AH201" s="52">
        <v>200</v>
      </c>
      <c r="AI201" s="53">
        <f t="shared" si="177"/>
        <v>0</v>
      </c>
      <c r="AJ201" s="54">
        <f t="shared" si="178"/>
        <v>0</v>
      </c>
      <c r="AK201" s="36">
        <v>2</v>
      </c>
      <c r="AL201" s="51">
        <f t="shared" si="179"/>
        <v>0</v>
      </c>
      <c r="AM201" s="52">
        <v>200</v>
      </c>
      <c r="AN201" s="53">
        <f t="shared" si="180"/>
        <v>0</v>
      </c>
      <c r="AO201" s="52"/>
      <c r="AP201" s="55">
        <f t="shared" si="181"/>
        <v>0</v>
      </c>
    </row>
    <row r="202" spans="1:42" s="1" customFormat="1" ht="15" customHeight="1">
      <c r="A202" s="91">
        <f t="shared" si="174"/>
        <v>199</v>
      </c>
      <c r="B202" s="34" t="s">
        <v>446</v>
      </c>
      <c r="C202" s="35" t="s">
        <v>603</v>
      </c>
      <c r="D202" s="35" t="s">
        <v>604</v>
      </c>
      <c r="E202" s="34" t="s">
        <v>605</v>
      </c>
      <c r="F202" s="34" t="s">
        <v>12</v>
      </c>
      <c r="G202" s="37" t="s">
        <v>329</v>
      </c>
      <c r="H202" s="37">
        <v>28</v>
      </c>
      <c r="I202" s="34">
        <v>35000</v>
      </c>
      <c r="J202" s="34">
        <v>35070</v>
      </c>
      <c r="K202" s="34" t="s">
        <v>120</v>
      </c>
      <c r="L202" s="39">
        <v>45890</v>
      </c>
      <c r="M202" s="40" t="s">
        <v>121</v>
      </c>
      <c r="N202" s="39" t="s">
        <v>122</v>
      </c>
      <c r="O202" s="39">
        <v>45881</v>
      </c>
      <c r="P202" s="39">
        <v>45907</v>
      </c>
      <c r="Q202" s="39">
        <v>45892</v>
      </c>
      <c r="R202" s="39">
        <v>45990</v>
      </c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4" t="s">
        <v>403</v>
      </c>
      <c r="AE202" s="54">
        <f t="shared" si="175"/>
        <v>0</v>
      </c>
      <c r="AF202" s="36">
        <v>7</v>
      </c>
      <c r="AG202" s="51">
        <f t="shared" si="176"/>
        <v>0</v>
      </c>
      <c r="AH202" s="52">
        <v>200</v>
      </c>
      <c r="AI202" s="53">
        <f t="shared" si="177"/>
        <v>0</v>
      </c>
      <c r="AJ202" s="54">
        <f t="shared" si="178"/>
        <v>0</v>
      </c>
      <c r="AK202" s="36">
        <v>2</v>
      </c>
      <c r="AL202" s="51">
        <f t="shared" si="179"/>
        <v>0</v>
      </c>
      <c r="AM202" s="52">
        <v>200</v>
      </c>
      <c r="AN202" s="53">
        <f t="shared" si="180"/>
        <v>0</v>
      </c>
      <c r="AO202" s="52"/>
      <c r="AP202" s="55">
        <f t="shared" si="181"/>
        <v>0</v>
      </c>
    </row>
    <row r="203" spans="1:42" s="1" customFormat="1" ht="15" customHeight="1">
      <c r="A203" s="91">
        <f t="shared" si="174"/>
        <v>200</v>
      </c>
      <c r="B203" s="34" t="s">
        <v>446</v>
      </c>
      <c r="C203" s="35" t="s">
        <v>606</v>
      </c>
      <c r="D203" s="35" t="s">
        <v>607</v>
      </c>
      <c r="E203" s="34" t="s">
        <v>608</v>
      </c>
      <c r="F203" s="34" t="s">
        <v>12</v>
      </c>
      <c r="G203" s="37" t="s">
        <v>329</v>
      </c>
      <c r="H203" s="37">
        <v>28</v>
      </c>
      <c r="I203" s="34">
        <v>35000</v>
      </c>
      <c r="J203" s="34">
        <v>35070</v>
      </c>
      <c r="K203" s="34" t="s">
        <v>120</v>
      </c>
      <c r="L203" s="39">
        <v>45890</v>
      </c>
      <c r="M203" s="40" t="s">
        <v>121</v>
      </c>
      <c r="N203" s="39" t="s">
        <v>122</v>
      </c>
      <c r="O203" s="39">
        <v>45881</v>
      </c>
      <c r="P203" s="39">
        <v>45907</v>
      </c>
      <c r="Q203" s="39">
        <v>45892</v>
      </c>
      <c r="R203" s="39">
        <v>45990</v>
      </c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4" t="s">
        <v>403</v>
      </c>
      <c r="AE203" s="54">
        <f t="shared" si="175"/>
        <v>0</v>
      </c>
      <c r="AF203" s="36">
        <v>7</v>
      </c>
      <c r="AG203" s="51">
        <f t="shared" si="176"/>
        <v>0</v>
      </c>
      <c r="AH203" s="52">
        <v>200</v>
      </c>
      <c r="AI203" s="53">
        <f t="shared" si="177"/>
        <v>0</v>
      </c>
      <c r="AJ203" s="54">
        <f t="shared" si="178"/>
        <v>0</v>
      </c>
      <c r="AK203" s="36">
        <v>2</v>
      </c>
      <c r="AL203" s="51">
        <f t="shared" si="179"/>
        <v>0</v>
      </c>
      <c r="AM203" s="52">
        <v>200</v>
      </c>
      <c r="AN203" s="53">
        <f t="shared" si="180"/>
        <v>0</v>
      </c>
      <c r="AO203" s="52"/>
      <c r="AP203" s="55">
        <f t="shared" si="181"/>
        <v>0</v>
      </c>
    </row>
    <row r="204" spans="1:42" s="1" customFormat="1" ht="15" customHeight="1">
      <c r="A204" s="91">
        <f t="shared" si="174"/>
        <v>201</v>
      </c>
      <c r="B204" s="34" t="s">
        <v>446</v>
      </c>
      <c r="C204" s="35" t="s">
        <v>609</v>
      </c>
      <c r="D204" s="35" t="s">
        <v>610</v>
      </c>
      <c r="E204" s="34" t="s">
        <v>611</v>
      </c>
      <c r="F204" s="34" t="s">
        <v>12</v>
      </c>
      <c r="G204" s="37" t="s">
        <v>329</v>
      </c>
      <c r="H204" s="37">
        <v>28</v>
      </c>
      <c r="I204" s="34">
        <v>35000</v>
      </c>
      <c r="J204" s="34">
        <v>35070</v>
      </c>
      <c r="K204" s="34" t="s">
        <v>120</v>
      </c>
      <c r="L204" s="39">
        <v>45890</v>
      </c>
      <c r="M204" s="40" t="s">
        <v>121</v>
      </c>
      <c r="N204" s="39" t="s">
        <v>122</v>
      </c>
      <c r="O204" s="39">
        <v>45881</v>
      </c>
      <c r="P204" s="39">
        <v>45907</v>
      </c>
      <c r="Q204" s="39">
        <v>45892</v>
      </c>
      <c r="R204" s="39">
        <v>45990</v>
      </c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4" t="s">
        <v>403</v>
      </c>
      <c r="AE204" s="54">
        <f t="shared" si="175"/>
        <v>0</v>
      </c>
      <c r="AF204" s="36">
        <v>7</v>
      </c>
      <c r="AG204" s="51">
        <f t="shared" si="176"/>
        <v>0</v>
      </c>
      <c r="AH204" s="52">
        <v>200</v>
      </c>
      <c r="AI204" s="53">
        <f t="shared" si="177"/>
        <v>0</v>
      </c>
      <c r="AJ204" s="54">
        <f t="shared" si="178"/>
        <v>0</v>
      </c>
      <c r="AK204" s="36">
        <v>2</v>
      </c>
      <c r="AL204" s="51">
        <f t="shared" si="179"/>
        <v>0</v>
      </c>
      <c r="AM204" s="52">
        <v>200</v>
      </c>
      <c r="AN204" s="53">
        <f t="shared" si="180"/>
        <v>0</v>
      </c>
      <c r="AO204" s="52"/>
      <c r="AP204" s="55">
        <f t="shared" si="181"/>
        <v>0</v>
      </c>
    </row>
    <row r="205" spans="1:42" s="1" customFormat="1" ht="15" customHeight="1">
      <c r="A205" s="91">
        <f t="shared" si="174"/>
        <v>202</v>
      </c>
      <c r="B205" s="34" t="s">
        <v>446</v>
      </c>
      <c r="C205" s="64" t="s">
        <v>612</v>
      </c>
      <c r="D205" s="35" t="s">
        <v>613</v>
      </c>
      <c r="E205" s="33" t="s">
        <v>614</v>
      </c>
      <c r="F205" s="34" t="s">
        <v>12</v>
      </c>
      <c r="G205" s="37" t="s">
        <v>329</v>
      </c>
      <c r="H205" s="37">
        <v>28</v>
      </c>
      <c r="I205" s="34">
        <v>35000</v>
      </c>
      <c r="J205" s="34">
        <v>35070</v>
      </c>
      <c r="K205" s="34" t="s">
        <v>120</v>
      </c>
      <c r="L205" s="39">
        <v>45890</v>
      </c>
      <c r="M205" s="40" t="s">
        <v>121</v>
      </c>
      <c r="N205" s="39" t="s">
        <v>122</v>
      </c>
      <c r="O205" s="39">
        <v>45881</v>
      </c>
      <c r="P205" s="39">
        <v>45907</v>
      </c>
      <c r="Q205" s="39">
        <v>45892</v>
      </c>
      <c r="R205" s="39">
        <v>45990</v>
      </c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4" t="s">
        <v>403</v>
      </c>
      <c r="AE205" s="54">
        <f t="shared" si="175"/>
        <v>0</v>
      </c>
      <c r="AF205" s="36">
        <v>7</v>
      </c>
      <c r="AG205" s="51">
        <f t="shared" si="176"/>
        <v>0</v>
      </c>
      <c r="AH205" s="52">
        <v>200</v>
      </c>
      <c r="AI205" s="53">
        <f t="shared" si="177"/>
        <v>0</v>
      </c>
      <c r="AJ205" s="54">
        <f t="shared" si="178"/>
        <v>0</v>
      </c>
      <c r="AK205" s="36">
        <v>2</v>
      </c>
      <c r="AL205" s="51">
        <f t="shared" si="179"/>
        <v>0</v>
      </c>
      <c r="AM205" s="52">
        <v>200</v>
      </c>
      <c r="AN205" s="53">
        <f t="shared" si="180"/>
        <v>0</v>
      </c>
      <c r="AO205" s="52"/>
      <c r="AP205" s="55">
        <f t="shared" si="181"/>
        <v>0</v>
      </c>
    </row>
    <row r="206" spans="1:42" s="1" customFormat="1" ht="15" customHeight="1">
      <c r="A206" s="91">
        <f t="shared" si="174"/>
        <v>203</v>
      </c>
      <c r="B206" s="34" t="s">
        <v>446</v>
      </c>
      <c r="C206" s="35" t="s">
        <v>615</v>
      </c>
      <c r="D206" s="35" t="s">
        <v>616</v>
      </c>
      <c r="E206" s="35" t="s">
        <v>617</v>
      </c>
      <c r="F206" s="34" t="s">
        <v>12</v>
      </c>
      <c r="G206" s="37" t="s">
        <v>329</v>
      </c>
      <c r="H206" s="37">
        <v>28</v>
      </c>
      <c r="I206" s="34">
        <v>35000</v>
      </c>
      <c r="J206" s="34">
        <v>35070</v>
      </c>
      <c r="K206" s="34" t="s">
        <v>120</v>
      </c>
      <c r="L206" s="39">
        <v>45890</v>
      </c>
      <c r="M206" s="40" t="s">
        <v>121</v>
      </c>
      <c r="N206" s="39" t="s">
        <v>122</v>
      </c>
      <c r="O206" s="39">
        <v>45881</v>
      </c>
      <c r="P206" s="39">
        <v>45907</v>
      </c>
      <c r="Q206" s="39">
        <v>45892</v>
      </c>
      <c r="R206" s="39">
        <v>45990</v>
      </c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4" t="s">
        <v>403</v>
      </c>
      <c r="AE206" s="54">
        <f t="shared" si="175"/>
        <v>0</v>
      </c>
      <c r="AF206" s="36">
        <v>7</v>
      </c>
      <c r="AG206" s="51">
        <f t="shared" si="176"/>
        <v>0</v>
      </c>
      <c r="AH206" s="52">
        <v>200</v>
      </c>
      <c r="AI206" s="53">
        <f t="shared" si="177"/>
        <v>0</v>
      </c>
      <c r="AJ206" s="54">
        <f t="shared" si="178"/>
        <v>0</v>
      </c>
      <c r="AK206" s="36">
        <v>2</v>
      </c>
      <c r="AL206" s="51">
        <f t="shared" si="179"/>
        <v>0</v>
      </c>
      <c r="AM206" s="52">
        <v>200</v>
      </c>
      <c r="AN206" s="53">
        <f t="shared" si="180"/>
        <v>0</v>
      </c>
      <c r="AO206" s="52"/>
      <c r="AP206" s="55">
        <f t="shared" si="181"/>
        <v>0</v>
      </c>
    </row>
    <row r="207" spans="1:42" s="1" customFormat="1" ht="15" customHeight="1">
      <c r="A207" s="91">
        <f t="shared" si="174"/>
        <v>204</v>
      </c>
      <c r="B207" s="34" t="s">
        <v>446</v>
      </c>
      <c r="C207" s="35" t="s">
        <v>618</v>
      </c>
      <c r="D207" s="35" t="s">
        <v>619</v>
      </c>
      <c r="E207" s="34" t="s">
        <v>620</v>
      </c>
      <c r="F207" s="34" t="s">
        <v>12</v>
      </c>
      <c r="G207" s="37" t="s">
        <v>329</v>
      </c>
      <c r="H207" s="37">
        <v>27</v>
      </c>
      <c r="I207" s="34">
        <v>33750</v>
      </c>
      <c r="J207" s="34">
        <v>33845</v>
      </c>
      <c r="K207" s="34" t="s">
        <v>120</v>
      </c>
      <c r="L207" s="39">
        <v>45890</v>
      </c>
      <c r="M207" s="40" t="s">
        <v>121</v>
      </c>
      <c r="N207" s="39" t="s">
        <v>122</v>
      </c>
      <c r="O207" s="39">
        <v>45881</v>
      </c>
      <c r="P207" s="39">
        <v>45907</v>
      </c>
      <c r="Q207" s="39">
        <v>45892</v>
      </c>
      <c r="R207" s="39">
        <v>45990</v>
      </c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4" t="s">
        <v>403</v>
      </c>
      <c r="AE207" s="54">
        <f t="shared" si="175"/>
        <v>0</v>
      </c>
      <c r="AF207" s="36">
        <v>7</v>
      </c>
      <c r="AG207" s="51">
        <f t="shared" si="176"/>
        <v>0</v>
      </c>
      <c r="AH207" s="52">
        <v>200</v>
      </c>
      <c r="AI207" s="53">
        <f t="shared" si="177"/>
        <v>0</v>
      </c>
      <c r="AJ207" s="54">
        <f t="shared" si="178"/>
        <v>0</v>
      </c>
      <c r="AK207" s="36">
        <v>2</v>
      </c>
      <c r="AL207" s="51">
        <f t="shared" si="179"/>
        <v>0</v>
      </c>
      <c r="AM207" s="52">
        <v>200</v>
      </c>
      <c r="AN207" s="53">
        <f t="shared" si="180"/>
        <v>0</v>
      </c>
      <c r="AO207" s="52"/>
      <c r="AP207" s="55">
        <f t="shared" si="181"/>
        <v>0</v>
      </c>
    </row>
    <row r="208" spans="1:42" s="1" customFormat="1" ht="15" customHeight="1">
      <c r="A208" s="91">
        <f t="shared" si="174"/>
        <v>205</v>
      </c>
      <c r="B208" s="34" t="s">
        <v>446</v>
      </c>
      <c r="C208" s="35" t="s">
        <v>621</v>
      </c>
      <c r="D208" s="35" t="s">
        <v>622</v>
      </c>
      <c r="E208" s="34" t="s">
        <v>623</v>
      </c>
      <c r="F208" s="34" t="s">
        <v>12</v>
      </c>
      <c r="G208" s="37" t="s">
        <v>329</v>
      </c>
      <c r="H208" s="37">
        <v>28</v>
      </c>
      <c r="I208" s="34">
        <v>35000</v>
      </c>
      <c r="J208" s="34">
        <v>35070</v>
      </c>
      <c r="K208" s="34" t="s">
        <v>120</v>
      </c>
      <c r="L208" s="39">
        <v>45890</v>
      </c>
      <c r="M208" s="40" t="s">
        <v>121</v>
      </c>
      <c r="N208" s="39" t="s">
        <v>122</v>
      </c>
      <c r="O208" s="39">
        <v>45881</v>
      </c>
      <c r="P208" s="39">
        <v>45907</v>
      </c>
      <c r="Q208" s="39">
        <v>45892</v>
      </c>
      <c r="R208" s="39">
        <v>45990</v>
      </c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4" t="s">
        <v>403</v>
      </c>
      <c r="AE208" s="54">
        <f t="shared" si="175"/>
        <v>0</v>
      </c>
      <c r="AF208" s="36">
        <v>7</v>
      </c>
      <c r="AG208" s="51">
        <f t="shared" si="176"/>
        <v>0</v>
      </c>
      <c r="AH208" s="52">
        <v>200</v>
      </c>
      <c r="AI208" s="53">
        <f t="shared" si="177"/>
        <v>0</v>
      </c>
      <c r="AJ208" s="54">
        <f t="shared" si="178"/>
        <v>0</v>
      </c>
      <c r="AK208" s="36">
        <v>2</v>
      </c>
      <c r="AL208" s="51">
        <f t="shared" si="179"/>
        <v>0</v>
      </c>
      <c r="AM208" s="52">
        <v>200</v>
      </c>
      <c r="AN208" s="53">
        <f t="shared" si="180"/>
        <v>0</v>
      </c>
      <c r="AO208" s="52"/>
      <c r="AP208" s="55">
        <f t="shared" si="181"/>
        <v>0</v>
      </c>
    </row>
    <row r="209" spans="1:42" s="1" customFormat="1" ht="15" customHeight="1">
      <c r="A209" s="91">
        <f t="shared" si="174"/>
        <v>206</v>
      </c>
      <c r="B209" s="34" t="s">
        <v>446</v>
      </c>
      <c r="C209" s="35" t="s">
        <v>624</v>
      </c>
      <c r="D209" s="35" t="s">
        <v>625</v>
      </c>
      <c r="E209" s="39" t="s">
        <v>626</v>
      </c>
      <c r="F209" s="34" t="s">
        <v>12</v>
      </c>
      <c r="G209" s="37" t="s">
        <v>329</v>
      </c>
      <c r="H209" s="37">
        <v>28</v>
      </c>
      <c r="I209" s="34">
        <v>35000</v>
      </c>
      <c r="J209" s="34">
        <v>35070</v>
      </c>
      <c r="K209" s="34" t="s">
        <v>120</v>
      </c>
      <c r="L209" s="39">
        <v>45890</v>
      </c>
      <c r="M209" s="40" t="s">
        <v>121</v>
      </c>
      <c r="N209" s="39" t="s">
        <v>122</v>
      </c>
      <c r="O209" s="39">
        <v>45881</v>
      </c>
      <c r="P209" s="39">
        <v>45907</v>
      </c>
      <c r="Q209" s="39">
        <v>45892</v>
      </c>
      <c r="R209" s="39">
        <v>45990</v>
      </c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4" t="s">
        <v>403</v>
      </c>
      <c r="AE209" s="54">
        <f t="shared" si="175"/>
        <v>0</v>
      </c>
      <c r="AF209" s="36">
        <v>7</v>
      </c>
      <c r="AG209" s="51">
        <f t="shared" si="176"/>
        <v>0</v>
      </c>
      <c r="AH209" s="52">
        <v>200</v>
      </c>
      <c r="AI209" s="53">
        <f t="shared" si="177"/>
        <v>0</v>
      </c>
      <c r="AJ209" s="54">
        <f t="shared" si="178"/>
        <v>0</v>
      </c>
      <c r="AK209" s="36">
        <v>2</v>
      </c>
      <c r="AL209" s="51">
        <f t="shared" si="179"/>
        <v>0</v>
      </c>
      <c r="AM209" s="52">
        <v>200</v>
      </c>
      <c r="AN209" s="53">
        <f t="shared" si="180"/>
        <v>0</v>
      </c>
      <c r="AO209" s="52"/>
      <c r="AP209" s="55">
        <f t="shared" si="181"/>
        <v>0</v>
      </c>
    </row>
    <row r="210" spans="1:42" s="1" customFormat="1" ht="15" customHeight="1">
      <c r="A210" s="91">
        <f t="shared" si="174"/>
        <v>207</v>
      </c>
      <c r="B210" s="34" t="s">
        <v>446</v>
      </c>
      <c r="C210" s="35" t="s">
        <v>627</v>
      </c>
      <c r="D210" s="35" t="s">
        <v>628</v>
      </c>
      <c r="E210" s="34" t="s">
        <v>629</v>
      </c>
      <c r="F210" s="34" t="s">
        <v>12</v>
      </c>
      <c r="G210" s="37" t="s">
        <v>329</v>
      </c>
      <c r="H210" s="37">
        <v>29</v>
      </c>
      <c r="I210" s="34">
        <v>36250</v>
      </c>
      <c r="J210" s="34">
        <v>36323</v>
      </c>
      <c r="K210" s="34" t="s">
        <v>120</v>
      </c>
      <c r="L210" s="39">
        <v>45890</v>
      </c>
      <c r="M210" s="40" t="s">
        <v>121</v>
      </c>
      <c r="N210" s="39" t="s">
        <v>122</v>
      </c>
      <c r="O210" s="39">
        <v>45881</v>
      </c>
      <c r="P210" s="39">
        <v>45907</v>
      </c>
      <c r="Q210" s="39">
        <v>45892</v>
      </c>
      <c r="R210" s="39">
        <v>45990</v>
      </c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4" t="s">
        <v>403</v>
      </c>
      <c r="AE210" s="54">
        <f t="shared" si="175"/>
        <v>0</v>
      </c>
      <c r="AF210" s="36">
        <v>7</v>
      </c>
      <c r="AG210" s="51">
        <f t="shared" si="176"/>
        <v>0</v>
      </c>
      <c r="AH210" s="52">
        <v>200</v>
      </c>
      <c r="AI210" s="53">
        <f t="shared" si="177"/>
        <v>0</v>
      </c>
      <c r="AJ210" s="54">
        <f t="shared" si="178"/>
        <v>0</v>
      </c>
      <c r="AK210" s="36">
        <v>2</v>
      </c>
      <c r="AL210" s="51">
        <f t="shared" si="179"/>
        <v>0</v>
      </c>
      <c r="AM210" s="52">
        <v>200</v>
      </c>
      <c r="AN210" s="53">
        <f t="shared" si="180"/>
        <v>0</v>
      </c>
      <c r="AO210" s="52"/>
      <c r="AP210" s="55">
        <f t="shared" si="181"/>
        <v>0</v>
      </c>
    </row>
    <row r="211" spans="1:42" s="1" customFormat="1" ht="15" customHeight="1">
      <c r="A211" s="91">
        <f t="shared" si="174"/>
        <v>208</v>
      </c>
      <c r="B211" s="34" t="s">
        <v>446</v>
      </c>
      <c r="C211" s="35" t="s">
        <v>630</v>
      </c>
      <c r="D211" s="35" t="s">
        <v>631</v>
      </c>
      <c r="E211" s="34" t="s">
        <v>632</v>
      </c>
      <c r="F211" s="34" t="s">
        <v>12</v>
      </c>
      <c r="G211" s="37" t="s">
        <v>329</v>
      </c>
      <c r="H211" s="37">
        <v>28</v>
      </c>
      <c r="I211" s="34">
        <v>35000</v>
      </c>
      <c r="J211" s="34">
        <v>35070</v>
      </c>
      <c r="K211" s="34" t="s">
        <v>120</v>
      </c>
      <c r="L211" s="39">
        <v>45890</v>
      </c>
      <c r="M211" s="40" t="s">
        <v>121</v>
      </c>
      <c r="N211" s="39" t="s">
        <v>122</v>
      </c>
      <c r="O211" s="39">
        <v>45881</v>
      </c>
      <c r="P211" s="39">
        <v>45907</v>
      </c>
      <c r="Q211" s="39">
        <v>45892</v>
      </c>
      <c r="R211" s="39">
        <v>45990</v>
      </c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4" t="s">
        <v>403</v>
      </c>
      <c r="AE211" s="54">
        <f t="shared" si="175"/>
        <v>0</v>
      </c>
      <c r="AF211" s="36">
        <v>7</v>
      </c>
      <c r="AG211" s="51">
        <f t="shared" si="176"/>
        <v>0</v>
      </c>
      <c r="AH211" s="52">
        <v>200</v>
      </c>
      <c r="AI211" s="53">
        <f t="shared" si="177"/>
        <v>0</v>
      </c>
      <c r="AJ211" s="54">
        <f t="shared" si="178"/>
        <v>0</v>
      </c>
      <c r="AK211" s="36">
        <v>2</v>
      </c>
      <c r="AL211" s="51">
        <f t="shared" si="179"/>
        <v>0</v>
      </c>
      <c r="AM211" s="52">
        <v>200</v>
      </c>
      <c r="AN211" s="53">
        <f t="shared" si="180"/>
        <v>0</v>
      </c>
      <c r="AO211" s="52"/>
      <c r="AP211" s="55">
        <f t="shared" si="181"/>
        <v>0</v>
      </c>
    </row>
    <row r="212" spans="1:42" s="1" customFormat="1" ht="15" customHeight="1">
      <c r="A212" s="91">
        <f t="shared" si="174"/>
        <v>209</v>
      </c>
      <c r="B212" s="34" t="s">
        <v>446</v>
      </c>
      <c r="C212" s="35" t="s">
        <v>633</v>
      </c>
      <c r="D212" s="35" t="s">
        <v>634</v>
      </c>
      <c r="E212" s="34" t="s">
        <v>635</v>
      </c>
      <c r="F212" s="34" t="s">
        <v>12</v>
      </c>
      <c r="G212" s="37" t="s">
        <v>329</v>
      </c>
      <c r="H212" s="37">
        <v>28</v>
      </c>
      <c r="I212" s="34">
        <v>35000</v>
      </c>
      <c r="J212" s="34">
        <v>35070</v>
      </c>
      <c r="K212" s="34" t="s">
        <v>120</v>
      </c>
      <c r="L212" s="39">
        <v>45890</v>
      </c>
      <c r="M212" s="40" t="s">
        <v>121</v>
      </c>
      <c r="N212" s="39" t="s">
        <v>122</v>
      </c>
      <c r="O212" s="39">
        <v>45881</v>
      </c>
      <c r="P212" s="39">
        <v>45907</v>
      </c>
      <c r="Q212" s="39">
        <v>45892</v>
      </c>
      <c r="R212" s="39">
        <v>45990</v>
      </c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4" t="s">
        <v>403</v>
      </c>
      <c r="AE212" s="54">
        <f t="shared" si="175"/>
        <v>0</v>
      </c>
      <c r="AF212" s="36">
        <v>7</v>
      </c>
      <c r="AG212" s="51">
        <f t="shared" si="176"/>
        <v>0</v>
      </c>
      <c r="AH212" s="52">
        <v>200</v>
      </c>
      <c r="AI212" s="53">
        <f t="shared" si="177"/>
        <v>0</v>
      </c>
      <c r="AJ212" s="54">
        <f t="shared" si="178"/>
        <v>0</v>
      </c>
      <c r="AK212" s="36">
        <v>2</v>
      </c>
      <c r="AL212" s="51">
        <f t="shared" si="179"/>
        <v>0</v>
      </c>
      <c r="AM212" s="52">
        <v>200</v>
      </c>
      <c r="AN212" s="53">
        <f t="shared" si="180"/>
        <v>0</v>
      </c>
      <c r="AO212" s="52"/>
      <c r="AP212" s="55">
        <f t="shared" si="181"/>
        <v>0</v>
      </c>
    </row>
    <row r="213" spans="1:42" s="134" customFormat="1" ht="13.5" customHeight="1">
      <c r="A213" s="91">
        <f t="shared" ref="A213:A233" si="182">ROW()-3</f>
        <v>210</v>
      </c>
      <c r="B213" s="34" t="s">
        <v>446</v>
      </c>
      <c r="C213" s="35" t="s">
        <v>228</v>
      </c>
      <c r="D213" s="92" t="s">
        <v>229</v>
      </c>
      <c r="E213" s="93" t="s">
        <v>230</v>
      </c>
      <c r="F213" s="34" t="s">
        <v>12</v>
      </c>
      <c r="G213" s="33" t="s">
        <v>636</v>
      </c>
      <c r="H213" s="36">
        <v>29</v>
      </c>
      <c r="I213" s="34">
        <v>36250</v>
      </c>
      <c r="J213" s="34">
        <v>36323</v>
      </c>
      <c r="K213" s="34" t="s">
        <v>85</v>
      </c>
      <c r="L213" s="39">
        <v>45890</v>
      </c>
      <c r="M213" s="40" t="s">
        <v>121</v>
      </c>
      <c r="N213" s="39" t="s">
        <v>122</v>
      </c>
      <c r="O213" s="39">
        <v>45881</v>
      </c>
      <c r="P213" s="39">
        <v>45907</v>
      </c>
      <c r="Q213" s="39">
        <v>45892</v>
      </c>
      <c r="R213" s="39">
        <v>45957</v>
      </c>
      <c r="S213" s="39">
        <v>45966</v>
      </c>
      <c r="T213" s="39">
        <v>45985</v>
      </c>
      <c r="U213" s="39">
        <v>45987</v>
      </c>
      <c r="V213" s="39">
        <v>45987</v>
      </c>
      <c r="W213" s="39">
        <v>45987</v>
      </c>
      <c r="X213" s="39">
        <v>45987</v>
      </c>
      <c r="Y213" s="39">
        <v>45990</v>
      </c>
      <c r="Z213" s="39">
        <v>45990</v>
      </c>
      <c r="AA213" s="39">
        <v>45992</v>
      </c>
      <c r="AB213" s="39">
        <v>45992</v>
      </c>
      <c r="AD213" s="36" t="s">
        <v>637</v>
      </c>
      <c r="AE213" s="54">
        <f>MAX(0,X213-U213)</f>
        <v>0</v>
      </c>
      <c r="AF213" s="36">
        <v>7</v>
      </c>
      <c r="AG213" s="51">
        <f t="shared" ref="AG213:AG224" si="183">MAX(0,AE213-AF213)</f>
        <v>0</v>
      </c>
      <c r="AH213" s="52">
        <v>200</v>
      </c>
      <c r="AI213" s="53">
        <f t="shared" ref="AI213:AI224" si="184">MAX(0,AG213*AH213)</f>
        <v>0</v>
      </c>
      <c r="AJ213" s="54">
        <f>MAX(0,AB213-AA213)</f>
        <v>0</v>
      </c>
      <c r="AK213" s="36">
        <v>2</v>
      </c>
      <c r="AL213" s="51">
        <f t="shared" ref="AL213:AL224" si="185">MAX(0,AJ213-AK213)</f>
        <v>0</v>
      </c>
      <c r="AM213" s="52">
        <v>200</v>
      </c>
      <c r="AN213" s="53">
        <f t="shared" ref="AN213:AN224" si="186">MAX(0,AL213*AM213)</f>
        <v>0</v>
      </c>
      <c r="AO213" s="52"/>
      <c r="AP213" s="110">
        <f t="shared" si="181"/>
        <v>0</v>
      </c>
    </row>
    <row r="214" spans="1:42" s="134" customFormat="1" ht="12.75">
      <c r="A214" s="91">
        <f t="shared" si="182"/>
        <v>211</v>
      </c>
      <c r="B214" s="34" t="s">
        <v>446</v>
      </c>
      <c r="C214" s="35" t="s">
        <v>638</v>
      </c>
      <c r="D214" s="35" t="s">
        <v>639</v>
      </c>
      <c r="E214" s="34" t="s">
        <v>640</v>
      </c>
      <c r="F214" s="34" t="s">
        <v>12</v>
      </c>
      <c r="G214" s="33" t="s">
        <v>103</v>
      </c>
      <c r="H214" s="34">
        <v>29</v>
      </c>
      <c r="I214" s="34">
        <v>36323</v>
      </c>
      <c r="J214" s="35">
        <v>56000</v>
      </c>
      <c r="K214" s="34" t="s">
        <v>85</v>
      </c>
      <c r="L214" s="39">
        <v>45890</v>
      </c>
      <c r="M214" s="40" t="s">
        <v>121</v>
      </c>
      <c r="N214" s="39" t="s">
        <v>122</v>
      </c>
      <c r="O214" s="39">
        <v>45881</v>
      </c>
      <c r="P214" s="39">
        <v>45907</v>
      </c>
      <c r="Q214" s="39">
        <v>45892</v>
      </c>
      <c r="R214" s="39">
        <v>45971</v>
      </c>
      <c r="S214" s="39">
        <v>45972</v>
      </c>
      <c r="T214" s="39">
        <v>45974</v>
      </c>
      <c r="U214" s="39">
        <v>45978</v>
      </c>
      <c r="V214" s="39">
        <v>45981</v>
      </c>
      <c r="W214" s="39">
        <v>45981</v>
      </c>
      <c r="X214" s="39">
        <v>45981</v>
      </c>
      <c r="Y214" s="39">
        <v>45985</v>
      </c>
      <c r="Z214" s="39">
        <v>45986</v>
      </c>
      <c r="AA214" s="39">
        <v>45986</v>
      </c>
      <c r="AB214" s="39">
        <v>45986</v>
      </c>
      <c r="AC214" s="39">
        <v>45987</v>
      </c>
      <c r="AD214" s="36" t="s">
        <v>641</v>
      </c>
      <c r="AE214" s="54">
        <f t="shared" ref="AE214:AE233" si="187">MAX(0,Y214-X214)</f>
        <v>4</v>
      </c>
      <c r="AF214" s="36">
        <v>7</v>
      </c>
      <c r="AG214" s="51">
        <f t="shared" si="183"/>
        <v>0</v>
      </c>
      <c r="AH214" s="52">
        <v>200</v>
      </c>
      <c r="AI214" s="53">
        <f t="shared" si="184"/>
        <v>0</v>
      </c>
      <c r="AJ214" s="54">
        <f t="shared" ref="AJ214:AJ233" si="188">MAX(0,AC214-AB214)</f>
        <v>1</v>
      </c>
      <c r="AK214" s="36">
        <v>2</v>
      </c>
      <c r="AL214" s="51">
        <f t="shared" si="185"/>
        <v>0</v>
      </c>
      <c r="AM214" s="52">
        <v>200</v>
      </c>
      <c r="AN214" s="53">
        <f t="shared" si="186"/>
        <v>0</v>
      </c>
      <c r="AO214" s="52"/>
      <c r="AP214" s="110">
        <f t="shared" si="181"/>
        <v>0</v>
      </c>
    </row>
    <row r="215" spans="1:42" s="134" customFormat="1" ht="12.75">
      <c r="A215" s="91">
        <f t="shared" si="182"/>
        <v>212</v>
      </c>
      <c r="B215" s="34" t="s">
        <v>446</v>
      </c>
      <c r="C215" s="35" t="s">
        <v>185</v>
      </c>
      <c r="D215" s="35" t="s">
        <v>186</v>
      </c>
      <c r="E215" s="35" t="s">
        <v>187</v>
      </c>
      <c r="F215" s="34" t="s">
        <v>12</v>
      </c>
      <c r="G215" s="33" t="s">
        <v>103</v>
      </c>
      <c r="H215" s="34">
        <v>28</v>
      </c>
      <c r="I215" s="34">
        <v>35070</v>
      </c>
      <c r="J215" s="34">
        <v>56000</v>
      </c>
      <c r="K215" s="34" t="s">
        <v>85</v>
      </c>
      <c r="L215" s="39">
        <v>45890</v>
      </c>
      <c r="M215" s="40" t="s">
        <v>121</v>
      </c>
      <c r="N215" s="39" t="s">
        <v>122</v>
      </c>
      <c r="O215" s="39">
        <v>45881</v>
      </c>
      <c r="P215" s="39">
        <v>45907</v>
      </c>
      <c r="Q215" s="39">
        <v>45892</v>
      </c>
      <c r="R215" s="39">
        <v>45971</v>
      </c>
      <c r="S215" s="39">
        <v>45972</v>
      </c>
      <c r="T215" s="39">
        <v>45974</v>
      </c>
      <c r="U215" s="39">
        <v>45979</v>
      </c>
      <c r="V215" s="39">
        <v>45981</v>
      </c>
      <c r="W215" s="39">
        <v>45981</v>
      </c>
      <c r="X215" s="39">
        <v>45981</v>
      </c>
      <c r="Y215" s="39">
        <v>45984</v>
      </c>
      <c r="Z215" s="39">
        <v>45984</v>
      </c>
      <c r="AA215" s="39">
        <v>45985</v>
      </c>
      <c r="AB215" s="39">
        <v>45985</v>
      </c>
      <c r="AC215" s="39">
        <v>45986</v>
      </c>
      <c r="AD215" s="36" t="s">
        <v>641</v>
      </c>
      <c r="AE215" s="54">
        <f t="shared" si="187"/>
        <v>3</v>
      </c>
      <c r="AF215" s="36">
        <v>7</v>
      </c>
      <c r="AG215" s="51">
        <f t="shared" si="183"/>
        <v>0</v>
      </c>
      <c r="AH215" s="52">
        <v>200</v>
      </c>
      <c r="AI215" s="53">
        <f t="shared" si="184"/>
        <v>0</v>
      </c>
      <c r="AJ215" s="54">
        <f t="shared" si="188"/>
        <v>1</v>
      </c>
      <c r="AK215" s="36">
        <v>2</v>
      </c>
      <c r="AL215" s="51">
        <f t="shared" si="185"/>
        <v>0</v>
      </c>
      <c r="AM215" s="52">
        <v>200</v>
      </c>
      <c r="AN215" s="53">
        <f t="shared" si="186"/>
        <v>0</v>
      </c>
      <c r="AO215" s="52"/>
      <c r="AP215" s="110">
        <f t="shared" ref="AP215:AP236" si="189">AO215+AN215+AI215</f>
        <v>0</v>
      </c>
    </row>
    <row r="216" spans="1:42" s="1" customFormat="1" ht="12.75">
      <c r="A216" s="91">
        <f t="shared" si="182"/>
        <v>213</v>
      </c>
      <c r="B216" s="34" t="s">
        <v>446</v>
      </c>
      <c r="C216" s="64" t="s">
        <v>219</v>
      </c>
      <c r="D216" s="34" t="s">
        <v>220</v>
      </c>
      <c r="E216" s="34" t="s">
        <v>221</v>
      </c>
      <c r="F216" s="34" t="s">
        <v>12</v>
      </c>
      <c r="G216" s="33" t="s">
        <v>103</v>
      </c>
      <c r="H216" s="36">
        <v>29</v>
      </c>
      <c r="I216" s="34">
        <v>36250</v>
      </c>
      <c r="J216" s="34">
        <v>36323</v>
      </c>
      <c r="K216" s="34" t="s">
        <v>85</v>
      </c>
      <c r="L216" s="39">
        <v>45890</v>
      </c>
      <c r="M216" s="40" t="s">
        <v>121</v>
      </c>
      <c r="N216" s="39" t="s">
        <v>122</v>
      </c>
      <c r="O216" s="39">
        <v>45881</v>
      </c>
      <c r="P216" s="39">
        <v>45907</v>
      </c>
      <c r="Q216" s="39">
        <v>45892</v>
      </c>
      <c r="R216" s="39">
        <v>45949</v>
      </c>
      <c r="S216" s="39">
        <v>45950</v>
      </c>
      <c r="T216" s="39">
        <v>45953</v>
      </c>
      <c r="U216" s="39">
        <v>45969</v>
      </c>
      <c r="V216" s="39">
        <v>45978</v>
      </c>
      <c r="W216" s="39">
        <v>45978</v>
      </c>
      <c r="X216" s="39">
        <v>45978</v>
      </c>
      <c r="Y216" s="39">
        <v>45984</v>
      </c>
      <c r="Z216" s="39">
        <v>45984</v>
      </c>
      <c r="AA216" s="39">
        <v>45985</v>
      </c>
      <c r="AB216" s="39">
        <v>45985</v>
      </c>
      <c r="AC216" s="39">
        <v>45985</v>
      </c>
      <c r="AD216" s="36" t="s">
        <v>641</v>
      </c>
      <c r="AE216" s="54">
        <f t="shared" si="187"/>
        <v>6</v>
      </c>
      <c r="AF216" s="36">
        <v>7</v>
      </c>
      <c r="AG216" s="51">
        <f t="shared" si="183"/>
        <v>0</v>
      </c>
      <c r="AH216" s="52">
        <v>200</v>
      </c>
      <c r="AI216" s="53">
        <f t="shared" si="184"/>
        <v>0</v>
      </c>
      <c r="AJ216" s="54">
        <f t="shared" si="188"/>
        <v>0</v>
      </c>
      <c r="AK216" s="36">
        <v>2</v>
      </c>
      <c r="AL216" s="51">
        <f t="shared" si="185"/>
        <v>0</v>
      </c>
      <c r="AM216" s="52">
        <v>200</v>
      </c>
      <c r="AN216" s="53">
        <f t="shared" si="186"/>
        <v>0</v>
      </c>
      <c r="AO216" s="52"/>
      <c r="AP216" s="110">
        <f t="shared" si="189"/>
        <v>0</v>
      </c>
    </row>
    <row r="217" spans="1:42" s="134" customFormat="1" ht="12" customHeight="1">
      <c r="A217" s="91">
        <f t="shared" si="182"/>
        <v>214</v>
      </c>
      <c r="B217" s="34" t="s">
        <v>446</v>
      </c>
      <c r="C217" s="35" t="s">
        <v>258</v>
      </c>
      <c r="D217" s="92" t="s">
        <v>259</v>
      </c>
      <c r="E217" s="36" t="s">
        <v>260</v>
      </c>
      <c r="F217" s="34" t="s">
        <v>12</v>
      </c>
      <c r="G217" s="33" t="s">
        <v>103</v>
      </c>
      <c r="H217" s="34">
        <v>28</v>
      </c>
      <c r="I217" s="34">
        <v>35000</v>
      </c>
      <c r="J217" s="34">
        <v>35070</v>
      </c>
      <c r="K217" s="34" t="s">
        <v>85</v>
      </c>
      <c r="L217" s="39">
        <v>45890</v>
      </c>
      <c r="M217" s="40" t="s">
        <v>121</v>
      </c>
      <c r="N217" s="39" t="s">
        <v>122</v>
      </c>
      <c r="O217" s="39">
        <v>45881</v>
      </c>
      <c r="P217" s="39">
        <v>45907</v>
      </c>
      <c r="Q217" s="39">
        <v>45892</v>
      </c>
      <c r="R217" s="39">
        <v>45955</v>
      </c>
      <c r="S217" s="39">
        <v>45957</v>
      </c>
      <c r="T217" s="39">
        <v>45966</v>
      </c>
      <c r="U217" s="39">
        <v>45979</v>
      </c>
      <c r="V217" s="39">
        <v>45981</v>
      </c>
      <c r="W217" s="39">
        <v>45981</v>
      </c>
      <c r="X217" s="39">
        <v>45981</v>
      </c>
      <c r="Y217" s="39">
        <v>45984</v>
      </c>
      <c r="Z217" s="39">
        <v>45984</v>
      </c>
      <c r="AA217" s="39">
        <v>45985</v>
      </c>
      <c r="AB217" s="39">
        <v>45985</v>
      </c>
      <c r="AC217" s="39">
        <v>45985</v>
      </c>
      <c r="AD217" s="36" t="s">
        <v>641</v>
      </c>
      <c r="AE217" s="54">
        <f t="shared" si="187"/>
        <v>3</v>
      </c>
      <c r="AF217" s="36">
        <v>7</v>
      </c>
      <c r="AG217" s="51">
        <f t="shared" si="183"/>
        <v>0</v>
      </c>
      <c r="AH217" s="52">
        <v>200</v>
      </c>
      <c r="AI217" s="53">
        <f t="shared" si="184"/>
        <v>0</v>
      </c>
      <c r="AJ217" s="54">
        <f t="shared" si="188"/>
        <v>0</v>
      </c>
      <c r="AK217" s="36">
        <v>2</v>
      </c>
      <c r="AL217" s="51">
        <f t="shared" si="185"/>
        <v>0</v>
      </c>
      <c r="AM217" s="52">
        <v>200</v>
      </c>
      <c r="AN217" s="53">
        <f t="shared" si="186"/>
        <v>0</v>
      </c>
      <c r="AO217" s="52"/>
      <c r="AP217" s="110">
        <f t="shared" si="189"/>
        <v>0</v>
      </c>
    </row>
    <row r="218" spans="1:42" s="134" customFormat="1" ht="12.75">
      <c r="A218" s="91">
        <f t="shared" si="182"/>
        <v>215</v>
      </c>
      <c r="B218" s="34" t="s">
        <v>446</v>
      </c>
      <c r="C218" s="35" t="s">
        <v>642</v>
      </c>
      <c r="D218" s="92" t="s">
        <v>643</v>
      </c>
      <c r="E218" s="93" t="s">
        <v>644</v>
      </c>
      <c r="F218" s="34" t="s">
        <v>12</v>
      </c>
      <c r="G218" s="33" t="s">
        <v>103</v>
      </c>
      <c r="H218" s="34">
        <v>28</v>
      </c>
      <c r="I218" s="34">
        <v>35070</v>
      </c>
      <c r="J218" s="34">
        <v>56000</v>
      </c>
      <c r="K218" s="34" t="s">
        <v>85</v>
      </c>
      <c r="L218" s="39">
        <v>45890</v>
      </c>
      <c r="M218" s="40" t="s">
        <v>121</v>
      </c>
      <c r="N218" s="39" t="s">
        <v>122</v>
      </c>
      <c r="O218" s="39">
        <v>45881</v>
      </c>
      <c r="P218" s="39">
        <v>45907</v>
      </c>
      <c r="Q218" s="39">
        <v>45892</v>
      </c>
      <c r="R218" s="39">
        <v>45971</v>
      </c>
      <c r="S218" s="39">
        <v>45972</v>
      </c>
      <c r="T218" s="39">
        <v>45974</v>
      </c>
      <c r="U218" s="39">
        <v>45978</v>
      </c>
      <c r="V218" s="39">
        <v>45981</v>
      </c>
      <c r="W218" s="39">
        <v>45981</v>
      </c>
      <c r="X218" s="39">
        <v>45981</v>
      </c>
      <c r="Y218" s="39">
        <v>45984</v>
      </c>
      <c r="Z218" s="39">
        <v>45984</v>
      </c>
      <c r="AA218" s="39">
        <v>45985</v>
      </c>
      <c r="AB218" s="39">
        <v>45985</v>
      </c>
      <c r="AC218" s="39">
        <v>45985</v>
      </c>
      <c r="AD218" s="36" t="s">
        <v>641</v>
      </c>
      <c r="AE218" s="54">
        <f t="shared" si="187"/>
        <v>3</v>
      </c>
      <c r="AF218" s="36">
        <v>7</v>
      </c>
      <c r="AG218" s="51">
        <f t="shared" si="183"/>
        <v>0</v>
      </c>
      <c r="AH218" s="52">
        <v>200</v>
      </c>
      <c r="AI218" s="53">
        <f t="shared" si="184"/>
        <v>0</v>
      </c>
      <c r="AJ218" s="54">
        <f t="shared" si="188"/>
        <v>0</v>
      </c>
      <c r="AK218" s="36">
        <v>2</v>
      </c>
      <c r="AL218" s="51">
        <f t="shared" si="185"/>
        <v>0</v>
      </c>
      <c r="AM218" s="52">
        <v>200</v>
      </c>
      <c r="AN218" s="53">
        <f t="shared" si="186"/>
        <v>0</v>
      </c>
      <c r="AO218" s="52"/>
      <c r="AP218" s="110">
        <f t="shared" si="189"/>
        <v>0</v>
      </c>
    </row>
    <row r="219" spans="1:42" s="134" customFormat="1" ht="12.75">
      <c r="A219" s="91">
        <f t="shared" si="182"/>
        <v>216</v>
      </c>
      <c r="B219" s="34" t="s">
        <v>446</v>
      </c>
      <c r="C219" s="35" t="s">
        <v>154</v>
      </c>
      <c r="D219" s="35" t="s">
        <v>155</v>
      </c>
      <c r="E219" s="64" t="s">
        <v>156</v>
      </c>
      <c r="F219" s="34" t="s">
        <v>12</v>
      </c>
      <c r="G219" s="33" t="s">
        <v>103</v>
      </c>
      <c r="H219" s="34">
        <v>28</v>
      </c>
      <c r="I219" s="34">
        <v>35070</v>
      </c>
      <c r="J219" s="34">
        <v>56000</v>
      </c>
      <c r="K219" s="34" t="s">
        <v>85</v>
      </c>
      <c r="L219" s="39">
        <v>45890</v>
      </c>
      <c r="M219" s="40" t="s">
        <v>121</v>
      </c>
      <c r="N219" s="39" t="s">
        <v>122</v>
      </c>
      <c r="O219" s="39">
        <v>45881</v>
      </c>
      <c r="P219" s="39">
        <v>45907</v>
      </c>
      <c r="Q219" s="39">
        <v>45892</v>
      </c>
      <c r="R219" s="39">
        <v>45971</v>
      </c>
      <c r="S219" s="39">
        <v>45972</v>
      </c>
      <c r="T219" s="39">
        <v>45974</v>
      </c>
      <c r="U219" s="39">
        <v>45979</v>
      </c>
      <c r="V219" s="39">
        <v>45981</v>
      </c>
      <c r="W219" s="39">
        <v>45981</v>
      </c>
      <c r="X219" s="39">
        <v>45981</v>
      </c>
      <c r="Y219" s="39">
        <v>45984</v>
      </c>
      <c r="Z219" s="39">
        <v>45984</v>
      </c>
      <c r="AA219" s="39">
        <v>45985</v>
      </c>
      <c r="AB219" s="39">
        <v>45985</v>
      </c>
      <c r="AC219" s="39">
        <v>45985</v>
      </c>
      <c r="AD219" s="36" t="s">
        <v>641</v>
      </c>
      <c r="AE219" s="54">
        <f t="shared" si="187"/>
        <v>3</v>
      </c>
      <c r="AF219" s="36">
        <v>7</v>
      </c>
      <c r="AG219" s="51">
        <f t="shared" si="183"/>
        <v>0</v>
      </c>
      <c r="AH219" s="52">
        <v>200</v>
      </c>
      <c r="AI219" s="53">
        <f t="shared" si="184"/>
        <v>0</v>
      </c>
      <c r="AJ219" s="54">
        <f t="shared" si="188"/>
        <v>0</v>
      </c>
      <c r="AK219" s="36">
        <v>2</v>
      </c>
      <c r="AL219" s="51">
        <f t="shared" si="185"/>
        <v>0</v>
      </c>
      <c r="AM219" s="52">
        <v>200</v>
      </c>
      <c r="AN219" s="53">
        <f t="shared" si="186"/>
        <v>0</v>
      </c>
      <c r="AO219" s="52"/>
      <c r="AP219" s="110">
        <f t="shared" si="189"/>
        <v>0</v>
      </c>
    </row>
    <row r="220" spans="1:42" s="134" customFormat="1" ht="12.75">
      <c r="A220" s="91">
        <f t="shared" si="182"/>
        <v>217</v>
      </c>
      <c r="B220" s="34" t="s">
        <v>446</v>
      </c>
      <c r="C220" s="35" t="s">
        <v>209</v>
      </c>
      <c r="D220" s="92" t="s">
        <v>210</v>
      </c>
      <c r="E220" s="93" t="s">
        <v>211</v>
      </c>
      <c r="F220" s="34" t="s">
        <v>12</v>
      </c>
      <c r="G220" s="33" t="s">
        <v>103</v>
      </c>
      <c r="H220" s="34">
        <v>28</v>
      </c>
      <c r="I220" s="34">
        <v>35070</v>
      </c>
      <c r="J220" s="34">
        <v>56000</v>
      </c>
      <c r="K220" s="34" t="s">
        <v>85</v>
      </c>
      <c r="L220" s="39">
        <v>45890</v>
      </c>
      <c r="M220" s="40" t="s">
        <v>121</v>
      </c>
      <c r="N220" s="39" t="s">
        <v>122</v>
      </c>
      <c r="O220" s="39">
        <v>45881</v>
      </c>
      <c r="P220" s="39">
        <v>45907</v>
      </c>
      <c r="Q220" s="39">
        <v>45892</v>
      </c>
      <c r="R220" s="39">
        <v>45971</v>
      </c>
      <c r="S220" s="39">
        <v>45972</v>
      </c>
      <c r="T220" s="39">
        <v>45974</v>
      </c>
      <c r="U220" s="39">
        <v>45978</v>
      </c>
      <c r="V220" s="39">
        <v>45980</v>
      </c>
      <c r="W220" s="39">
        <v>45980</v>
      </c>
      <c r="X220" s="39">
        <v>45980</v>
      </c>
      <c r="Y220" s="39">
        <v>45984</v>
      </c>
      <c r="Z220" s="39">
        <v>45984</v>
      </c>
      <c r="AA220" s="39">
        <v>45985</v>
      </c>
      <c r="AB220" s="39">
        <v>45985</v>
      </c>
      <c r="AC220" s="39">
        <v>45985</v>
      </c>
      <c r="AD220" s="36" t="s">
        <v>641</v>
      </c>
      <c r="AE220" s="54">
        <f t="shared" si="187"/>
        <v>4</v>
      </c>
      <c r="AF220" s="36">
        <v>7</v>
      </c>
      <c r="AG220" s="51">
        <f t="shared" si="183"/>
        <v>0</v>
      </c>
      <c r="AH220" s="52">
        <v>200</v>
      </c>
      <c r="AI220" s="53">
        <f t="shared" si="184"/>
        <v>0</v>
      </c>
      <c r="AJ220" s="54">
        <f t="shared" si="188"/>
        <v>0</v>
      </c>
      <c r="AK220" s="36">
        <v>2</v>
      </c>
      <c r="AL220" s="51">
        <f t="shared" si="185"/>
        <v>0</v>
      </c>
      <c r="AM220" s="52">
        <v>200</v>
      </c>
      <c r="AN220" s="53">
        <f t="shared" si="186"/>
        <v>0</v>
      </c>
      <c r="AO220" s="52"/>
      <c r="AP220" s="110">
        <f t="shared" si="189"/>
        <v>0</v>
      </c>
    </row>
    <row r="221" spans="1:42" s="134" customFormat="1" ht="12.75">
      <c r="A221" s="91">
        <f t="shared" si="182"/>
        <v>218</v>
      </c>
      <c r="B221" s="34" t="s">
        <v>446</v>
      </c>
      <c r="C221" s="35" t="s">
        <v>308</v>
      </c>
      <c r="D221" s="92" t="s">
        <v>309</v>
      </c>
      <c r="E221" s="92" t="s">
        <v>310</v>
      </c>
      <c r="F221" s="34" t="s">
        <v>12</v>
      </c>
      <c r="G221" s="33" t="s">
        <v>103</v>
      </c>
      <c r="H221" s="34">
        <v>28</v>
      </c>
      <c r="I221" s="93">
        <v>35000</v>
      </c>
      <c r="J221" s="93">
        <v>35070</v>
      </c>
      <c r="K221" s="34" t="s">
        <v>85</v>
      </c>
      <c r="L221" s="39">
        <v>45890</v>
      </c>
      <c r="M221" s="40" t="s">
        <v>121</v>
      </c>
      <c r="N221" s="39" t="s">
        <v>122</v>
      </c>
      <c r="O221" s="39">
        <v>45881</v>
      </c>
      <c r="P221" s="39">
        <v>45907</v>
      </c>
      <c r="Q221" s="39">
        <v>45892</v>
      </c>
      <c r="R221" s="39">
        <v>45955</v>
      </c>
      <c r="S221" s="39">
        <v>45957</v>
      </c>
      <c r="T221" s="39">
        <v>45971</v>
      </c>
      <c r="U221" s="39">
        <v>45978</v>
      </c>
      <c r="V221" s="39">
        <v>45980</v>
      </c>
      <c r="W221" s="39">
        <v>45980</v>
      </c>
      <c r="X221" s="39">
        <v>45980</v>
      </c>
      <c r="Y221" s="39">
        <v>45981</v>
      </c>
      <c r="Z221" s="39">
        <v>45982</v>
      </c>
      <c r="AA221" s="39">
        <v>45982</v>
      </c>
      <c r="AB221" s="39">
        <v>45982</v>
      </c>
      <c r="AC221" s="39">
        <v>45982</v>
      </c>
      <c r="AD221" s="36" t="s">
        <v>641</v>
      </c>
      <c r="AE221" s="54">
        <f t="shared" si="187"/>
        <v>1</v>
      </c>
      <c r="AF221" s="36">
        <v>7</v>
      </c>
      <c r="AG221" s="51">
        <f t="shared" si="183"/>
        <v>0</v>
      </c>
      <c r="AH221" s="52">
        <v>200</v>
      </c>
      <c r="AI221" s="53">
        <f t="shared" si="184"/>
        <v>0</v>
      </c>
      <c r="AJ221" s="54">
        <f t="shared" si="188"/>
        <v>0</v>
      </c>
      <c r="AK221" s="36">
        <v>2</v>
      </c>
      <c r="AL221" s="51">
        <f t="shared" si="185"/>
        <v>0</v>
      </c>
      <c r="AM221" s="52">
        <v>200</v>
      </c>
      <c r="AN221" s="53">
        <f t="shared" si="186"/>
        <v>0</v>
      </c>
      <c r="AO221" s="52"/>
      <c r="AP221" s="110">
        <f t="shared" si="189"/>
        <v>0</v>
      </c>
    </row>
    <row r="222" spans="1:42" s="134" customFormat="1" ht="12.75">
      <c r="A222" s="91">
        <f t="shared" si="182"/>
        <v>219</v>
      </c>
      <c r="B222" s="34" t="s">
        <v>446</v>
      </c>
      <c r="C222" s="35" t="s">
        <v>302</v>
      </c>
      <c r="D222" s="92" t="s">
        <v>303</v>
      </c>
      <c r="E222" s="36" t="s">
        <v>304</v>
      </c>
      <c r="F222" s="34" t="s">
        <v>12</v>
      </c>
      <c r="G222" s="34" t="s">
        <v>103</v>
      </c>
      <c r="H222" s="34">
        <v>28</v>
      </c>
      <c r="I222" s="34">
        <v>35000</v>
      </c>
      <c r="J222" s="34">
        <v>35070</v>
      </c>
      <c r="K222" s="34" t="s">
        <v>85</v>
      </c>
      <c r="L222" s="39">
        <v>45890</v>
      </c>
      <c r="M222" s="40" t="s">
        <v>121</v>
      </c>
      <c r="N222" s="39" t="s">
        <v>122</v>
      </c>
      <c r="O222" s="39">
        <v>45881</v>
      </c>
      <c r="P222" s="39">
        <v>45907</v>
      </c>
      <c r="Q222" s="39">
        <v>45892</v>
      </c>
      <c r="R222" s="39">
        <v>45955</v>
      </c>
      <c r="S222" s="39">
        <v>45957</v>
      </c>
      <c r="T222" s="39">
        <v>45966</v>
      </c>
      <c r="U222" s="39">
        <v>45969</v>
      </c>
      <c r="V222" s="39">
        <v>45971</v>
      </c>
      <c r="W222" s="39">
        <v>45971</v>
      </c>
      <c r="X222" s="39">
        <v>45971</v>
      </c>
      <c r="Y222" s="39">
        <v>45974</v>
      </c>
      <c r="Z222" s="39">
        <v>45974</v>
      </c>
      <c r="AA222" s="39">
        <v>45975</v>
      </c>
      <c r="AB222" s="39">
        <v>45976</v>
      </c>
      <c r="AC222" s="39">
        <v>45978</v>
      </c>
      <c r="AD222" s="36" t="s">
        <v>641</v>
      </c>
      <c r="AE222" s="54">
        <f t="shared" si="187"/>
        <v>3</v>
      </c>
      <c r="AF222" s="36">
        <v>7</v>
      </c>
      <c r="AG222" s="51">
        <f t="shared" si="183"/>
        <v>0</v>
      </c>
      <c r="AH222" s="52">
        <v>200</v>
      </c>
      <c r="AI222" s="53">
        <f t="shared" si="184"/>
        <v>0</v>
      </c>
      <c r="AJ222" s="54">
        <f t="shared" si="188"/>
        <v>2</v>
      </c>
      <c r="AK222" s="36">
        <v>2</v>
      </c>
      <c r="AL222" s="51">
        <f t="shared" si="185"/>
        <v>0</v>
      </c>
      <c r="AM222" s="52">
        <v>200</v>
      </c>
      <c r="AN222" s="53">
        <f t="shared" si="186"/>
        <v>0</v>
      </c>
      <c r="AO222" s="52"/>
      <c r="AP222" s="110">
        <f t="shared" si="189"/>
        <v>0</v>
      </c>
    </row>
    <row r="223" spans="1:42" s="134" customFormat="1" ht="12.75">
      <c r="A223" s="91">
        <f t="shared" si="182"/>
        <v>220</v>
      </c>
      <c r="B223" s="34" t="s">
        <v>446</v>
      </c>
      <c r="C223" s="35" t="s">
        <v>645</v>
      </c>
      <c r="D223" s="35" t="s">
        <v>646</v>
      </c>
      <c r="E223" s="34" t="s">
        <v>647</v>
      </c>
      <c r="F223" s="34" t="s">
        <v>12</v>
      </c>
      <c r="G223" s="34" t="s">
        <v>103</v>
      </c>
      <c r="H223" s="36">
        <v>28</v>
      </c>
      <c r="I223" s="34">
        <v>35000</v>
      </c>
      <c r="J223" s="34">
        <v>35070</v>
      </c>
      <c r="K223" s="34" t="s">
        <v>85</v>
      </c>
      <c r="L223" s="39">
        <v>45890</v>
      </c>
      <c r="M223" s="40" t="s">
        <v>121</v>
      </c>
      <c r="N223" s="39" t="s">
        <v>122</v>
      </c>
      <c r="O223" s="39">
        <v>45881</v>
      </c>
      <c r="P223" s="188">
        <v>45907</v>
      </c>
      <c r="Q223" s="39">
        <v>45892</v>
      </c>
      <c r="R223" s="39">
        <v>45951</v>
      </c>
      <c r="S223" s="39">
        <v>45952</v>
      </c>
      <c r="T223" s="39">
        <v>45965</v>
      </c>
      <c r="U223" s="39">
        <v>45971</v>
      </c>
      <c r="V223" s="39">
        <v>45973</v>
      </c>
      <c r="W223" s="39">
        <v>45973</v>
      </c>
      <c r="X223" s="39">
        <v>45973</v>
      </c>
      <c r="Y223" s="39">
        <v>45975</v>
      </c>
      <c r="Z223" s="39">
        <v>45975</v>
      </c>
      <c r="AA223" s="39">
        <v>45976</v>
      </c>
      <c r="AB223" s="39">
        <v>45976</v>
      </c>
      <c r="AC223" s="39">
        <v>45978</v>
      </c>
      <c r="AD223" s="36" t="s">
        <v>641</v>
      </c>
      <c r="AE223" s="54">
        <f t="shared" si="187"/>
        <v>2</v>
      </c>
      <c r="AF223" s="106">
        <v>7</v>
      </c>
      <c r="AG223" s="107">
        <f t="shared" si="183"/>
        <v>0</v>
      </c>
      <c r="AH223" s="108">
        <v>200</v>
      </c>
      <c r="AI223" s="109">
        <f t="shared" si="184"/>
        <v>0</v>
      </c>
      <c r="AJ223" s="54">
        <f t="shared" si="188"/>
        <v>2</v>
      </c>
      <c r="AK223" s="106">
        <v>2</v>
      </c>
      <c r="AL223" s="107">
        <f t="shared" si="185"/>
        <v>0</v>
      </c>
      <c r="AM223" s="108">
        <v>200</v>
      </c>
      <c r="AN223" s="109">
        <f t="shared" si="186"/>
        <v>0</v>
      </c>
      <c r="AO223" s="108">
        <v>0</v>
      </c>
      <c r="AP223" s="110">
        <f t="shared" si="189"/>
        <v>0</v>
      </c>
    </row>
    <row r="224" spans="1:42" s="1" customFormat="1" ht="12.75">
      <c r="A224" s="91">
        <f t="shared" si="182"/>
        <v>221</v>
      </c>
      <c r="B224" s="34" t="s">
        <v>446</v>
      </c>
      <c r="C224" s="35" t="s">
        <v>284</v>
      </c>
      <c r="D224" s="35" t="s">
        <v>285</v>
      </c>
      <c r="E224" s="34" t="s">
        <v>286</v>
      </c>
      <c r="F224" s="34" t="s">
        <v>12</v>
      </c>
      <c r="G224" s="34" t="s">
        <v>103</v>
      </c>
      <c r="H224" s="36">
        <v>28</v>
      </c>
      <c r="I224" s="34">
        <v>35000</v>
      </c>
      <c r="J224" s="34">
        <v>35070</v>
      </c>
      <c r="K224" s="34" t="s">
        <v>85</v>
      </c>
      <c r="L224" s="39">
        <v>45890</v>
      </c>
      <c r="M224" s="40" t="s">
        <v>121</v>
      </c>
      <c r="N224" s="39" t="s">
        <v>122</v>
      </c>
      <c r="O224" s="39">
        <v>45881</v>
      </c>
      <c r="P224" s="39">
        <v>45907</v>
      </c>
      <c r="Q224" s="39">
        <v>45892</v>
      </c>
      <c r="R224" s="39">
        <v>45949</v>
      </c>
      <c r="S224" s="39">
        <v>45950</v>
      </c>
      <c r="T224" s="39">
        <v>45957</v>
      </c>
      <c r="U224" s="39">
        <v>45967</v>
      </c>
      <c r="V224" s="39">
        <v>45969</v>
      </c>
      <c r="W224" s="39">
        <v>45969</v>
      </c>
      <c r="X224" s="39">
        <v>45969</v>
      </c>
      <c r="Y224" s="39">
        <v>45974</v>
      </c>
      <c r="Z224" s="39">
        <v>45974</v>
      </c>
      <c r="AA224" s="39">
        <v>45975</v>
      </c>
      <c r="AB224" s="39">
        <v>45976</v>
      </c>
      <c r="AC224" s="39">
        <v>45978</v>
      </c>
      <c r="AD224" s="36" t="s">
        <v>641</v>
      </c>
      <c r="AE224" s="54">
        <f t="shared" si="187"/>
        <v>5</v>
      </c>
      <c r="AF224" s="106">
        <v>7</v>
      </c>
      <c r="AG224" s="107">
        <f t="shared" si="183"/>
        <v>0</v>
      </c>
      <c r="AH224" s="108">
        <v>200</v>
      </c>
      <c r="AI224" s="109">
        <f t="shared" si="184"/>
        <v>0</v>
      </c>
      <c r="AJ224" s="54">
        <f t="shared" si="188"/>
        <v>2</v>
      </c>
      <c r="AK224" s="106">
        <v>2</v>
      </c>
      <c r="AL224" s="107">
        <f t="shared" si="185"/>
        <v>0</v>
      </c>
      <c r="AM224" s="108">
        <v>200</v>
      </c>
      <c r="AN224" s="109">
        <f t="shared" si="186"/>
        <v>0</v>
      </c>
      <c r="AO224" s="108"/>
      <c r="AP224" s="110">
        <f t="shared" si="189"/>
        <v>0</v>
      </c>
    </row>
    <row r="225" spans="1:42" s="134" customFormat="1" ht="12.75">
      <c r="A225" s="91">
        <f t="shared" si="182"/>
        <v>222</v>
      </c>
      <c r="B225" s="34" t="s">
        <v>446</v>
      </c>
      <c r="C225" s="35" t="s">
        <v>648</v>
      </c>
      <c r="D225" s="92" t="s">
        <v>649</v>
      </c>
      <c r="E225" s="36" t="s">
        <v>650</v>
      </c>
      <c r="F225" s="34" t="s">
        <v>12</v>
      </c>
      <c r="G225" s="34" t="s">
        <v>103</v>
      </c>
      <c r="H225" s="34">
        <v>29</v>
      </c>
      <c r="I225" s="34">
        <v>36250</v>
      </c>
      <c r="J225" s="34">
        <v>36323</v>
      </c>
      <c r="K225" s="34" t="s">
        <v>85</v>
      </c>
      <c r="L225" s="39">
        <v>45890</v>
      </c>
      <c r="M225" s="40" t="s">
        <v>121</v>
      </c>
      <c r="N225" s="39" t="s">
        <v>122</v>
      </c>
      <c r="O225" s="39">
        <v>45881</v>
      </c>
      <c r="P225" s="39">
        <v>45907</v>
      </c>
      <c r="Q225" s="39">
        <v>45892</v>
      </c>
      <c r="R225" s="39">
        <v>45955</v>
      </c>
      <c r="S225" s="39">
        <v>45957</v>
      </c>
      <c r="T225" s="39">
        <v>45966</v>
      </c>
      <c r="U225" s="39">
        <v>45969</v>
      </c>
      <c r="V225" s="39">
        <v>45971</v>
      </c>
      <c r="W225" s="39">
        <v>45971</v>
      </c>
      <c r="X225" s="39">
        <v>45971</v>
      </c>
      <c r="Y225" s="39">
        <v>45973</v>
      </c>
      <c r="Z225" s="39">
        <v>45974</v>
      </c>
      <c r="AA225" s="39">
        <v>45974</v>
      </c>
      <c r="AB225" s="39">
        <v>45975</v>
      </c>
      <c r="AC225" s="39">
        <v>45975</v>
      </c>
      <c r="AD225" s="36" t="s">
        <v>641</v>
      </c>
      <c r="AE225" s="54">
        <f t="shared" si="187"/>
        <v>2</v>
      </c>
      <c r="AF225" s="36">
        <v>7</v>
      </c>
      <c r="AG225" s="51">
        <f t="shared" ref="AG225:AG233" si="190">MAX(0,AE225-AF225)</f>
        <v>0</v>
      </c>
      <c r="AH225" s="52">
        <v>200</v>
      </c>
      <c r="AI225" s="53">
        <f t="shared" ref="AI225:AI233" si="191">MAX(0,AG225*AH225)</f>
        <v>0</v>
      </c>
      <c r="AJ225" s="54">
        <f t="shared" si="188"/>
        <v>0</v>
      </c>
      <c r="AK225" s="36">
        <v>2</v>
      </c>
      <c r="AL225" s="51">
        <f t="shared" ref="AL225:AL233" si="192">MAX(0,AJ225-AK225)</f>
        <v>0</v>
      </c>
      <c r="AM225" s="52">
        <v>200</v>
      </c>
      <c r="AN225" s="53">
        <f t="shared" ref="AN225:AN233" si="193">MAX(0,AL225*AM225)</f>
        <v>0</v>
      </c>
      <c r="AO225" s="52"/>
      <c r="AP225" s="110">
        <f t="shared" si="189"/>
        <v>0</v>
      </c>
    </row>
    <row r="226" spans="1:42" s="134" customFormat="1" ht="12.75">
      <c r="A226" s="91">
        <f t="shared" si="182"/>
        <v>223</v>
      </c>
      <c r="B226" s="34" t="s">
        <v>446</v>
      </c>
      <c r="C226" s="35" t="s">
        <v>419</v>
      </c>
      <c r="D226" s="92" t="s">
        <v>420</v>
      </c>
      <c r="E226" s="189" t="s">
        <v>421</v>
      </c>
      <c r="F226" s="34" t="s">
        <v>12</v>
      </c>
      <c r="G226" s="34" t="s">
        <v>103</v>
      </c>
      <c r="H226" s="36">
        <v>29</v>
      </c>
      <c r="I226" s="34">
        <v>36250</v>
      </c>
      <c r="J226" s="34">
        <v>36323</v>
      </c>
      <c r="K226" s="34" t="s">
        <v>85</v>
      </c>
      <c r="L226" s="39">
        <v>45890</v>
      </c>
      <c r="M226" s="40" t="s">
        <v>121</v>
      </c>
      <c r="N226" s="39" t="s">
        <v>122</v>
      </c>
      <c r="O226" s="39">
        <v>45881</v>
      </c>
      <c r="P226" s="39">
        <v>45907</v>
      </c>
      <c r="Q226" s="39">
        <v>45892</v>
      </c>
      <c r="R226" s="39">
        <v>45955</v>
      </c>
      <c r="S226" s="39">
        <v>45957</v>
      </c>
      <c r="T226" s="39">
        <v>45966</v>
      </c>
      <c r="U226" s="39">
        <v>45969</v>
      </c>
      <c r="V226" s="39">
        <v>45971</v>
      </c>
      <c r="W226" s="39">
        <v>45971</v>
      </c>
      <c r="X226" s="39">
        <v>45971</v>
      </c>
      <c r="Y226" s="39">
        <v>45973</v>
      </c>
      <c r="Z226" s="39">
        <v>45974</v>
      </c>
      <c r="AA226" s="39">
        <v>45974</v>
      </c>
      <c r="AB226" s="39">
        <v>45975</v>
      </c>
      <c r="AC226" s="39">
        <v>45975</v>
      </c>
      <c r="AD226" s="36" t="s">
        <v>641</v>
      </c>
      <c r="AE226" s="54">
        <f t="shared" si="187"/>
        <v>2</v>
      </c>
      <c r="AF226" s="36">
        <v>7</v>
      </c>
      <c r="AG226" s="51">
        <f t="shared" si="190"/>
        <v>0</v>
      </c>
      <c r="AH226" s="52">
        <v>200</v>
      </c>
      <c r="AI226" s="53">
        <f t="shared" si="191"/>
        <v>0</v>
      </c>
      <c r="AJ226" s="54">
        <f t="shared" si="188"/>
        <v>0</v>
      </c>
      <c r="AK226" s="36">
        <v>2</v>
      </c>
      <c r="AL226" s="51">
        <f t="shared" si="192"/>
        <v>0</v>
      </c>
      <c r="AM226" s="52">
        <v>200</v>
      </c>
      <c r="AN226" s="53">
        <f t="shared" si="193"/>
        <v>0</v>
      </c>
      <c r="AO226" s="52"/>
      <c r="AP226" s="110">
        <f t="shared" si="189"/>
        <v>0</v>
      </c>
    </row>
    <row r="227" spans="1:42" s="134" customFormat="1" ht="12.75">
      <c r="A227" s="91">
        <f t="shared" si="182"/>
        <v>224</v>
      </c>
      <c r="B227" s="34" t="s">
        <v>446</v>
      </c>
      <c r="C227" s="35" t="s">
        <v>651</v>
      </c>
      <c r="D227" s="92" t="s">
        <v>652</v>
      </c>
      <c r="E227" s="93" t="s">
        <v>653</v>
      </c>
      <c r="F227" s="34" t="s">
        <v>12</v>
      </c>
      <c r="G227" s="34" t="s">
        <v>103</v>
      </c>
      <c r="H227" s="36">
        <v>28</v>
      </c>
      <c r="I227" s="34">
        <v>35000</v>
      </c>
      <c r="J227" s="34">
        <v>35070</v>
      </c>
      <c r="K227" s="34" t="s">
        <v>85</v>
      </c>
      <c r="L227" s="39">
        <v>45890</v>
      </c>
      <c r="M227" s="40" t="s">
        <v>121</v>
      </c>
      <c r="N227" s="39" t="s">
        <v>122</v>
      </c>
      <c r="O227" s="39">
        <v>45881</v>
      </c>
      <c r="P227" s="39">
        <v>45907</v>
      </c>
      <c r="Q227" s="39">
        <v>45892</v>
      </c>
      <c r="R227" s="39">
        <v>45955</v>
      </c>
      <c r="S227" s="39">
        <v>45957</v>
      </c>
      <c r="T227" s="39">
        <v>45966</v>
      </c>
      <c r="U227" s="39">
        <v>45970</v>
      </c>
      <c r="V227" s="39">
        <v>45971</v>
      </c>
      <c r="W227" s="39">
        <v>45971</v>
      </c>
      <c r="X227" s="39">
        <v>45971</v>
      </c>
      <c r="Y227" s="39">
        <v>45973</v>
      </c>
      <c r="Z227" s="39">
        <v>45974</v>
      </c>
      <c r="AA227" s="39">
        <v>45974</v>
      </c>
      <c r="AB227" s="39">
        <v>45975</v>
      </c>
      <c r="AC227" s="39">
        <v>45975</v>
      </c>
      <c r="AD227" s="36" t="s">
        <v>641</v>
      </c>
      <c r="AE227" s="54">
        <f t="shared" si="187"/>
        <v>2</v>
      </c>
      <c r="AF227" s="36">
        <v>7</v>
      </c>
      <c r="AG227" s="51">
        <f t="shared" si="190"/>
        <v>0</v>
      </c>
      <c r="AH227" s="52">
        <v>200</v>
      </c>
      <c r="AI227" s="53">
        <f t="shared" si="191"/>
        <v>0</v>
      </c>
      <c r="AJ227" s="54">
        <f t="shared" si="188"/>
        <v>0</v>
      </c>
      <c r="AK227" s="36">
        <v>2</v>
      </c>
      <c r="AL227" s="51">
        <f t="shared" si="192"/>
        <v>0</v>
      </c>
      <c r="AM227" s="52">
        <v>200</v>
      </c>
      <c r="AN227" s="53">
        <f t="shared" si="193"/>
        <v>0</v>
      </c>
      <c r="AO227" s="52"/>
      <c r="AP227" s="110">
        <f t="shared" si="189"/>
        <v>0</v>
      </c>
    </row>
    <row r="228" spans="1:42" s="134" customFormat="1" ht="12.75">
      <c r="A228" s="91">
        <f t="shared" si="182"/>
        <v>225</v>
      </c>
      <c r="B228" s="34" t="s">
        <v>446</v>
      </c>
      <c r="C228" s="35" t="s">
        <v>504</v>
      </c>
      <c r="D228" s="35" t="s">
        <v>505</v>
      </c>
      <c r="E228" s="34" t="s">
        <v>654</v>
      </c>
      <c r="F228" s="34" t="s">
        <v>12</v>
      </c>
      <c r="G228" s="34" t="s">
        <v>103</v>
      </c>
      <c r="H228" s="36">
        <v>28</v>
      </c>
      <c r="I228" s="34">
        <v>35000</v>
      </c>
      <c r="J228" s="34">
        <v>35070</v>
      </c>
      <c r="K228" s="34" t="s">
        <v>85</v>
      </c>
      <c r="L228" s="39">
        <v>45890</v>
      </c>
      <c r="M228" s="40" t="s">
        <v>121</v>
      </c>
      <c r="N228" s="39" t="s">
        <v>122</v>
      </c>
      <c r="O228" s="39">
        <v>45881</v>
      </c>
      <c r="P228" s="39">
        <v>45907</v>
      </c>
      <c r="Q228" s="39">
        <v>45892</v>
      </c>
      <c r="R228" s="39">
        <v>45955</v>
      </c>
      <c r="S228" s="39">
        <v>45957</v>
      </c>
      <c r="T228" s="39">
        <v>45966</v>
      </c>
      <c r="U228" s="39">
        <v>45969</v>
      </c>
      <c r="V228" s="39">
        <v>45971</v>
      </c>
      <c r="W228" s="39">
        <v>45971</v>
      </c>
      <c r="X228" s="39">
        <v>45971</v>
      </c>
      <c r="Y228" s="39">
        <v>45972</v>
      </c>
      <c r="Z228" s="39">
        <v>45972</v>
      </c>
      <c r="AA228" s="39">
        <v>45972</v>
      </c>
      <c r="AB228" s="39">
        <v>45972</v>
      </c>
      <c r="AC228" s="39">
        <v>45973</v>
      </c>
      <c r="AD228" s="36" t="s">
        <v>641</v>
      </c>
      <c r="AE228" s="54">
        <f t="shared" si="187"/>
        <v>1</v>
      </c>
      <c r="AF228" s="36">
        <v>7</v>
      </c>
      <c r="AG228" s="51">
        <f t="shared" si="190"/>
        <v>0</v>
      </c>
      <c r="AH228" s="52">
        <v>200</v>
      </c>
      <c r="AI228" s="53">
        <f t="shared" si="191"/>
        <v>0</v>
      </c>
      <c r="AJ228" s="54">
        <f t="shared" si="188"/>
        <v>1</v>
      </c>
      <c r="AK228" s="36">
        <v>2</v>
      </c>
      <c r="AL228" s="51">
        <f t="shared" si="192"/>
        <v>0</v>
      </c>
      <c r="AM228" s="52">
        <v>200</v>
      </c>
      <c r="AN228" s="53">
        <f t="shared" si="193"/>
        <v>0</v>
      </c>
      <c r="AO228" s="52"/>
      <c r="AP228" s="110">
        <f t="shared" si="189"/>
        <v>0</v>
      </c>
    </row>
    <row r="229" spans="1:42" s="1" customFormat="1" ht="12.75">
      <c r="A229" s="91">
        <f t="shared" si="182"/>
        <v>226</v>
      </c>
      <c r="B229" s="34" t="s">
        <v>446</v>
      </c>
      <c r="C229" s="64" t="s">
        <v>234</v>
      </c>
      <c r="D229" s="34" t="s">
        <v>235</v>
      </c>
      <c r="E229" s="129" t="s">
        <v>236</v>
      </c>
      <c r="F229" s="34" t="s">
        <v>12</v>
      </c>
      <c r="G229" s="34" t="s">
        <v>103</v>
      </c>
      <c r="H229" s="36">
        <v>28</v>
      </c>
      <c r="I229" s="34">
        <v>35000</v>
      </c>
      <c r="J229" s="34">
        <v>35070</v>
      </c>
      <c r="K229" s="34" t="s">
        <v>85</v>
      </c>
      <c r="L229" s="39">
        <v>45890</v>
      </c>
      <c r="M229" s="40" t="s">
        <v>121</v>
      </c>
      <c r="N229" s="39" t="s">
        <v>122</v>
      </c>
      <c r="O229" s="39">
        <v>45881</v>
      </c>
      <c r="P229" s="39">
        <v>45907</v>
      </c>
      <c r="Q229" s="39">
        <v>45892</v>
      </c>
      <c r="R229" s="39">
        <v>45949</v>
      </c>
      <c r="S229" s="39">
        <v>45950</v>
      </c>
      <c r="T229" s="39">
        <v>45953</v>
      </c>
      <c r="U229" s="39">
        <v>45969</v>
      </c>
      <c r="V229" s="39">
        <v>45970</v>
      </c>
      <c r="W229" s="39">
        <v>45970</v>
      </c>
      <c r="X229" s="39">
        <v>45970</v>
      </c>
      <c r="Y229" s="39">
        <v>45972</v>
      </c>
      <c r="Z229" s="39">
        <v>45972</v>
      </c>
      <c r="AA229" s="39">
        <v>45973</v>
      </c>
      <c r="AB229" s="39">
        <v>45973</v>
      </c>
      <c r="AC229" s="39">
        <v>45974</v>
      </c>
      <c r="AD229" s="36" t="s">
        <v>641</v>
      </c>
      <c r="AE229" s="54">
        <f t="shared" si="187"/>
        <v>2</v>
      </c>
      <c r="AF229" s="106">
        <v>7</v>
      </c>
      <c r="AG229" s="107">
        <f t="shared" si="190"/>
        <v>0</v>
      </c>
      <c r="AH229" s="108">
        <v>200</v>
      </c>
      <c r="AI229" s="109">
        <f t="shared" si="191"/>
        <v>0</v>
      </c>
      <c r="AJ229" s="54">
        <f t="shared" si="188"/>
        <v>1</v>
      </c>
      <c r="AK229" s="106">
        <v>2</v>
      </c>
      <c r="AL229" s="107">
        <f t="shared" si="192"/>
        <v>0</v>
      </c>
      <c r="AM229" s="108">
        <v>200</v>
      </c>
      <c r="AN229" s="109">
        <f t="shared" si="193"/>
        <v>0</v>
      </c>
      <c r="AO229" s="108">
        <v>0</v>
      </c>
      <c r="AP229" s="110">
        <f t="shared" si="189"/>
        <v>0</v>
      </c>
    </row>
    <row r="230" spans="1:42" s="134" customFormat="1" ht="12.75">
      <c r="A230" s="91">
        <f t="shared" si="182"/>
        <v>227</v>
      </c>
      <c r="B230" s="34" t="s">
        <v>446</v>
      </c>
      <c r="C230" s="35" t="s">
        <v>655</v>
      </c>
      <c r="D230" s="92" t="s">
        <v>656</v>
      </c>
      <c r="E230" s="189" t="s">
        <v>657</v>
      </c>
      <c r="F230" s="34" t="s">
        <v>12</v>
      </c>
      <c r="G230" s="34" t="s">
        <v>103</v>
      </c>
      <c r="H230" s="36">
        <v>28</v>
      </c>
      <c r="I230" s="34">
        <v>35000</v>
      </c>
      <c r="J230" s="34">
        <v>35070</v>
      </c>
      <c r="K230" s="34" t="s">
        <v>85</v>
      </c>
      <c r="L230" s="39">
        <v>45890</v>
      </c>
      <c r="M230" s="40" t="s">
        <v>121</v>
      </c>
      <c r="N230" s="39" t="s">
        <v>122</v>
      </c>
      <c r="O230" s="39">
        <v>45881</v>
      </c>
      <c r="P230" s="39">
        <v>45907</v>
      </c>
      <c r="Q230" s="39">
        <v>45892</v>
      </c>
      <c r="R230" s="39">
        <v>45955</v>
      </c>
      <c r="S230" s="39">
        <v>45957</v>
      </c>
      <c r="T230" s="39">
        <v>45966</v>
      </c>
      <c r="U230" s="39">
        <v>45970</v>
      </c>
      <c r="V230" s="39">
        <v>45971</v>
      </c>
      <c r="W230" s="39">
        <v>45971</v>
      </c>
      <c r="X230" s="39">
        <v>45971</v>
      </c>
      <c r="Y230" s="39">
        <v>45972</v>
      </c>
      <c r="Z230" s="39">
        <v>45972</v>
      </c>
      <c r="AA230" s="39">
        <v>45973</v>
      </c>
      <c r="AB230" s="39">
        <v>45973</v>
      </c>
      <c r="AC230" s="39">
        <v>45974</v>
      </c>
      <c r="AD230" s="36" t="s">
        <v>641</v>
      </c>
      <c r="AE230" s="54">
        <f t="shared" si="187"/>
        <v>1</v>
      </c>
      <c r="AF230" s="36">
        <v>7</v>
      </c>
      <c r="AG230" s="51">
        <f t="shared" si="190"/>
        <v>0</v>
      </c>
      <c r="AH230" s="52">
        <v>200</v>
      </c>
      <c r="AI230" s="53">
        <f t="shared" si="191"/>
        <v>0</v>
      </c>
      <c r="AJ230" s="54">
        <f t="shared" si="188"/>
        <v>1</v>
      </c>
      <c r="AK230" s="36">
        <v>2</v>
      </c>
      <c r="AL230" s="51">
        <f t="shared" si="192"/>
        <v>0</v>
      </c>
      <c r="AM230" s="52">
        <v>200</v>
      </c>
      <c r="AN230" s="53">
        <f t="shared" si="193"/>
        <v>0</v>
      </c>
      <c r="AO230" s="52">
        <v>0</v>
      </c>
      <c r="AP230" s="110">
        <f t="shared" si="189"/>
        <v>0</v>
      </c>
    </row>
    <row r="231" spans="1:42" s="134" customFormat="1" ht="12.75">
      <c r="A231" s="91">
        <f t="shared" si="182"/>
        <v>228</v>
      </c>
      <c r="B231" s="34" t="s">
        <v>446</v>
      </c>
      <c r="C231" s="35" t="s">
        <v>658</v>
      </c>
      <c r="D231" s="92" t="s">
        <v>659</v>
      </c>
      <c r="E231" s="36" t="s">
        <v>660</v>
      </c>
      <c r="F231" s="34" t="s">
        <v>12</v>
      </c>
      <c r="G231" s="34" t="s">
        <v>103</v>
      </c>
      <c r="H231" s="34">
        <v>29</v>
      </c>
      <c r="I231" s="34">
        <v>36250</v>
      </c>
      <c r="J231" s="34">
        <v>36323</v>
      </c>
      <c r="K231" s="34" t="s">
        <v>85</v>
      </c>
      <c r="L231" s="39">
        <v>45890</v>
      </c>
      <c r="M231" s="40" t="s">
        <v>121</v>
      </c>
      <c r="N231" s="39" t="s">
        <v>122</v>
      </c>
      <c r="O231" s="39">
        <v>45881</v>
      </c>
      <c r="P231" s="39">
        <v>45907</v>
      </c>
      <c r="Q231" s="39">
        <v>45892</v>
      </c>
      <c r="R231" s="39">
        <v>45955</v>
      </c>
      <c r="S231" s="39">
        <v>45957</v>
      </c>
      <c r="T231" s="39">
        <v>45966</v>
      </c>
      <c r="U231" s="39">
        <v>45968</v>
      </c>
      <c r="V231" s="39">
        <v>45970</v>
      </c>
      <c r="W231" s="39">
        <v>45970</v>
      </c>
      <c r="X231" s="39">
        <v>45970</v>
      </c>
      <c r="Y231" s="39">
        <v>45972</v>
      </c>
      <c r="Z231" s="39">
        <v>45972</v>
      </c>
      <c r="AA231" s="39">
        <v>45973</v>
      </c>
      <c r="AB231" s="39">
        <v>45973</v>
      </c>
      <c r="AC231" s="39">
        <v>45974</v>
      </c>
      <c r="AD231" s="36" t="s">
        <v>641</v>
      </c>
      <c r="AE231" s="54">
        <f t="shared" si="187"/>
        <v>2</v>
      </c>
      <c r="AF231" s="36">
        <v>7</v>
      </c>
      <c r="AG231" s="51">
        <f t="shared" si="190"/>
        <v>0</v>
      </c>
      <c r="AH231" s="52">
        <v>200</v>
      </c>
      <c r="AI231" s="53">
        <f t="shared" si="191"/>
        <v>0</v>
      </c>
      <c r="AJ231" s="54">
        <f t="shared" si="188"/>
        <v>1</v>
      </c>
      <c r="AK231" s="36">
        <v>2</v>
      </c>
      <c r="AL231" s="51">
        <f t="shared" si="192"/>
        <v>0</v>
      </c>
      <c r="AM231" s="52">
        <v>200</v>
      </c>
      <c r="AN231" s="53">
        <f t="shared" si="193"/>
        <v>0</v>
      </c>
      <c r="AO231" s="52">
        <v>0</v>
      </c>
      <c r="AP231" s="110">
        <f t="shared" si="189"/>
        <v>0</v>
      </c>
    </row>
    <row r="232" spans="1:42" s="1" customFormat="1" ht="15" customHeight="1">
      <c r="A232" s="91">
        <f t="shared" si="182"/>
        <v>229</v>
      </c>
      <c r="B232" s="34" t="s">
        <v>446</v>
      </c>
      <c r="C232" s="35" t="s">
        <v>661</v>
      </c>
      <c r="D232" s="35" t="s">
        <v>662</v>
      </c>
      <c r="E232" s="33" t="s">
        <v>663</v>
      </c>
      <c r="F232" s="34" t="s">
        <v>12</v>
      </c>
      <c r="G232" s="37" t="s">
        <v>103</v>
      </c>
      <c r="H232" s="37">
        <v>28</v>
      </c>
      <c r="I232" s="34">
        <v>35000</v>
      </c>
      <c r="J232" s="34">
        <v>35070</v>
      </c>
      <c r="K232" s="34" t="s">
        <v>120</v>
      </c>
      <c r="L232" s="39">
        <v>45890</v>
      </c>
      <c r="M232" s="40" t="s">
        <v>121</v>
      </c>
      <c r="N232" s="39" t="s">
        <v>122</v>
      </c>
      <c r="O232" s="39">
        <v>45881</v>
      </c>
      <c r="P232" s="39">
        <v>45907</v>
      </c>
      <c r="Q232" s="39">
        <v>45892</v>
      </c>
      <c r="R232" s="39">
        <v>45992</v>
      </c>
      <c r="S232" s="39">
        <v>45995</v>
      </c>
      <c r="T232" s="39">
        <v>45999</v>
      </c>
      <c r="U232" s="39">
        <v>46004</v>
      </c>
      <c r="V232" s="39">
        <v>46007</v>
      </c>
      <c r="W232" s="39">
        <v>46007</v>
      </c>
      <c r="X232" s="39">
        <v>46007</v>
      </c>
      <c r="Y232" s="39">
        <v>46011</v>
      </c>
      <c r="Z232" s="39">
        <v>46011</v>
      </c>
      <c r="AA232" s="39">
        <v>46011</v>
      </c>
      <c r="AB232" s="39">
        <v>46011</v>
      </c>
      <c r="AC232" s="39">
        <v>46013</v>
      </c>
      <c r="AD232" s="44" t="s">
        <v>641</v>
      </c>
      <c r="AE232" s="54">
        <f t="shared" si="187"/>
        <v>4</v>
      </c>
      <c r="AF232" s="36">
        <v>7</v>
      </c>
      <c r="AG232" s="51">
        <f t="shared" si="190"/>
        <v>0</v>
      </c>
      <c r="AH232" s="52">
        <v>200</v>
      </c>
      <c r="AI232" s="53">
        <f t="shared" si="191"/>
        <v>0</v>
      </c>
      <c r="AJ232" s="54">
        <f t="shared" si="188"/>
        <v>2</v>
      </c>
      <c r="AK232" s="36">
        <v>2</v>
      </c>
      <c r="AL232" s="51">
        <f t="shared" si="192"/>
        <v>0</v>
      </c>
      <c r="AM232" s="52">
        <v>200</v>
      </c>
      <c r="AN232" s="53">
        <f t="shared" si="193"/>
        <v>0</v>
      </c>
      <c r="AO232" s="52"/>
      <c r="AP232" s="55">
        <f t="shared" si="189"/>
        <v>0</v>
      </c>
    </row>
    <row r="233" spans="1:42" s="1" customFormat="1" ht="15" customHeight="1">
      <c r="A233" s="91">
        <f t="shared" si="182"/>
        <v>230</v>
      </c>
      <c r="B233" s="34" t="s">
        <v>446</v>
      </c>
      <c r="C233" s="35" t="s">
        <v>664</v>
      </c>
      <c r="D233" s="35" t="s">
        <v>665</v>
      </c>
      <c r="E233" s="34" t="s">
        <v>666</v>
      </c>
      <c r="F233" s="34" t="s">
        <v>12</v>
      </c>
      <c r="G233" s="37" t="s">
        <v>103</v>
      </c>
      <c r="H233" s="37">
        <v>28</v>
      </c>
      <c r="I233" s="34">
        <v>35000</v>
      </c>
      <c r="J233" s="34">
        <v>35070</v>
      </c>
      <c r="K233" s="34" t="s">
        <v>120</v>
      </c>
      <c r="L233" s="39">
        <v>45890</v>
      </c>
      <c r="M233" s="40" t="s">
        <v>121</v>
      </c>
      <c r="N233" s="39" t="s">
        <v>122</v>
      </c>
      <c r="O233" s="39">
        <v>45881</v>
      </c>
      <c r="P233" s="39">
        <v>45907</v>
      </c>
      <c r="Q233" s="39">
        <v>45892</v>
      </c>
      <c r="R233" s="39">
        <v>45992</v>
      </c>
      <c r="S233" s="39">
        <v>45995</v>
      </c>
      <c r="T233" s="39">
        <v>45999</v>
      </c>
      <c r="U233" s="39">
        <v>46004</v>
      </c>
      <c r="V233" s="39">
        <v>46007</v>
      </c>
      <c r="W233" s="39">
        <v>46007</v>
      </c>
      <c r="X233" s="39">
        <v>46007</v>
      </c>
      <c r="Y233" s="39">
        <v>46010</v>
      </c>
      <c r="Z233" s="39">
        <v>46010</v>
      </c>
      <c r="AA233" s="39">
        <v>46011</v>
      </c>
      <c r="AB233" s="39">
        <v>46011</v>
      </c>
      <c r="AC233" s="39">
        <v>46013</v>
      </c>
      <c r="AD233" s="44" t="s">
        <v>641</v>
      </c>
      <c r="AE233" s="54">
        <f t="shared" si="187"/>
        <v>3</v>
      </c>
      <c r="AF233" s="36">
        <v>7</v>
      </c>
      <c r="AG233" s="51">
        <f t="shared" si="190"/>
        <v>0</v>
      </c>
      <c r="AH233" s="52">
        <v>200</v>
      </c>
      <c r="AI233" s="53">
        <f t="shared" si="191"/>
        <v>0</v>
      </c>
      <c r="AJ233" s="54">
        <f t="shared" si="188"/>
        <v>2</v>
      </c>
      <c r="AK233" s="36">
        <v>2</v>
      </c>
      <c r="AL233" s="51">
        <f t="shared" si="192"/>
        <v>0</v>
      </c>
      <c r="AM233" s="52">
        <v>200</v>
      </c>
      <c r="AN233" s="53">
        <f t="shared" si="193"/>
        <v>0</v>
      </c>
      <c r="AO233" s="52"/>
      <c r="AP233" s="55">
        <f t="shared" si="189"/>
        <v>0</v>
      </c>
    </row>
    <row r="234" spans="1:42" s="68" customFormat="1" ht="15" customHeight="1">
      <c r="A234" s="91">
        <f t="shared" ref="A234:A273" si="194">ROW()-3</f>
        <v>231</v>
      </c>
      <c r="B234" s="34" t="s">
        <v>446</v>
      </c>
      <c r="C234" s="35" t="s">
        <v>667</v>
      </c>
      <c r="D234" s="35" t="s">
        <v>668</v>
      </c>
      <c r="E234" s="33" t="s">
        <v>669</v>
      </c>
      <c r="F234" s="34" t="s">
        <v>215</v>
      </c>
      <c r="G234" s="34" t="s">
        <v>103</v>
      </c>
      <c r="H234" s="37">
        <v>24</v>
      </c>
      <c r="I234" s="34">
        <v>30000</v>
      </c>
      <c r="J234" s="34">
        <v>30084</v>
      </c>
      <c r="K234" s="34" t="s">
        <v>85</v>
      </c>
      <c r="L234" s="39">
        <v>45890</v>
      </c>
      <c r="M234" s="40" t="s">
        <v>121</v>
      </c>
      <c r="N234" s="39" t="s">
        <v>122</v>
      </c>
      <c r="O234" s="39">
        <v>45881</v>
      </c>
      <c r="P234" s="39">
        <v>45907</v>
      </c>
      <c r="Q234" s="39">
        <v>45892</v>
      </c>
      <c r="R234" s="39">
        <v>45940</v>
      </c>
      <c r="S234" s="39">
        <v>45941</v>
      </c>
      <c r="T234" s="39">
        <v>45943</v>
      </c>
      <c r="U234" s="39">
        <v>45958</v>
      </c>
      <c r="V234" s="39">
        <v>45967</v>
      </c>
      <c r="W234" s="39">
        <v>45967</v>
      </c>
      <c r="X234" s="39">
        <v>45967</v>
      </c>
      <c r="Y234" s="39">
        <v>45973</v>
      </c>
      <c r="Z234" s="39">
        <v>45973</v>
      </c>
      <c r="AA234" s="39">
        <v>45974</v>
      </c>
      <c r="AB234" s="39">
        <v>45975</v>
      </c>
      <c r="AC234" s="39">
        <v>45976</v>
      </c>
      <c r="AD234" s="190" t="s">
        <v>641</v>
      </c>
      <c r="AE234" s="54">
        <f t="shared" ref="AE234:AE273" si="195">MAX(0,Y234-X234)</f>
        <v>6</v>
      </c>
      <c r="AF234" s="106">
        <v>7</v>
      </c>
      <c r="AG234" s="107">
        <f t="shared" ref="AG234:AG273" si="196">MAX(0,AE234-AF234)</f>
        <v>0</v>
      </c>
      <c r="AH234" s="108">
        <v>200</v>
      </c>
      <c r="AI234" s="109">
        <f t="shared" ref="AI234:AI273" si="197">MAX(0,AG234*AH234)</f>
        <v>0</v>
      </c>
      <c r="AJ234" s="54">
        <f t="shared" ref="AJ234:AJ273" si="198">MAX(0,AC234-AB234)</f>
        <v>1</v>
      </c>
      <c r="AK234" s="106">
        <v>2</v>
      </c>
      <c r="AL234" s="107">
        <f t="shared" ref="AL234:AL273" si="199">MAX(0,AJ234-AK234)</f>
        <v>0</v>
      </c>
      <c r="AM234" s="108">
        <v>200</v>
      </c>
      <c r="AN234" s="109">
        <f t="shared" ref="AN234:AN273" si="200">MAX(0,AL234*AM234)</f>
        <v>0</v>
      </c>
      <c r="AO234" s="108">
        <v>0</v>
      </c>
      <c r="AP234" s="110">
        <f t="shared" si="189"/>
        <v>0</v>
      </c>
    </row>
    <row r="235" spans="1:42" s="68" customFormat="1" ht="15" customHeight="1">
      <c r="A235" s="91">
        <f t="shared" si="194"/>
        <v>232</v>
      </c>
      <c r="B235" s="34" t="s">
        <v>446</v>
      </c>
      <c r="C235" s="35" t="s">
        <v>670</v>
      </c>
      <c r="D235" s="35" t="s">
        <v>671</v>
      </c>
      <c r="E235" s="33" t="s">
        <v>672</v>
      </c>
      <c r="F235" s="34" t="s">
        <v>215</v>
      </c>
      <c r="G235" s="34" t="s">
        <v>103</v>
      </c>
      <c r="H235" s="37">
        <v>28</v>
      </c>
      <c r="I235" s="34">
        <v>35000</v>
      </c>
      <c r="J235" s="34">
        <v>35098</v>
      </c>
      <c r="K235" s="34" t="s">
        <v>85</v>
      </c>
      <c r="L235" s="39">
        <v>45890</v>
      </c>
      <c r="M235" s="40" t="s">
        <v>121</v>
      </c>
      <c r="N235" s="39" t="s">
        <v>122</v>
      </c>
      <c r="O235" s="39">
        <v>45881</v>
      </c>
      <c r="P235" s="39">
        <v>45907</v>
      </c>
      <c r="Q235" s="39">
        <v>45892</v>
      </c>
      <c r="R235" s="39">
        <v>45942</v>
      </c>
      <c r="S235" s="39">
        <v>45943</v>
      </c>
      <c r="T235" s="39">
        <v>45950</v>
      </c>
      <c r="U235" s="39">
        <v>45954</v>
      </c>
      <c r="V235" s="39">
        <v>45968</v>
      </c>
      <c r="W235" s="39">
        <v>45968</v>
      </c>
      <c r="X235" s="39">
        <v>45968</v>
      </c>
      <c r="Y235" s="39">
        <v>45973</v>
      </c>
      <c r="Z235" s="39">
        <v>45973</v>
      </c>
      <c r="AA235" s="39">
        <v>45973</v>
      </c>
      <c r="AB235" s="39">
        <v>45973</v>
      </c>
      <c r="AC235" s="39">
        <v>45976</v>
      </c>
      <c r="AD235" s="190" t="s">
        <v>641</v>
      </c>
      <c r="AE235" s="54">
        <f t="shared" si="195"/>
        <v>5</v>
      </c>
      <c r="AF235" s="36">
        <v>7</v>
      </c>
      <c r="AG235" s="51">
        <f t="shared" si="196"/>
        <v>0</v>
      </c>
      <c r="AH235" s="52">
        <v>200</v>
      </c>
      <c r="AI235" s="53">
        <f t="shared" si="197"/>
        <v>0</v>
      </c>
      <c r="AJ235" s="54">
        <f t="shared" si="198"/>
        <v>3</v>
      </c>
      <c r="AK235" s="36">
        <v>2</v>
      </c>
      <c r="AL235" s="51">
        <f t="shared" si="199"/>
        <v>1</v>
      </c>
      <c r="AM235" s="52">
        <v>200</v>
      </c>
      <c r="AN235" s="53">
        <f t="shared" si="200"/>
        <v>200</v>
      </c>
      <c r="AO235" s="52">
        <v>0</v>
      </c>
      <c r="AP235" s="110">
        <f t="shared" si="189"/>
        <v>200</v>
      </c>
    </row>
    <row r="236" spans="1:42" s="1" customFormat="1" ht="12" customHeight="1">
      <c r="A236" s="91">
        <f t="shared" si="194"/>
        <v>233</v>
      </c>
      <c r="B236" s="34" t="s">
        <v>446</v>
      </c>
      <c r="C236" s="39" t="s">
        <v>673</v>
      </c>
      <c r="D236" s="93" t="s">
        <v>674</v>
      </c>
      <c r="E236" s="36" t="s">
        <v>675</v>
      </c>
      <c r="F236" s="34" t="s">
        <v>215</v>
      </c>
      <c r="G236" s="34" t="s">
        <v>103</v>
      </c>
      <c r="H236" s="36">
        <v>28</v>
      </c>
      <c r="I236" s="93">
        <v>35000</v>
      </c>
      <c r="J236" s="93">
        <v>35098</v>
      </c>
      <c r="K236" s="34" t="s">
        <v>85</v>
      </c>
      <c r="L236" s="39">
        <v>45890</v>
      </c>
      <c r="M236" s="40" t="s">
        <v>121</v>
      </c>
      <c r="N236" s="39" t="s">
        <v>122</v>
      </c>
      <c r="O236" s="39">
        <v>45881</v>
      </c>
      <c r="P236" s="39">
        <v>45907</v>
      </c>
      <c r="Q236" s="39">
        <v>45892</v>
      </c>
      <c r="R236" s="39">
        <v>45943</v>
      </c>
      <c r="S236" s="39">
        <v>45944</v>
      </c>
      <c r="T236" s="39">
        <v>45947</v>
      </c>
      <c r="U236" s="39">
        <v>45949</v>
      </c>
      <c r="V236" s="39">
        <v>45952</v>
      </c>
      <c r="W236" s="39">
        <v>45952</v>
      </c>
      <c r="X236" s="39">
        <v>45952</v>
      </c>
      <c r="Y236" s="39">
        <v>45970</v>
      </c>
      <c r="Z236" s="39">
        <v>45970</v>
      </c>
      <c r="AA236" s="39">
        <v>45971</v>
      </c>
      <c r="AB236" s="39">
        <v>45971</v>
      </c>
      <c r="AC236" s="39">
        <v>45973</v>
      </c>
      <c r="AD236" s="190" t="s">
        <v>641</v>
      </c>
      <c r="AE236" s="54">
        <f t="shared" si="195"/>
        <v>18</v>
      </c>
      <c r="AF236" s="106">
        <v>7</v>
      </c>
      <c r="AG236" s="107">
        <f t="shared" si="196"/>
        <v>11</v>
      </c>
      <c r="AH236" s="108">
        <v>200</v>
      </c>
      <c r="AI236" s="109">
        <f t="shared" si="197"/>
        <v>2200</v>
      </c>
      <c r="AJ236" s="54">
        <f t="shared" si="198"/>
        <v>2</v>
      </c>
      <c r="AK236" s="106">
        <v>2</v>
      </c>
      <c r="AL236" s="107">
        <f t="shared" si="199"/>
        <v>0</v>
      </c>
      <c r="AM236" s="108">
        <v>200</v>
      </c>
      <c r="AN236" s="109">
        <f t="shared" si="200"/>
        <v>0</v>
      </c>
      <c r="AO236" s="108">
        <v>625</v>
      </c>
      <c r="AP236" s="110">
        <f t="shared" si="189"/>
        <v>2825</v>
      </c>
    </row>
    <row r="237" spans="1:42" s="68" customFormat="1" ht="15" customHeight="1">
      <c r="A237" s="91">
        <f t="shared" si="194"/>
        <v>234</v>
      </c>
      <c r="B237" s="34" t="s">
        <v>446</v>
      </c>
      <c r="C237" s="35" t="s">
        <v>237</v>
      </c>
      <c r="D237" s="35" t="s">
        <v>238</v>
      </c>
      <c r="E237" s="34" t="s">
        <v>239</v>
      </c>
      <c r="F237" s="34" t="s">
        <v>215</v>
      </c>
      <c r="G237" s="34" t="s">
        <v>103</v>
      </c>
      <c r="H237" s="37">
        <v>29</v>
      </c>
      <c r="I237" s="34">
        <v>36250</v>
      </c>
      <c r="J237" s="34">
        <v>36352</v>
      </c>
      <c r="K237" s="34" t="s">
        <v>85</v>
      </c>
      <c r="L237" s="39">
        <v>45890</v>
      </c>
      <c r="M237" s="40" t="s">
        <v>121</v>
      </c>
      <c r="N237" s="39" t="s">
        <v>122</v>
      </c>
      <c r="O237" s="39">
        <v>45881</v>
      </c>
      <c r="P237" s="39">
        <v>45907</v>
      </c>
      <c r="Q237" s="39">
        <v>45892</v>
      </c>
      <c r="R237" s="39">
        <v>45941</v>
      </c>
      <c r="S237" s="39">
        <v>45942</v>
      </c>
      <c r="T237" s="39">
        <v>45945</v>
      </c>
      <c r="U237" s="39">
        <v>45956</v>
      </c>
      <c r="V237" s="39">
        <v>45965</v>
      </c>
      <c r="W237" s="39">
        <v>45965</v>
      </c>
      <c r="X237" s="39">
        <v>45965</v>
      </c>
      <c r="Y237" s="39">
        <v>45967</v>
      </c>
      <c r="Z237" s="39">
        <v>45967</v>
      </c>
      <c r="AA237" s="39">
        <v>45968</v>
      </c>
      <c r="AB237" s="39">
        <v>45968</v>
      </c>
      <c r="AC237" s="39">
        <v>45971</v>
      </c>
      <c r="AD237" s="190" t="s">
        <v>641</v>
      </c>
      <c r="AE237" s="54">
        <f t="shared" si="195"/>
        <v>2</v>
      </c>
      <c r="AF237" s="106">
        <v>7</v>
      </c>
      <c r="AG237" s="107">
        <f t="shared" si="196"/>
        <v>0</v>
      </c>
      <c r="AH237" s="108">
        <v>200</v>
      </c>
      <c r="AI237" s="109">
        <f t="shared" si="197"/>
        <v>0</v>
      </c>
      <c r="AJ237" s="54">
        <f t="shared" si="198"/>
        <v>3</v>
      </c>
      <c r="AK237" s="106">
        <v>2</v>
      </c>
      <c r="AL237" s="107">
        <f t="shared" si="199"/>
        <v>1</v>
      </c>
      <c r="AM237" s="108">
        <v>200</v>
      </c>
      <c r="AN237" s="109">
        <f t="shared" si="200"/>
        <v>200</v>
      </c>
      <c r="AO237" s="108">
        <v>0</v>
      </c>
      <c r="AP237" s="110">
        <f t="shared" ref="AP237:AP273" si="201">AO237+AN237+AI237</f>
        <v>200</v>
      </c>
    </row>
    <row r="238" spans="1:42" s="68" customFormat="1" ht="15" customHeight="1">
      <c r="A238" s="91">
        <f t="shared" si="194"/>
        <v>235</v>
      </c>
      <c r="B238" s="34" t="s">
        <v>446</v>
      </c>
      <c r="C238" s="35" t="s">
        <v>661</v>
      </c>
      <c r="D238" s="35" t="s">
        <v>662</v>
      </c>
      <c r="E238" s="33" t="s">
        <v>663</v>
      </c>
      <c r="F238" s="34" t="s">
        <v>215</v>
      </c>
      <c r="G238" s="34" t="s">
        <v>103</v>
      </c>
      <c r="H238" s="37">
        <v>28</v>
      </c>
      <c r="I238" s="34">
        <v>35000</v>
      </c>
      <c r="J238" s="34">
        <v>35098</v>
      </c>
      <c r="K238" s="34" t="s">
        <v>85</v>
      </c>
      <c r="L238" s="39">
        <v>45890</v>
      </c>
      <c r="M238" s="40" t="s">
        <v>121</v>
      </c>
      <c r="N238" s="39" t="s">
        <v>122</v>
      </c>
      <c r="O238" s="39">
        <v>45881</v>
      </c>
      <c r="P238" s="39">
        <v>45907</v>
      </c>
      <c r="Q238" s="39">
        <v>45892</v>
      </c>
      <c r="R238" s="39">
        <v>45940</v>
      </c>
      <c r="S238" s="39">
        <v>45941</v>
      </c>
      <c r="T238" s="39">
        <v>45943</v>
      </c>
      <c r="U238" s="39">
        <v>45946</v>
      </c>
      <c r="V238" s="39">
        <v>45951</v>
      </c>
      <c r="W238" s="39">
        <v>45951</v>
      </c>
      <c r="X238" s="39">
        <v>45951</v>
      </c>
      <c r="Y238" s="39">
        <v>45966</v>
      </c>
      <c r="Z238" s="39">
        <v>45966</v>
      </c>
      <c r="AA238" s="39">
        <v>45967</v>
      </c>
      <c r="AB238" s="39">
        <v>45968</v>
      </c>
      <c r="AC238" s="39">
        <v>45970</v>
      </c>
      <c r="AD238" s="190" t="s">
        <v>641</v>
      </c>
      <c r="AE238" s="54">
        <f t="shared" ref="AE238:AE242" si="202">MAX(0,Y238-X238)</f>
        <v>15</v>
      </c>
      <c r="AF238" s="106">
        <v>7</v>
      </c>
      <c r="AG238" s="107">
        <f t="shared" ref="AG238:AG242" si="203">MAX(0,AE238-AF238)</f>
        <v>8</v>
      </c>
      <c r="AH238" s="108">
        <v>200</v>
      </c>
      <c r="AI238" s="53">
        <f t="shared" si="197"/>
        <v>1600</v>
      </c>
      <c r="AJ238" s="54">
        <f t="shared" si="198"/>
        <v>2</v>
      </c>
      <c r="AK238" s="36">
        <v>2</v>
      </c>
      <c r="AL238" s="51">
        <f t="shared" si="199"/>
        <v>0</v>
      </c>
      <c r="AM238" s="52">
        <v>200</v>
      </c>
      <c r="AN238" s="53">
        <f t="shared" si="200"/>
        <v>0</v>
      </c>
      <c r="AO238" s="52">
        <v>0</v>
      </c>
      <c r="AP238" s="55">
        <f t="shared" si="201"/>
        <v>1600</v>
      </c>
    </row>
    <row r="239" spans="1:42" s="1" customFormat="1" ht="12.75">
      <c r="A239" s="91">
        <f t="shared" si="194"/>
        <v>236</v>
      </c>
      <c r="B239" s="34" t="s">
        <v>446</v>
      </c>
      <c r="C239" s="35" t="s">
        <v>370</v>
      </c>
      <c r="D239" s="93" t="s">
        <v>676</v>
      </c>
      <c r="E239" s="34" t="s">
        <v>372</v>
      </c>
      <c r="F239" s="34" t="s">
        <v>215</v>
      </c>
      <c r="G239" s="34" t="s">
        <v>103</v>
      </c>
      <c r="H239" s="36">
        <v>28</v>
      </c>
      <c r="I239" s="93">
        <v>35000</v>
      </c>
      <c r="J239" s="93">
        <v>35098</v>
      </c>
      <c r="K239" s="34" t="s">
        <v>85</v>
      </c>
      <c r="L239" s="39">
        <v>45890</v>
      </c>
      <c r="M239" s="40" t="s">
        <v>121</v>
      </c>
      <c r="N239" s="39" t="s">
        <v>122</v>
      </c>
      <c r="O239" s="39">
        <v>45881</v>
      </c>
      <c r="P239" s="39">
        <v>45907</v>
      </c>
      <c r="Q239" s="39">
        <v>45892</v>
      </c>
      <c r="R239" s="39">
        <v>45943</v>
      </c>
      <c r="S239" s="39">
        <v>45944</v>
      </c>
      <c r="T239" s="39">
        <v>45953</v>
      </c>
      <c r="U239" s="39">
        <v>45958</v>
      </c>
      <c r="V239" s="39">
        <v>45960</v>
      </c>
      <c r="W239" s="39">
        <v>45960</v>
      </c>
      <c r="X239" s="39">
        <v>45960</v>
      </c>
      <c r="Y239" s="39">
        <v>45965</v>
      </c>
      <c r="Z239" s="39">
        <v>45965</v>
      </c>
      <c r="AA239" s="39">
        <v>45966</v>
      </c>
      <c r="AB239" s="39">
        <v>45966</v>
      </c>
      <c r="AC239" s="39">
        <v>45969</v>
      </c>
      <c r="AD239" s="190" t="s">
        <v>641</v>
      </c>
      <c r="AE239" s="54">
        <f t="shared" si="202"/>
        <v>5</v>
      </c>
      <c r="AF239" s="106">
        <v>7</v>
      </c>
      <c r="AG239" s="107">
        <f t="shared" si="203"/>
        <v>0</v>
      </c>
      <c r="AH239" s="108">
        <v>200</v>
      </c>
      <c r="AI239" s="109">
        <f t="shared" si="197"/>
        <v>0</v>
      </c>
      <c r="AJ239" s="54">
        <f t="shared" si="198"/>
        <v>3</v>
      </c>
      <c r="AK239" s="106">
        <v>2</v>
      </c>
      <c r="AL239" s="107">
        <f t="shared" si="199"/>
        <v>1</v>
      </c>
      <c r="AM239" s="108">
        <v>200</v>
      </c>
      <c r="AN239" s="109">
        <f t="shared" si="200"/>
        <v>200</v>
      </c>
      <c r="AO239" s="108">
        <v>25</v>
      </c>
      <c r="AP239" s="110">
        <f t="shared" si="201"/>
        <v>225</v>
      </c>
    </row>
    <row r="240" spans="1:42" s="68" customFormat="1" ht="15" customHeight="1">
      <c r="A240" s="91">
        <f t="shared" si="194"/>
        <v>237</v>
      </c>
      <c r="B240" s="34" t="s">
        <v>446</v>
      </c>
      <c r="C240" s="35" t="s">
        <v>453</v>
      </c>
      <c r="D240" s="35" t="s">
        <v>454</v>
      </c>
      <c r="E240" s="34" t="s">
        <v>455</v>
      </c>
      <c r="F240" s="34" t="s">
        <v>215</v>
      </c>
      <c r="G240" s="34" t="s">
        <v>103</v>
      </c>
      <c r="H240" s="37">
        <v>29</v>
      </c>
      <c r="I240" s="34">
        <v>36250</v>
      </c>
      <c r="J240" s="34">
        <v>36352</v>
      </c>
      <c r="K240" s="34" t="s">
        <v>85</v>
      </c>
      <c r="L240" s="39">
        <v>45890</v>
      </c>
      <c r="M240" s="40" t="s">
        <v>121</v>
      </c>
      <c r="N240" s="39" t="s">
        <v>122</v>
      </c>
      <c r="O240" s="39">
        <v>45881</v>
      </c>
      <c r="P240" s="39">
        <v>45907</v>
      </c>
      <c r="Q240" s="39">
        <v>45892</v>
      </c>
      <c r="R240" s="39">
        <v>45942</v>
      </c>
      <c r="S240" s="39">
        <v>45943</v>
      </c>
      <c r="T240" s="39">
        <v>45950</v>
      </c>
      <c r="U240" s="39">
        <v>45953</v>
      </c>
      <c r="V240" s="39">
        <v>45955</v>
      </c>
      <c r="W240" s="39">
        <v>45955</v>
      </c>
      <c r="X240" s="39">
        <v>45955</v>
      </c>
      <c r="Y240" s="39">
        <v>45965</v>
      </c>
      <c r="Z240" s="39">
        <v>45965</v>
      </c>
      <c r="AA240" s="39">
        <v>45966</v>
      </c>
      <c r="AB240" s="39">
        <v>45966</v>
      </c>
      <c r="AC240" s="39">
        <v>45968</v>
      </c>
      <c r="AD240" s="190" t="s">
        <v>641</v>
      </c>
      <c r="AE240" s="54">
        <f t="shared" si="202"/>
        <v>10</v>
      </c>
      <c r="AF240" s="36">
        <v>7</v>
      </c>
      <c r="AG240" s="51">
        <f t="shared" si="203"/>
        <v>3</v>
      </c>
      <c r="AH240" s="52">
        <v>200</v>
      </c>
      <c r="AI240" s="53">
        <f t="shared" si="197"/>
        <v>600</v>
      </c>
      <c r="AJ240" s="54">
        <f t="shared" si="198"/>
        <v>2</v>
      </c>
      <c r="AK240" s="36">
        <v>2</v>
      </c>
      <c r="AL240" s="51">
        <f t="shared" si="199"/>
        <v>0</v>
      </c>
      <c r="AM240" s="52">
        <v>200</v>
      </c>
      <c r="AN240" s="53">
        <f t="shared" si="200"/>
        <v>0</v>
      </c>
      <c r="AO240" s="52">
        <v>200</v>
      </c>
      <c r="AP240" s="55">
        <f t="shared" si="201"/>
        <v>800</v>
      </c>
    </row>
    <row r="241" spans="1:42" s="1" customFormat="1" ht="12.75">
      <c r="A241" s="91">
        <f t="shared" si="194"/>
        <v>238</v>
      </c>
      <c r="B241" s="34" t="s">
        <v>446</v>
      </c>
      <c r="C241" s="35" t="s">
        <v>431</v>
      </c>
      <c r="D241" s="93" t="s">
        <v>677</v>
      </c>
      <c r="E241" s="33" t="s">
        <v>433</v>
      </c>
      <c r="F241" s="34" t="s">
        <v>215</v>
      </c>
      <c r="G241" s="34" t="s">
        <v>103</v>
      </c>
      <c r="H241" s="36">
        <v>28</v>
      </c>
      <c r="I241" s="93">
        <v>35000</v>
      </c>
      <c r="J241" s="93">
        <v>35098</v>
      </c>
      <c r="K241" s="34" t="s">
        <v>85</v>
      </c>
      <c r="L241" s="39">
        <v>45890</v>
      </c>
      <c r="M241" s="40" t="s">
        <v>121</v>
      </c>
      <c r="N241" s="39" t="s">
        <v>122</v>
      </c>
      <c r="O241" s="39">
        <v>45881</v>
      </c>
      <c r="P241" s="39">
        <v>45907</v>
      </c>
      <c r="Q241" s="39">
        <v>45892</v>
      </c>
      <c r="R241" s="39">
        <v>45943</v>
      </c>
      <c r="S241" s="39">
        <v>45944</v>
      </c>
      <c r="T241" s="39">
        <v>45947</v>
      </c>
      <c r="U241" s="39">
        <v>45950</v>
      </c>
      <c r="V241" s="39">
        <v>45953</v>
      </c>
      <c r="W241" s="39">
        <v>45953</v>
      </c>
      <c r="X241" s="39">
        <v>45953</v>
      </c>
      <c r="Y241" s="39">
        <v>45960</v>
      </c>
      <c r="Z241" s="39">
        <v>45965</v>
      </c>
      <c r="AA241" s="39">
        <v>45965</v>
      </c>
      <c r="AB241" s="39">
        <v>45965</v>
      </c>
      <c r="AC241" s="39">
        <v>45966</v>
      </c>
      <c r="AD241" s="190" t="s">
        <v>641</v>
      </c>
      <c r="AE241" s="54">
        <f t="shared" si="202"/>
        <v>7</v>
      </c>
      <c r="AF241" s="36">
        <v>7</v>
      </c>
      <c r="AG241" s="51">
        <f t="shared" si="203"/>
        <v>0</v>
      </c>
      <c r="AH241" s="52">
        <v>200</v>
      </c>
      <c r="AI241" s="53">
        <f t="shared" si="197"/>
        <v>0</v>
      </c>
      <c r="AJ241" s="54">
        <f t="shared" si="198"/>
        <v>1</v>
      </c>
      <c r="AK241" s="36">
        <v>2</v>
      </c>
      <c r="AL241" s="51">
        <f t="shared" si="199"/>
        <v>0</v>
      </c>
      <c r="AM241" s="52">
        <v>200</v>
      </c>
      <c r="AN241" s="53">
        <f t="shared" si="200"/>
        <v>0</v>
      </c>
      <c r="AO241" s="52"/>
      <c r="AP241" s="55">
        <f t="shared" si="201"/>
        <v>0</v>
      </c>
    </row>
    <row r="242" spans="1:42" s="1" customFormat="1" ht="12.75">
      <c r="A242" s="91">
        <f t="shared" si="194"/>
        <v>239</v>
      </c>
      <c r="B242" s="34" t="s">
        <v>446</v>
      </c>
      <c r="C242" s="35" t="s">
        <v>678</v>
      </c>
      <c r="D242" s="93" t="s">
        <v>679</v>
      </c>
      <c r="E242" s="92" t="s">
        <v>680</v>
      </c>
      <c r="F242" s="34" t="s">
        <v>215</v>
      </c>
      <c r="G242" s="34" t="s">
        <v>103</v>
      </c>
      <c r="H242" s="36">
        <v>28</v>
      </c>
      <c r="I242" s="93">
        <v>35000</v>
      </c>
      <c r="J242" s="93">
        <v>35098</v>
      </c>
      <c r="K242" s="34" t="s">
        <v>85</v>
      </c>
      <c r="L242" s="39">
        <v>45890</v>
      </c>
      <c r="M242" s="40" t="s">
        <v>121</v>
      </c>
      <c r="N242" s="39" t="s">
        <v>122</v>
      </c>
      <c r="O242" s="39">
        <v>45881</v>
      </c>
      <c r="P242" s="39">
        <v>45907</v>
      </c>
      <c r="Q242" s="39">
        <v>45892</v>
      </c>
      <c r="R242" s="39">
        <v>45943</v>
      </c>
      <c r="S242" s="39">
        <v>45944</v>
      </c>
      <c r="T242" s="39">
        <v>45948</v>
      </c>
      <c r="U242" s="39">
        <v>45952</v>
      </c>
      <c r="V242" s="39">
        <v>45954</v>
      </c>
      <c r="W242" s="39">
        <v>45954</v>
      </c>
      <c r="X242" s="39">
        <v>45954</v>
      </c>
      <c r="Y242" s="39">
        <v>45962</v>
      </c>
      <c r="Z242" s="39">
        <v>45962</v>
      </c>
      <c r="AA242" s="39">
        <v>45963</v>
      </c>
      <c r="AB242" s="39">
        <v>45963</v>
      </c>
      <c r="AC242" s="39">
        <v>45966</v>
      </c>
      <c r="AD242" s="190" t="s">
        <v>641</v>
      </c>
      <c r="AE242" s="54">
        <f t="shared" si="202"/>
        <v>8</v>
      </c>
      <c r="AF242" s="106">
        <v>7</v>
      </c>
      <c r="AG242" s="107">
        <f t="shared" si="203"/>
        <v>1</v>
      </c>
      <c r="AH242" s="108">
        <v>200</v>
      </c>
      <c r="AI242" s="109">
        <f t="shared" si="197"/>
        <v>200</v>
      </c>
      <c r="AJ242" s="54">
        <f t="shared" si="198"/>
        <v>3</v>
      </c>
      <c r="AK242" s="106">
        <v>2</v>
      </c>
      <c r="AL242" s="107">
        <f t="shared" si="199"/>
        <v>1</v>
      </c>
      <c r="AM242" s="108">
        <v>200</v>
      </c>
      <c r="AN242" s="109">
        <f t="shared" si="200"/>
        <v>200</v>
      </c>
      <c r="AO242" s="108"/>
      <c r="AP242" s="110">
        <f t="shared" si="201"/>
        <v>400</v>
      </c>
    </row>
    <row r="243" spans="1:42" s="1" customFormat="1" ht="12.75">
      <c r="A243" s="91">
        <f t="shared" si="194"/>
        <v>240</v>
      </c>
      <c r="B243" s="34" t="s">
        <v>446</v>
      </c>
      <c r="C243" s="35" t="s">
        <v>459</v>
      </c>
      <c r="D243" s="93" t="s">
        <v>681</v>
      </c>
      <c r="E243" s="34" t="s">
        <v>461</v>
      </c>
      <c r="F243" s="34" t="s">
        <v>215</v>
      </c>
      <c r="G243" s="34" t="s">
        <v>103</v>
      </c>
      <c r="H243" s="36">
        <v>28</v>
      </c>
      <c r="I243" s="93">
        <v>35000</v>
      </c>
      <c r="J243" s="93">
        <v>35098</v>
      </c>
      <c r="K243" s="34" t="s">
        <v>85</v>
      </c>
      <c r="L243" s="39">
        <v>45890</v>
      </c>
      <c r="M243" s="40" t="s">
        <v>121</v>
      </c>
      <c r="N243" s="39" t="s">
        <v>122</v>
      </c>
      <c r="O243" s="39">
        <v>45881</v>
      </c>
      <c r="P243" s="39">
        <v>45907</v>
      </c>
      <c r="Q243" s="39">
        <v>45892</v>
      </c>
      <c r="R243" s="39">
        <v>45943</v>
      </c>
      <c r="S243" s="39">
        <v>45944</v>
      </c>
      <c r="T243" s="39">
        <v>45950</v>
      </c>
      <c r="U243" s="39">
        <v>45954</v>
      </c>
      <c r="V243" s="39">
        <v>45957</v>
      </c>
      <c r="W243" s="39">
        <v>45957</v>
      </c>
      <c r="X243" s="39">
        <v>45957</v>
      </c>
      <c r="Y243" s="39">
        <v>45962</v>
      </c>
      <c r="Z243" s="39">
        <v>45962</v>
      </c>
      <c r="AA243" s="39">
        <v>45963</v>
      </c>
      <c r="AB243" s="39">
        <v>45963</v>
      </c>
      <c r="AC243" s="39">
        <v>45966</v>
      </c>
      <c r="AD243" s="190" t="s">
        <v>641</v>
      </c>
      <c r="AE243" s="54">
        <f t="shared" si="195"/>
        <v>5</v>
      </c>
      <c r="AF243" s="106">
        <v>7</v>
      </c>
      <c r="AG243" s="107">
        <f t="shared" si="196"/>
        <v>0</v>
      </c>
      <c r="AH243" s="108">
        <v>200</v>
      </c>
      <c r="AI243" s="109">
        <f t="shared" si="197"/>
        <v>0</v>
      </c>
      <c r="AJ243" s="54">
        <f t="shared" si="198"/>
        <v>3</v>
      </c>
      <c r="AK243" s="36">
        <v>2</v>
      </c>
      <c r="AL243" s="51">
        <f t="shared" si="199"/>
        <v>1</v>
      </c>
      <c r="AM243" s="52">
        <v>200</v>
      </c>
      <c r="AN243" s="53">
        <f t="shared" si="200"/>
        <v>200</v>
      </c>
      <c r="AO243" s="52"/>
      <c r="AP243" s="55">
        <f t="shared" si="201"/>
        <v>200</v>
      </c>
    </row>
    <row r="244" spans="1:42" s="1" customFormat="1" ht="12.75">
      <c r="A244" s="91">
        <f t="shared" si="194"/>
        <v>241</v>
      </c>
      <c r="B244" s="34" t="s">
        <v>446</v>
      </c>
      <c r="C244" s="35" t="s">
        <v>492</v>
      </c>
      <c r="D244" s="93" t="s">
        <v>682</v>
      </c>
      <c r="E244" s="36" t="s">
        <v>494</v>
      </c>
      <c r="F244" s="34" t="s">
        <v>215</v>
      </c>
      <c r="G244" s="34" t="s">
        <v>103</v>
      </c>
      <c r="H244" s="36">
        <v>29</v>
      </c>
      <c r="I244" s="93">
        <v>35000</v>
      </c>
      <c r="J244" s="93">
        <v>35098</v>
      </c>
      <c r="K244" s="34" t="s">
        <v>85</v>
      </c>
      <c r="L244" s="39">
        <v>45890</v>
      </c>
      <c r="M244" s="40" t="s">
        <v>121</v>
      </c>
      <c r="N244" s="39" t="s">
        <v>122</v>
      </c>
      <c r="O244" s="39">
        <v>45881</v>
      </c>
      <c r="P244" s="39">
        <v>45907</v>
      </c>
      <c r="Q244" s="39">
        <v>45892</v>
      </c>
      <c r="R244" s="39">
        <v>45941</v>
      </c>
      <c r="S244" s="39">
        <v>45944</v>
      </c>
      <c r="T244" s="39">
        <v>45948</v>
      </c>
      <c r="U244" s="39">
        <v>45952</v>
      </c>
      <c r="V244" s="39">
        <v>45954</v>
      </c>
      <c r="W244" s="39">
        <v>45954</v>
      </c>
      <c r="X244" s="39">
        <v>45954</v>
      </c>
      <c r="Y244" s="39">
        <v>45962</v>
      </c>
      <c r="Z244" s="39">
        <v>45962</v>
      </c>
      <c r="AA244" s="39">
        <v>45963</v>
      </c>
      <c r="AB244" s="39">
        <v>45963</v>
      </c>
      <c r="AC244" s="39">
        <v>45966</v>
      </c>
      <c r="AD244" s="190" t="s">
        <v>641</v>
      </c>
      <c r="AE244" s="54">
        <f t="shared" si="195"/>
        <v>8</v>
      </c>
      <c r="AF244" s="36">
        <v>7</v>
      </c>
      <c r="AG244" s="51">
        <f t="shared" si="196"/>
        <v>1</v>
      </c>
      <c r="AH244" s="52">
        <v>200</v>
      </c>
      <c r="AI244" s="53">
        <f t="shared" si="197"/>
        <v>200</v>
      </c>
      <c r="AJ244" s="54">
        <f t="shared" si="198"/>
        <v>3</v>
      </c>
      <c r="AK244" s="106">
        <v>2</v>
      </c>
      <c r="AL244" s="107">
        <f t="shared" si="199"/>
        <v>1</v>
      </c>
      <c r="AM244" s="108">
        <v>200</v>
      </c>
      <c r="AN244" s="109">
        <f t="shared" si="200"/>
        <v>200</v>
      </c>
      <c r="AO244" s="108"/>
      <c r="AP244" s="110">
        <f t="shared" si="201"/>
        <v>400</v>
      </c>
    </row>
    <row r="245" spans="1:42" s="68" customFormat="1" ht="15" customHeight="1">
      <c r="A245" s="91">
        <f t="shared" si="194"/>
        <v>242</v>
      </c>
      <c r="B245" s="34" t="s">
        <v>446</v>
      </c>
      <c r="C245" s="39" t="s">
        <v>683</v>
      </c>
      <c r="D245" s="39" t="s">
        <v>684</v>
      </c>
      <c r="E245" s="33" t="s">
        <v>685</v>
      </c>
      <c r="F245" s="34" t="s">
        <v>215</v>
      </c>
      <c r="G245" s="34" t="s">
        <v>103</v>
      </c>
      <c r="H245" s="37">
        <v>29</v>
      </c>
      <c r="I245" s="34">
        <v>36250</v>
      </c>
      <c r="J245" s="34">
        <v>36352</v>
      </c>
      <c r="K245" s="34" t="s">
        <v>85</v>
      </c>
      <c r="L245" s="39">
        <v>45890</v>
      </c>
      <c r="M245" s="40" t="s">
        <v>121</v>
      </c>
      <c r="N245" s="39" t="s">
        <v>122</v>
      </c>
      <c r="O245" s="39">
        <v>45881</v>
      </c>
      <c r="P245" s="39">
        <v>45907</v>
      </c>
      <c r="Q245" s="39">
        <v>45892</v>
      </c>
      <c r="R245" s="39">
        <v>45942</v>
      </c>
      <c r="S245" s="39">
        <v>45943</v>
      </c>
      <c r="T245" s="39">
        <v>45946</v>
      </c>
      <c r="U245" s="39">
        <v>45949</v>
      </c>
      <c r="V245" s="39">
        <v>45955</v>
      </c>
      <c r="W245" s="39">
        <v>45955</v>
      </c>
      <c r="X245" s="39">
        <v>45955</v>
      </c>
      <c r="Y245" s="39">
        <v>45965</v>
      </c>
      <c r="Z245" s="39">
        <v>45965</v>
      </c>
      <c r="AA245" s="39">
        <v>45965</v>
      </c>
      <c r="AB245" s="39">
        <v>45965</v>
      </c>
      <c r="AC245" s="39">
        <v>45965</v>
      </c>
      <c r="AD245" s="190" t="s">
        <v>641</v>
      </c>
      <c r="AE245" s="54">
        <f t="shared" si="195"/>
        <v>10</v>
      </c>
      <c r="AF245" s="106">
        <v>7</v>
      </c>
      <c r="AG245" s="107">
        <f t="shared" si="196"/>
        <v>3</v>
      </c>
      <c r="AH245" s="108">
        <v>200</v>
      </c>
      <c r="AI245" s="109">
        <f t="shared" si="197"/>
        <v>600</v>
      </c>
      <c r="AJ245" s="54">
        <f t="shared" si="198"/>
        <v>0</v>
      </c>
      <c r="AK245" s="106">
        <v>2</v>
      </c>
      <c r="AL245" s="107">
        <f t="shared" si="199"/>
        <v>0</v>
      </c>
      <c r="AM245" s="108">
        <v>200</v>
      </c>
      <c r="AN245" s="109">
        <f t="shared" si="200"/>
        <v>0</v>
      </c>
      <c r="AO245" s="108"/>
      <c r="AP245" s="110">
        <f t="shared" si="201"/>
        <v>600</v>
      </c>
    </row>
    <row r="246" spans="1:42" s="68" customFormat="1" ht="15" customHeight="1">
      <c r="A246" s="91">
        <f t="shared" si="194"/>
        <v>243</v>
      </c>
      <c r="B246" s="34" t="s">
        <v>446</v>
      </c>
      <c r="C246" s="35" t="s">
        <v>664</v>
      </c>
      <c r="D246" s="35" t="s">
        <v>665</v>
      </c>
      <c r="E246" s="34" t="s">
        <v>666</v>
      </c>
      <c r="F246" s="34" t="s">
        <v>215</v>
      </c>
      <c r="G246" s="34" t="s">
        <v>103</v>
      </c>
      <c r="H246" s="37">
        <v>28</v>
      </c>
      <c r="I246" s="34">
        <v>35000</v>
      </c>
      <c r="J246" s="34">
        <v>35098</v>
      </c>
      <c r="K246" s="34" t="s">
        <v>85</v>
      </c>
      <c r="L246" s="39">
        <v>45890</v>
      </c>
      <c r="M246" s="40" t="s">
        <v>121</v>
      </c>
      <c r="N246" s="39" t="s">
        <v>122</v>
      </c>
      <c r="O246" s="39">
        <v>45881</v>
      </c>
      <c r="P246" s="39">
        <v>45907</v>
      </c>
      <c r="Q246" s="39">
        <v>45892</v>
      </c>
      <c r="R246" s="39">
        <v>45941</v>
      </c>
      <c r="S246" s="39">
        <v>45942</v>
      </c>
      <c r="T246" s="39">
        <v>45945</v>
      </c>
      <c r="U246" s="39">
        <v>45950</v>
      </c>
      <c r="V246" s="39">
        <v>45952</v>
      </c>
      <c r="W246" s="39">
        <v>45952</v>
      </c>
      <c r="X246" s="39">
        <v>45952</v>
      </c>
      <c r="Y246" s="39">
        <v>45959</v>
      </c>
      <c r="Z246" s="39">
        <v>45960</v>
      </c>
      <c r="AA246" s="39">
        <v>45960</v>
      </c>
      <c r="AB246" s="39">
        <v>45962</v>
      </c>
      <c r="AC246" s="39">
        <v>45965</v>
      </c>
      <c r="AD246" s="190" t="s">
        <v>641</v>
      </c>
      <c r="AE246" s="54">
        <f t="shared" si="195"/>
        <v>7</v>
      </c>
      <c r="AF246" s="36">
        <v>7</v>
      </c>
      <c r="AG246" s="51">
        <f t="shared" si="196"/>
        <v>0</v>
      </c>
      <c r="AH246" s="52">
        <v>200</v>
      </c>
      <c r="AI246" s="53">
        <f t="shared" si="197"/>
        <v>0</v>
      </c>
      <c r="AJ246" s="54">
        <f t="shared" si="198"/>
        <v>3</v>
      </c>
      <c r="AK246" s="36">
        <v>2</v>
      </c>
      <c r="AL246" s="51">
        <f t="shared" si="199"/>
        <v>1</v>
      </c>
      <c r="AM246" s="52">
        <v>200</v>
      </c>
      <c r="AN246" s="53">
        <f t="shared" si="200"/>
        <v>200</v>
      </c>
      <c r="AO246" s="52">
        <v>0</v>
      </c>
      <c r="AP246" s="55">
        <f t="shared" si="201"/>
        <v>200</v>
      </c>
    </row>
    <row r="247" spans="1:42" s="68" customFormat="1" ht="15" customHeight="1">
      <c r="A247" s="91">
        <f t="shared" si="194"/>
        <v>244</v>
      </c>
      <c r="B247" s="34" t="s">
        <v>446</v>
      </c>
      <c r="C247" s="35" t="s">
        <v>627</v>
      </c>
      <c r="D247" s="35" t="s">
        <v>628</v>
      </c>
      <c r="E247" s="34" t="s">
        <v>629</v>
      </c>
      <c r="F247" s="34" t="s">
        <v>215</v>
      </c>
      <c r="G247" s="34" t="s">
        <v>103</v>
      </c>
      <c r="H247" s="37">
        <v>29</v>
      </c>
      <c r="I247" s="34">
        <v>36250</v>
      </c>
      <c r="J247" s="34">
        <v>36352</v>
      </c>
      <c r="K247" s="34" t="s">
        <v>85</v>
      </c>
      <c r="L247" s="39">
        <v>45890</v>
      </c>
      <c r="M247" s="40" t="s">
        <v>121</v>
      </c>
      <c r="N247" s="39" t="s">
        <v>122</v>
      </c>
      <c r="O247" s="39">
        <v>45881</v>
      </c>
      <c r="P247" s="39">
        <v>45907</v>
      </c>
      <c r="Q247" s="39">
        <v>45892</v>
      </c>
      <c r="R247" s="39">
        <v>45941</v>
      </c>
      <c r="S247" s="39">
        <v>45943</v>
      </c>
      <c r="T247" s="39">
        <v>45946</v>
      </c>
      <c r="U247" s="39">
        <v>45948</v>
      </c>
      <c r="V247" s="39">
        <v>45951</v>
      </c>
      <c r="W247" s="39">
        <v>45951</v>
      </c>
      <c r="X247" s="39">
        <v>45951</v>
      </c>
      <c r="Y247" s="39">
        <v>45959</v>
      </c>
      <c r="Z247" s="39">
        <v>45960</v>
      </c>
      <c r="AA247" s="39">
        <v>45960</v>
      </c>
      <c r="AB247" s="39">
        <v>45962</v>
      </c>
      <c r="AC247" s="39">
        <v>45965</v>
      </c>
      <c r="AD247" s="190" t="s">
        <v>641</v>
      </c>
      <c r="AE247" s="54">
        <f t="shared" si="195"/>
        <v>8</v>
      </c>
      <c r="AF247" s="36">
        <v>7</v>
      </c>
      <c r="AG247" s="51">
        <f t="shared" si="196"/>
        <v>1</v>
      </c>
      <c r="AH247" s="52">
        <v>200</v>
      </c>
      <c r="AI247" s="53">
        <f t="shared" si="197"/>
        <v>200</v>
      </c>
      <c r="AJ247" s="54">
        <f t="shared" si="198"/>
        <v>3</v>
      </c>
      <c r="AK247" s="106">
        <v>2</v>
      </c>
      <c r="AL247" s="107">
        <f t="shared" si="199"/>
        <v>1</v>
      </c>
      <c r="AM247" s="108">
        <v>200</v>
      </c>
      <c r="AN247" s="109">
        <f t="shared" si="200"/>
        <v>200</v>
      </c>
      <c r="AO247" s="108">
        <v>0</v>
      </c>
      <c r="AP247" s="110">
        <f t="shared" si="201"/>
        <v>400</v>
      </c>
    </row>
    <row r="248" spans="1:42" s="1" customFormat="1" ht="12.75">
      <c r="A248" s="91">
        <f t="shared" si="194"/>
        <v>245</v>
      </c>
      <c r="B248" s="34" t="s">
        <v>446</v>
      </c>
      <c r="C248" s="35" t="s">
        <v>314</v>
      </c>
      <c r="D248" s="93" t="s">
        <v>686</v>
      </c>
      <c r="E248" s="33" t="s">
        <v>687</v>
      </c>
      <c r="F248" s="34" t="s">
        <v>215</v>
      </c>
      <c r="G248" s="34" t="s">
        <v>103</v>
      </c>
      <c r="H248" s="36">
        <v>28</v>
      </c>
      <c r="I248" s="93">
        <v>35000</v>
      </c>
      <c r="J248" s="93">
        <v>35098</v>
      </c>
      <c r="K248" s="34" t="s">
        <v>85</v>
      </c>
      <c r="L248" s="39">
        <v>45890</v>
      </c>
      <c r="M248" s="40" t="s">
        <v>121</v>
      </c>
      <c r="N248" s="39" t="s">
        <v>122</v>
      </c>
      <c r="O248" s="39">
        <v>45881</v>
      </c>
      <c r="P248" s="39">
        <v>45907</v>
      </c>
      <c r="Q248" s="39">
        <v>45892</v>
      </c>
      <c r="R248" s="39">
        <v>45943</v>
      </c>
      <c r="S248" s="39">
        <v>45944</v>
      </c>
      <c r="T248" s="39">
        <v>45947</v>
      </c>
      <c r="U248" s="39">
        <v>45949</v>
      </c>
      <c r="V248" s="39">
        <v>45952</v>
      </c>
      <c r="W248" s="39">
        <v>45952</v>
      </c>
      <c r="X248" s="39">
        <v>45952</v>
      </c>
      <c r="Y248" s="39">
        <v>45962</v>
      </c>
      <c r="Z248" s="39">
        <v>45962</v>
      </c>
      <c r="AA248" s="39">
        <v>45963</v>
      </c>
      <c r="AB248" s="39">
        <v>45963</v>
      </c>
      <c r="AC248" s="39">
        <v>45965</v>
      </c>
      <c r="AD248" s="190" t="s">
        <v>641</v>
      </c>
      <c r="AE248" s="54">
        <f t="shared" si="195"/>
        <v>10</v>
      </c>
      <c r="AF248" s="36">
        <v>7</v>
      </c>
      <c r="AG248" s="51">
        <f t="shared" si="196"/>
        <v>3</v>
      </c>
      <c r="AH248" s="52">
        <v>200</v>
      </c>
      <c r="AI248" s="53">
        <f t="shared" si="197"/>
        <v>600</v>
      </c>
      <c r="AJ248" s="54">
        <f t="shared" si="198"/>
        <v>2</v>
      </c>
      <c r="AK248" s="36">
        <v>2</v>
      </c>
      <c r="AL248" s="51">
        <f t="shared" si="199"/>
        <v>0</v>
      </c>
      <c r="AM248" s="52">
        <v>200</v>
      </c>
      <c r="AN248" s="53">
        <f t="shared" si="200"/>
        <v>0</v>
      </c>
      <c r="AO248" s="52">
        <v>0</v>
      </c>
      <c r="AP248" s="55">
        <f t="shared" si="201"/>
        <v>600</v>
      </c>
    </row>
    <row r="249" spans="1:42" s="68" customFormat="1" ht="15" customHeight="1">
      <c r="A249" s="91">
        <f t="shared" si="194"/>
        <v>246</v>
      </c>
      <c r="B249" s="34" t="s">
        <v>446</v>
      </c>
      <c r="C249" s="35" t="s">
        <v>391</v>
      </c>
      <c r="D249" s="35" t="s">
        <v>392</v>
      </c>
      <c r="E249" s="34" t="s">
        <v>393</v>
      </c>
      <c r="F249" s="34" t="s">
        <v>215</v>
      </c>
      <c r="G249" s="34" t="s">
        <v>103</v>
      </c>
      <c r="H249" s="37">
        <v>28</v>
      </c>
      <c r="I249" s="34">
        <v>35000</v>
      </c>
      <c r="J249" s="34">
        <v>35098</v>
      </c>
      <c r="K249" s="34" t="s">
        <v>85</v>
      </c>
      <c r="L249" s="39">
        <v>45890</v>
      </c>
      <c r="M249" s="40" t="s">
        <v>121</v>
      </c>
      <c r="N249" s="39" t="s">
        <v>122</v>
      </c>
      <c r="O249" s="39">
        <v>45881</v>
      </c>
      <c r="P249" s="39">
        <v>45907</v>
      </c>
      <c r="Q249" s="39">
        <v>45892</v>
      </c>
      <c r="R249" s="39">
        <v>45942</v>
      </c>
      <c r="S249" s="39">
        <v>45943</v>
      </c>
      <c r="T249" s="39">
        <v>45946</v>
      </c>
      <c r="U249" s="39">
        <v>45950</v>
      </c>
      <c r="V249" s="39">
        <v>45951</v>
      </c>
      <c r="W249" s="39">
        <v>45951</v>
      </c>
      <c r="X249" s="39">
        <v>45951</v>
      </c>
      <c r="Y249" s="39">
        <v>45962</v>
      </c>
      <c r="Z249" s="39">
        <v>45962</v>
      </c>
      <c r="AA249" s="39">
        <v>45963</v>
      </c>
      <c r="AB249" s="39">
        <v>45963</v>
      </c>
      <c r="AC249" s="39">
        <v>45965</v>
      </c>
      <c r="AD249" s="190" t="s">
        <v>641</v>
      </c>
      <c r="AE249" s="114">
        <f t="shared" si="195"/>
        <v>11</v>
      </c>
      <c r="AF249" s="91">
        <v>7</v>
      </c>
      <c r="AG249" s="115">
        <f t="shared" si="196"/>
        <v>4</v>
      </c>
      <c r="AH249" s="116">
        <v>200</v>
      </c>
      <c r="AI249" s="117">
        <f t="shared" si="197"/>
        <v>800</v>
      </c>
      <c r="AJ249" s="114">
        <f t="shared" si="198"/>
        <v>2</v>
      </c>
      <c r="AK249" s="91">
        <v>2</v>
      </c>
      <c r="AL249" s="115">
        <f t="shared" si="199"/>
        <v>0</v>
      </c>
      <c r="AM249" s="116">
        <v>200</v>
      </c>
      <c r="AN249" s="117">
        <f t="shared" si="200"/>
        <v>0</v>
      </c>
      <c r="AO249" s="116"/>
      <c r="AP249" s="110">
        <f t="shared" si="201"/>
        <v>800</v>
      </c>
    </row>
    <row r="250" spans="1:42" s="68" customFormat="1" ht="15" customHeight="1">
      <c r="A250" s="91">
        <f t="shared" si="194"/>
        <v>247</v>
      </c>
      <c r="B250" s="34" t="s">
        <v>446</v>
      </c>
      <c r="C250" s="35" t="s">
        <v>474</v>
      </c>
      <c r="D250" s="35" t="s">
        <v>688</v>
      </c>
      <c r="E250" s="33" t="s">
        <v>476</v>
      </c>
      <c r="F250" s="34" t="s">
        <v>215</v>
      </c>
      <c r="G250" s="34" t="s">
        <v>103</v>
      </c>
      <c r="H250" s="37">
        <v>29</v>
      </c>
      <c r="I250" s="34">
        <v>36250</v>
      </c>
      <c r="J250" s="34">
        <v>36352</v>
      </c>
      <c r="K250" s="34" t="s">
        <v>85</v>
      </c>
      <c r="L250" s="39">
        <v>45890</v>
      </c>
      <c r="M250" s="40" t="s">
        <v>121</v>
      </c>
      <c r="N250" s="39" t="s">
        <v>122</v>
      </c>
      <c r="O250" s="39">
        <v>45881</v>
      </c>
      <c r="P250" s="39">
        <v>45907</v>
      </c>
      <c r="Q250" s="39">
        <v>45892</v>
      </c>
      <c r="R250" s="39">
        <v>45942</v>
      </c>
      <c r="S250" s="39">
        <v>45943</v>
      </c>
      <c r="T250" s="39">
        <v>45946</v>
      </c>
      <c r="U250" s="39">
        <v>45951</v>
      </c>
      <c r="V250" s="39">
        <v>45951</v>
      </c>
      <c r="W250" s="39">
        <v>45951</v>
      </c>
      <c r="X250" s="39">
        <v>45951</v>
      </c>
      <c r="Y250" s="39">
        <v>45962</v>
      </c>
      <c r="Z250" s="39">
        <v>45962</v>
      </c>
      <c r="AA250" s="39">
        <v>45963</v>
      </c>
      <c r="AB250" s="39">
        <v>45963</v>
      </c>
      <c r="AC250" s="39">
        <v>45965</v>
      </c>
      <c r="AD250" s="190" t="s">
        <v>641</v>
      </c>
      <c r="AE250" s="54">
        <f t="shared" si="195"/>
        <v>11</v>
      </c>
      <c r="AF250" s="36">
        <v>7</v>
      </c>
      <c r="AG250" s="51">
        <f t="shared" si="196"/>
        <v>4</v>
      </c>
      <c r="AH250" s="52">
        <v>200</v>
      </c>
      <c r="AI250" s="53">
        <f t="shared" si="197"/>
        <v>800</v>
      </c>
      <c r="AJ250" s="54">
        <f t="shared" si="198"/>
        <v>2</v>
      </c>
      <c r="AK250" s="36">
        <v>2</v>
      </c>
      <c r="AL250" s="51">
        <f t="shared" si="199"/>
        <v>0</v>
      </c>
      <c r="AM250" s="52">
        <v>200</v>
      </c>
      <c r="AN250" s="53">
        <f t="shared" si="200"/>
        <v>0</v>
      </c>
      <c r="AO250" s="52">
        <v>400</v>
      </c>
      <c r="AP250" s="55">
        <f t="shared" si="201"/>
        <v>1200</v>
      </c>
    </row>
    <row r="251" spans="1:42" s="68" customFormat="1" ht="15" customHeight="1">
      <c r="A251" s="91">
        <f t="shared" si="194"/>
        <v>248</v>
      </c>
      <c r="B251" s="34" t="s">
        <v>446</v>
      </c>
      <c r="C251" s="35" t="s">
        <v>522</v>
      </c>
      <c r="D251" s="35" t="s">
        <v>523</v>
      </c>
      <c r="E251" s="34" t="s">
        <v>524</v>
      </c>
      <c r="F251" s="34" t="s">
        <v>215</v>
      </c>
      <c r="G251" s="34" t="s">
        <v>103</v>
      </c>
      <c r="H251" s="37">
        <v>29</v>
      </c>
      <c r="I251" s="34">
        <v>36250</v>
      </c>
      <c r="J251" s="34">
        <v>36352</v>
      </c>
      <c r="K251" s="34" t="s">
        <v>85</v>
      </c>
      <c r="L251" s="39">
        <v>45890</v>
      </c>
      <c r="M251" s="40" t="s">
        <v>121</v>
      </c>
      <c r="N251" s="39" t="s">
        <v>122</v>
      </c>
      <c r="O251" s="39">
        <v>45881</v>
      </c>
      <c r="P251" s="39">
        <v>45907</v>
      </c>
      <c r="Q251" s="39">
        <v>45892</v>
      </c>
      <c r="R251" s="39">
        <v>45942</v>
      </c>
      <c r="S251" s="39">
        <v>45943</v>
      </c>
      <c r="T251" s="39">
        <v>45946</v>
      </c>
      <c r="U251" s="39">
        <v>45949</v>
      </c>
      <c r="V251" s="39">
        <v>45951</v>
      </c>
      <c r="W251" s="39">
        <v>45951</v>
      </c>
      <c r="X251" s="39">
        <v>45951</v>
      </c>
      <c r="Y251" s="39">
        <v>45954</v>
      </c>
      <c r="Z251" s="39">
        <v>45962</v>
      </c>
      <c r="AA251" s="39">
        <v>45963</v>
      </c>
      <c r="AB251" s="39">
        <v>45963</v>
      </c>
      <c r="AC251" s="39">
        <v>45965</v>
      </c>
      <c r="AD251" s="190" t="s">
        <v>641</v>
      </c>
      <c r="AE251" s="54">
        <f t="shared" si="195"/>
        <v>3</v>
      </c>
      <c r="AF251" s="106">
        <v>7</v>
      </c>
      <c r="AG251" s="107">
        <f t="shared" si="196"/>
        <v>0</v>
      </c>
      <c r="AH251" s="108">
        <v>200</v>
      </c>
      <c r="AI251" s="109">
        <f t="shared" si="197"/>
        <v>0</v>
      </c>
      <c r="AJ251" s="54">
        <f t="shared" si="198"/>
        <v>2</v>
      </c>
      <c r="AK251" s="106">
        <v>2</v>
      </c>
      <c r="AL251" s="107">
        <f t="shared" si="199"/>
        <v>0</v>
      </c>
      <c r="AM251" s="108">
        <v>200</v>
      </c>
      <c r="AN251" s="109">
        <f t="shared" si="200"/>
        <v>0</v>
      </c>
      <c r="AO251" s="108">
        <v>0</v>
      </c>
      <c r="AP251" s="110">
        <f t="shared" si="201"/>
        <v>0</v>
      </c>
    </row>
    <row r="252" spans="1:42" s="68" customFormat="1" ht="15" customHeight="1">
      <c r="A252" s="91">
        <f t="shared" si="194"/>
        <v>249</v>
      </c>
      <c r="B252" s="34" t="s">
        <v>446</v>
      </c>
      <c r="C252" s="35" t="s">
        <v>519</v>
      </c>
      <c r="D252" s="33" t="s">
        <v>520</v>
      </c>
      <c r="E252" s="33" t="s">
        <v>521</v>
      </c>
      <c r="F252" s="34" t="s">
        <v>215</v>
      </c>
      <c r="G252" s="34" t="s">
        <v>103</v>
      </c>
      <c r="H252" s="37">
        <v>28</v>
      </c>
      <c r="I252" s="34">
        <v>35000</v>
      </c>
      <c r="J252" s="34">
        <v>35098</v>
      </c>
      <c r="K252" s="34" t="s">
        <v>85</v>
      </c>
      <c r="L252" s="39">
        <v>45890</v>
      </c>
      <c r="M252" s="40" t="s">
        <v>121</v>
      </c>
      <c r="N252" s="39" t="s">
        <v>122</v>
      </c>
      <c r="O252" s="39">
        <v>45881</v>
      </c>
      <c r="P252" s="39">
        <v>45907</v>
      </c>
      <c r="Q252" s="39">
        <v>45892</v>
      </c>
      <c r="R252" s="39">
        <v>45942</v>
      </c>
      <c r="S252" s="39">
        <v>45943</v>
      </c>
      <c r="T252" s="39">
        <v>45946</v>
      </c>
      <c r="U252" s="39">
        <v>45951</v>
      </c>
      <c r="V252" s="39">
        <v>45954</v>
      </c>
      <c r="W252" s="39">
        <v>45954</v>
      </c>
      <c r="X252" s="39">
        <v>45954</v>
      </c>
      <c r="Y252" s="39">
        <v>45962</v>
      </c>
      <c r="Z252" s="39">
        <v>45963</v>
      </c>
      <c r="AA252" s="39">
        <v>45963</v>
      </c>
      <c r="AB252" s="39">
        <v>45963</v>
      </c>
      <c r="AC252" s="39">
        <v>45965</v>
      </c>
      <c r="AD252" s="190" t="s">
        <v>641</v>
      </c>
      <c r="AE252" s="54">
        <f t="shared" si="195"/>
        <v>8</v>
      </c>
      <c r="AF252" s="36">
        <v>7</v>
      </c>
      <c r="AG252" s="51">
        <f t="shared" si="196"/>
        <v>1</v>
      </c>
      <c r="AH252" s="52">
        <v>200</v>
      </c>
      <c r="AI252" s="53">
        <f t="shared" si="197"/>
        <v>200</v>
      </c>
      <c r="AJ252" s="54">
        <f t="shared" si="198"/>
        <v>2</v>
      </c>
      <c r="AK252" s="36">
        <v>2</v>
      </c>
      <c r="AL252" s="51">
        <f t="shared" si="199"/>
        <v>0</v>
      </c>
      <c r="AM252" s="52">
        <v>200</v>
      </c>
      <c r="AN252" s="53">
        <f t="shared" si="200"/>
        <v>0</v>
      </c>
      <c r="AO252" s="52"/>
      <c r="AP252" s="55">
        <f t="shared" si="201"/>
        <v>200</v>
      </c>
    </row>
    <row r="253" spans="1:42" s="68" customFormat="1" ht="15" customHeight="1">
      <c r="A253" s="91">
        <f t="shared" si="194"/>
        <v>250</v>
      </c>
      <c r="B253" s="34" t="s">
        <v>446</v>
      </c>
      <c r="C253" s="35" t="s">
        <v>689</v>
      </c>
      <c r="D253" s="35" t="s">
        <v>690</v>
      </c>
      <c r="E253" s="34" t="s">
        <v>691</v>
      </c>
      <c r="F253" s="34" t="s">
        <v>215</v>
      </c>
      <c r="G253" s="34" t="s">
        <v>103</v>
      </c>
      <c r="H253" s="37">
        <v>25</v>
      </c>
      <c r="I253" s="34">
        <v>31250</v>
      </c>
      <c r="J253" s="34">
        <v>31338</v>
      </c>
      <c r="K253" s="34" t="s">
        <v>85</v>
      </c>
      <c r="L253" s="39">
        <v>45890</v>
      </c>
      <c r="M253" s="40" t="s">
        <v>121</v>
      </c>
      <c r="N253" s="39" t="s">
        <v>122</v>
      </c>
      <c r="O253" s="39">
        <v>45881</v>
      </c>
      <c r="P253" s="39">
        <v>45907</v>
      </c>
      <c r="Q253" s="39">
        <v>45892</v>
      </c>
      <c r="R253" s="39">
        <v>45942</v>
      </c>
      <c r="S253" s="39">
        <v>45943</v>
      </c>
      <c r="T253" s="39">
        <v>45946</v>
      </c>
      <c r="U253" s="39">
        <v>45952</v>
      </c>
      <c r="V253" s="39">
        <v>45955</v>
      </c>
      <c r="W253" s="39">
        <v>45955</v>
      </c>
      <c r="X253" s="39">
        <v>45955</v>
      </c>
      <c r="Y253" s="39">
        <v>45962</v>
      </c>
      <c r="Z253" s="39">
        <v>45962</v>
      </c>
      <c r="AA253" s="39">
        <v>45963</v>
      </c>
      <c r="AB253" s="39">
        <v>45963</v>
      </c>
      <c r="AC253" s="39">
        <v>45965</v>
      </c>
      <c r="AD253" s="190" t="s">
        <v>641</v>
      </c>
      <c r="AE253" s="54">
        <f t="shared" si="195"/>
        <v>7</v>
      </c>
      <c r="AF253" s="106">
        <v>7</v>
      </c>
      <c r="AG253" s="107">
        <f t="shared" si="196"/>
        <v>0</v>
      </c>
      <c r="AH253" s="108">
        <v>200</v>
      </c>
      <c r="AI253" s="109">
        <f t="shared" si="197"/>
        <v>0</v>
      </c>
      <c r="AJ253" s="54">
        <f t="shared" si="198"/>
        <v>2</v>
      </c>
      <c r="AK253" s="106">
        <v>2</v>
      </c>
      <c r="AL253" s="107">
        <f t="shared" si="199"/>
        <v>0</v>
      </c>
      <c r="AM253" s="108">
        <v>200</v>
      </c>
      <c r="AN253" s="109">
        <f t="shared" si="200"/>
        <v>0</v>
      </c>
      <c r="AO253" s="108"/>
      <c r="AP253" s="110">
        <f t="shared" si="201"/>
        <v>0</v>
      </c>
    </row>
    <row r="254" spans="1:42" s="1" customFormat="1" ht="12.75">
      <c r="A254" s="91">
        <f t="shared" si="194"/>
        <v>251</v>
      </c>
      <c r="B254" s="34" t="s">
        <v>446</v>
      </c>
      <c r="C254" s="35" t="s">
        <v>507</v>
      </c>
      <c r="D254" s="93" t="s">
        <v>692</v>
      </c>
      <c r="E254" s="93" t="s">
        <v>509</v>
      </c>
      <c r="F254" s="34" t="s">
        <v>215</v>
      </c>
      <c r="G254" s="34" t="s">
        <v>103</v>
      </c>
      <c r="H254" s="36">
        <v>28</v>
      </c>
      <c r="I254" s="93">
        <v>35000</v>
      </c>
      <c r="J254" s="93">
        <v>35098</v>
      </c>
      <c r="K254" s="34" t="s">
        <v>85</v>
      </c>
      <c r="L254" s="39">
        <v>45890</v>
      </c>
      <c r="M254" s="40" t="s">
        <v>121</v>
      </c>
      <c r="N254" s="39" t="s">
        <v>122</v>
      </c>
      <c r="O254" s="39">
        <v>45881</v>
      </c>
      <c r="P254" s="39">
        <v>45907</v>
      </c>
      <c r="Q254" s="39">
        <v>45892</v>
      </c>
      <c r="R254" s="39">
        <v>45943</v>
      </c>
      <c r="S254" s="39">
        <v>45944</v>
      </c>
      <c r="T254" s="39">
        <v>45948</v>
      </c>
      <c r="U254" s="39">
        <v>45952</v>
      </c>
      <c r="V254" s="39">
        <v>45954</v>
      </c>
      <c r="W254" s="39">
        <v>45954</v>
      </c>
      <c r="X254" s="39">
        <v>45954</v>
      </c>
      <c r="Y254" s="39">
        <v>45962</v>
      </c>
      <c r="Z254" s="39">
        <v>45962</v>
      </c>
      <c r="AA254" s="39">
        <v>45963</v>
      </c>
      <c r="AB254" s="39">
        <v>45963</v>
      </c>
      <c r="AC254" s="39">
        <v>45965</v>
      </c>
      <c r="AD254" s="190" t="s">
        <v>641</v>
      </c>
      <c r="AE254" s="54">
        <f t="shared" si="195"/>
        <v>8</v>
      </c>
      <c r="AF254" s="106">
        <v>7</v>
      </c>
      <c r="AG254" s="107">
        <f t="shared" si="196"/>
        <v>1</v>
      </c>
      <c r="AH254" s="108">
        <v>200</v>
      </c>
      <c r="AI254" s="109">
        <f t="shared" si="197"/>
        <v>200</v>
      </c>
      <c r="AJ254" s="54">
        <f t="shared" si="198"/>
        <v>2</v>
      </c>
      <c r="AK254" s="106">
        <v>2</v>
      </c>
      <c r="AL254" s="107">
        <f t="shared" si="199"/>
        <v>0</v>
      </c>
      <c r="AM254" s="108">
        <v>200</v>
      </c>
      <c r="AN254" s="109">
        <f t="shared" si="200"/>
        <v>0</v>
      </c>
      <c r="AO254" s="108"/>
      <c r="AP254" s="110">
        <f t="shared" si="201"/>
        <v>200</v>
      </c>
    </row>
    <row r="255" spans="1:42" s="1" customFormat="1" ht="12.75">
      <c r="A255" s="91">
        <f t="shared" si="194"/>
        <v>252</v>
      </c>
      <c r="B255" s="34" t="s">
        <v>446</v>
      </c>
      <c r="C255" s="35" t="s">
        <v>693</v>
      </c>
      <c r="D255" s="93" t="s">
        <v>694</v>
      </c>
      <c r="E255" s="36" t="s">
        <v>695</v>
      </c>
      <c r="F255" s="34" t="s">
        <v>215</v>
      </c>
      <c r="G255" s="34" t="s">
        <v>103</v>
      </c>
      <c r="H255" s="36">
        <v>28</v>
      </c>
      <c r="I255" s="93">
        <v>35000</v>
      </c>
      <c r="J255" s="93">
        <v>35098</v>
      </c>
      <c r="K255" s="34" t="s">
        <v>85</v>
      </c>
      <c r="L255" s="39">
        <v>45890</v>
      </c>
      <c r="M255" s="40" t="s">
        <v>121</v>
      </c>
      <c r="N255" s="39" t="s">
        <v>122</v>
      </c>
      <c r="O255" s="39">
        <v>45881</v>
      </c>
      <c r="P255" s="39">
        <v>45907</v>
      </c>
      <c r="Q255" s="39">
        <v>45892</v>
      </c>
      <c r="R255" s="39">
        <v>45943</v>
      </c>
      <c r="S255" s="39">
        <v>45944</v>
      </c>
      <c r="T255" s="39">
        <v>45948</v>
      </c>
      <c r="U255" s="39">
        <v>45951</v>
      </c>
      <c r="V255" s="39">
        <v>45954</v>
      </c>
      <c r="W255" s="39">
        <v>45954</v>
      </c>
      <c r="X255" s="39">
        <v>45954</v>
      </c>
      <c r="Y255" s="39">
        <v>45962</v>
      </c>
      <c r="Z255" s="39">
        <v>45962</v>
      </c>
      <c r="AA255" s="39">
        <v>45963</v>
      </c>
      <c r="AB255" s="39">
        <v>45963</v>
      </c>
      <c r="AC255" s="39">
        <v>45965</v>
      </c>
      <c r="AD255" s="190" t="s">
        <v>641</v>
      </c>
      <c r="AE255" s="54">
        <f t="shared" si="195"/>
        <v>8</v>
      </c>
      <c r="AF255" s="36">
        <v>7</v>
      </c>
      <c r="AG255" s="51">
        <f t="shared" si="196"/>
        <v>1</v>
      </c>
      <c r="AH255" s="52">
        <v>200</v>
      </c>
      <c r="AI255" s="53">
        <f t="shared" si="197"/>
        <v>200</v>
      </c>
      <c r="AJ255" s="54">
        <f t="shared" si="198"/>
        <v>2</v>
      </c>
      <c r="AK255" s="36">
        <v>2</v>
      </c>
      <c r="AL255" s="51">
        <f t="shared" si="199"/>
        <v>0</v>
      </c>
      <c r="AM255" s="52">
        <v>200</v>
      </c>
      <c r="AN255" s="53">
        <f t="shared" si="200"/>
        <v>0</v>
      </c>
      <c r="AO255" s="52"/>
      <c r="AP255" s="55">
        <f t="shared" si="201"/>
        <v>200</v>
      </c>
    </row>
    <row r="256" spans="1:42" s="68" customFormat="1" ht="15" customHeight="1">
      <c r="A256" s="91">
        <f t="shared" si="194"/>
        <v>253</v>
      </c>
      <c r="B256" s="34" t="s">
        <v>446</v>
      </c>
      <c r="C256" s="35" t="s">
        <v>696</v>
      </c>
      <c r="D256" s="35" t="s">
        <v>697</v>
      </c>
      <c r="E256" s="33" t="s">
        <v>698</v>
      </c>
      <c r="F256" s="34" t="s">
        <v>215</v>
      </c>
      <c r="G256" s="34" t="s">
        <v>103</v>
      </c>
      <c r="H256" s="37">
        <v>28</v>
      </c>
      <c r="I256" s="34">
        <v>35000</v>
      </c>
      <c r="J256" s="34">
        <v>35098</v>
      </c>
      <c r="K256" s="34" t="s">
        <v>85</v>
      </c>
      <c r="L256" s="39">
        <v>45890</v>
      </c>
      <c r="M256" s="40" t="s">
        <v>121</v>
      </c>
      <c r="N256" s="39" t="s">
        <v>122</v>
      </c>
      <c r="O256" s="39">
        <v>45881</v>
      </c>
      <c r="P256" s="39">
        <v>45907</v>
      </c>
      <c r="Q256" s="39">
        <v>45892</v>
      </c>
      <c r="R256" s="39">
        <v>45942</v>
      </c>
      <c r="S256" s="39">
        <v>45943</v>
      </c>
      <c r="T256" s="39">
        <v>45946</v>
      </c>
      <c r="U256" s="39">
        <v>45949</v>
      </c>
      <c r="V256" s="39">
        <v>45951</v>
      </c>
      <c r="W256" s="39">
        <v>45951</v>
      </c>
      <c r="X256" s="39">
        <v>45951</v>
      </c>
      <c r="Y256" s="39">
        <v>45954</v>
      </c>
      <c r="Z256" s="39">
        <v>45962</v>
      </c>
      <c r="AA256" s="39">
        <v>45963</v>
      </c>
      <c r="AB256" s="39">
        <v>45963</v>
      </c>
      <c r="AC256" s="39">
        <v>45964</v>
      </c>
      <c r="AD256" s="190" t="s">
        <v>641</v>
      </c>
      <c r="AE256" s="114">
        <f t="shared" si="195"/>
        <v>3</v>
      </c>
      <c r="AF256" s="33">
        <v>7</v>
      </c>
      <c r="AG256" s="118">
        <f t="shared" si="196"/>
        <v>0</v>
      </c>
      <c r="AH256" s="119">
        <v>200</v>
      </c>
      <c r="AI256" s="120">
        <f t="shared" si="197"/>
        <v>0</v>
      </c>
      <c r="AJ256" s="114">
        <f t="shared" si="198"/>
        <v>1</v>
      </c>
      <c r="AK256" s="33">
        <v>2</v>
      </c>
      <c r="AL256" s="118">
        <f t="shared" si="199"/>
        <v>0</v>
      </c>
      <c r="AM256" s="119">
        <v>200</v>
      </c>
      <c r="AN256" s="120">
        <f t="shared" si="200"/>
        <v>0</v>
      </c>
      <c r="AO256" s="119"/>
      <c r="AP256" s="110">
        <f t="shared" si="201"/>
        <v>0</v>
      </c>
    </row>
    <row r="257" spans="1:42" s="68" customFormat="1" ht="15" customHeight="1">
      <c r="A257" s="91">
        <f t="shared" si="194"/>
        <v>254</v>
      </c>
      <c r="B257" s="34" t="s">
        <v>446</v>
      </c>
      <c r="C257" s="35" t="s">
        <v>422</v>
      </c>
      <c r="D257" s="35" t="s">
        <v>423</v>
      </c>
      <c r="E257" s="35" t="s">
        <v>424</v>
      </c>
      <c r="F257" s="34" t="s">
        <v>215</v>
      </c>
      <c r="G257" s="34" t="s">
        <v>103</v>
      </c>
      <c r="H257" s="37">
        <v>28</v>
      </c>
      <c r="I257" s="34">
        <v>35000</v>
      </c>
      <c r="J257" s="34">
        <v>35098</v>
      </c>
      <c r="K257" s="34" t="s">
        <v>85</v>
      </c>
      <c r="L257" s="39">
        <v>45890</v>
      </c>
      <c r="M257" s="40" t="s">
        <v>121</v>
      </c>
      <c r="N257" s="39" t="s">
        <v>122</v>
      </c>
      <c r="O257" s="39">
        <v>45881</v>
      </c>
      <c r="P257" s="39">
        <v>45907</v>
      </c>
      <c r="Q257" s="39">
        <v>45892</v>
      </c>
      <c r="R257" s="39">
        <v>45943</v>
      </c>
      <c r="S257" s="39">
        <v>45943</v>
      </c>
      <c r="T257" s="39">
        <v>45950</v>
      </c>
      <c r="U257" s="39">
        <v>45953</v>
      </c>
      <c r="V257" s="39">
        <v>45955</v>
      </c>
      <c r="W257" s="39">
        <v>45955</v>
      </c>
      <c r="X257" s="39">
        <v>45955</v>
      </c>
      <c r="Y257" s="39">
        <v>45962</v>
      </c>
      <c r="Z257" s="39">
        <v>45962</v>
      </c>
      <c r="AA257" s="39">
        <v>45963</v>
      </c>
      <c r="AB257" s="39">
        <v>45963</v>
      </c>
      <c r="AC257" s="39">
        <v>45964</v>
      </c>
      <c r="AD257" s="190" t="s">
        <v>641</v>
      </c>
      <c r="AE257" s="54">
        <f t="shared" si="195"/>
        <v>7</v>
      </c>
      <c r="AF257" s="106">
        <v>7</v>
      </c>
      <c r="AG257" s="107">
        <f t="shared" si="196"/>
        <v>0</v>
      </c>
      <c r="AH257" s="108">
        <v>200</v>
      </c>
      <c r="AI257" s="109">
        <f t="shared" si="197"/>
        <v>0</v>
      </c>
      <c r="AJ257" s="54">
        <f t="shared" si="198"/>
        <v>1</v>
      </c>
      <c r="AK257" s="106">
        <v>2</v>
      </c>
      <c r="AL257" s="107">
        <f t="shared" si="199"/>
        <v>0</v>
      </c>
      <c r="AM257" s="108">
        <v>200</v>
      </c>
      <c r="AN257" s="109">
        <f t="shared" si="200"/>
        <v>0</v>
      </c>
      <c r="AO257" s="108"/>
      <c r="AP257" s="110">
        <f t="shared" si="201"/>
        <v>0</v>
      </c>
    </row>
    <row r="258" spans="1:42" s="68" customFormat="1" ht="15" customHeight="1">
      <c r="A258" s="91">
        <f t="shared" si="194"/>
        <v>255</v>
      </c>
      <c r="B258" s="34" t="s">
        <v>446</v>
      </c>
      <c r="C258" s="181" t="s">
        <v>699</v>
      </c>
      <c r="D258" s="181" t="s">
        <v>700</v>
      </c>
      <c r="E258" s="181" t="s">
        <v>701</v>
      </c>
      <c r="F258" s="34" t="s">
        <v>215</v>
      </c>
      <c r="G258" s="34" t="s">
        <v>103</v>
      </c>
      <c r="H258" s="37">
        <v>25</v>
      </c>
      <c r="I258" s="34">
        <v>31250</v>
      </c>
      <c r="J258" s="34">
        <v>31338</v>
      </c>
      <c r="K258" s="34" t="s">
        <v>85</v>
      </c>
      <c r="L258" s="39">
        <v>45890</v>
      </c>
      <c r="M258" s="40" t="s">
        <v>121</v>
      </c>
      <c r="N258" s="39" t="s">
        <v>122</v>
      </c>
      <c r="O258" s="39">
        <v>45881</v>
      </c>
      <c r="P258" s="39">
        <v>45907</v>
      </c>
      <c r="Q258" s="39">
        <v>45892</v>
      </c>
      <c r="R258" s="39">
        <v>45941</v>
      </c>
      <c r="S258" s="39">
        <v>45943</v>
      </c>
      <c r="T258" s="39">
        <v>45945</v>
      </c>
      <c r="U258" s="39">
        <v>45949</v>
      </c>
      <c r="V258" s="39">
        <v>45952</v>
      </c>
      <c r="W258" s="39">
        <v>45952</v>
      </c>
      <c r="X258" s="39">
        <v>45952</v>
      </c>
      <c r="Y258" s="39">
        <v>45959</v>
      </c>
      <c r="Z258" s="39">
        <v>45960</v>
      </c>
      <c r="AA258" s="39">
        <v>45960</v>
      </c>
      <c r="AB258" s="39">
        <v>45960</v>
      </c>
      <c r="AC258" s="39">
        <v>45964</v>
      </c>
      <c r="AD258" s="190" t="s">
        <v>641</v>
      </c>
      <c r="AE258" s="54">
        <f t="shared" si="195"/>
        <v>7</v>
      </c>
      <c r="AF258" s="106">
        <v>7</v>
      </c>
      <c r="AG258" s="107">
        <f t="shared" si="196"/>
        <v>0</v>
      </c>
      <c r="AH258" s="108">
        <v>200</v>
      </c>
      <c r="AI258" s="109">
        <f t="shared" si="197"/>
        <v>0</v>
      </c>
      <c r="AJ258" s="54">
        <f t="shared" si="198"/>
        <v>4</v>
      </c>
      <c r="AK258" s="106">
        <v>2</v>
      </c>
      <c r="AL258" s="107">
        <f t="shared" si="199"/>
        <v>2</v>
      </c>
      <c r="AM258" s="108">
        <v>200</v>
      </c>
      <c r="AN258" s="109">
        <f t="shared" si="200"/>
        <v>400</v>
      </c>
      <c r="AO258" s="108"/>
      <c r="AP258" s="55">
        <f t="shared" si="201"/>
        <v>400</v>
      </c>
    </row>
    <row r="259" spans="1:42" s="1" customFormat="1" ht="12.75">
      <c r="A259" s="91">
        <f t="shared" si="194"/>
        <v>256</v>
      </c>
      <c r="B259" s="34" t="s">
        <v>446</v>
      </c>
      <c r="C259" s="35" t="s">
        <v>702</v>
      </c>
      <c r="D259" s="93" t="s">
        <v>703</v>
      </c>
      <c r="E259" s="92" t="s">
        <v>704</v>
      </c>
      <c r="F259" s="34" t="s">
        <v>215</v>
      </c>
      <c r="G259" s="34" t="s">
        <v>103</v>
      </c>
      <c r="H259" s="36">
        <v>28</v>
      </c>
      <c r="I259" s="93">
        <v>35000</v>
      </c>
      <c r="J259" s="93">
        <v>35098</v>
      </c>
      <c r="K259" s="34" t="s">
        <v>85</v>
      </c>
      <c r="L259" s="39">
        <v>45890</v>
      </c>
      <c r="M259" s="40" t="s">
        <v>121</v>
      </c>
      <c r="N259" s="39" t="s">
        <v>122</v>
      </c>
      <c r="O259" s="39">
        <v>45881</v>
      </c>
      <c r="P259" s="39">
        <v>45907</v>
      </c>
      <c r="Q259" s="39">
        <v>45892</v>
      </c>
      <c r="R259" s="39">
        <v>45943</v>
      </c>
      <c r="S259" s="39">
        <v>45944</v>
      </c>
      <c r="T259" s="39">
        <v>45948</v>
      </c>
      <c r="U259" s="39">
        <v>45949</v>
      </c>
      <c r="V259" s="39">
        <v>45952</v>
      </c>
      <c r="W259" s="39">
        <v>45952</v>
      </c>
      <c r="X259" s="39">
        <v>45952</v>
      </c>
      <c r="Y259" s="39">
        <v>45963</v>
      </c>
      <c r="Z259" s="39">
        <v>45963</v>
      </c>
      <c r="AA259" s="39">
        <v>45963</v>
      </c>
      <c r="AB259" s="39">
        <v>45963</v>
      </c>
      <c r="AC259" s="39">
        <v>45964</v>
      </c>
      <c r="AD259" s="190" t="s">
        <v>641</v>
      </c>
      <c r="AE259" s="54">
        <f t="shared" si="195"/>
        <v>11</v>
      </c>
      <c r="AF259" s="36">
        <v>7</v>
      </c>
      <c r="AG259" s="51">
        <f t="shared" si="196"/>
        <v>4</v>
      </c>
      <c r="AH259" s="52">
        <v>200</v>
      </c>
      <c r="AI259" s="53">
        <f t="shared" si="197"/>
        <v>800</v>
      </c>
      <c r="AJ259" s="54">
        <f t="shared" si="198"/>
        <v>1</v>
      </c>
      <c r="AK259" s="36">
        <v>2</v>
      </c>
      <c r="AL259" s="51">
        <f t="shared" si="199"/>
        <v>0</v>
      </c>
      <c r="AM259" s="52">
        <v>200</v>
      </c>
      <c r="AN259" s="53">
        <f t="shared" si="200"/>
        <v>0</v>
      </c>
      <c r="AO259" s="52">
        <v>0</v>
      </c>
      <c r="AP259" s="55">
        <f t="shared" si="201"/>
        <v>800</v>
      </c>
    </row>
    <row r="260" spans="1:42" s="68" customFormat="1" ht="15" customHeight="1">
      <c r="A260" s="91">
        <f t="shared" si="194"/>
        <v>257</v>
      </c>
      <c r="B260" s="34" t="s">
        <v>446</v>
      </c>
      <c r="C260" s="33" t="s">
        <v>705</v>
      </c>
      <c r="D260" s="33" t="s">
        <v>706</v>
      </c>
      <c r="E260" s="33" t="s">
        <v>707</v>
      </c>
      <c r="F260" s="34" t="s">
        <v>215</v>
      </c>
      <c r="G260" s="34" t="s">
        <v>103</v>
      </c>
      <c r="H260" s="37">
        <v>28</v>
      </c>
      <c r="I260" s="34">
        <v>35000</v>
      </c>
      <c r="J260" s="34">
        <v>35098</v>
      </c>
      <c r="K260" s="34" t="s">
        <v>85</v>
      </c>
      <c r="L260" s="39">
        <v>45890</v>
      </c>
      <c r="M260" s="40" t="s">
        <v>121</v>
      </c>
      <c r="N260" s="39" t="s">
        <v>122</v>
      </c>
      <c r="O260" s="39">
        <v>45881</v>
      </c>
      <c r="P260" s="39">
        <v>45907</v>
      </c>
      <c r="Q260" s="39">
        <v>45892</v>
      </c>
      <c r="R260" s="39">
        <v>45941</v>
      </c>
      <c r="S260" s="39">
        <v>45943</v>
      </c>
      <c r="T260" s="39">
        <v>45945</v>
      </c>
      <c r="U260" s="39">
        <v>45949</v>
      </c>
      <c r="V260" s="39">
        <v>45952</v>
      </c>
      <c r="W260" s="39">
        <v>45952</v>
      </c>
      <c r="X260" s="39">
        <v>45952</v>
      </c>
      <c r="Y260" s="39">
        <v>45959</v>
      </c>
      <c r="Z260" s="39">
        <v>45960</v>
      </c>
      <c r="AA260" s="39">
        <v>45960</v>
      </c>
      <c r="AB260" s="39">
        <v>45960</v>
      </c>
      <c r="AC260" s="39">
        <v>45964</v>
      </c>
      <c r="AD260" s="190" t="s">
        <v>641</v>
      </c>
      <c r="AE260" s="54">
        <f t="shared" si="195"/>
        <v>7</v>
      </c>
      <c r="AF260" s="36">
        <v>7</v>
      </c>
      <c r="AG260" s="51">
        <f t="shared" si="196"/>
        <v>0</v>
      </c>
      <c r="AH260" s="52">
        <v>200</v>
      </c>
      <c r="AI260" s="53">
        <f t="shared" si="197"/>
        <v>0</v>
      </c>
      <c r="AJ260" s="54">
        <f t="shared" si="198"/>
        <v>4</v>
      </c>
      <c r="AK260" s="36">
        <v>2</v>
      </c>
      <c r="AL260" s="51">
        <f t="shared" si="199"/>
        <v>2</v>
      </c>
      <c r="AM260" s="52">
        <v>200</v>
      </c>
      <c r="AN260" s="53">
        <f t="shared" si="200"/>
        <v>400</v>
      </c>
      <c r="AO260" s="52"/>
      <c r="AP260" s="55">
        <f t="shared" si="201"/>
        <v>400</v>
      </c>
    </row>
    <row r="261" spans="1:42" s="68" customFormat="1" ht="15" customHeight="1">
      <c r="A261" s="91">
        <f t="shared" si="194"/>
        <v>258</v>
      </c>
      <c r="B261" s="34" t="s">
        <v>446</v>
      </c>
      <c r="C261" s="181" t="s">
        <v>708</v>
      </c>
      <c r="D261" s="181" t="s">
        <v>709</v>
      </c>
      <c r="E261" s="181" t="s">
        <v>710</v>
      </c>
      <c r="F261" s="34" t="s">
        <v>215</v>
      </c>
      <c r="G261" s="34" t="s">
        <v>103</v>
      </c>
      <c r="H261" s="37">
        <v>26</v>
      </c>
      <c r="I261" s="34">
        <v>32500</v>
      </c>
      <c r="J261" s="34">
        <v>32591</v>
      </c>
      <c r="K261" s="34" t="s">
        <v>85</v>
      </c>
      <c r="L261" s="39">
        <v>45890</v>
      </c>
      <c r="M261" s="40" t="s">
        <v>121</v>
      </c>
      <c r="N261" s="39" t="s">
        <v>122</v>
      </c>
      <c r="O261" s="39">
        <v>45881</v>
      </c>
      <c r="P261" s="39">
        <v>45907</v>
      </c>
      <c r="Q261" s="39">
        <v>45892</v>
      </c>
      <c r="R261" s="39">
        <v>45941</v>
      </c>
      <c r="S261" s="39">
        <v>45943</v>
      </c>
      <c r="T261" s="39">
        <v>45950</v>
      </c>
      <c r="U261" s="39">
        <v>45952</v>
      </c>
      <c r="V261" s="39">
        <v>45957</v>
      </c>
      <c r="W261" s="39">
        <v>45957</v>
      </c>
      <c r="X261" s="39">
        <v>45957</v>
      </c>
      <c r="Y261" s="39">
        <v>45959</v>
      </c>
      <c r="Z261" s="39">
        <v>45960</v>
      </c>
      <c r="AA261" s="39">
        <v>45960</v>
      </c>
      <c r="AB261" s="39">
        <v>45960</v>
      </c>
      <c r="AC261" s="39">
        <v>45964</v>
      </c>
      <c r="AD261" s="190" t="s">
        <v>641</v>
      </c>
      <c r="AE261" s="54">
        <f t="shared" si="195"/>
        <v>2</v>
      </c>
      <c r="AF261" s="106">
        <v>7</v>
      </c>
      <c r="AG261" s="107">
        <f t="shared" si="196"/>
        <v>0</v>
      </c>
      <c r="AH261" s="108">
        <v>200</v>
      </c>
      <c r="AI261" s="109">
        <f t="shared" si="197"/>
        <v>0</v>
      </c>
      <c r="AJ261" s="54">
        <f t="shared" si="198"/>
        <v>4</v>
      </c>
      <c r="AK261" s="106">
        <v>2</v>
      </c>
      <c r="AL261" s="107">
        <f t="shared" si="199"/>
        <v>2</v>
      </c>
      <c r="AM261" s="108">
        <v>200</v>
      </c>
      <c r="AN261" s="109">
        <f t="shared" si="200"/>
        <v>400</v>
      </c>
      <c r="AO261" s="108"/>
      <c r="AP261" s="110">
        <f t="shared" si="201"/>
        <v>400</v>
      </c>
    </row>
    <row r="262" spans="1:42" s="68" customFormat="1" ht="14.25" customHeight="1">
      <c r="A262" s="91">
        <f t="shared" si="194"/>
        <v>259</v>
      </c>
      <c r="B262" s="34" t="s">
        <v>446</v>
      </c>
      <c r="C262" s="35" t="s">
        <v>498</v>
      </c>
      <c r="D262" s="35" t="s">
        <v>499</v>
      </c>
      <c r="E262" s="33" t="s">
        <v>500</v>
      </c>
      <c r="F262" s="34" t="s">
        <v>215</v>
      </c>
      <c r="G262" s="34" t="s">
        <v>103</v>
      </c>
      <c r="H262" s="37">
        <v>29</v>
      </c>
      <c r="I262" s="34">
        <v>36250</v>
      </c>
      <c r="J262" s="34">
        <v>36352</v>
      </c>
      <c r="K262" s="34" t="s">
        <v>85</v>
      </c>
      <c r="L262" s="39">
        <v>45890</v>
      </c>
      <c r="M262" s="40" t="s">
        <v>121</v>
      </c>
      <c r="N262" s="39" t="s">
        <v>122</v>
      </c>
      <c r="O262" s="39">
        <v>45881</v>
      </c>
      <c r="P262" s="39">
        <v>45907</v>
      </c>
      <c r="Q262" s="39">
        <v>45892</v>
      </c>
      <c r="R262" s="39">
        <v>45940</v>
      </c>
      <c r="S262" s="39">
        <v>45941</v>
      </c>
      <c r="T262" s="39">
        <v>45946</v>
      </c>
      <c r="U262" s="39">
        <v>45949</v>
      </c>
      <c r="V262" s="39">
        <v>45953</v>
      </c>
      <c r="W262" s="39">
        <v>45953</v>
      </c>
      <c r="X262" s="39">
        <v>45953</v>
      </c>
      <c r="Y262" s="39">
        <v>45959</v>
      </c>
      <c r="Z262" s="39">
        <v>45960</v>
      </c>
      <c r="AA262" s="39">
        <v>45960</v>
      </c>
      <c r="AB262" s="39">
        <v>45960</v>
      </c>
      <c r="AC262" s="39">
        <v>45962</v>
      </c>
      <c r="AD262" s="190" t="s">
        <v>641</v>
      </c>
      <c r="AE262" s="54">
        <f t="shared" si="195"/>
        <v>6</v>
      </c>
      <c r="AF262" s="106">
        <v>7</v>
      </c>
      <c r="AG262" s="107">
        <f t="shared" si="196"/>
        <v>0</v>
      </c>
      <c r="AH262" s="108">
        <v>200</v>
      </c>
      <c r="AI262" s="109">
        <f t="shared" si="197"/>
        <v>0</v>
      </c>
      <c r="AJ262" s="54">
        <f t="shared" si="198"/>
        <v>2</v>
      </c>
      <c r="AK262" s="106">
        <v>2</v>
      </c>
      <c r="AL262" s="107">
        <f t="shared" si="199"/>
        <v>0</v>
      </c>
      <c r="AM262" s="108">
        <v>200</v>
      </c>
      <c r="AN262" s="109">
        <f t="shared" si="200"/>
        <v>0</v>
      </c>
      <c r="AO262" s="108">
        <v>100</v>
      </c>
      <c r="AP262" s="110">
        <f t="shared" si="201"/>
        <v>100</v>
      </c>
    </row>
    <row r="263" spans="1:42" s="68" customFormat="1" ht="13.5" customHeight="1">
      <c r="A263" s="91">
        <f t="shared" si="194"/>
        <v>260</v>
      </c>
      <c r="B263" s="34" t="s">
        <v>446</v>
      </c>
      <c r="C263" s="35" t="s">
        <v>624</v>
      </c>
      <c r="D263" s="35" t="s">
        <v>625</v>
      </c>
      <c r="E263" s="39" t="s">
        <v>626</v>
      </c>
      <c r="F263" s="34" t="s">
        <v>215</v>
      </c>
      <c r="G263" s="34" t="s">
        <v>103</v>
      </c>
      <c r="H263" s="37">
        <v>28</v>
      </c>
      <c r="I263" s="34">
        <v>35000</v>
      </c>
      <c r="J263" s="34">
        <v>35098</v>
      </c>
      <c r="K263" s="34" t="s">
        <v>85</v>
      </c>
      <c r="L263" s="39">
        <v>45890</v>
      </c>
      <c r="M263" s="40" t="s">
        <v>121</v>
      </c>
      <c r="N263" s="39" t="s">
        <v>122</v>
      </c>
      <c r="O263" s="39">
        <v>45881</v>
      </c>
      <c r="P263" s="39">
        <v>45907</v>
      </c>
      <c r="Q263" s="39">
        <v>45892</v>
      </c>
      <c r="R263" s="39">
        <v>45940</v>
      </c>
      <c r="S263" s="39">
        <v>45941</v>
      </c>
      <c r="T263" s="39">
        <v>45943</v>
      </c>
      <c r="U263" s="39">
        <v>45950</v>
      </c>
      <c r="V263" s="39">
        <v>45953</v>
      </c>
      <c r="W263" s="39">
        <v>45953</v>
      </c>
      <c r="X263" s="39">
        <v>45953</v>
      </c>
      <c r="Y263" s="39">
        <v>45959</v>
      </c>
      <c r="Z263" s="39">
        <v>45960</v>
      </c>
      <c r="AA263" s="39">
        <v>45960</v>
      </c>
      <c r="AB263" s="39">
        <v>45961</v>
      </c>
      <c r="AC263" s="39">
        <v>45962</v>
      </c>
      <c r="AD263" s="190" t="s">
        <v>641</v>
      </c>
      <c r="AE263" s="54">
        <f t="shared" si="195"/>
        <v>6</v>
      </c>
      <c r="AF263" s="36">
        <v>7</v>
      </c>
      <c r="AG263" s="51">
        <f t="shared" si="196"/>
        <v>0</v>
      </c>
      <c r="AH263" s="52">
        <v>200</v>
      </c>
      <c r="AI263" s="109">
        <f t="shared" si="197"/>
        <v>0</v>
      </c>
      <c r="AJ263" s="54">
        <f t="shared" si="198"/>
        <v>1</v>
      </c>
      <c r="AK263" s="106">
        <v>2</v>
      </c>
      <c r="AL263" s="107">
        <f t="shared" si="199"/>
        <v>0</v>
      </c>
      <c r="AM263" s="108">
        <v>200</v>
      </c>
      <c r="AN263" s="109">
        <f t="shared" si="200"/>
        <v>0</v>
      </c>
      <c r="AO263" s="108"/>
      <c r="AP263" s="110">
        <f t="shared" si="201"/>
        <v>0</v>
      </c>
    </row>
    <row r="264" spans="1:42" s="68" customFormat="1" ht="14.25" customHeight="1">
      <c r="A264" s="91">
        <f t="shared" si="194"/>
        <v>261</v>
      </c>
      <c r="B264" s="34" t="s">
        <v>446</v>
      </c>
      <c r="C264" s="35" t="s">
        <v>711</v>
      </c>
      <c r="D264" s="35" t="s">
        <v>712</v>
      </c>
      <c r="E264" s="34" t="s">
        <v>713</v>
      </c>
      <c r="F264" s="34" t="s">
        <v>215</v>
      </c>
      <c r="G264" s="34" t="s">
        <v>103</v>
      </c>
      <c r="H264" s="37">
        <v>28</v>
      </c>
      <c r="I264" s="34">
        <v>35000</v>
      </c>
      <c r="J264" s="34">
        <v>35098</v>
      </c>
      <c r="K264" s="34" t="s">
        <v>85</v>
      </c>
      <c r="L264" s="39">
        <v>45890</v>
      </c>
      <c r="M264" s="40" t="s">
        <v>121</v>
      </c>
      <c r="N264" s="39" t="s">
        <v>122</v>
      </c>
      <c r="O264" s="39">
        <v>45881</v>
      </c>
      <c r="P264" s="39">
        <v>45907</v>
      </c>
      <c r="Q264" s="39">
        <v>45892</v>
      </c>
      <c r="R264" s="39">
        <v>45940</v>
      </c>
      <c r="S264" s="39">
        <v>45943</v>
      </c>
      <c r="T264" s="39">
        <v>45945</v>
      </c>
      <c r="U264" s="39">
        <v>45947</v>
      </c>
      <c r="V264" s="39">
        <v>45951</v>
      </c>
      <c r="W264" s="39">
        <v>45951</v>
      </c>
      <c r="X264" s="39">
        <v>45951</v>
      </c>
      <c r="Y264" s="39">
        <v>45960</v>
      </c>
      <c r="Z264" s="39">
        <v>45960</v>
      </c>
      <c r="AA264" s="39">
        <v>45960</v>
      </c>
      <c r="AB264" s="39">
        <v>45960</v>
      </c>
      <c r="AC264" s="39">
        <v>45962</v>
      </c>
      <c r="AD264" s="190" t="s">
        <v>641</v>
      </c>
      <c r="AE264" s="54">
        <f t="shared" si="195"/>
        <v>9</v>
      </c>
      <c r="AF264" s="36">
        <v>7</v>
      </c>
      <c r="AG264" s="51">
        <f t="shared" si="196"/>
        <v>2</v>
      </c>
      <c r="AH264" s="52">
        <v>200</v>
      </c>
      <c r="AI264" s="53">
        <f t="shared" si="197"/>
        <v>400</v>
      </c>
      <c r="AJ264" s="54">
        <f t="shared" si="198"/>
        <v>2</v>
      </c>
      <c r="AK264" s="36">
        <v>2</v>
      </c>
      <c r="AL264" s="51">
        <f t="shared" si="199"/>
        <v>0</v>
      </c>
      <c r="AM264" s="52">
        <v>200</v>
      </c>
      <c r="AN264" s="53">
        <f t="shared" si="200"/>
        <v>0</v>
      </c>
      <c r="AO264" s="52">
        <v>0</v>
      </c>
      <c r="AP264" s="55">
        <f t="shared" si="201"/>
        <v>400</v>
      </c>
    </row>
    <row r="265" spans="1:42" s="68" customFormat="1" ht="14.25" customHeight="1">
      <c r="A265" s="91">
        <f t="shared" si="194"/>
        <v>262</v>
      </c>
      <c r="B265" s="34" t="s">
        <v>446</v>
      </c>
      <c r="C265" s="35" t="s">
        <v>714</v>
      </c>
      <c r="D265" s="35" t="s">
        <v>715</v>
      </c>
      <c r="E265" s="35" t="s">
        <v>716</v>
      </c>
      <c r="F265" s="34" t="s">
        <v>215</v>
      </c>
      <c r="G265" s="34" t="s">
        <v>103</v>
      </c>
      <c r="H265" s="37">
        <v>29</v>
      </c>
      <c r="I265" s="34">
        <v>36250</v>
      </c>
      <c r="J265" s="34">
        <v>36352</v>
      </c>
      <c r="K265" s="34" t="s">
        <v>85</v>
      </c>
      <c r="L265" s="39">
        <v>45890</v>
      </c>
      <c r="M265" s="40" t="s">
        <v>121</v>
      </c>
      <c r="N265" s="39" t="s">
        <v>122</v>
      </c>
      <c r="O265" s="39">
        <v>45881</v>
      </c>
      <c r="P265" s="39">
        <v>45907</v>
      </c>
      <c r="Q265" s="39">
        <v>45892</v>
      </c>
      <c r="R265" s="39">
        <v>45941</v>
      </c>
      <c r="S265" s="39">
        <v>45942</v>
      </c>
      <c r="T265" s="39">
        <v>45945</v>
      </c>
      <c r="U265" s="39">
        <v>45947</v>
      </c>
      <c r="V265" s="39">
        <v>45951</v>
      </c>
      <c r="W265" s="39">
        <v>45951</v>
      </c>
      <c r="X265" s="39">
        <v>45951</v>
      </c>
      <c r="Y265" s="39">
        <v>45959</v>
      </c>
      <c r="Z265" s="39">
        <v>45960</v>
      </c>
      <c r="AA265" s="39">
        <v>45960</v>
      </c>
      <c r="AB265" s="39">
        <v>45960</v>
      </c>
      <c r="AC265" s="39">
        <v>45962</v>
      </c>
      <c r="AD265" s="190" t="s">
        <v>641</v>
      </c>
      <c r="AE265" s="54">
        <f t="shared" si="195"/>
        <v>8</v>
      </c>
      <c r="AF265" s="36">
        <v>7</v>
      </c>
      <c r="AG265" s="51">
        <f t="shared" si="196"/>
        <v>1</v>
      </c>
      <c r="AH265" s="52">
        <v>200</v>
      </c>
      <c r="AI265" s="53">
        <f t="shared" si="197"/>
        <v>200</v>
      </c>
      <c r="AJ265" s="54">
        <f t="shared" si="198"/>
        <v>2</v>
      </c>
      <c r="AK265" s="36">
        <v>2</v>
      </c>
      <c r="AL265" s="51">
        <f t="shared" si="199"/>
        <v>0</v>
      </c>
      <c r="AM265" s="52">
        <v>200</v>
      </c>
      <c r="AN265" s="53">
        <f t="shared" si="200"/>
        <v>0</v>
      </c>
      <c r="AO265" s="52">
        <v>25</v>
      </c>
      <c r="AP265" s="55">
        <f t="shared" si="201"/>
        <v>225</v>
      </c>
    </row>
    <row r="266" spans="1:42" s="68" customFormat="1" ht="14.25" customHeight="1">
      <c r="A266" s="91">
        <f t="shared" si="194"/>
        <v>263</v>
      </c>
      <c r="B266" s="34" t="s">
        <v>446</v>
      </c>
      <c r="C266" s="35" t="s">
        <v>615</v>
      </c>
      <c r="D266" s="35" t="s">
        <v>616</v>
      </c>
      <c r="E266" s="35" t="s">
        <v>617</v>
      </c>
      <c r="F266" s="34" t="s">
        <v>215</v>
      </c>
      <c r="G266" s="34" t="s">
        <v>103</v>
      </c>
      <c r="H266" s="37">
        <v>28</v>
      </c>
      <c r="I266" s="34">
        <v>35000</v>
      </c>
      <c r="J266" s="34">
        <v>35098</v>
      </c>
      <c r="K266" s="34" t="s">
        <v>85</v>
      </c>
      <c r="L266" s="39">
        <v>45890</v>
      </c>
      <c r="M266" s="40" t="s">
        <v>121</v>
      </c>
      <c r="N266" s="39" t="s">
        <v>122</v>
      </c>
      <c r="O266" s="39">
        <v>45881</v>
      </c>
      <c r="P266" s="39">
        <v>45907</v>
      </c>
      <c r="Q266" s="39">
        <v>45892</v>
      </c>
      <c r="R266" s="39">
        <v>45941</v>
      </c>
      <c r="S266" s="39">
        <v>45943</v>
      </c>
      <c r="T266" s="39">
        <v>45945</v>
      </c>
      <c r="U266" s="39">
        <v>45949</v>
      </c>
      <c r="V266" s="39">
        <v>45952</v>
      </c>
      <c r="W266" s="39">
        <v>45952</v>
      </c>
      <c r="X266" s="39">
        <v>45952</v>
      </c>
      <c r="Y266" s="39">
        <v>45959</v>
      </c>
      <c r="Z266" s="39">
        <v>45960</v>
      </c>
      <c r="AA266" s="39">
        <v>45960</v>
      </c>
      <c r="AB266" s="39">
        <v>45960</v>
      </c>
      <c r="AC266" s="39">
        <v>45962</v>
      </c>
      <c r="AD266" s="190" t="s">
        <v>641</v>
      </c>
      <c r="AE266" s="54">
        <f t="shared" si="195"/>
        <v>7</v>
      </c>
      <c r="AF266" s="36">
        <v>7</v>
      </c>
      <c r="AG266" s="51">
        <f t="shared" si="196"/>
        <v>0</v>
      </c>
      <c r="AH266" s="52">
        <v>200</v>
      </c>
      <c r="AI266" s="53">
        <f t="shared" si="197"/>
        <v>0</v>
      </c>
      <c r="AJ266" s="54">
        <f t="shared" si="198"/>
        <v>2</v>
      </c>
      <c r="AK266" s="36">
        <v>2</v>
      </c>
      <c r="AL266" s="51">
        <f t="shared" si="199"/>
        <v>0</v>
      </c>
      <c r="AM266" s="52">
        <v>200</v>
      </c>
      <c r="AN266" s="53">
        <f t="shared" si="200"/>
        <v>0</v>
      </c>
      <c r="AO266" s="52"/>
      <c r="AP266" s="55">
        <f t="shared" si="201"/>
        <v>0</v>
      </c>
    </row>
    <row r="267" spans="1:42" s="68" customFormat="1" ht="15" customHeight="1">
      <c r="A267" s="91">
        <f t="shared" si="194"/>
        <v>264</v>
      </c>
      <c r="B267" s="34" t="s">
        <v>446</v>
      </c>
      <c r="C267" s="35" t="s">
        <v>717</v>
      </c>
      <c r="D267" s="35" t="s">
        <v>718</v>
      </c>
      <c r="E267" s="35" t="s">
        <v>719</v>
      </c>
      <c r="F267" s="34" t="s">
        <v>215</v>
      </c>
      <c r="G267" s="34" t="s">
        <v>103</v>
      </c>
      <c r="H267" s="37">
        <v>28</v>
      </c>
      <c r="I267" s="34">
        <v>35000</v>
      </c>
      <c r="J267" s="34">
        <v>35098</v>
      </c>
      <c r="K267" s="34" t="s">
        <v>85</v>
      </c>
      <c r="L267" s="39">
        <v>45890</v>
      </c>
      <c r="M267" s="40" t="s">
        <v>121</v>
      </c>
      <c r="N267" s="39" t="s">
        <v>122</v>
      </c>
      <c r="O267" s="39">
        <v>45881</v>
      </c>
      <c r="P267" s="39">
        <v>45907</v>
      </c>
      <c r="Q267" s="39">
        <v>45892</v>
      </c>
      <c r="R267" s="39">
        <v>45941</v>
      </c>
      <c r="S267" s="39">
        <v>45943</v>
      </c>
      <c r="T267" s="39">
        <v>45945</v>
      </c>
      <c r="U267" s="39">
        <v>45952</v>
      </c>
      <c r="V267" s="39">
        <v>45955</v>
      </c>
      <c r="W267" s="39">
        <v>45955</v>
      </c>
      <c r="X267" s="39">
        <v>45955</v>
      </c>
      <c r="Y267" s="39">
        <v>45959</v>
      </c>
      <c r="Z267" s="39">
        <v>45960</v>
      </c>
      <c r="AA267" s="39">
        <v>45960</v>
      </c>
      <c r="AB267" s="39">
        <v>45960</v>
      </c>
      <c r="AC267" s="39">
        <v>45962</v>
      </c>
      <c r="AD267" s="190" t="s">
        <v>641</v>
      </c>
      <c r="AE267" s="54">
        <f t="shared" si="195"/>
        <v>4</v>
      </c>
      <c r="AF267" s="106">
        <v>7</v>
      </c>
      <c r="AG267" s="107">
        <f t="shared" si="196"/>
        <v>0</v>
      </c>
      <c r="AH267" s="108">
        <v>200</v>
      </c>
      <c r="AI267" s="109">
        <f t="shared" si="197"/>
        <v>0</v>
      </c>
      <c r="AJ267" s="54">
        <f t="shared" si="198"/>
        <v>2</v>
      </c>
      <c r="AK267" s="106">
        <v>2</v>
      </c>
      <c r="AL267" s="107">
        <f t="shared" si="199"/>
        <v>0</v>
      </c>
      <c r="AM267" s="108">
        <v>200</v>
      </c>
      <c r="AN267" s="109">
        <f t="shared" si="200"/>
        <v>0</v>
      </c>
      <c r="AO267" s="108">
        <v>50</v>
      </c>
      <c r="AP267" s="110">
        <f t="shared" si="201"/>
        <v>50</v>
      </c>
    </row>
    <row r="268" spans="1:42" s="68" customFormat="1" ht="15" customHeight="1">
      <c r="A268" s="91">
        <f t="shared" si="194"/>
        <v>265</v>
      </c>
      <c r="B268" s="34" t="s">
        <v>446</v>
      </c>
      <c r="C268" s="35" t="s">
        <v>720</v>
      </c>
      <c r="D268" s="35" t="s">
        <v>721</v>
      </c>
      <c r="E268" s="34" t="s">
        <v>722</v>
      </c>
      <c r="F268" s="34" t="s">
        <v>215</v>
      </c>
      <c r="G268" s="34" t="s">
        <v>103</v>
      </c>
      <c r="H268" s="37">
        <v>29</v>
      </c>
      <c r="I268" s="34">
        <v>35000</v>
      </c>
      <c r="J268" s="34">
        <v>35098</v>
      </c>
      <c r="K268" s="34" t="s">
        <v>85</v>
      </c>
      <c r="L268" s="39">
        <v>45890</v>
      </c>
      <c r="M268" s="40" t="s">
        <v>121</v>
      </c>
      <c r="N268" s="39" t="s">
        <v>122</v>
      </c>
      <c r="O268" s="39">
        <v>45881</v>
      </c>
      <c r="P268" s="39">
        <v>45907</v>
      </c>
      <c r="Q268" s="39">
        <v>45892</v>
      </c>
      <c r="R268" s="39">
        <v>45940</v>
      </c>
      <c r="S268" s="39">
        <v>45941</v>
      </c>
      <c r="T268" s="39">
        <v>45943</v>
      </c>
      <c r="U268" s="39">
        <v>45949</v>
      </c>
      <c r="V268" s="39">
        <v>45951</v>
      </c>
      <c r="W268" s="39">
        <v>45951</v>
      </c>
      <c r="X268" s="39">
        <v>45951</v>
      </c>
      <c r="Y268" s="39">
        <v>45959</v>
      </c>
      <c r="Z268" s="39">
        <v>45960</v>
      </c>
      <c r="AA268" s="39">
        <v>45960</v>
      </c>
      <c r="AB268" s="39">
        <v>45960</v>
      </c>
      <c r="AC268" s="39">
        <v>45962</v>
      </c>
      <c r="AD268" s="190" t="s">
        <v>641</v>
      </c>
      <c r="AE268" s="54">
        <f t="shared" si="195"/>
        <v>8</v>
      </c>
      <c r="AF268" s="36">
        <v>7</v>
      </c>
      <c r="AG268" s="51">
        <f t="shared" si="196"/>
        <v>1</v>
      </c>
      <c r="AH268" s="52">
        <v>200</v>
      </c>
      <c r="AI268" s="53">
        <f t="shared" si="197"/>
        <v>200</v>
      </c>
      <c r="AJ268" s="54">
        <f t="shared" si="198"/>
        <v>2</v>
      </c>
      <c r="AK268" s="36">
        <v>2</v>
      </c>
      <c r="AL268" s="51">
        <f t="shared" si="199"/>
        <v>0</v>
      </c>
      <c r="AM268" s="52">
        <v>200</v>
      </c>
      <c r="AN268" s="53">
        <f t="shared" si="200"/>
        <v>0</v>
      </c>
      <c r="AO268" s="52">
        <v>0</v>
      </c>
      <c r="AP268" s="55">
        <f t="shared" si="201"/>
        <v>200</v>
      </c>
    </row>
    <row r="269" spans="1:42" s="68" customFormat="1" ht="15" customHeight="1">
      <c r="A269" s="91">
        <f t="shared" si="194"/>
        <v>266</v>
      </c>
      <c r="B269" s="34" t="s">
        <v>446</v>
      </c>
      <c r="C269" s="35" t="s">
        <v>723</v>
      </c>
      <c r="D269" s="35" t="s">
        <v>724</v>
      </c>
      <c r="E269" s="35" t="s">
        <v>725</v>
      </c>
      <c r="F269" s="34" t="s">
        <v>215</v>
      </c>
      <c r="G269" s="34" t="s">
        <v>103</v>
      </c>
      <c r="H269" s="37">
        <v>29</v>
      </c>
      <c r="I269" s="34">
        <v>36250</v>
      </c>
      <c r="J269" s="34">
        <v>36352</v>
      </c>
      <c r="K269" s="34" t="s">
        <v>85</v>
      </c>
      <c r="L269" s="39">
        <v>45890</v>
      </c>
      <c r="M269" s="40" t="s">
        <v>121</v>
      </c>
      <c r="N269" s="39" t="s">
        <v>122</v>
      </c>
      <c r="O269" s="39">
        <v>45881</v>
      </c>
      <c r="P269" s="39">
        <v>45907</v>
      </c>
      <c r="Q269" s="39">
        <v>45892</v>
      </c>
      <c r="R269" s="39">
        <v>45940</v>
      </c>
      <c r="S269" s="39">
        <v>45941</v>
      </c>
      <c r="T269" s="39">
        <v>45946</v>
      </c>
      <c r="U269" s="39">
        <v>45950</v>
      </c>
      <c r="V269" s="39">
        <v>45953</v>
      </c>
      <c r="W269" s="39">
        <v>45953</v>
      </c>
      <c r="X269" s="39">
        <v>45953</v>
      </c>
      <c r="Y269" s="39">
        <v>45959</v>
      </c>
      <c r="Z269" s="39">
        <v>45960</v>
      </c>
      <c r="AA269" s="39">
        <v>45960</v>
      </c>
      <c r="AB269" s="39">
        <v>45960</v>
      </c>
      <c r="AC269" s="39">
        <v>45961</v>
      </c>
      <c r="AD269" s="190" t="s">
        <v>641</v>
      </c>
      <c r="AE269" s="54">
        <f t="shared" si="195"/>
        <v>6</v>
      </c>
      <c r="AF269" s="106">
        <v>7</v>
      </c>
      <c r="AG269" s="107">
        <f t="shared" si="196"/>
        <v>0</v>
      </c>
      <c r="AH269" s="108">
        <v>200</v>
      </c>
      <c r="AI269" s="109">
        <f t="shared" si="197"/>
        <v>0</v>
      </c>
      <c r="AJ269" s="54">
        <f t="shared" si="198"/>
        <v>1</v>
      </c>
      <c r="AK269" s="106">
        <v>2</v>
      </c>
      <c r="AL269" s="107">
        <f t="shared" si="199"/>
        <v>0</v>
      </c>
      <c r="AM269" s="108">
        <v>200</v>
      </c>
      <c r="AN269" s="109">
        <f t="shared" si="200"/>
        <v>0</v>
      </c>
      <c r="AO269" s="108">
        <v>150</v>
      </c>
      <c r="AP269" s="110">
        <f t="shared" si="201"/>
        <v>150</v>
      </c>
    </row>
    <row r="270" spans="1:42" s="68" customFormat="1" ht="15" customHeight="1">
      <c r="A270" s="91">
        <f t="shared" si="194"/>
        <v>267</v>
      </c>
      <c r="B270" s="34" t="s">
        <v>446</v>
      </c>
      <c r="C270" s="35" t="s">
        <v>516</v>
      </c>
      <c r="D270" s="35" t="s">
        <v>517</v>
      </c>
      <c r="E270" s="33" t="s">
        <v>518</v>
      </c>
      <c r="F270" s="34" t="s">
        <v>215</v>
      </c>
      <c r="G270" s="34" t="s">
        <v>103</v>
      </c>
      <c r="H270" s="37">
        <v>28</v>
      </c>
      <c r="I270" s="34">
        <v>35000</v>
      </c>
      <c r="J270" s="34">
        <v>35098</v>
      </c>
      <c r="K270" s="34" t="s">
        <v>85</v>
      </c>
      <c r="L270" s="39">
        <v>45890</v>
      </c>
      <c r="M270" s="40" t="s">
        <v>121</v>
      </c>
      <c r="N270" s="39" t="s">
        <v>122</v>
      </c>
      <c r="O270" s="39">
        <v>45881</v>
      </c>
      <c r="P270" s="39">
        <v>45907</v>
      </c>
      <c r="Q270" s="39">
        <v>45892</v>
      </c>
      <c r="R270" s="39">
        <v>45940</v>
      </c>
      <c r="S270" s="39">
        <v>45941</v>
      </c>
      <c r="T270" s="39">
        <v>45946</v>
      </c>
      <c r="U270" s="39">
        <v>45949</v>
      </c>
      <c r="V270" s="39">
        <v>45951</v>
      </c>
      <c r="W270" s="39">
        <v>45951</v>
      </c>
      <c r="X270" s="39">
        <v>45951</v>
      </c>
      <c r="Y270" s="39">
        <v>45959</v>
      </c>
      <c r="Z270" s="39">
        <v>45959</v>
      </c>
      <c r="AA270" s="39">
        <v>45960</v>
      </c>
      <c r="AB270" s="39">
        <v>45960</v>
      </c>
      <c r="AC270" s="39">
        <v>45961</v>
      </c>
      <c r="AD270" s="190" t="s">
        <v>641</v>
      </c>
      <c r="AE270" s="54">
        <f t="shared" si="195"/>
        <v>8</v>
      </c>
      <c r="AF270" s="36">
        <v>7</v>
      </c>
      <c r="AG270" s="51">
        <f t="shared" si="196"/>
        <v>1</v>
      </c>
      <c r="AH270" s="52">
        <v>200</v>
      </c>
      <c r="AI270" s="53">
        <f t="shared" si="197"/>
        <v>200</v>
      </c>
      <c r="AJ270" s="54">
        <f t="shared" si="198"/>
        <v>1</v>
      </c>
      <c r="AK270" s="36">
        <v>2</v>
      </c>
      <c r="AL270" s="51">
        <f t="shared" si="199"/>
        <v>0</v>
      </c>
      <c r="AM270" s="52">
        <v>200</v>
      </c>
      <c r="AN270" s="53">
        <f t="shared" si="200"/>
        <v>0</v>
      </c>
      <c r="AO270" s="52">
        <v>25</v>
      </c>
      <c r="AP270" s="55">
        <f t="shared" si="201"/>
        <v>225</v>
      </c>
    </row>
    <row r="271" spans="1:42" s="68" customFormat="1" ht="14.25" customHeight="1">
      <c r="A271" s="91">
        <f t="shared" si="194"/>
        <v>268</v>
      </c>
      <c r="B271" s="34" t="s">
        <v>446</v>
      </c>
      <c r="C271" s="35" t="s">
        <v>726</v>
      </c>
      <c r="D271" s="35" t="s">
        <v>727</v>
      </c>
      <c r="E271" s="64" t="s">
        <v>728</v>
      </c>
      <c r="F271" s="34" t="s">
        <v>215</v>
      </c>
      <c r="G271" s="34" t="s">
        <v>103</v>
      </c>
      <c r="H271" s="37">
        <v>29</v>
      </c>
      <c r="I271" s="34">
        <v>36250</v>
      </c>
      <c r="J271" s="34">
        <v>36352</v>
      </c>
      <c r="K271" s="34" t="s">
        <v>85</v>
      </c>
      <c r="L271" s="39">
        <v>45890</v>
      </c>
      <c r="M271" s="40" t="s">
        <v>121</v>
      </c>
      <c r="N271" s="39" t="s">
        <v>122</v>
      </c>
      <c r="O271" s="39">
        <v>45881</v>
      </c>
      <c r="P271" s="39">
        <v>45907</v>
      </c>
      <c r="Q271" s="39">
        <v>45892</v>
      </c>
      <c r="R271" s="39">
        <v>45940</v>
      </c>
      <c r="S271" s="39">
        <v>45941</v>
      </c>
      <c r="T271" s="39">
        <v>45943</v>
      </c>
      <c r="U271" s="39">
        <v>45945</v>
      </c>
      <c r="V271" s="39">
        <v>45948</v>
      </c>
      <c r="W271" s="39">
        <v>45948</v>
      </c>
      <c r="X271" s="39">
        <v>45948</v>
      </c>
      <c r="Y271" s="39">
        <v>45959</v>
      </c>
      <c r="Z271" s="39">
        <v>45960</v>
      </c>
      <c r="AA271" s="39">
        <v>45960</v>
      </c>
      <c r="AB271" s="39">
        <v>45960</v>
      </c>
      <c r="AC271" s="39">
        <v>45961</v>
      </c>
      <c r="AD271" s="190" t="s">
        <v>641</v>
      </c>
      <c r="AE271" s="54">
        <f t="shared" si="195"/>
        <v>11</v>
      </c>
      <c r="AF271" s="36">
        <v>7</v>
      </c>
      <c r="AG271" s="51">
        <f t="shared" si="196"/>
        <v>4</v>
      </c>
      <c r="AH271" s="52">
        <v>200</v>
      </c>
      <c r="AI271" s="53">
        <f t="shared" si="197"/>
        <v>800</v>
      </c>
      <c r="AJ271" s="54">
        <f t="shared" si="198"/>
        <v>1</v>
      </c>
      <c r="AK271" s="36">
        <v>2</v>
      </c>
      <c r="AL271" s="51">
        <f t="shared" si="199"/>
        <v>0</v>
      </c>
      <c r="AM271" s="52">
        <v>200</v>
      </c>
      <c r="AN271" s="53">
        <f t="shared" si="200"/>
        <v>0</v>
      </c>
      <c r="AO271" s="52">
        <v>150</v>
      </c>
      <c r="AP271" s="55">
        <f t="shared" si="201"/>
        <v>950</v>
      </c>
    </row>
    <row r="272" spans="1:42" s="68" customFormat="1" ht="14.25" customHeight="1">
      <c r="A272" s="91">
        <f t="shared" si="194"/>
        <v>269</v>
      </c>
      <c r="B272" s="34" t="s">
        <v>446</v>
      </c>
      <c r="C272" s="35" t="s">
        <v>124</v>
      </c>
      <c r="D272" s="35" t="s">
        <v>125</v>
      </c>
      <c r="E272" s="33" t="s">
        <v>126</v>
      </c>
      <c r="F272" s="34" t="s">
        <v>215</v>
      </c>
      <c r="G272" s="34" t="s">
        <v>103</v>
      </c>
      <c r="H272" s="37">
        <v>30</v>
      </c>
      <c r="I272" s="34">
        <v>37500</v>
      </c>
      <c r="J272" s="34">
        <v>37605</v>
      </c>
      <c r="K272" s="34" t="s">
        <v>85</v>
      </c>
      <c r="L272" s="39">
        <v>45890</v>
      </c>
      <c r="M272" s="40" t="s">
        <v>121</v>
      </c>
      <c r="N272" s="39" t="s">
        <v>122</v>
      </c>
      <c r="O272" s="39">
        <v>45881</v>
      </c>
      <c r="P272" s="39">
        <v>45907</v>
      </c>
      <c r="Q272" s="39">
        <v>45892</v>
      </c>
      <c r="R272" s="39">
        <v>45940</v>
      </c>
      <c r="S272" s="39">
        <v>45941</v>
      </c>
      <c r="T272" s="39">
        <v>45945</v>
      </c>
      <c r="U272" s="39">
        <v>45948</v>
      </c>
      <c r="V272" s="39">
        <v>45950</v>
      </c>
      <c r="W272" s="39">
        <v>45950</v>
      </c>
      <c r="X272" s="39">
        <v>45950</v>
      </c>
      <c r="Y272" s="39">
        <v>45959</v>
      </c>
      <c r="Z272" s="39">
        <v>45959</v>
      </c>
      <c r="AA272" s="39">
        <v>45960</v>
      </c>
      <c r="AB272" s="39">
        <v>45960</v>
      </c>
      <c r="AC272" s="39">
        <v>45961</v>
      </c>
      <c r="AD272" s="190" t="s">
        <v>641</v>
      </c>
      <c r="AE272" s="54">
        <f t="shared" si="195"/>
        <v>9</v>
      </c>
      <c r="AF272" s="106">
        <v>7</v>
      </c>
      <c r="AG272" s="107">
        <f t="shared" si="196"/>
        <v>2</v>
      </c>
      <c r="AH272" s="108">
        <v>200</v>
      </c>
      <c r="AI272" s="109">
        <f t="shared" si="197"/>
        <v>400</v>
      </c>
      <c r="AJ272" s="54">
        <f t="shared" si="198"/>
        <v>1</v>
      </c>
      <c r="AK272" s="106">
        <v>2</v>
      </c>
      <c r="AL272" s="107">
        <f t="shared" si="199"/>
        <v>0</v>
      </c>
      <c r="AM272" s="108">
        <v>200</v>
      </c>
      <c r="AN272" s="109">
        <f t="shared" si="200"/>
        <v>0</v>
      </c>
      <c r="AO272" s="108">
        <v>50</v>
      </c>
      <c r="AP272" s="110">
        <f t="shared" si="201"/>
        <v>450</v>
      </c>
    </row>
    <row r="273" spans="1:42" s="1" customFormat="1" ht="15" customHeight="1">
      <c r="A273" s="91">
        <f t="shared" si="194"/>
        <v>270</v>
      </c>
      <c r="B273" s="34" t="s">
        <v>446</v>
      </c>
      <c r="C273" s="35" t="s">
        <v>729</v>
      </c>
      <c r="D273" s="35" t="s">
        <v>730</v>
      </c>
      <c r="E273" s="34" t="s">
        <v>731</v>
      </c>
      <c r="F273" s="34" t="s">
        <v>18</v>
      </c>
      <c r="G273" s="37" t="s">
        <v>732</v>
      </c>
      <c r="H273" s="37">
        <v>28</v>
      </c>
      <c r="I273" s="93">
        <v>35000</v>
      </c>
      <c r="J273" s="93">
        <v>35070</v>
      </c>
      <c r="K273" s="34" t="s">
        <v>120</v>
      </c>
      <c r="L273" s="39">
        <v>45890</v>
      </c>
      <c r="M273" s="39" t="s">
        <v>121</v>
      </c>
      <c r="N273" s="40" t="s">
        <v>122</v>
      </c>
      <c r="O273" s="39">
        <v>45881</v>
      </c>
      <c r="P273" s="39">
        <v>45907</v>
      </c>
      <c r="Q273" s="39">
        <v>45892</v>
      </c>
      <c r="R273" s="39">
        <v>45951</v>
      </c>
      <c r="S273" s="39">
        <v>45995</v>
      </c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36" t="s">
        <v>268</v>
      </c>
      <c r="AE273" s="54">
        <f t="shared" si="195"/>
        <v>0</v>
      </c>
      <c r="AF273" s="36">
        <v>7</v>
      </c>
      <c r="AG273" s="51">
        <f t="shared" si="196"/>
        <v>0</v>
      </c>
      <c r="AH273" s="52">
        <v>200</v>
      </c>
      <c r="AI273" s="53">
        <f t="shared" si="197"/>
        <v>0</v>
      </c>
      <c r="AJ273" s="54">
        <f t="shared" si="198"/>
        <v>0</v>
      </c>
      <c r="AK273" s="36">
        <v>2</v>
      </c>
      <c r="AL273" s="51">
        <f t="shared" si="199"/>
        <v>0</v>
      </c>
      <c r="AM273" s="52">
        <v>200</v>
      </c>
      <c r="AN273" s="53">
        <f t="shared" si="200"/>
        <v>0</v>
      </c>
      <c r="AO273" s="52">
        <v>0</v>
      </c>
      <c r="AP273" s="55">
        <f t="shared" si="201"/>
        <v>0</v>
      </c>
    </row>
    <row r="274" spans="1:42" s="134" customFormat="1" ht="12" customHeight="1">
      <c r="A274" s="91">
        <f t="shared" ref="A274:A289" si="204">ROW()-3</f>
        <v>271</v>
      </c>
      <c r="B274" s="34" t="s">
        <v>446</v>
      </c>
      <c r="C274" s="35" t="s">
        <v>330</v>
      </c>
      <c r="D274" s="35" t="s">
        <v>331</v>
      </c>
      <c r="E274" s="34" t="s">
        <v>332</v>
      </c>
      <c r="F274" s="34" t="s">
        <v>18</v>
      </c>
      <c r="G274" s="34" t="s">
        <v>103</v>
      </c>
      <c r="H274" s="36">
        <v>24</v>
      </c>
      <c r="I274" s="34">
        <v>30000</v>
      </c>
      <c r="J274" s="34">
        <v>30084</v>
      </c>
      <c r="K274" s="34" t="s">
        <v>85</v>
      </c>
      <c r="L274" s="39">
        <v>45890</v>
      </c>
      <c r="M274" s="40" t="s">
        <v>121</v>
      </c>
      <c r="N274" s="39" t="s">
        <v>122</v>
      </c>
      <c r="O274" s="39">
        <v>45881</v>
      </c>
      <c r="P274" s="39">
        <v>45907</v>
      </c>
      <c r="Q274" s="39">
        <v>45892</v>
      </c>
      <c r="R274" s="39">
        <v>45951</v>
      </c>
      <c r="S274" s="39">
        <v>45952</v>
      </c>
      <c r="T274" s="39">
        <v>45956</v>
      </c>
      <c r="U274" s="39">
        <v>45964</v>
      </c>
      <c r="V274" s="39">
        <v>45966</v>
      </c>
      <c r="W274" s="39">
        <v>45966</v>
      </c>
      <c r="X274" s="39">
        <v>45966</v>
      </c>
      <c r="Y274" s="39">
        <v>45969</v>
      </c>
      <c r="Z274" s="39">
        <v>45969</v>
      </c>
      <c r="AA274" s="39">
        <v>45974</v>
      </c>
      <c r="AB274" s="39">
        <v>45975</v>
      </c>
      <c r="AC274" s="39">
        <v>45978</v>
      </c>
      <c r="AD274" s="36" t="s">
        <v>641</v>
      </c>
      <c r="AE274" s="54">
        <f t="shared" ref="AE274:AE289" si="205">MAX(0,Y274-X274)</f>
        <v>3</v>
      </c>
      <c r="AF274" s="36">
        <v>7</v>
      </c>
      <c r="AG274" s="51">
        <f t="shared" ref="AG274:AG289" si="206">MAX(0,AE274-AF274)</f>
        <v>0</v>
      </c>
      <c r="AH274" s="52">
        <v>200</v>
      </c>
      <c r="AI274" s="53">
        <f t="shared" ref="AI274:AI289" si="207">MAX(0,AG274*AH274)</f>
        <v>0</v>
      </c>
      <c r="AJ274" s="54">
        <f>MAX(0,AC274-AA275)</f>
        <v>4</v>
      </c>
      <c r="AK274" s="36">
        <v>2</v>
      </c>
      <c r="AL274" s="51">
        <f t="shared" ref="AL274:AL289" si="208">MAX(0,AJ274-AK274)</f>
        <v>2</v>
      </c>
      <c r="AM274" s="52">
        <v>200</v>
      </c>
      <c r="AN274" s="53">
        <f t="shared" ref="AN274:AN289" si="209">MAX(0,AL274*AM274)</f>
        <v>400</v>
      </c>
      <c r="AO274" s="52">
        <v>0</v>
      </c>
      <c r="AP274" s="55">
        <f t="shared" ref="AP274:AP289" si="210">AO274+AN274+AI274</f>
        <v>400</v>
      </c>
    </row>
    <row r="275" spans="1:42" s="134" customFormat="1" ht="12.75">
      <c r="A275" s="91">
        <f t="shared" si="204"/>
        <v>272</v>
      </c>
      <c r="B275" s="34" t="s">
        <v>446</v>
      </c>
      <c r="C275" s="35" t="s">
        <v>425</v>
      </c>
      <c r="D275" s="35" t="s">
        <v>426</v>
      </c>
      <c r="E275" s="35" t="s">
        <v>427</v>
      </c>
      <c r="F275" s="34" t="s">
        <v>18</v>
      </c>
      <c r="G275" s="34" t="s">
        <v>103</v>
      </c>
      <c r="H275" s="36">
        <v>28</v>
      </c>
      <c r="I275" s="34">
        <v>35000</v>
      </c>
      <c r="J275" s="34">
        <v>35070</v>
      </c>
      <c r="K275" s="34" t="s">
        <v>85</v>
      </c>
      <c r="L275" s="39">
        <v>45890</v>
      </c>
      <c r="M275" s="40" t="s">
        <v>121</v>
      </c>
      <c r="N275" s="39" t="s">
        <v>122</v>
      </c>
      <c r="O275" s="39">
        <v>45881</v>
      </c>
      <c r="P275" s="188">
        <v>45907</v>
      </c>
      <c r="Q275" s="39">
        <v>45892</v>
      </c>
      <c r="R275" s="39">
        <v>45951</v>
      </c>
      <c r="S275" s="39">
        <v>45952</v>
      </c>
      <c r="T275" s="39">
        <v>45956</v>
      </c>
      <c r="U275" s="39">
        <v>45963</v>
      </c>
      <c r="V275" s="39">
        <v>45968</v>
      </c>
      <c r="W275" s="39">
        <v>45968</v>
      </c>
      <c r="X275" s="39">
        <v>45968</v>
      </c>
      <c r="Y275" s="39">
        <v>45971</v>
      </c>
      <c r="Z275" s="39">
        <v>45972</v>
      </c>
      <c r="AA275" s="39">
        <v>45974</v>
      </c>
      <c r="AB275" s="39">
        <v>45975</v>
      </c>
      <c r="AC275" s="39">
        <v>45977</v>
      </c>
      <c r="AD275" s="36" t="s">
        <v>641</v>
      </c>
      <c r="AE275" s="54">
        <f t="shared" si="205"/>
        <v>3</v>
      </c>
      <c r="AF275" s="36">
        <v>7</v>
      </c>
      <c r="AG275" s="51">
        <f t="shared" si="206"/>
        <v>0</v>
      </c>
      <c r="AH275" s="52">
        <v>200</v>
      </c>
      <c r="AI275" s="53">
        <f t="shared" si="207"/>
        <v>0</v>
      </c>
      <c r="AJ275" s="54">
        <f>MAX(0,AC275-AB275)</f>
        <v>2</v>
      </c>
      <c r="AK275" s="36">
        <v>2</v>
      </c>
      <c r="AL275" s="51">
        <f t="shared" si="208"/>
        <v>0</v>
      </c>
      <c r="AM275" s="52">
        <v>200</v>
      </c>
      <c r="AN275" s="53">
        <f t="shared" si="209"/>
        <v>0</v>
      </c>
      <c r="AO275" s="52">
        <v>0</v>
      </c>
      <c r="AP275" s="55">
        <f t="shared" si="210"/>
        <v>0</v>
      </c>
    </row>
    <row r="276" spans="1:42" s="134" customFormat="1" ht="12.75">
      <c r="A276" s="91">
        <f t="shared" si="204"/>
        <v>273</v>
      </c>
      <c r="B276" s="34" t="s">
        <v>446</v>
      </c>
      <c r="C276" s="35" t="s">
        <v>305</v>
      </c>
      <c r="D276" s="35" t="s">
        <v>306</v>
      </c>
      <c r="E276" s="34" t="s">
        <v>307</v>
      </c>
      <c r="F276" s="34" t="s">
        <v>18</v>
      </c>
      <c r="G276" s="34" t="s">
        <v>103</v>
      </c>
      <c r="H276" s="36">
        <v>28</v>
      </c>
      <c r="I276" s="34">
        <v>35000</v>
      </c>
      <c r="J276" s="34">
        <v>35070</v>
      </c>
      <c r="K276" s="34" t="s">
        <v>85</v>
      </c>
      <c r="L276" s="39">
        <v>45890</v>
      </c>
      <c r="M276" s="40" t="s">
        <v>121</v>
      </c>
      <c r="N276" s="39" t="s">
        <v>122</v>
      </c>
      <c r="O276" s="39">
        <v>45881</v>
      </c>
      <c r="P276" s="188">
        <v>45907</v>
      </c>
      <c r="Q276" s="39">
        <v>45892</v>
      </c>
      <c r="R276" s="39">
        <v>45951</v>
      </c>
      <c r="S276" s="39">
        <v>45952</v>
      </c>
      <c r="T276" s="39">
        <v>45956</v>
      </c>
      <c r="U276" s="39">
        <v>45963</v>
      </c>
      <c r="V276" s="39">
        <v>45967</v>
      </c>
      <c r="W276" s="39">
        <v>45967</v>
      </c>
      <c r="X276" s="39">
        <v>45967</v>
      </c>
      <c r="Y276" s="39">
        <v>45972</v>
      </c>
      <c r="Z276" s="39">
        <v>45973</v>
      </c>
      <c r="AA276" s="39">
        <v>45973</v>
      </c>
      <c r="AB276" s="39">
        <v>45973</v>
      </c>
      <c r="AC276" s="39">
        <v>45974</v>
      </c>
      <c r="AD276" s="36" t="s">
        <v>641</v>
      </c>
      <c r="AE276" s="54">
        <f t="shared" ref="AE276:AE281" si="211">MAX(0,Y276-X276)</f>
        <v>5</v>
      </c>
      <c r="AF276" s="36">
        <v>7</v>
      </c>
      <c r="AG276" s="51">
        <f t="shared" ref="AG276:AG281" si="212">MAX(0,AE276-AF276)</f>
        <v>0</v>
      </c>
      <c r="AH276" s="52">
        <v>200</v>
      </c>
      <c r="AI276" s="53">
        <f t="shared" ref="AI276:AI281" si="213">MAX(0,AG276*AH276)</f>
        <v>0</v>
      </c>
      <c r="AJ276" s="54">
        <f t="shared" ref="AJ276:AJ289" si="214">MAX(0,AC276-AB276)</f>
        <v>1</v>
      </c>
      <c r="AK276" s="36">
        <v>2</v>
      </c>
      <c r="AL276" s="51">
        <f t="shared" ref="AL276:AL281" si="215">MAX(0,AJ276-AK276)</f>
        <v>0</v>
      </c>
      <c r="AM276" s="52">
        <v>200</v>
      </c>
      <c r="AN276" s="53">
        <f t="shared" ref="AN276:AN281" si="216">MAX(0,AL276*AM276)</f>
        <v>0</v>
      </c>
      <c r="AO276" s="52">
        <v>0</v>
      </c>
      <c r="AP276" s="55">
        <f t="shared" ref="AP276:AP281" si="217">AO276+AN276+AI276</f>
        <v>0</v>
      </c>
    </row>
    <row r="277" spans="1:42" s="134" customFormat="1" ht="12.75">
      <c r="A277" s="91">
        <f t="shared" si="204"/>
        <v>274</v>
      </c>
      <c r="B277" s="34" t="s">
        <v>446</v>
      </c>
      <c r="C277" s="35" t="s">
        <v>733</v>
      </c>
      <c r="D277" s="35" t="s">
        <v>734</v>
      </c>
      <c r="E277" s="34" t="s">
        <v>735</v>
      </c>
      <c r="F277" s="34" t="s">
        <v>18</v>
      </c>
      <c r="G277" s="34" t="s">
        <v>103</v>
      </c>
      <c r="H277" s="36">
        <v>28</v>
      </c>
      <c r="I277" s="34">
        <v>35000</v>
      </c>
      <c r="J277" s="34">
        <v>35070</v>
      </c>
      <c r="K277" s="34" t="s">
        <v>85</v>
      </c>
      <c r="L277" s="39">
        <v>45890</v>
      </c>
      <c r="M277" s="40" t="s">
        <v>121</v>
      </c>
      <c r="N277" s="39" t="s">
        <v>122</v>
      </c>
      <c r="O277" s="39">
        <v>45881</v>
      </c>
      <c r="P277" s="188">
        <v>45907</v>
      </c>
      <c r="Q277" s="39">
        <v>45892</v>
      </c>
      <c r="R277" s="39">
        <v>45951</v>
      </c>
      <c r="S277" s="39">
        <v>45952</v>
      </c>
      <c r="T277" s="39">
        <v>45956</v>
      </c>
      <c r="U277" s="39">
        <v>45965</v>
      </c>
      <c r="V277" s="39">
        <v>45967</v>
      </c>
      <c r="W277" s="39">
        <v>45967</v>
      </c>
      <c r="X277" s="39">
        <v>45967</v>
      </c>
      <c r="Y277" s="39">
        <v>45970</v>
      </c>
      <c r="Z277" s="39">
        <v>45970</v>
      </c>
      <c r="AA277" s="39">
        <v>45971</v>
      </c>
      <c r="AB277" s="39">
        <v>45972</v>
      </c>
      <c r="AC277" s="39">
        <v>45972</v>
      </c>
      <c r="AD277" s="36" t="s">
        <v>641</v>
      </c>
      <c r="AE277" s="54">
        <f t="shared" si="211"/>
        <v>3</v>
      </c>
      <c r="AF277" s="36">
        <v>7</v>
      </c>
      <c r="AG277" s="51">
        <f t="shared" si="212"/>
        <v>0</v>
      </c>
      <c r="AH277" s="52">
        <v>200</v>
      </c>
      <c r="AI277" s="53">
        <f t="shared" si="213"/>
        <v>0</v>
      </c>
      <c r="AJ277" s="54">
        <f t="shared" si="214"/>
        <v>0</v>
      </c>
      <c r="AK277" s="36">
        <v>2</v>
      </c>
      <c r="AL277" s="51">
        <f t="shared" si="215"/>
        <v>0</v>
      </c>
      <c r="AM277" s="52">
        <v>200</v>
      </c>
      <c r="AN277" s="53">
        <f t="shared" si="216"/>
        <v>0</v>
      </c>
      <c r="AO277" s="52"/>
      <c r="AP277" s="55">
        <f t="shared" si="217"/>
        <v>0</v>
      </c>
    </row>
    <row r="278" spans="1:42" s="134" customFormat="1" ht="12" customHeight="1">
      <c r="A278" s="91">
        <f t="shared" si="204"/>
        <v>275</v>
      </c>
      <c r="B278" s="34" t="s">
        <v>446</v>
      </c>
      <c r="C278" s="35" t="s">
        <v>354</v>
      </c>
      <c r="D278" s="35" t="s">
        <v>355</v>
      </c>
      <c r="E278" s="34" t="s">
        <v>356</v>
      </c>
      <c r="F278" s="34" t="s">
        <v>18</v>
      </c>
      <c r="G278" s="33" t="s">
        <v>103</v>
      </c>
      <c r="H278" s="36">
        <v>28</v>
      </c>
      <c r="I278" s="34">
        <v>35000</v>
      </c>
      <c r="J278" s="34">
        <v>35070</v>
      </c>
      <c r="K278" s="34" t="s">
        <v>85</v>
      </c>
      <c r="L278" s="39">
        <v>45890</v>
      </c>
      <c r="M278" s="40" t="s">
        <v>121</v>
      </c>
      <c r="N278" s="39" t="s">
        <v>122</v>
      </c>
      <c r="O278" s="39">
        <v>45881</v>
      </c>
      <c r="P278" s="188">
        <v>45907</v>
      </c>
      <c r="Q278" s="39">
        <v>45892</v>
      </c>
      <c r="R278" s="39">
        <v>45951</v>
      </c>
      <c r="S278" s="39">
        <v>45952</v>
      </c>
      <c r="T278" s="39">
        <v>45956</v>
      </c>
      <c r="U278" s="39">
        <v>45958</v>
      </c>
      <c r="V278" s="39">
        <v>45962</v>
      </c>
      <c r="W278" s="39">
        <v>45962</v>
      </c>
      <c r="X278" s="39">
        <v>45962</v>
      </c>
      <c r="Y278" s="39">
        <v>45966</v>
      </c>
      <c r="Z278" s="39">
        <v>45966</v>
      </c>
      <c r="AA278" s="39">
        <v>45967</v>
      </c>
      <c r="AB278" s="39">
        <v>45968</v>
      </c>
      <c r="AC278" s="39">
        <v>45971</v>
      </c>
      <c r="AD278" s="36" t="s">
        <v>641</v>
      </c>
      <c r="AE278" s="54">
        <f t="shared" si="211"/>
        <v>4</v>
      </c>
      <c r="AF278" s="36">
        <v>7</v>
      </c>
      <c r="AG278" s="51">
        <f t="shared" si="212"/>
        <v>0</v>
      </c>
      <c r="AH278" s="52">
        <v>200</v>
      </c>
      <c r="AI278" s="53">
        <f t="shared" si="213"/>
        <v>0</v>
      </c>
      <c r="AJ278" s="54">
        <f t="shared" si="214"/>
        <v>3</v>
      </c>
      <c r="AK278" s="36">
        <v>2</v>
      </c>
      <c r="AL278" s="51">
        <f t="shared" si="215"/>
        <v>1</v>
      </c>
      <c r="AM278" s="52">
        <v>200</v>
      </c>
      <c r="AN278" s="53">
        <f t="shared" si="216"/>
        <v>200</v>
      </c>
      <c r="AO278" s="52">
        <v>25</v>
      </c>
      <c r="AP278" s="55">
        <f t="shared" si="217"/>
        <v>225</v>
      </c>
    </row>
    <row r="279" spans="1:42" s="134" customFormat="1" ht="13.5" customHeight="1">
      <c r="A279" s="91">
        <f t="shared" si="204"/>
        <v>276</v>
      </c>
      <c r="B279" s="34" t="s">
        <v>446</v>
      </c>
      <c r="C279" s="35" t="s">
        <v>410</v>
      </c>
      <c r="D279" s="179" t="s">
        <v>411</v>
      </c>
      <c r="E279" s="33" t="s">
        <v>412</v>
      </c>
      <c r="F279" s="34" t="s">
        <v>18</v>
      </c>
      <c r="G279" s="33" t="s">
        <v>103</v>
      </c>
      <c r="H279" s="36">
        <v>28</v>
      </c>
      <c r="I279" s="34">
        <v>35000</v>
      </c>
      <c r="J279" s="34">
        <v>35070</v>
      </c>
      <c r="K279" s="34" t="s">
        <v>85</v>
      </c>
      <c r="L279" s="39">
        <v>45890</v>
      </c>
      <c r="M279" s="40" t="s">
        <v>121</v>
      </c>
      <c r="N279" s="39" t="s">
        <v>122</v>
      </c>
      <c r="O279" s="39">
        <v>45881</v>
      </c>
      <c r="P279" s="188">
        <v>45907</v>
      </c>
      <c r="Q279" s="39">
        <v>45892</v>
      </c>
      <c r="R279" s="39">
        <v>45951</v>
      </c>
      <c r="S279" s="39">
        <v>45952</v>
      </c>
      <c r="T279" s="39">
        <v>45957</v>
      </c>
      <c r="U279" s="39">
        <v>45963</v>
      </c>
      <c r="V279" s="39">
        <v>45966</v>
      </c>
      <c r="W279" s="39">
        <v>45966</v>
      </c>
      <c r="X279" s="39">
        <v>45966</v>
      </c>
      <c r="Y279" s="39">
        <v>45967</v>
      </c>
      <c r="Z279" s="39">
        <v>45967</v>
      </c>
      <c r="AA279" s="39">
        <v>45968</v>
      </c>
      <c r="AB279" s="39">
        <v>45968</v>
      </c>
      <c r="AC279" s="39">
        <v>45969</v>
      </c>
      <c r="AD279" s="36" t="s">
        <v>641</v>
      </c>
      <c r="AE279" s="54">
        <f t="shared" si="211"/>
        <v>1</v>
      </c>
      <c r="AF279" s="106">
        <v>7</v>
      </c>
      <c r="AG279" s="107">
        <f t="shared" si="212"/>
        <v>0</v>
      </c>
      <c r="AH279" s="108">
        <v>200</v>
      </c>
      <c r="AI279" s="109">
        <f t="shared" si="213"/>
        <v>0</v>
      </c>
      <c r="AJ279" s="54">
        <f t="shared" si="214"/>
        <v>1</v>
      </c>
      <c r="AK279" s="106">
        <v>2</v>
      </c>
      <c r="AL279" s="107">
        <f t="shared" si="215"/>
        <v>0</v>
      </c>
      <c r="AM279" s="108">
        <v>200</v>
      </c>
      <c r="AN279" s="109">
        <f t="shared" si="216"/>
        <v>0</v>
      </c>
      <c r="AO279" s="108">
        <v>0</v>
      </c>
      <c r="AP279" s="110">
        <f t="shared" si="217"/>
        <v>0</v>
      </c>
    </row>
    <row r="280" spans="1:42" s="134" customFormat="1" ht="12" customHeight="1">
      <c r="A280" s="91">
        <f t="shared" si="204"/>
        <v>277</v>
      </c>
      <c r="B280" s="34" t="s">
        <v>446</v>
      </c>
      <c r="C280" s="35" t="s">
        <v>413</v>
      </c>
      <c r="D280" s="35" t="s">
        <v>414</v>
      </c>
      <c r="E280" s="33" t="s">
        <v>415</v>
      </c>
      <c r="F280" s="34" t="s">
        <v>18</v>
      </c>
      <c r="G280" s="33" t="s">
        <v>103</v>
      </c>
      <c r="H280" s="36">
        <v>28</v>
      </c>
      <c r="I280" s="34">
        <v>35000</v>
      </c>
      <c r="J280" s="34">
        <v>35070</v>
      </c>
      <c r="K280" s="34" t="s">
        <v>85</v>
      </c>
      <c r="L280" s="39">
        <v>45890</v>
      </c>
      <c r="M280" s="40" t="s">
        <v>121</v>
      </c>
      <c r="N280" s="39" t="s">
        <v>122</v>
      </c>
      <c r="O280" s="39">
        <v>45881</v>
      </c>
      <c r="P280" s="188">
        <v>45907</v>
      </c>
      <c r="Q280" s="39">
        <v>45892</v>
      </c>
      <c r="R280" s="39">
        <v>45951</v>
      </c>
      <c r="S280" s="39">
        <v>45952</v>
      </c>
      <c r="T280" s="39">
        <v>45956</v>
      </c>
      <c r="U280" s="39">
        <v>45963</v>
      </c>
      <c r="V280" s="39">
        <v>45966</v>
      </c>
      <c r="W280" s="39">
        <v>45966</v>
      </c>
      <c r="X280" s="39">
        <v>45966</v>
      </c>
      <c r="Y280" s="39">
        <v>45967</v>
      </c>
      <c r="Z280" s="39">
        <v>45967</v>
      </c>
      <c r="AA280" s="39">
        <v>45968</v>
      </c>
      <c r="AB280" s="39">
        <v>45968</v>
      </c>
      <c r="AC280" s="39">
        <v>45969</v>
      </c>
      <c r="AD280" s="36" t="s">
        <v>641</v>
      </c>
      <c r="AE280" s="54">
        <f t="shared" si="211"/>
        <v>1</v>
      </c>
      <c r="AF280" s="106">
        <v>7</v>
      </c>
      <c r="AG280" s="107">
        <f t="shared" si="212"/>
        <v>0</v>
      </c>
      <c r="AH280" s="108">
        <v>200</v>
      </c>
      <c r="AI280" s="109">
        <f t="shared" si="213"/>
        <v>0</v>
      </c>
      <c r="AJ280" s="54">
        <f t="shared" si="214"/>
        <v>1</v>
      </c>
      <c r="AK280" s="106">
        <v>2</v>
      </c>
      <c r="AL280" s="107">
        <f t="shared" si="215"/>
        <v>0</v>
      </c>
      <c r="AM280" s="108">
        <v>200</v>
      </c>
      <c r="AN280" s="109">
        <f t="shared" si="216"/>
        <v>0</v>
      </c>
      <c r="AO280" s="108">
        <v>0</v>
      </c>
      <c r="AP280" s="110">
        <f t="shared" si="217"/>
        <v>0</v>
      </c>
    </row>
    <row r="281" spans="1:42" s="134" customFormat="1" ht="12.75">
      <c r="A281" s="91">
        <f t="shared" si="204"/>
        <v>278</v>
      </c>
      <c r="B281" s="34" t="s">
        <v>446</v>
      </c>
      <c r="C281" s="35" t="s">
        <v>489</v>
      </c>
      <c r="D281" s="35" t="s">
        <v>490</v>
      </c>
      <c r="E281" s="34" t="s">
        <v>491</v>
      </c>
      <c r="F281" s="34" t="s">
        <v>18</v>
      </c>
      <c r="G281" s="33" t="s">
        <v>103</v>
      </c>
      <c r="H281" s="36">
        <v>28</v>
      </c>
      <c r="I281" s="34">
        <v>35000</v>
      </c>
      <c r="J281" s="34">
        <v>35070</v>
      </c>
      <c r="K281" s="34" t="s">
        <v>85</v>
      </c>
      <c r="L281" s="39">
        <v>45890</v>
      </c>
      <c r="M281" s="40" t="s">
        <v>121</v>
      </c>
      <c r="N281" s="39" t="s">
        <v>122</v>
      </c>
      <c r="O281" s="39">
        <v>45881</v>
      </c>
      <c r="P281" s="188">
        <v>45907</v>
      </c>
      <c r="Q281" s="39">
        <v>45892</v>
      </c>
      <c r="R281" s="39">
        <v>45951</v>
      </c>
      <c r="S281" s="39">
        <v>45952</v>
      </c>
      <c r="T281" s="39">
        <v>45956</v>
      </c>
      <c r="U281" s="39">
        <v>45963</v>
      </c>
      <c r="V281" s="39">
        <v>45966</v>
      </c>
      <c r="W281" s="39">
        <v>45966</v>
      </c>
      <c r="X281" s="39">
        <v>45966</v>
      </c>
      <c r="Y281" s="39">
        <v>45967</v>
      </c>
      <c r="Z281" s="39">
        <v>45967</v>
      </c>
      <c r="AA281" s="39">
        <v>45968</v>
      </c>
      <c r="AB281" s="39">
        <v>45968</v>
      </c>
      <c r="AC281" s="39">
        <v>45969</v>
      </c>
      <c r="AD281" s="36" t="s">
        <v>641</v>
      </c>
      <c r="AE281" s="54">
        <f t="shared" si="211"/>
        <v>1</v>
      </c>
      <c r="AF281" s="106">
        <v>7</v>
      </c>
      <c r="AG281" s="107">
        <f t="shared" si="212"/>
        <v>0</v>
      </c>
      <c r="AH281" s="108">
        <v>200</v>
      </c>
      <c r="AI281" s="109">
        <f t="shared" si="213"/>
        <v>0</v>
      </c>
      <c r="AJ281" s="54">
        <f t="shared" si="214"/>
        <v>1</v>
      </c>
      <c r="AK281" s="106">
        <v>2</v>
      </c>
      <c r="AL281" s="107">
        <f t="shared" si="215"/>
        <v>0</v>
      </c>
      <c r="AM281" s="108">
        <v>200</v>
      </c>
      <c r="AN281" s="109">
        <f t="shared" si="216"/>
        <v>0</v>
      </c>
      <c r="AO281" s="108">
        <v>0</v>
      </c>
      <c r="AP281" s="110">
        <f t="shared" si="217"/>
        <v>0</v>
      </c>
    </row>
    <row r="282" spans="1:42" s="1" customFormat="1" ht="12.75">
      <c r="A282" s="91">
        <f t="shared" si="204"/>
        <v>279</v>
      </c>
      <c r="B282" s="34" t="s">
        <v>446</v>
      </c>
      <c r="C282" s="64" t="s">
        <v>191</v>
      </c>
      <c r="D282" s="34" t="s">
        <v>192</v>
      </c>
      <c r="E282" s="34" t="s">
        <v>193</v>
      </c>
      <c r="F282" s="34" t="s">
        <v>18</v>
      </c>
      <c r="G282" s="33" t="s">
        <v>103</v>
      </c>
      <c r="H282" s="36">
        <v>29</v>
      </c>
      <c r="I282" s="34">
        <v>36250</v>
      </c>
      <c r="J282" s="34">
        <v>36323</v>
      </c>
      <c r="K282" s="34" t="s">
        <v>85</v>
      </c>
      <c r="L282" s="39">
        <v>45890</v>
      </c>
      <c r="M282" s="40" t="s">
        <v>121</v>
      </c>
      <c r="N282" s="39" t="s">
        <v>122</v>
      </c>
      <c r="O282" s="39">
        <v>45881</v>
      </c>
      <c r="P282" s="39">
        <v>45907</v>
      </c>
      <c r="Q282" s="39">
        <v>45892</v>
      </c>
      <c r="R282" s="39">
        <v>45949</v>
      </c>
      <c r="S282" s="39">
        <v>45950</v>
      </c>
      <c r="T282" s="39">
        <v>45953</v>
      </c>
      <c r="U282" s="39">
        <v>45957</v>
      </c>
      <c r="V282" s="39">
        <v>45962</v>
      </c>
      <c r="W282" s="39">
        <v>45962</v>
      </c>
      <c r="X282" s="39">
        <v>45962</v>
      </c>
      <c r="Y282" s="39">
        <v>45965</v>
      </c>
      <c r="Z282" s="39">
        <v>45965</v>
      </c>
      <c r="AA282" s="39">
        <v>45966</v>
      </c>
      <c r="AB282" s="39">
        <v>45966</v>
      </c>
      <c r="AC282" s="39">
        <v>45968</v>
      </c>
      <c r="AD282" s="36" t="s">
        <v>641</v>
      </c>
      <c r="AE282" s="54">
        <f t="shared" si="205"/>
        <v>3</v>
      </c>
      <c r="AF282" s="36">
        <v>7</v>
      </c>
      <c r="AG282" s="51">
        <f t="shared" si="206"/>
        <v>0</v>
      </c>
      <c r="AH282" s="52">
        <v>200</v>
      </c>
      <c r="AI282" s="53">
        <f t="shared" si="207"/>
        <v>0</v>
      </c>
      <c r="AJ282" s="54">
        <f t="shared" si="214"/>
        <v>2</v>
      </c>
      <c r="AK282" s="36">
        <v>2</v>
      </c>
      <c r="AL282" s="51">
        <f t="shared" si="208"/>
        <v>0</v>
      </c>
      <c r="AM282" s="52">
        <v>200</v>
      </c>
      <c r="AN282" s="53">
        <f t="shared" si="209"/>
        <v>0</v>
      </c>
      <c r="AO282" s="52">
        <v>25</v>
      </c>
      <c r="AP282" s="55">
        <f t="shared" si="210"/>
        <v>25</v>
      </c>
    </row>
    <row r="283" spans="1:42" s="1" customFormat="1" ht="12.75">
      <c r="A283" s="91">
        <f t="shared" si="204"/>
        <v>280</v>
      </c>
      <c r="B283" s="34" t="s">
        <v>446</v>
      </c>
      <c r="C283" s="64" t="s">
        <v>269</v>
      </c>
      <c r="D283" s="34" t="s">
        <v>270</v>
      </c>
      <c r="E283" s="34" t="s">
        <v>271</v>
      </c>
      <c r="F283" s="34" t="s">
        <v>18</v>
      </c>
      <c r="G283" s="33" t="s">
        <v>103</v>
      </c>
      <c r="H283" s="36">
        <v>29</v>
      </c>
      <c r="I283" s="34">
        <v>36250</v>
      </c>
      <c r="J283" s="34">
        <v>36323</v>
      </c>
      <c r="K283" s="34" t="s">
        <v>85</v>
      </c>
      <c r="L283" s="39">
        <v>45890</v>
      </c>
      <c r="M283" s="40" t="s">
        <v>121</v>
      </c>
      <c r="N283" s="39" t="s">
        <v>122</v>
      </c>
      <c r="O283" s="39">
        <v>45881</v>
      </c>
      <c r="P283" s="39">
        <v>45907</v>
      </c>
      <c r="Q283" s="39">
        <v>45892</v>
      </c>
      <c r="R283" s="39">
        <v>45949</v>
      </c>
      <c r="S283" s="39">
        <v>45950</v>
      </c>
      <c r="T283" s="39">
        <v>45953</v>
      </c>
      <c r="U283" s="39">
        <v>45957</v>
      </c>
      <c r="V283" s="39">
        <v>45960</v>
      </c>
      <c r="W283" s="39">
        <v>45960</v>
      </c>
      <c r="X283" s="39">
        <v>45960</v>
      </c>
      <c r="Y283" s="39">
        <v>45965</v>
      </c>
      <c r="Z283" s="39">
        <v>45965</v>
      </c>
      <c r="AA283" s="39">
        <v>45966</v>
      </c>
      <c r="AB283" s="39">
        <v>45966</v>
      </c>
      <c r="AC283" s="39">
        <v>45968</v>
      </c>
      <c r="AD283" s="36" t="s">
        <v>641</v>
      </c>
      <c r="AE283" s="54">
        <f t="shared" si="205"/>
        <v>5</v>
      </c>
      <c r="AF283" s="106">
        <v>7</v>
      </c>
      <c r="AG283" s="107">
        <f t="shared" si="206"/>
        <v>0</v>
      </c>
      <c r="AH283" s="108">
        <v>200</v>
      </c>
      <c r="AI283" s="109">
        <f t="shared" si="207"/>
        <v>0</v>
      </c>
      <c r="AJ283" s="54">
        <f t="shared" si="214"/>
        <v>2</v>
      </c>
      <c r="AK283" s="106">
        <v>2</v>
      </c>
      <c r="AL283" s="107">
        <f t="shared" si="208"/>
        <v>0</v>
      </c>
      <c r="AM283" s="108">
        <v>200</v>
      </c>
      <c r="AN283" s="109">
        <f t="shared" si="209"/>
        <v>0</v>
      </c>
      <c r="AO283" s="108">
        <v>50</v>
      </c>
      <c r="AP283" s="110">
        <f t="shared" si="210"/>
        <v>50</v>
      </c>
    </row>
    <row r="284" spans="1:42" s="1" customFormat="1" ht="12.75">
      <c r="A284" s="91">
        <f t="shared" si="204"/>
        <v>281</v>
      </c>
      <c r="B284" s="34" t="s">
        <v>446</v>
      </c>
      <c r="C284" s="64" t="s">
        <v>736</v>
      </c>
      <c r="D284" s="34" t="s">
        <v>737</v>
      </c>
      <c r="E284" s="34" t="s">
        <v>738</v>
      </c>
      <c r="F284" s="34" t="s">
        <v>18</v>
      </c>
      <c r="G284" s="33" t="s">
        <v>103</v>
      </c>
      <c r="H284" s="36">
        <v>29</v>
      </c>
      <c r="I284" s="34">
        <v>36250</v>
      </c>
      <c r="J284" s="34">
        <v>36323</v>
      </c>
      <c r="K284" s="34" t="s">
        <v>85</v>
      </c>
      <c r="L284" s="39">
        <v>45890</v>
      </c>
      <c r="M284" s="40" t="s">
        <v>121</v>
      </c>
      <c r="N284" s="39" t="s">
        <v>122</v>
      </c>
      <c r="O284" s="39">
        <v>45881</v>
      </c>
      <c r="P284" s="39">
        <v>45907</v>
      </c>
      <c r="Q284" s="39">
        <v>45892</v>
      </c>
      <c r="R284" s="39">
        <v>45949</v>
      </c>
      <c r="S284" s="39">
        <v>45950</v>
      </c>
      <c r="T284" s="39">
        <v>45953</v>
      </c>
      <c r="U284" s="39">
        <v>45958</v>
      </c>
      <c r="V284" s="39">
        <v>45961</v>
      </c>
      <c r="W284" s="39">
        <v>45961</v>
      </c>
      <c r="X284" s="39">
        <v>45961</v>
      </c>
      <c r="Y284" s="39">
        <v>45965</v>
      </c>
      <c r="Z284" s="39">
        <v>45965</v>
      </c>
      <c r="AA284" s="39">
        <v>45966</v>
      </c>
      <c r="AB284" s="39">
        <v>45966</v>
      </c>
      <c r="AC284" s="39">
        <v>45967</v>
      </c>
      <c r="AD284" s="36" t="s">
        <v>641</v>
      </c>
      <c r="AE284" s="54">
        <f t="shared" si="205"/>
        <v>4</v>
      </c>
      <c r="AF284" s="36">
        <v>7</v>
      </c>
      <c r="AG284" s="51">
        <f t="shared" si="206"/>
        <v>0</v>
      </c>
      <c r="AH284" s="52">
        <v>200</v>
      </c>
      <c r="AI284" s="53">
        <f t="shared" si="207"/>
        <v>0</v>
      </c>
      <c r="AJ284" s="54">
        <f t="shared" si="214"/>
        <v>1</v>
      </c>
      <c r="AK284" s="36">
        <v>2</v>
      </c>
      <c r="AL284" s="51">
        <f t="shared" si="208"/>
        <v>0</v>
      </c>
      <c r="AM284" s="52">
        <v>200</v>
      </c>
      <c r="AN284" s="53">
        <f t="shared" si="209"/>
        <v>0</v>
      </c>
      <c r="AO284" s="52">
        <v>25</v>
      </c>
      <c r="AP284" s="55">
        <f t="shared" si="210"/>
        <v>25</v>
      </c>
    </row>
    <row r="285" spans="1:42" s="1" customFormat="1" ht="12.75">
      <c r="A285" s="91">
        <f t="shared" si="204"/>
        <v>282</v>
      </c>
      <c r="B285" s="34" t="s">
        <v>446</v>
      </c>
      <c r="C285" s="64" t="s">
        <v>437</v>
      </c>
      <c r="D285" s="34" t="s">
        <v>438</v>
      </c>
      <c r="E285" s="34" t="s">
        <v>439</v>
      </c>
      <c r="F285" s="34" t="s">
        <v>18</v>
      </c>
      <c r="G285" s="33" t="s">
        <v>103</v>
      </c>
      <c r="H285" s="36">
        <v>28</v>
      </c>
      <c r="I285" s="34">
        <v>35000</v>
      </c>
      <c r="J285" s="34">
        <v>35070</v>
      </c>
      <c r="K285" s="34" t="s">
        <v>85</v>
      </c>
      <c r="L285" s="39">
        <v>45890</v>
      </c>
      <c r="M285" s="40" t="s">
        <v>121</v>
      </c>
      <c r="N285" s="39" t="s">
        <v>122</v>
      </c>
      <c r="O285" s="39">
        <v>45881</v>
      </c>
      <c r="P285" s="39">
        <v>45907</v>
      </c>
      <c r="Q285" s="39">
        <v>45892</v>
      </c>
      <c r="R285" s="39">
        <v>45949</v>
      </c>
      <c r="S285" s="39">
        <v>45950</v>
      </c>
      <c r="T285" s="39">
        <v>45953</v>
      </c>
      <c r="U285" s="39">
        <v>45957</v>
      </c>
      <c r="V285" s="39">
        <v>45959</v>
      </c>
      <c r="W285" s="39">
        <v>45959</v>
      </c>
      <c r="X285" s="39">
        <v>45959</v>
      </c>
      <c r="Y285" s="39">
        <v>45965</v>
      </c>
      <c r="Z285" s="39">
        <v>45965</v>
      </c>
      <c r="AA285" s="39">
        <v>45966</v>
      </c>
      <c r="AB285" s="39">
        <v>45966</v>
      </c>
      <c r="AC285" s="39">
        <v>45967</v>
      </c>
      <c r="AD285" s="36" t="s">
        <v>641</v>
      </c>
      <c r="AE285" s="54">
        <f t="shared" si="205"/>
        <v>6</v>
      </c>
      <c r="AF285" s="106">
        <v>7</v>
      </c>
      <c r="AG285" s="107">
        <f t="shared" si="206"/>
        <v>0</v>
      </c>
      <c r="AH285" s="108">
        <v>200</v>
      </c>
      <c r="AI285" s="109">
        <f t="shared" si="207"/>
        <v>0</v>
      </c>
      <c r="AJ285" s="54">
        <f t="shared" si="214"/>
        <v>1</v>
      </c>
      <c r="AK285" s="106">
        <v>2</v>
      </c>
      <c r="AL285" s="107">
        <f t="shared" si="208"/>
        <v>0</v>
      </c>
      <c r="AM285" s="108">
        <v>200</v>
      </c>
      <c r="AN285" s="109">
        <f t="shared" si="209"/>
        <v>0</v>
      </c>
      <c r="AO285" s="108">
        <v>50</v>
      </c>
      <c r="AP285" s="110">
        <f t="shared" si="210"/>
        <v>50</v>
      </c>
    </row>
    <row r="286" spans="1:42" s="1" customFormat="1" ht="12.75">
      <c r="A286" s="91">
        <f t="shared" si="204"/>
        <v>283</v>
      </c>
      <c r="B286" s="34" t="s">
        <v>446</v>
      </c>
      <c r="C286" s="64" t="s">
        <v>739</v>
      </c>
      <c r="D286" s="34" t="s">
        <v>740</v>
      </c>
      <c r="E286" s="34" t="s">
        <v>741</v>
      </c>
      <c r="F286" s="34" t="s">
        <v>18</v>
      </c>
      <c r="G286" s="33" t="s">
        <v>103</v>
      </c>
      <c r="H286" s="36">
        <v>29</v>
      </c>
      <c r="I286" s="34">
        <v>36250</v>
      </c>
      <c r="J286" s="34">
        <v>36323</v>
      </c>
      <c r="K286" s="34" t="s">
        <v>85</v>
      </c>
      <c r="L286" s="39">
        <v>45890</v>
      </c>
      <c r="M286" s="40" t="s">
        <v>121</v>
      </c>
      <c r="N286" s="39" t="s">
        <v>122</v>
      </c>
      <c r="O286" s="39">
        <v>45881</v>
      </c>
      <c r="P286" s="39">
        <v>45907</v>
      </c>
      <c r="Q286" s="39">
        <v>45892</v>
      </c>
      <c r="R286" s="39">
        <v>45949</v>
      </c>
      <c r="S286" s="39">
        <v>45950</v>
      </c>
      <c r="T286" s="39">
        <v>45953</v>
      </c>
      <c r="U286" s="39">
        <v>45958</v>
      </c>
      <c r="V286" s="39">
        <v>45962</v>
      </c>
      <c r="W286" s="39">
        <v>45962</v>
      </c>
      <c r="X286" s="39">
        <v>45962</v>
      </c>
      <c r="Y286" s="39">
        <v>45965</v>
      </c>
      <c r="Z286" s="39">
        <v>45965</v>
      </c>
      <c r="AA286" s="39">
        <v>45966</v>
      </c>
      <c r="AB286" s="39">
        <v>45966</v>
      </c>
      <c r="AC286" s="39">
        <v>45967</v>
      </c>
      <c r="AD286" s="36" t="s">
        <v>641</v>
      </c>
      <c r="AE286" s="54">
        <f t="shared" si="205"/>
        <v>3</v>
      </c>
      <c r="AF286" s="36">
        <v>7</v>
      </c>
      <c r="AG286" s="51">
        <f t="shared" si="206"/>
        <v>0</v>
      </c>
      <c r="AH286" s="52">
        <v>200</v>
      </c>
      <c r="AI286" s="53">
        <f t="shared" si="207"/>
        <v>0</v>
      </c>
      <c r="AJ286" s="54">
        <f t="shared" si="214"/>
        <v>1</v>
      </c>
      <c r="AK286" s="36">
        <v>2</v>
      </c>
      <c r="AL286" s="51">
        <f t="shared" si="208"/>
        <v>0</v>
      </c>
      <c r="AM286" s="52">
        <v>200</v>
      </c>
      <c r="AN286" s="53">
        <f t="shared" si="209"/>
        <v>0</v>
      </c>
      <c r="AO286" s="52">
        <v>0</v>
      </c>
      <c r="AP286" s="55">
        <f t="shared" si="210"/>
        <v>0</v>
      </c>
    </row>
    <row r="287" spans="1:42" s="1" customFormat="1" ht="12.75">
      <c r="A287" s="191">
        <f t="shared" si="204"/>
        <v>284</v>
      </c>
      <c r="B287" s="192" t="s">
        <v>446</v>
      </c>
      <c r="C287" s="193" t="s">
        <v>364</v>
      </c>
      <c r="D287" s="192" t="s">
        <v>365</v>
      </c>
      <c r="E287" s="34" t="s">
        <v>366</v>
      </c>
      <c r="F287" s="34" t="s">
        <v>18</v>
      </c>
      <c r="G287" s="33" t="s">
        <v>103</v>
      </c>
      <c r="H287" s="36">
        <v>28</v>
      </c>
      <c r="I287" s="34">
        <v>35000</v>
      </c>
      <c r="J287" s="34">
        <v>35070</v>
      </c>
      <c r="K287" s="34" t="s">
        <v>85</v>
      </c>
      <c r="L287" s="39">
        <v>45890</v>
      </c>
      <c r="M287" s="40" t="s">
        <v>121</v>
      </c>
      <c r="N287" s="39" t="s">
        <v>122</v>
      </c>
      <c r="O287" s="39">
        <v>45881</v>
      </c>
      <c r="P287" s="39">
        <v>45907</v>
      </c>
      <c r="Q287" s="39">
        <v>45892</v>
      </c>
      <c r="R287" s="39">
        <v>45949</v>
      </c>
      <c r="S287" s="39">
        <v>45950</v>
      </c>
      <c r="T287" s="39">
        <v>45953</v>
      </c>
      <c r="U287" s="39">
        <v>45958</v>
      </c>
      <c r="V287" s="39">
        <v>45962</v>
      </c>
      <c r="W287" s="39">
        <v>45962</v>
      </c>
      <c r="X287" s="39">
        <v>45962</v>
      </c>
      <c r="Y287" s="39">
        <v>45965</v>
      </c>
      <c r="Z287" s="39">
        <v>45965</v>
      </c>
      <c r="AA287" s="39">
        <v>45966</v>
      </c>
      <c r="AB287" s="39">
        <v>45966</v>
      </c>
      <c r="AC287" s="39">
        <v>45967</v>
      </c>
      <c r="AD287" s="36" t="s">
        <v>641</v>
      </c>
      <c r="AE287" s="54">
        <f t="shared" si="205"/>
        <v>3</v>
      </c>
      <c r="AF287" s="106">
        <v>7</v>
      </c>
      <c r="AG287" s="107">
        <f t="shared" si="206"/>
        <v>0</v>
      </c>
      <c r="AH287" s="108">
        <v>200</v>
      </c>
      <c r="AI287" s="109">
        <f t="shared" si="207"/>
        <v>0</v>
      </c>
      <c r="AJ287" s="54">
        <f t="shared" si="214"/>
        <v>1</v>
      </c>
      <c r="AK287" s="106">
        <v>2</v>
      </c>
      <c r="AL287" s="107">
        <f t="shared" si="208"/>
        <v>0</v>
      </c>
      <c r="AM287" s="108">
        <v>200</v>
      </c>
      <c r="AN287" s="109">
        <f t="shared" si="209"/>
        <v>0</v>
      </c>
      <c r="AO287" s="108">
        <v>0</v>
      </c>
      <c r="AP287" s="110">
        <f t="shared" si="210"/>
        <v>0</v>
      </c>
    </row>
    <row r="288" spans="1:42" s="1" customFormat="1" ht="12.75">
      <c r="A288" s="194">
        <f t="shared" si="204"/>
        <v>285</v>
      </c>
      <c r="B288" s="195" t="s">
        <v>446</v>
      </c>
      <c r="C288" s="196" t="s">
        <v>450</v>
      </c>
      <c r="D288" s="195" t="s">
        <v>451</v>
      </c>
      <c r="E288" s="197" t="s">
        <v>452</v>
      </c>
      <c r="F288" s="34" t="s">
        <v>18</v>
      </c>
      <c r="G288" s="33" t="s">
        <v>103</v>
      </c>
      <c r="H288" s="36">
        <v>28</v>
      </c>
      <c r="I288" s="34">
        <v>35000</v>
      </c>
      <c r="J288" s="34">
        <v>35070</v>
      </c>
      <c r="K288" s="34" t="s">
        <v>85</v>
      </c>
      <c r="L288" s="39">
        <v>45890</v>
      </c>
      <c r="M288" s="40" t="s">
        <v>121</v>
      </c>
      <c r="N288" s="39" t="s">
        <v>122</v>
      </c>
      <c r="O288" s="39">
        <v>45881</v>
      </c>
      <c r="P288" s="39">
        <v>45907</v>
      </c>
      <c r="Q288" s="39">
        <v>45892</v>
      </c>
      <c r="R288" s="39">
        <v>45949</v>
      </c>
      <c r="S288" s="39">
        <v>45950</v>
      </c>
      <c r="T288" s="39">
        <v>45953</v>
      </c>
      <c r="U288" s="39">
        <v>45958</v>
      </c>
      <c r="V288" s="39">
        <v>45960</v>
      </c>
      <c r="W288" s="39">
        <v>45960</v>
      </c>
      <c r="X288" s="39">
        <v>45960</v>
      </c>
      <c r="Y288" s="39">
        <v>45965</v>
      </c>
      <c r="Z288" s="39">
        <v>45965</v>
      </c>
      <c r="AA288" s="39">
        <v>45966</v>
      </c>
      <c r="AB288" s="39">
        <v>45966</v>
      </c>
      <c r="AC288" s="39">
        <v>45967</v>
      </c>
      <c r="AD288" s="36" t="s">
        <v>641</v>
      </c>
      <c r="AE288" s="54">
        <f t="shared" si="205"/>
        <v>5</v>
      </c>
      <c r="AF288" s="36">
        <v>7</v>
      </c>
      <c r="AG288" s="51">
        <f t="shared" si="206"/>
        <v>0</v>
      </c>
      <c r="AH288" s="52">
        <v>200</v>
      </c>
      <c r="AI288" s="53">
        <f t="shared" si="207"/>
        <v>0</v>
      </c>
      <c r="AJ288" s="54">
        <f t="shared" si="214"/>
        <v>1</v>
      </c>
      <c r="AK288" s="36">
        <v>2</v>
      </c>
      <c r="AL288" s="51">
        <f t="shared" si="208"/>
        <v>0</v>
      </c>
      <c r="AM288" s="52">
        <v>200</v>
      </c>
      <c r="AN288" s="53">
        <f t="shared" si="209"/>
        <v>0</v>
      </c>
      <c r="AO288" s="52">
        <v>25</v>
      </c>
      <c r="AP288" s="55">
        <f t="shared" si="210"/>
        <v>25</v>
      </c>
    </row>
    <row r="289" spans="1:42" s="134" customFormat="1" ht="12.75">
      <c r="A289" s="194">
        <f t="shared" si="204"/>
        <v>286</v>
      </c>
      <c r="B289" s="195" t="s">
        <v>446</v>
      </c>
      <c r="C289" s="198" t="s">
        <v>742</v>
      </c>
      <c r="D289" s="196" t="s">
        <v>743</v>
      </c>
      <c r="E289" s="197" t="s">
        <v>744</v>
      </c>
      <c r="F289" s="34" t="s">
        <v>18</v>
      </c>
      <c r="G289" s="33" t="s">
        <v>103</v>
      </c>
      <c r="H289" s="36">
        <v>28</v>
      </c>
      <c r="I289" s="34">
        <v>35000</v>
      </c>
      <c r="J289" s="34">
        <v>35070</v>
      </c>
      <c r="K289" s="34" t="s">
        <v>85</v>
      </c>
      <c r="L289" s="39">
        <v>45890</v>
      </c>
      <c r="M289" s="40" t="s">
        <v>121</v>
      </c>
      <c r="N289" s="39" t="s">
        <v>122</v>
      </c>
      <c r="O289" s="39">
        <v>45881</v>
      </c>
      <c r="P289" s="188">
        <v>45907</v>
      </c>
      <c r="Q289" s="39">
        <v>45892</v>
      </c>
      <c r="R289" s="39">
        <v>45951</v>
      </c>
      <c r="S289" s="39">
        <v>45952</v>
      </c>
      <c r="T289" s="39">
        <v>45956</v>
      </c>
      <c r="U289" s="39">
        <v>45957</v>
      </c>
      <c r="V289" s="39">
        <v>45959</v>
      </c>
      <c r="W289" s="39">
        <v>45959</v>
      </c>
      <c r="X289" s="39">
        <v>45959</v>
      </c>
      <c r="Y289" s="39">
        <v>45963</v>
      </c>
      <c r="Z289" s="39">
        <v>45964</v>
      </c>
      <c r="AA289" s="39">
        <v>45964</v>
      </c>
      <c r="AB289" s="39">
        <v>45964</v>
      </c>
      <c r="AC289" s="39">
        <v>45965</v>
      </c>
      <c r="AD289" s="36" t="s">
        <v>641</v>
      </c>
      <c r="AE289" s="54">
        <f t="shared" si="205"/>
        <v>4</v>
      </c>
      <c r="AF289" s="36">
        <v>7</v>
      </c>
      <c r="AG289" s="51">
        <f t="shared" si="206"/>
        <v>0</v>
      </c>
      <c r="AH289" s="52">
        <v>200</v>
      </c>
      <c r="AI289" s="53">
        <f t="shared" si="207"/>
        <v>0</v>
      </c>
      <c r="AJ289" s="54">
        <f t="shared" si="214"/>
        <v>1</v>
      </c>
      <c r="AK289" s="36">
        <v>2</v>
      </c>
      <c r="AL289" s="51">
        <f t="shared" si="208"/>
        <v>0</v>
      </c>
      <c r="AM289" s="52">
        <v>200</v>
      </c>
      <c r="AN289" s="53">
        <f t="shared" si="209"/>
        <v>0</v>
      </c>
      <c r="AO289" s="52"/>
      <c r="AP289" s="55">
        <f t="shared" si="210"/>
        <v>0</v>
      </c>
    </row>
    <row r="292" spans="1:42">
      <c r="C292" s="130"/>
    </row>
  </sheetData>
  <mergeCells count="3">
    <mergeCell ref="AN1:AP1"/>
    <mergeCell ref="AE2:AH2"/>
    <mergeCell ref="AJ2:AM2"/>
  </mergeCells>
  <conditionalFormatting sqref="C4:C12">
    <cfRule type="duplicateValues" dxfId="2300" priority="1"/>
    <cfRule type="duplicateValues" dxfId="2299" priority="29"/>
  </conditionalFormatting>
  <conditionalFormatting sqref="C5">
    <cfRule type="duplicateValues" dxfId="2298" priority="300"/>
    <cfRule type="duplicateValues" dxfId="2297" priority="301"/>
    <cfRule type="duplicateValues" dxfId="2296" priority="302"/>
    <cfRule type="duplicateValues" dxfId="2295" priority="303"/>
    <cfRule type="duplicateValues" dxfId="2294" priority="304"/>
    <cfRule type="duplicateValues" dxfId="2293" priority="305"/>
    <cfRule type="duplicateValues" dxfId="2292" priority="306"/>
    <cfRule type="duplicateValues" dxfId="2291" priority="307"/>
    <cfRule type="duplicateValues" dxfId="2290" priority="308"/>
    <cfRule type="duplicateValues" dxfId="2289" priority="309"/>
    <cfRule type="duplicateValues" dxfId="2288" priority="310"/>
    <cfRule type="duplicateValues" dxfId="2287" priority="311"/>
    <cfRule type="duplicateValues" dxfId="2286" priority="312"/>
    <cfRule type="duplicateValues" dxfId="2285" priority="313"/>
    <cfRule type="duplicateValues" dxfId="2284" priority="314"/>
    <cfRule type="duplicateValues" dxfId="2283" priority="315"/>
    <cfRule type="duplicateValues" dxfId="2282" priority="316"/>
    <cfRule type="duplicateValues" dxfId="2281" priority="317"/>
    <cfRule type="duplicateValues" dxfId="2280" priority="318"/>
    <cfRule type="duplicateValues" dxfId="2279" priority="319"/>
    <cfRule type="duplicateValues" dxfId="2278" priority="320"/>
    <cfRule type="duplicateValues" dxfId="2277" priority="321"/>
    <cfRule type="duplicateValues" dxfId="2276" priority="322"/>
    <cfRule type="duplicateValues" dxfId="2275" priority="323"/>
    <cfRule type="duplicateValues" dxfId="2274" priority="324"/>
    <cfRule type="duplicateValues" dxfId="2273" priority="325"/>
    <cfRule type="duplicateValues" dxfId="2272" priority="326"/>
    <cfRule type="duplicateValues" dxfId="2271" priority="327"/>
    <cfRule type="duplicateValues" dxfId="2270" priority="328"/>
    <cfRule type="duplicateValues" dxfId="2269" priority="329"/>
    <cfRule type="duplicateValues" dxfId="2268" priority="330"/>
    <cfRule type="duplicateValues" dxfId="2267" priority="331"/>
    <cfRule type="duplicateValues" dxfId="2266" priority="332"/>
    <cfRule type="duplicateValues" dxfId="2265" priority="333"/>
    <cfRule type="duplicateValues" dxfId="2264" priority="334"/>
    <cfRule type="duplicateValues" dxfId="2263" priority="335"/>
    <cfRule type="duplicateValues" dxfId="2262" priority="336"/>
    <cfRule type="duplicateValues" dxfId="2261" priority="337"/>
    <cfRule type="duplicateValues" dxfId="2260" priority="338"/>
    <cfRule type="duplicateValues" dxfId="2259" priority="339"/>
    <cfRule type="duplicateValues" dxfId="2258" priority="340"/>
    <cfRule type="duplicateValues" dxfId="2257" priority="341"/>
    <cfRule type="duplicateValues" dxfId="2256" priority="342"/>
    <cfRule type="duplicateValues" dxfId="2255" priority="343"/>
    <cfRule type="duplicateValues" dxfId="2254" priority="344"/>
    <cfRule type="duplicateValues" dxfId="2253" priority="345"/>
    <cfRule type="duplicateValues" dxfId="2252" priority="346"/>
    <cfRule type="duplicateValues" dxfId="2251" priority="347"/>
    <cfRule type="duplicateValues" dxfId="2250" priority="348"/>
    <cfRule type="duplicateValues" dxfId="2249" priority="349"/>
    <cfRule type="duplicateValues" dxfId="2248" priority="350"/>
    <cfRule type="duplicateValues" dxfId="2247" priority="351"/>
    <cfRule type="duplicateValues" dxfId="2246" priority="352"/>
    <cfRule type="duplicateValues" dxfId="2245" priority="353"/>
    <cfRule type="duplicateValues" dxfId="2244" priority="354"/>
    <cfRule type="duplicateValues" dxfId="2243" priority="355"/>
    <cfRule type="duplicateValues" dxfId="2242" priority="356"/>
    <cfRule type="duplicateValues" dxfId="2241" priority="357"/>
    <cfRule type="duplicateValues" dxfId="2240" priority="358"/>
    <cfRule type="duplicateValues" dxfId="2239" priority="359"/>
    <cfRule type="duplicateValues" dxfId="2238" priority="360"/>
    <cfRule type="duplicateValues" dxfId="2237" priority="361"/>
  </conditionalFormatting>
  <conditionalFormatting sqref="C6">
    <cfRule type="duplicateValues" dxfId="2236" priority="150"/>
    <cfRule type="duplicateValues" dxfId="2235" priority="151"/>
    <cfRule type="duplicateValues" dxfId="2234" priority="152"/>
    <cfRule type="duplicateValues" dxfId="2233" priority="153"/>
    <cfRule type="duplicateValues" dxfId="2232" priority="154"/>
    <cfRule type="duplicateValues" dxfId="2231" priority="155"/>
    <cfRule type="duplicateValues" dxfId="2230" priority="156"/>
    <cfRule type="duplicateValues" dxfId="2229" priority="157"/>
    <cfRule type="duplicateValues" dxfId="2228" priority="158"/>
    <cfRule type="duplicateValues" dxfId="2227" priority="159"/>
    <cfRule type="duplicateValues" dxfId="2226" priority="160"/>
    <cfRule type="duplicateValues" dxfId="2225" priority="161"/>
    <cfRule type="duplicateValues" dxfId="2224" priority="162"/>
    <cfRule type="duplicateValues" dxfId="2223" priority="163"/>
    <cfRule type="duplicateValues" dxfId="2222" priority="164"/>
    <cfRule type="duplicateValues" dxfId="2221" priority="165"/>
    <cfRule type="duplicateValues" dxfId="2220" priority="166"/>
    <cfRule type="duplicateValues" dxfId="2219" priority="167"/>
    <cfRule type="duplicateValues" dxfId="2218" priority="168"/>
    <cfRule type="duplicateValues" dxfId="2217" priority="169"/>
    <cfRule type="duplicateValues" dxfId="2216" priority="170"/>
    <cfRule type="duplicateValues" dxfId="2215" priority="171"/>
    <cfRule type="duplicateValues" dxfId="2214" priority="172"/>
  </conditionalFormatting>
  <conditionalFormatting sqref="C7">
    <cfRule type="duplicateValues" dxfId="2213" priority="51"/>
    <cfRule type="duplicateValues" dxfId="2212" priority="52"/>
    <cfRule type="duplicateValues" dxfId="2211" priority="53"/>
    <cfRule type="duplicateValues" dxfId="2210" priority="54"/>
    <cfRule type="duplicateValues" dxfId="2209" priority="55"/>
    <cfRule type="duplicateValues" dxfId="2208" priority="56"/>
    <cfRule type="duplicateValues" dxfId="2207" priority="57"/>
    <cfRule type="duplicateValues" dxfId="2206" priority="58"/>
    <cfRule type="duplicateValues" dxfId="2205" priority="59"/>
    <cfRule type="duplicateValues" dxfId="2204" priority="60"/>
    <cfRule type="duplicateValues" dxfId="2203" priority="61"/>
    <cfRule type="duplicateValues" dxfId="2202" priority="62"/>
    <cfRule type="duplicateValues" dxfId="2201" priority="63"/>
    <cfRule type="duplicateValues" dxfId="2200" priority="64"/>
    <cfRule type="duplicateValues" dxfId="2199" priority="65"/>
    <cfRule type="duplicateValues" dxfId="2198" priority="66"/>
    <cfRule type="duplicateValues" dxfId="2197" priority="67"/>
    <cfRule type="duplicateValues" dxfId="2196" priority="68"/>
    <cfRule type="duplicateValues" dxfId="2195" priority="69"/>
    <cfRule type="duplicateValues" dxfId="2194" priority="70"/>
    <cfRule type="duplicateValues" dxfId="2193" priority="71"/>
    <cfRule type="duplicateValues" dxfId="2192" priority="72"/>
    <cfRule type="duplicateValues" dxfId="2191" priority="73"/>
    <cfRule type="duplicateValues" dxfId="2190" priority="74"/>
    <cfRule type="duplicateValues" dxfId="2189" priority="75"/>
    <cfRule type="duplicateValues" dxfId="2188" priority="76"/>
    <cfRule type="duplicateValues" dxfId="2187" priority="77"/>
    <cfRule type="duplicateValues" dxfId="2186" priority="78"/>
    <cfRule type="duplicateValues" dxfId="2185" priority="79"/>
    <cfRule type="duplicateValues" dxfId="2184" priority="80"/>
    <cfRule type="duplicateValues" dxfId="2183" priority="81"/>
    <cfRule type="duplicateValues" dxfId="2182" priority="82"/>
    <cfRule type="duplicateValues" dxfId="2181" priority="83"/>
    <cfRule type="duplicateValues" dxfId="2180" priority="84"/>
    <cfRule type="duplicateValues" dxfId="2179" priority="85"/>
    <cfRule type="duplicateValues" dxfId="2178" priority="86"/>
    <cfRule type="duplicateValues" dxfId="2177" priority="87"/>
    <cfRule type="duplicateValues" dxfId="2176" priority="88"/>
    <cfRule type="duplicateValues" dxfId="2175" priority="89"/>
    <cfRule type="duplicateValues" dxfId="2174" priority="90"/>
    <cfRule type="duplicateValues" dxfId="2173" priority="91"/>
    <cfRule type="duplicateValues" dxfId="2172" priority="92"/>
    <cfRule type="duplicateValues" dxfId="2171" priority="93"/>
    <cfRule type="duplicateValues" dxfId="2170" priority="94"/>
    <cfRule type="duplicateValues" dxfId="2169" priority="95"/>
    <cfRule type="duplicateValues" dxfId="2168" priority="96"/>
    <cfRule type="duplicateValues" dxfId="2167" priority="97"/>
    <cfRule type="duplicateValues" dxfId="2166" priority="98"/>
    <cfRule type="duplicateValues" dxfId="2165" priority="99"/>
    <cfRule type="duplicateValues" dxfId="2164" priority="100"/>
    <cfRule type="duplicateValues" dxfId="2163" priority="101"/>
    <cfRule type="duplicateValues" dxfId="2162" priority="102"/>
    <cfRule type="duplicateValues" dxfId="2161" priority="103"/>
    <cfRule type="duplicateValues" dxfId="2160" priority="104"/>
    <cfRule type="duplicateValues" dxfId="2159" priority="105"/>
    <cfRule type="duplicateValues" dxfId="2158" priority="106"/>
    <cfRule type="duplicateValues" dxfId="2157" priority="107"/>
    <cfRule type="duplicateValues" dxfId="2156" priority="108"/>
    <cfRule type="duplicateValues" dxfId="2155" priority="109"/>
    <cfRule type="duplicateValues" dxfId="2154" priority="110"/>
    <cfRule type="duplicateValues" dxfId="2153" priority="111"/>
    <cfRule type="duplicateValues" dxfId="2152" priority="112"/>
    <cfRule type="duplicateValues" dxfId="2151" priority="113"/>
    <cfRule type="duplicateValues" dxfId="2150" priority="114"/>
    <cfRule type="duplicateValues" dxfId="2149" priority="115"/>
    <cfRule type="duplicateValues" dxfId="2148" priority="116"/>
    <cfRule type="duplicateValues" dxfId="2147" priority="117"/>
    <cfRule type="duplicateValues" dxfId="2146" priority="118"/>
    <cfRule type="duplicateValues" dxfId="2145" priority="119"/>
    <cfRule type="duplicateValues" dxfId="2144" priority="120"/>
    <cfRule type="duplicateValues" dxfId="2143" priority="121"/>
    <cfRule type="duplicateValues" dxfId="2142" priority="122"/>
    <cfRule type="duplicateValues" dxfId="2141" priority="123"/>
    <cfRule type="duplicateValues" dxfId="2140" priority="124"/>
    <cfRule type="duplicateValues" dxfId="2139" priority="125"/>
    <cfRule type="duplicateValues" dxfId="2138" priority="126"/>
    <cfRule type="duplicateValues" dxfId="2137" priority="127"/>
    <cfRule type="duplicateValues" dxfId="2136" priority="128"/>
    <cfRule type="duplicateValues" dxfId="2135" priority="129"/>
    <cfRule type="duplicateValues" dxfId="2134" priority="130"/>
    <cfRule type="duplicateValues" dxfId="2133" priority="131"/>
    <cfRule type="duplicateValues" dxfId="2132" priority="132"/>
    <cfRule type="duplicateValues" dxfId="2131" priority="133"/>
    <cfRule type="duplicateValues" dxfId="2130" priority="134"/>
    <cfRule type="duplicateValues" dxfId="2129" priority="135"/>
    <cfRule type="duplicateValues" dxfId="2128" priority="136"/>
    <cfRule type="duplicateValues" dxfId="2127" priority="137"/>
    <cfRule type="duplicateValues" dxfId="2126" priority="138"/>
    <cfRule type="duplicateValues" dxfId="2125" priority="139"/>
    <cfRule type="duplicateValues" dxfId="2124" priority="140"/>
    <cfRule type="duplicateValues" dxfId="2123" priority="141"/>
    <cfRule type="duplicateValues" dxfId="2122" priority="142"/>
    <cfRule type="duplicateValues" dxfId="2121" priority="143"/>
    <cfRule type="duplicateValues" dxfId="2120" priority="144"/>
    <cfRule type="duplicateValues" dxfId="2119" priority="145"/>
    <cfRule type="duplicateValues" dxfId="2118" priority="146"/>
    <cfRule type="duplicateValues" dxfId="2117" priority="147"/>
    <cfRule type="duplicateValues" dxfId="2116" priority="148"/>
    <cfRule type="duplicateValues" dxfId="2115" priority="149"/>
  </conditionalFormatting>
  <conditionalFormatting sqref="C8">
    <cfRule type="duplicateValues" dxfId="2114" priority="299"/>
  </conditionalFormatting>
  <conditionalFormatting sqref="C9">
    <cfRule type="duplicateValues" dxfId="2113" priority="175"/>
    <cfRule type="duplicateValues" dxfId="2112" priority="176"/>
    <cfRule type="duplicateValues" dxfId="2111" priority="177"/>
    <cfRule type="duplicateValues" dxfId="2110" priority="178"/>
    <cfRule type="duplicateValues" dxfId="2109" priority="179"/>
    <cfRule type="duplicateValues" dxfId="2108" priority="180"/>
    <cfRule type="duplicateValues" dxfId="2107" priority="181"/>
    <cfRule type="duplicateValues" dxfId="2106" priority="182"/>
    <cfRule type="duplicateValues" dxfId="2105" priority="183"/>
    <cfRule type="duplicateValues" dxfId="2104" priority="184"/>
    <cfRule type="duplicateValues" dxfId="2103" priority="185"/>
    <cfRule type="duplicateValues" dxfId="2102" priority="186"/>
    <cfRule type="duplicateValues" dxfId="2101" priority="187"/>
    <cfRule type="duplicateValues" dxfId="2100" priority="188"/>
    <cfRule type="duplicateValues" dxfId="2099" priority="189"/>
    <cfRule type="duplicateValues" dxfId="2098" priority="190"/>
    <cfRule type="duplicateValues" dxfId="2097" priority="191"/>
    <cfRule type="duplicateValues" dxfId="2096" priority="192"/>
    <cfRule type="duplicateValues" dxfId="2095" priority="193"/>
    <cfRule type="duplicateValues" dxfId="2094" priority="194"/>
    <cfRule type="duplicateValues" dxfId="2093" priority="195"/>
    <cfRule type="duplicateValues" dxfId="2092" priority="196"/>
    <cfRule type="duplicateValues" dxfId="2091" priority="197"/>
    <cfRule type="duplicateValues" dxfId="2090" priority="198"/>
    <cfRule type="duplicateValues" dxfId="2089" priority="199"/>
    <cfRule type="duplicateValues" dxfId="2088" priority="200"/>
    <cfRule type="duplicateValues" dxfId="2087" priority="201"/>
    <cfRule type="duplicateValues" dxfId="2086" priority="202"/>
    <cfRule type="duplicateValues" dxfId="2085" priority="203"/>
    <cfRule type="duplicateValues" dxfId="2084" priority="204"/>
    <cfRule type="duplicateValues" dxfId="2083" priority="205"/>
    <cfRule type="duplicateValues" dxfId="2082" priority="206"/>
    <cfRule type="duplicateValues" dxfId="2081" priority="207"/>
    <cfRule type="duplicateValues" dxfId="2080" priority="208"/>
    <cfRule type="duplicateValues" dxfId="2079" priority="209"/>
    <cfRule type="duplicateValues" dxfId="2078" priority="210"/>
    <cfRule type="duplicateValues" dxfId="2077" priority="211"/>
    <cfRule type="duplicateValues" dxfId="2076" priority="212"/>
    <cfRule type="duplicateValues" dxfId="2075" priority="213"/>
    <cfRule type="duplicateValues" dxfId="2074" priority="214"/>
    <cfRule type="duplicateValues" dxfId="2073" priority="215"/>
    <cfRule type="duplicateValues" dxfId="2072" priority="216"/>
    <cfRule type="duplicateValues" dxfId="2071" priority="217"/>
    <cfRule type="duplicateValues" dxfId="2070" priority="218"/>
    <cfRule type="duplicateValues" dxfId="2069" priority="219"/>
    <cfRule type="duplicateValues" dxfId="2068" priority="220"/>
    <cfRule type="duplicateValues" dxfId="2067" priority="221"/>
    <cfRule type="duplicateValues" dxfId="2066" priority="222"/>
    <cfRule type="duplicateValues" dxfId="2065" priority="223"/>
    <cfRule type="duplicateValues" dxfId="2064" priority="224"/>
    <cfRule type="duplicateValues" dxfId="2063" priority="225"/>
    <cfRule type="duplicateValues" dxfId="2062" priority="226"/>
    <cfRule type="duplicateValues" dxfId="2061" priority="227"/>
    <cfRule type="duplicateValues" dxfId="2060" priority="228"/>
    <cfRule type="duplicateValues" dxfId="2059" priority="229"/>
    <cfRule type="duplicateValues" dxfId="2058" priority="230"/>
    <cfRule type="duplicateValues" dxfId="2057" priority="231"/>
    <cfRule type="duplicateValues" dxfId="2056" priority="232"/>
    <cfRule type="duplicateValues" dxfId="2055" priority="233"/>
    <cfRule type="duplicateValues" dxfId="2054" priority="234"/>
    <cfRule type="duplicateValues" dxfId="2053" priority="235"/>
    <cfRule type="duplicateValues" dxfId="2052" priority="236"/>
    <cfRule type="duplicateValues" dxfId="2051" priority="237"/>
    <cfRule type="duplicateValues" dxfId="2050" priority="238"/>
    <cfRule type="duplicateValues" dxfId="2049" priority="239"/>
    <cfRule type="duplicateValues" dxfId="2048" priority="240"/>
    <cfRule type="duplicateValues" dxfId="2047" priority="241"/>
    <cfRule type="duplicateValues" dxfId="2046" priority="242"/>
    <cfRule type="duplicateValues" dxfId="2045" priority="243"/>
    <cfRule type="duplicateValues" dxfId="2044" priority="244"/>
    <cfRule type="duplicateValues" dxfId="2043" priority="245"/>
    <cfRule type="duplicateValues" dxfId="2042" priority="246"/>
    <cfRule type="duplicateValues" dxfId="2041" priority="247"/>
    <cfRule type="duplicateValues" dxfId="2040" priority="248"/>
    <cfRule type="duplicateValues" dxfId="2039" priority="249"/>
    <cfRule type="duplicateValues" dxfId="2038" priority="250"/>
    <cfRule type="duplicateValues" dxfId="2037" priority="251"/>
    <cfRule type="duplicateValues" dxfId="2036" priority="252"/>
    <cfRule type="duplicateValues" dxfId="2035" priority="253"/>
    <cfRule type="duplicateValues" dxfId="2034" priority="254"/>
    <cfRule type="duplicateValues" dxfId="2033" priority="255"/>
    <cfRule type="duplicateValues" dxfId="2032" priority="256"/>
    <cfRule type="duplicateValues" dxfId="2031" priority="257"/>
    <cfRule type="duplicateValues" dxfId="2030" priority="258"/>
    <cfRule type="duplicateValues" dxfId="2029" priority="259"/>
    <cfRule type="duplicateValues" dxfId="2028" priority="260"/>
    <cfRule type="duplicateValues" dxfId="2027" priority="261"/>
    <cfRule type="duplicateValues" dxfId="2026" priority="262"/>
    <cfRule type="duplicateValues" dxfId="2025" priority="263"/>
    <cfRule type="duplicateValues" dxfId="2024" priority="264"/>
    <cfRule type="duplicateValues" dxfId="2023" priority="265"/>
    <cfRule type="duplicateValues" dxfId="2022" priority="266"/>
    <cfRule type="duplicateValues" dxfId="2021" priority="267"/>
    <cfRule type="duplicateValues" dxfId="2020" priority="268"/>
    <cfRule type="duplicateValues" dxfId="2019" priority="269"/>
    <cfRule type="duplicateValues" dxfId="2018" priority="270"/>
    <cfRule type="duplicateValues" dxfId="2017" priority="271"/>
    <cfRule type="duplicateValues" dxfId="2016" priority="272"/>
    <cfRule type="duplicateValues" dxfId="2015" priority="273"/>
    <cfRule type="duplicateValues" dxfId="2014" priority="274"/>
    <cfRule type="duplicateValues" dxfId="2013" priority="275"/>
    <cfRule type="duplicateValues" dxfId="2012" priority="276"/>
    <cfRule type="duplicateValues" dxfId="2011" priority="277"/>
    <cfRule type="duplicateValues" dxfId="2010" priority="278"/>
    <cfRule type="duplicateValues" dxfId="2009" priority="279"/>
    <cfRule type="duplicateValues" dxfId="2008" priority="280"/>
    <cfRule type="duplicateValues" dxfId="2007" priority="281"/>
    <cfRule type="duplicateValues" dxfId="2006" priority="282"/>
    <cfRule type="duplicateValues" dxfId="2005" priority="283"/>
    <cfRule type="duplicateValues" dxfId="2004" priority="284"/>
    <cfRule type="duplicateValues" dxfId="2003" priority="285"/>
    <cfRule type="duplicateValues" dxfId="2002" priority="286"/>
    <cfRule type="duplicateValues" dxfId="2001" priority="287"/>
    <cfRule type="duplicateValues" dxfId="2000" priority="288"/>
    <cfRule type="duplicateValues" dxfId="1999" priority="289"/>
    <cfRule type="duplicateValues" dxfId="1998" priority="290"/>
    <cfRule type="duplicateValues" dxfId="1997" priority="291"/>
    <cfRule type="duplicateValues" dxfId="1996" priority="292"/>
    <cfRule type="duplicateValues" dxfId="1995" priority="293"/>
    <cfRule type="duplicateValues" dxfId="1994" priority="294"/>
    <cfRule type="duplicateValues" dxfId="1993" priority="295"/>
    <cfRule type="duplicateValues" dxfId="1992" priority="296"/>
    <cfRule type="duplicateValues" dxfId="1991" priority="297"/>
    <cfRule type="duplicateValues" dxfId="1990" priority="298"/>
  </conditionalFormatting>
  <conditionalFormatting sqref="C11">
    <cfRule type="duplicateValues" dxfId="1989" priority="30"/>
    <cfRule type="duplicateValues" dxfId="1988" priority="31"/>
    <cfRule type="duplicateValues" dxfId="1987" priority="32"/>
    <cfRule type="duplicateValues" dxfId="1986" priority="33"/>
    <cfRule type="duplicateValues" dxfId="1985" priority="34"/>
    <cfRule type="duplicateValues" dxfId="1984" priority="35"/>
    <cfRule type="duplicateValues" dxfId="1983" priority="36"/>
    <cfRule type="duplicateValues" dxfId="1982" priority="37"/>
    <cfRule type="duplicateValues" dxfId="1981" priority="38"/>
    <cfRule type="duplicateValues" dxfId="1980" priority="39"/>
    <cfRule type="duplicateValues" dxfId="1979" priority="40"/>
    <cfRule type="duplicateValues" dxfId="1978" priority="41"/>
    <cfRule type="duplicateValues" dxfId="1977" priority="42"/>
    <cfRule type="duplicateValues" dxfId="1976" priority="43"/>
    <cfRule type="duplicateValues" dxfId="1975" priority="44"/>
    <cfRule type="duplicateValues" dxfId="1974" priority="45"/>
    <cfRule type="duplicateValues" dxfId="1973" priority="46"/>
    <cfRule type="duplicateValues" dxfId="1972" priority="47"/>
    <cfRule type="duplicateValues" dxfId="1971" priority="48"/>
    <cfRule type="duplicateValues" dxfId="1970" priority="49"/>
    <cfRule type="duplicateValues" dxfId="1969" priority="50"/>
  </conditionalFormatting>
  <conditionalFormatting sqref="C12">
    <cfRule type="duplicateValues" dxfId="1968" priority="173"/>
    <cfRule type="duplicateValues" dxfId="1967" priority="174"/>
  </conditionalFormatting>
  <conditionalFormatting sqref="D5">
    <cfRule type="duplicateValues" dxfId="1966" priority="16"/>
    <cfRule type="duplicateValues" dxfId="1965" priority="17"/>
    <cfRule type="duplicateValues" dxfId="1964" priority="18"/>
  </conditionalFormatting>
  <conditionalFormatting sqref="D6">
    <cfRule type="duplicateValues" dxfId="1963" priority="26"/>
    <cfRule type="duplicateValues" dxfId="1962" priority="27"/>
    <cfRule type="duplicateValues" dxfId="1961" priority="28"/>
  </conditionalFormatting>
  <conditionalFormatting sqref="D9">
    <cfRule type="duplicateValues" dxfId="1960" priority="20"/>
    <cfRule type="duplicateValues" dxfId="1959" priority="21"/>
    <cfRule type="duplicateValues" dxfId="1958" priority="22"/>
    <cfRule type="duplicateValues" dxfId="1957" priority="23"/>
    <cfRule type="duplicateValues" dxfId="1956" priority="24"/>
    <cfRule type="duplicateValues" dxfId="1955" priority="25"/>
  </conditionalFormatting>
  <conditionalFormatting sqref="D11">
    <cfRule type="duplicateValues" dxfId="1954" priority="13"/>
    <cfRule type="duplicateValues" dxfId="1953" priority="14"/>
    <cfRule type="duplicateValues" dxfId="1952" priority="15"/>
  </conditionalFormatting>
  <conditionalFormatting sqref="D12">
    <cfRule type="duplicateValues" dxfId="1951" priority="19"/>
  </conditionalFormatting>
  <conditionalFormatting sqref="E7">
    <cfRule type="duplicateValues" dxfId="1950" priority="2"/>
    <cfRule type="duplicateValues" dxfId="1949" priority="3"/>
    <cfRule type="duplicateValues" dxfId="1948" priority="4"/>
    <cfRule type="duplicateValues" dxfId="1947" priority="5"/>
    <cfRule type="duplicateValues" dxfId="1946" priority="6"/>
    <cfRule type="duplicateValues" dxfId="1945" priority="7"/>
    <cfRule type="duplicateValues" dxfId="1944" priority="8"/>
    <cfRule type="duplicateValues" dxfId="1943" priority="9"/>
    <cfRule type="duplicateValues" dxfId="1942" priority="10"/>
  </conditionalFormatting>
  <conditionalFormatting sqref="E8">
    <cfRule type="duplicateValues" dxfId="1941" priority="12"/>
  </conditionalFormatting>
  <conditionalFormatting sqref="E9">
    <cfRule type="duplicateValues" dxfId="1940" priority="11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T100"/>
  <sheetViews>
    <sheetView zoomScale="85" zoomScaleNormal="85" workbookViewId="0">
      <selection activeCell="G14" sqref="G14"/>
    </sheetView>
  </sheetViews>
  <sheetFormatPr defaultColWidth="9" defaultRowHeight="15"/>
  <cols>
    <col min="1" max="1" width="8" customWidth="1"/>
    <col min="2" max="2" width="9.140625" customWidth="1"/>
    <col min="3" max="3" width="12.28515625" customWidth="1"/>
    <col min="4" max="4" width="19.42578125" customWidth="1"/>
    <col min="5" max="5" width="34.7109375" customWidth="1"/>
    <col min="6" max="6" width="13.42578125" customWidth="1"/>
    <col min="7" max="7" width="18.140625" customWidth="1"/>
    <col min="8" max="8" width="6.85546875" customWidth="1"/>
    <col min="9" max="9" width="10.7109375" customWidth="1"/>
    <col min="10" max="10" width="12.85546875" customWidth="1"/>
    <col min="11" max="11" width="11.42578125" customWidth="1"/>
    <col min="12" max="12" width="16.28515625" customWidth="1"/>
    <col min="13" max="16" width="9.140625" customWidth="1"/>
    <col min="17" max="17" width="14.85546875" customWidth="1"/>
    <col min="18" max="18" width="9.42578125" customWidth="1"/>
    <col min="19" max="19" width="12.42578125" customWidth="1"/>
    <col min="20" max="20" width="11.42578125" customWidth="1"/>
    <col min="21" max="23" width="18.28515625" customWidth="1"/>
    <col min="24" max="24" width="14.42578125" customWidth="1"/>
    <col min="25" max="25" width="13.140625" customWidth="1"/>
    <col min="26" max="26" width="12.85546875" customWidth="1"/>
    <col min="27" max="27" width="11.140625" customWidth="1"/>
    <col min="28" max="28" width="11.7109375" customWidth="1"/>
    <col min="29" max="29" width="12.42578125" customWidth="1"/>
    <col min="30" max="30" width="23.5703125" customWidth="1"/>
    <col min="32" max="39" width="9.140625" customWidth="1"/>
    <col min="40" max="40" width="11.42578125" customWidth="1"/>
    <col min="41" max="41" width="11.28515625" customWidth="1"/>
    <col min="42" max="42" width="15.85546875" customWidth="1"/>
  </cols>
  <sheetData>
    <row r="1" spans="1:46" s="2" customFormat="1" ht="23.25">
      <c r="A1" s="135" t="s">
        <v>44</v>
      </c>
      <c r="B1" s="135"/>
      <c r="C1" s="135"/>
      <c r="D1" s="135"/>
      <c r="E1" s="157">
        <f ca="1">TODAY()</f>
        <v>46045</v>
      </c>
      <c r="F1" s="158" t="s">
        <v>45</v>
      </c>
      <c r="G1" s="158" t="s">
        <v>745</v>
      </c>
      <c r="H1" s="159">
        <v>3992</v>
      </c>
      <c r="I1" s="159">
        <v>4990</v>
      </c>
      <c r="J1" s="159">
        <v>5003.991</v>
      </c>
      <c r="K1" s="160"/>
      <c r="L1" s="135"/>
      <c r="M1" s="161" t="s">
        <v>47</v>
      </c>
      <c r="N1" s="162"/>
      <c r="O1" s="162"/>
      <c r="P1" s="163"/>
      <c r="Q1" s="163"/>
      <c r="R1" s="164"/>
      <c r="S1" s="164"/>
      <c r="T1" s="161" t="s">
        <v>47</v>
      </c>
      <c r="U1" s="164"/>
      <c r="V1" s="164"/>
      <c r="W1" s="164"/>
      <c r="X1" s="164"/>
      <c r="Z1" s="164"/>
      <c r="AA1" s="164"/>
      <c r="AB1" s="164" t="s">
        <v>47</v>
      </c>
      <c r="AC1" s="164"/>
      <c r="AD1" s="164"/>
      <c r="AI1" s="15"/>
      <c r="AN1" s="287" t="s">
        <v>48</v>
      </c>
      <c r="AO1" s="288"/>
      <c r="AP1" s="289"/>
    </row>
    <row r="2" spans="1:46" s="2" customFormat="1" ht="23.25">
      <c r="A2" s="148" t="s">
        <v>49</v>
      </c>
      <c r="B2" s="165" t="s">
        <v>50</v>
      </c>
      <c r="C2" s="165" t="s">
        <v>51</v>
      </c>
      <c r="D2" s="166" t="s">
        <v>52</v>
      </c>
      <c r="E2" s="166" t="s">
        <v>53</v>
      </c>
      <c r="F2" s="165" t="s">
        <v>54</v>
      </c>
      <c r="G2" s="166" t="s">
        <v>55</v>
      </c>
      <c r="H2" s="166" t="s">
        <v>56</v>
      </c>
      <c r="I2" s="166" t="s">
        <v>57</v>
      </c>
      <c r="J2" s="166" t="s">
        <v>58</v>
      </c>
      <c r="K2" s="166"/>
      <c r="L2" s="165" t="s">
        <v>59</v>
      </c>
      <c r="M2" s="165" t="s">
        <v>60</v>
      </c>
      <c r="N2" s="165" t="s">
        <v>61</v>
      </c>
      <c r="O2" s="167" t="s">
        <v>62</v>
      </c>
      <c r="P2" s="167" t="s">
        <v>63</v>
      </c>
      <c r="Q2" s="167" t="s">
        <v>64</v>
      </c>
      <c r="R2" s="167" t="s">
        <v>65</v>
      </c>
      <c r="S2" s="167" t="s">
        <v>66</v>
      </c>
      <c r="T2" s="167" t="s">
        <v>67</v>
      </c>
      <c r="U2" s="167" t="s">
        <v>68</v>
      </c>
      <c r="V2" s="19" t="s">
        <v>69</v>
      </c>
      <c r="W2" s="19" t="s">
        <v>70</v>
      </c>
      <c r="X2" s="20" t="s">
        <v>71</v>
      </c>
      <c r="Y2" s="20" t="s">
        <v>72</v>
      </c>
      <c r="Z2" s="167"/>
      <c r="AA2" s="167"/>
      <c r="AB2" s="167" t="s">
        <v>73</v>
      </c>
      <c r="AC2" s="167" t="s">
        <v>74</v>
      </c>
      <c r="AD2" s="167" t="s">
        <v>75</v>
      </c>
      <c r="AE2" s="286" t="s">
        <v>76</v>
      </c>
      <c r="AF2" s="286"/>
      <c r="AG2" s="286"/>
      <c r="AH2" s="286"/>
      <c r="AI2" s="21">
        <f>SUM(AI38:AI56)</f>
        <v>0</v>
      </c>
      <c r="AJ2" s="286" t="s">
        <v>77</v>
      </c>
      <c r="AK2" s="286"/>
      <c r="AL2" s="286"/>
      <c r="AM2" s="286"/>
      <c r="AN2" s="21">
        <f>SUM(AN38:AN56)</f>
        <v>0</v>
      </c>
      <c r="AO2" s="21">
        <f>SUM(AO38:AO56)</f>
        <v>0</v>
      </c>
      <c r="AP2" s="168">
        <f>SUM(AI2:AO2)</f>
        <v>0</v>
      </c>
      <c r="AQ2" s="23"/>
      <c r="AR2" s="1"/>
      <c r="AS2" s="1"/>
      <c r="AT2" s="1"/>
    </row>
    <row r="3" spans="1:46" s="1" customFormat="1" ht="39" customHeight="1">
      <c r="A3" s="24" t="s">
        <v>78</v>
      </c>
      <c r="B3" s="25" t="s">
        <v>746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6">
        <f>SUM(H4:H56)</f>
        <v>1499</v>
      </c>
      <c r="I3" s="169">
        <f>SUM(I4:I56)/1000</f>
        <v>1871.6030000000001</v>
      </c>
      <c r="J3" s="169">
        <f>SUM(J4:J56)/1000</f>
        <v>1978.453</v>
      </c>
      <c r="K3" s="25" t="s">
        <v>85</v>
      </c>
      <c r="L3" s="25" t="s">
        <v>86</v>
      </c>
      <c r="M3" s="25" t="s">
        <v>87</v>
      </c>
      <c r="N3" s="25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93</v>
      </c>
      <c r="T3" s="27" t="s">
        <v>94</v>
      </c>
      <c r="U3" s="27" t="s">
        <v>95</v>
      </c>
      <c r="V3" s="27" t="s">
        <v>96</v>
      </c>
      <c r="W3" s="27" t="s">
        <v>97</v>
      </c>
      <c r="X3" s="28" t="s">
        <v>98</v>
      </c>
      <c r="Y3" s="28" t="s">
        <v>99</v>
      </c>
      <c r="Z3" s="27" t="s">
        <v>100</v>
      </c>
      <c r="AA3" s="27" t="s">
        <v>101</v>
      </c>
      <c r="AB3" s="27" t="s">
        <v>102</v>
      </c>
      <c r="AC3" s="27" t="s">
        <v>103</v>
      </c>
      <c r="AD3" s="27" t="s">
        <v>104</v>
      </c>
      <c r="AE3" s="29" t="s">
        <v>105</v>
      </c>
      <c r="AF3" s="29" t="s">
        <v>106</v>
      </c>
      <c r="AG3" s="29" t="s">
        <v>107</v>
      </c>
      <c r="AH3" s="29" t="s">
        <v>108</v>
      </c>
      <c r="AI3" s="30" t="s">
        <v>109</v>
      </c>
      <c r="AJ3" s="29" t="s">
        <v>110</v>
      </c>
      <c r="AK3" s="29" t="s">
        <v>106</v>
      </c>
      <c r="AL3" s="29" t="s">
        <v>107</v>
      </c>
      <c r="AM3" s="29" t="s">
        <v>108</v>
      </c>
      <c r="AN3" s="30" t="s">
        <v>111</v>
      </c>
      <c r="AO3" s="31" t="s">
        <v>112</v>
      </c>
      <c r="AP3" s="32" t="s">
        <v>113</v>
      </c>
    </row>
    <row r="4" spans="1:46" s="1" customFormat="1" ht="15" customHeight="1">
      <c r="A4" s="91">
        <f>ROW()-3</f>
        <v>1</v>
      </c>
      <c r="B4" s="34" t="s">
        <v>446</v>
      </c>
      <c r="C4" s="35" t="s">
        <v>606</v>
      </c>
      <c r="D4" s="35" t="s">
        <v>607</v>
      </c>
      <c r="E4" s="34" t="s">
        <v>608</v>
      </c>
      <c r="F4" s="34" t="s">
        <v>12</v>
      </c>
      <c r="G4" s="37" t="s">
        <v>816</v>
      </c>
      <c r="H4" s="37">
        <v>28</v>
      </c>
      <c r="I4" s="34">
        <v>35000</v>
      </c>
      <c r="J4" s="34">
        <v>35070</v>
      </c>
      <c r="K4" s="34" t="s">
        <v>120</v>
      </c>
      <c r="L4" s="39">
        <v>45890</v>
      </c>
      <c r="M4" s="40" t="s">
        <v>121</v>
      </c>
      <c r="N4" s="39" t="s">
        <v>122</v>
      </c>
      <c r="O4" s="39">
        <v>45881</v>
      </c>
      <c r="P4" s="39">
        <v>45907</v>
      </c>
      <c r="Q4" s="39">
        <v>45892</v>
      </c>
      <c r="R4" s="39">
        <v>45990</v>
      </c>
      <c r="S4" s="39">
        <v>45992</v>
      </c>
      <c r="T4" s="39">
        <v>46013</v>
      </c>
      <c r="U4" s="39">
        <v>46015</v>
      </c>
      <c r="V4" s="39">
        <v>46029</v>
      </c>
      <c r="W4" s="39">
        <v>46029</v>
      </c>
      <c r="X4" s="39">
        <v>46029</v>
      </c>
      <c r="Y4" s="39">
        <v>46036</v>
      </c>
      <c r="Z4" s="39">
        <v>46037</v>
      </c>
      <c r="AA4" s="39">
        <v>46037</v>
      </c>
      <c r="AB4" s="41"/>
      <c r="AC4" s="41"/>
      <c r="AD4" s="44" t="s">
        <v>268</v>
      </c>
      <c r="AE4" s="54">
        <f t="shared" ref="AE4:AE9" si="0">MAX(0,Y4-X4)</f>
        <v>7</v>
      </c>
      <c r="AF4" s="36">
        <v>7</v>
      </c>
      <c r="AG4" s="51">
        <f t="shared" ref="AG4:AG9" si="1">MAX(0,AE4-AF4)</f>
        <v>0</v>
      </c>
      <c r="AH4" s="52">
        <v>200</v>
      </c>
      <c r="AI4" s="53">
        <f t="shared" ref="AI4:AI9" si="2">MAX(0,AG4*AH4)</f>
        <v>0</v>
      </c>
      <c r="AJ4" s="54">
        <f t="shared" ref="AJ4:AJ9" si="3">MAX(0,AC4-AB4)</f>
        <v>0</v>
      </c>
      <c r="AK4" s="36">
        <v>2</v>
      </c>
      <c r="AL4" s="51">
        <f t="shared" ref="AL4:AL9" si="4">MAX(0,AJ4-AK4)</f>
        <v>0</v>
      </c>
      <c r="AM4" s="52">
        <v>200</v>
      </c>
      <c r="AN4" s="53">
        <f t="shared" ref="AN4:AN9" si="5">MAX(0,AL4*AM4)</f>
        <v>0</v>
      </c>
      <c r="AO4" s="52"/>
      <c r="AP4" s="55">
        <f t="shared" ref="AP4:AP9" si="6">AO4+AN4+AI4</f>
        <v>0</v>
      </c>
    </row>
    <row r="5" spans="1:46" s="1" customFormat="1" ht="15" customHeight="1">
      <c r="A5" s="98">
        <f>ROW()-3</f>
        <v>2</v>
      </c>
      <c r="B5" s="79" t="s">
        <v>446</v>
      </c>
      <c r="C5" s="86" t="s">
        <v>561</v>
      </c>
      <c r="D5" s="86" t="s">
        <v>562</v>
      </c>
      <c r="E5" s="86" t="s">
        <v>563</v>
      </c>
      <c r="F5" s="79" t="s">
        <v>12</v>
      </c>
      <c r="G5" s="170" t="s">
        <v>103</v>
      </c>
      <c r="H5" s="81">
        <v>29</v>
      </c>
      <c r="I5" s="79">
        <v>36250</v>
      </c>
      <c r="J5" s="79">
        <v>36323</v>
      </c>
      <c r="K5" s="79" t="s">
        <v>120</v>
      </c>
      <c r="L5" s="80">
        <v>45890</v>
      </c>
      <c r="M5" s="82" t="s">
        <v>121</v>
      </c>
      <c r="N5" s="80" t="s">
        <v>122</v>
      </c>
      <c r="O5" s="80">
        <v>45881</v>
      </c>
      <c r="P5" s="80">
        <v>45907</v>
      </c>
      <c r="Q5" s="80">
        <v>45892</v>
      </c>
      <c r="R5" s="80">
        <v>45992</v>
      </c>
      <c r="S5" s="80">
        <v>45995</v>
      </c>
      <c r="T5" s="80">
        <v>46007</v>
      </c>
      <c r="U5" s="80">
        <v>46013</v>
      </c>
      <c r="V5" s="80">
        <v>46017</v>
      </c>
      <c r="W5" s="80">
        <v>46017</v>
      </c>
      <c r="X5" s="80">
        <v>46017</v>
      </c>
      <c r="Y5" s="80">
        <v>46022</v>
      </c>
      <c r="Z5" s="80">
        <v>46023</v>
      </c>
      <c r="AA5" s="80">
        <v>46023</v>
      </c>
      <c r="AB5" s="80">
        <v>46023</v>
      </c>
      <c r="AC5" s="80">
        <v>46024</v>
      </c>
      <c r="AD5" s="84" t="s">
        <v>641</v>
      </c>
      <c r="AE5" s="54">
        <f t="shared" si="0"/>
        <v>5</v>
      </c>
      <c r="AF5" s="36">
        <v>7</v>
      </c>
      <c r="AG5" s="51">
        <f t="shared" si="1"/>
        <v>0</v>
      </c>
      <c r="AH5" s="52">
        <v>200</v>
      </c>
      <c r="AI5" s="53">
        <f t="shared" si="2"/>
        <v>0</v>
      </c>
      <c r="AJ5" s="54">
        <f t="shared" si="3"/>
        <v>1</v>
      </c>
      <c r="AK5" s="36">
        <v>2</v>
      </c>
      <c r="AL5" s="51">
        <f t="shared" si="4"/>
        <v>0</v>
      </c>
      <c r="AM5" s="52">
        <v>200</v>
      </c>
      <c r="AN5" s="53">
        <f t="shared" si="5"/>
        <v>0</v>
      </c>
      <c r="AO5" s="52"/>
      <c r="AP5" s="55">
        <f t="shared" si="6"/>
        <v>0</v>
      </c>
    </row>
    <row r="6" spans="1:46" s="1" customFormat="1" ht="15" customHeight="1">
      <c r="A6" s="98">
        <f t="shared" ref="A6:A9" si="7">ROW()-3</f>
        <v>3</v>
      </c>
      <c r="B6" s="79" t="s">
        <v>446</v>
      </c>
      <c r="C6" s="86" t="s">
        <v>573</v>
      </c>
      <c r="D6" s="86" t="s">
        <v>574</v>
      </c>
      <c r="E6" s="78" t="s">
        <v>575</v>
      </c>
      <c r="F6" s="79" t="s">
        <v>12</v>
      </c>
      <c r="G6" s="170" t="s">
        <v>103</v>
      </c>
      <c r="H6" s="81">
        <v>28</v>
      </c>
      <c r="I6" s="79">
        <v>35000</v>
      </c>
      <c r="J6" s="79">
        <v>35070</v>
      </c>
      <c r="K6" s="79" t="s">
        <v>120</v>
      </c>
      <c r="L6" s="80">
        <v>45890</v>
      </c>
      <c r="M6" s="82" t="s">
        <v>121</v>
      </c>
      <c r="N6" s="80" t="s">
        <v>122</v>
      </c>
      <c r="O6" s="80">
        <v>45881</v>
      </c>
      <c r="P6" s="80">
        <v>45907</v>
      </c>
      <c r="Q6" s="80">
        <v>45892</v>
      </c>
      <c r="R6" s="80">
        <v>45990</v>
      </c>
      <c r="S6" s="80">
        <v>45994</v>
      </c>
      <c r="T6" s="80">
        <v>45998</v>
      </c>
      <c r="U6" s="80">
        <v>46013</v>
      </c>
      <c r="V6" s="80">
        <v>46016</v>
      </c>
      <c r="W6" s="80">
        <v>46016</v>
      </c>
      <c r="X6" s="80">
        <v>46016</v>
      </c>
      <c r="Y6" s="80">
        <v>46021</v>
      </c>
      <c r="Z6" s="80">
        <v>46021</v>
      </c>
      <c r="AA6" s="80">
        <v>46021</v>
      </c>
      <c r="AB6" s="80">
        <v>46022</v>
      </c>
      <c r="AC6" s="80">
        <v>46024</v>
      </c>
      <c r="AD6" s="84" t="s">
        <v>641</v>
      </c>
      <c r="AE6" s="54">
        <f t="shared" si="0"/>
        <v>5</v>
      </c>
      <c r="AF6" s="36">
        <v>7</v>
      </c>
      <c r="AG6" s="51">
        <f t="shared" si="1"/>
        <v>0</v>
      </c>
      <c r="AH6" s="52">
        <v>200</v>
      </c>
      <c r="AI6" s="53">
        <f t="shared" si="2"/>
        <v>0</v>
      </c>
      <c r="AJ6" s="54">
        <f t="shared" si="3"/>
        <v>2</v>
      </c>
      <c r="AK6" s="36">
        <v>2</v>
      </c>
      <c r="AL6" s="51">
        <f t="shared" si="4"/>
        <v>0</v>
      </c>
      <c r="AM6" s="52">
        <v>200</v>
      </c>
      <c r="AN6" s="53">
        <f t="shared" si="5"/>
        <v>0</v>
      </c>
      <c r="AO6" s="52">
        <v>0</v>
      </c>
      <c r="AP6" s="55">
        <f t="shared" si="6"/>
        <v>0</v>
      </c>
    </row>
    <row r="7" spans="1:46" s="1" customFormat="1" ht="15" customHeight="1">
      <c r="A7" s="98">
        <f t="shared" si="7"/>
        <v>4</v>
      </c>
      <c r="B7" s="79" t="s">
        <v>446</v>
      </c>
      <c r="C7" s="86" t="s">
        <v>564</v>
      </c>
      <c r="D7" s="86" t="s">
        <v>565</v>
      </c>
      <c r="E7" s="86" t="s">
        <v>566</v>
      </c>
      <c r="F7" s="79" t="s">
        <v>12</v>
      </c>
      <c r="G7" s="81" t="s">
        <v>103</v>
      </c>
      <c r="H7" s="81">
        <v>29</v>
      </c>
      <c r="I7" s="79">
        <v>36250</v>
      </c>
      <c r="J7" s="79">
        <v>36323</v>
      </c>
      <c r="K7" s="79" t="s">
        <v>120</v>
      </c>
      <c r="L7" s="80">
        <v>45890</v>
      </c>
      <c r="M7" s="82" t="s">
        <v>121</v>
      </c>
      <c r="N7" s="80" t="s">
        <v>122</v>
      </c>
      <c r="O7" s="80">
        <v>45881</v>
      </c>
      <c r="P7" s="80">
        <v>45907</v>
      </c>
      <c r="Q7" s="80">
        <v>45892</v>
      </c>
      <c r="R7" s="80">
        <v>45992</v>
      </c>
      <c r="S7" s="80">
        <v>45995</v>
      </c>
      <c r="T7" s="80">
        <v>45999</v>
      </c>
      <c r="U7" s="80">
        <v>46006</v>
      </c>
      <c r="V7" s="80">
        <v>46011</v>
      </c>
      <c r="W7" s="80">
        <v>46011</v>
      </c>
      <c r="X7" s="80">
        <v>46011</v>
      </c>
      <c r="Y7" s="80">
        <v>46013</v>
      </c>
      <c r="Z7" s="80">
        <v>46014</v>
      </c>
      <c r="AA7" s="80">
        <v>46014</v>
      </c>
      <c r="AB7" s="80">
        <v>46014</v>
      </c>
      <c r="AC7" s="80">
        <v>46017</v>
      </c>
      <c r="AD7" s="84" t="s">
        <v>641</v>
      </c>
      <c r="AE7" s="54">
        <f t="shared" si="0"/>
        <v>2</v>
      </c>
      <c r="AF7" s="36">
        <v>7</v>
      </c>
      <c r="AG7" s="51">
        <f t="shared" si="1"/>
        <v>0</v>
      </c>
      <c r="AH7" s="52">
        <v>200</v>
      </c>
      <c r="AI7" s="53">
        <f t="shared" si="2"/>
        <v>0</v>
      </c>
      <c r="AJ7" s="54">
        <f t="shared" si="3"/>
        <v>3</v>
      </c>
      <c r="AK7" s="36">
        <v>2</v>
      </c>
      <c r="AL7" s="51">
        <f t="shared" si="4"/>
        <v>1</v>
      </c>
      <c r="AM7" s="52">
        <v>200</v>
      </c>
      <c r="AN7" s="53">
        <f t="shared" si="5"/>
        <v>200</v>
      </c>
      <c r="AO7" s="52"/>
      <c r="AP7" s="55">
        <f t="shared" si="6"/>
        <v>200</v>
      </c>
    </row>
    <row r="8" spans="1:46" s="1" customFormat="1" ht="15" customHeight="1">
      <c r="A8" s="98">
        <f t="shared" si="7"/>
        <v>5</v>
      </c>
      <c r="B8" s="79" t="s">
        <v>446</v>
      </c>
      <c r="C8" s="86" t="s">
        <v>567</v>
      </c>
      <c r="D8" s="86" t="s">
        <v>568</v>
      </c>
      <c r="E8" s="79" t="s">
        <v>569</v>
      </c>
      <c r="F8" s="79" t="s">
        <v>12</v>
      </c>
      <c r="G8" s="81" t="s">
        <v>103</v>
      </c>
      <c r="H8" s="81">
        <v>28</v>
      </c>
      <c r="I8" s="79">
        <v>35000</v>
      </c>
      <c r="J8" s="79">
        <v>35070</v>
      </c>
      <c r="K8" s="79" t="s">
        <v>120</v>
      </c>
      <c r="L8" s="80">
        <v>45890</v>
      </c>
      <c r="M8" s="82" t="s">
        <v>121</v>
      </c>
      <c r="N8" s="80" t="s">
        <v>122</v>
      </c>
      <c r="O8" s="80">
        <v>45881</v>
      </c>
      <c r="P8" s="80">
        <v>45907</v>
      </c>
      <c r="Q8" s="80">
        <v>45892</v>
      </c>
      <c r="R8" s="80">
        <v>45990</v>
      </c>
      <c r="S8" s="80">
        <v>45994</v>
      </c>
      <c r="T8" s="80">
        <v>45998</v>
      </c>
      <c r="U8" s="80">
        <v>46007</v>
      </c>
      <c r="V8" s="80">
        <v>46011</v>
      </c>
      <c r="W8" s="80">
        <v>46011</v>
      </c>
      <c r="X8" s="80">
        <v>46011</v>
      </c>
      <c r="Y8" s="80">
        <v>46013</v>
      </c>
      <c r="Z8" s="80">
        <v>46014</v>
      </c>
      <c r="AA8" s="80">
        <v>46014</v>
      </c>
      <c r="AB8" s="80">
        <v>46014</v>
      </c>
      <c r="AC8" s="80">
        <v>46017</v>
      </c>
      <c r="AD8" s="84" t="s">
        <v>641</v>
      </c>
      <c r="AE8" s="54">
        <f t="shared" si="0"/>
        <v>2</v>
      </c>
      <c r="AF8" s="36">
        <v>7</v>
      </c>
      <c r="AG8" s="51">
        <f t="shared" si="1"/>
        <v>0</v>
      </c>
      <c r="AH8" s="52">
        <v>200</v>
      </c>
      <c r="AI8" s="53">
        <f t="shared" si="2"/>
        <v>0</v>
      </c>
      <c r="AJ8" s="54">
        <f t="shared" si="3"/>
        <v>3</v>
      </c>
      <c r="AK8" s="36">
        <v>2</v>
      </c>
      <c r="AL8" s="51">
        <f t="shared" si="4"/>
        <v>1</v>
      </c>
      <c r="AM8" s="52">
        <v>200</v>
      </c>
      <c r="AN8" s="53">
        <f t="shared" si="5"/>
        <v>200</v>
      </c>
      <c r="AO8" s="52"/>
      <c r="AP8" s="55">
        <f t="shared" si="6"/>
        <v>200</v>
      </c>
    </row>
    <row r="9" spans="1:46" s="1" customFormat="1" ht="15" customHeight="1">
      <c r="A9" s="98">
        <f t="shared" si="7"/>
        <v>6</v>
      </c>
      <c r="B9" s="79" t="s">
        <v>446</v>
      </c>
      <c r="C9" s="86" t="s">
        <v>570</v>
      </c>
      <c r="D9" s="78" t="s">
        <v>571</v>
      </c>
      <c r="E9" s="78" t="s">
        <v>572</v>
      </c>
      <c r="F9" s="79" t="s">
        <v>12</v>
      </c>
      <c r="G9" s="81" t="s">
        <v>103</v>
      </c>
      <c r="H9" s="81">
        <v>28</v>
      </c>
      <c r="I9" s="79">
        <v>35000</v>
      </c>
      <c r="J9" s="79">
        <v>35070</v>
      </c>
      <c r="K9" s="79" t="s">
        <v>120</v>
      </c>
      <c r="L9" s="80">
        <v>45890</v>
      </c>
      <c r="M9" s="82" t="s">
        <v>121</v>
      </c>
      <c r="N9" s="80" t="s">
        <v>122</v>
      </c>
      <c r="O9" s="80">
        <v>45881</v>
      </c>
      <c r="P9" s="80">
        <v>45907</v>
      </c>
      <c r="Q9" s="80">
        <v>45892</v>
      </c>
      <c r="R9" s="80">
        <v>45990</v>
      </c>
      <c r="S9" s="80">
        <v>45994</v>
      </c>
      <c r="T9" s="80">
        <v>45998</v>
      </c>
      <c r="U9" s="80">
        <v>46006</v>
      </c>
      <c r="V9" s="80">
        <v>46010</v>
      </c>
      <c r="W9" s="80">
        <v>46010</v>
      </c>
      <c r="X9" s="80">
        <v>46010</v>
      </c>
      <c r="Y9" s="80">
        <v>46013</v>
      </c>
      <c r="Z9" s="80">
        <v>46014</v>
      </c>
      <c r="AA9" s="80">
        <v>46014</v>
      </c>
      <c r="AB9" s="80">
        <v>46014</v>
      </c>
      <c r="AC9" s="80">
        <v>46017</v>
      </c>
      <c r="AD9" s="84" t="s">
        <v>641</v>
      </c>
      <c r="AE9" s="54">
        <f t="shared" si="0"/>
        <v>3</v>
      </c>
      <c r="AF9" s="36">
        <v>7</v>
      </c>
      <c r="AG9" s="51">
        <f t="shared" si="1"/>
        <v>0</v>
      </c>
      <c r="AH9" s="52">
        <v>200</v>
      </c>
      <c r="AI9" s="53">
        <f t="shared" si="2"/>
        <v>0</v>
      </c>
      <c r="AJ9" s="54">
        <f t="shared" si="3"/>
        <v>3</v>
      </c>
      <c r="AK9" s="36">
        <v>2</v>
      </c>
      <c r="AL9" s="51">
        <f t="shared" si="4"/>
        <v>1</v>
      </c>
      <c r="AM9" s="52">
        <v>200</v>
      </c>
      <c r="AN9" s="53">
        <f t="shared" si="5"/>
        <v>200</v>
      </c>
      <c r="AO9" s="52"/>
      <c r="AP9" s="55">
        <f t="shared" si="6"/>
        <v>200</v>
      </c>
    </row>
    <row r="10" spans="1:46" s="1" customFormat="1" ht="15" customHeight="1">
      <c r="A10" s="98">
        <f t="shared" ref="A10:A37" si="8">ROW()-3</f>
        <v>7</v>
      </c>
      <c r="B10" s="79" t="s">
        <v>446</v>
      </c>
      <c r="C10" s="86" t="s">
        <v>609</v>
      </c>
      <c r="D10" s="86" t="s">
        <v>610</v>
      </c>
      <c r="E10" s="79" t="s">
        <v>611</v>
      </c>
      <c r="F10" s="79" t="s">
        <v>12</v>
      </c>
      <c r="G10" s="81" t="s">
        <v>103</v>
      </c>
      <c r="H10" s="81">
        <v>28</v>
      </c>
      <c r="I10" s="79">
        <v>35000</v>
      </c>
      <c r="J10" s="79">
        <v>35070</v>
      </c>
      <c r="K10" s="79" t="s">
        <v>120</v>
      </c>
      <c r="L10" s="80">
        <v>45890</v>
      </c>
      <c r="M10" s="82" t="s">
        <v>121</v>
      </c>
      <c r="N10" s="80" t="s">
        <v>122</v>
      </c>
      <c r="O10" s="80">
        <v>45881</v>
      </c>
      <c r="P10" s="80">
        <v>45907</v>
      </c>
      <c r="Q10" s="80">
        <v>45892</v>
      </c>
      <c r="R10" s="80">
        <v>45990</v>
      </c>
      <c r="S10" s="80">
        <v>45994</v>
      </c>
      <c r="T10" s="80">
        <v>45998</v>
      </c>
      <c r="U10" s="80">
        <v>46006</v>
      </c>
      <c r="V10" s="80">
        <v>46011</v>
      </c>
      <c r="W10" s="80">
        <v>46011</v>
      </c>
      <c r="X10" s="80">
        <v>46011</v>
      </c>
      <c r="Y10" s="80">
        <v>46013</v>
      </c>
      <c r="Z10" s="80">
        <v>46014</v>
      </c>
      <c r="AA10" s="80">
        <v>46014</v>
      </c>
      <c r="AB10" s="80">
        <v>46014</v>
      </c>
      <c r="AC10" s="80">
        <v>46017</v>
      </c>
      <c r="AD10" s="84" t="s">
        <v>641</v>
      </c>
      <c r="AE10" s="54">
        <f t="shared" ref="AE10:AE23" si="9">MAX(0,Y10-X10)</f>
        <v>2</v>
      </c>
      <c r="AF10" s="36">
        <v>7</v>
      </c>
      <c r="AG10" s="51">
        <f t="shared" ref="AG10:AG23" si="10">MAX(0,AE10-AF10)</f>
        <v>0</v>
      </c>
      <c r="AH10" s="52">
        <v>200</v>
      </c>
      <c r="AI10" s="53">
        <f t="shared" ref="AI10:AI23" si="11">MAX(0,AG10*AH10)</f>
        <v>0</v>
      </c>
      <c r="AJ10" s="54">
        <f t="shared" ref="AJ10:AJ23" si="12">MAX(0,AC10-AB10)</f>
        <v>3</v>
      </c>
      <c r="AK10" s="36">
        <v>2</v>
      </c>
      <c r="AL10" s="51">
        <f t="shared" ref="AL10:AL23" si="13">MAX(0,AJ10-AK10)</f>
        <v>1</v>
      </c>
      <c r="AM10" s="52">
        <v>200</v>
      </c>
      <c r="AN10" s="53">
        <f t="shared" ref="AN10:AN23" si="14">MAX(0,AL10*AM10)</f>
        <v>200</v>
      </c>
      <c r="AO10" s="52">
        <v>0</v>
      </c>
      <c r="AP10" s="55">
        <f t="shared" ref="AP10:AP23" si="15">AO10+AN10+AI10</f>
        <v>200</v>
      </c>
    </row>
    <row r="11" spans="1:46" s="1" customFormat="1" ht="15" customHeight="1">
      <c r="A11" s="98">
        <f t="shared" si="8"/>
        <v>8</v>
      </c>
      <c r="B11" s="79" t="s">
        <v>446</v>
      </c>
      <c r="C11" s="89" t="s">
        <v>612</v>
      </c>
      <c r="D11" s="86" t="s">
        <v>613</v>
      </c>
      <c r="E11" s="78" t="s">
        <v>614</v>
      </c>
      <c r="F11" s="79" t="s">
        <v>12</v>
      </c>
      <c r="G11" s="81" t="s">
        <v>103</v>
      </c>
      <c r="H11" s="81">
        <v>28</v>
      </c>
      <c r="I11" s="79">
        <v>35000</v>
      </c>
      <c r="J11" s="79">
        <v>35070</v>
      </c>
      <c r="K11" s="79" t="s">
        <v>120</v>
      </c>
      <c r="L11" s="80">
        <v>45890</v>
      </c>
      <c r="M11" s="82" t="s">
        <v>121</v>
      </c>
      <c r="N11" s="80" t="s">
        <v>122</v>
      </c>
      <c r="O11" s="80">
        <v>45881</v>
      </c>
      <c r="P11" s="80">
        <v>45907</v>
      </c>
      <c r="Q11" s="80">
        <v>45892</v>
      </c>
      <c r="R11" s="80">
        <v>45990</v>
      </c>
      <c r="S11" s="80">
        <v>45992</v>
      </c>
      <c r="T11" s="80">
        <v>45997</v>
      </c>
      <c r="U11" s="80">
        <v>46003</v>
      </c>
      <c r="V11" s="80">
        <v>46006</v>
      </c>
      <c r="W11" s="80">
        <v>46006</v>
      </c>
      <c r="X11" s="80">
        <v>46006</v>
      </c>
      <c r="Y11" s="80">
        <v>46013</v>
      </c>
      <c r="Z11" s="80">
        <v>46013</v>
      </c>
      <c r="AA11" s="80">
        <v>46013</v>
      </c>
      <c r="AB11" s="80">
        <v>46013</v>
      </c>
      <c r="AC11" s="80">
        <v>46014</v>
      </c>
      <c r="AD11" s="84" t="s">
        <v>641</v>
      </c>
      <c r="AE11" s="54">
        <f t="shared" si="9"/>
        <v>7</v>
      </c>
      <c r="AF11" s="36">
        <v>7</v>
      </c>
      <c r="AG11" s="51">
        <f t="shared" si="10"/>
        <v>0</v>
      </c>
      <c r="AH11" s="52">
        <v>200</v>
      </c>
      <c r="AI11" s="53">
        <f t="shared" si="11"/>
        <v>0</v>
      </c>
      <c r="AJ11" s="54">
        <f t="shared" si="12"/>
        <v>1</v>
      </c>
      <c r="AK11" s="36">
        <v>2</v>
      </c>
      <c r="AL11" s="51">
        <f t="shared" si="13"/>
        <v>0</v>
      </c>
      <c r="AM11" s="52">
        <v>200</v>
      </c>
      <c r="AN11" s="53">
        <f t="shared" si="14"/>
        <v>0</v>
      </c>
      <c r="AO11" s="52"/>
      <c r="AP11" s="55">
        <f t="shared" si="15"/>
        <v>0</v>
      </c>
    </row>
    <row r="12" spans="1:46" s="1" customFormat="1" ht="15" customHeight="1">
      <c r="A12" s="98">
        <f t="shared" si="8"/>
        <v>9</v>
      </c>
      <c r="B12" s="79" t="s">
        <v>446</v>
      </c>
      <c r="C12" s="86" t="s">
        <v>630</v>
      </c>
      <c r="D12" s="86" t="s">
        <v>631</v>
      </c>
      <c r="E12" s="79" t="s">
        <v>632</v>
      </c>
      <c r="F12" s="79" t="s">
        <v>12</v>
      </c>
      <c r="G12" s="81" t="s">
        <v>103</v>
      </c>
      <c r="H12" s="81">
        <v>28</v>
      </c>
      <c r="I12" s="79">
        <v>35000</v>
      </c>
      <c r="J12" s="79">
        <v>35070</v>
      </c>
      <c r="K12" s="79" t="s">
        <v>120</v>
      </c>
      <c r="L12" s="80">
        <v>45890</v>
      </c>
      <c r="M12" s="82" t="s">
        <v>121</v>
      </c>
      <c r="N12" s="80" t="s">
        <v>122</v>
      </c>
      <c r="O12" s="80">
        <v>45881</v>
      </c>
      <c r="P12" s="80">
        <v>45907</v>
      </c>
      <c r="Q12" s="80">
        <v>45892</v>
      </c>
      <c r="R12" s="80">
        <v>45990</v>
      </c>
      <c r="S12" s="80">
        <v>45992</v>
      </c>
      <c r="T12" s="80">
        <v>45997</v>
      </c>
      <c r="U12" s="80">
        <v>46003</v>
      </c>
      <c r="V12" s="80">
        <v>46006</v>
      </c>
      <c r="W12" s="80">
        <v>46006</v>
      </c>
      <c r="X12" s="80">
        <v>46006</v>
      </c>
      <c r="Y12" s="80">
        <v>46013</v>
      </c>
      <c r="Z12" s="80">
        <v>46013</v>
      </c>
      <c r="AA12" s="80">
        <v>46013</v>
      </c>
      <c r="AB12" s="80">
        <v>46013</v>
      </c>
      <c r="AC12" s="80">
        <v>46014</v>
      </c>
      <c r="AD12" s="84" t="s">
        <v>641</v>
      </c>
      <c r="AE12" s="54">
        <f t="shared" si="9"/>
        <v>7</v>
      </c>
      <c r="AF12" s="36">
        <v>7</v>
      </c>
      <c r="AG12" s="51">
        <f t="shared" si="10"/>
        <v>0</v>
      </c>
      <c r="AH12" s="52">
        <v>200</v>
      </c>
      <c r="AI12" s="53">
        <f t="shared" si="11"/>
        <v>0</v>
      </c>
      <c r="AJ12" s="54">
        <f t="shared" si="12"/>
        <v>1</v>
      </c>
      <c r="AK12" s="36">
        <v>2</v>
      </c>
      <c r="AL12" s="51">
        <f t="shared" si="13"/>
        <v>0</v>
      </c>
      <c r="AM12" s="52">
        <v>200</v>
      </c>
      <c r="AN12" s="53">
        <f t="shared" si="14"/>
        <v>0</v>
      </c>
      <c r="AO12" s="52"/>
      <c r="AP12" s="55">
        <f t="shared" si="15"/>
        <v>0</v>
      </c>
    </row>
    <row r="13" spans="1:46" s="1" customFormat="1" ht="14.25" customHeight="1">
      <c r="A13" s="98">
        <f t="shared" si="8"/>
        <v>10</v>
      </c>
      <c r="B13" s="79" t="s">
        <v>446</v>
      </c>
      <c r="C13" s="86" t="s">
        <v>552</v>
      </c>
      <c r="D13" s="86" t="s">
        <v>553</v>
      </c>
      <c r="E13" s="86" t="s">
        <v>554</v>
      </c>
      <c r="F13" s="79" t="s">
        <v>12</v>
      </c>
      <c r="G13" s="81" t="s">
        <v>103</v>
      </c>
      <c r="H13" s="81">
        <v>28</v>
      </c>
      <c r="I13" s="79">
        <v>35000</v>
      </c>
      <c r="J13" s="79">
        <v>35070</v>
      </c>
      <c r="K13" s="79" t="s">
        <v>120</v>
      </c>
      <c r="L13" s="80">
        <v>45890</v>
      </c>
      <c r="M13" s="82" t="s">
        <v>121</v>
      </c>
      <c r="N13" s="80" t="s">
        <v>122</v>
      </c>
      <c r="O13" s="80">
        <v>45881</v>
      </c>
      <c r="P13" s="80">
        <v>45907</v>
      </c>
      <c r="Q13" s="80">
        <v>45892</v>
      </c>
      <c r="R13" s="80">
        <v>45992</v>
      </c>
      <c r="S13" s="80">
        <v>45995</v>
      </c>
      <c r="T13" s="80">
        <v>45999</v>
      </c>
      <c r="U13" s="80">
        <v>46003</v>
      </c>
      <c r="V13" s="80">
        <v>46006</v>
      </c>
      <c r="W13" s="80">
        <v>46006</v>
      </c>
      <c r="X13" s="80">
        <v>46006</v>
      </c>
      <c r="Y13" s="80">
        <v>46012</v>
      </c>
      <c r="Z13" s="80">
        <v>46012</v>
      </c>
      <c r="AA13" s="80">
        <v>46013</v>
      </c>
      <c r="AB13" s="80">
        <v>46013</v>
      </c>
      <c r="AC13" s="80">
        <v>46014</v>
      </c>
      <c r="AD13" s="84" t="s">
        <v>641</v>
      </c>
      <c r="AE13" s="54">
        <f t="shared" si="9"/>
        <v>6</v>
      </c>
      <c r="AF13" s="36">
        <v>7</v>
      </c>
      <c r="AG13" s="51">
        <f t="shared" si="10"/>
        <v>0</v>
      </c>
      <c r="AH13" s="52">
        <v>200</v>
      </c>
      <c r="AI13" s="53">
        <f t="shared" si="11"/>
        <v>0</v>
      </c>
      <c r="AJ13" s="54">
        <f t="shared" si="12"/>
        <v>1</v>
      </c>
      <c r="AK13" s="36">
        <v>2</v>
      </c>
      <c r="AL13" s="51">
        <f t="shared" si="13"/>
        <v>0</v>
      </c>
      <c r="AM13" s="52">
        <v>200</v>
      </c>
      <c r="AN13" s="53">
        <f t="shared" si="14"/>
        <v>0</v>
      </c>
      <c r="AO13" s="52"/>
      <c r="AP13" s="55">
        <f t="shared" si="15"/>
        <v>0</v>
      </c>
    </row>
    <row r="14" spans="1:46" s="1" customFormat="1" ht="15" customHeight="1">
      <c r="A14" s="98">
        <f t="shared" si="8"/>
        <v>11</v>
      </c>
      <c r="B14" s="79" t="s">
        <v>446</v>
      </c>
      <c r="C14" s="79" t="s">
        <v>549</v>
      </c>
      <c r="D14" s="78" t="s">
        <v>550</v>
      </c>
      <c r="E14" s="78" t="s">
        <v>551</v>
      </c>
      <c r="F14" s="79" t="s">
        <v>12</v>
      </c>
      <c r="G14" s="81" t="s">
        <v>103</v>
      </c>
      <c r="H14" s="170">
        <v>29</v>
      </c>
      <c r="I14" s="79">
        <v>35000</v>
      </c>
      <c r="J14" s="79">
        <v>35070</v>
      </c>
      <c r="K14" s="79" t="s">
        <v>120</v>
      </c>
      <c r="L14" s="80">
        <v>45890</v>
      </c>
      <c r="M14" s="82" t="s">
        <v>121</v>
      </c>
      <c r="N14" s="80" t="s">
        <v>122</v>
      </c>
      <c r="O14" s="80">
        <v>45881</v>
      </c>
      <c r="P14" s="80">
        <v>45907</v>
      </c>
      <c r="Q14" s="80">
        <v>45892</v>
      </c>
      <c r="R14" s="80">
        <v>45993</v>
      </c>
      <c r="S14" s="80">
        <v>45995</v>
      </c>
      <c r="T14" s="80">
        <v>45999</v>
      </c>
      <c r="U14" s="80">
        <v>46004</v>
      </c>
      <c r="V14" s="80">
        <v>46007</v>
      </c>
      <c r="W14" s="80">
        <v>46007</v>
      </c>
      <c r="X14" s="80">
        <v>46007</v>
      </c>
      <c r="Y14" s="80">
        <v>46011</v>
      </c>
      <c r="Z14" s="80">
        <v>46012</v>
      </c>
      <c r="AA14" s="80">
        <v>46013</v>
      </c>
      <c r="AB14" s="80">
        <v>46013</v>
      </c>
      <c r="AC14" s="80">
        <v>46014</v>
      </c>
      <c r="AD14" s="84" t="s">
        <v>641</v>
      </c>
      <c r="AE14" s="54">
        <f t="shared" si="9"/>
        <v>4</v>
      </c>
      <c r="AF14" s="36">
        <v>7</v>
      </c>
      <c r="AG14" s="51">
        <f t="shared" si="10"/>
        <v>0</v>
      </c>
      <c r="AH14" s="52">
        <v>200</v>
      </c>
      <c r="AI14" s="53">
        <f t="shared" si="11"/>
        <v>0</v>
      </c>
      <c r="AJ14" s="54">
        <f t="shared" si="12"/>
        <v>1</v>
      </c>
      <c r="AK14" s="36">
        <v>2</v>
      </c>
      <c r="AL14" s="51">
        <f t="shared" si="13"/>
        <v>0</v>
      </c>
      <c r="AM14" s="52">
        <v>200</v>
      </c>
      <c r="AN14" s="53">
        <f t="shared" si="14"/>
        <v>0</v>
      </c>
      <c r="AO14" s="52"/>
      <c r="AP14" s="55">
        <f t="shared" si="15"/>
        <v>0</v>
      </c>
    </row>
    <row r="15" spans="1:46" s="1" customFormat="1" ht="15" customHeight="1">
      <c r="A15" s="98">
        <f t="shared" si="8"/>
        <v>12</v>
      </c>
      <c r="B15" s="79" t="s">
        <v>446</v>
      </c>
      <c r="C15" s="78" t="s">
        <v>546</v>
      </c>
      <c r="D15" s="78" t="s">
        <v>547</v>
      </c>
      <c r="E15" s="79" t="s">
        <v>548</v>
      </c>
      <c r="F15" s="79" t="s">
        <v>12</v>
      </c>
      <c r="G15" s="81" t="s">
        <v>103</v>
      </c>
      <c r="H15" s="170">
        <v>29</v>
      </c>
      <c r="I15" s="79">
        <v>35000</v>
      </c>
      <c r="J15" s="79">
        <v>35070</v>
      </c>
      <c r="K15" s="79" t="s">
        <v>120</v>
      </c>
      <c r="L15" s="80">
        <v>45890</v>
      </c>
      <c r="M15" s="82" t="s">
        <v>121</v>
      </c>
      <c r="N15" s="80" t="s">
        <v>122</v>
      </c>
      <c r="O15" s="80">
        <v>45881</v>
      </c>
      <c r="P15" s="80">
        <v>45907</v>
      </c>
      <c r="Q15" s="80">
        <v>45892</v>
      </c>
      <c r="R15" s="80">
        <v>45993</v>
      </c>
      <c r="S15" s="80">
        <v>45995</v>
      </c>
      <c r="T15" s="80">
        <v>45999</v>
      </c>
      <c r="U15" s="80">
        <v>46003</v>
      </c>
      <c r="V15" s="80">
        <v>46006</v>
      </c>
      <c r="W15" s="80">
        <v>46006</v>
      </c>
      <c r="X15" s="80">
        <v>46006</v>
      </c>
      <c r="Y15" s="80">
        <v>46010</v>
      </c>
      <c r="Z15" s="80">
        <v>46010</v>
      </c>
      <c r="AA15" s="80">
        <v>46011</v>
      </c>
      <c r="AB15" s="80">
        <v>46011</v>
      </c>
      <c r="AC15" s="80">
        <v>46013</v>
      </c>
      <c r="AD15" s="84" t="s">
        <v>641</v>
      </c>
      <c r="AE15" s="54">
        <f t="shared" si="9"/>
        <v>4</v>
      </c>
      <c r="AF15" s="36">
        <v>7</v>
      </c>
      <c r="AG15" s="51">
        <f t="shared" si="10"/>
        <v>0</v>
      </c>
      <c r="AH15" s="52">
        <v>200</v>
      </c>
      <c r="AI15" s="53">
        <f t="shared" si="11"/>
        <v>0</v>
      </c>
      <c r="AJ15" s="54">
        <f t="shared" si="12"/>
        <v>2</v>
      </c>
      <c r="AK15" s="36">
        <v>2</v>
      </c>
      <c r="AL15" s="51">
        <f t="shared" si="13"/>
        <v>0</v>
      </c>
      <c r="AM15" s="52">
        <v>200</v>
      </c>
      <c r="AN15" s="53">
        <f t="shared" si="14"/>
        <v>0</v>
      </c>
      <c r="AO15" s="52"/>
      <c r="AP15" s="55">
        <f t="shared" si="15"/>
        <v>0</v>
      </c>
    </row>
    <row r="16" spans="1:46" s="1" customFormat="1" ht="15" customHeight="1">
      <c r="A16" s="98">
        <f t="shared" si="8"/>
        <v>13</v>
      </c>
      <c r="B16" s="79" t="s">
        <v>446</v>
      </c>
      <c r="C16" s="86" t="s">
        <v>558</v>
      </c>
      <c r="D16" s="86" t="s">
        <v>559</v>
      </c>
      <c r="E16" s="79" t="s">
        <v>560</v>
      </c>
      <c r="F16" s="79" t="s">
        <v>12</v>
      </c>
      <c r="G16" s="81" t="s">
        <v>103</v>
      </c>
      <c r="H16" s="81">
        <v>28</v>
      </c>
      <c r="I16" s="79">
        <v>35000</v>
      </c>
      <c r="J16" s="79">
        <v>35070</v>
      </c>
      <c r="K16" s="79" t="s">
        <v>120</v>
      </c>
      <c r="L16" s="80">
        <v>45890</v>
      </c>
      <c r="M16" s="82" t="s">
        <v>121</v>
      </c>
      <c r="N16" s="80" t="s">
        <v>122</v>
      </c>
      <c r="O16" s="80">
        <v>45881</v>
      </c>
      <c r="P16" s="80">
        <v>45907</v>
      </c>
      <c r="Q16" s="80">
        <v>45892</v>
      </c>
      <c r="R16" s="80">
        <v>45992</v>
      </c>
      <c r="S16" s="80">
        <v>45995</v>
      </c>
      <c r="T16" s="80">
        <v>45999</v>
      </c>
      <c r="U16" s="80">
        <v>46003</v>
      </c>
      <c r="V16" s="80">
        <v>46006</v>
      </c>
      <c r="W16" s="80">
        <v>46006</v>
      </c>
      <c r="X16" s="80">
        <v>46006</v>
      </c>
      <c r="Y16" s="80">
        <v>46010</v>
      </c>
      <c r="Z16" s="80">
        <v>46010</v>
      </c>
      <c r="AA16" s="80">
        <v>46011</v>
      </c>
      <c r="AB16" s="80">
        <v>46011</v>
      </c>
      <c r="AC16" s="80">
        <v>46013</v>
      </c>
      <c r="AD16" s="84" t="s">
        <v>641</v>
      </c>
      <c r="AE16" s="54">
        <f t="shared" si="9"/>
        <v>4</v>
      </c>
      <c r="AF16" s="36">
        <v>7</v>
      </c>
      <c r="AG16" s="51">
        <f t="shared" si="10"/>
        <v>0</v>
      </c>
      <c r="AH16" s="52">
        <v>200</v>
      </c>
      <c r="AI16" s="53">
        <f t="shared" si="11"/>
        <v>0</v>
      </c>
      <c r="AJ16" s="54">
        <f t="shared" si="12"/>
        <v>2</v>
      </c>
      <c r="AK16" s="36">
        <v>2</v>
      </c>
      <c r="AL16" s="51">
        <f t="shared" si="13"/>
        <v>0</v>
      </c>
      <c r="AM16" s="52">
        <v>200</v>
      </c>
      <c r="AN16" s="53">
        <f t="shared" si="14"/>
        <v>0</v>
      </c>
      <c r="AO16" s="52"/>
      <c r="AP16" s="55">
        <f t="shared" si="15"/>
        <v>0</v>
      </c>
    </row>
    <row r="17" spans="1:42" s="1" customFormat="1" ht="15" customHeight="1">
      <c r="A17" s="98">
        <f t="shared" si="8"/>
        <v>14</v>
      </c>
      <c r="B17" s="79" t="s">
        <v>446</v>
      </c>
      <c r="C17" s="86" t="s">
        <v>661</v>
      </c>
      <c r="D17" s="86" t="s">
        <v>662</v>
      </c>
      <c r="E17" s="78" t="s">
        <v>663</v>
      </c>
      <c r="F17" s="79" t="s">
        <v>12</v>
      </c>
      <c r="G17" s="81" t="s">
        <v>103</v>
      </c>
      <c r="H17" s="81">
        <v>28</v>
      </c>
      <c r="I17" s="79">
        <v>35000</v>
      </c>
      <c r="J17" s="79">
        <v>35070</v>
      </c>
      <c r="K17" s="79" t="s">
        <v>120</v>
      </c>
      <c r="L17" s="80">
        <v>45890</v>
      </c>
      <c r="M17" s="82" t="s">
        <v>121</v>
      </c>
      <c r="N17" s="80" t="s">
        <v>122</v>
      </c>
      <c r="O17" s="80">
        <v>45881</v>
      </c>
      <c r="P17" s="80">
        <v>45907</v>
      </c>
      <c r="Q17" s="80">
        <v>45892</v>
      </c>
      <c r="R17" s="80">
        <v>45992</v>
      </c>
      <c r="S17" s="80">
        <v>45995</v>
      </c>
      <c r="T17" s="80">
        <v>45999</v>
      </c>
      <c r="U17" s="80">
        <v>46004</v>
      </c>
      <c r="V17" s="80">
        <v>46007</v>
      </c>
      <c r="W17" s="80">
        <v>46007</v>
      </c>
      <c r="X17" s="80">
        <v>46007</v>
      </c>
      <c r="Y17" s="80">
        <v>46011</v>
      </c>
      <c r="Z17" s="80">
        <v>46011</v>
      </c>
      <c r="AA17" s="80">
        <v>46011</v>
      </c>
      <c r="AB17" s="80">
        <v>46011</v>
      </c>
      <c r="AC17" s="80">
        <v>46013</v>
      </c>
      <c r="AD17" s="84" t="s">
        <v>641</v>
      </c>
      <c r="AE17" s="54">
        <f t="shared" si="9"/>
        <v>4</v>
      </c>
      <c r="AF17" s="36">
        <v>7</v>
      </c>
      <c r="AG17" s="51">
        <f t="shared" si="10"/>
        <v>0</v>
      </c>
      <c r="AH17" s="52">
        <v>200</v>
      </c>
      <c r="AI17" s="53">
        <f t="shared" si="11"/>
        <v>0</v>
      </c>
      <c r="AJ17" s="54">
        <f t="shared" si="12"/>
        <v>2</v>
      </c>
      <c r="AK17" s="36">
        <v>2</v>
      </c>
      <c r="AL17" s="51">
        <f t="shared" si="13"/>
        <v>0</v>
      </c>
      <c r="AM17" s="52">
        <v>200</v>
      </c>
      <c r="AN17" s="53">
        <f t="shared" si="14"/>
        <v>0</v>
      </c>
      <c r="AO17" s="52"/>
      <c r="AP17" s="55">
        <f t="shared" si="15"/>
        <v>0</v>
      </c>
    </row>
    <row r="18" spans="1:42" s="1" customFormat="1" ht="15" customHeight="1">
      <c r="A18" s="98">
        <f t="shared" si="8"/>
        <v>15</v>
      </c>
      <c r="B18" s="79" t="s">
        <v>446</v>
      </c>
      <c r="C18" s="86" t="s">
        <v>664</v>
      </c>
      <c r="D18" s="86" t="s">
        <v>665</v>
      </c>
      <c r="E18" s="79" t="s">
        <v>666</v>
      </c>
      <c r="F18" s="79" t="s">
        <v>12</v>
      </c>
      <c r="G18" s="81" t="s">
        <v>103</v>
      </c>
      <c r="H18" s="81">
        <v>28</v>
      </c>
      <c r="I18" s="79">
        <v>35000</v>
      </c>
      <c r="J18" s="79">
        <v>35070</v>
      </c>
      <c r="K18" s="79" t="s">
        <v>120</v>
      </c>
      <c r="L18" s="80">
        <v>45890</v>
      </c>
      <c r="M18" s="82" t="s">
        <v>121</v>
      </c>
      <c r="N18" s="80" t="s">
        <v>122</v>
      </c>
      <c r="O18" s="80">
        <v>45881</v>
      </c>
      <c r="P18" s="80">
        <v>45907</v>
      </c>
      <c r="Q18" s="80">
        <v>45892</v>
      </c>
      <c r="R18" s="80">
        <v>45992</v>
      </c>
      <c r="S18" s="80">
        <v>45995</v>
      </c>
      <c r="T18" s="80">
        <v>45999</v>
      </c>
      <c r="U18" s="80">
        <v>46004</v>
      </c>
      <c r="V18" s="80">
        <v>46007</v>
      </c>
      <c r="W18" s="80">
        <v>46007</v>
      </c>
      <c r="X18" s="80">
        <v>46007</v>
      </c>
      <c r="Y18" s="80">
        <v>46010</v>
      </c>
      <c r="Z18" s="80">
        <v>46010</v>
      </c>
      <c r="AA18" s="80">
        <v>46011</v>
      </c>
      <c r="AB18" s="80">
        <v>46011</v>
      </c>
      <c r="AC18" s="80">
        <v>46013</v>
      </c>
      <c r="AD18" s="84" t="s">
        <v>641</v>
      </c>
      <c r="AE18" s="54">
        <f t="shared" si="9"/>
        <v>3</v>
      </c>
      <c r="AF18" s="36">
        <v>7</v>
      </c>
      <c r="AG18" s="51">
        <f t="shared" si="10"/>
        <v>0</v>
      </c>
      <c r="AH18" s="52">
        <v>200</v>
      </c>
      <c r="AI18" s="53">
        <f t="shared" si="11"/>
        <v>0</v>
      </c>
      <c r="AJ18" s="54">
        <f t="shared" si="12"/>
        <v>2</v>
      </c>
      <c r="AK18" s="36">
        <v>2</v>
      </c>
      <c r="AL18" s="51">
        <f t="shared" si="13"/>
        <v>0</v>
      </c>
      <c r="AM18" s="52">
        <v>200</v>
      </c>
      <c r="AN18" s="53">
        <f t="shared" si="14"/>
        <v>0</v>
      </c>
      <c r="AO18" s="52"/>
      <c r="AP18" s="55">
        <f t="shared" si="15"/>
        <v>0</v>
      </c>
    </row>
    <row r="19" spans="1:42" s="1" customFormat="1" ht="15" customHeight="1">
      <c r="A19" s="98">
        <f t="shared" si="8"/>
        <v>16</v>
      </c>
      <c r="B19" s="79" t="s">
        <v>446</v>
      </c>
      <c r="C19" s="86" t="s">
        <v>555</v>
      </c>
      <c r="D19" s="86" t="s">
        <v>556</v>
      </c>
      <c r="E19" s="78" t="s">
        <v>557</v>
      </c>
      <c r="F19" s="79" t="s">
        <v>12</v>
      </c>
      <c r="G19" s="81" t="s">
        <v>103</v>
      </c>
      <c r="H19" s="81">
        <v>28</v>
      </c>
      <c r="I19" s="79">
        <v>35000</v>
      </c>
      <c r="J19" s="79">
        <v>35070</v>
      </c>
      <c r="K19" s="79" t="s">
        <v>120</v>
      </c>
      <c r="L19" s="80">
        <v>45890</v>
      </c>
      <c r="M19" s="82" t="s">
        <v>121</v>
      </c>
      <c r="N19" s="80" t="s">
        <v>122</v>
      </c>
      <c r="O19" s="80">
        <v>45881</v>
      </c>
      <c r="P19" s="80">
        <v>45907</v>
      </c>
      <c r="Q19" s="80">
        <v>45892</v>
      </c>
      <c r="R19" s="80">
        <v>45990</v>
      </c>
      <c r="S19" s="80">
        <v>45994</v>
      </c>
      <c r="T19" s="80">
        <v>45998</v>
      </c>
      <c r="U19" s="80">
        <v>46002</v>
      </c>
      <c r="V19" s="80">
        <v>46005</v>
      </c>
      <c r="W19" s="80">
        <v>46005</v>
      </c>
      <c r="X19" s="80">
        <v>46005</v>
      </c>
      <c r="Y19" s="80">
        <v>46011</v>
      </c>
      <c r="Z19" s="80">
        <v>46011</v>
      </c>
      <c r="AA19" s="80">
        <v>46011</v>
      </c>
      <c r="AB19" s="80">
        <v>46011</v>
      </c>
      <c r="AC19" s="80">
        <v>46013</v>
      </c>
      <c r="AD19" s="84" t="s">
        <v>641</v>
      </c>
      <c r="AE19" s="54">
        <f t="shared" si="9"/>
        <v>6</v>
      </c>
      <c r="AF19" s="36">
        <v>7</v>
      </c>
      <c r="AG19" s="51">
        <f t="shared" si="10"/>
        <v>0</v>
      </c>
      <c r="AH19" s="52">
        <v>200</v>
      </c>
      <c r="AI19" s="53">
        <f t="shared" si="11"/>
        <v>0</v>
      </c>
      <c r="AJ19" s="54">
        <f t="shared" si="12"/>
        <v>2</v>
      </c>
      <c r="AK19" s="36">
        <v>2</v>
      </c>
      <c r="AL19" s="51">
        <f t="shared" si="13"/>
        <v>0</v>
      </c>
      <c r="AM19" s="52">
        <v>200</v>
      </c>
      <c r="AN19" s="53">
        <f t="shared" si="14"/>
        <v>0</v>
      </c>
      <c r="AO19" s="52"/>
      <c r="AP19" s="55">
        <f t="shared" si="15"/>
        <v>0</v>
      </c>
    </row>
    <row r="20" spans="1:42" s="97" customFormat="1" ht="15" customHeight="1">
      <c r="A20" s="98">
        <f t="shared" si="8"/>
        <v>17</v>
      </c>
      <c r="B20" s="79" t="s">
        <v>446</v>
      </c>
      <c r="C20" s="86" t="s">
        <v>576</v>
      </c>
      <c r="D20" s="86" t="s">
        <v>577</v>
      </c>
      <c r="E20" s="78" t="s">
        <v>578</v>
      </c>
      <c r="F20" s="79" t="s">
        <v>12</v>
      </c>
      <c r="G20" s="81" t="s">
        <v>103</v>
      </c>
      <c r="H20" s="81">
        <v>28</v>
      </c>
      <c r="I20" s="79">
        <v>35000</v>
      </c>
      <c r="J20" s="79">
        <v>35070</v>
      </c>
      <c r="K20" s="79" t="s">
        <v>120</v>
      </c>
      <c r="L20" s="80">
        <v>45890</v>
      </c>
      <c r="M20" s="82" t="s">
        <v>121</v>
      </c>
      <c r="N20" s="80" t="s">
        <v>122</v>
      </c>
      <c r="O20" s="80">
        <v>45881</v>
      </c>
      <c r="P20" s="80">
        <v>45907</v>
      </c>
      <c r="Q20" s="80">
        <v>45892</v>
      </c>
      <c r="R20" s="80">
        <v>45990</v>
      </c>
      <c r="S20" s="80">
        <v>45994</v>
      </c>
      <c r="T20" s="80">
        <v>45998</v>
      </c>
      <c r="U20" s="80">
        <v>46002</v>
      </c>
      <c r="V20" s="80">
        <v>46005</v>
      </c>
      <c r="W20" s="80">
        <v>46005</v>
      </c>
      <c r="X20" s="80">
        <v>46005</v>
      </c>
      <c r="Y20" s="80">
        <v>46011</v>
      </c>
      <c r="Z20" s="80">
        <v>46011</v>
      </c>
      <c r="AA20" s="80">
        <v>46011</v>
      </c>
      <c r="AB20" s="80">
        <v>46011</v>
      </c>
      <c r="AC20" s="80">
        <v>46013</v>
      </c>
      <c r="AD20" s="84" t="s">
        <v>641</v>
      </c>
      <c r="AE20" s="54">
        <f t="shared" si="9"/>
        <v>6</v>
      </c>
      <c r="AF20" s="36">
        <v>7</v>
      </c>
      <c r="AG20" s="51">
        <f t="shared" si="10"/>
        <v>0</v>
      </c>
      <c r="AH20" s="52">
        <v>200</v>
      </c>
      <c r="AI20" s="53">
        <f t="shared" si="11"/>
        <v>0</v>
      </c>
      <c r="AJ20" s="54">
        <f t="shared" si="12"/>
        <v>2</v>
      </c>
      <c r="AK20" s="36">
        <v>2</v>
      </c>
      <c r="AL20" s="51">
        <f t="shared" si="13"/>
        <v>0</v>
      </c>
      <c r="AM20" s="52">
        <v>200</v>
      </c>
      <c r="AN20" s="53">
        <f t="shared" si="14"/>
        <v>0</v>
      </c>
      <c r="AO20" s="52"/>
      <c r="AP20" s="55">
        <f t="shared" si="15"/>
        <v>0</v>
      </c>
    </row>
    <row r="21" spans="1:42" s="97" customFormat="1" ht="15" customHeight="1">
      <c r="A21" s="98">
        <f t="shared" si="8"/>
        <v>18</v>
      </c>
      <c r="B21" s="79" t="s">
        <v>446</v>
      </c>
      <c r="C21" s="86" t="s">
        <v>579</v>
      </c>
      <c r="D21" s="86" t="s">
        <v>580</v>
      </c>
      <c r="E21" s="79" t="s">
        <v>581</v>
      </c>
      <c r="F21" s="79" t="s">
        <v>12</v>
      </c>
      <c r="G21" s="81" t="s">
        <v>103</v>
      </c>
      <c r="H21" s="81">
        <v>28</v>
      </c>
      <c r="I21" s="79">
        <v>35000</v>
      </c>
      <c r="J21" s="79">
        <v>35070</v>
      </c>
      <c r="K21" s="79" t="s">
        <v>120</v>
      </c>
      <c r="L21" s="80">
        <v>45890</v>
      </c>
      <c r="M21" s="82" t="s">
        <v>121</v>
      </c>
      <c r="N21" s="80" t="s">
        <v>122</v>
      </c>
      <c r="O21" s="80">
        <v>45881</v>
      </c>
      <c r="P21" s="80">
        <v>45907</v>
      </c>
      <c r="Q21" s="80">
        <v>45892</v>
      </c>
      <c r="R21" s="80">
        <v>45990</v>
      </c>
      <c r="S21" s="80">
        <v>45994</v>
      </c>
      <c r="T21" s="80">
        <v>45998</v>
      </c>
      <c r="U21" s="80">
        <v>46003</v>
      </c>
      <c r="V21" s="80">
        <v>46006</v>
      </c>
      <c r="W21" s="80">
        <v>46006</v>
      </c>
      <c r="X21" s="80">
        <v>46006</v>
      </c>
      <c r="Y21" s="80">
        <v>46010</v>
      </c>
      <c r="Z21" s="80">
        <v>46010</v>
      </c>
      <c r="AA21" s="80">
        <v>46011</v>
      </c>
      <c r="AB21" s="80">
        <v>46011</v>
      </c>
      <c r="AC21" s="80">
        <v>46013</v>
      </c>
      <c r="AD21" s="84" t="s">
        <v>641</v>
      </c>
      <c r="AE21" s="54">
        <f t="shared" si="9"/>
        <v>4</v>
      </c>
      <c r="AF21" s="36">
        <v>7</v>
      </c>
      <c r="AG21" s="51">
        <f t="shared" si="10"/>
        <v>0</v>
      </c>
      <c r="AH21" s="52">
        <v>200</v>
      </c>
      <c r="AI21" s="53">
        <f t="shared" si="11"/>
        <v>0</v>
      </c>
      <c r="AJ21" s="54">
        <f t="shared" si="12"/>
        <v>2</v>
      </c>
      <c r="AK21" s="36">
        <v>2</v>
      </c>
      <c r="AL21" s="51">
        <f t="shared" si="13"/>
        <v>0</v>
      </c>
      <c r="AM21" s="52">
        <v>200</v>
      </c>
      <c r="AN21" s="53">
        <f t="shared" si="14"/>
        <v>0</v>
      </c>
      <c r="AO21" s="52"/>
      <c r="AP21" s="55">
        <f t="shared" si="15"/>
        <v>0</v>
      </c>
    </row>
    <row r="22" spans="1:42" s="68" customFormat="1" ht="15" customHeight="1">
      <c r="A22" s="98">
        <f t="shared" si="8"/>
        <v>19</v>
      </c>
      <c r="B22" s="79" t="s">
        <v>446</v>
      </c>
      <c r="C22" s="86" t="s">
        <v>582</v>
      </c>
      <c r="D22" s="86" t="s">
        <v>583</v>
      </c>
      <c r="E22" s="79" t="s">
        <v>584</v>
      </c>
      <c r="F22" s="79" t="s">
        <v>12</v>
      </c>
      <c r="G22" s="81" t="s">
        <v>103</v>
      </c>
      <c r="H22" s="81">
        <v>28</v>
      </c>
      <c r="I22" s="79">
        <v>35000</v>
      </c>
      <c r="J22" s="79">
        <v>35070</v>
      </c>
      <c r="K22" s="79" t="s">
        <v>120</v>
      </c>
      <c r="L22" s="80">
        <v>45890</v>
      </c>
      <c r="M22" s="82" t="s">
        <v>121</v>
      </c>
      <c r="N22" s="80" t="s">
        <v>122</v>
      </c>
      <c r="O22" s="80">
        <v>45881</v>
      </c>
      <c r="P22" s="80">
        <v>45907</v>
      </c>
      <c r="Q22" s="80">
        <v>45892</v>
      </c>
      <c r="R22" s="80">
        <v>45990</v>
      </c>
      <c r="S22" s="80">
        <v>45992</v>
      </c>
      <c r="T22" s="80">
        <v>45997</v>
      </c>
      <c r="U22" s="80">
        <v>46003</v>
      </c>
      <c r="V22" s="80">
        <v>46006</v>
      </c>
      <c r="W22" s="80">
        <v>46006</v>
      </c>
      <c r="X22" s="80">
        <v>46006</v>
      </c>
      <c r="Y22" s="80">
        <v>46010</v>
      </c>
      <c r="Z22" s="80">
        <v>46010</v>
      </c>
      <c r="AA22" s="80">
        <v>46011</v>
      </c>
      <c r="AB22" s="80">
        <v>46011</v>
      </c>
      <c r="AC22" s="80">
        <v>46013</v>
      </c>
      <c r="AD22" s="84" t="s">
        <v>641</v>
      </c>
      <c r="AE22" s="54">
        <f t="shared" si="9"/>
        <v>4</v>
      </c>
      <c r="AF22" s="36">
        <v>7</v>
      </c>
      <c r="AG22" s="51">
        <f t="shared" si="10"/>
        <v>0</v>
      </c>
      <c r="AH22" s="52">
        <v>200</v>
      </c>
      <c r="AI22" s="53">
        <f t="shared" si="11"/>
        <v>0</v>
      </c>
      <c r="AJ22" s="54">
        <f t="shared" si="12"/>
        <v>2</v>
      </c>
      <c r="AK22" s="36">
        <v>2</v>
      </c>
      <c r="AL22" s="51">
        <f t="shared" si="13"/>
        <v>0</v>
      </c>
      <c r="AM22" s="52">
        <v>200</v>
      </c>
      <c r="AN22" s="53">
        <f t="shared" si="14"/>
        <v>0</v>
      </c>
      <c r="AO22" s="52"/>
      <c r="AP22" s="55">
        <f t="shared" si="15"/>
        <v>0</v>
      </c>
    </row>
    <row r="23" spans="1:42" s="1" customFormat="1" ht="15" customHeight="1">
      <c r="A23" s="98">
        <f t="shared" si="8"/>
        <v>20</v>
      </c>
      <c r="B23" s="79" t="s">
        <v>446</v>
      </c>
      <c r="C23" s="86" t="s">
        <v>624</v>
      </c>
      <c r="D23" s="86" t="s">
        <v>625</v>
      </c>
      <c r="E23" s="80" t="s">
        <v>626</v>
      </c>
      <c r="F23" s="79" t="s">
        <v>12</v>
      </c>
      <c r="G23" s="81" t="s">
        <v>103</v>
      </c>
      <c r="H23" s="81">
        <v>28</v>
      </c>
      <c r="I23" s="79">
        <v>35000</v>
      </c>
      <c r="J23" s="79">
        <v>35070</v>
      </c>
      <c r="K23" s="79" t="s">
        <v>120</v>
      </c>
      <c r="L23" s="80">
        <v>45890</v>
      </c>
      <c r="M23" s="82" t="s">
        <v>121</v>
      </c>
      <c r="N23" s="80" t="s">
        <v>122</v>
      </c>
      <c r="O23" s="80">
        <v>45881</v>
      </c>
      <c r="P23" s="80">
        <v>45907</v>
      </c>
      <c r="Q23" s="80">
        <v>45892</v>
      </c>
      <c r="R23" s="80">
        <v>45990</v>
      </c>
      <c r="S23" s="80">
        <v>45992</v>
      </c>
      <c r="T23" s="80">
        <v>45997</v>
      </c>
      <c r="U23" s="80">
        <v>46003</v>
      </c>
      <c r="V23" s="80">
        <v>46006</v>
      </c>
      <c r="W23" s="80">
        <v>46006</v>
      </c>
      <c r="X23" s="80">
        <v>46006</v>
      </c>
      <c r="Y23" s="80">
        <v>46010</v>
      </c>
      <c r="Z23" s="80">
        <v>46010</v>
      </c>
      <c r="AA23" s="80">
        <v>46011</v>
      </c>
      <c r="AB23" s="80">
        <v>46011</v>
      </c>
      <c r="AC23" s="80">
        <v>46013</v>
      </c>
      <c r="AD23" s="84" t="s">
        <v>641</v>
      </c>
      <c r="AE23" s="54">
        <f t="shared" si="9"/>
        <v>4</v>
      </c>
      <c r="AF23" s="36">
        <v>7</v>
      </c>
      <c r="AG23" s="51">
        <f t="shared" si="10"/>
        <v>0</v>
      </c>
      <c r="AH23" s="52">
        <v>200</v>
      </c>
      <c r="AI23" s="53">
        <f t="shared" si="11"/>
        <v>0</v>
      </c>
      <c r="AJ23" s="54">
        <f t="shared" si="12"/>
        <v>2</v>
      </c>
      <c r="AK23" s="36">
        <v>2</v>
      </c>
      <c r="AL23" s="51">
        <f t="shared" si="13"/>
        <v>0</v>
      </c>
      <c r="AM23" s="52">
        <v>200</v>
      </c>
      <c r="AN23" s="53">
        <f t="shared" si="14"/>
        <v>0</v>
      </c>
      <c r="AO23" s="52"/>
      <c r="AP23" s="55">
        <f t="shared" si="15"/>
        <v>0</v>
      </c>
    </row>
    <row r="24" spans="1:42" s="1" customFormat="1" ht="15" customHeight="1">
      <c r="A24" s="98">
        <f t="shared" si="8"/>
        <v>21</v>
      </c>
      <c r="B24" s="79" t="s">
        <v>446</v>
      </c>
      <c r="C24" s="86" t="s">
        <v>603</v>
      </c>
      <c r="D24" s="86" t="s">
        <v>604</v>
      </c>
      <c r="E24" s="79" t="s">
        <v>605</v>
      </c>
      <c r="F24" s="79" t="s">
        <v>12</v>
      </c>
      <c r="G24" s="81" t="s">
        <v>103</v>
      </c>
      <c r="H24" s="81">
        <v>28</v>
      </c>
      <c r="I24" s="79">
        <v>35000</v>
      </c>
      <c r="J24" s="79">
        <v>35070</v>
      </c>
      <c r="K24" s="79" t="s">
        <v>120</v>
      </c>
      <c r="L24" s="80">
        <v>45890</v>
      </c>
      <c r="M24" s="82" t="s">
        <v>121</v>
      </c>
      <c r="N24" s="80" t="s">
        <v>122</v>
      </c>
      <c r="O24" s="80">
        <v>45881</v>
      </c>
      <c r="P24" s="80">
        <v>45907</v>
      </c>
      <c r="Q24" s="80">
        <v>45892</v>
      </c>
      <c r="R24" s="80">
        <v>45990</v>
      </c>
      <c r="S24" s="80">
        <v>45992</v>
      </c>
      <c r="T24" s="80">
        <v>45997</v>
      </c>
      <c r="U24" s="80">
        <v>46003</v>
      </c>
      <c r="V24" s="80">
        <v>46006</v>
      </c>
      <c r="W24" s="80">
        <v>46006</v>
      </c>
      <c r="X24" s="80">
        <v>46006</v>
      </c>
      <c r="Y24" s="80">
        <v>46010</v>
      </c>
      <c r="Z24" s="80">
        <v>46010</v>
      </c>
      <c r="AA24" s="80">
        <v>46011</v>
      </c>
      <c r="AB24" s="80">
        <v>46011</v>
      </c>
      <c r="AC24" s="80">
        <v>46013</v>
      </c>
      <c r="AD24" s="84" t="s">
        <v>641</v>
      </c>
      <c r="AE24" s="54">
        <f t="shared" ref="AE24:AE31" si="16">MAX(0,Y24-X24)</f>
        <v>4</v>
      </c>
      <c r="AF24" s="36">
        <v>7</v>
      </c>
      <c r="AG24" s="51">
        <f t="shared" ref="AG24:AG31" si="17">MAX(0,AE24-AF24)</f>
        <v>0</v>
      </c>
      <c r="AH24" s="52">
        <v>200</v>
      </c>
      <c r="AI24" s="53">
        <f t="shared" ref="AI24:AI31" si="18">MAX(0,AG24*AH24)</f>
        <v>0</v>
      </c>
      <c r="AJ24" s="54">
        <f t="shared" ref="AJ24:AJ31" si="19">MAX(0,AC24-AB24)</f>
        <v>2</v>
      </c>
      <c r="AK24" s="36">
        <v>2</v>
      </c>
      <c r="AL24" s="51">
        <f t="shared" ref="AL24:AL31" si="20">MAX(0,AJ24-AK24)</f>
        <v>0</v>
      </c>
      <c r="AM24" s="52">
        <v>200</v>
      </c>
      <c r="AN24" s="53">
        <f t="shared" ref="AN24:AN31" si="21">MAX(0,AL24*AM24)</f>
        <v>0</v>
      </c>
      <c r="AO24" s="52"/>
      <c r="AP24" s="55">
        <f t="shared" ref="AP24:AP31" si="22">AO24+AN24+AI24</f>
        <v>0</v>
      </c>
    </row>
    <row r="25" spans="1:42" s="1" customFormat="1" ht="15" customHeight="1">
      <c r="A25" s="98">
        <f t="shared" si="8"/>
        <v>22</v>
      </c>
      <c r="B25" s="79" t="s">
        <v>446</v>
      </c>
      <c r="C25" s="86" t="s">
        <v>615</v>
      </c>
      <c r="D25" s="86" t="s">
        <v>616</v>
      </c>
      <c r="E25" s="86" t="s">
        <v>617</v>
      </c>
      <c r="F25" s="79" t="s">
        <v>12</v>
      </c>
      <c r="G25" s="81" t="s">
        <v>103</v>
      </c>
      <c r="H25" s="81">
        <v>28</v>
      </c>
      <c r="I25" s="79">
        <v>35000</v>
      </c>
      <c r="J25" s="79">
        <v>35070</v>
      </c>
      <c r="K25" s="79" t="s">
        <v>120</v>
      </c>
      <c r="L25" s="80">
        <v>45890</v>
      </c>
      <c r="M25" s="82" t="s">
        <v>121</v>
      </c>
      <c r="N25" s="80" t="s">
        <v>122</v>
      </c>
      <c r="O25" s="80">
        <v>45881</v>
      </c>
      <c r="P25" s="80">
        <v>45907</v>
      </c>
      <c r="Q25" s="80">
        <v>45892</v>
      </c>
      <c r="R25" s="80">
        <v>45990</v>
      </c>
      <c r="S25" s="80">
        <v>45992</v>
      </c>
      <c r="T25" s="80">
        <v>45997</v>
      </c>
      <c r="U25" s="80">
        <v>46002</v>
      </c>
      <c r="V25" s="80">
        <v>46005</v>
      </c>
      <c r="W25" s="80">
        <v>46005</v>
      </c>
      <c r="X25" s="80">
        <v>46005</v>
      </c>
      <c r="Y25" s="80">
        <v>46009</v>
      </c>
      <c r="Z25" s="80">
        <v>46010</v>
      </c>
      <c r="AA25" s="80">
        <v>46010</v>
      </c>
      <c r="AB25" s="80">
        <v>46010</v>
      </c>
      <c r="AC25" s="80">
        <v>46010</v>
      </c>
      <c r="AD25" s="84" t="s">
        <v>641</v>
      </c>
      <c r="AE25" s="54">
        <f t="shared" si="16"/>
        <v>4</v>
      </c>
      <c r="AF25" s="36">
        <v>7</v>
      </c>
      <c r="AG25" s="51">
        <f t="shared" si="17"/>
        <v>0</v>
      </c>
      <c r="AH25" s="52">
        <v>200</v>
      </c>
      <c r="AI25" s="53">
        <f t="shared" si="18"/>
        <v>0</v>
      </c>
      <c r="AJ25" s="54">
        <f t="shared" si="19"/>
        <v>0</v>
      </c>
      <c r="AK25" s="36">
        <v>2</v>
      </c>
      <c r="AL25" s="51">
        <f t="shared" si="20"/>
        <v>0</v>
      </c>
      <c r="AM25" s="52">
        <v>200</v>
      </c>
      <c r="AN25" s="53">
        <f t="shared" si="21"/>
        <v>0</v>
      </c>
      <c r="AO25" s="52"/>
      <c r="AP25" s="55">
        <f t="shared" si="22"/>
        <v>0</v>
      </c>
    </row>
    <row r="26" spans="1:42" s="1" customFormat="1" ht="15.75" customHeight="1">
      <c r="A26" s="98">
        <f t="shared" si="8"/>
        <v>23</v>
      </c>
      <c r="B26" s="79" t="s">
        <v>446</v>
      </c>
      <c r="C26" s="86" t="s">
        <v>618</v>
      </c>
      <c r="D26" s="86" t="s">
        <v>619</v>
      </c>
      <c r="E26" s="79" t="s">
        <v>620</v>
      </c>
      <c r="F26" s="79" t="s">
        <v>12</v>
      </c>
      <c r="G26" s="81" t="s">
        <v>103</v>
      </c>
      <c r="H26" s="81">
        <v>27</v>
      </c>
      <c r="I26" s="79">
        <v>33750</v>
      </c>
      <c r="J26" s="79">
        <v>33845</v>
      </c>
      <c r="K26" s="79" t="s">
        <v>120</v>
      </c>
      <c r="L26" s="80">
        <v>45890</v>
      </c>
      <c r="M26" s="82" t="s">
        <v>121</v>
      </c>
      <c r="N26" s="80" t="s">
        <v>122</v>
      </c>
      <c r="O26" s="80">
        <v>45881</v>
      </c>
      <c r="P26" s="80">
        <v>45907</v>
      </c>
      <c r="Q26" s="80">
        <v>45892</v>
      </c>
      <c r="R26" s="80">
        <v>45990</v>
      </c>
      <c r="S26" s="80">
        <v>45992</v>
      </c>
      <c r="T26" s="80">
        <v>45997</v>
      </c>
      <c r="U26" s="80">
        <v>46003</v>
      </c>
      <c r="V26" s="80">
        <v>46007</v>
      </c>
      <c r="W26" s="80">
        <v>46007</v>
      </c>
      <c r="X26" s="80">
        <v>46007</v>
      </c>
      <c r="Y26" s="80">
        <v>46009</v>
      </c>
      <c r="Z26" s="80">
        <v>46010</v>
      </c>
      <c r="AA26" s="80">
        <v>46010</v>
      </c>
      <c r="AB26" s="80">
        <v>46010</v>
      </c>
      <c r="AC26" s="80">
        <v>46010</v>
      </c>
      <c r="AD26" s="84" t="s">
        <v>641</v>
      </c>
      <c r="AE26" s="54">
        <f t="shared" si="16"/>
        <v>2</v>
      </c>
      <c r="AF26" s="36">
        <v>7</v>
      </c>
      <c r="AG26" s="51">
        <f t="shared" si="17"/>
        <v>0</v>
      </c>
      <c r="AH26" s="52">
        <v>200</v>
      </c>
      <c r="AI26" s="53">
        <f t="shared" si="18"/>
        <v>0</v>
      </c>
      <c r="AJ26" s="54">
        <f t="shared" si="19"/>
        <v>0</v>
      </c>
      <c r="AK26" s="36">
        <v>2</v>
      </c>
      <c r="AL26" s="51">
        <f t="shared" si="20"/>
        <v>0</v>
      </c>
      <c r="AM26" s="52">
        <v>200</v>
      </c>
      <c r="AN26" s="53">
        <f t="shared" si="21"/>
        <v>0</v>
      </c>
      <c r="AO26" s="52"/>
      <c r="AP26" s="55">
        <f t="shared" si="22"/>
        <v>0</v>
      </c>
    </row>
    <row r="27" spans="1:42" s="1" customFormat="1" ht="15" customHeight="1">
      <c r="A27" s="98">
        <f t="shared" si="8"/>
        <v>24</v>
      </c>
      <c r="B27" s="79" t="s">
        <v>446</v>
      </c>
      <c r="C27" s="86" t="s">
        <v>621</v>
      </c>
      <c r="D27" s="86" t="s">
        <v>622</v>
      </c>
      <c r="E27" s="79" t="s">
        <v>623</v>
      </c>
      <c r="F27" s="79" t="s">
        <v>12</v>
      </c>
      <c r="G27" s="81" t="s">
        <v>103</v>
      </c>
      <c r="H27" s="81">
        <v>28</v>
      </c>
      <c r="I27" s="79">
        <v>35000</v>
      </c>
      <c r="J27" s="79">
        <v>35070</v>
      </c>
      <c r="K27" s="79" t="s">
        <v>120</v>
      </c>
      <c r="L27" s="80">
        <v>45890</v>
      </c>
      <c r="M27" s="82" t="s">
        <v>121</v>
      </c>
      <c r="N27" s="80" t="s">
        <v>122</v>
      </c>
      <c r="O27" s="80">
        <v>45881</v>
      </c>
      <c r="P27" s="80">
        <v>45907</v>
      </c>
      <c r="Q27" s="80">
        <v>45892</v>
      </c>
      <c r="R27" s="80">
        <v>45990</v>
      </c>
      <c r="S27" s="80">
        <v>45992</v>
      </c>
      <c r="T27" s="80">
        <v>45997</v>
      </c>
      <c r="U27" s="80">
        <v>46003</v>
      </c>
      <c r="V27" s="80">
        <v>46006</v>
      </c>
      <c r="W27" s="80">
        <v>46006</v>
      </c>
      <c r="X27" s="80">
        <v>46006</v>
      </c>
      <c r="Y27" s="80">
        <v>46009</v>
      </c>
      <c r="Z27" s="80">
        <v>46010</v>
      </c>
      <c r="AA27" s="80">
        <v>46010</v>
      </c>
      <c r="AB27" s="80">
        <v>46010</v>
      </c>
      <c r="AC27" s="80">
        <v>46010</v>
      </c>
      <c r="AD27" s="84" t="s">
        <v>641</v>
      </c>
      <c r="AE27" s="54">
        <f t="shared" si="16"/>
        <v>3</v>
      </c>
      <c r="AF27" s="36">
        <v>7</v>
      </c>
      <c r="AG27" s="51">
        <f t="shared" si="17"/>
        <v>0</v>
      </c>
      <c r="AH27" s="52">
        <v>200</v>
      </c>
      <c r="AI27" s="53">
        <f t="shared" si="18"/>
        <v>0</v>
      </c>
      <c r="AJ27" s="54">
        <f t="shared" si="19"/>
        <v>0</v>
      </c>
      <c r="AK27" s="36">
        <v>2</v>
      </c>
      <c r="AL27" s="51">
        <f t="shared" si="20"/>
        <v>0</v>
      </c>
      <c r="AM27" s="52">
        <v>200</v>
      </c>
      <c r="AN27" s="53">
        <f t="shared" si="21"/>
        <v>0</v>
      </c>
      <c r="AO27" s="52"/>
      <c r="AP27" s="55">
        <f t="shared" si="22"/>
        <v>0</v>
      </c>
    </row>
    <row r="28" spans="1:42" s="1" customFormat="1" ht="15" customHeight="1">
      <c r="A28" s="98">
        <f t="shared" si="8"/>
        <v>25</v>
      </c>
      <c r="B28" s="79" t="s">
        <v>446</v>
      </c>
      <c r="C28" s="86" t="s">
        <v>627</v>
      </c>
      <c r="D28" s="86" t="s">
        <v>628</v>
      </c>
      <c r="E28" s="79" t="s">
        <v>629</v>
      </c>
      <c r="F28" s="79" t="s">
        <v>12</v>
      </c>
      <c r="G28" s="81" t="s">
        <v>103</v>
      </c>
      <c r="H28" s="81">
        <v>29</v>
      </c>
      <c r="I28" s="79">
        <v>36250</v>
      </c>
      <c r="J28" s="79">
        <v>36323</v>
      </c>
      <c r="K28" s="79" t="s">
        <v>120</v>
      </c>
      <c r="L28" s="80">
        <v>45890</v>
      </c>
      <c r="M28" s="82" t="s">
        <v>121</v>
      </c>
      <c r="N28" s="80" t="s">
        <v>122</v>
      </c>
      <c r="O28" s="80">
        <v>45881</v>
      </c>
      <c r="P28" s="80">
        <v>45907</v>
      </c>
      <c r="Q28" s="80">
        <v>45892</v>
      </c>
      <c r="R28" s="80">
        <v>45990</v>
      </c>
      <c r="S28" s="80">
        <v>45992</v>
      </c>
      <c r="T28" s="80">
        <v>45997</v>
      </c>
      <c r="U28" s="80">
        <v>46003</v>
      </c>
      <c r="V28" s="80">
        <v>46005</v>
      </c>
      <c r="W28" s="80">
        <v>46005</v>
      </c>
      <c r="X28" s="80">
        <v>46005</v>
      </c>
      <c r="Y28" s="80">
        <v>46009</v>
      </c>
      <c r="Z28" s="80">
        <v>46010</v>
      </c>
      <c r="AA28" s="80">
        <v>46010</v>
      </c>
      <c r="AB28" s="80">
        <v>46010</v>
      </c>
      <c r="AC28" s="80">
        <v>46010</v>
      </c>
      <c r="AD28" s="84" t="s">
        <v>641</v>
      </c>
      <c r="AE28" s="54">
        <f t="shared" si="16"/>
        <v>4</v>
      </c>
      <c r="AF28" s="36">
        <v>7</v>
      </c>
      <c r="AG28" s="51">
        <f t="shared" si="17"/>
        <v>0</v>
      </c>
      <c r="AH28" s="52">
        <v>200</v>
      </c>
      <c r="AI28" s="53">
        <f t="shared" si="18"/>
        <v>0</v>
      </c>
      <c r="AJ28" s="54">
        <f t="shared" si="19"/>
        <v>0</v>
      </c>
      <c r="AK28" s="36">
        <v>2</v>
      </c>
      <c r="AL28" s="51">
        <f t="shared" si="20"/>
        <v>0</v>
      </c>
      <c r="AM28" s="52">
        <v>200</v>
      </c>
      <c r="AN28" s="53">
        <f t="shared" si="21"/>
        <v>0</v>
      </c>
      <c r="AO28" s="52"/>
      <c r="AP28" s="55">
        <f t="shared" si="22"/>
        <v>0</v>
      </c>
    </row>
    <row r="29" spans="1:42" s="68" customFormat="1" ht="15" customHeight="1">
      <c r="A29" s="98">
        <f t="shared" si="8"/>
        <v>26</v>
      </c>
      <c r="B29" s="79" t="s">
        <v>446</v>
      </c>
      <c r="C29" s="113" t="s">
        <v>600</v>
      </c>
      <c r="D29" s="86" t="s">
        <v>601</v>
      </c>
      <c r="E29" s="79" t="s">
        <v>602</v>
      </c>
      <c r="F29" s="79" t="s">
        <v>12</v>
      </c>
      <c r="G29" s="81" t="s">
        <v>103</v>
      </c>
      <c r="H29" s="81">
        <v>29</v>
      </c>
      <c r="I29" s="79">
        <v>36250</v>
      </c>
      <c r="J29" s="79">
        <v>36323</v>
      </c>
      <c r="K29" s="79" t="s">
        <v>120</v>
      </c>
      <c r="L29" s="80">
        <v>45890</v>
      </c>
      <c r="M29" s="82" t="s">
        <v>121</v>
      </c>
      <c r="N29" s="80" t="s">
        <v>122</v>
      </c>
      <c r="O29" s="80">
        <v>45881</v>
      </c>
      <c r="P29" s="80">
        <v>45907</v>
      </c>
      <c r="Q29" s="80">
        <v>45892</v>
      </c>
      <c r="R29" s="80">
        <v>45988</v>
      </c>
      <c r="S29" s="80">
        <v>45990</v>
      </c>
      <c r="T29" s="80">
        <v>45994</v>
      </c>
      <c r="U29" s="80">
        <v>45999</v>
      </c>
      <c r="V29" s="80">
        <v>46003</v>
      </c>
      <c r="W29" s="80">
        <v>46003</v>
      </c>
      <c r="X29" s="80">
        <v>46003</v>
      </c>
      <c r="Y29" s="80">
        <v>46006</v>
      </c>
      <c r="Z29" s="80">
        <v>46006</v>
      </c>
      <c r="AA29" s="80">
        <v>46007</v>
      </c>
      <c r="AB29" s="80">
        <v>46007</v>
      </c>
      <c r="AC29" s="80">
        <v>46008</v>
      </c>
      <c r="AD29" s="84" t="s">
        <v>641</v>
      </c>
      <c r="AE29" s="54">
        <f t="shared" si="16"/>
        <v>3</v>
      </c>
      <c r="AF29" s="36">
        <v>7</v>
      </c>
      <c r="AG29" s="51">
        <f t="shared" si="17"/>
        <v>0</v>
      </c>
      <c r="AH29" s="52">
        <v>200</v>
      </c>
      <c r="AI29" s="53">
        <f t="shared" si="18"/>
        <v>0</v>
      </c>
      <c r="AJ29" s="54">
        <f t="shared" si="19"/>
        <v>1</v>
      </c>
      <c r="AK29" s="36">
        <v>2</v>
      </c>
      <c r="AL29" s="51">
        <f t="shared" si="20"/>
        <v>0</v>
      </c>
      <c r="AM29" s="52">
        <v>200</v>
      </c>
      <c r="AN29" s="53">
        <f t="shared" si="21"/>
        <v>0</v>
      </c>
      <c r="AO29" s="52"/>
      <c r="AP29" s="55">
        <f t="shared" si="22"/>
        <v>0</v>
      </c>
    </row>
    <row r="30" spans="1:42" s="68" customFormat="1" ht="15" customHeight="1">
      <c r="A30" s="98">
        <f t="shared" si="8"/>
        <v>27</v>
      </c>
      <c r="B30" s="79" t="s">
        <v>446</v>
      </c>
      <c r="C30" s="86" t="s">
        <v>588</v>
      </c>
      <c r="D30" s="86" t="s">
        <v>589</v>
      </c>
      <c r="E30" s="78" t="s">
        <v>590</v>
      </c>
      <c r="F30" s="79" t="s">
        <v>12</v>
      </c>
      <c r="G30" s="81" t="s">
        <v>103</v>
      </c>
      <c r="H30" s="81">
        <v>28</v>
      </c>
      <c r="I30" s="79">
        <v>35000</v>
      </c>
      <c r="J30" s="79">
        <v>35070</v>
      </c>
      <c r="K30" s="79" t="s">
        <v>120</v>
      </c>
      <c r="L30" s="80">
        <v>45890</v>
      </c>
      <c r="M30" s="82" t="s">
        <v>121</v>
      </c>
      <c r="N30" s="80" t="s">
        <v>122</v>
      </c>
      <c r="O30" s="80">
        <v>45881</v>
      </c>
      <c r="P30" s="80">
        <v>45907</v>
      </c>
      <c r="Q30" s="80">
        <v>45892</v>
      </c>
      <c r="R30" s="80">
        <v>45988</v>
      </c>
      <c r="S30" s="80">
        <v>45990</v>
      </c>
      <c r="T30" s="80">
        <v>45994</v>
      </c>
      <c r="U30" s="80">
        <v>45997</v>
      </c>
      <c r="V30" s="80">
        <v>46001</v>
      </c>
      <c r="W30" s="80">
        <v>46001</v>
      </c>
      <c r="X30" s="80">
        <v>46001</v>
      </c>
      <c r="Y30" s="80">
        <v>46005</v>
      </c>
      <c r="Z30" s="80">
        <v>46005</v>
      </c>
      <c r="AA30" s="80">
        <v>46006</v>
      </c>
      <c r="AB30" s="80">
        <v>46006</v>
      </c>
      <c r="AC30" s="80">
        <v>46007</v>
      </c>
      <c r="AD30" s="84" t="s">
        <v>641</v>
      </c>
      <c r="AE30" s="54">
        <f t="shared" si="16"/>
        <v>4</v>
      </c>
      <c r="AF30" s="36">
        <v>7</v>
      </c>
      <c r="AG30" s="51">
        <f t="shared" si="17"/>
        <v>0</v>
      </c>
      <c r="AH30" s="52">
        <v>200</v>
      </c>
      <c r="AI30" s="53">
        <f t="shared" si="18"/>
        <v>0</v>
      </c>
      <c r="AJ30" s="54">
        <f t="shared" si="19"/>
        <v>1</v>
      </c>
      <c r="AK30" s="36">
        <v>2</v>
      </c>
      <c r="AL30" s="51">
        <f t="shared" si="20"/>
        <v>0</v>
      </c>
      <c r="AM30" s="52">
        <v>200</v>
      </c>
      <c r="AN30" s="53">
        <f t="shared" si="21"/>
        <v>0</v>
      </c>
      <c r="AO30" s="52"/>
      <c r="AP30" s="55">
        <f t="shared" si="22"/>
        <v>0</v>
      </c>
    </row>
    <row r="31" spans="1:42" s="1" customFormat="1" ht="15" customHeight="1">
      <c r="A31" s="98">
        <f t="shared" si="8"/>
        <v>28</v>
      </c>
      <c r="B31" s="79" t="s">
        <v>446</v>
      </c>
      <c r="C31" s="86" t="s">
        <v>633</v>
      </c>
      <c r="D31" s="86" t="s">
        <v>634</v>
      </c>
      <c r="E31" s="79" t="s">
        <v>635</v>
      </c>
      <c r="F31" s="79" t="s">
        <v>12</v>
      </c>
      <c r="G31" s="81" t="s">
        <v>103</v>
      </c>
      <c r="H31" s="81">
        <v>28</v>
      </c>
      <c r="I31" s="79">
        <v>35000</v>
      </c>
      <c r="J31" s="79">
        <v>35070</v>
      </c>
      <c r="K31" s="79" t="s">
        <v>120</v>
      </c>
      <c r="L31" s="80">
        <v>45890</v>
      </c>
      <c r="M31" s="82" t="s">
        <v>121</v>
      </c>
      <c r="N31" s="80" t="s">
        <v>122</v>
      </c>
      <c r="O31" s="80">
        <v>45881</v>
      </c>
      <c r="P31" s="80">
        <v>45907</v>
      </c>
      <c r="Q31" s="80">
        <v>45892</v>
      </c>
      <c r="R31" s="80">
        <v>45990</v>
      </c>
      <c r="S31" s="80">
        <v>45990</v>
      </c>
      <c r="T31" s="80">
        <v>45994</v>
      </c>
      <c r="U31" s="80">
        <v>45996</v>
      </c>
      <c r="V31" s="80">
        <v>46001</v>
      </c>
      <c r="W31" s="80">
        <v>46001</v>
      </c>
      <c r="X31" s="80">
        <v>46001</v>
      </c>
      <c r="Y31" s="80">
        <v>46004</v>
      </c>
      <c r="Z31" s="80">
        <v>46004</v>
      </c>
      <c r="AA31" s="80">
        <v>46005</v>
      </c>
      <c r="AB31" s="80">
        <v>46005</v>
      </c>
      <c r="AC31" s="80">
        <v>46006</v>
      </c>
      <c r="AD31" s="84" t="s">
        <v>641</v>
      </c>
      <c r="AE31" s="54">
        <f t="shared" si="16"/>
        <v>3</v>
      </c>
      <c r="AF31" s="36">
        <v>7</v>
      </c>
      <c r="AG31" s="51">
        <f t="shared" si="17"/>
        <v>0</v>
      </c>
      <c r="AH31" s="52">
        <v>200</v>
      </c>
      <c r="AI31" s="53">
        <f t="shared" si="18"/>
        <v>0</v>
      </c>
      <c r="AJ31" s="54">
        <f t="shared" si="19"/>
        <v>1</v>
      </c>
      <c r="AK31" s="36">
        <v>2</v>
      </c>
      <c r="AL31" s="51">
        <f t="shared" si="20"/>
        <v>0</v>
      </c>
      <c r="AM31" s="52">
        <v>200</v>
      </c>
      <c r="AN31" s="53">
        <f t="shared" si="21"/>
        <v>0</v>
      </c>
      <c r="AO31" s="52">
        <v>0</v>
      </c>
      <c r="AP31" s="55">
        <f t="shared" si="22"/>
        <v>0</v>
      </c>
    </row>
    <row r="32" spans="1:42" s="68" customFormat="1" ht="15" customHeight="1">
      <c r="A32" s="98">
        <f t="shared" si="8"/>
        <v>29</v>
      </c>
      <c r="B32" s="79" t="s">
        <v>446</v>
      </c>
      <c r="C32" s="113" t="s">
        <v>585</v>
      </c>
      <c r="D32" s="86" t="s">
        <v>586</v>
      </c>
      <c r="E32" s="79" t="s">
        <v>587</v>
      </c>
      <c r="F32" s="79" t="s">
        <v>12</v>
      </c>
      <c r="G32" s="81" t="s">
        <v>103</v>
      </c>
      <c r="H32" s="81">
        <v>28</v>
      </c>
      <c r="I32" s="79">
        <v>35000</v>
      </c>
      <c r="J32" s="79">
        <v>35070</v>
      </c>
      <c r="K32" s="79" t="s">
        <v>120</v>
      </c>
      <c r="L32" s="80">
        <v>45890</v>
      </c>
      <c r="M32" s="82" t="s">
        <v>121</v>
      </c>
      <c r="N32" s="80" t="s">
        <v>122</v>
      </c>
      <c r="O32" s="80">
        <v>45881</v>
      </c>
      <c r="P32" s="80">
        <v>45907</v>
      </c>
      <c r="Q32" s="80">
        <v>45892</v>
      </c>
      <c r="R32" s="80">
        <v>45988</v>
      </c>
      <c r="S32" s="80">
        <v>45990</v>
      </c>
      <c r="T32" s="80">
        <v>45994</v>
      </c>
      <c r="U32" s="80">
        <v>45998</v>
      </c>
      <c r="V32" s="80">
        <v>46002</v>
      </c>
      <c r="W32" s="80">
        <v>46002</v>
      </c>
      <c r="X32" s="80">
        <v>46002</v>
      </c>
      <c r="Y32" s="80">
        <v>46004</v>
      </c>
      <c r="Z32" s="80">
        <v>46004</v>
      </c>
      <c r="AA32" s="80">
        <v>46005</v>
      </c>
      <c r="AB32" s="80">
        <v>46005</v>
      </c>
      <c r="AC32" s="80">
        <v>46006</v>
      </c>
      <c r="AD32" s="84" t="s">
        <v>641</v>
      </c>
      <c r="AE32" s="54">
        <f t="shared" ref="AE32:AE38" si="23">MAX(0,Y32-X32)</f>
        <v>2</v>
      </c>
      <c r="AF32" s="36">
        <v>7</v>
      </c>
      <c r="AG32" s="51">
        <f t="shared" ref="AG32:AG37" si="24">MAX(0,AE32-AF32)</f>
        <v>0</v>
      </c>
      <c r="AH32" s="52">
        <v>200</v>
      </c>
      <c r="AI32" s="53">
        <f t="shared" ref="AI32:AI37" si="25">MAX(0,AG32*AH32)</f>
        <v>0</v>
      </c>
      <c r="AJ32" s="54">
        <f t="shared" ref="AJ32:AJ37" si="26">MAX(0,AC32-AB32)</f>
        <v>1</v>
      </c>
      <c r="AK32" s="36">
        <v>2</v>
      </c>
      <c r="AL32" s="51">
        <f t="shared" ref="AL32:AL37" si="27">MAX(0,AJ32-AK32)</f>
        <v>0</v>
      </c>
      <c r="AM32" s="52">
        <v>200</v>
      </c>
      <c r="AN32" s="53">
        <f t="shared" ref="AN32:AN37" si="28">MAX(0,AL32*AM32)</f>
        <v>0</v>
      </c>
      <c r="AO32" s="52"/>
      <c r="AP32" s="55">
        <f t="shared" ref="AP32:AP37" si="29">AO32+AN32+AI32</f>
        <v>0</v>
      </c>
    </row>
    <row r="33" spans="1:42" s="68" customFormat="1" ht="15" customHeight="1">
      <c r="A33" s="98">
        <f t="shared" si="8"/>
        <v>30</v>
      </c>
      <c r="B33" s="79" t="s">
        <v>446</v>
      </c>
      <c r="C33" s="113" t="s">
        <v>591</v>
      </c>
      <c r="D33" s="78" t="s">
        <v>592</v>
      </c>
      <c r="E33" s="86" t="s">
        <v>593</v>
      </c>
      <c r="F33" s="79" t="s">
        <v>12</v>
      </c>
      <c r="G33" s="81" t="s">
        <v>103</v>
      </c>
      <c r="H33" s="81">
        <v>28</v>
      </c>
      <c r="I33" s="79">
        <v>35000</v>
      </c>
      <c r="J33" s="79">
        <v>35070</v>
      </c>
      <c r="K33" s="79" t="s">
        <v>120</v>
      </c>
      <c r="L33" s="80">
        <v>45890</v>
      </c>
      <c r="M33" s="82" t="s">
        <v>121</v>
      </c>
      <c r="N33" s="80" t="s">
        <v>122</v>
      </c>
      <c r="O33" s="80">
        <v>45881</v>
      </c>
      <c r="P33" s="80">
        <v>45907</v>
      </c>
      <c r="Q33" s="80">
        <v>45892</v>
      </c>
      <c r="R33" s="80">
        <v>45988</v>
      </c>
      <c r="S33" s="80">
        <v>45990</v>
      </c>
      <c r="T33" s="80">
        <v>45994</v>
      </c>
      <c r="U33" s="80">
        <v>45997</v>
      </c>
      <c r="V33" s="80">
        <v>46000</v>
      </c>
      <c r="W33" s="80">
        <v>46000</v>
      </c>
      <c r="X33" s="80">
        <v>46000</v>
      </c>
      <c r="Y33" s="80">
        <v>46003</v>
      </c>
      <c r="Z33" s="80">
        <v>46004</v>
      </c>
      <c r="AA33" s="80">
        <v>46005</v>
      </c>
      <c r="AB33" s="80">
        <v>46005</v>
      </c>
      <c r="AC33" s="80">
        <v>46006</v>
      </c>
      <c r="AD33" s="84" t="s">
        <v>641</v>
      </c>
      <c r="AE33" s="54">
        <f t="shared" si="23"/>
        <v>3</v>
      </c>
      <c r="AF33" s="36">
        <v>7</v>
      </c>
      <c r="AG33" s="51">
        <f t="shared" si="24"/>
        <v>0</v>
      </c>
      <c r="AH33" s="52">
        <v>200</v>
      </c>
      <c r="AI33" s="53">
        <f t="shared" si="25"/>
        <v>0</v>
      </c>
      <c r="AJ33" s="54">
        <f t="shared" si="26"/>
        <v>1</v>
      </c>
      <c r="AK33" s="36">
        <v>2</v>
      </c>
      <c r="AL33" s="51">
        <f t="shared" si="27"/>
        <v>0</v>
      </c>
      <c r="AM33" s="52">
        <v>200</v>
      </c>
      <c r="AN33" s="53">
        <f t="shared" si="28"/>
        <v>0</v>
      </c>
      <c r="AO33" s="52">
        <v>0</v>
      </c>
      <c r="AP33" s="55">
        <f t="shared" si="29"/>
        <v>0</v>
      </c>
    </row>
    <row r="34" spans="1:42" s="68" customFormat="1" ht="15" customHeight="1">
      <c r="A34" s="98">
        <f t="shared" si="8"/>
        <v>31</v>
      </c>
      <c r="B34" s="79" t="s">
        <v>446</v>
      </c>
      <c r="C34" s="113" t="s">
        <v>594</v>
      </c>
      <c r="D34" s="86" t="s">
        <v>595</v>
      </c>
      <c r="E34" s="78" t="s">
        <v>596</v>
      </c>
      <c r="F34" s="79" t="s">
        <v>12</v>
      </c>
      <c r="G34" s="81" t="s">
        <v>103</v>
      </c>
      <c r="H34" s="81">
        <v>28</v>
      </c>
      <c r="I34" s="79">
        <v>35000</v>
      </c>
      <c r="J34" s="79">
        <v>35070</v>
      </c>
      <c r="K34" s="79" t="s">
        <v>120</v>
      </c>
      <c r="L34" s="80">
        <v>45890</v>
      </c>
      <c r="M34" s="82" t="s">
        <v>121</v>
      </c>
      <c r="N34" s="80" t="s">
        <v>122</v>
      </c>
      <c r="O34" s="80">
        <v>45881</v>
      </c>
      <c r="P34" s="80">
        <v>45907</v>
      </c>
      <c r="Q34" s="80">
        <v>45892</v>
      </c>
      <c r="R34" s="80">
        <v>45988</v>
      </c>
      <c r="S34" s="80">
        <v>45990</v>
      </c>
      <c r="T34" s="80">
        <v>45994</v>
      </c>
      <c r="U34" s="80">
        <v>45996</v>
      </c>
      <c r="V34" s="80">
        <v>46000</v>
      </c>
      <c r="W34" s="80">
        <v>46000</v>
      </c>
      <c r="X34" s="80">
        <v>46000</v>
      </c>
      <c r="Y34" s="80">
        <v>46003</v>
      </c>
      <c r="Z34" s="80">
        <v>46004</v>
      </c>
      <c r="AA34" s="80">
        <v>46005</v>
      </c>
      <c r="AB34" s="80">
        <v>46005</v>
      </c>
      <c r="AC34" s="80">
        <v>46006</v>
      </c>
      <c r="AD34" s="84" t="s">
        <v>641</v>
      </c>
      <c r="AE34" s="54">
        <f t="shared" si="23"/>
        <v>3</v>
      </c>
      <c r="AF34" s="36">
        <v>7</v>
      </c>
      <c r="AG34" s="51">
        <f t="shared" si="24"/>
        <v>0</v>
      </c>
      <c r="AH34" s="52">
        <v>200</v>
      </c>
      <c r="AI34" s="53">
        <f t="shared" si="25"/>
        <v>0</v>
      </c>
      <c r="AJ34" s="54">
        <f t="shared" si="26"/>
        <v>1</v>
      </c>
      <c r="AK34" s="36">
        <v>2</v>
      </c>
      <c r="AL34" s="51">
        <f t="shared" si="27"/>
        <v>0</v>
      </c>
      <c r="AM34" s="52">
        <v>200</v>
      </c>
      <c r="AN34" s="53">
        <f t="shared" si="28"/>
        <v>0</v>
      </c>
      <c r="AO34" s="52">
        <v>0</v>
      </c>
      <c r="AP34" s="55">
        <f t="shared" si="29"/>
        <v>0</v>
      </c>
    </row>
    <row r="35" spans="1:42" s="68" customFormat="1" ht="15" customHeight="1">
      <c r="A35" s="98">
        <f t="shared" si="8"/>
        <v>32</v>
      </c>
      <c r="B35" s="79" t="s">
        <v>446</v>
      </c>
      <c r="C35" s="171" t="s">
        <v>597</v>
      </c>
      <c r="D35" s="80" t="s">
        <v>598</v>
      </c>
      <c r="E35" s="172" t="s">
        <v>599</v>
      </c>
      <c r="F35" s="79" t="s">
        <v>12</v>
      </c>
      <c r="G35" s="81" t="s">
        <v>103</v>
      </c>
      <c r="H35" s="81">
        <v>29</v>
      </c>
      <c r="I35" s="79">
        <v>36250</v>
      </c>
      <c r="J35" s="79">
        <v>36323</v>
      </c>
      <c r="K35" s="79" t="s">
        <v>120</v>
      </c>
      <c r="L35" s="80">
        <v>45890</v>
      </c>
      <c r="M35" s="82" t="s">
        <v>121</v>
      </c>
      <c r="N35" s="80" t="s">
        <v>122</v>
      </c>
      <c r="O35" s="80">
        <v>45881</v>
      </c>
      <c r="P35" s="80">
        <v>45907</v>
      </c>
      <c r="Q35" s="80">
        <v>45892</v>
      </c>
      <c r="R35" s="80">
        <v>45988</v>
      </c>
      <c r="S35" s="80">
        <v>45990</v>
      </c>
      <c r="T35" s="80">
        <v>45994</v>
      </c>
      <c r="U35" s="80">
        <v>45996</v>
      </c>
      <c r="V35" s="80">
        <v>46001</v>
      </c>
      <c r="W35" s="80">
        <v>46001</v>
      </c>
      <c r="X35" s="80">
        <v>46001</v>
      </c>
      <c r="Y35" s="80">
        <v>46004</v>
      </c>
      <c r="Z35" s="80">
        <v>46004</v>
      </c>
      <c r="AA35" s="80">
        <v>46005</v>
      </c>
      <c r="AB35" s="80">
        <v>46005</v>
      </c>
      <c r="AC35" s="80">
        <v>46006</v>
      </c>
      <c r="AD35" s="84" t="s">
        <v>641</v>
      </c>
      <c r="AE35" s="54">
        <f t="shared" si="23"/>
        <v>3</v>
      </c>
      <c r="AF35" s="36">
        <v>7</v>
      </c>
      <c r="AG35" s="51">
        <f t="shared" si="24"/>
        <v>0</v>
      </c>
      <c r="AH35" s="52">
        <v>200</v>
      </c>
      <c r="AI35" s="53">
        <f t="shared" si="25"/>
        <v>0</v>
      </c>
      <c r="AJ35" s="54">
        <f t="shared" si="26"/>
        <v>1</v>
      </c>
      <c r="AK35" s="36">
        <v>2</v>
      </c>
      <c r="AL35" s="51">
        <f t="shared" si="27"/>
        <v>0</v>
      </c>
      <c r="AM35" s="52">
        <v>200</v>
      </c>
      <c r="AN35" s="53">
        <f t="shared" si="28"/>
        <v>0</v>
      </c>
      <c r="AO35" s="52"/>
      <c r="AP35" s="55">
        <f t="shared" si="29"/>
        <v>0</v>
      </c>
    </row>
    <row r="36" spans="1:42" s="68" customFormat="1" ht="15" customHeight="1">
      <c r="A36" s="98">
        <f t="shared" si="8"/>
        <v>33</v>
      </c>
      <c r="B36" s="79" t="s">
        <v>446</v>
      </c>
      <c r="C36" s="86" t="s">
        <v>124</v>
      </c>
      <c r="D36" s="86" t="s">
        <v>125</v>
      </c>
      <c r="E36" s="78" t="s">
        <v>126</v>
      </c>
      <c r="F36" s="79" t="s">
        <v>12</v>
      </c>
      <c r="G36" s="81" t="s">
        <v>103</v>
      </c>
      <c r="H36" s="81">
        <v>30</v>
      </c>
      <c r="I36" s="79">
        <v>37500</v>
      </c>
      <c r="J36" s="79">
        <v>37605</v>
      </c>
      <c r="K36" s="79" t="s">
        <v>120</v>
      </c>
      <c r="L36" s="80">
        <v>45890</v>
      </c>
      <c r="M36" s="82" t="s">
        <v>121</v>
      </c>
      <c r="N36" s="80" t="s">
        <v>122</v>
      </c>
      <c r="O36" s="80">
        <v>45881</v>
      </c>
      <c r="P36" s="80">
        <v>45907</v>
      </c>
      <c r="Q36" s="80">
        <v>45892</v>
      </c>
      <c r="R36" s="80">
        <v>45988</v>
      </c>
      <c r="S36" s="80">
        <v>45990</v>
      </c>
      <c r="T36" s="80">
        <v>45994</v>
      </c>
      <c r="U36" s="80">
        <v>45996</v>
      </c>
      <c r="V36" s="80">
        <v>45998</v>
      </c>
      <c r="W36" s="80">
        <v>45998</v>
      </c>
      <c r="X36" s="80">
        <v>45998</v>
      </c>
      <c r="Y36" s="80">
        <v>46000</v>
      </c>
      <c r="Z36" s="80">
        <v>46001</v>
      </c>
      <c r="AA36" s="80">
        <v>46001</v>
      </c>
      <c r="AB36" s="80">
        <v>46001</v>
      </c>
      <c r="AC36" s="80">
        <v>46002</v>
      </c>
      <c r="AD36" s="84" t="s">
        <v>641</v>
      </c>
      <c r="AE36" s="54">
        <f t="shared" si="23"/>
        <v>2</v>
      </c>
      <c r="AF36" s="36">
        <v>7</v>
      </c>
      <c r="AG36" s="51">
        <f t="shared" si="24"/>
        <v>0</v>
      </c>
      <c r="AH36" s="52">
        <v>200</v>
      </c>
      <c r="AI36" s="53">
        <f t="shared" si="25"/>
        <v>0</v>
      </c>
      <c r="AJ36" s="54">
        <f t="shared" si="26"/>
        <v>1</v>
      </c>
      <c r="AK36" s="36">
        <v>2</v>
      </c>
      <c r="AL36" s="51">
        <f t="shared" si="27"/>
        <v>0</v>
      </c>
      <c r="AM36" s="52">
        <v>200</v>
      </c>
      <c r="AN36" s="53">
        <f t="shared" si="28"/>
        <v>0</v>
      </c>
      <c r="AO36" s="52"/>
      <c r="AP36" s="55">
        <f t="shared" si="29"/>
        <v>0</v>
      </c>
    </row>
    <row r="37" spans="1:42" s="68" customFormat="1" ht="15" customHeight="1">
      <c r="A37" s="98">
        <f t="shared" si="8"/>
        <v>34</v>
      </c>
      <c r="B37" s="79" t="s">
        <v>446</v>
      </c>
      <c r="C37" s="113" t="s">
        <v>166</v>
      </c>
      <c r="D37" s="79" t="s">
        <v>167</v>
      </c>
      <c r="E37" s="79" t="s">
        <v>168</v>
      </c>
      <c r="F37" s="79" t="s">
        <v>12</v>
      </c>
      <c r="G37" s="78" t="s">
        <v>103</v>
      </c>
      <c r="H37" s="81">
        <v>29</v>
      </c>
      <c r="I37" s="79">
        <v>36250</v>
      </c>
      <c r="J37" s="79">
        <v>36323</v>
      </c>
      <c r="K37" s="79" t="s">
        <v>120</v>
      </c>
      <c r="L37" s="80">
        <v>45890</v>
      </c>
      <c r="M37" s="82" t="s">
        <v>121</v>
      </c>
      <c r="N37" s="80" t="s">
        <v>122</v>
      </c>
      <c r="O37" s="80">
        <v>45881</v>
      </c>
      <c r="P37" s="80">
        <v>45907</v>
      </c>
      <c r="Q37" s="80">
        <v>45892</v>
      </c>
      <c r="R37" s="80">
        <v>45988</v>
      </c>
      <c r="S37" s="80">
        <v>45990</v>
      </c>
      <c r="T37" s="80">
        <v>45994</v>
      </c>
      <c r="U37" s="80">
        <v>45996</v>
      </c>
      <c r="V37" s="80">
        <v>45998</v>
      </c>
      <c r="W37" s="80">
        <v>45998</v>
      </c>
      <c r="X37" s="80">
        <v>45998</v>
      </c>
      <c r="Y37" s="80">
        <v>45999</v>
      </c>
      <c r="Z37" s="80">
        <v>46001</v>
      </c>
      <c r="AA37" s="80">
        <v>46001</v>
      </c>
      <c r="AB37" s="80">
        <v>46001</v>
      </c>
      <c r="AC37" s="80">
        <v>46002</v>
      </c>
      <c r="AD37" s="84" t="s">
        <v>641</v>
      </c>
      <c r="AE37" s="54">
        <f t="shared" si="23"/>
        <v>1</v>
      </c>
      <c r="AF37" s="36">
        <v>7</v>
      </c>
      <c r="AG37" s="51">
        <f t="shared" si="24"/>
        <v>0</v>
      </c>
      <c r="AH37" s="52">
        <v>200</v>
      </c>
      <c r="AI37" s="53">
        <f t="shared" si="25"/>
        <v>0</v>
      </c>
      <c r="AJ37" s="54">
        <f t="shared" si="26"/>
        <v>1</v>
      </c>
      <c r="AK37" s="36">
        <v>2</v>
      </c>
      <c r="AL37" s="51">
        <f t="shared" si="27"/>
        <v>0</v>
      </c>
      <c r="AM37" s="52">
        <v>200</v>
      </c>
      <c r="AN37" s="53">
        <f t="shared" si="28"/>
        <v>0</v>
      </c>
      <c r="AO37" s="52"/>
      <c r="AP37" s="55">
        <f t="shared" si="29"/>
        <v>0</v>
      </c>
    </row>
    <row r="38" spans="1:42" s="134" customFormat="1" ht="13.5" customHeight="1">
      <c r="A38" s="98">
        <f t="shared" ref="A38:A56" si="30">ROW()-3</f>
        <v>35</v>
      </c>
      <c r="B38" s="79" t="s">
        <v>446</v>
      </c>
      <c r="C38" s="86" t="s">
        <v>228</v>
      </c>
      <c r="D38" s="113" t="s">
        <v>229</v>
      </c>
      <c r="E38" s="111" t="s">
        <v>230</v>
      </c>
      <c r="F38" s="79" t="s">
        <v>12</v>
      </c>
      <c r="G38" s="78" t="s">
        <v>103</v>
      </c>
      <c r="H38" s="112">
        <v>29</v>
      </c>
      <c r="I38" s="79">
        <v>36250</v>
      </c>
      <c r="J38" s="79">
        <v>36323</v>
      </c>
      <c r="K38" s="79" t="s">
        <v>120</v>
      </c>
      <c r="L38" s="80">
        <v>45890</v>
      </c>
      <c r="M38" s="82" t="s">
        <v>121</v>
      </c>
      <c r="N38" s="80" t="s">
        <v>122</v>
      </c>
      <c r="O38" s="80">
        <v>45881</v>
      </c>
      <c r="P38" s="80">
        <v>45907</v>
      </c>
      <c r="Q38" s="80">
        <v>45892</v>
      </c>
      <c r="R38" s="80">
        <v>45955</v>
      </c>
      <c r="S38" s="80">
        <v>45957</v>
      </c>
      <c r="T38" s="80">
        <v>45966</v>
      </c>
      <c r="U38" s="80">
        <v>45970</v>
      </c>
      <c r="V38" s="80">
        <v>45987</v>
      </c>
      <c r="W38" s="80">
        <v>45987</v>
      </c>
      <c r="X38" s="80">
        <v>45987</v>
      </c>
      <c r="Y38" s="173">
        <v>45990</v>
      </c>
      <c r="Z38" s="173">
        <v>45990</v>
      </c>
      <c r="AA38" s="173">
        <v>45992</v>
      </c>
      <c r="AB38" s="173">
        <v>45992</v>
      </c>
      <c r="AC38" s="173">
        <v>45993</v>
      </c>
      <c r="AD38" s="112" t="s">
        <v>641</v>
      </c>
      <c r="AE38" s="54">
        <f t="shared" si="23"/>
        <v>3</v>
      </c>
      <c r="AF38" s="36">
        <v>7</v>
      </c>
      <c r="AG38" s="51">
        <f t="shared" ref="AG38" si="31">MAX(0,AE38-AF38)</f>
        <v>0</v>
      </c>
      <c r="AH38" s="52">
        <v>200</v>
      </c>
      <c r="AI38" s="53">
        <f t="shared" ref="AI38" si="32">MAX(0,AG38*AH38)</f>
        <v>0</v>
      </c>
      <c r="AJ38" s="54">
        <f t="shared" ref="AJ38" si="33">MAX(0,AC38-AB38)</f>
        <v>1</v>
      </c>
      <c r="AK38" s="36">
        <v>2</v>
      </c>
      <c r="AL38" s="51">
        <f t="shared" ref="AL38" si="34">MAX(0,AJ38-AK38)</f>
        <v>0</v>
      </c>
      <c r="AM38" s="52">
        <v>200</v>
      </c>
      <c r="AN38" s="53">
        <f t="shared" ref="AN38" si="35">MAX(0,AL38*AM38)</f>
        <v>0</v>
      </c>
      <c r="AO38" s="52">
        <v>0</v>
      </c>
      <c r="AP38" s="55">
        <f t="shared" ref="AP38" si="36">AO38+AN38+AI38</f>
        <v>0</v>
      </c>
    </row>
    <row r="39" spans="1:42" s="134" customFormat="1" ht="12.75">
      <c r="A39" s="98">
        <f t="shared" si="30"/>
        <v>36</v>
      </c>
      <c r="B39" s="79" t="s">
        <v>446</v>
      </c>
      <c r="C39" s="86" t="s">
        <v>638</v>
      </c>
      <c r="D39" s="86" t="s">
        <v>639</v>
      </c>
      <c r="E39" s="79" t="s">
        <v>640</v>
      </c>
      <c r="F39" s="79" t="s">
        <v>12</v>
      </c>
      <c r="G39" s="78" t="s">
        <v>103</v>
      </c>
      <c r="H39" s="79">
        <v>29</v>
      </c>
      <c r="I39" s="79">
        <v>36323</v>
      </c>
      <c r="J39" s="86">
        <v>56000</v>
      </c>
      <c r="K39" s="79" t="s">
        <v>120</v>
      </c>
      <c r="L39" s="80">
        <v>45890</v>
      </c>
      <c r="M39" s="82" t="s">
        <v>121</v>
      </c>
      <c r="N39" s="80" t="s">
        <v>122</v>
      </c>
      <c r="O39" s="80">
        <v>45881</v>
      </c>
      <c r="P39" s="80">
        <v>45907</v>
      </c>
      <c r="Q39" s="80">
        <v>45892</v>
      </c>
      <c r="R39" s="80">
        <v>45971</v>
      </c>
      <c r="S39" s="80">
        <v>45972</v>
      </c>
      <c r="T39" s="80">
        <v>45974</v>
      </c>
      <c r="U39" s="80">
        <v>45978</v>
      </c>
      <c r="V39" s="80">
        <v>45981</v>
      </c>
      <c r="W39" s="80">
        <v>45981</v>
      </c>
      <c r="X39" s="80">
        <v>45981</v>
      </c>
      <c r="Y39" s="80">
        <v>45985</v>
      </c>
      <c r="Z39" s="80">
        <v>45986</v>
      </c>
      <c r="AA39" s="80">
        <v>45986</v>
      </c>
      <c r="AB39" s="80">
        <v>45986</v>
      </c>
      <c r="AC39" s="80">
        <v>45987</v>
      </c>
      <c r="AD39" s="112" t="s">
        <v>641</v>
      </c>
      <c r="AE39" s="54">
        <f t="shared" ref="AE39:AE49" si="37">MAX(0,Y39-X39)</f>
        <v>4</v>
      </c>
      <c r="AF39" s="36">
        <v>7</v>
      </c>
      <c r="AG39" s="51">
        <f t="shared" ref="AG39:AG49" si="38">MAX(0,AE39-AF39)</f>
        <v>0</v>
      </c>
      <c r="AH39" s="52">
        <v>200</v>
      </c>
      <c r="AI39" s="53">
        <f t="shared" ref="AI39:AI49" si="39">MAX(0,AG39*AH39)</f>
        <v>0</v>
      </c>
      <c r="AJ39" s="54">
        <f t="shared" ref="AJ39:AJ49" si="40">MAX(0,AC39-AB39)</f>
        <v>1</v>
      </c>
      <c r="AK39" s="36">
        <v>2</v>
      </c>
      <c r="AL39" s="51">
        <f t="shared" ref="AL39:AL49" si="41">MAX(0,AJ39-AK39)</f>
        <v>0</v>
      </c>
      <c r="AM39" s="52">
        <v>200</v>
      </c>
      <c r="AN39" s="53">
        <f t="shared" ref="AN39:AN49" si="42">MAX(0,AL39*AM39)</f>
        <v>0</v>
      </c>
      <c r="AO39" s="52"/>
      <c r="AP39" s="55">
        <f t="shared" ref="AP39:AP49" si="43">AO39+AN39+AI39</f>
        <v>0</v>
      </c>
    </row>
    <row r="40" spans="1:42" s="134" customFormat="1" ht="12.75">
      <c r="A40" s="98">
        <f t="shared" si="30"/>
        <v>37</v>
      </c>
      <c r="B40" s="79" t="s">
        <v>446</v>
      </c>
      <c r="C40" s="86" t="s">
        <v>185</v>
      </c>
      <c r="D40" s="86" t="s">
        <v>186</v>
      </c>
      <c r="E40" s="86" t="s">
        <v>187</v>
      </c>
      <c r="F40" s="79" t="s">
        <v>12</v>
      </c>
      <c r="G40" s="78" t="s">
        <v>103</v>
      </c>
      <c r="H40" s="79">
        <v>28</v>
      </c>
      <c r="I40" s="79">
        <v>35070</v>
      </c>
      <c r="J40" s="79">
        <v>56000</v>
      </c>
      <c r="K40" s="79" t="s">
        <v>120</v>
      </c>
      <c r="L40" s="80">
        <v>45890</v>
      </c>
      <c r="M40" s="82" t="s">
        <v>121</v>
      </c>
      <c r="N40" s="80" t="s">
        <v>122</v>
      </c>
      <c r="O40" s="80">
        <v>45881</v>
      </c>
      <c r="P40" s="80">
        <v>45907</v>
      </c>
      <c r="Q40" s="80">
        <v>45892</v>
      </c>
      <c r="R40" s="80">
        <v>45971</v>
      </c>
      <c r="S40" s="80">
        <v>45972</v>
      </c>
      <c r="T40" s="80">
        <v>45974</v>
      </c>
      <c r="U40" s="80">
        <v>45979</v>
      </c>
      <c r="V40" s="80">
        <v>45981</v>
      </c>
      <c r="W40" s="80">
        <v>45981</v>
      </c>
      <c r="X40" s="80">
        <v>45981</v>
      </c>
      <c r="Y40" s="80">
        <v>45984</v>
      </c>
      <c r="Z40" s="80">
        <v>45984</v>
      </c>
      <c r="AA40" s="80">
        <v>45985</v>
      </c>
      <c r="AB40" s="80">
        <v>45985</v>
      </c>
      <c r="AC40" s="80">
        <v>45986</v>
      </c>
      <c r="AD40" s="112" t="s">
        <v>641</v>
      </c>
      <c r="AE40" s="54">
        <f t="shared" si="37"/>
        <v>3</v>
      </c>
      <c r="AF40" s="36">
        <v>7</v>
      </c>
      <c r="AG40" s="51">
        <f t="shared" si="38"/>
        <v>0</v>
      </c>
      <c r="AH40" s="52">
        <v>200</v>
      </c>
      <c r="AI40" s="53">
        <f t="shared" si="39"/>
        <v>0</v>
      </c>
      <c r="AJ40" s="54">
        <f t="shared" si="40"/>
        <v>1</v>
      </c>
      <c r="AK40" s="36">
        <v>2</v>
      </c>
      <c r="AL40" s="51">
        <f t="shared" si="41"/>
        <v>0</v>
      </c>
      <c r="AM40" s="52">
        <v>200</v>
      </c>
      <c r="AN40" s="53">
        <f t="shared" si="42"/>
        <v>0</v>
      </c>
      <c r="AO40" s="52"/>
      <c r="AP40" s="55">
        <f t="shared" si="43"/>
        <v>0</v>
      </c>
    </row>
    <row r="41" spans="1:42" s="1" customFormat="1" ht="12.75">
      <c r="A41" s="98">
        <f t="shared" si="30"/>
        <v>38</v>
      </c>
      <c r="B41" s="79" t="s">
        <v>446</v>
      </c>
      <c r="C41" s="89" t="s">
        <v>219</v>
      </c>
      <c r="D41" s="79" t="s">
        <v>220</v>
      </c>
      <c r="E41" s="79" t="s">
        <v>221</v>
      </c>
      <c r="F41" s="79" t="s">
        <v>12</v>
      </c>
      <c r="G41" s="78" t="s">
        <v>103</v>
      </c>
      <c r="H41" s="112">
        <v>29</v>
      </c>
      <c r="I41" s="79">
        <v>36250</v>
      </c>
      <c r="J41" s="79">
        <v>36323</v>
      </c>
      <c r="K41" s="79" t="s">
        <v>120</v>
      </c>
      <c r="L41" s="80">
        <v>45890</v>
      </c>
      <c r="M41" s="82" t="s">
        <v>121</v>
      </c>
      <c r="N41" s="80" t="s">
        <v>122</v>
      </c>
      <c r="O41" s="80">
        <v>45881</v>
      </c>
      <c r="P41" s="80">
        <v>45907</v>
      </c>
      <c r="Q41" s="80">
        <v>45892</v>
      </c>
      <c r="R41" s="80">
        <v>45949</v>
      </c>
      <c r="S41" s="80">
        <v>45950</v>
      </c>
      <c r="T41" s="80">
        <v>45953</v>
      </c>
      <c r="U41" s="80">
        <v>45969</v>
      </c>
      <c r="V41" s="80">
        <v>45978</v>
      </c>
      <c r="W41" s="80">
        <v>45978</v>
      </c>
      <c r="X41" s="80">
        <v>45978</v>
      </c>
      <c r="Y41" s="80">
        <v>45984</v>
      </c>
      <c r="Z41" s="80">
        <v>45984</v>
      </c>
      <c r="AA41" s="80">
        <v>45985</v>
      </c>
      <c r="AB41" s="80">
        <v>45985</v>
      </c>
      <c r="AC41" s="80">
        <v>45985</v>
      </c>
      <c r="AD41" s="112" t="s">
        <v>641</v>
      </c>
      <c r="AE41" s="54">
        <f t="shared" si="37"/>
        <v>6</v>
      </c>
      <c r="AF41" s="36">
        <v>7</v>
      </c>
      <c r="AG41" s="51">
        <f t="shared" si="38"/>
        <v>0</v>
      </c>
      <c r="AH41" s="52">
        <v>200</v>
      </c>
      <c r="AI41" s="53">
        <f t="shared" si="39"/>
        <v>0</v>
      </c>
      <c r="AJ41" s="54">
        <f t="shared" si="40"/>
        <v>0</v>
      </c>
      <c r="AK41" s="36">
        <v>2</v>
      </c>
      <c r="AL41" s="51">
        <f t="shared" si="41"/>
        <v>0</v>
      </c>
      <c r="AM41" s="52">
        <v>200</v>
      </c>
      <c r="AN41" s="53">
        <f t="shared" si="42"/>
        <v>0</v>
      </c>
      <c r="AO41" s="52"/>
      <c r="AP41" s="55">
        <f t="shared" si="43"/>
        <v>0</v>
      </c>
    </row>
    <row r="42" spans="1:42" s="134" customFormat="1" ht="12" customHeight="1">
      <c r="A42" s="98">
        <f t="shared" si="30"/>
        <v>39</v>
      </c>
      <c r="B42" s="79" t="s">
        <v>446</v>
      </c>
      <c r="C42" s="86" t="s">
        <v>258</v>
      </c>
      <c r="D42" s="113" t="s">
        <v>259</v>
      </c>
      <c r="E42" s="112" t="s">
        <v>260</v>
      </c>
      <c r="F42" s="79" t="s">
        <v>12</v>
      </c>
      <c r="G42" s="78" t="s">
        <v>103</v>
      </c>
      <c r="H42" s="79">
        <v>28</v>
      </c>
      <c r="I42" s="79">
        <v>35000</v>
      </c>
      <c r="J42" s="79">
        <v>35070</v>
      </c>
      <c r="K42" s="79" t="s">
        <v>120</v>
      </c>
      <c r="L42" s="80">
        <v>45890</v>
      </c>
      <c r="M42" s="82" t="s">
        <v>121</v>
      </c>
      <c r="N42" s="80" t="s">
        <v>122</v>
      </c>
      <c r="O42" s="80">
        <v>45881</v>
      </c>
      <c r="P42" s="80">
        <v>45907</v>
      </c>
      <c r="Q42" s="80">
        <v>45892</v>
      </c>
      <c r="R42" s="80">
        <v>45955</v>
      </c>
      <c r="S42" s="80">
        <v>45957</v>
      </c>
      <c r="T42" s="80">
        <v>45966</v>
      </c>
      <c r="U42" s="80">
        <v>45979</v>
      </c>
      <c r="V42" s="80">
        <v>45981</v>
      </c>
      <c r="W42" s="80">
        <v>45981</v>
      </c>
      <c r="X42" s="80">
        <v>45981</v>
      </c>
      <c r="Y42" s="80">
        <v>45984</v>
      </c>
      <c r="Z42" s="80">
        <v>45984</v>
      </c>
      <c r="AA42" s="80">
        <v>45985</v>
      </c>
      <c r="AB42" s="80">
        <v>45985</v>
      </c>
      <c r="AC42" s="80">
        <v>45985</v>
      </c>
      <c r="AD42" s="112" t="s">
        <v>641</v>
      </c>
      <c r="AE42" s="54">
        <f t="shared" si="37"/>
        <v>3</v>
      </c>
      <c r="AF42" s="36">
        <v>7</v>
      </c>
      <c r="AG42" s="51">
        <f t="shared" si="38"/>
        <v>0</v>
      </c>
      <c r="AH42" s="52">
        <v>200</v>
      </c>
      <c r="AI42" s="53">
        <f t="shared" si="39"/>
        <v>0</v>
      </c>
      <c r="AJ42" s="54">
        <f t="shared" si="40"/>
        <v>0</v>
      </c>
      <c r="AK42" s="36">
        <v>2</v>
      </c>
      <c r="AL42" s="51">
        <f t="shared" si="41"/>
        <v>0</v>
      </c>
      <c r="AM42" s="52">
        <v>200</v>
      </c>
      <c r="AN42" s="53">
        <f t="shared" si="42"/>
        <v>0</v>
      </c>
      <c r="AO42" s="52"/>
      <c r="AP42" s="55">
        <f t="shared" si="43"/>
        <v>0</v>
      </c>
    </row>
    <row r="43" spans="1:42" s="134" customFormat="1" ht="12.75">
      <c r="A43" s="98">
        <f t="shared" si="30"/>
        <v>40</v>
      </c>
      <c r="B43" s="79" t="s">
        <v>446</v>
      </c>
      <c r="C43" s="86" t="s">
        <v>642</v>
      </c>
      <c r="D43" s="113" t="s">
        <v>643</v>
      </c>
      <c r="E43" s="111" t="s">
        <v>644</v>
      </c>
      <c r="F43" s="79" t="s">
        <v>12</v>
      </c>
      <c r="G43" s="78" t="s">
        <v>103</v>
      </c>
      <c r="H43" s="79">
        <v>28</v>
      </c>
      <c r="I43" s="79">
        <v>35070</v>
      </c>
      <c r="J43" s="79">
        <v>56000</v>
      </c>
      <c r="K43" s="79" t="s">
        <v>120</v>
      </c>
      <c r="L43" s="80">
        <v>45890</v>
      </c>
      <c r="M43" s="82" t="s">
        <v>121</v>
      </c>
      <c r="N43" s="80" t="s">
        <v>122</v>
      </c>
      <c r="O43" s="80">
        <v>45881</v>
      </c>
      <c r="P43" s="80">
        <v>45907</v>
      </c>
      <c r="Q43" s="80">
        <v>45892</v>
      </c>
      <c r="R43" s="80">
        <v>45971</v>
      </c>
      <c r="S43" s="80">
        <v>45972</v>
      </c>
      <c r="T43" s="80">
        <v>45974</v>
      </c>
      <c r="U43" s="80">
        <v>45978</v>
      </c>
      <c r="V43" s="80">
        <v>45981</v>
      </c>
      <c r="W43" s="80">
        <v>45981</v>
      </c>
      <c r="X43" s="80">
        <v>45981</v>
      </c>
      <c r="Y43" s="80">
        <v>45984</v>
      </c>
      <c r="Z43" s="80">
        <v>45984</v>
      </c>
      <c r="AA43" s="80">
        <v>45985</v>
      </c>
      <c r="AB43" s="80">
        <v>45985</v>
      </c>
      <c r="AC43" s="80">
        <v>45985</v>
      </c>
      <c r="AD43" s="112" t="s">
        <v>641</v>
      </c>
      <c r="AE43" s="54">
        <f t="shared" si="37"/>
        <v>3</v>
      </c>
      <c r="AF43" s="36">
        <v>7</v>
      </c>
      <c r="AG43" s="51">
        <f t="shared" si="38"/>
        <v>0</v>
      </c>
      <c r="AH43" s="52">
        <v>200</v>
      </c>
      <c r="AI43" s="53">
        <f t="shared" si="39"/>
        <v>0</v>
      </c>
      <c r="AJ43" s="54">
        <f t="shared" si="40"/>
        <v>0</v>
      </c>
      <c r="AK43" s="36">
        <v>2</v>
      </c>
      <c r="AL43" s="51">
        <f t="shared" si="41"/>
        <v>0</v>
      </c>
      <c r="AM43" s="52">
        <v>200</v>
      </c>
      <c r="AN43" s="53">
        <f t="shared" si="42"/>
        <v>0</v>
      </c>
      <c r="AO43" s="52"/>
      <c r="AP43" s="55">
        <f t="shared" si="43"/>
        <v>0</v>
      </c>
    </row>
    <row r="44" spans="1:42" s="134" customFormat="1" ht="12.75">
      <c r="A44" s="98">
        <f t="shared" si="30"/>
        <v>41</v>
      </c>
      <c r="B44" s="79" t="s">
        <v>446</v>
      </c>
      <c r="C44" s="86" t="s">
        <v>154</v>
      </c>
      <c r="D44" s="86" t="s">
        <v>155</v>
      </c>
      <c r="E44" s="89" t="s">
        <v>156</v>
      </c>
      <c r="F44" s="79" t="s">
        <v>12</v>
      </c>
      <c r="G44" s="78" t="s">
        <v>103</v>
      </c>
      <c r="H44" s="79">
        <v>28</v>
      </c>
      <c r="I44" s="79">
        <v>35070</v>
      </c>
      <c r="J44" s="79">
        <v>56000</v>
      </c>
      <c r="K44" s="79" t="s">
        <v>120</v>
      </c>
      <c r="L44" s="80">
        <v>45890</v>
      </c>
      <c r="M44" s="82" t="s">
        <v>121</v>
      </c>
      <c r="N44" s="80" t="s">
        <v>122</v>
      </c>
      <c r="O44" s="80">
        <v>45881</v>
      </c>
      <c r="P44" s="80">
        <v>45907</v>
      </c>
      <c r="Q44" s="80">
        <v>45892</v>
      </c>
      <c r="R44" s="80">
        <v>45971</v>
      </c>
      <c r="S44" s="80">
        <v>45972</v>
      </c>
      <c r="T44" s="80">
        <v>45974</v>
      </c>
      <c r="U44" s="80">
        <v>45979</v>
      </c>
      <c r="V44" s="80">
        <v>45981</v>
      </c>
      <c r="W44" s="80">
        <v>45981</v>
      </c>
      <c r="X44" s="80">
        <v>45981</v>
      </c>
      <c r="Y44" s="80">
        <v>45984</v>
      </c>
      <c r="Z44" s="80">
        <v>45984</v>
      </c>
      <c r="AA44" s="80">
        <v>45985</v>
      </c>
      <c r="AB44" s="80">
        <v>45985</v>
      </c>
      <c r="AC44" s="80">
        <v>45985</v>
      </c>
      <c r="AD44" s="112" t="s">
        <v>641</v>
      </c>
      <c r="AE44" s="54">
        <f t="shared" si="37"/>
        <v>3</v>
      </c>
      <c r="AF44" s="36">
        <v>7</v>
      </c>
      <c r="AG44" s="51">
        <f t="shared" si="38"/>
        <v>0</v>
      </c>
      <c r="AH44" s="52">
        <v>200</v>
      </c>
      <c r="AI44" s="53">
        <f t="shared" si="39"/>
        <v>0</v>
      </c>
      <c r="AJ44" s="54">
        <f t="shared" si="40"/>
        <v>0</v>
      </c>
      <c r="AK44" s="36">
        <v>2</v>
      </c>
      <c r="AL44" s="51">
        <f t="shared" si="41"/>
        <v>0</v>
      </c>
      <c r="AM44" s="52">
        <v>200</v>
      </c>
      <c r="AN44" s="53">
        <f t="shared" si="42"/>
        <v>0</v>
      </c>
      <c r="AO44" s="52"/>
      <c r="AP44" s="55">
        <f t="shared" si="43"/>
        <v>0</v>
      </c>
    </row>
    <row r="45" spans="1:42" s="134" customFormat="1" ht="12.75">
      <c r="A45" s="98">
        <f t="shared" si="30"/>
        <v>42</v>
      </c>
      <c r="B45" s="79" t="s">
        <v>446</v>
      </c>
      <c r="C45" s="86" t="s">
        <v>209</v>
      </c>
      <c r="D45" s="113" t="s">
        <v>210</v>
      </c>
      <c r="E45" s="111" t="s">
        <v>211</v>
      </c>
      <c r="F45" s="79" t="s">
        <v>12</v>
      </c>
      <c r="G45" s="78" t="s">
        <v>103</v>
      </c>
      <c r="H45" s="79">
        <v>28</v>
      </c>
      <c r="I45" s="79">
        <v>35070</v>
      </c>
      <c r="J45" s="79">
        <v>56000</v>
      </c>
      <c r="K45" s="79" t="s">
        <v>120</v>
      </c>
      <c r="L45" s="80">
        <v>45890</v>
      </c>
      <c r="M45" s="82" t="s">
        <v>121</v>
      </c>
      <c r="N45" s="80" t="s">
        <v>122</v>
      </c>
      <c r="O45" s="80">
        <v>45881</v>
      </c>
      <c r="P45" s="80">
        <v>45907</v>
      </c>
      <c r="Q45" s="80">
        <v>45892</v>
      </c>
      <c r="R45" s="80">
        <v>45971</v>
      </c>
      <c r="S45" s="80">
        <v>45972</v>
      </c>
      <c r="T45" s="80">
        <v>45974</v>
      </c>
      <c r="U45" s="80">
        <v>45978</v>
      </c>
      <c r="V45" s="80">
        <v>45980</v>
      </c>
      <c r="W45" s="80">
        <v>45980</v>
      </c>
      <c r="X45" s="80">
        <v>45980</v>
      </c>
      <c r="Y45" s="80">
        <v>45984</v>
      </c>
      <c r="Z45" s="80">
        <v>45984</v>
      </c>
      <c r="AA45" s="80">
        <v>45985</v>
      </c>
      <c r="AB45" s="80">
        <v>45985</v>
      </c>
      <c r="AC45" s="80">
        <v>45985</v>
      </c>
      <c r="AD45" s="112" t="s">
        <v>641</v>
      </c>
      <c r="AE45" s="54">
        <f t="shared" si="37"/>
        <v>4</v>
      </c>
      <c r="AF45" s="36">
        <v>7</v>
      </c>
      <c r="AG45" s="51">
        <f t="shared" si="38"/>
        <v>0</v>
      </c>
      <c r="AH45" s="52">
        <v>200</v>
      </c>
      <c r="AI45" s="53">
        <f t="shared" si="39"/>
        <v>0</v>
      </c>
      <c r="AJ45" s="54">
        <f t="shared" si="40"/>
        <v>0</v>
      </c>
      <c r="AK45" s="36">
        <v>2</v>
      </c>
      <c r="AL45" s="51">
        <f t="shared" si="41"/>
        <v>0</v>
      </c>
      <c r="AM45" s="52">
        <v>200</v>
      </c>
      <c r="AN45" s="53">
        <f t="shared" si="42"/>
        <v>0</v>
      </c>
      <c r="AO45" s="52"/>
      <c r="AP45" s="55">
        <f t="shared" si="43"/>
        <v>0</v>
      </c>
    </row>
    <row r="46" spans="1:42" s="134" customFormat="1" ht="12.75">
      <c r="A46" s="98">
        <f t="shared" si="30"/>
        <v>43</v>
      </c>
      <c r="B46" s="79" t="s">
        <v>446</v>
      </c>
      <c r="C46" s="86" t="s">
        <v>308</v>
      </c>
      <c r="D46" s="113" t="s">
        <v>309</v>
      </c>
      <c r="E46" s="113" t="s">
        <v>310</v>
      </c>
      <c r="F46" s="79" t="s">
        <v>12</v>
      </c>
      <c r="G46" s="78" t="s">
        <v>103</v>
      </c>
      <c r="H46" s="79">
        <v>28</v>
      </c>
      <c r="I46" s="111">
        <v>35000</v>
      </c>
      <c r="J46" s="111">
        <v>35070</v>
      </c>
      <c r="K46" s="79" t="s">
        <v>120</v>
      </c>
      <c r="L46" s="80">
        <v>45890</v>
      </c>
      <c r="M46" s="82" t="s">
        <v>121</v>
      </c>
      <c r="N46" s="80" t="s">
        <v>122</v>
      </c>
      <c r="O46" s="80">
        <v>45881</v>
      </c>
      <c r="P46" s="80">
        <v>45907</v>
      </c>
      <c r="Q46" s="80">
        <v>45892</v>
      </c>
      <c r="R46" s="80">
        <v>45955</v>
      </c>
      <c r="S46" s="80">
        <v>45957</v>
      </c>
      <c r="T46" s="80">
        <v>45971</v>
      </c>
      <c r="U46" s="80">
        <v>45978</v>
      </c>
      <c r="V46" s="80">
        <v>45980</v>
      </c>
      <c r="W46" s="80">
        <v>45980</v>
      </c>
      <c r="X46" s="80">
        <v>45980</v>
      </c>
      <c r="Y46" s="80">
        <v>45981</v>
      </c>
      <c r="Z46" s="80">
        <v>45982</v>
      </c>
      <c r="AA46" s="80">
        <v>45982</v>
      </c>
      <c r="AB46" s="80">
        <v>45982</v>
      </c>
      <c r="AC46" s="80">
        <v>45982</v>
      </c>
      <c r="AD46" s="112" t="s">
        <v>641</v>
      </c>
      <c r="AE46" s="54">
        <f t="shared" si="37"/>
        <v>1</v>
      </c>
      <c r="AF46" s="36">
        <v>7</v>
      </c>
      <c r="AG46" s="51">
        <f t="shared" si="38"/>
        <v>0</v>
      </c>
      <c r="AH46" s="52">
        <v>200</v>
      </c>
      <c r="AI46" s="53">
        <f t="shared" si="39"/>
        <v>0</v>
      </c>
      <c r="AJ46" s="54">
        <f t="shared" si="40"/>
        <v>0</v>
      </c>
      <c r="AK46" s="36">
        <v>2</v>
      </c>
      <c r="AL46" s="51">
        <f t="shared" si="41"/>
        <v>0</v>
      </c>
      <c r="AM46" s="52">
        <v>200</v>
      </c>
      <c r="AN46" s="53">
        <f t="shared" si="42"/>
        <v>0</v>
      </c>
      <c r="AO46" s="52"/>
      <c r="AP46" s="55">
        <f t="shared" si="43"/>
        <v>0</v>
      </c>
    </row>
    <row r="47" spans="1:42" s="134" customFormat="1" ht="12.75">
      <c r="A47" s="98">
        <f t="shared" si="30"/>
        <v>44</v>
      </c>
      <c r="B47" s="79" t="s">
        <v>446</v>
      </c>
      <c r="C47" s="86" t="s">
        <v>302</v>
      </c>
      <c r="D47" s="113" t="s">
        <v>303</v>
      </c>
      <c r="E47" s="112" t="s">
        <v>304</v>
      </c>
      <c r="F47" s="79" t="s">
        <v>12</v>
      </c>
      <c r="G47" s="79" t="s">
        <v>103</v>
      </c>
      <c r="H47" s="79">
        <v>28</v>
      </c>
      <c r="I47" s="79">
        <v>35000</v>
      </c>
      <c r="J47" s="79">
        <v>35070</v>
      </c>
      <c r="K47" s="79" t="s">
        <v>120</v>
      </c>
      <c r="L47" s="80">
        <v>45890</v>
      </c>
      <c r="M47" s="82" t="s">
        <v>121</v>
      </c>
      <c r="N47" s="80" t="s">
        <v>122</v>
      </c>
      <c r="O47" s="80">
        <v>45881</v>
      </c>
      <c r="P47" s="80">
        <v>45907</v>
      </c>
      <c r="Q47" s="80">
        <v>45892</v>
      </c>
      <c r="R47" s="80">
        <v>45955</v>
      </c>
      <c r="S47" s="80">
        <v>45957</v>
      </c>
      <c r="T47" s="80">
        <v>45966</v>
      </c>
      <c r="U47" s="80">
        <v>45969</v>
      </c>
      <c r="V47" s="80">
        <v>45971</v>
      </c>
      <c r="W47" s="80">
        <v>45971</v>
      </c>
      <c r="X47" s="80">
        <v>45971</v>
      </c>
      <c r="Y47" s="80">
        <v>45974</v>
      </c>
      <c r="Z47" s="80">
        <v>45974</v>
      </c>
      <c r="AA47" s="80">
        <v>45975</v>
      </c>
      <c r="AB47" s="80">
        <v>45976</v>
      </c>
      <c r="AC47" s="80">
        <v>45978</v>
      </c>
      <c r="AD47" s="112" t="s">
        <v>641</v>
      </c>
      <c r="AE47" s="54">
        <f t="shared" si="37"/>
        <v>3</v>
      </c>
      <c r="AF47" s="36">
        <v>7</v>
      </c>
      <c r="AG47" s="51">
        <f t="shared" si="38"/>
        <v>0</v>
      </c>
      <c r="AH47" s="52">
        <v>200</v>
      </c>
      <c r="AI47" s="53">
        <f t="shared" si="39"/>
        <v>0</v>
      </c>
      <c r="AJ47" s="54">
        <f t="shared" si="40"/>
        <v>2</v>
      </c>
      <c r="AK47" s="36">
        <v>2</v>
      </c>
      <c r="AL47" s="51">
        <f t="shared" si="41"/>
        <v>0</v>
      </c>
      <c r="AM47" s="52">
        <v>200</v>
      </c>
      <c r="AN47" s="53">
        <f t="shared" si="42"/>
        <v>0</v>
      </c>
      <c r="AO47" s="52"/>
      <c r="AP47" s="55">
        <f t="shared" si="43"/>
        <v>0</v>
      </c>
    </row>
    <row r="48" spans="1:42" s="134" customFormat="1" ht="12.75">
      <c r="A48" s="98">
        <f t="shared" si="30"/>
        <v>45</v>
      </c>
      <c r="B48" s="79" t="s">
        <v>446</v>
      </c>
      <c r="C48" s="86" t="s">
        <v>645</v>
      </c>
      <c r="D48" s="86" t="s">
        <v>646</v>
      </c>
      <c r="E48" s="79" t="s">
        <v>647</v>
      </c>
      <c r="F48" s="79" t="s">
        <v>12</v>
      </c>
      <c r="G48" s="79" t="s">
        <v>103</v>
      </c>
      <c r="H48" s="112">
        <v>28</v>
      </c>
      <c r="I48" s="79">
        <v>35000</v>
      </c>
      <c r="J48" s="79">
        <v>35070</v>
      </c>
      <c r="K48" s="79" t="s">
        <v>120</v>
      </c>
      <c r="L48" s="80">
        <v>45890</v>
      </c>
      <c r="M48" s="82" t="s">
        <v>121</v>
      </c>
      <c r="N48" s="80" t="s">
        <v>122</v>
      </c>
      <c r="O48" s="80">
        <v>45881</v>
      </c>
      <c r="P48" s="154">
        <v>45907</v>
      </c>
      <c r="Q48" s="80">
        <v>45892</v>
      </c>
      <c r="R48" s="80">
        <v>45951</v>
      </c>
      <c r="S48" s="80">
        <v>45952</v>
      </c>
      <c r="T48" s="80">
        <v>45965</v>
      </c>
      <c r="U48" s="80">
        <v>45971</v>
      </c>
      <c r="V48" s="80">
        <v>45973</v>
      </c>
      <c r="W48" s="80">
        <v>45973</v>
      </c>
      <c r="X48" s="80">
        <v>45973</v>
      </c>
      <c r="Y48" s="80">
        <v>45975</v>
      </c>
      <c r="Z48" s="80">
        <v>45975</v>
      </c>
      <c r="AA48" s="80">
        <v>45976</v>
      </c>
      <c r="AB48" s="80">
        <v>45976</v>
      </c>
      <c r="AC48" s="80">
        <v>45978</v>
      </c>
      <c r="AD48" s="112" t="s">
        <v>641</v>
      </c>
      <c r="AE48" s="54">
        <f t="shared" si="37"/>
        <v>2</v>
      </c>
      <c r="AF48" s="106">
        <v>7</v>
      </c>
      <c r="AG48" s="107">
        <f t="shared" si="38"/>
        <v>0</v>
      </c>
      <c r="AH48" s="108">
        <v>200</v>
      </c>
      <c r="AI48" s="109">
        <f t="shared" si="39"/>
        <v>0</v>
      </c>
      <c r="AJ48" s="54">
        <f t="shared" si="40"/>
        <v>2</v>
      </c>
      <c r="AK48" s="106">
        <v>2</v>
      </c>
      <c r="AL48" s="107">
        <f t="shared" si="41"/>
        <v>0</v>
      </c>
      <c r="AM48" s="108">
        <v>200</v>
      </c>
      <c r="AN48" s="109">
        <f t="shared" si="42"/>
        <v>0</v>
      </c>
      <c r="AO48" s="108">
        <v>0</v>
      </c>
      <c r="AP48" s="110">
        <f t="shared" si="43"/>
        <v>0</v>
      </c>
    </row>
    <row r="49" spans="1:42" s="1" customFormat="1" ht="12.75">
      <c r="A49" s="98">
        <f t="shared" si="30"/>
        <v>46</v>
      </c>
      <c r="B49" s="79" t="s">
        <v>446</v>
      </c>
      <c r="C49" s="86" t="s">
        <v>284</v>
      </c>
      <c r="D49" s="86" t="s">
        <v>285</v>
      </c>
      <c r="E49" s="79" t="s">
        <v>286</v>
      </c>
      <c r="F49" s="79" t="s">
        <v>12</v>
      </c>
      <c r="G49" s="79" t="s">
        <v>103</v>
      </c>
      <c r="H49" s="112">
        <v>28</v>
      </c>
      <c r="I49" s="79">
        <v>35000</v>
      </c>
      <c r="J49" s="79">
        <v>35070</v>
      </c>
      <c r="K49" s="79" t="s">
        <v>120</v>
      </c>
      <c r="L49" s="80">
        <v>45890</v>
      </c>
      <c r="M49" s="82" t="s">
        <v>121</v>
      </c>
      <c r="N49" s="80" t="s">
        <v>122</v>
      </c>
      <c r="O49" s="80">
        <v>45881</v>
      </c>
      <c r="P49" s="80">
        <v>45907</v>
      </c>
      <c r="Q49" s="80">
        <v>45892</v>
      </c>
      <c r="R49" s="80">
        <v>45949</v>
      </c>
      <c r="S49" s="80">
        <v>45950</v>
      </c>
      <c r="T49" s="80">
        <v>45957</v>
      </c>
      <c r="U49" s="80">
        <v>45967</v>
      </c>
      <c r="V49" s="80">
        <v>45969</v>
      </c>
      <c r="W49" s="80">
        <v>45969</v>
      </c>
      <c r="X49" s="80">
        <v>45969</v>
      </c>
      <c r="Y49" s="80">
        <v>45974</v>
      </c>
      <c r="Z49" s="80">
        <v>45974</v>
      </c>
      <c r="AA49" s="80">
        <v>45975</v>
      </c>
      <c r="AB49" s="80">
        <v>45976</v>
      </c>
      <c r="AC49" s="80">
        <v>45978</v>
      </c>
      <c r="AD49" s="112" t="s">
        <v>641</v>
      </c>
      <c r="AE49" s="54">
        <f t="shared" si="37"/>
        <v>5</v>
      </c>
      <c r="AF49" s="106">
        <v>7</v>
      </c>
      <c r="AG49" s="107">
        <f t="shared" si="38"/>
        <v>0</v>
      </c>
      <c r="AH49" s="108">
        <v>200</v>
      </c>
      <c r="AI49" s="109">
        <f t="shared" si="39"/>
        <v>0</v>
      </c>
      <c r="AJ49" s="54">
        <f t="shared" si="40"/>
        <v>2</v>
      </c>
      <c r="AK49" s="106">
        <v>2</v>
      </c>
      <c r="AL49" s="107">
        <f t="shared" si="41"/>
        <v>0</v>
      </c>
      <c r="AM49" s="108">
        <v>200</v>
      </c>
      <c r="AN49" s="109">
        <f t="shared" si="42"/>
        <v>0</v>
      </c>
      <c r="AO49" s="108"/>
      <c r="AP49" s="110">
        <f t="shared" si="43"/>
        <v>0</v>
      </c>
    </row>
    <row r="50" spans="1:42" s="134" customFormat="1" ht="12.75">
      <c r="A50" s="98">
        <f t="shared" si="30"/>
        <v>47</v>
      </c>
      <c r="B50" s="79" t="s">
        <v>446</v>
      </c>
      <c r="C50" s="86" t="s">
        <v>648</v>
      </c>
      <c r="D50" s="113" t="s">
        <v>649</v>
      </c>
      <c r="E50" s="112" t="s">
        <v>650</v>
      </c>
      <c r="F50" s="79" t="s">
        <v>12</v>
      </c>
      <c r="G50" s="79" t="s">
        <v>103</v>
      </c>
      <c r="H50" s="79">
        <v>29</v>
      </c>
      <c r="I50" s="79">
        <v>36250</v>
      </c>
      <c r="J50" s="79">
        <v>36323</v>
      </c>
      <c r="K50" s="79" t="s">
        <v>120</v>
      </c>
      <c r="L50" s="80">
        <v>45890</v>
      </c>
      <c r="M50" s="82" t="s">
        <v>121</v>
      </c>
      <c r="N50" s="80" t="s">
        <v>122</v>
      </c>
      <c r="O50" s="80">
        <v>45881</v>
      </c>
      <c r="P50" s="80">
        <v>45907</v>
      </c>
      <c r="Q50" s="80">
        <v>45892</v>
      </c>
      <c r="R50" s="80">
        <v>45955</v>
      </c>
      <c r="S50" s="80">
        <v>45957</v>
      </c>
      <c r="T50" s="80">
        <v>45966</v>
      </c>
      <c r="U50" s="80">
        <v>45969</v>
      </c>
      <c r="V50" s="80">
        <v>45971</v>
      </c>
      <c r="W50" s="80">
        <v>45971</v>
      </c>
      <c r="X50" s="80">
        <v>45971</v>
      </c>
      <c r="Y50" s="80">
        <v>45973</v>
      </c>
      <c r="Z50" s="80">
        <v>45974</v>
      </c>
      <c r="AA50" s="80">
        <v>45974</v>
      </c>
      <c r="AB50" s="80">
        <v>45975</v>
      </c>
      <c r="AC50" s="80">
        <v>45975</v>
      </c>
      <c r="AD50" s="112" t="s">
        <v>641</v>
      </c>
      <c r="AE50" s="54">
        <f t="shared" ref="AE50:AE56" si="44">MAX(0,Y50-X50)</f>
        <v>2</v>
      </c>
      <c r="AF50" s="36">
        <v>7</v>
      </c>
      <c r="AG50" s="51">
        <f t="shared" ref="AG50:AG56" si="45">MAX(0,AE50-AF50)</f>
        <v>0</v>
      </c>
      <c r="AH50" s="52">
        <v>200</v>
      </c>
      <c r="AI50" s="53">
        <f t="shared" ref="AI50:AI56" si="46">MAX(0,AG50*AH50)</f>
        <v>0</v>
      </c>
      <c r="AJ50" s="54">
        <f t="shared" ref="AJ50:AJ56" si="47">MAX(0,AC50-AB50)</f>
        <v>0</v>
      </c>
      <c r="AK50" s="36">
        <v>2</v>
      </c>
      <c r="AL50" s="51">
        <f t="shared" ref="AL50:AL56" si="48">MAX(0,AJ50-AK50)</f>
        <v>0</v>
      </c>
      <c r="AM50" s="52">
        <v>200</v>
      </c>
      <c r="AN50" s="53">
        <f t="shared" ref="AN50:AN56" si="49">MAX(0,AL50*AM50)</f>
        <v>0</v>
      </c>
      <c r="AO50" s="52"/>
      <c r="AP50" s="55">
        <f t="shared" ref="AP50:AP56" si="50">AO50+AN50+AI50</f>
        <v>0</v>
      </c>
    </row>
    <row r="51" spans="1:42" s="134" customFormat="1" ht="12.75">
      <c r="A51" s="98">
        <f t="shared" si="30"/>
        <v>48</v>
      </c>
      <c r="B51" s="79" t="s">
        <v>446</v>
      </c>
      <c r="C51" s="86" t="s">
        <v>419</v>
      </c>
      <c r="D51" s="113" t="s">
        <v>420</v>
      </c>
      <c r="E51" s="174" t="s">
        <v>421</v>
      </c>
      <c r="F51" s="79" t="s">
        <v>12</v>
      </c>
      <c r="G51" s="79" t="s">
        <v>103</v>
      </c>
      <c r="H51" s="112">
        <v>29</v>
      </c>
      <c r="I51" s="79">
        <v>36250</v>
      </c>
      <c r="J51" s="79">
        <v>36323</v>
      </c>
      <c r="K51" s="79" t="s">
        <v>120</v>
      </c>
      <c r="L51" s="80">
        <v>45890</v>
      </c>
      <c r="M51" s="82" t="s">
        <v>121</v>
      </c>
      <c r="N51" s="80" t="s">
        <v>122</v>
      </c>
      <c r="O51" s="80">
        <v>45881</v>
      </c>
      <c r="P51" s="80">
        <v>45907</v>
      </c>
      <c r="Q51" s="80">
        <v>45892</v>
      </c>
      <c r="R51" s="80">
        <v>45955</v>
      </c>
      <c r="S51" s="80">
        <v>45957</v>
      </c>
      <c r="T51" s="80">
        <v>45966</v>
      </c>
      <c r="U51" s="80">
        <v>45969</v>
      </c>
      <c r="V51" s="80">
        <v>45971</v>
      </c>
      <c r="W51" s="80">
        <v>45971</v>
      </c>
      <c r="X51" s="80">
        <v>45971</v>
      </c>
      <c r="Y51" s="80">
        <v>45973</v>
      </c>
      <c r="Z51" s="80">
        <v>45974</v>
      </c>
      <c r="AA51" s="80">
        <v>45974</v>
      </c>
      <c r="AB51" s="80">
        <v>45975</v>
      </c>
      <c r="AC51" s="80">
        <v>45975</v>
      </c>
      <c r="AD51" s="112" t="s">
        <v>641</v>
      </c>
      <c r="AE51" s="54">
        <f t="shared" si="44"/>
        <v>2</v>
      </c>
      <c r="AF51" s="36">
        <v>7</v>
      </c>
      <c r="AG51" s="51">
        <f t="shared" si="45"/>
        <v>0</v>
      </c>
      <c r="AH51" s="52">
        <v>200</v>
      </c>
      <c r="AI51" s="53">
        <f t="shared" si="46"/>
        <v>0</v>
      </c>
      <c r="AJ51" s="54">
        <f t="shared" si="47"/>
        <v>0</v>
      </c>
      <c r="AK51" s="36">
        <v>2</v>
      </c>
      <c r="AL51" s="51">
        <f t="shared" si="48"/>
        <v>0</v>
      </c>
      <c r="AM51" s="52">
        <v>200</v>
      </c>
      <c r="AN51" s="53">
        <f t="shared" si="49"/>
        <v>0</v>
      </c>
      <c r="AO51" s="52"/>
      <c r="AP51" s="55">
        <f t="shared" si="50"/>
        <v>0</v>
      </c>
    </row>
    <row r="52" spans="1:42" s="134" customFormat="1" ht="12.75">
      <c r="A52" s="98">
        <f t="shared" si="30"/>
        <v>49</v>
      </c>
      <c r="B52" s="79" t="s">
        <v>446</v>
      </c>
      <c r="C52" s="86" t="s">
        <v>651</v>
      </c>
      <c r="D52" s="113" t="s">
        <v>652</v>
      </c>
      <c r="E52" s="111" t="s">
        <v>653</v>
      </c>
      <c r="F52" s="79" t="s">
        <v>12</v>
      </c>
      <c r="G52" s="79" t="s">
        <v>103</v>
      </c>
      <c r="H52" s="112">
        <v>28</v>
      </c>
      <c r="I52" s="79">
        <v>35000</v>
      </c>
      <c r="J52" s="79">
        <v>35070</v>
      </c>
      <c r="K52" s="79" t="s">
        <v>120</v>
      </c>
      <c r="L52" s="80">
        <v>45890</v>
      </c>
      <c r="M52" s="82" t="s">
        <v>121</v>
      </c>
      <c r="N52" s="80" t="s">
        <v>122</v>
      </c>
      <c r="O52" s="80">
        <v>45881</v>
      </c>
      <c r="P52" s="80">
        <v>45907</v>
      </c>
      <c r="Q52" s="80">
        <v>45892</v>
      </c>
      <c r="R52" s="80">
        <v>45955</v>
      </c>
      <c r="S52" s="80">
        <v>45957</v>
      </c>
      <c r="T52" s="80">
        <v>45966</v>
      </c>
      <c r="U52" s="80">
        <v>45970</v>
      </c>
      <c r="V52" s="80">
        <v>45971</v>
      </c>
      <c r="W52" s="80">
        <v>45971</v>
      </c>
      <c r="X52" s="80">
        <v>45971</v>
      </c>
      <c r="Y52" s="80">
        <v>45973</v>
      </c>
      <c r="Z52" s="80">
        <v>45974</v>
      </c>
      <c r="AA52" s="80">
        <v>45974</v>
      </c>
      <c r="AB52" s="80">
        <v>45975</v>
      </c>
      <c r="AC52" s="80">
        <v>45975</v>
      </c>
      <c r="AD52" s="112" t="s">
        <v>641</v>
      </c>
      <c r="AE52" s="54">
        <f t="shared" si="44"/>
        <v>2</v>
      </c>
      <c r="AF52" s="36">
        <v>7</v>
      </c>
      <c r="AG52" s="51">
        <f t="shared" si="45"/>
        <v>0</v>
      </c>
      <c r="AH52" s="52">
        <v>200</v>
      </c>
      <c r="AI52" s="53">
        <f t="shared" si="46"/>
        <v>0</v>
      </c>
      <c r="AJ52" s="54">
        <f t="shared" si="47"/>
        <v>0</v>
      </c>
      <c r="AK52" s="36">
        <v>2</v>
      </c>
      <c r="AL52" s="51">
        <f t="shared" si="48"/>
        <v>0</v>
      </c>
      <c r="AM52" s="52">
        <v>200</v>
      </c>
      <c r="AN52" s="53">
        <f t="shared" si="49"/>
        <v>0</v>
      </c>
      <c r="AO52" s="52"/>
      <c r="AP52" s="55">
        <f t="shared" si="50"/>
        <v>0</v>
      </c>
    </row>
    <row r="53" spans="1:42" s="134" customFormat="1" ht="12.75">
      <c r="A53" s="98">
        <f t="shared" si="30"/>
        <v>50</v>
      </c>
      <c r="B53" s="79" t="s">
        <v>446</v>
      </c>
      <c r="C53" s="86" t="s">
        <v>504</v>
      </c>
      <c r="D53" s="86" t="s">
        <v>505</v>
      </c>
      <c r="E53" s="79" t="s">
        <v>654</v>
      </c>
      <c r="F53" s="79" t="s">
        <v>12</v>
      </c>
      <c r="G53" s="79" t="s">
        <v>103</v>
      </c>
      <c r="H53" s="112">
        <v>28</v>
      </c>
      <c r="I53" s="79">
        <v>35000</v>
      </c>
      <c r="J53" s="79">
        <v>35070</v>
      </c>
      <c r="K53" s="79" t="s">
        <v>120</v>
      </c>
      <c r="L53" s="80">
        <v>45890</v>
      </c>
      <c r="M53" s="82" t="s">
        <v>121</v>
      </c>
      <c r="N53" s="80" t="s">
        <v>122</v>
      </c>
      <c r="O53" s="80">
        <v>45881</v>
      </c>
      <c r="P53" s="80">
        <v>45907</v>
      </c>
      <c r="Q53" s="80">
        <v>45892</v>
      </c>
      <c r="R53" s="80">
        <v>45955</v>
      </c>
      <c r="S53" s="80">
        <v>45957</v>
      </c>
      <c r="T53" s="80">
        <v>45966</v>
      </c>
      <c r="U53" s="80">
        <v>45969</v>
      </c>
      <c r="V53" s="80">
        <v>45971</v>
      </c>
      <c r="W53" s="80">
        <v>45971</v>
      </c>
      <c r="X53" s="80">
        <v>45971</v>
      </c>
      <c r="Y53" s="80">
        <v>45972</v>
      </c>
      <c r="Z53" s="80">
        <v>45972</v>
      </c>
      <c r="AA53" s="80">
        <v>45972</v>
      </c>
      <c r="AB53" s="80">
        <v>45972</v>
      </c>
      <c r="AC53" s="80">
        <v>45973</v>
      </c>
      <c r="AD53" s="112" t="s">
        <v>641</v>
      </c>
      <c r="AE53" s="54">
        <f t="shared" si="44"/>
        <v>1</v>
      </c>
      <c r="AF53" s="36">
        <v>7</v>
      </c>
      <c r="AG53" s="51">
        <f t="shared" si="45"/>
        <v>0</v>
      </c>
      <c r="AH53" s="52">
        <v>200</v>
      </c>
      <c r="AI53" s="53">
        <f t="shared" si="46"/>
        <v>0</v>
      </c>
      <c r="AJ53" s="54">
        <f t="shared" si="47"/>
        <v>1</v>
      </c>
      <c r="AK53" s="36">
        <v>2</v>
      </c>
      <c r="AL53" s="51">
        <f t="shared" si="48"/>
        <v>0</v>
      </c>
      <c r="AM53" s="52">
        <v>200</v>
      </c>
      <c r="AN53" s="53">
        <f t="shared" si="49"/>
        <v>0</v>
      </c>
      <c r="AO53" s="52"/>
      <c r="AP53" s="55">
        <f t="shared" si="50"/>
        <v>0</v>
      </c>
    </row>
    <row r="54" spans="1:42" s="1" customFormat="1" ht="12.75">
      <c r="A54" s="98">
        <f t="shared" si="30"/>
        <v>51</v>
      </c>
      <c r="B54" s="79" t="s">
        <v>446</v>
      </c>
      <c r="C54" s="89" t="s">
        <v>234</v>
      </c>
      <c r="D54" s="79" t="s">
        <v>235</v>
      </c>
      <c r="E54" s="175" t="s">
        <v>236</v>
      </c>
      <c r="F54" s="79" t="s">
        <v>12</v>
      </c>
      <c r="G54" s="79" t="s">
        <v>103</v>
      </c>
      <c r="H54" s="112">
        <v>28</v>
      </c>
      <c r="I54" s="79">
        <v>35000</v>
      </c>
      <c r="J54" s="79">
        <v>35070</v>
      </c>
      <c r="K54" s="79" t="s">
        <v>120</v>
      </c>
      <c r="L54" s="80">
        <v>45890</v>
      </c>
      <c r="M54" s="82" t="s">
        <v>121</v>
      </c>
      <c r="N54" s="80" t="s">
        <v>122</v>
      </c>
      <c r="O54" s="80">
        <v>45881</v>
      </c>
      <c r="P54" s="80">
        <v>45907</v>
      </c>
      <c r="Q54" s="80">
        <v>45892</v>
      </c>
      <c r="R54" s="80">
        <v>45949</v>
      </c>
      <c r="S54" s="80">
        <v>45950</v>
      </c>
      <c r="T54" s="80">
        <v>45953</v>
      </c>
      <c r="U54" s="80">
        <v>45969</v>
      </c>
      <c r="V54" s="80">
        <v>45970</v>
      </c>
      <c r="W54" s="80">
        <v>45970</v>
      </c>
      <c r="X54" s="80">
        <v>45970</v>
      </c>
      <c r="Y54" s="80">
        <v>45972</v>
      </c>
      <c r="Z54" s="80">
        <v>45972</v>
      </c>
      <c r="AA54" s="80">
        <v>45973</v>
      </c>
      <c r="AB54" s="80">
        <v>45973</v>
      </c>
      <c r="AC54" s="80">
        <v>45974</v>
      </c>
      <c r="AD54" s="112" t="s">
        <v>641</v>
      </c>
      <c r="AE54" s="54">
        <f t="shared" si="44"/>
        <v>2</v>
      </c>
      <c r="AF54" s="106">
        <v>7</v>
      </c>
      <c r="AG54" s="107">
        <f t="shared" si="45"/>
        <v>0</v>
      </c>
      <c r="AH54" s="108">
        <v>200</v>
      </c>
      <c r="AI54" s="109">
        <f t="shared" si="46"/>
        <v>0</v>
      </c>
      <c r="AJ54" s="54">
        <f t="shared" si="47"/>
        <v>1</v>
      </c>
      <c r="AK54" s="106">
        <v>2</v>
      </c>
      <c r="AL54" s="107">
        <f t="shared" si="48"/>
        <v>0</v>
      </c>
      <c r="AM54" s="108">
        <v>200</v>
      </c>
      <c r="AN54" s="109">
        <f t="shared" si="49"/>
        <v>0</v>
      </c>
      <c r="AO54" s="108">
        <v>0</v>
      </c>
      <c r="AP54" s="110">
        <f t="shared" si="50"/>
        <v>0</v>
      </c>
    </row>
    <row r="55" spans="1:42" s="134" customFormat="1" ht="12.75">
      <c r="A55" s="98">
        <f t="shared" si="30"/>
        <v>52</v>
      </c>
      <c r="B55" s="79" t="s">
        <v>446</v>
      </c>
      <c r="C55" s="86" t="s">
        <v>655</v>
      </c>
      <c r="D55" s="113" t="s">
        <v>656</v>
      </c>
      <c r="E55" s="174" t="s">
        <v>657</v>
      </c>
      <c r="F55" s="79" t="s">
        <v>12</v>
      </c>
      <c r="G55" s="79" t="s">
        <v>103</v>
      </c>
      <c r="H55" s="112">
        <v>28</v>
      </c>
      <c r="I55" s="79">
        <v>35000</v>
      </c>
      <c r="J55" s="79">
        <v>35070</v>
      </c>
      <c r="K55" s="79" t="s">
        <v>120</v>
      </c>
      <c r="L55" s="80">
        <v>45890</v>
      </c>
      <c r="M55" s="82" t="s">
        <v>121</v>
      </c>
      <c r="N55" s="80" t="s">
        <v>122</v>
      </c>
      <c r="O55" s="80">
        <v>45881</v>
      </c>
      <c r="P55" s="80">
        <v>45907</v>
      </c>
      <c r="Q55" s="80">
        <v>45892</v>
      </c>
      <c r="R55" s="80">
        <v>45955</v>
      </c>
      <c r="S55" s="80">
        <v>45957</v>
      </c>
      <c r="T55" s="80">
        <v>45966</v>
      </c>
      <c r="U55" s="80">
        <v>45970</v>
      </c>
      <c r="V55" s="80">
        <v>45971</v>
      </c>
      <c r="W55" s="80">
        <v>45971</v>
      </c>
      <c r="X55" s="80">
        <v>45971</v>
      </c>
      <c r="Y55" s="80">
        <v>45972</v>
      </c>
      <c r="Z55" s="80">
        <v>45972</v>
      </c>
      <c r="AA55" s="80">
        <v>45973</v>
      </c>
      <c r="AB55" s="80">
        <v>45973</v>
      </c>
      <c r="AC55" s="80">
        <v>45974</v>
      </c>
      <c r="AD55" s="112" t="s">
        <v>641</v>
      </c>
      <c r="AE55" s="54">
        <f t="shared" si="44"/>
        <v>1</v>
      </c>
      <c r="AF55" s="36">
        <v>7</v>
      </c>
      <c r="AG55" s="51">
        <f t="shared" si="45"/>
        <v>0</v>
      </c>
      <c r="AH55" s="52">
        <v>200</v>
      </c>
      <c r="AI55" s="53">
        <f t="shared" si="46"/>
        <v>0</v>
      </c>
      <c r="AJ55" s="54">
        <f t="shared" si="47"/>
        <v>1</v>
      </c>
      <c r="AK55" s="36">
        <v>2</v>
      </c>
      <c r="AL55" s="51">
        <f t="shared" si="48"/>
        <v>0</v>
      </c>
      <c r="AM55" s="52">
        <v>200</v>
      </c>
      <c r="AN55" s="53">
        <f t="shared" si="49"/>
        <v>0</v>
      </c>
      <c r="AO55" s="52">
        <v>0</v>
      </c>
      <c r="AP55" s="55">
        <f t="shared" si="50"/>
        <v>0</v>
      </c>
    </row>
    <row r="56" spans="1:42" s="134" customFormat="1" ht="12.75">
      <c r="A56" s="98">
        <f t="shared" si="30"/>
        <v>53</v>
      </c>
      <c r="B56" s="79" t="s">
        <v>446</v>
      </c>
      <c r="C56" s="86" t="s">
        <v>658</v>
      </c>
      <c r="D56" s="113" t="s">
        <v>659</v>
      </c>
      <c r="E56" s="112" t="s">
        <v>660</v>
      </c>
      <c r="F56" s="79" t="s">
        <v>12</v>
      </c>
      <c r="G56" s="79" t="s">
        <v>103</v>
      </c>
      <c r="H56" s="79">
        <v>29</v>
      </c>
      <c r="I56" s="79">
        <v>36250</v>
      </c>
      <c r="J56" s="79">
        <v>36323</v>
      </c>
      <c r="K56" s="79" t="s">
        <v>120</v>
      </c>
      <c r="L56" s="80">
        <v>45890</v>
      </c>
      <c r="M56" s="82" t="s">
        <v>121</v>
      </c>
      <c r="N56" s="80" t="s">
        <v>122</v>
      </c>
      <c r="O56" s="80">
        <v>45881</v>
      </c>
      <c r="P56" s="80">
        <v>45907</v>
      </c>
      <c r="Q56" s="80">
        <v>45892</v>
      </c>
      <c r="R56" s="80">
        <v>45955</v>
      </c>
      <c r="S56" s="80">
        <v>45957</v>
      </c>
      <c r="T56" s="80">
        <v>45966</v>
      </c>
      <c r="U56" s="80">
        <v>45968</v>
      </c>
      <c r="V56" s="80">
        <v>45970</v>
      </c>
      <c r="W56" s="80">
        <v>45970</v>
      </c>
      <c r="X56" s="80">
        <v>45970</v>
      </c>
      <c r="Y56" s="80">
        <v>45972</v>
      </c>
      <c r="Z56" s="80">
        <v>45972</v>
      </c>
      <c r="AA56" s="80">
        <v>45973</v>
      </c>
      <c r="AB56" s="80">
        <v>45973</v>
      </c>
      <c r="AC56" s="80">
        <v>45974</v>
      </c>
      <c r="AD56" s="112" t="s">
        <v>641</v>
      </c>
      <c r="AE56" s="54">
        <f t="shared" si="44"/>
        <v>2</v>
      </c>
      <c r="AF56" s="36">
        <v>7</v>
      </c>
      <c r="AG56" s="51">
        <f t="shared" si="45"/>
        <v>0</v>
      </c>
      <c r="AH56" s="52">
        <v>200</v>
      </c>
      <c r="AI56" s="53">
        <f t="shared" si="46"/>
        <v>0</v>
      </c>
      <c r="AJ56" s="54">
        <f t="shared" si="47"/>
        <v>1</v>
      </c>
      <c r="AK56" s="36">
        <v>2</v>
      </c>
      <c r="AL56" s="51">
        <f t="shared" si="48"/>
        <v>0</v>
      </c>
      <c r="AM56" s="52">
        <v>200</v>
      </c>
      <c r="AN56" s="53">
        <f t="shared" si="49"/>
        <v>0</v>
      </c>
      <c r="AO56" s="52">
        <v>0</v>
      </c>
      <c r="AP56" s="55">
        <f t="shared" si="50"/>
        <v>0</v>
      </c>
    </row>
    <row r="57" spans="1:42">
      <c r="A57" s="91"/>
      <c r="B57" s="34"/>
      <c r="C57" s="35"/>
      <c r="D57" s="92"/>
      <c r="E57" s="36"/>
      <c r="F57" s="34"/>
      <c r="G57" s="33"/>
      <c r="H57" s="34"/>
      <c r="I57" s="34"/>
      <c r="J57" s="34"/>
      <c r="K57" s="33"/>
      <c r="L57" s="39"/>
      <c r="M57" s="40"/>
      <c r="N57" s="39"/>
      <c r="O57" s="39"/>
      <c r="P57" s="39"/>
      <c r="Q57" s="39"/>
      <c r="R57" s="39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36"/>
      <c r="AE57" s="54">
        <f t="shared" ref="AE57:AE58" si="51">MAX(0,Y57-X57)</f>
        <v>0</v>
      </c>
      <c r="AF57" s="36">
        <v>7</v>
      </c>
      <c r="AG57" s="51">
        <f t="shared" ref="AG57:AG58" si="52">MAX(0,AE57-AF57)</f>
        <v>0</v>
      </c>
      <c r="AH57" s="52">
        <v>200</v>
      </c>
      <c r="AI57" s="53">
        <f t="shared" ref="AI57:AI58" si="53">MAX(0,AG57*AH57)</f>
        <v>0</v>
      </c>
      <c r="AJ57" s="54">
        <f t="shared" ref="AJ57:AJ58" si="54">MAX(0,AC57-AB57)</f>
        <v>0</v>
      </c>
      <c r="AK57" s="36">
        <v>2</v>
      </c>
      <c r="AL57" s="51">
        <f t="shared" ref="AL57:AL58" si="55">MAX(0,AJ57-AK57)</f>
        <v>0</v>
      </c>
      <c r="AM57" s="52">
        <v>200</v>
      </c>
      <c r="AN57" s="53">
        <f t="shared" ref="AN57:AN58" si="56">MAX(0,AL57*AM57)</f>
        <v>0</v>
      </c>
      <c r="AO57" s="52"/>
      <c r="AP57" s="55">
        <f t="shared" ref="AP57:AP58" si="57">AO57+AN57+AI57</f>
        <v>0</v>
      </c>
    </row>
    <row r="58" spans="1:42">
      <c r="A58" s="91"/>
      <c r="B58" s="34"/>
      <c r="C58" s="35"/>
      <c r="D58" s="92"/>
      <c r="E58" s="36"/>
      <c r="F58" s="34"/>
      <c r="G58" s="33"/>
      <c r="H58" s="34"/>
      <c r="I58" s="34"/>
      <c r="J58" s="34"/>
      <c r="K58" s="33"/>
      <c r="L58" s="39"/>
      <c r="M58" s="40"/>
      <c r="N58" s="39"/>
      <c r="O58" s="39"/>
      <c r="P58" s="39"/>
      <c r="Q58" s="39"/>
      <c r="R58" s="39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36"/>
      <c r="AE58" s="54">
        <f t="shared" si="51"/>
        <v>0</v>
      </c>
      <c r="AF58" s="36">
        <v>7</v>
      </c>
      <c r="AG58" s="51">
        <f t="shared" si="52"/>
        <v>0</v>
      </c>
      <c r="AH58" s="52">
        <v>200</v>
      </c>
      <c r="AI58" s="53">
        <f t="shared" si="53"/>
        <v>0</v>
      </c>
      <c r="AJ58" s="54">
        <f t="shared" si="54"/>
        <v>0</v>
      </c>
      <c r="AK58" s="36">
        <v>2</v>
      </c>
      <c r="AL58" s="51">
        <f t="shared" si="55"/>
        <v>0</v>
      </c>
      <c r="AM58" s="52">
        <v>200</v>
      </c>
      <c r="AN58" s="53">
        <f t="shared" si="56"/>
        <v>0</v>
      </c>
      <c r="AO58" s="52"/>
      <c r="AP58" s="55">
        <f t="shared" si="57"/>
        <v>0</v>
      </c>
    </row>
    <row r="59" spans="1:42" ht="15.75" thickBot="1">
      <c r="B59" s="65"/>
      <c r="C59" s="65"/>
      <c r="D59" s="66"/>
      <c r="E59" s="65"/>
      <c r="F59" s="65"/>
      <c r="G59" s="65"/>
    </row>
    <row r="60" spans="1:42" ht="15.75" thickBot="1">
      <c r="B60" s="65"/>
      <c r="C60" s="65"/>
      <c r="D60" s="66"/>
      <c r="E60" s="65"/>
      <c r="F60" s="65"/>
      <c r="G60" s="65"/>
      <c r="H60" s="65"/>
    </row>
    <row r="61" spans="1:42" ht="15.75" thickBot="1">
      <c r="B61" s="65"/>
      <c r="C61" s="65"/>
      <c r="D61" s="66"/>
      <c r="E61" s="65"/>
      <c r="F61" s="65"/>
      <c r="G61" s="65"/>
      <c r="H61" s="65"/>
    </row>
    <row r="62" spans="1:42" ht="15.75" thickBot="1">
      <c r="B62" s="65"/>
      <c r="C62" s="65"/>
      <c r="D62" s="66"/>
      <c r="E62" s="65"/>
      <c r="F62" s="65"/>
      <c r="G62" s="65"/>
      <c r="H62" s="65"/>
    </row>
    <row r="63" spans="1:42" ht="15.75" thickBot="1">
      <c r="B63" s="65"/>
      <c r="C63" s="65"/>
      <c r="D63" s="66"/>
      <c r="E63" s="65"/>
      <c r="F63" s="65"/>
      <c r="G63" s="65"/>
      <c r="H63" s="65"/>
    </row>
    <row r="64" spans="1:42" ht="15.75" thickBot="1">
      <c r="B64" s="65"/>
      <c r="C64" s="65"/>
      <c r="D64" s="66"/>
      <c r="E64" s="65"/>
      <c r="F64" s="65"/>
      <c r="G64" s="65"/>
      <c r="H64" s="90"/>
    </row>
    <row r="65" spans="2:8" ht="15.75" thickBot="1">
      <c r="B65" s="65"/>
      <c r="C65" s="65"/>
      <c r="D65" s="66"/>
      <c r="E65" s="65"/>
      <c r="F65" s="65"/>
      <c r="G65" s="65"/>
      <c r="H65" s="65"/>
    </row>
    <row r="66" spans="2:8" ht="15.75" thickBot="1">
      <c r="B66" s="65"/>
      <c r="C66" s="65"/>
      <c r="D66" s="66"/>
      <c r="E66" s="65"/>
      <c r="F66" s="65"/>
      <c r="G66" s="65"/>
      <c r="H66" s="65"/>
    </row>
    <row r="67" spans="2:8" ht="15.75" thickBot="1">
      <c r="B67" s="65"/>
      <c r="C67" s="65"/>
      <c r="D67" s="66"/>
      <c r="E67" s="65"/>
      <c r="F67" s="65"/>
      <c r="G67" s="65"/>
      <c r="H67" s="65"/>
    </row>
    <row r="68" spans="2:8" ht="15.75" thickBot="1">
      <c r="B68" s="65"/>
      <c r="C68" s="65"/>
      <c r="D68" s="66"/>
      <c r="E68" s="65"/>
      <c r="F68" s="65"/>
      <c r="G68" s="65"/>
    </row>
    <row r="69" spans="2:8" ht="15.75" thickBot="1">
      <c r="B69" s="65"/>
      <c r="C69" s="65"/>
      <c r="D69" s="66"/>
      <c r="E69" s="65"/>
      <c r="F69" s="65"/>
      <c r="G69" s="65"/>
    </row>
    <row r="70" spans="2:8" ht="15.75" thickBot="1">
      <c r="B70" s="65"/>
      <c r="C70" s="65"/>
      <c r="D70" s="66"/>
      <c r="E70" s="65"/>
      <c r="F70" s="65"/>
      <c r="G70" s="65"/>
    </row>
    <row r="71" spans="2:8" ht="15.75" thickBot="1">
      <c r="B71" s="65"/>
      <c r="C71" s="65"/>
      <c r="D71" s="66"/>
      <c r="E71" s="65"/>
      <c r="F71" s="65"/>
      <c r="G71" s="65"/>
    </row>
    <row r="72" spans="2:8" ht="15.75" thickBot="1">
      <c r="B72" s="65"/>
      <c r="C72" s="65"/>
      <c r="D72" s="66"/>
      <c r="E72" s="65"/>
      <c r="F72" s="65"/>
      <c r="G72" s="65"/>
    </row>
    <row r="73" spans="2:8" ht="15.75" thickBot="1">
      <c r="B73" s="65"/>
      <c r="C73" s="65"/>
      <c r="D73" s="66"/>
      <c r="E73" s="65"/>
      <c r="F73" s="65"/>
      <c r="G73" s="65"/>
    </row>
    <row r="74" spans="2:8" ht="15.75" thickBot="1">
      <c r="B74" s="65"/>
      <c r="C74" s="65"/>
      <c r="D74" s="66"/>
      <c r="E74" s="65"/>
      <c r="F74" s="65"/>
      <c r="G74" s="65"/>
    </row>
    <row r="75" spans="2:8" ht="15.75" thickBot="1">
      <c r="B75" s="65"/>
      <c r="C75" s="65"/>
      <c r="D75" s="66"/>
      <c r="E75" s="65"/>
      <c r="F75" s="65"/>
      <c r="G75" s="65"/>
    </row>
    <row r="76" spans="2:8" ht="15.75" thickBot="1">
      <c r="B76" s="65"/>
      <c r="C76" s="65"/>
      <c r="D76" s="66"/>
      <c r="E76" s="65"/>
      <c r="F76" s="65"/>
      <c r="G76" s="65"/>
    </row>
    <row r="77" spans="2:8" ht="15.75" thickBot="1">
      <c r="B77" s="65"/>
      <c r="C77" s="65"/>
      <c r="D77" s="66"/>
      <c r="E77" s="65"/>
      <c r="F77" s="65"/>
      <c r="G77" s="65"/>
    </row>
    <row r="78" spans="2:8" ht="15.75" thickBot="1">
      <c r="B78" s="65"/>
      <c r="C78" s="65"/>
      <c r="D78" s="66"/>
      <c r="E78" s="65"/>
      <c r="F78" s="65"/>
      <c r="G78" s="65"/>
    </row>
    <row r="79" spans="2:8" ht="15.75" thickBot="1">
      <c r="B79" s="65"/>
      <c r="C79" s="65"/>
      <c r="D79" s="66"/>
      <c r="E79" s="65"/>
      <c r="F79" s="65"/>
      <c r="G79" s="65"/>
    </row>
    <row r="80" spans="2:8" ht="15.75" thickBot="1">
      <c r="B80" s="65"/>
      <c r="C80" s="65"/>
      <c r="D80" s="66"/>
      <c r="E80" s="65"/>
      <c r="F80" s="65"/>
      <c r="G80" s="65"/>
    </row>
    <row r="81" spans="2:7" ht="15.75" thickBot="1">
      <c r="B81" s="65"/>
      <c r="C81" s="65"/>
      <c r="D81" s="66"/>
      <c r="E81" s="65"/>
      <c r="F81" s="65"/>
      <c r="G81" s="65"/>
    </row>
    <row r="82" spans="2:7" ht="15.75" thickBot="1">
      <c r="B82" s="65"/>
      <c r="C82" s="65"/>
      <c r="D82" s="96"/>
      <c r="E82" s="90"/>
      <c r="F82" s="90"/>
      <c r="G82" s="90"/>
    </row>
    <row r="83" spans="2:7" ht="15.75" thickBot="1">
      <c r="B83" s="65"/>
      <c r="C83" s="65"/>
      <c r="D83" s="66"/>
      <c r="E83" s="65"/>
      <c r="F83" s="65"/>
      <c r="G83" s="65"/>
    </row>
    <row r="84" spans="2:7" ht="15.75" thickBot="1">
      <c r="B84" s="65"/>
      <c r="C84" s="65"/>
      <c r="D84" s="66"/>
      <c r="E84" s="65"/>
      <c r="F84" s="65"/>
      <c r="G84" s="65"/>
    </row>
    <row r="85" spans="2:7" ht="15.75" thickBot="1">
      <c r="B85" s="65"/>
      <c r="C85" s="65"/>
      <c r="D85" s="66"/>
      <c r="E85" s="65"/>
      <c r="F85" s="65"/>
      <c r="G85" s="65"/>
    </row>
    <row r="86" spans="2:7" ht="15.75" thickBot="1">
      <c r="B86" s="65"/>
      <c r="C86" s="65"/>
      <c r="D86" s="66"/>
      <c r="E86" s="65"/>
      <c r="F86" s="65"/>
      <c r="G86" s="65"/>
    </row>
    <row r="87" spans="2:7" ht="15.75" thickBot="1">
      <c r="B87" s="90"/>
      <c r="C87" s="90"/>
      <c r="D87" s="66"/>
      <c r="E87" s="65"/>
      <c r="F87" s="65"/>
      <c r="G87" s="65"/>
    </row>
    <row r="88" spans="2:7" ht="15.75" thickBot="1">
      <c r="B88" s="65"/>
      <c r="C88" s="65"/>
      <c r="D88" s="66"/>
      <c r="E88" s="65"/>
      <c r="F88" s="65"/>
      <c r="G88" s="65"/>
    </row>
    <row r="89" spans="2:7" ht="15.75" thickBot="1">
      <c r="B89" s="65"/>
      <c r="C89" s="65"/>
      <c r="D89" s="96"/>
      <c r="E89" s="90"/>
      <c r="F89" s="90"/>
      <c r="G89" s="90"/>
    </row>
    <row r="90" spans="2:7" ht="15.75" thickBot="1">
      <c r="B90" s="65"/>
      <c r="C90" s="65"/>
      <c r="D90" s="66"/>
      <c r="E90" s="65"/>
      <c r="F90" s="65"/>
      <c r="G90" s="65"/>
    </row>
    <row r="91" spans="2:7" ht="15.75" thickBot="1">
      <c r="B91" s="65"/>
      <c r="C91" s="65"/>
      <c r="D91" s="66"/>
      <c r="E91" s="65"/>
      <c r="F91" s="65"/>
      <c r="G91" s="65"/>
    </row>
    <row r="92" spans="2:7">
      <c r="B92" s="65"/>
      <c r="C92" s="65"/>
      <c r="D92" s="66"/>
      <c r="E92" s="65"/>
      <c r="F92" s="65"/>
      <c r="G92" s="65"/>
    </row>
    <row r="93" spans="2:7">
      <c r="B93" s="65"/>
      <c r="C93" s="65"/>
      <c r="D93" s="66"/>
      <c r="E93" s="65"/>
      <c r="F93" s="65"/>
      <c r="G93" s="65"/>
    </row>
    <row r="94" spans="2:7">
      <c r="B94" s="65"/>
      <c r="C94" s="65"/>
      <c r="D94" s="66"/>
      <c r="E94" s="65"/>
      <c r="F94" s="65"/>
      <c r="G94" s="65"/>
    </row>
    <row r="95" spans="2:7">
      <c r="B95" s="65"/>
      <c r="C95" s="65"/>
      <c r="D95" s="66"/>
      <c r="E95" s="65"/>
      <c r="F95" s="65"/>
      <c r="G95" s="65"/>
    </row>
    <row r="96" spans="2:7">
      <c r="B96" s="65"/>
      <c r="C96" s="65"/>
      <c r="D96" s="66"/>
      <c r="E96" s="65"/>
      <c r="F96" s="65"/>
      <c r="G96" s="65"/>
    </row>
    <row r="97" spans="2:7">
      <c r="B97" s="65"/>
      <c r="C97" s="65"/>
      <c r="D97" s="66"/>
      <c r="E97" s="65"/>
      <c r="F97" s="65"/>
      <c r="G97" s="65"/>
    </row>
    <row r="98" spans="2:7">
      <c r="B98" s="90"/>
      <c r="C98" s="90"/>
      <c r="D98" s="96"/>
      <c r="E98" s="90"/>
      <c r="F98" s="90"/>
      <c r="G98" s="90"/>
    </row>
    <row r="99" spans="2:7">
      <c r="B99" s="65"/>
      <c r="C99" s="65"/>
      <c r="D99" s="66"/>
      <c r="E99" s="65"/>
      <c r="F99" s="65"/>
      <c r="G99" s="65"/>
    </row>
    <row r="100" spans="2:7">
      <c r="B100" s="65"/>
      <c r="C100" s="65"/>
      <c r="D100" s="66"/>
      <c r="E100" s="65"/>
      <c r="F100" s="65"/>
      <c r="G100" s="65"/>
    </row>
  </sheetData>
  <mergeCells count="3">
    <mergeCell ref="AN1:AP1"/>
    <mergeCell ref="AE2:AH2"/>
    <mergeCell ref="AJ2:AM2"/>
  </mergeCells>
  <conditionalFormatting sqref="C1:C59 C91:C1048576">
    <cfRule type="duplicateValues" dxfId="1939" priority="5"/>
  </conditionalFormatting>
  <conditionalFormatting sqref="C1:C1048576">
    <cfRule type="duplicateValues" dxfId="1938" priority="1"/>
  </conditionalFormatting>
  <conditionalFormatting sqref="C4:C28">
    <cfRule type="duplicateValues" dxfId="1937" priority="627"/>
  </conditionalFormatting>
  <conditionalFormatting sqref="C4:C29">
    <cfRule type="duplicateValues" dxfId="1936" priority="1322"/>
  </conditionalFormatting>
  <conditionalFormatting sqref="C4:C30">
    <cfRule type="duplicateValues" dxfId="1935" priority="1327"/>
  </conditionalFormatting>
  <conditionalFormatting sqref="C4:C35">
    <cfRule type="duplicateValues" dxfId="1934" priority="1331"/>
  </conditionalFormatting>
  <conditionalFormatting sqref="C5:C24">
    <cfRule type="duplicateValues" dxfId="1933" priority="9283"/>
  </conditionalFormatting>
  <conditionalFormatting sqref="C7:C23">
    <cfRule type="duplicateValues" dxfId="1932" priority="7"/>
  </conditionalFormatting>
  <conditionalFormatting sqref="C11:C28">
    <cfRule type="duplicateValues" dxfId="1931" priority="1318"/>
  </conditionalFormatting>
  <conditionalFormatting sqref="C30:C35 C4:C28">
    <cfRule type="duplicateValues" dxfId="1930" priority="8625"/>
  </conditionalFormatting>
  <conditionalFormatting sqref="C30:C35">
    <cfRule type="duplicateValues" dxfId="1929" priority="2139"/>
  </conditionalFormatting>
  <conditionalFormatting sqref="C59 C30:C35 C4:C28">
    <cfRule type="duplicateValues" dxfId="1928" priority="8689"/>
  </conditionalFormatting>
  <conditionalFormatting sqref="C60:C90">
    <cfRule type="duplicateValues" dxfId="1927" priority="2"/>
    <cfRule type="duplicateValues" dxfId="1926" priority="3"/>
    <cfRule type="duplicateValues" dxfId="1925" priority="4"/>
  </conditionalFormatting>
  <conditionalFormatting sqref="C91:C96 C7:C24">
    <cfRule type="duplicateValues" dxfId="1924" priority="9"/>
  </conditionalFormatting>
  <conditionalFormatting sqref="C91:C96 N85 C7:C24">
    <cfRule type="duplicateValues" dxfId="1923" priority="8"/>
  </conditionalFormatting>
  <conditionalFormatting sqref="C97:C100 C7:C24">
    <cfRule type="duplicateValues" dxfId="1922" priority="9291"/>
  </conditionalFormatting>
  <conditionalFormatting sqref="C101 C4:C30">
    <cfRule type="duplicateValues" dxfId="1921" priority="1328"/>
  </conditionalFormatting>
  <conditionalFormatting sqref="C101:C1048576 C1:C59">
    <cfRule type="duplicateValues" dxfId="1920" priority="629"/>
  </conditionalFormatting>
  <conditionalFormatting sqref="C112:C1048576 C1:C58">
    <cfRule type="duplicateValues" dxfId="1919" priority="2148"/>
  </conditionalFormatting>
  <conditionalFormatting sqref="C112:C1048576">
    <cfRule type="duplicateValues" dxfId="1918" priority="2151"/>
  </conditionalFormatting>
  <conditionalFormatting sqref="R79 J77 C5:C24">
    <cfRule type="duplicateValues" dxfId="1917" priority="9285"/>
  </conditionalFormatting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T73"/>
  <sheetViews>
    <sheetView zoomScale="85" zoomScaleNormal="85" workbookViewId="0">
      <selection activeCell="E9" sqref="E9"/>
    </sheetView>
  </sheetViews>
  <sheetFormatPr defaultColWidth="9" defaultRowHeight="15"/>
  <cols>
    <col min="1" max="1" width="7.28515625" customWidth="1"/>
    <col min="2" max="2" width="9.140625" customWidth="1"/>
    <col min="3" max="3" width="9.5703125" customWidth="1"/>
    <col min="4" max="4" width="19.42578125" customWidth="1"/>
    <col min="5" max="5" width="26.7109375" customWidth="1"/>
    <col min="6" max="6" width="13.42578125" customWidth="1"/>
    <col min="7" max="7" width="18.140625" customWidth="1"/>
    <col min="8" max="8" width="6.85546875" customWidth="1"/>
    <col min="9" max="9" width="10.7109375" customWidth="1"/>
    <col min="10" max="10" width="12.85546875" customWidth="1"/>
    <col min="11" max="11" width="11.42578125" customWidth="1"/>
    <col min="12" max="12" width="11.7109375" customWidth="1"/>
    <col min="13" max="17" width="9.140625" customWidth="1"/>
    <col min="18" max="18" width="9.42578125" customWidth="1"/>
    <col min="19" max="19" width="12.42578125" customWidth="1"/>
    <col min="20" max="20" width="11.42578125" customWidth="1"/>
    <col min="21" max="27" width="16.85546875" customWidth="1"/>
    <col min="28" max="28" width="13.42578125" customWidth="1"/>
    <col min="29" max="29" width="11.28515625" customWidth="1"/>
    <col min="30" max="30" width="23.5703125" customWidth="1"/>
    <col min="32" max="39" width="9.140625" customWidth="1"/>
    <col min="40" max="40" width="11.42578125" customWidth="1"/>
    <col min="41" max="41" width="11.28515625" customWidth="1"/>
    <col min="42" max="42" width="15.85546875" customWidth="1"/>
  </cols>
  <sheetData>
    <row r="1" spans="1:46" s="2" customFormat="1" ht="23.25">
      <c r="A1" s="135" t="s">
        <v>44</v>
      </c>
      <c r="B1" s="136"/>
      <c r="C1" s="137"/>
      <c r="D1" s="137"/>
      <c r="E1" s="138">
        <f ca="1">TODAY()</f>
        <v>46045</v>
      </c>
      <c r="F1" s="139" t="s">
        <v>45</v>
      </c>
      <c r="G1" s="139" t="s">
        <v>745</v>
      </c>
      <c r="H1" s="140">
        <v>3992</v>
      </c>
      <c r="I1" s="140">
        <v>4990</v>
      </c>
      <c r="J1" s="140">
        <v>5003.991</v>
      </c>
      <c r="K1" s="141"/>
      <c r="L1" s="137"/>
      <c r="M1" s="142" t="s">
        <v>47</v>
      </c>
      <c r="N1" s="143"/>
      <c r="O1" s="143"/>
      <c r="P1" s="144"/>
      <c r="Q1" s="144"/>
      <c r="R1" s="145"/>
      <c r="S1" s="145"/>
      <c r="T1" s="142" t="s">
        <v>47</v>
      </c>
      <c r="U1" s="145"/>
      <c r="V1" s="145"/>
      <c r="W1" s="145"/>
      <c r="X1" s="145"/>
      <c r="Y1" s="146"/>
      <c r="Z1" s="145"/>
      <c r="AA1" s="145"/>
      <c r="AB1" s="145" t="s">
        <v>47</v>
      </c>
      <c r="AC1" s="145"/>
      <c r="AD1" s="145"/>
      <c r="AE1" s="146"/>
      <c r="AF1" s="146"/>
      <c r="AG1" s="146"/>
      <c r="AH1" s="146"/>
      <c r="AI1" s="147"/>
      <c r="AJ1" s="146"/>
      <c r="AK1" s="146"/>
      <c r="AL1" s="146"/>
      <c r="AM1" s="146"/>
      <c r="AN1" s="287" t="s">
        <v>48</v>
      </c>
      <c r="AO1" s="288"/>
      <c r="AP1" s="289"/>
    </row>
    <row r="2" spans="1:46" s="2" customFormat="1" ht="23.25">
      <c r="A2" s="148" t="s">
        <v>49</v>
      </c>
      <c r="B2" s="149" t="s">
        <v>50</v>
      </c>
      <c r="C2" s="149" t="s">
        <v>51</v>
      </c>
      <c r="D2" s="150" t="s">
        <v>52</v>
      </c>
      <c r="E2" s="150" t="s">
        <v>53</v>
      </c>
      <c r="F2" s="149" t="s">
        <v>54</v>
      </c>
      <c r="G2" s="150" t="s">
        <v>55</v>
      </c>
      <c r="H2" s="150" t="s">
        <v>56</v>
      </c>
      <c r="I2" s="150" t="s">
        <v>57</v>
      </c>
      <c r="J2" s="150" t="s">
        <v>58</v>
      </c>
      <c r="K2" s="150"/>
      <c r="L2" s="149" t="s">
        <v>59</v>
      </c>
      <c r="M2" s="149" t="s">
        <v>60</v>
      </c>
      <c r="N2" s="149" t="s">
        <v>61</v>
      </c>
      <c r="O2" s="151" t="s">
        <v>62</v>
      </c>
      <c r="P2" s="151" t="s">
        <v>63</v>
      </c>
      <c r="Q2" s="151" t="s">
        <v>64</v>
      </c>
      <c r="R2" s="151" t="s">
        <v>65</v>
      </c>
      <c r="S2" s="151" t="s">
        <v>66</v>
      </c>
      <c r="T2" s="151" t="s">
        <v>67</v>
      </c>
      <c r="U2" s="151" t="s">
        <v>68</v>
      </c>
      <c r="V2" s="151" t="s">
        <v>69</v>
      </c>
      <c r="W2" s="151" t="s">
        <v>70</v>
      </c>
      <c r="X2" s="151" t="s">
        <v>71</v>
      </c>
      <c r="Y2" s="151" t="s">
        <v>72</v>
      </c>
      <c r="Z2" s="151"/>
      <c r="AA2" s="151"/>
      <c r="AB2" s="151" t="s">
        <v>73</v>
      </c>
      <c r="AC2" s="151" t="s">
        <v>74</v>
      </c>
      <c r="AD2" s="151" t="s">
        <v>75</v>
      </c>
      <c r="AE2" s="290" t="s">
        <v>76</v>
      </c>
      <c r="AF2" s="290"/>
      <c r="AG2" s="290"/>
      <c r="AH2" s="290"/>
      <c r="AI2" s="152">
        <f>SUM(AI6:AI22)</f>
        <v>0</v>
      </c>
      <c r="AJ2" s="290" t="s">
        <v>77</v>
      </c>
      <c r="AK2" s="290"/>
      <c r="AL2" s="290"/>
      <c r="AM2" s="290"/>
      <c r="AN2" s="152">
        <f>SUM(AN6:AN22)</f>
        <v>600</v>
      </c>
      <c r="AO2" s="152">
        <f>SUM(AO6:AO22)</f>
        <v>200</v>
      </c>
      <c r="AP2" s="153">
        <f>SUM(AI2:AO2)</f>
        <v>800</v>
      </c>
      <c r="AQ2" s="23"/>
      <c r="AR2" s="1"/>
      <c r="AS2" s="1"/>
      <c r="AT2" s="1"/>
    </row>
    <row r="3" spans="1:46" s="1" customFormat="1" ht="39" customHeight="1">
      <c r="A3" s="24" t="s">
        <v>78</v>
      </c>
      <c r="B3" s="25" t="s">
        <v>746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6">
        <f>SUM(H5:H202)</f>
        <v>476</v>
      </c>
      <c r="I3" s="26">
        <f>SUM(I5:I202)/1000</f>
        <v>595</v>
      </c>
      <c r="J3" s="26">
        <f>SUM(J5:J202)/1000</f>
        <v>596.21600000000001</v>
      </c>
      <c r="K3" s="25" t="s">
        <v>85</v>
      </c>
      <c r="L3" s="25" t="s">
        <v>86</v>
      </c>
      <c r="M3" s="25" t="s">
        <v>87</v>
      </c>
      <c r="N3" s="25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93</v>
      </c>
      <c r="T3" s="27" t="s">
        <v>94</v>
      </c>
      <c r="U3" s="27" t="s">
        <v>95</v>
      </c>
      <c r="V3" s="27" t="s">
        <v>96</v>
      </c>
      <c r="W3" s="27" t="s">
        <v>97</v>
      </c>
      <c r="X3" s="27" t="s">
        <v>98</v>
      </c>
      <c r="Y3" s="27" t="s">
        <v>99</v>
      </c>
      <c r="Z3" s="27" t="s">
        <v>100</v>
      </c>
      <c r="AA3" s="27" t="s">
        <v>101</v>
      </c>
      <c r="AB3" s="27" t="s">
        <v>102</v>
      </c>
      <c r="AC3" s="27" t="s">
        <v>103</v>
      </c>
      <c r="AD3" s="27" t="s">
        <v>104</v>
      </c>
      <c r="AE3" s="29" t="s">
        <v>105</v>
      </c>
      <c r="AF3" s="29" t="s">
        <v>106</v>
      </c>
      <c r="AG3" s="29" t="s">
        <v>107</v>
      </c>
      <c r="AH3" s="29" t="s">
        <v>108</v>
      </c>
      <c r="AI3" s="30" t="s">
        <v>109</v>
      </c>
      <c r="AJ3" s="29" t="s">
        <v>110</v>
      </c>
      <c r="AK3" s="29" t="s">
        <v>106</v>
      </c>
      <c r="AL3" s="29" t="s">
        <v>107</v>
      </c>
      <c r="AM3" s="29" t="s">
        <v>108</v>
      </c>
      <c r="AN3" s="30" t="s">
        <v>111</v>
      </c>
      <c r="AO3" s="31" t="s">
        <v>112</v>
      </c>
      <c r="AP3" s="32" t="s">
        <v>113</v>
      </c>
    </row>
    <row r="4" spans="1:46" s="1" customFormat="1" ht="15" customHeight="1">
      <c r="A4" s="112">
        <f>ROW()-3</f>
        <v>1</v>
      </c>
      <c r="B4" s="79" t="s">
        <v>446</v>
      </c>
      <c r="C4" s="113" t="s">
        <v>404</v>
      </c>
      <c r="D4" s="113" t="s">
        <v>405</v>
      </c>
      <c r="E4" s="111" t="s">
        <v>406</v>
      </c>
      <c r="F4" s="111" t="s">
        <v>18</v>
      </c>
      <c r="G4" s="79" t="s">
        <v>103</v>
      </c>
      <c r="H4" s="256">
        <v>29</v>
      </c>
      <c r="I4" s="111">
        <v>36250</v>
      </c>
      <c r="J4" s="111">
        <v>36323</v>
      </c>
      <c r="K4" s="111" t="s">
        <v>120</v>
      </c>
      <c r="L4" s="171">
        <v>45890</v>
      </c>
      <c r="M4" s="257" t="s">
        <v>121</v>
      </c>
      <c r="N4" s="171" t="s">
        <v>122</v>
      </c>
      <c r="O4" s="171">
        <v>45881</v>
      </c>
      <c r="P4" s="171">
        <v>45907</v>
      </c>
      <c r="Q4" s="171">
        <v>45892</v>
      </c>
      <c r="R4" s="171">
        <v>45990</v>
      </c>
      <c r="S4" s="171">
        <v>46002</v>
      </c>
      <c r="T4" s="171">
        <v>46013</v>
      </c>
      <c r="U4" s="171">
        <v>46017</v>
      </c>
      <c r="V4" s="171">
        <v>46023</v>
      </c>
      <c r="W4" s="171">
        <v>46023</v>
      </c>
      <c r="X4" s="171">
        <v>46023</v>
      </c>
      <c r="Y4" s="171">
        <v>46027</v>
      </c>
      <c r="Z4" s="171">
        <v>46027</v>
      </c>
      <c r="AA4" s="171">
        <v>46028</v>
      </c>
      <c r="AB4" s="171">
        <v>46031</v>
      </c>
      <c r="AC4" s="171">
        <v>46034</v>
      </c>
      <c r="AD4" s="112" t="s">
        <v>641</v>
      </c>
      <c r="AE4" s="54">
        <f>MAX(0,Y4-X4)</f>
        <v>4</v>
      </c>
      <c r="AF4" s="36">
        <v>7</v>
      </c>
      <c r="AG4" s="51">
        <f>MAX(0,AE4-AF4)</f>
        <v>0</v>
      </c>
      <c r="AH4" s="52">
        <v>200</v>
      </c>
      <c r="AI4" s="53">
        <f>MAX(0,AG4*AH4)</f>
        <v>0</v>
      </c>
      <c r="AJ4" s="54">
        <f>MAX(0,AC4-AB4)</f>
        <v>3</v>
      </c>
      <c r="AK4" s="36">
        <v>2</v>
      </c>
      <c r="AL4" s="51">
        <f>MAX(0,AJ4-AK4)</f>
        <v>1</v>
      </c>
      <c r="AM4" s="52">
        <v>200</v>
      </c>
      <c r="AN4" s="53">
        <f>MAX(0,AL4*AM4)</f>
        <v>200</v>
      </c>
      <c r="AO4" s="52"/>
      <c r="AP4" s="55">
        <f>AO4+AN4+AI4</f>
        <v>200</v>
      </c>
    </row>
    <row r="5" spans="1:46" s="1" customFormat="1" ht="15" customHeight="1">
      <c r="A5" s="98">
        <f t="shared" ref="A5:A21" si="0">ROW()-3</f>
        <v>2</v>
      </c>
      <c r="B5" s="79" t="s">
        <v>446</v>
      </c>
      <c r="C5" s="86" t="s">
        <v>729</v>
      </c>
      <c r="D5" s="86" t="s">
        <v>730</v>
      </c>
      <c r="E5" s="79" t="s">
        <v>731</v>
      </c>
      <c r="F5" s="79" t="s">
        <v>18</v>
      </c>
      <c r="G5" s="79" t="s">
        <v>103</v>
      </c>
      <c r="H5" s="81">
        <v>28</v>
      </c>
      <c r="I5" s="111">
        <v>35000</v>
      </c>
      <c r="J5" s="111">
        <v>35070</v>
      </c>
      <c r="K5" s="79" t="s">
        <v>120</v>
      </c>
      <c r="L5" s="80">
        <v>45890</v>
      </c>
      <c r="M5" s="80" t="s">
        <v>121</v>
      </c>
      <c r="N5" s="82" t="s">
        <v>122</v>
      </c>
      <c r="O5" s="80">
        <v>45881</v>
      </c>
      <c r="P5" s="80">
        <v>45907</v>
      </c>
      <c r="Q5" s="80">
        <v>45892</v>
      </c>
      <c r="R5" s="80">
        <v>45951</v>
      </c>
      <c r="S5" s="80">
        <v>45995</v>
      </c>
      <c r="T5" s="80">
        <v>45999</v>
      </c>
      <c r="U5" s="80">
        <v>46006</v>
      </c>
      <c r="V5" s="80">
        <v>46011</v>
      </c>
      <c r="W5" s="80">
        <v>46011</v>
      </c>
      <c r="X5" s="80">
        <v>46011</v>
      </c>
      <c r="Y5" s="80">
        <v>46013</v>
      </c>
      <c r="Z5" s="80">
        <v>46013</v>
      </c>
      <c r="AA5" s="80">
        <v>46014</v>
      </c>
      <c r="AB5" s="80">
        <v>46015</v>
      </c>
      <c r="AC5" s="80">
        <v>46015</v>
      </c>
      <c r="AD5" s="112" t="s">
        <v>641</v>
      </c>
      <c r="AE5" s="54">
        <f>MAX(0,Y5-X5)</f>
        <v>2</v>
      </c>
      <c r="AF5" s="36">
        <v>7</v>
      </c>
      <c r="AG5" s="51">
        <f>MAX(0,AE5-AF5)</f>
        <v>0</v>
      </c>
      <c r="AH5" s="52">
        <v>200</v>
      </c>
      <c r="AI5" s="53">
        <f>MAX(0,AG5*AH5)</f>
        <v>0</v>
      </c>
      <c r="AJ5" s="54">
        <f>MAX(0,AC5-AB5)</f>
        <v>0</v>
      </c>
      <c r="AK5" s="36">
        <v>2</v>
      </c>
      <c r="AL5" s="51">
        <f>MAX(0,AJ5-AK5)</f>
        <v>0</v>
      </c>
      <c r="AM5" s="52">
        <v>200</v>
      </c>
      <c r="AN5" s="53">
        <f>MAX(0,AL5*AM5)</f>
        <v>0</v>
      </c>
      <c r="AO5" s="52">
        <v>0</v>
      </c>
      <c r="AP5" s="55">
        <f>AO5+AN5+AI5</f>
        <v>0</v>
      </c>
    </row>
    <row r="6" spans="1:46" s="134" customFormat="1" ht="12" customHeight="1">
      <c r="A6" s="98">
        <f t="shared" si="0"/>
        <v>3</v>
      </c>
      <c r="B6" s="79" t="s">
        <v>446</v>
      </c>
      <c r="C6" s="86" t="s">
        <v>330</v>
      </c>
      <c r="D6" s="86" t="s">
        <v>331</v>
      </c>
      <c r="E6" s="79" t="s">
        <v>332</v>
      </c>
      <c r="F6" s="79" t="s">
        <v>18</v>
      </c>
      <c r="G6" s="79" t="s">
        <v>103</v>
      </c>
      <c r="H6" s="112">
        <v>24</v>
      </c>
      <c r="I6" s="79">
        <v>30000</v>
      </c>
      <c r="J6" s="79">
        <v>30084</v>
      </c>
      <c r="K6" s="79" t="s">
        <v>120</v>
      </c>
      <c r="L6" s="80">
        <v>45890</v>
      </c>
      <c r="M6" s="80" t="s">
        <v>121</v>
      </c>
      <c r="N6" s="82" t="s">
        <v>122</v>
      </c>
      <c r="O6" s="80">
        <v>45881</v>
      </c>
      <c r="P6" s="80">
        <v>45907</v>
      </c>
      <c r="Q6" s="80">
        <v>45892</v>
      </c>
      <c r="R6" s="80">
        <v>45951</v>
      </c>
      <c r="S6" s="80">
        <v>45952</v>
      </c>
      <c r="T6" s="80">
        <v>45956</v>
      </c>
      <c r="U6" s="80">
        <v>45964</v>
      </c>
      <c r="V6" s="80">
        <v>45966</v>
      </c>
      <c r="W6" s="80">
        <v>45966</v>
      </c>
      <c r="X6" s="80">
        <v>45966</v>
      </c>
      <c r="Y6" s="80">
        <v>45969</v>
      </c>
      <c r="Z6" s="80">
        <v>45969</v>
      </c>
      <c r="AA6" s="80">
        <v>45974</v>
      </c>
      <c r="AB6" s="80">
        <v>45975</v>
      </c>
      <c r="AC6" s="80">
        <v>45978</v>
      </c>
      <c r="AD6" s="112" t="s">
        <v>641</v>
      </c>
      <c r="AE6" s="54">
        <f t="shared" ref="AE6:AE15" si="1">MAX(0,Y6-X6)</f>
        <v>3</v>
      </c>
      <c r="AF6" s="36">
        <v>7</v>
      </c>
      <c r="AG6" s="51">
        <f t="shared" ref="AG6:AG15" si="2">MAX(0,AE6-AF6)</f>
        <v>0</v>
      </c>
      <c r="AH6" s="52">
        <v>200</v>
      </c>
      <c r="AI6" s="53">
        <f t="shared" ref="AI6:AI15" si="3">MAX(0,AG6*AH6)</f>
        <v>0</v>
      </c>
      <c r="AJ6" s="54">
        <f>MAX(0,AC6-AA7)</f>
        <v>4</v>
      </c>
      <c r="AK6" s="36">
        <v>2</v>
      </c>
      <c r="AL6" s="51">
        <f t="shared" ref="AL6:AL15" si="4">MAX(0,AJ6-AK6)</f>
        <v>2</v>
      </c>
      <c r="AM6" s="52">
        <v>200</v>
      </c>
      <c r="AN6" s="53">
        <f t="shared" ref="AN6:AN15" si="5">MAX(0,AL6*AM6)</f>
        <v>400</v>
      </c>
      <c r="AO6" s="52">
        <v>0</v>
      </c>
      <c r="AP6" s="55">
        <f t="shared" ref="AP6:AP15" si="6">AO6+AN6+AI6</f>
        <v>400</v>
      </c>
    </row>
    <row r="7" spans="1:46" s="134" customFormat="1" ht="12.75">
      <c r="A7" s="98">
        <f t="shared" si="0"/>
        <v>4</v>
      </c>
      <c r="B7" s="79" t="s">
        <v>446</v>
      </c>
      <c r="C7" s="86" t="s">
        <v>425</v>
      </c>
      <c r="D7" s="86" t="s">
        <v>426</v>
      </c>
      <c r="E7" s="86" t="s">
        <v>427</v>
      </c>
      <c r="F7" s="79" t="s">
        <v>18</v>
      </c>
      <c r="G7" s="79" t="s">
        <v>103</v>
      </c>
      <c r="H7" s="112">
        <v>28</v>
      </c>
      <c r="I7" s="79">
        <v>35000</v>
      </c>
      <c r="J7" s="79">
        <v>35070</v>
      </c>
      <c r="K7" s="79" t="s">
        <v>120</v>
      </c>
      <c r="L7" s="80">
        <v>45890</v>
      </c>
      <c r="M7" s="80" t="s">
        <v>121</v>
      </c>
      <c r="N7" s="82" t="s">
        <v>122</v>
      </c>
      <c r="O7" s="80">
        <v>45881</v>
      </c>
      <c r="P7" s="154">
        <v>45907</v>
      </c>
      <c r="Q7" s="80">
        <v>45892</v>
      </c>
      <c r="R7" s="80">
        <v>45951</v>
      </c>
      <c r="S7" s="80">
        <v>45952</v>
      </c>
      <c r="T7" s="80">
        <v>45956</v>
      </c>
      <c r="U7" s="80">
        <v>45963</v>
      </c>
      <c r="V7" s="80">
        <v>45968</v>
      </c>
      <c r="W7" s="80">
        <v>45968</v>
      </c>
      <c r="X7" s="80">
        <v>45968</v>
      </c>
      <c r="Y7" s="80">
        <v>45971</v>
      </c>
      <c r="Z7" s="80">
        <v>45972</v>
      </c>
      <c r="AA7" s="80">
        <v>45974</v>
      </c>
      <c r="AB7" s="80">
        <v>45975</v>
      </c>
      <c r="AC7" s="80">
        <v>45977</v>
      </c>
      <c r="AD7" s="112" t="s">
        <v>641</v>
      </c>
      <c r="AE7" s="54">
        <f t="shared" si="1"/>
        <v>3</v>
      </c>
      <c r="AF7" s="36">
        <v>7</v>
      </c>
      <c r="AG7" s="51">
        <f t="shared" si="2"/>
        <v>0</v>
      </c>
      <c r="AH7" s="52">
        <v>200</v>
      </c>
      <c r="AI7" s="53">
        <f t="shared" si="3"/>
        <v>0</v>
      </c>
      <c r="AJ7" s="54">
        <f>MAX(0,AC7-AB7)</f>
        <v>2</v>
      </c>
      <c r="AK7" s="36">
        <v>2</v>
      </c>
      <c r="AL7" s="51">
        <f t="shared" si="4"/>
        <v>0</v>
      </c>
      <c r="AM7" s="52">
        <v>200</v>
      </c>
      <c r="AN7" s="53">
        <f t="shared" si="5"/>
        <v>0</v>
      </c>
      <c r="AO7" s="52">
        <v>0</v>
      </c>
      <c r="AP7" s="55">
        <f t="shared" si="6"/>
        <v>0</v>
      </c>
    </row>
    <row r="8" spans="1:46" s="134" customFormat="1" ht="12.75">
      <c r="A8" s="98">
        <f t="shared" si="0"/>
        <v>5</v>
      </c>
      <c r="B8" s="79" t="s">
        <v>446</v>
      </c>
      <c r="C8" s="86" t="s">
        <v>305</v>
      </c>
      <c r="D8" s="86" t="s">
        <v>306</v>
      </c>
      <c r="E8" s="79" t="s">
        <v>307</v>
      </c>
      <c r="F8" s="79" t="s">
        <v>18</v>
      </c>
      <c r="G8" s="79" t="s">
        <v>103</v>
      </c>
      <c r="H8" s="112">
        <v>28</v>
      </c>
      <c r="I8" s="79">
        <v>35000</v>
      </c>
      <c r="J8" s="79">
        <v>35070</v>
      </c>
      <c r="K8" s="79" t="s">
        <v>120</v>
      </c>
      <c r="L8" s="80">
        <v>45890</v>
      </c>
      <c r="M8" s="80" t="s">
        <v>121</v>
      </c>
      <c r="N8" s="82" t="s">
        <v>122</v>
      </c>
      <c r="O8" s="80">
        <v>45881</v>
      </c>
      <c r="P8" s="154">
        <v>45907</v>
      </c>
      <c r="Q8" s="80">
        <v>45892</v>
      </c>
      <c r="R8" s="80">
        <v>45951</v>
      </c>
      <c r="S8" s="80">
        <v>45952</v>
      </c>
      <c r="T8" s="80">
        <v>45956</v>
      </c>
      <c r="U8" s="80">
        <v>45963</v>
      </c>
      <c r="V8" s="80">
        <v>45967</v>
      </c>
      <c r="W8" s="80">
        <v>45967</v>
      </c>
      <c r="X8" s="80">
        <v>45967</v>
      </c>
      <c r="Y8" s="80">
        <v>45972</v>
      </c>
      <c r="Z8" s="80">
        <v>45973</v>
      </c>
      <c r="AA8" s="80">
        <v>45973</v>
      </c>
      <c r="AB8" s="80">
        <v>45973</v>
      </c>
      <c r="AC8" s="80">
        <v>45974</v>
      </c>
      <c r="AD8" s="112" t="s">
        <v>641</v>
      </c>
      <c r="AE8" s="54">
        <f t="shared" ref="AE8:AE13" si="7">MAX(0,Y8-X8)</f>
        <v>5</v>
      </c>
      <c r="AF8" s="36">
        <v>7</v>
      </c>
      <c r="AG8" s="51">
        <f t="shared" ref="AG8:AG13" si="8">MAX(0,AE8-AF8)</f>
        <v>0</v>
      </c>
      <c r="AH8" s="52">
        <v>200</v>
      </c>
      <c r="AI8" s="53">
        <f t="shared" ref="AI8:AI13" si="9">MAX(0,AG8*AH8)</f>
        <v>0</v>
      </c>
      <c r="AJ8" s="54">
        <f t="shared" ref="AJ8:AJ13" si="10">MAX(0,AC8-AB8)</f>
        <v>1</v>
      </c>
      <c r="AK8" s="36">
        <v>2</v>
      </c>
      <c r="AL8" s="51">
        <f t="shared" ref="AL8:AL13" si="11">MAX(0,AJ8-AK8)</f>
        <v>0</v>
      </c>
      <c r="AM8" s="52">
        <v>200</v>
      </c>
      <c r="AN8" s="53">
        <f t="shared" ref="AN8:AN13" si="12">MAX(0,AL8*AM8)</f>
        <v>0</v>
      </c>
      <c r="AO8" s="52">
        <v>0</v>
      </c>
      <c r="AP8" s="55">
        <f t="shared" ref="AP8:AP13" si="13">AO8+AN8+AI8</f>
        <v>0</v>
      </c>
    </row>
    <row r="9" spans="1:46" s="134" customFormat="1" ht="12.75">
      <c r="A9" s="98">
        <f t="shared" si="0"/>
        <v>6</v>
      </c>
      <c r="B9" s="79" t="s">
        <v>446</v>
      </c>
      <c r="C9" s="86" t="s">
        <v>733</v>
      </c>
      <c r="D9" s="86" t="s">
        <v>734</v>
      </c>
      <c r="E9" s="79" t="s">
        <v>735</v>
      </c>
      <c r="F9" s="79" t="s">
        <v>18</v>
      </c>
      <c r="G9" s="79" t="s">
        <v>103</v>
      </c>
      <c r="H9" s="112">
        <v>28</v>
      </c>
      <c r="I9" s="79">
        <v>35000</v>
      </c>
      <c r="J9" s="79">
        <v>35070</v>
      </c>
      <c r="K9" s="79" t="s">
        <v>120</v>
      </c>
      <c r="L9" s="80">
        <v>45890</v>
      </c>
      <c r="M9" s="80" t="s">
        <v>121</v>
      </c>
      <c r="N9" s="82" t="s">
        <v>122</v>
      </c>
      <c r="O9" s="80">
        <v>45881</v>
      </c>
      <c r="P9" s="154">
        <v>45907</v>
      </c>
      <c r="Q9" s="80">
        <v>45892</v>
      </c>
      <c r="R9" s="80">
        <v>45951</v>
      </c>
      <c r="S9" s="80">
        <v>45952</v>
      </c>
      <c r="T9" s="80">
        <v>45956</v>
      </c>
      <c r="U9" s="80">
        <v>45965</v>
      </c>
      <c r="V9" s="80">
        <v>45967</v>
      </c>
      <c r="W9" s="80">
        <v>45967</v>
      </c>
      <c r="X9" s="80">
        <v>45967</v>
      </c>
      <c r="Y9" s="80">
        <v>45970</v>
      </c>
      <c r="Z9" s="80">
        <v>45970</v>
      </c>
      <c r="AA9" s="80">
        <v>45971</v>
      </c>
      <c r="AB9" s="80">
        <v>45972</v>
      </c>
      <c r="AC9" s="80">
        <v>45972</v>
      </c>
      <c r="AD9" s="112" t="s">
        <v>641</v>
      </c>
      <c r="AE9" s="54">
        <f t="shared" si="7"/>
        <v>3</v>
      </c>
      <c r="AF9" s="36">
        <v>7</v>
      </c>
      <c r="AG9" s="51">
        <f t="shared" si="8"/>
        <v>0</v>
      </c>
      <c r="AH9" s="52">
        <v>200</v>
      </c>
      <c r="AI9" s="53">
        <f t="shared" si="9"/>
        <v>0</v>
      </c>
      <c r="AJ9" s="54">
        <f t="shared" si="10"/>
        <v>0</v>
      </c>
      <c r="AK9" s="36">
        <v>2</v>
      </c>
      <c r="AL9" s="51">
        <f t="shared" si="11"/>
        <v>0</v>
      </c>
      <c r="AM9" s="52">
        <v>200</v>
      </c>
      <c r="AN9" s="53">
        <f t="shared" si="12"/>
        <v>0</v>
      </c>
      <c r="AO9" s="52"/>
      <c r="AP9" s="55">
        <f t="shared" si="13"/>
        <v>0</v>
      </c>
    </row>
    <row r="10" spans="1:46" s="134" customFormat="1" ht="12" customHeight="1">
      <c r="A10" s="98">
        <f t="shared" si="0"/>
        <v>7</v>
      </c>
      <c r="B10" s="79" t="s">
        <v>446</v>
      </c>
      <c r="C10" s="86" t="s">
        <v>354</v>
      </c>
      <c r="D10" s="86" t="s">
        <v>355</v>
      </c>
      <c r="E10" s="79" t="s">
        <v>356</v>
      </c>
      <c r="F10" s="79" t="s">
        <v>18</v>
      </c>
      <c r="G10" s="78" t="s">
        <v>103</v>
      </c>
      <c r="H10" s="112">
        <v>28</v>
      </c>
      <c r="I10" s="79">
        <v>35000</v>
      </c>
      <c r="J10" s="79">
        <v>35070</v>
      </c>
      <c r="K10" s="79" t="s">
        <v>120</v>
      </c>
      <c r="L10" s="80">
        <v>45890</v>
      </c>
      <c r="M10" s="80" t="s">
        <v>121</v>
      </c>
      <c r="N10" s="82" t="s">
        <v>122</v>
      </c>
      <c r="O10" s="80">
        <v>45881</v>
      </c>
      <c r="P10" s="154">
        <v>45907</v>
      </c>
      <c r="Q10" s="80">
        <v>45892</v>
      </c>
      <c r="R10" s="80">
        <v>45951</v>
      </c>
      <c r="S10" s="80">
        <v>45952</v>
      </c>
      <c r="T10" s="80">
        <v>45956</v>
      </c>
      <c r="U10" s="80">
        <v>45958</v>
      </c>
      <c r="V10" s="80">
        <v>45962</v>
      </c>
      <c r="W10" s="80">
        <v>45962</v>
      </c>
      <c r="X10" s="80">
        <v>45962</v>
      </c>
      <c r="Y10" s="80">
        <v>45966</v>
      </c>
      <c r="Z10" s="80">
        <v>45966</v>
      </c>
      <c r="AA10" s="80">
        <v>45967</v>
      </c>
      <c r="AB10" s="80">
        <v>45968</v>
      </c>
      <c r="AC10" s="80">
        <v>45971</v>
      </c>
      <c r="AD10" s="112" t="s">
        <v>641</v>
      </c>
      <c r="AE10" s="54">
        <f t="shared" si="7"/>
        <v>4</v>
      </c>
      <c r="AF10" s="36">
        <v>7</v>
      </c>
      <c r="AG10" s="51">
        <f t="shared" si="8"/>
        <v>0</v>
      </c>
      <c r="AH10" s="52">
        <v>200</v>
      </c>
      <c r="AI10" s="53">
        <f t="shared" si="9"/>
        <v>0</v>
      </c>
      <c r="AJ10" s="54">
        <f t="shared" si="10"/>
        <v>3</v>
      </c>
      <c r="AK10" s="36">
        <v>2</v>
      </c>
      <c r="AL10" s="51">
        <f t="shared" si="11"/>
        <v>1</v>
      </c>
      <c r="AM10" s="52">
        <v>200</v>
      </c>
      <c r="AN10" s="53">
        <f t="shared" si="12"/>
        <v>200</v>
      </c>
      <c r="AO10" s="52">
        <v>25</v>
      </c>
      <c r="AP10" s="55">
        <f t="shared" si="13"/>
        <v>225</v>
      </c>
    </row>
    <row r="11" spans="1:46" s="134" customFormat="1" ht="13.5" customHeight="1">
      <c r="A11" s="98">
        <f t="shared" si="0"/>
        <v>8</v>
      </c>
      <c r="B11" s="79" t="s">
        <v>446</v>
      </c>
      <c r="C11" s="86" t="s">
        <v>410</v>
      </c>
      <c r="D11" s="88" t="s">
        <v>411</v>
      </c>
      <c r="E11" s="78" t="s">
        <v>412</v>
      </c>
      <c r="F11" s="79" t="s">
        <v>18</v>
      </c>
      <c r="G11" s="78" t="s">
        <v>103</v>
      </c>
      <c r="H11" s="112">
        <v>28</v>
      </c>
      <c r="I11" s="79">
        <v>35000</v>
      </c>
      <c r="J11" s="79">
        <v>35070</v>
      </c>
      <c r="K11" s="79" t="s">
        <v>120</v>
      </c>
      <c r="L11" s="80">
        <v>45890</v>
      </c>
      <c r="M11" s="80" t="s">
        <v>121</v>
      </c>
      <c r="N11" s="82" t="s">
        <v>122</v>
      </c>
      <c r="O11" s="80">
        <v>45881</v>
      </c>
      <c r="P11" s="154">
        <v>45907</v>
      </c>
      <c r="Q11" s="80">
        <v>45892</v>
      </c>
      <c r="R11" s="80">
        <v>45951</v>
      </c>
      <c r="S11" s="80">
        <v>45952</v>
      </c>
      <c r="T11" s="80">
        <v>45957</v>
      </c>
      <c r="U11" s="80">
        <v>45963</v>
      </c>
      <c r="V11" s="80">
        <v>45966</v>
      </c>
      <c r="W11" s="80">
        <v>45966</v>
      </c>
      <c r="X11" s="80">
        <v>45966</v>
      </c>
      <c r="Y11" s="80">
        <v>45967</v>
      </c>
      <c r="Z11" s="80">
        <v>45967</v>
      </c>
      <c r="AA11" s="80">
        <v>45968</v>
      </c>
      <c r="AB11" s="80">
        <v>45968</v>
      </c>
      <c r="AC11" s="80">
        <v>45969</v>
      </c>
      <c r="AD11" s="112" t="s">
        <v>641</v>
      </c>
      <c r="AE11" s="54">
        <f t="shared" si="7"/>
        <v>1</v>
      </c>
      <c r="AF11" s="106">
        <v>7</v>
      </c>
      <c r="AG11" s="107">
        <f t="shared" si="8"/>
        <v>0</v>
      </c>
      <c r="AH11" s="108">
        <v>200</v>
      </c>
      <c r="AI11" s="109">
        <f t="shared" si="9"/>
        <v>0</v>
      </c>
      <c r="AJ11" s="54">
        <f t="shared" si="10"/>
        <v>1</v>
      </c>
      <c r="AK11" s="106">
        <v>2</v>
      </c>
      <c r="AL11" s="107">
        <f t="shared" si="11"/>
        <v>0</v>
      </c>
      <c r="AM11" s="108">
        <v>200</v>
      </c>
      <c r="AN11" s="109">
        <f t="shared" si="12"/>
        <v>0</v>
      </c>
      <c r="AO11" s="108">
        <v>0</v>
      </c>
      <c r="AP11" s="110">
        <f t="shared" si="13"/>
        <v>0</v>
      </c>
    </row>
    <row r="12" spans="1:46" s="134" customFormat="1" ht="12" customHeight="1">
      <c r="A12" s="98">
        <f t="shared" si="0"/>
        <v>9</v>
      </c>
      <c r="B12" s="79" t="s">
        <v>446</v>
      </c>
      <c r="C12" s="86" t="s">
        <v>413</v>
      </c>
      <c r="D12" s="86" t="s">
        <v>414</v>
      </c>
      <c r="E12" s="78" t="s">
        <v>415</v>
      </c>
      <c r="F12" s="79" t="s">
        <v>18</v>
      </c>
      <c r="G12" s="78" t="s">
        <v>103</v>
      </c>
      <c r="H12" s="112">
        <v>28</v>
      </c>
      <c r="I12" s="79">
        <v>35000</v>
      </c>
      <c r="J12" s="79">
        <v>35070</v>
      </c>
      <c r="K12" s="79" t="s">
        <v>120</v>
      </c>
      <c r="L12" s="80">
        <v>45890</v>
      </c>
      <c r="M12" s="80" t="s">
        <v>121</v>
      </c>
      <c r="N12" s="82" t="s">
        <v>122</v>
      </c>
      <c r="O12" s="80">
        <v>45881</v>
      </c>
      <c r="P12" s="154">
        <v>45907</v>
      </c>
      <c r="Q12" s="80">
        <v>45892</v>
      </c>
      <c r="R12" s="80">
        <v>45951</v>
      </c>
      <c r="S12" s="80">
        <v>45952</v>
      </c>
      <c r="T12" s="80">
        <v>45956</v>
      </c>
      <c r="U12" s="80">
        <v>45963</v>
      </c>
      <c r="V12" s="80">
        <v>45966</v>
      </c>
      <c r="W12" s="80">
        <v>45966</v>
      </c>
      <c r="X12" s="80">
        <v>45966</v>
      </c>
      <c r="Y12" s="80">
        <v>45967</v>
      </c>
      <c r="Z12" s="80">
        <v>45967</v>
      </c>
      <c r="AA12" s="80">
        <v>45968</v>
      </c>
      <c r="AB12" s="80">
        <v>45968</v>
      </c>
      <c r="AC12" s="80">
        <v>45969</v>
      </c>
      <c r="AD12" s="112" t="s">
        <v>641</v>
      </c>
      <c r="AE12" s="54">
        <f t="shared" si="7"/>
        <v>1</v>
      </c>
      <c r="AF12" s="106">
        <v>7</v>
      </c>
      <c r="AG12" s="107">
        <f t="shared" si="8"/>
        <v>0</v>
      </c>
      <c r="AH12" s="108">
        <v>200</v>
      </c>
      <c r="AI12" s="109">
        <f t="shared" si="9"/>
        <v>0</v>
      </c>
      <c r="AJ12" s="54">
        <f t="shared" si="10"/>
        <v>1</v>
      </c>
      <c r="AK12" s="106">
        <v>2</v>
      </c>
      <c r="AL12" s="107">
        <f t="shared" si="11"/>
        <v>0</v>
      </c>
      <c r="AM12" s="108">
        <v>200</v>
      </c>
      <c r="AN12" s="109">
        <f t="shared" si="12"/>
        <v>0</v>
      </c>
      <c r="AO12" s="108">
        <v>0</v>
      </c>
      <c r="AP12" s="110">
        <f t="shared" si="13"/>
        <v>0</v>
      </c>
    </row>
    <row r="13" spans="1:46" s="134" customFormat="1" ht="12.75">
      <c r="A13" s="98">
        <f t="shared" si="0"/>
        <v>10</v>
      </c>
      <c r="B13" s="79" t="s">
        <v>446</v>
      </c>
      <c r="C13" s="86" t="s">
        <v>489</v>
      </c>
      <c r="D13" s="86" t="s">
        <v>490</v>
      </c>
      <c r="E13" s="79" t="s">
        <v>491</v>
      </c>
      <c r="F13" s="79" t="s">
        <v>18</v>
      </c>
      <c r="G13" s="78" t="s">
        <v>103</v>
      </c>
      <c r="H13" s="112">
        <v>28</v>
      </c>
      <c r="I13" s="79">
        <v>35000</v>
      </c>
      <c r="J13" s="79">
        <v>35070</v>
      </c>
      <c r="K13" s="79" t="s">
        <v>120</v>
      </c>
      <c r="L13" s="80">
        <v>45890</v>
      </c>
      <c r="M13" s="80" t="s">
        <v>121</v>
      </c>
      <c r="N13" s="82" t="s">
        <v>122</v>
      </c>
      <c r="O13" s="80">
        <v>45881</v>
      </c>
      <c r="P13" s="154">
        <v>45907</v>
      </c>
      <c r="Q13" s="80">
        <v>45892</v>
      </c>
      <c r="R13" s="80">
        <v>45951</v>
      </c>
      <c r="S13" s="80">
        <v>45952</v>
      </c>
      <c r="T13" s="80">
        <v>45956</v>
      </c>
      <c r="U13" s="80">
        <v>45963</v>
      </c>
      <c r="V13" s="80">
        <v>45966</v>
      </c>
      <c r="W13" s="80">
        <v>45966</v>
      </c>
      <c r="X13" s="80">
        <v>45966</v>
      </c>
      <c r="Y13" s="80">
        <v>45967</v>
      </c>
      <c r="Z13" s="80">
        <v>45967</v>
      </c>
      <c r="AA13" s="80">
        <v>45968</v>
      </c>
      <c r="AB13" s="80">
        <v>45968</v>
      </c>
      <c r="AC13" s="80">
        <v>45969</v>
      </c>
      <c r="AD13" s="112" t="s">
        <v>641</v>
      </c>
      <c r="AE13" s="54">
        <f t="shared" si="7"/>
        <v>1</v>
      </c>
      <c r="AF13" s="106">
        <v>7</v>
      </c>
      <c r="AG13" s="107">
        <f t="shared" si="8"/>
        <v>0</v>
      </c>
      <c r="AH13" s="108">
        <v>200</v>
      </c>
      <c r="AI13" s="109">
        <f t="shared" si="9"/>
        <v>0</v>
      </c>
      <c r="AJ13" s="54">
        <f t="shared" si="10"/>
        <v>1</v>
      </c>
      <c r="AK13" s="106">
        <v>2</v>
      </c>
      <c r="AL13" s="107">
        <f t="shared" si="11"/>
        <v>0</v>
      </c>
      <c r="AM13" s="108">
        <v>200</v>
      </c>
      <c r="AN13" s="109">
        <f t="shared" si="12"/>
        <v>0</v>
      </c>
      <c r="AO13" s="108">
        <v>0</v>
      </c>
      <c r="AP13" s="110">
        <f t="shared" si="13"/>
        <v>0</v>
      </c>
    </row>
    <row r="14" spans="1:46" s="1" customFormat="1" ht="12.75">
      <c r="A14" s="98">
        <f t="shared" si="0"/>
        <v>11</v>
      </c>
      <c r="B14" s="79" t="s">
        <v>446</v>
      </c>
      <c r="C14" s="89" t="s">
        <v>191</v>
      </c>
      <c r="D14" s="79" t="s">
        <v>192</v>
      </c>
      <c r="E14" s="79" t="s">
        <v>193</v>
      </c>
      <c r="F14" s="79" t="s">
        <v>18</v>
      </c>
      <c r="G14" s="78" t="s">
        <v>103</v>
      </c>
      <c r="H14" s="112">
        <v>29</v>
      </c>
      <c r="I14" s="79">
        <v>36250</v>
      </c>
      <c r="J14" s="79">
        <v>36323</v>
      </c>
      <c r="K14" s="79" t="s">
        <v>120</v>
      </c>
      <c r="L14" s="80">
        <v>45890</v>
      </c>
      <c r="M14" s="80" t="s">
        <v>121</v>
      </c>
      <c r="N14" s="82" t="s">
        <v>122</v>
      </c>
      <c r="O14" s="80">
        <v>45881</v>
      </c>
      <c r="P14" s="80">
        <v>45907</v>
      </c>
      <c r="Q14" s="80">
        <v>45892</v>
      </c>
      <c r="R14" s="80">
        <v>45949</v>
      </c>
      <c r="S14" s="80">
        <v>45950</v>
      </c>
      <c r="T14" s="80">
        <v>45953</v>
      </c>
      <c r="U14" s="80">
        <v>45957</v>
      </c>
      <c r="V14" s="80">
        <v>45962</v>
      </c>
      <c r="W14" s="80">
        <v>45962</v>
      </c>
      <c r="X14" s="80">
        <v>45962</v>
      </c>
      <c r="Y14" s="80">
        <v>45965</v>
      </c>
      <c r="Z14" s="80">
        <v>45965</v>
      </c>
      <c r="AA14" s="80">
        <v>45966</v>
      </c>
      <c r="AB14" s="80">
        <v>45966</v>
      </c>
      <c r="AC14" s="80">
        <v>45968</v>
      </c>
      <c r="AD14" s="112" t="s">
        <v>641</v>
      </c>
      <c r="AE14" s="54">
        <f t="shared" si="1"/>
        <v>3</v>
      </c>
      <c r="AF14" s="36">
        <v>7</v>
      </c>
      <c r="AG14" s="51">
        <f t="shared" si="2"/>
        <v>0</v>
      </c>
      <c r="AH14" s="52">
        <v>200</v>
      </c>
      <c r="AI14" s="53">
        <f t="shared" si="3"/>
        <v>0</v>
      </c>
      <c r="AJ14" s="54">
        <f t="shared" ref="AJ14:AJ15" si="14">MAX(0,AC14-AB14)</f>
        <v>2</v>
      </c>
      <c r="AK14" s="36">
        <v>2</v>
      </c>
      <c r="AL14" s="51">
        <f t="shared" si="4"/>
        <v>0</v>
      </c>
      <c r="AM14" s="52">
        <v>200</v>
      </c>
      <c r="AN14" s="53">
        <f t="shared" si="5"/>
        <v>0</v>
      </c>
      <c r="AO14" s="52">
        <v>25</v>
      </c>
      <c r="AP14" s="55">
        <f t="shared" si="6"/>
        <v>25</v>
      </c>
    </row>
    <row r="15" spans="1:46" s="1" customFormat="1" ht="12.75">
      <c r="A15" s="98">
        <f t="shared" si="0"/>
        <v>12</v>
      </c>
      <c r="B15" s="79" t="s">
        <v>446</v>
      </c>
      <c r="C15" s="89" t="s">
        <v>269</v>
      </c>
      <c r="D15" s="79" t="s">
        <v>270</v>
      </c>
      <c r="E15" s="79" t="s">
        <v>271</v>
      </c>
      <c r="F15" s="79" t="s">
        <v>18</v>
      </c>
      <c r="G15" s="78" t="s">
        <v>103</v>
      </c>
      <c r="H15" s="112">
        <v>29</v>
      </c>
      <c r="I15" s="79">
        <v>36250</v>
      </c>
      <c r="J15" s="79">
        <v>36323</v>
      </c>
      <c r="K15" s="79" t="s">
        <v>120</v>
      </c>
      <c r="L15" s="80">
        <v>45890</v>
      </c>
      <c r="M15" s="80" t="s">
        <v>121</v>
      </c>
      <c r="N15" s="82" t="s">
        <v>122</v>
      </c>
      <c r="O15" s="80">
        <v>45881</v>
      </c>
      <c r="P15" s="80">
        <v>45907</v>
      </c>
      <c r="Q15" s="80">
        <v>45892</v>
      </c>
      <c r="R15" s="80">
        <v>45949</v>
      </c>
      <c r="S15" s="80">
        <v>45950</v>
      </c>
      <c r="T15" s="80">
        <v>45953</v>
      </c>
      <c r="U15" s="80">
        <v>45957</v>
      </c>
      <c r="V15" s="80">
        <v>45960</v>
      </c>
      <c r="W15" s="80">
        <v>45960</v>
      </c>
      <c r="X15" s="80">
        <v>45960</v>
      </c>
      <c r="Y15" s="80">
        <v>45965</v>
      </c>
      <c r="Z15" s="80">
        <v>45965</v>
      </c>
      <c r="AA15" s="80">
        <v>45966</v>
      </c>
      <c r="AB15" s="80">
        <v>45966</v>
      </c>
      <c r="AC15" s="80">
        <v>45968</v>
      </c>
      <c r="AD15" s="112" t="s">
        <v>641</v>
      </c>
      <c r="AE15" s="54">
        <f t="shared" si="1"/>
        <v>5</v>
      </c>
      <c r="AF15" s="106">
        <v>7</v>
      </c>
      <c r="AG15" s="107">
        <f t="shared" si="2"/>
        <v>0</v>
      </c>
      <c r="AH15" s="108">
        <v>200</v>
      </c>
      <c r="AI15" s="109">
        <f t="shared" si="3"/>
        <v>0</v>
      </c>
      <c r="AJ15" s="54">
        <f t="shared" si="14"/>
        <v>2</v>
      </c>
      <c r="AK15" s="106">
        <v>2</v>
      </c>
      <c r="AL15" s="107">
        <f t="shared" si="4"/>
        <v>0</v>
      </c>
      <c r="AM15" s="108">
        <v>200</v>
      </c>
      <c r="AN15" s="109">
        <f t="shared" si="5"/>
        <v>0</v>
      </c>
      <c r="AO15" s="108">
        <v>50</v>
      </c>
      <c r="AP15" s="110">
        <f t="shared" si="6"/>
        <v>50</v>
      </c>
    </row>
    <row r="16" spans="1:46" s="1" customFormat="1" ht="12.75">
      <c r="A16" s="98">
        <f t="shared" si="0"/>
        <v>13</v>
      </c>
      <c r="B16" s="79" t="s">
        <v>446</v>
      </c>
      <c r="C16" s="89" t="s">
        <v>736</v>
      </c>
      <c r="D16" s="79" t="s">
        <v>737</v>
      </c>
      <c r="E16" s="79" t="s">
        <v>738</v>
      </c>
      <c r="F16" s="79" t="s">
        <v>18</v>
      </c>
      <c r="G16" s="78" t="s">
        <v>103</v>
      </c>
      <c r="H16" s="112">
        <v>29</v>
      </c>
      <c r="I16" s="79">
        <v>36250</v>
      </c>
      <c r="J16" s="79">
        <v>36323</v>
      </c>
      <c r="K16" s="79" t="s">
        <v>120</v>
      </c>
      <c r="L16" s="80">
        <v>45890</v>
      </c>
      <c r="M16" s="80" t="s">
        <v>121</v>
      </c>
      <c r="N16" s="82" t="s">
        <v>122</v>
      </c>
      <c r="O16" s="80">
        <v>45881</v>
      </c>
      <c r="P16" s="80">
        <v>45907</v>
      </c>
      <c r="Q16" s="80">
        <v>45892</v>
      </c>
      <c r="R16" s="80">
        <v>45949</v>
      </c>
      <c r="S16" s="80">
        <v>45950</v>
      </c>
      <c r="T16" s="80">
        <v>45953</v>
      </c>
      <c r="U16" s="80">
        <v>45958</v>
      </c>
      <c r="V16" s="80">
        <v>45961</v>
      </c>
      <c r="W16" s="80">
        <v>45961</v>
      </c>
      <c r="X16" s="80">
        <v>45961</v>
      </c>
      <c r="Y16" s="80">
        <v>45965</v>
      </c>
      <c r="Z16" s="80">
        <v>45965</v>
      </c>
      <c r="AA16" s="80">
        <v>45966</v>
      </c>
      <c r="AB16" s="80">
        <v>45966</v>
      </c>
      <c r="AC16" s="80">
        <v>45967</v>
      </c>
      <c r="AD16" s="112" t="s">
        <v>641</v>
      </c>
      <c r="AE16" s="54">
        <f t="shared" ref="AE16:AE21" si="15">MAX(0,Y16-X16)</f>
        <v>4</v>
      </c>
      <c r="AF16" s="36">
        <v>7</v>
      </c>
      <c r="AG16" s="51">
        <f t="shared" ref="AG16:AG21" si="16">MAX(0,AE16-AF16)</f>
        <v>0</v>
      </c>
      <c r="AH16" s="52">
        <v>200</v>
      </c>
      <c r="AI16" s="53">
        <f t="shared" ref="AI16:AI21" si="17">MAX(0,AG16*AH16)</f>
        <v>0</v>
      </c>
      <c r="AJ16" s="54">
        <f t="shared" ref="AJ16:AJ21" si="18">MAX(0,AC16-AB16)</f>
        <v>1</v>
      </c>
      <c r="AK16" s="36">
        <v>2</v>
      </c>
      <c r="AL16" s="51">
        <f t="shared" ref="AL16:AL21" si="19">MAX(0,AJ16-AK16)</f>
        <v>0</v>
      </c>
      <c r="AM16" s="52">
        <v>200</v>
      </c>
      <c r="AN16" s="53">
        <f t="shared" ref="AN16:AN21" si="20">MAX(0,AL16*AM16)</f>
        <v>0</v>
      </c>
      <c r="AO16" s="52">
        <v>25</v>
      </c>
      <c r="AP16" s="55">
        <f t="shared" ref="AP16:AP21" si="21">AO16+AN16+AI16</f>
        <v>25</v>
      </c>
    </row>
    <row r="17" spans="1:42" s="1" customFormat="1" ht="12.75">
      <c r="A17" s="98">
        <f t="shared" si="0"/>
        <v>14</v>
      </c>
      <c r="B17" s="79" t="s">
        <v>446</v>
      </c>
      <c r="C17" s="89" t="s">
        <v>437</v>
      </c>
      <c r="D17" s="79" t="s">
        <v>438</v>
      </c>
      <c r="E17" s="79" t="s">
        <v>439</v>
      </c>
      <c r="F17" s="79" t="s">
        <v>18</v>
      </c>
      <c r="G17" s="78" t="s">
        <v>103</v>
      </c>
      <c r="H17" s="112">
        <v>28</v>
      </c>
      <c r="I17" s="79">
        <v>35000</v>
      </c>
      <c r="J17" s="79">
        <v>35070</v>
      </c>
      <c r="K17" s="79" t="s">
        <v>120</v>
      </c>
      <c r="L17" s="80">
        <v>45890</v>
      </c>
      <c r="M17" s="80" t="s">
        <v>121</v>
      </c>
      <c r="N17" s="82" t="s">
        <v>122</v>
      </c>
      <c r="O17" s="80">
        <v>45881</v>
      </c>
      <c r="P17" s="80">
        <v>45907</v>
      </c>
      <c r="Q17" s="80">
        <v>45892</v>
      </c>
      <c r="R17" s="80">
        <v>45949</v>
      </c>
      <c r="S17" s="80">
        <v>45950</v>
      </c>
      <c r="T17" s="80">
        <v>45953</v>
      </c>
      <c r="U17" s="80">
        <v>45957</v>
      </c>
      <c r="V17" s="80">
        <v>45959</v>
      </c>
      <c r="W17" s="80">
        <v>45959</v>
      </c>
      <c r="X17" s="80">
        <v>45959</v>
      </c>
      <c r="Y17" s="80">
        <v>45965</v>
      </c>
      <c r="Z17" s="80">
        <v>45965</v>
      </c>
      <c r="AA17" s="80">
        <v>45966</v>
      </c>
      <c r="AB17" s="80">
        <v>45966</v>
      </c>
      <c r="AC17" s="80">
        <v>45967</v>
      </c>
      <c r="AD17" s="112" t="s">
        <v>641</v>
      </c>
      <c r="AE17" s="54">
        <f t="shared" si="15"/>
        <v>6</v>
      </c>
      <c r="AF17" s="106">
        <v>7</v>
      </c>
      <c r="AG17" s="107">
        <f t="shared" si="16"/>
        <v>0</v>
      </c>
      <c r="AH17" s="108">
        <v>200</v>
      </c>
      <c r="AI17" s="109">
        <f t="shared" si="17"/>
        <v>0</v>
      </c>
      <c r="AJ17" s="54">
        <f t="shared" si="18"/>
        <v>1</v>
      </c>
      <c r="AK17" s="106">
        <v>2</v>
      </c>
      <c r="AL17" s="107">
        <f t="shared" si="19"/>
        <v>0</v>
      </c>
      <c r="AM17" s="108">
        <v>200</v>
      </c>
      <c r="AN17" s="109">
        <f t="shared" si="20"/>
        <v>0</v>
      </c>
      <c r="AO17" s="108">
        <v>50</v>
      </c>
      <c r="AP17" s="110">
        <f t="shared" si="21"/>
        <v>50</v>
      </c>
    </row>
    <row r="18" spans="1:42" s="1" customFormat="1" ht="12.75">
      <c r="A18" s="98">
        <f t="shared" si="0"/>
        <v>15</v>
      </c>
      <c r="B18" s="79" t="s">
        <v>446</v>
      </c>
      <c r="C18" s="89" t="s">
        <v>739</v>
      </c>
      <c r="D18" s="79" t="s">
        <v>740</v>
      </c>
      <c r="E18" s="79" t="s">
        <v>741</v>
      </c>
      <c r="F18" s="79" t="s">
        <v>18</v>
      </c>
      <c r="G18" s="78" t="s">
        <v>103</v>
      </c>
      <c r="H18" s="112">
        <v>29</v>
      </c>
      <c r="I18" s="79">
        <v>36250</v>
      </c>
      <c r="J18" s="79">
        <v>36323</v>
      </c>
      <c r="K18" s="79" t="s">
        <v>120</v>
      </c>
      <c r="L18" s="80">
        <v>45890</v>
      </c>
      <c r="M18" s="80" t="s">
        <v>121</v>
      </c>
      <c r="N18" s="82" t="s">
        <v>122</v>
      </c>
      <c r="O18" s="80">
        <v>45881</v>
      </c>
      <c r="P18" s="80">
        <v>45907</v>
      </c>
      <c r="Q18" s="80">
        <v>45892</v>
      </c>
      <c r="R18" s="80">
        <v>45949</v>
      </c>
      <c r="S18" s="80">
        <v>45950</v>
      </c>
      <c r="T18" s="80">
        <v>45953</v>
      </c>
      <c r="U18" s="80">
        <v>45958</v>
      </c>
      <c r="V18" s="80">
        <v>45962</v>
      </c>
      <c r="W18" s="80">
        <v>45962</v>
      </c>
      <c r="X18" s="80">
        <v>45962</v>
      </c>
      <c r="Y18" s="80">
        <v>45965</v>
      </c>
      <c r="Z18" s="80">
        <v>45965</v>
      </c>
      <c r="AA18" s="80">
        <v>45966</v>
      </c>
      <c r="AB18" s="80">
        <v>45966</v>
      </c>
      <c r="AC18" s="80">
        <v>45967</v>
      </c>
      <c r="AD18" s="112" t="s">
        <v>641</v>
      </c>
      <c r="AE18" s="54">
        <f t="shared" si="15"/>
        <v>3</v>
      </c>
      <c r="AF18" s="36">
        <v>7</v>
      </c>
      <c r="AG18" s="51">
        <f t="shared" si="16"/>
        <v>0</v>
      </c>
      <c r="AH18" s="52">
        <v>200</v>
      </c>
      <c r="AI18" s="53">
        <f t="shared" si="17"/>
        <v>0</v>
      </c>
      <c r="AJ18" s="54">
        <f t="shared" si="18"/>
        <v>1</v>
      </c>
      <c r="AK18" s="36">
        <v>2</v>
      </c>
      <c r="AL18" s="51">
        <f t="shared" si="19"/>
        <v>0</v>
      </c>
      <c r="AM18" s="52">
        <v>200</v>
      </c>
      <c r="AN18" s="53">
        <f t="shared" si="20"/>
        <v>0</v>
      </c>
      <c r="AO18" s="52">
        <v>0</v>
      </c>
      <c r="AP18" s="55">
        <f t="shared" si="21"/>
        <v>0</v>
      </c>
    </row>
    <row r="19" spans="1:42" s="1" customFormat="1" ht="12.75">
      <c r="A19" s="98">
        <f t="shared" si="0"/>
        <v>16</v>
      </c>
      <c r="B19" s="79" t="s">
        <v>446</v>
      </c>
      <c r="C19" s="89" t="s">
        <v>364</v>
      </c>
      <c r="D19" s="79" t="s">
        <v>365</v>
      </c>
      <c r="E19" s="79" t="s">
        <v>366</v>
      </c>
      <c r="F19" s="79" t="s">
        <v>18</v>
      </c>
      <c r="G19" s="78" t="s">
        <v>103</v>
      </c>
      <c r="H19" s="112">
        <v>28</v>
      </c>
      <c r="I19" s="79">
        <v>35000</v>
      </c>
      <c r="J19" s="79">
        <v>35070</v>
      </c>
      <c r="K19" s="79" t="s">
        <v>120</v>
      </c>
      <c r="L19" s="80">
        <v>45890</v>
      </c>
      <c r="M19" s="80" t="s">
        <v>121</v>
      </c>
      <c r="N19" s="82" t="s">
        <v>122</v>
      </c>
      <c r="O19" s="80">
        <v>45881</v>
      </c>
      <c r="P19" s="80">
        <v>45907</v>
      </c>
      <c r="Q19" s="80">
        <v>45892</v>
      </c>
      <c r="R19" s="80">
        <v>45949</v>
      </c>
      <c r="S19" s="80">
        <v>45950</v>
      </c>
      <c r="T19" s="80">
        <v>45953</v>
      </c>
      <c r="U19" s="80">
        <v>45958</v>
      </c>
      <c r="V19" s="80">
        <v>45962</v>
      </c>
      <c r="W19" s="80">
        <v>45962</v>
      </c>
      <c r="X19" s="80">
        <v>45962</v>
      </c>
      <c r="Y19" s="80">
        <v>45965</v>
      </c>
      <c r="Z19" s="80">
        <v>45965</v>
      </c>
      <c r="AA19" s="80">
        <v>45966</v>
      </c>
      <c r="AB19" s="80">
        <v>45966</v>
      </c>
      <c r="AC19" s="80">
        <v>45967</v>
      </c>
      <c r="AD19" s="112" t="s">
        <v>641</v>
      </c>
      <c r="AE19" s="54">
        <f t="shared" si="15"/>
        <v>3</v>
      </c>
      <c r="AF19" s="106">
        <v>7</v>
      </c>
      <c r="AG19" s="107">
        <f t="shared" si="16"/>
        <v>0</v>
      </c>
      <c r="AH19" s="108">
        <v>200</v>
      </c>
      <c r="AI19" s="109">
        <f t="shared" si="17"/>
        <v>0</v>
      </c>
      <c r="AJ19" s="54">
        <f t="shared" si="18"/>
        <v>1</v>
      </c>
      <c r="AK19" s="106">
        <v>2</v>
      </c>
      <c r="AL19" s="107">
        <f t="shared" si="19"/>
        <v>0</v>
      </c>
      <c r="AM19" s="108">
        <v>200</v>
      </c>
      <c r="AN19" s="109">
        <f t="shared" si="20"/>
        <v>0</v>
      </c>
      <c r="AO19" s="108">
        <v>0</v>
      </c>
      <c r="AP19" s="110">
        <f t="shared" si="21"/>
        <v>0</v>
      </c>
    </row>
    <row r="20" spans="1:42" s="1" customFormat="1" ht="12.75">
      <c r="A20" s="98">
        <f t="shared" si="0"/>
        <v>17</v>
      </c>
      <c r="B20" s="79" t="s">
        <v>446</v>
      </c>
      <c r="C20" s="89" t="s">
        <v>450</v>
      </c>
      <c r="D20" s="79" t="s">
        <v>451</v>
      </c>
      <c r="E20" s="79" t="s">
        <v>452</v>
      </c>
      <c r="F20" s="79" t="s">
        <v>18</v>
      </c>
      <c r="G20" s="78" t="s">
        <v>103</v>
      </c>
      <c r="H20" s="112">
        <v>28</v>
      </c>
      <c r="I20" s="79">
        <v>35000</v>
      </c>
      <c r="J20" s="79">
        <v>35070</v>
      </c>
      <c r="K20" s="79" t="s">
        <v>120</v>
      </c>
      <c r="L20" s="80">
        <v>45890</v>
      </c>
      <c r="M20" s="80" t="s">
        <v>121</v>
      </c>
      <c r="N20" s="82" t="s">
        <v>122</v>
      </c>
      <c r="O20" s="80">
        <v>45881</v>
      </c>
      <c r="P20" s="80">
        <v>45907</v>
      </c>
      <c r="Q20" s="80">
        <v>45892</v>
      </c>
      <c r="R20" s="80">
        <v>45949</v>
      </c>
      <c r="S20" s="80">
        <v>45950</v>
      </c>
      <c r="T20" s="80">
        <v>45953</v>
      </c>
      <c r="U20" s="80">
        <v>45958</v>
      </c>
      <c r="V20" s="80">
        <v>45960</v>
      </c>
      <c r="W20" s="80">
        <v>45960</v>
      </c>
      <c r="X20" s="80">
        <v>45960</v>
      </c>
      <c r="Y20" s="80">
        <v>45965</v>
      </c>
      <c r="Z20" s="80">
        <v>45965</v>
      </c>
      <c r="AA20" s="80">
        <v>45966</v>
      </c>
      <c r="AB20" s="80">
        <v>45966</v>
      </c>
      <c r="AC20" s="80">
        <v>45967</v>
      </c>
      <c r="AD20" s="112" t="s">
        <v>641</v>
      </c>
      <c r="AE20" s="54">
        <f t="shared" si="15"/>
        <v>5</v>
      </c>
      <c r="AF20" s="36">
        <v>7</v>
      </c>
      <c r="AG20" s="51">
        <f t="shared" si="16"/>
        <v>0</v>
      </c>
      <c r="AH20" s="52">
        <v>200</v>
      </c>
      <c r="AI20" s="53">
        <f t="shared" si="17"/>
        <v>0</v>
      </c>
      <c r="AJ20" s="54">
        <f t="shared" si="18"/>
        <v>1</v>
      </c>
      <c r="AK20" s="36">
        <v>2</v>
      </c>
      <c r="AL20" s="51">
        <f t="shared" si="19"/>
        <v>0</v>
      </c>
      <c r="AM20" s="52">
        <v>200</v>
      </c>
      <c r="AN20" s="53">
        <f t="shared" si="20"/>
        <v>0</v>
      </c>
      <c r="AO20" s="52">
        <v>25</v>
      </c>
      <c r="AP20" s="55">
        <f t="shared" si="21"/>
        <v>25</v>
      </c>
    </row>
    <row r="21" spans="1:42" s="134" customFormat="1" ht="12.75">
      <c r="A21" s="98">
        <f t="shared" si="0"/>
        <v>18</v>
      </c>
      <c r="B21" s="79" t="s">
        <v>446</v>
      </c>
      <c r="C21" s="86" t="s">
        <v>742</v>
      </c>
      <c r="D21" s="89" t="s">
        <v>743</v>
      </c>
      <c r="E21" s="79" t="s">
        <v>744</v>
      </c>
      <c r="F21" s="79" t="s">
        <v>18</v>
      </c>
      <c r="G21" s="78" t="s">
        <v>103</v>
      </c>
      <c r="H21" s="112">
        <v>28</v>
      </c>
      <c r="I21" s="79">
        <v>35000</v>
      </c>
      <c r="J21" s="79">
        <v>35070</v>
      </c>
      <c r="K21" s="79" t="s">
        <v>120</v>
      </c>
      <c r="L21" s="80">
        <v>45890</v>
      </c>
      <c r="M21" s="80" t="s">
        <v>121</v>
      </c>
      <c r="N21" s="82" t="s">
        <v>122</v>
      </c>
      <c r="O21" s="80">
        <v>45881</v>
      </c>
      <c r="P21" s="154">
        <v>45907</v>
      </c>
      <c r="Q21" s="80">
        <v>45892</v>
      </c>
      <c r="R21" s="80">
        <v>45951</v>
      </c>
      <c r="S21" s="80">
        <v>45952</v>
      </c>
      <c r="T21" s="80">
        <v>45956</v>
      </c>
      <c r="U21" s="80">
        <v>45957</v>
      </c>
      <c r="V21" s="80">
        <v>45959</v>
      </c>
      <c r="W21" s="80">
        <v>45959</v>
      </c>
      <c r="X21" s="80">
        <v>45959</v>
      </c>
      <c r="Y21" s="80">
        <v>45963</v>
      </c>
      <c r="Z21" s="80">
        <v>45964</v>
      </c>
      <c r="AA21" s="80">
        <v>45964</v>
      </c>
      <c r="AB21" s="80">
        <v>45964</v>
      </c>
      <c r="AC21" s="80">
        <v>45965</v>
      </c>
      <c r="AD21" s="112" t="s">
        <v>641</v>
      </c>
      <c r="AE21" s="54">
        <f t="shared" si="15"/>
        <v>4</v>
      </c>
      <c r="AF21" s="36">
        <v>7</v>
      </c>
      <c r="AG21" s="51">
        <f t="shared" si="16"/>
        <v>0</v>
      </c>
      <c r="AH21" s="52">
        <v>200</v>
      </c>
      <c r="AI21" s="53">
        <f t="shared" si="17"/>
        <v>0</v>
      </c>
      <c r="AJ21" s="54">
        <f t="shared" si="18"/>
        <v>1</v>
      </c>
      <c r="AK21" s="36">
        <v>2</v>
      </c>
      <c r="AL21" s="51">
        <f t="shared" si="19"/>
        <v>0</v>
      </c>
      <c r="AM21" s="52">
        <v>200</v>
      </c>
      <c r="AN21" s="53">
        <f t="shared" si="20"/>
        <v>0</v>
      </c>
      <c r="AO21" s="52"/>
      <c r="AP21" s="55">
        <f t="shared" si="21"/>
        <v>0</v>
      </c>
    </row>
    <row r="22" spans="1:42">
      <c r="A22" s="91"/>
      <c r="B22" s="34"/>
      <c r="C22" s="35"/>
      <c r="D22" s="92"/>
      <c r="E22" s="36"/>
      <c r="F22" s="34"/>
      <c r="G22" s="33"/>
      <c r="H22" s="34"/>
      <c r="I22" s="34"/>
      <c r="J22" s="34"/>
      <c r="K22" s="33"/>
      <c r="L22" s="39"/>
      <c r="M22" s="39"/>
      <c r="N22" s="40"/>
      <c r="O22" s="39"/>
      <c r="P22" s="39"/>
      <c r="Q22" s="39"/>
      <c r="R22" s="39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36"/>
      <c r="AE22" s="54">
        <f t="shared" ref="AE22" si="22">MAX(0,Y22-X22)</f>
        <v>0</v>
      </c>
      <c r="AF22" s="36">
        <v>7</v>
      </c>
      <c r="AG22" s="51">
        <f t="shared" ref="AG22" si="23">MAX(0,AE22-AF22)</f>
        <v>0</v>
      </c>
      <c r="AH22" s="52">
        <v>200</v>
      </c>
      <c r="AI22" s="53">
        <f t="shared" ref="AI22" si="24">MAX(0,AG22*AH22)</f>
        <v>0</v>
      </c>
      <c r="AJ22" s="54">
        <f t="shared" ref="AJ22" si="25">MAX(0,AC22-AB22)</f>
        <v>0</v>
      </c>
      <c r="AK22" s="36">
        <v>2</v>
      </c>
      <c r="AL22" s="51">
        <f t="shared" ref="AL22" si="26">MAX(0,AJ22-AK22)</f>
        <v>0</v>
      </c>
      <c r="AM22" s="52">
        <v>200</v>
      </c>
      <c r="AN22" s="53">
        <f t="shared" ref="AN22" si="27">MAX(0,AL22*AM22)</f>
        <v>0</v>
      </c>
      <c r="AO22" s="52"/>
      <c r="AP22" s="55">
        <f t="shared" ref="AP22" si="28">AO22+AN22+AI22</f>
        <v>0</v>
      </c>
    </row>
    <row r="23" spans="1:42">
      <c r="A23" s="91"/>
      <c r="B23" s="34"/>
      <c r="C23" s="35"/>
      <c r="D23" s="92"/>
      <c r="E23" s="36"/>
      <c r="F23" s="34"/>
      <c r="G23" s="33"/>
      <c r="H23" s="34"/>
      <c r="I23" s="34"/>
      <c r="J23" s="34"/>
      <c r="K23" s="33"/>
      <c r="L23" s="39"/>
      <c r="M23" s="39"/>
      <c r="N23" s="40"/>
      <c r="O23" s="39"/>
      <c r="P23" s="39"/>
      <c r="Q23" s="39"/>
      <c r="R23" s="39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36"/>
      <c r="AE23" s="54">
        <f t="shared" ref="AE23:AE35" si="29">MAX(0,Y23-X23)</f>
        <v>0</v>
      </c>
      <c r="AF23" s="36">
        <v>7</v>
      </c>
      <c r="AG23" s="51">
        <f t="shared" ref="AG23:AG35" si="30">MAX(0,AE23-AF23)</f>
        <v>0</v>
      </c>
      <c r="AH23" s="52">
        <v>200</v>
      </c>
      <c r="AI23" s="53">
        <f t="shared" ref="AI23:AI35" si="31">MAX(0,AG23*AH23)</f>
        <v>0</v>
      </c>
      <c r="AJ23" s="54">
        <f t="shared" ref="AJ23:AJ35" si="32">MAX(0,AC23-AB23)</f>
        <v>0</v>
      </c>
      <c r="AK23" s="36">
        <v>2</v>
      </c>
      <c r="AL23" s="51">
        <f t="shared" ref="AL23:AL35" si="33">MAX(0,AJ23-AK23)</f>
        <v>0</v>
      </c>
      <c r="AM23" s="52">
        <v>200</v>
      </c>
      <c r="AN23" s="53">
        <f t="shared" ref="AN23:AN35" si="34">MAX(0,AL23*AM23)</f>
        <v>0</v>
      </c>
      <c r="AO23" s="52"/>
      <c r="AP23" s="55">
        <f t="shared" ref="AP23:AP35" si="35">AO23+AN23+AI23</f>
        <v>0</v>
      </c>
    </row>
    <row r="24" spans="1:42">
      <c r="A24" s="91"/>
      <c r="B24" s="34"/>
      <c r="C24" s="35"/>
      <c r="D24" s="92"/>
      <c r="E24" s="36"/>
      <c r="F24" s="34"/>
      <c r="G24" s="33"/>
      <c r="H24" s="34"/>
      <c r="I24" s="34"/>
      <c r="J24" s="34"/>
      <c r="K24" s="33"/>
      <c r="L24" s="39"/>
      <c r="M24" s="39"/>
      <c r="N24" s="40"/>
      <c r="O24" s="39"/>
      <c r="P24" s="39"/>
      <c r="Q24" s="39"/>
      <c r="R24" s="39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36"/>
      <c r="AE24" s="54">
        <f t="shared" si="29"/>
        <v>0</v>
      </c>
      <c r="AF24" s="36">
        <v>7</v>
      </c>
      <c r="AG24" s="51">
        <f t="shared" si="30"/>
        <v>0</v>
      </c>
      <c r="AH24" s="52">
        <v>200</v>
      </c>
      <c r="AI24" s="53">
        <f t="shared" si="31"/>
        <v>0</v>
      </c>
      <c r="AJ24" s="54">
        <f t="shared" si="32"/>
        <v>0</v>
      </c>
      <c r="AK24" s="36">
        <v>2</v>
      </c>
      <c r="AL24" s="51">
        <f t="shared" si="33"/>
        <v>0</v>
      </c>
      <c r="AM24" s="52">
        <v>200</v>
      </c>
      <c r="AN24" s="53">
        <f t="shared" si="34"/>
        <v>0</v>
      </c>
      <c r="AO24" s="52"/>
      <c r="AP24" s="55">
        <f t="shared" si="35"/>
        <v>0</v>
      </c>
    </row>
    <row r="25" spans="1:42">
      <c r="A25" s="91"/>
      <c r="B25" s="34"/>
      <c r="C25" s="35"/>
      <c r="D25" s="92"/>
      <c r="E25" s="36"/>
      <c r="F25" s="34"/>
      <c r="G25" s="33"/>
      <c r="H25" s="34"/>
      <c r="I25" s="34"/>
      <c r="J25" s="34"/>
      <c r="K25" s="33"/>
      <c r="L25" s="39"/>
      <c r="M25" s="39"/>
      <c r="N25" s="40"/>
      <c r="O25" s="39"/>
      <c r="P25" s="39"/>
      <c r="Q25" s="39"/>
      <c r="R25" s="39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36"/>
      <c r="AE25" s="54">
        <f t="shared" si="29"/>
        <v>0</v>
      </c>
      <c r="AF25" s="36">
        <v>7</v>
      </c>
      <c r="AG25" s="51">
        <f t="shared" si="30"/>
        <v>0</v>
      </c>
      <c r="AH25" s="52">
        <v>200</v>
      </c>
      <c r="AI25" s="53">
        <f t="shared" si="31"/>
        <v>0</v>
      </c>
      <c r="AJ25" s="54">
        <f t="shared" si="32"/>
        <v>0</v>
      </c>
      <c r="AK25" s="36">
        <v>2</v>
      </c>
      <c r="AL25" s="51">
        <f t="shared" si="33"/>
        <v>0</v>
      </c>
      <c r="AM25" s="52">
        <v>200</v>
      </c>
      <c r="AN25" s="53">
        <f t="shared" si="34"/>
        <v>0</v>
      </c>
      <c r="AO25" s="52"/>
      <c r="AP25" s="55">
        <f t="shared" si="35"/>
        <v>0</v>
      </c>
    </row>
    <row r="26" spans="1:42">
      <c r="A26" s="91"/>
      <c r="B26" s="34"/>
      <c r="C26" s="35"/>
      <c r="D26" s="92"/>
      <c r="E26" s="36"/>
      <c r="F26" s="34"/>
      <c r="G26" s="33"/>
      <c r="H26" s="34"/>
      <c r="I26" s="34"/>
      <c r="J26" s="34"/>
      <c r="K26" s="33"/>
      <c r="L26" s="39"/>
      <c r="M26" s="39"/>
      <c r="N26" s="40"/>
      <c r="O26" s="39"/>
      <c r="P26" s="39"/>
      <c r="Q26" s="39"/>
      <c r="R26" s="39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36"/>
      <c r="AE26" s="54">
        <f t="shared" si="29"/>
        <v>0</v>
      </c>
      <c r="AF26" s="36">
        <v>7</v>
      </c>
      <c r="AG26" s="51">
        <f t="shared" si="30"/>
        <v>0</v>
      </c>
      <c r="AH26" s="52">
        <v>200</v>
      </c>
      <c r="AI26" s="53">
        <f t="shared" si="31"/>
        <v>0</v>
      </c>
      <c r="AJ26" s="54">
        <f t="shared" si="32"/>
        <v>0</v>
      </c>
      <c r="AK26" s="36">
        <v>2</v>
      </c>
      <c r="AL26" s="51">
        <f t="shared" si="33"/>
        <v>0</v>
      </c>
      <c r="AM26" s="52">
        <v>200</v>
      </c>
      <c r="AN26" s="53">
        <f t="shared" si="34"/>
        <v>0</v>
      </c>
      <c r="AO26" s="52"/>
      <c r="AP26" s="55">
        <f t="shared" si="35"/>
        <v>0</v>
      </c>
    </row>
    <row r="27" spans="1:42">
      <c r="A27" s="91"/>
      <c r="B27" s="34"/>
      <c r="C27" s="35"/>
      <c r="D27" s="92"/>
      <c r="E27" s="36"/>
      <c r="F27" s="34"/>
      <c r="G27" s="33"/>
      <c r="H27" s="34"/>
      <c r="I27" s="34"/>
      <c r="J27" s="34"/>
      <c r="K27" s="33"/>
      <c r="L27" s="39"/>
      <c r="M27" s="39"/>
      <c r="N27" s="40"/>
      <c r="O27" s="39"/>
      <c r="P27" s="39"/>
      <c r="Q27" s="39"/>
      <c r="R27" s="39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36"/>
      <c r="AE27" s="54">
        <f t="shared" si="29"/>
        <v>0</v>
      </c>
      <c r="AF27" s="36">
        <v>7</v>
      </c>
      <c r="AG27" s="51">
        <f t="shared" si="30"/>
        <v>0</v>
      </c>
      <c r="AH27" s="52">
        <v>200</v>
      </c>
      <c r="AI27" s="53">
        <f t="shared" si="31"/>
        <v>0</v>
      </c>
      <c r="AJ27" s="54">
        <f t="shared" si="32"/>
        <v>0</v>
      </c>
      <c r="AK27" s="36">
        <v>2</v>
      </c>
      <c r="AL27" s="51">
        <f t="shared" si="33"/>
        <v>0</v>
      </c>
      <c r="AM27" s="52">
        <v>200</v>
      </c>
      <c r="AN27" s="53">
        <f t="shared" si="34"/>
        <v>0</v>
      </c>
      <c r="AO27" s="52"/>
      <c r="AP27" s="55">
        <f t="shared" si="35"/>
        <v>0</v>
      </c>
    </row>
    <row r="28" spans="1:42">
      <c r="A28" s="91"/>
      <c r="B28" s="34"/>
      <c r="C28" s="35"/>
      <c r="D28" s="92"/>
      <c r="E28" s="36"/>
      <c r="F28" s="34"/>
      <c r="G28" s="33"/>
      <c r="H28" s="34"/>
      <c r="I28" s="34"/>
      <c r="J28" s="34"/>
      <c r="K28" s="33"/>
      <c r="L28" s="39"/>
      <c r="M28" s="39"/>
      <c r="N28" s="40"/>
      <c r="O28" s="39"/>
      <c r="P28" s="39"/>
      <c r="Q28" s="39"/>
      <c r="R28" s="39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36"/>
      <c r="AE28" s="54">
        <f t="shared" si="29"/>
        <v>0</v>
      </c>
      <c r="AF28" s="36">
        <v>7</v>
      </c>
      <c r="AG28" s="51">
        <f t="shared" si="30"/>
        <v>0</v>
      </c>
      <c r="AH28" s="52">
        <v>200</v>
      </c>
      <c r="AI28" s="53">
        <f t="shared" si="31"/>
        <v>0</v>
      </c>
      <c r="AJ28" s="54">
        <f t="shared" si="32"/>
        <v>0</v>
      </c>
      <c r="AK28" s="36">
        <v>2</v>
      </c>
      <c r="AL28" s="51">
        <f t="shared" si="33"/>
        <v>0</v>
      </c>
      <c r="AM28" s="52">
        <v>200</v>
      </c>
      <c r="AN28" s="53">
        <f t="shared" si="34"/>
        <v>0</v>
      </c>
      <c r="AO28" s="52"/>
      <c r="AP28" s="55">
        <f t="shared" si="35"/>
        <v>0</v>
      </c>
    </row>
    <row r="29" spans="1:42">
      <c r="A29" s="91"/>
      <c r="B29" s="34"/>
      <c r="C29" s="35"/>
      <c r="D29" s="92"/>
      <c r="E29" s="36"/>
      <c r="F29" s="34"/>
      <c r="G29" s="33"/>
      <c r="H29" s="34"/>
      <c r="I29" s="34"/>
      <c r="J29" s="34"/>
      <c r="K29" s="33"/>
      <c r="L29" s="39"/>
      <c r="M29" s="39"/>
      <c r="N29" s="40"/>
      <c r="O29" s="39"/>
      <c r="P29" s="39"/>
      <c r="Q29" s="39"/>
      <c r="R29" s="39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36"/>
      <c r="AE29" s="54">
        <f t="shared" si="29"/>
        <v>0</v>
      </c>
      <c r="AF29" s="36">
        <v>7</v>
      </c>
      <c r="AG29" s="51">
        <f t="shared" si="30"/>
        <v>0</v>
      </c>
      <c r="AH29" s="52">
        <v>200</v>
      </c>
      <c r="AI29" s="53">
        <f t="shared" si="31"/>
        <v>0</v>
      </c>
      <c r="AJ29" s="54">
        <f t="shared" si="32"/>
        <v>0</v>
      </c>
      <c r="AK29" s="36">
        <v>2</v>
      </c>
      <c r="AL29" s="51">
        <f t="shared" si="33"/>
        <v>0</v>
      </c>
      <c r="AM29" s="52">
        <v>200</v>
      </c>
      <c r="AN29" s="53">
        <f t="shared" si="34"/>
        <v>0</v>
      </c>
      <c r="AO29" s="52"/>
      <c r="AP29" s="55">
        <f t="shared" si="35"/>
        <v>0</v>
      </c>
    </row>
    <row r="30" spans="1:42">
      <c r="A30" s="91"/>
      <c r="B30" s="34"/>
      <c r="C30" s="35"/>
      <c r="D30" s="92"/>
      <c r="E30" s="36"/>
      <c r="F30" s="34"/>
      <c r="G30" s="33"/>
      <c r="H30" s="34"/>
      <c r="I30" s="34"/>
      <c r="J30" s="34"/>
      <c r="K30" s="33"/>
      <c r="L30" s="39"/>
      <c r="M30" s="39"/>
      <c r="N30" s="40"/>
      <c r="O30" s="39"/>
      <c r="P30" s="39"/>
      <c r="Q30" s="39"/>
      <c r="R30" s="39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36"/>
      <c r="AE30" s="54">
        <f t="shared" si="29"/>
        <v>0</v>
      </c>
      <c r="AF30" s="36">
        <v>7</v>
      </c>
      <c r="AG30" s="51">
        <f t="shared" si="30"/>
        <v>0</v>
      </c>
      <c r="AH30" s="52">
        <v>200</v>
      </c>
      <c r="AI30" s="53">
        <f t="shared" si="31"/>
        <v>0</v>
      </c>
      <c r="AJ30" s="54">
        <f t="shared" si="32"/>
        <v>0</v>
      </c>
      <c r="AK30" s="36">
        <v>2</v>
      </c>
      <c r="AL30" s="51">
        <f t="shared" si="33"/>
        <v>0</v>
      </c>
      <c r="AM30" s="52">
        <v>200</v>
      </c>
      <c r="AN30" s="53">
        <f t="shared" si="34"/>
        <v>0</v>
      </c>
      <c r="AO30" s="52"/>
      <c r="AP30" s="55">
        <f t="shared" si="35"/>
        <v>0</v>
      </c>
    </row>
    <row r="31" spans="1:42">
      <c r="A31" s="91"/>
      <c r="B31" s="34"/>
      <c r="C31" s="35"/>
      <c r="D31" s="92"/>
      <c r="E31" s="36"/>
      <c r="F31" s="34"/>
      <c r="G31" s="33"/>
      <c r="H31" s="34"/>
      <c r="I31" s="34"/>
      <c r="J31" s="34"/>
      <c r="K31" s="33"/>
      <c r="L31" s="39"/>
      <c r="M31" s="39"/>
      <c r="N31" s="40"/>
      <c r="O31" s="39"/>
      <c r="P31" s="39"/>
      <c r="Q31" s="39"/>
      <c r="R31" s="39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36"/>
      <c r="AE31" s="54">
        <f t="shared" si="29"/>
        <v>0</v>
      </c>
      <c r="AF31" s="36">
        <v>7</v>
      </c>
      <c r="AG31" s="51">
        <f t="shared" si="30"/>
        <v>0</v>
      </c>
      <c r="AH31" s="52">
        <v>200</v>
      </c>
      <c r="AI31" s="53">
        <f t="shared" si="31"/>
        <v>0</v>
      </c>
      <c r="AJ31" s="54">
        <f t="shared" si="32"/>
        <v>0</v>
      </c>
      <c r="AK31" s="36">
        <v>2</v>
      </c>
      <c r="AL31" s="51">
        <f t="shared" si="33"/>
        <v>0</v>
      </c>
      <c r="AM31" s="52">
        <v>200</v>
      </c>
      <c r="AN31" s="53">
        <f t="shared" si="34"/>
        <v>0</v>
      </c>
      <c r="AO31" s="52"/>
      <c r="AP31" s="55">
        <f t="shared" si="35"/>
        <v>0</v>
      </c>
    </row>
    <row r="32" spans="1:42">
      <c r="A32" s="91"/>
      <c r="B32" s="34"/>
      <c r="C32" s="35"/>
      <c r="D32" s="92"/>
      <c r="E32" s="36"/>
      <c r="F32" s="34"/>
      <c r="G32" s="33"/>
      <c r="H32" s="34"/>
      <c r="I32" s="34"/>
      <c r="J32" s="34"/>
      <c r="K32" s="33"/>
      <c r="L32" s="39"/>
      <c r="M32" s="39"/>
      <c r="N32" s="40"/>
      <c r="O32" s="39"/>
      <c r="P32" s="39"/>
      <c r="Q32" s="39"/>
      <c r="R32" s="39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36"/>
      <c r="AE32" s="54">
        <f t="shared" si="29"/>
        <v>0</v>
      </c>
      <c r="AF32" s="36">
        <v>7</v>
      </c>
      <c r="AG32" s="51">
        <f t="shared" si="30"/>
        <v>0</v>
      </c>
      <c r="AH32" s="52">
        <v>200</v>
      </c>
      <c r="AI32" s="53">
        <f t="shared" si="31"/>
        <v>0</v>
      </c>
      <c r="AJ32" s="54">
        <f t="shared" si="32"/>
        <v>0</v>
      </c>
      <c r="AK32" s="36">
        <v>2</v>
      </c>
      <c r="AL32" s="51">
        <f t="shared" si="33"/>
        <v>0</v>
      </c>
      <c r="AM32" s="52">
        <v>200</v>
      </c>
      <c r="AN32" s="53">
        <f t="shared" si="34"/>
        <v>0</v>
      </c>
      <c r="AO32" s="52"/>
      <c r="AP32" s="55">
        <f t="shared" si="35"/>
        <v>0</v>
      </c>
    </row>
    <row r="33" spans="1:42">
      <c r="A33" s="91"/>
      <c r="B33" s="34"/>
      <c r="C33" s="35"/>
      <c r="D33" s="92"/>
      <c r="E33" s="36"/>
      <c r="F33" s="34"/>
      <c r="G33" s="33"/>
      <c r="H33" s="34"/>
      <c r="I33" s="34"/>
      <c r="J33" s="34"/>
      <c r="K33" s="33"/>
      <c r="L33" s="39"/>
      <c r="M33" s="39"/>
      <c r="N33" s="40"/>
      <c r="O33" s="39"/>
      <c r="P33" s="39"/>
      <c r="Q33" s="39"/>
      <c r="R33" s="39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36"/>
      <c r="AE33" s="54">
        <f t="shared" si="29"/>
        <v>0</v>
      </c>
      <c r="AF33" s="36">
        <v>7</v>
      </c>
      <c r="AG33" s="51">
        <f t="shared" si="30"/>
        <v>0</v>
      </c>
      <c r="AH33" s="52">
        <v>200</v>
      </c>
      <c r="AI33" s="53">
        <f t="shared" si="31"/>
        <v>0</v>
      </c>
      <c r="AJ33" s="54">
        <f t="shared" si="32"/>
        <v>0</v>
      </c>
      <c r="AK33" s="36">
        <v>2</v>
      </c>
      <c r="AL33" s="51">
        <f t="shared" si="33"/>
        <v>0</v>
      </c>
      <c r="AM33" s="52">
        <v>200</v>
      </c>
      <c r="AN33" s="53">
        <f t="shared" si="34"/>
        <v>0</v>
      </c>
      <c r="AO33" s="52"/>
      <c r="AP33" s="55">
        <f t="shared" si="35"/>
        <v>0</v>
      </c>
    </row>
    <row r="34" spans="1:42">
      <c r="A34" s="91"/>
      <c r="B34" s="34"/>
      <c r="C34" s="35"/>
      <c r="D34" s="92"/>
      <c r="E34" s="36"/>
      <c r="F34" s="34"/>
      <c r="G34" s="33"/>
      <c r="H34" s="34"/>
      <c r="I34" s="34"/>
      <c r="J34" s="34"/>
      <c r="K34" s="33"/>
      <c r="L34" s="39"/>
      <c r="M34" s="39"/>
      <c r="N34" s="40"/>
      <c r="O34" s="39"/>
      <c r="P34" s="39"/>
      <c r="Q34" s="39"/>
      <c r="R34" s="39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36"/>
      <c r="AE34" s="54">
        <f t="shared" si="29"/>
        <v>0</v>
      </c>
      <c r="AF34" s="36">
        <v>7</v>
      </c>
      <c r="AG34" s="51">
        <f t="shared" si="30"/>
        <v>0</v>
      </c>
      <c r="AH34" s="52">
        <v>200</v>
      </c>
      <c r="AI34" s="53">
        <f t="shared" si="31"/>
        <v>0</v>
      </c>
      <c r="AJ34" s="54">
        <f t="shared" si="32"/>
        <v>0</v>
      </c>
      <c r="AK34" s="36">
        <v>2</v>
      </c>
      <c r="AL34" s="51">
        <f t="shared" si="33"/>
        <v>0</v>
      </c>
      <c r="AM34" s="52">
        <v>200</v>
      </c>
      <c r="AN34" s="53">
        <f t="shared" si="34"/>
        <v>0</v>
      </c>
      <c r="AO34" s="52"/>
      <c r="AP34" s="55">
        <f t="shared" si="35"/>
        <v>0</v>
      </c>
    </row>
    <row r="35" spans="1:42">
      <c r="A35" s="91"/>
      <c r="B35" s="34"/>
      <c r="C35" s="35"/>
      <c r="D35" s="92"/>
      <c r="E35" s="36"/>
      <c r="F35" s="34"/>
      <c r="G35" s="33"/>
      <c r="H35" s="34"/>
      <c r="I35" s="34"/>
      <c r="J35" s="34"/>
      <c r="K35" s="33"/>
      <c r="L35" s="39"/>
      <c r="M35" s="39"/>
      <c r="N35" s="40"/>
      <c r="O35" s="39"/>
      <c r="P35" s="39"/>
      <c r="Q35" s="39"/>
      <c r="R35" s="39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36"/>
      <c r="AE35" s="54">
        <f t="shared" si="29"/>
        <v>0</v>
      </c>
      <c r="AF35" s="36">
        <v>7</v>
      </c>
      <c r="AG35" s="51">
        <f t="shared" si="30"/>
        <v>0</v>
      </c>
      <c r="AH35" s="52">
        <v>200</v>
      </c>
      <c r="AI35" s="53">
        <f t="shared" si="31"/>
        <v>0</v>
      </c>
      <c r="AJ35" s="54">
        <f t="shared" si="32"/>
        <v>0</v>
      </c>
      <c r="AK35" s="36">
        <v>2</v>
      </c>
      <c r="AL35" s="51">
        <f t="shared" si="33"/>
        <v>0</v>
      </c>
      <c r="AM35" s="52">
        <v>200</v>
      </c>
      <c r="AN35" s="53">
        <f t="shared" si="34"/>
        <v>0</v>
      </c>
      <c r="AO35" s="52"/>
      <c r="AP35" s="55">
        <f t="shared" si="35"/>
        <v>0</v>
      </c>
    </row>
    <row r="36" spans="1:42">
      <c r="B36" s="65"/>
      <c r="C36" s="156"/>
      <c r="D36" s="66"/>
      <c r="E36" s="65"/>
      <c r="F36" s="65"/>
      <c r="G36" s="65"/>
    </row>
    <row r="37" spans="1:42">
      <c r="B37" s="132"/>
      <c r="C37" s="130"/>
      <c r="D37" s="66"/>
      <c r="E37" s="65"/>
      <c r="F37" s="65"/>
      <c r="G37" s="65"/>
    </row>
    <row r="38" spans="1:42">
      <c r="B38" s="132"/>
      <c r="C38" s="130"/>
      <c r="D38" s="66"/>
      <c r="E38" s="65"/>
      <c r="F38" s="65"/>
      <c r="G38" s="65"/>
    </row>
    <row r="39" spans="1:42">
      <c r="B39" s="132"/>
      <c r="C39" s="130"/>
      <c r="D39" s="66"/>
      <c r="E39" s="65"/>
      <c r="F39" s="65"/>
      <c r="G39" s="65"/>
    </row>
    <row r="40" spans="1:42">
      <c r="B40" s="132"/>
      <c r="C40" s="131"/>
      <c r="D40" s="66"/>
      <c r="E40" s="65"/>
      <c r="F40" s="65"/>
      <c r="G40" s="65"/>
    </row>
    <row r="41" spans="1:42">
      <c r="B41" s="132"/>
      <c r="C41" s="130"/>
      <c r="D41" s="66"/>
      <c r="E41" s="65"/>
      <c r="F41" s="65"/>
      <c r="G41" s="65"/>
    </row>
    <row r="42" spans="1:42">
      <c r="B42" s="132"/>
      <c r="C42" s="130"/>
      <c r="D42" s="66"/>
      <c r="E42" s="65"/>
      <c r="F42" s="65"/>
      <c r="G42" s="65"/>
    </row>
    <row r="43" spans="1:42">
      <c r="B43" s="132"/>
      <c r="C43" s="130"/>
      <c r="D43" s="66"/>
      <c r="E43" s="65"/>
      <c r="F43" s="65"/>
      <c r="G43" s="65"/>
    </row>
    <row r="44" spans="1:42">
      <c r="B44" s="132"/>
      <c r="C44" s="130"/>
      <c r="D44" s="66"/>
      <c r="E44" s="65"/>
      <c r="F44" s="65"/>
      <c r="G44" s="65"/>
    </row>
    <row r="45" spans="1:42">
      <c r="B45" s="132"/>
      <c r="C45" s="130"/>
      <c r="D45" s="66"/>
      <c r="E45" s="65"/>
      <c r="F45" s="65"/>
      <c r="G45" s="65"/>
    </row>
    <row r="46" spans="1:42">
      <c r="B46" s="132"/>
      <c r="C46" s="130"/>
      <c r="D46" s="66"/>
      <c r="E46" s="65"/>
      <c r="F46" s="65"/>
      <c r="G46" s="65"/>
    </row>
    <row r="47" spans="1:42">
      <c r="B47" s="132"/>
      <c r="C47" s="130"/>
      <c r="D47" s="66"/>
      <c r="E47" s="65"/>
      <c r="F47" s="65"/>
      <c r="G47" s="65"/>
    </row>
    <row r="48" spans="1:42">
      <c r="B48" s="132"/>
      <c r="C48" s="130"/>
      <c r="D48" s="66"/>
      <c r="E48" s="65"/>
      <c r="F48" s="65"/>
      <c r="G48" s="65"/>
    </row>
    <row r="49" spans="2:7">
      <c r="B49" s="132"/>
      <c r="C49" s="130"/>
      <c r="D49" s="66"/>
      <c r="E49" s="65"/>
      <c r="F49" s="65"/>
      <c r="G49" s="65"/>
    </row>
    <row r="50" spans="2:7">
      <c r="B50" s="132"/>
      <c r="C50" s="130"/>
      <c r="D50" s="66"/>
      <c r="E50" s="65"/>
      <c r="F50" s="65"/>
      <c r="G50" s="65"/>
    </row>
    <row r="51" spans="2:7">
      <c r="B51" s="132"/>
      <c r="C51" s="130"/>
      <c r="D51" s="66"/>
      <c r="E51" s="65"/>
      <c r="F51" s="65"/>
      <c r="G51" s="65"/>
    </row>
    <row r="52" spans="2:7">
      <c r="B52" s="132"/>
      <c r="C52" s="130"/>
      <c r="D52" s="66"/>
      <c r="E52" s="65"/>
      <c r="F52" s="65"/>
      <c r="G52" s="65"/>
    </row>
    <row r="53" spans="2:7">
      <c r="B53" s="132"/>
      <c r="C53" s="131"/>
      <c r="D53" s="66"/>
      <c r="E53" s="65"/>
      <c r="F53" s="65"/>
      <c r="G53" s="65"/>
    </row>
    <row r="54" spans="2:7">
      <c r="B54" s="132"/>
      <c r="C54" s="130"/>
      <c r="D54" s="66"/>
      <c r="E54" s="65"/>
      <c r="F54" s="65"/>
      <c r="G54" s="65"/>
    </row>
    <row r="55" spans="2:7">
      <c r="B55" s="132"/>
      <c r="C55" s="130"/>
      <c r="D55" s="66"/>
      <c r="E55" s="65"/>
      <c r="F55" s="65"/>
      <c r="G55" s="65"/>
    </row>
    <row r="56" spans="2:7">
      <c r="B56" s="65"/>
      <c r="C56" s="65"/>
      <c r="D56" s="66"/>
      <c r="E56" s="65"/>
      <c r="F56" s="65"/>
      <c r="G56" s="65"/>
    </row>
    <row r="57" spans="2:7">
      <c r="B57" s="65"/>
      <c r="C57" s="65"/>
      <c r="D57" s="66"/>
      <c r="E57" s="65"/>
      <c r="F57" s="65"/>
      <c r="G57" s="65"/>
    </row>
    <row r="58" spans="2:7">
      <c r="B58" s="65"/>
      <c r="C58" s="65"/>
      <c r="D58" s="66"/>
      <c r="E58" s="65"/>
      <c r="F58" s="65"/>
      <c r="G58" s="65"/>
    </row>
    <row r="59" spans="2:7">
      <c r="B59" s="65"/>
      <c r="C59" s="65"/>
      <c r="D59" s="66"/>
      <c r="E59" s="65"/>
      <c r="F59" s="65"/>
      <c r="G59" s="65"/>
    </row>
    <row r="60" spans="2:7">
      <c r="B60" s="65"/>
      <c r="C60" s="65"/>
      <c r="D60" s="66"/>
      <c r="E60" s="65"/>
      <c r="F60" s="65"/>
      <c r="G60" s="65"/>
    </row>
    <row r="61" spans="2:7">
      <c r="B61" s="90"/>
      <c r="C61" s="90"/>
      <c r="D61" s="96"/>
      <c r="E61" s="90"/>
      <c r="F61" s="90"/>
      <c r="G61" s="90"/>
    </row>
    <row r="62" spans="2:7">
      <c r="B62" s="65"/>
      <c r="C62" s="65"/>
      <c r="D62" s="66"/>
      <c r="E62" s="65"/>
      <c r="F62" s="65"/>
      <c r="G62" s="65"/>
    </row>
    <row r="63" spans="2:7">
      <c r="B63" s="65"/>
      <c r="C63" s="65"/>
      <c r="D63" s="66"/>
      <c r="E63" s="65"/>
      <c r="F63" s="65"/>
      <c r="G63" s="65"/>
    </row>
    <row r="64" spans="2:7">
      <c r="B64" s="65"/>
      <c r="C64" s="65"/>
      <c r="D64" s="66"/>
      <c r="E64" s="65"/>
      <c r="F64" s="65"/>
      <c r="G64" s="65"/>
    </row>
    <row r="65" spans="2:7">
      <c r="B65" s="90"/>
      <c r="C65" s="90"/>
      <c r="D65" s="96"/>
      <c r="E65" s="90"/>
      <c r="F65" s="90"/>
      <c r="G65" s="90"/>
    </row>
    <row r="66" spans="2:7">
      <c r="B66" s="65"/>
      <c r="C66" s="65"/>
      <c r="D66" s="66"/>
      <c r="E66" s="65"/>
      <c r="F66" s="65"/>
      <c r="G66" s="65"/>
    </row>
    <row r="67" spans="2:7">
      <c r="B67" s="65"/>
      <c r="C67" s="65"/>
      <c r="D67" s="66"/>
      <c r="E67" s="65"/>
      <c r="F67" s="65"/>
      <c r="G67" s="65"/>
    </row>
    <row r="68" spans="2:7">
      <c r="B68" s="65"/>
      <c r="C68" s="65"/>
      <c r="D68" s="66"/>
      <c r="E68" s="65"/>
      <c r="F68" s="65"/>
      <c r="G68" s="65"/>
    </row>
    <row r="69" spans="2:7">
      <c r="B69" s="65"/>
      <c r="C69" s="65"/>
      <c r="D69" s="66"/>
      <c r="E69" s="65"/>
      <c r="F69" s="65"/>
      <c r="G69" s="65"/>
    </row>
    <row r="70" spans="2:7">
      <c r="B70" s="65"/>
      <c r="C70" s="65"/>
      <c r="D70" s="66"/>
      <c r="E70" s="65"/>
      <c r="F70" s="65"/>
      <c r="G70" s="65"/>
    </row>
    <row r="71" spans="2:7">
      <c r="B71" s="65"/>
      <c r="C71" s="65"/>
      <c r="D71" s="66"/>
      <c r="E71" s="65"/>
      <c r="F71" s="65"/>
      <c r="G71" s="65"/>
    </row>
    <row r="72" spans="2:7">
      <c r="B72" s="90"/>
      <c r="C72" s="90"/>
      <c r="D72" s="96"/>
      <c r="E72" s="90"/>
      <c r="F72" s="90"/>
      <c r="G72" s="90"/>
    </row>
    <row r="73" spans="2:7">
      <c r="B73" s="65"/>
      <c r="C73" s="65"/>
      <c r="D73" s="66"/>
      <c r="E73" s="65"/>
      <c r="F73" s="65"/>
      <c r="G73" s="65"/>
    </row>
  </sheetData>
  <mergeCells count="3">
    <mergeCell ref="AN1:AP1"/>
    <mergeCell ref="AE2:AH2"/>
    <mergeCell ref="AJ2:AM2"/>
  </mergeCells>
  <conditionalFormatting sqref="C1:C3 C5:C1048576">
    <cfRule type="duplicateValues" dxfId="1916" priority="44"/>
  </conditionalFormatting>
  <conditionalFormatting sqref="C1:C3">
    <cfRule type="duplicateValues" dxfId="1915" priority="1048"/>
  </conditionalFormatting>
  <conditionalFormatting sqref="C4">
    <cfRule type="duplicateValues" dxfId="1914" priority="1"/>
  </conditionalFormatting>
  <conditionalFormatting sqref="C5">
    <cfRule type="duplicateValues" dxfId="1913" priority="49"/>
    <cfRule type="duplicateValues" dxfId="1912" priority="56"/>
  </conditionalFormatting>
  <conditionalFormatting sqref="C6">
    <cfRule type="duplicateValues" dxfId="1911" priority="953"/>
    <cfRule type="duplicateValues" dxfId="1910" priority="964"/>
  </conditionalFormatting>
  <conditionalFormatting sqref="C6:C21">
    <cfRule type="duplicateValues" dxfId="1909" priority="3841"/>
  </conditionalFormatting>
  <conditionalFormatting sqref="C6:C36 C1:C3 C65:C1048576">
    <cfRule type="duplicateValues" dxfId="1908" priority="57"/>
  </conditionalFormatting>
  <conditionalFormatting sqref="C7">
    <cfRule type="duplicateValues" dxfId="1907" priority="3447"/>
  </conditionalFormatting>
  <conditionalFormatting sqref="C8">
    <cfRule type="duplicateValues" dxfId="1906" priority="990"/>
  </conditionalFormatting>
  <conditionalFormatting sqref="C9">
    <cfRule type="duplicateValues" dxfId="1905" priority="1002"/>
    <cfRule type="duplicateValues" dxfId="1904" priority="1008"/>
  </conditionalFormatting>
  <conditionalFormatting sqref="C10">
    <cfRule type="duplicateValues" dxfId="1903" priority="965"/>
  </conditionalFormatting>
  <conditionalFormatting sqref="C11">
    <cfRule type="duplicateValues" dxfId="1902" priority="989"/>
  </conditionalFormatting>
  <conditionalFormatting sqref="C12">
    <cfRule type="duplicateValues" dxfId="1901" priority="1001"/>
  </conditionalFormatting>
  <conditionalFormatting sqref="C13">
    <cfRule type="duplicateValues" dxfId="1900" priority="1000"/>
  </conditionalFormatting>
  <conditionalFormatting sqref="C14:C20">
    <cfRule type="duplicateValues" dxfId="1899" priority="1049"/>
  </conditionalFormatting>
  <conditionalFormatting sqref="C21 C6:C13">
    <cfRule type="duplicateValues" dxfId="1898" priority="3844"/>
  </conditionalFormatting>
  <conditionalFormatting sqref="C21">
    <cfRule type="duplicateValues" dxfId="1897" priority="1046"/>
  </conditionalFormatting>
  <conditionalFormatting sqref="C22:C35">
    <cfRule type="duplicateValues" dxfId="1896" priority="5157"/>
  </conditionalFormatting>
  <conditionalFormatting sqref="C37:C55">
    <cfRule type="duplicateValues" dxfId="1895" priority="45"/>
  </conditionalFormatting>
  <conditionalFormatting sqref="C56:C1048576 C1:C3 C5:C36">
    <cfRule type="duplicateValues" dxfId="1894" priority="47"/>
  </conditionalFormatting>
  <conditionalFormatting sqref="C65:C1048576 C1:C3 C6:C35">
    <cfRule type="duplicateValues" dxfId="1893" priority="294"/>
  </conditionalFormatting>
  <conditionalFormatting sqref="C65:C1048576 C1:C3 C6:C36">
    <cfRule type="duplicateValues" dxfId="1892" priority="287"/>
  </conditionalFormatting>
  <conditionalFormatting sqref="C65:C1048576">
    <cfRule type="duplicateValues" dxfId="1891" priority="293"/>
  </conditionalFormatting>
  <conditionalFormatting sqref="C69:C1048576 C1:C3 C6:C35">
    <cfRule type="duplicateValues" dxfId="1890" priority="315"/>
  </conditionalFormatting>
  <conditionalFormatting sqref="C74:C1048576 C1:C3 C6:C35">
    <cfRule type="duplicateValues" dxfId="1889" priority="572"/>
  </conditionalFormatting>
  <conditionalFormatting sqref="C74:C1048576 C22:C35 C1:C3 C14:C20">
    <cfRule type="duplicateValues" dxfId="1888" priority="1047"/>
  </conditionalFormatting>
  <conditionalFormatting sqref="C74:C1048576 C22:C35">
    <cfRule type="duplicateValues" dxfId="1887" priority="924"/>
  </conditionalFormatting>
  <conditionalFormatting sqref="C74:C1048576">
    <cfRule type="duplicateValues" dxfId="1886" priority="571"/>
  </conditionalFormatting>
  <conditionalFormatting sqref="D5">
    <cfRule type="duplicateValues" dxfId="1885" priority="48"/>
  </conditionalFormatting>
  <conditionalFormatting sqref="D6">
    <cfRule type="duplicateValues" dxfId="1884" priority="948"/>
  </conditionalFormatting>
  <conditionalFormatting sqref="D9">
    <cfRule type="duplicateValues" dxfId="1883" priority="951"/>
  </conditionalFormatting>
  <conditionalFormatting sqref="E7">
    <cfRule type="duplicateValues" dxfId="1882" priority="3633"/>
  </conditionalFormatting>
  <conditionalFormatting sqref="E8">
    <cfRule type="duplicateValues" dxfId="1881" priority="945"/>
  </conditionalFormatting>
  <conditionalFormatting sqref="E10">
    <cfRule type="containsText" dxfId="1880" priority="941" operator="containsText" text="TBA">
      <formula>NOT(ISERROR(SEARCH("TBA",E10)))</formula>
    </cfRule>
    <cfRule type="duplicateValues" dxfId="1879" priority="942"/>
  </conditionalFormatting>
  <conditionalFormatting sqref="E14">
    <cfRule type="duplicateValues" dxfId="1878" priority="1050"/>
  </conditionalFormatting>
  <conditionalFormatting sqref="E15:E20">
    <cfRule type="duplicateValues" dxfId="1877" priority="1059"/>
  </conditionalFormatting>
  <conditionalFormatting sqref="E22:E35">
    <cfRule type="duplicateValues" dxfId="1876" priority="517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X191"/>
  <sheetViews>
    <sheetView zoomScale="85" zoomScaleNormal="85" workbookViewId="0">
      <pane xSplit="2" ySplit="3" topLeftCell="C73" activePane="bottomRight" state="frozen"/>
      <selection pane="topRight"/>
      <selection pane="bottomLeft"/>
      <selection pane="bottomRight" activeCell="D88" sqref="D88"/>
    </sheetView>
  </sheetViews>
  <sheetFormatPr defaultColWidth="10.7109375" defaultRowHeight="15"/>
  <cols>
    <col min="1" max="1" width="8.140625" style="2" customWidth="1"/>
    <col min="2" max="2" width="10.7109375" style="2" customWidth="1"/>
    <col min="3" max="3" width="14.28515625" style="2" customWidth="1"/>
    <col min="4" max="4" width="25" style="2" customWidth="1"/>
    <col min="5" max="5" width="32.5703125" style="2" customWidth="1"/>
    <col min="6" max="6" width="19" style="2" customWidth="1"/>
    <col min="7" max="7" width="20.42578125" style="2" customWidth="1"/>
    <col min="8" max="27" width="10.7109375" style="2" customWidth="1"/>
    <col min="28" max="28" width="12.7109375" style="2" customWidth="1"/>
    <col min="29" max="29" width="14.42578125" style="2" customWidth="1"/>
    <col min="30" max="30" width="25.5703125" style="2" customWidth="1"/>
    <col min="31" max="34" width="10.7109375" style="2" customWidth="1"/>
    <col min="35" max="35" width="10.7109375" style="4" customWidth="1"/>
    <col min="36" max="40" width="10.7109375" style="2" customWidth="1"/>
    <col min="41" max="41" width="13.7109375" style="2" customWidth="1"/>
    <col min="42" max="42" width="17.28515625" style="2" customWidth="1"/>
    <col min="43" max="16384" width="10.7109375" style="2"/>
  </cols>
  <sheetData>
    <row r="1" spans="1:50" ht="23.25">
      <c r="A1" s="5" t="s">
        <v>44</v>
      </c>
      <c r="B1" s="5"/>
      <c r="C1" s="5"/>
      <c r="D1" s="5"/>
      <c r="E1" s="6">
        <f ca="1">TODAY()</f>
        <v>46045</v>
      </c>
      <c r="F1" s="7" t="s">
        <v>45</v>
      </c>
      <c r="G1" s="7" t="s">
        <v>745</v>
      </c>
      <c r="H1" s="8">
        <v>3992</v>
      </c>
      <c r="I1" s="8">
        <v>4990</v>
      </c>
      <c r="J1" s="8">
        <v>5003.991</v>
      </c>
      <c r="K1" s="9"/>
      <c r="L1" s="5"/>
      <c r="M1" s="10" t="s">
        <v>47</v>
      </c>
      <c r="N1" s="11"/>
      <c r="O1" s="11"/>
      <c r="P1" s="12"/>
      <c r="Q1" s="12"/>
      <c r="R1" s="13"/>
      <c r="S1" s="13"/>
      <c r="T1" s="10" t="s">
        <v>47</v>
      </c>
      <c r="U1" s="13"/>
      <c r="V1" s="13"/>
      <c r="W1" s="13"/>
      <c r="X1" s="13"/>
      <c r="Z1" s="13"/>
      <c r="AA1" s="13"/>
      <c r="AB1" s="13" t="s">
        <v>47</v>
      </c>
      <c r="AC1" s="13"/>
      <c r="AD1" s="13"/>
      <c r="AI1" s="15"/>
      <c r="AN1" s="283" t="s">
        <v>48</v>
      </c>
      <c r="AO1" s="284"/>
      <c r="AP1" s="285"/>
    </row>
    <row r="2" spans="1:50" ht="23.25">
      <c r="A2" s="16" t="s">
        <v>49</v>
      </c>
      <c r="B2" s="17" t="s">
        <v>50</v>
      </c>
      <c r="C2" s="17" t="s">
        <v>51</v>
      </c>
      <c r="D2" s="18" t="s">
        <v>52</v>
      </c>
      <c r="E2" s="18" t="s">
        <v>53</v>
      </c>
      <c r="F2" s="17" t="s">
        <v>54</v>
      </c>
      <c r="G2" s="18" t="s">
        <v>55</v>
      </c>
      <c r="H2" s="18" t="s">
        <v>56</v>
      </c>
      <c r="I2" s="18" t="s">
        <v>57</v>
      </c>
      <c r="J2" s="18" t="s">
        <v>58</v>
      </c>
      <c r="K2" s="18"/>
      <c r="L2" s="17" t="s">
        <v>59</v>
      </c>
      <c r="M2" s="17" t="s">
        <v>60</v>
      </c>
      <c r="N2" s="17" t="s">
        <v>61</v>
      </c>
      <c r="O2" s="19" t="s">
        <v>62</v>
      </c>
      <c r="P2" s="19" t="s">
        <v>63</v>
      </c>
      <c r="Q2" s="19" t="s">
        <v>64</v>
      </c>
      <c r="R2" s="19" t="s">
        <v>65</v>
      </c>
      <c r="S2" s="19" t="s">
        <v>66</v>
      </c>
      <c r="T2" s="19" t="s">
        <v>67</v>
      </c>
      <c r="U2" s="19" t="s">
        <v>68</v>
      </c>
      <c r="V2" s="19" t="s">
        <v>69</v>
      </c>
      <c r="W2" s="19" t="s">
        <v>70</v>
      </c>
      <c r="X2" s="20" t="s">
        <v>71</v>
      </c>
      <c r="Y2" s="20" t="s">
        <v>72</v>
      </c>
      <c r="Z2" s="19"/>
      <c r="AA2" s="19"/>
      <c r="AB2" s="19" t="s">
        <v>73</v>
      </c>
      <c r="AC2" s="19" t="s">
        <v>74</v>
      </c>
      <c r="AD2" s="19" t="s">
        <v>75</v>
      </c>
      <c r="AE2" s="286" t="s">
        <v>76</v>
      </c>
      <c r="AF2" s="286"/>
      <c r="AG2" s="286"/>
      <c r="AH2" s="286"/>
      <c r="AI2" s="21">
        <f>SUM(AI37:AI134)</f>
        <v>11400</v>
      </c>
      <c r="AJ2" s="286" t="s">
        <v>77</v>
      </c>
      <c r="AK2" s="286"/>
      <c r="AL2" s="286"/>
      <c r="AM2" s="286"/>
      <c r="AN2" s="21">
        <f>SUM(AN37:AN134)</f>
        <v>2800</v>
      </c>
      <c r="AO2" s="21">
        <f>SUM(AO37:AO134)</f>
        <v>1800</v>
      </c>
      <c r="AP2" s="22">
        <f>SUM(AI2:AO2)</f>
        <v>16000</v>
      </c>
      <c r="AQ2" s="23"/>
      <c r="AR2" s="1"/>
      <c r="AS2" s="1"/>
      <c r="AT2" s="1"/>
    </row>
    <row r="3" spans="1:50" s="1" customFormat="1" ht="42" customHeight="1">
      <c r="A3" s="24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6">
        <f>SUM(H4:H232)</f>
        <v>2024</v>
      </c>
      <c r="I3" s="26">
        <f>SUM(I4:I232)/1000</f>
        <v>2527.1750000000002</v>
      </c>
      <c r="J3" s="26">
        <f>SUM(J4:J232)/1000</f>
        <v>2798.2539999999999</v>
      </c>
      <c r="K3" s="25" t="s">
        <v>85</v>
      </c>
      <c r="L3" s="25" t="s">
        <v>86</v>
      </c>
      <c r="M3" s="25" t="s">
        <v>87</v>
      </c>
      <c r="N3" s="25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93</v>
      </c>
      <c r="T3" s="27" t="s">
        <v>94</v>
      </c>
      <c r="U3" s="27" t="s">
        <v>95</v>
      </c>
      <c r="V3" s="27" t="s">
        <v>96</v>
      </c>
      <c r="W3" s="27" t="s">
        <v>97</v>
      </c>
      <c r="X3" s="28" t="s">
        <v>98</v>
      </c>
      <c r="Y3" s="28" t="s">
        <v>99</v>
      </c>
      <c r="Z3" s="27" t="s">
        <v>100</v>
      </c>
      <c r="AA3" s="27" t="s">
        <v>101</v>
      </c>
      <c r="AB3" s="27" t="s">
        <v>102</v>
      </c>
      <c r="AC3" s="27" t="s">
        <v>103</v>
      </c>
      <c r="AD3" s="27" t="s">
        <v>104</v>
      </c>
      <c r="AE3" s="29" t="s">
        <v>105</v>
      </c>
      <c r="AF3" s="29" t="s">
        <v>106</v>
      </c>
      <c r="AG3" s="29" t="s">
        <v>107</v>
      </c>
      <c r="AH3" s="29" t="s">
        <v>108</v>
      </c>
      <c r="AI3" s="30" t="s">
        <v>109</v>
      </c>
      <c r="AJ3" s="29" t="s">
        <v>110</v>
      </c>
      <c r="AK3" s="29" t="s">
        <v>106</v>
      </c>
      <c r="AL3" s="29" t="s">
        <v>107</v>
      </c>
      <c r="AM3" s="29" t="s">
        <v>108</v>
      </c>
      <c r="AN3" s="30" t="s">
        <v>111</v>
      </c>
      <c r="AO3" s="31" t="s">
        <v>112</v>
      </c>
      <c r="AP3" s="32" t="s">
        <v>113</v>
      </c>
    </row>
    <row r="4" spans="1:50" s="1" customFormat="1" ht="15" customHeight="1">
      <c r="A4" s="98">
        <f>ROW()-3</f>
        <v>1</v>
      </c>
      <c r="B4" s="79" t="s">
        <v>446</v>
      </c>
      <c r="C4" s="86" t="s">
        <v>486</v>
      </c>
      <c r="D4" s="86" t="s">
        <v>748</v>
      </c>
      <c r="E4" s="79" t="s">
        <v>488</v>
      </c>
      <c r="F4" s="79" t="s">
        <v>215</v>
      </c>
      <c r="G4" s="78" t="s">
        <v>103</v>
      </c>
      <c r="H4" s="81">
        <v>28</v>
      </c>
      <c r="I4" s="79">
        <v>35000</v>
      </c>
      <c r="J4" s="79">
        <v>35070</v>
      </c>
      <c r="K4" s="79" t="s">
        <v>120</v>
      </c>
      <c r="L4" s="80">
        <v>45890</v>
      </c>
      <c r="M4" s="82" t="s">
        <v>121</v>
      </c>
      <c r="N4" s="80" t="s">
        <v>122</v>
      </c>
      <c r="O4" s="80">
        <v>45881</v>
      </c>
      <c r="P4" s="80">
        <v>45907</v>
      </c>
      <c r="Q4" s="80">
        <v>45892</v>
      </c>
      <c r="R4" s="80">
        <v>46002</v>
      </c>
      <c r="S4" s="80">
        <v>46004</v>
      </c>
      <c r="T4" s="80">
        <v>46008</v>
      </c>
      <c r="U4" s="80">
        <v>46013</v>
      </c>
      <c r="V4" s="80">
        <v>46016</v>
      </c>
      <c r="W4" s="80">
        <v>46016</v>
      </c>
      <c r="X4" s="80">
        <v>46016</v>
      </c>
      <c r="Y4" s="80">
        <v>46022</v>
      </c>
      <c r="Z4" s="80">
        <v>46022</v>
      </c>
      <c r="AA4" s="80">
        <v>46023</v>
      </c>
      <c r="AB4" s="80">
        <v>46023</v>
      </c>
      <c r="AC4" s="80">
        <v>46025</v>
      </c>
      <c r="AD4" s="84" t="s">
        <v>641</v>
      </c>
      <c r="AE4" s="54">
        <f t="shared" ref="AE4:AE6" si="0">MAX(0,Y4-X4)</f>
        <v>6</v>
      </c>
      <c r="AF4" s="36">
        <v>7</v>
      </c>
      <c r="AG4" s="51">
        <f t="shared" ref="AG4:AG6" si="1">MAX(0,AE4-AF4)</f>
        <v>0</v>
      </c>
      <c r="AH4" s="52">
        <v>200</v>
      </c>
      <c r="AI4" s="53">
        <f t="shared" ref="AI4:AI6" si="2">MAX(0,AG4*AH4)</f>
        <v>0</v>
      </c>
      <c r="AJ4" s="54">
        <f t="shared" ref="AJ4:AJ6" si="3">MAX(0,AC4-AB4)</f>
        <v>2</v>
      </c>
      <c r="AK4" s="36">
        <v>2</v>
      </c>
      <c r="AL4" s="51">
        <f t="shared" ref="AL4:AL6" si="4">MAX(0,AJ4-AK4)</f>
        <v>0</v>
      </c>
      <c r="AM4" s="52">
        <v>200</v>
      </c>
      <c r="AN4" s="53">
        <f t="shared" ref="AN4:AN6" si="5">MAX(0,AL4*AM4)</f>
        <v>0</v>
      </c>
      <c r="AO4" s="52"/>
      <c r="AP4" s="55">
        <f t="shared" ref="AP4:AP6" si="6">AO4+AN4+AI4</f>
        <v>0</v>
      </c>
    </row>
    <row r="5" spans="1:50" s="1" customFormat="1" ht="14.25" customHeight="1">
      <c r="A5" s="98">
        <f>ROW()-3</f>
        <v>2</v>
      </c>
      <c r="B5" s="79" t="s">
        <v>446</v>
      </c>
      <c r="C5" s="86" t="s">
        <v>495</v>
      </c>
      <c r="D5" s="86" t="s">
        <v>496</v>
      </c>
      <c r="E5" s="79" t="s">
        <v>497</v>
      </c>
      <c r="F5" s="79" t="s">
        <v>215</v>
      </c>
      <c r="G5" s="78" t="s">
        <v>103</v>
      </c>
      <c r="H5" s="81">
        <v>28</v>
      </c>
      <c r="I5" s="79">
        <v>35000</v>
      </c>
      <c r="J5" s="79">
        <v>35070</v>
      </c>
      <c r="K5" s="79" t="s">
        <v>120</v>
      </c>
      <c r="L5" s="80">
        <v>45890</v>
      </c>
      <c r="M5" s="82" t="s">
        <v>121</v>
      </c>
      <c r="N5" s="80" t="s">
        <v>122</v>
      </c>
      <c r="O5" s="80">
        <v>45881</v>
      </c>
      <c r="P5" s="80">
        <v>45907</v>
      </c>
      <c r="Q5" s="80">
        <v>45892</v>
      </c>
      <c r="R5" s="80">
        <v>46002</v>
      </c>
      <c r="S5" s="80">
        <v>46004</v>
      </c>
      <c r="T5" s="80">
        <v>46008</v>
      </c>
      <c r="U5" s="80">
        <v>46013</v>
      </c>
      <c r="V5" s="80">
        <v>46015</v>
      </c>
      <c r="W5" s="80">
        <v>46015</v>
      </c>
      <c r="X5" s="80">
        <v>46015</v>
      </c>
      <c r="Y5" s="80">
        <v>46022</v>
      </c>
      <c r="Z5" s="80">
        <v>46022</v>
      </c>
      <c r="AA5" s="80">
        <v>46023</v>
      </c>
      <c r="AB5" s="80">
        <v>46023</v>
      </c>
      <c r="AC5" s="80">
        <v>46025</v>
      </c>
      <c r="AD5" s="84" t="s">
        <v>641</v>
      </c>
      <c r="AE5" s="45">
        <f t="shared" si="0"/>
        <v>7</v>
      </c>
      <c r="AF5" s="36">
        <v>7</v>
      </c>
      <c r="AG5" s="46">
        <f t="shared" si="1"/>
        <v>0</v>
      </c>
      <c r="AH5" s="47">
        <v>200</v>
      </c>
      <c r="AI5" s="48">
        <f t="shared" si="2"/>
        <v>0</v>
      </c>
      <c r="AJ5" s="45">
        <f t="shared" si="3"/>
        <v>2</v>
      </c>
      <c r="AK5" s="36">
        <v>2</v>
      </c>
      <c r="AL5" s="46">
        <f t="shared" si="4"/>
        <v>0</v>
      </c>
      <c r="AM5" s="47">
        <v>200</v>
      </c>
      <c r="AN5" s="48">
        <f t="shared" si="5"/>
        <v>0</v>
      </c>
      <c r="AO5" s="47"/>
      <c r="AP5" s="49">
        <f t="shared" si="6"/>
        <v>0</v>
      </c>
    </row>
    <row r="6" spans="1:50" s="1" customFormat="1" ht="15" customHeight="1">
      <c r="A6" s="98">
        <f t="shared" ref="A6:A72" si="7">ROW()-3</f>
        <v>3</v>
      </c>
      <c r="B6" s="79" t="s">
        <v>446</v>
      </c>
      <c r="C6" s="86" t="s">
        <v>489</v>
      </c>
      <c r="D6" s="86" t="s">
        <v>490</v>
      </c>
      <c r="E6" s="79" t="s">
        <v>491</v>
      </c>
      <c r="F6" s="79" t="s">
        <v>215</v>
      </c>
      <c r="G6" s="78" t="s">
        <v>103</v>
      </c>
      <c r="H6" s="81">
        <v>28</v>
      </c>
      <c r="I6" s="79">
        <v>35000</v>
      </c>
      <c r="J6" s="79">
        <v>35070</v>
      </c>
      <c r="K6" s="79" t="s">
        <v>120</v>
      </c>
      <c r="L6" s="80">
        <v>45890</v>
      </c>
      <c r="M6" s="82" t="s">
        <v>121</v>
      </c>
      <c r="N6" s="80" t="s">
        <v>122</v>
      </c>
      <c r="O6" s="80">
        <v>45881</v>
      </c>
      <c r="P6" s="80">
        <v>45907</v>
      </c>
      <c r="Q6" s="80">
        <v>45892</v>
      </c>
      <c r="R6" s="80">
        <v>46002</v>
      </c>
      <c r="S6" s="80">
        <v>46004</v>
      </c>
      <c r="T6" s="80">
        <v>46008</v>
      </c>
      <c r="U6" s="80">
        <v>46012</v>
      </c>
      <c r="V6" s="80">
        <v>46014</v>
      </c>
      <c r="W6" s="80">
        <v>46014</v>
      </c>
      <c r="X6" s="80">
        <v>46014</v>
      </c>
      <c r="Y6" s="80">
        <v>46021</v>
      </c>
      <c r="Z6" s="80">
        <v>46021</v>
      </c>
      <c r="AA6" s="80">
        <v>46022</v>
      </c>
      <c r="AB6" s="80">
        <v>46022</v>
      </c>
      <c r="AC6" s="80">
        <v>46024</v>
      </c>
      <c r="AD6" s="84" t="s">
        <v>641</v>
      </c>
      <c r="AE6" s="45">
        <f t="shared" si="0"/>
        <v>7</v>
      </c>
      <c r="AF6" s="36">
        <v>7</v>
      </c>
      <c r="AG6" s="46">
        <f t="shared" si="1"/>
        <v>0</v>
      </c>
      <c r="AH6" s="47">
        <v>200</v>
      </c>
      <c r="AI6" s="48">
        <f t="shared" si="2"/>
        <v>0</v>
      </c>
      <c r="AJ6" s="45">
        <f t="shared" si="3"/>
        <v>2</v>
      </c>
      <c r="AK6" s="36">
        <v>2</v>
      </c>
      <c r="AL6" s="46">
        <f t="shared" si="4"/>
        <v>0</v>
      </c>
      <c r="AM6" s="47">
        <v>200</v>
      </c>
      <c r="AN6" s="48">
        <f t="shared" si="5"/>
        <v>0</v>
      </c>
      <c r="AO6" s="47"/>
      <c r="AP6" s="49">
        <f t="shared" si="6"/>
        <v>0</v>
      </c>
    </row>
    <row r="7" spans="1:50" s="1" customFormat="1" ht="15" customHeight="1">
      <c r="A7" s="98">
        <f t="shared" si="7"/>
        <v>4</v>
      </c>
      <c r="B7" s="79" t="s">
        <v>446</v>
      </c>
      <c r="C7" s="86" t="s">
        <v>492</v>
      </c>
      <c r="D7" s="86" t="s">
        <v>493</v>
      </c>
      <c r="E7" s="78" t="s">
        <v>494</v>
      </c>
      <c r="F7" s="79" t="s">
        <v>215</v>
      </c>
      <c r="G7" s="78" t="s">
        <v>103</v>
      </c>
      <c r="H7" s="81">
        <v>29</v>
      </c>
      <c r="I7" s="79">
        <v>35000</v>
      </c>
      <c r="J7" s="79">
        <v>35070</v>
      </c>
      <c r="K7" s="79" t="s">
        <v>120</v>
      </c>
      <c r="L7" s="80">
        <v>45890</v>
      </c>
      <c r="M7" s="82" t="s">
        <v>121</v>
      </c>
      <c r="N7" s="80" t="s">
        <v>122</v>
      </c>
      <c r="O7" s="80">
        <v>45881</v>
      </c>
      <c r="P7" s="80">
        <v>45907</v>
      </c>
      <c r="Q7" s="80">
        <v>45892</v>
      </c>
      <c r="R7" s="80">
        <v>46002</v>
      </c>
      <c r="S7" s="80">
        <v>46004</v>
      </c>
      <c r="T7" s="80">
        <v>46008</v>
      </c>
      <c r="U7" s="80">
        <v>46012</v>
      </c>
      <c r="V7" s="80">
        <v>46016</v>
      </c>
      <c r="W7" s="80">
        <v>46016</v>
      </c>
      <c r="X7" s="80">
        <v>46016</v>
      </c>
      <c r="Y7" s="80">
        <v>46021</v>
      </c>
      <c r="Z7" s="80">
        <v>46021</v>
      </c>
      <c r="AA7" s="80">
        <v>46022</v>
      </c>
      <c r="AB7" s="80">
        <v>46022</v>
      </c>
      <c r="AC7" s="80">
        <v>46024</v>
      </c>
      <c r="AD7" s="84" t="s">
        <v>641</v>
      </c>
      <c r="AE7" s="45">
        <f t="shared" ref="AE7:AE14" si="8">MAX(0,Y7-X7)</f>
        <v>5</v>
      </c>
      <c r="AF7" s="36">
        <v>7</v>
      </c>
      <c r="AG7" s="46">
        <f t="shared" ref="AG7:AG15" si="9">MAX(0,AE7-AF7)</f>
        <v>0</v>
      </c>
      <c r="AH7" s="47">
        <v>200</v>
      </c>
      <c r="AI7" s="48">
        <f t="shared" ref="AI7:AI15" si="10">MAX(0,AG7*AH7)</f>
        <v>0</v>
      </c>
      <c r="AJ7" s="45">
        <f t="shared" ref="AJ7:AJ15" si="11">MAX(0,AC7-AB7)</f>
        <v>2</v>
      </c>
      <c r="AK7" s="36">
        <v>2</v>
      </c>
      <c r="AL7" s="46">
        <f t="shared" ref="AL7:AL15" si="12">MAX(0,AJ7-AK7)</f>
        <v>0</v>
      </c>
      <c r="AM7" s="47">
        <v>200</v>
      </c>
      <c r="AN7" s="48">
        <f t="shared" ref="AN7:AN15" si="13">MAX(0,AL7*AM7)</f>
        <v>0</v>
      </c>
      <c r="AO7" s="47">
        <v>0</v>
      </c>
      <c r="AP7" s="49">
        <f t="shared" ref="AP7:AP15" si="14">AO7+AN7+AI7</f>
        <v>0</v>
      </c>
    </row>
    <row r="8" spans="1:50" s="1" customFormat="1" ht="15" customHeight="1">
      <c r="A8" s="98">
        <f t="shared" si="7"/>
        <v>5</v>
      </c>
      <c r="B8" s="79" t="s">
        <v>446</v>
      </c>
      <c r="C8" s="86" t="s">
        <v>453</v>
      </c>
      <c r="D8" s="86" t="s">
        <v>454</v>
      </c>
      <c r="E8" s="79" t="s">
        <v>455</v>
      </c>
      <c r="F8" s="79" t="s">
        <v>215</v>
      </c>
      <c r="G8" s="78" t="s">
        <v>103</v>
      </c>
      <c r="H8" s="81">
        <v>29</v>
      </c>
      <c r="I8" s="79">
        <v>36250</v>
      </c>
      <c r="J8" s="79">
        <v>36323</v>
      </c>
      <c r="K8" s="79" t="s">
        <v>120</v>
      </c>
      <c r="L8" s="80">
        <v>45890</v>
      </c>
      <c r="M8" s="82" t="s">
        <v>121</v>
      </c>
      <c r="N8" s="80" t="s">
        <v>122</v>
      </c>
      <c r="O8" s="80">
        <v>45881</v>
      </c>
      <c r="P8" s="80">
        <v>45907</v>
      </c>
      <c r="Q8" s="80">
        <v>45892</v>
      </c>
      <c r="R8" s="80">
        <v>46002</v>
      </c>
      <c r="S8" s="80">
        <v>46004</v>
      </c>
      <c r="T8" s="80">
        <v>46008</v>
      </c>
      <c r="U8" s="80">
        <v>46012</v>
      </c>
      <c r="V8" s="80">
        <v>46015</v>
      </c>
      <c r="W8" s="80">
        <v>46015</v>
      </c>
      <c r="X8" s="80">
        <v>46015</v>
      </c>
      <c r="Y8" s="80">
        <v>46021</v>
      </c>
      <c r="Z8" s="80">
        <v>46021</v>
      </c>
      <c r="AA8" s="80">
        <v>46022</v>
      </c>
      <c r="AB8" s="80">
        <v>46022</v>
      </c>
      <c r="AC8" s="80">
        <v>46024</v>
      </c>
      <c r="AD8" s="84" t="s">
        <v>641</v>
      </c>
      <c r="AE8" s="45">
        <f t="shared" si="8"/>
        <v>6</v>
      </c>
      <c r="AF8" s="36">
        <v>7</v>
      </c>
      <c r="AG8" s="46">
        <f t="shared" si="9"/>
        <v>0</v>
      </c>
      <c r="AH8" s="47">
        <v>200</v>
      </c>
      <c r="AI8" s="48">
        <f t="shared" si="10"/>
        <v>0</v>
      </c>
      <c r="AJ8" s="45">
        <f t="shared" si="11"/>
        <v>2</v>
      </c>
      <c r="AK8" s="36">
        <v>2</v>
      </c>
      <c r="AL8" s="46">
        <f t="shared" si="12"/>
        <v>0</v>
      </c>
      <c r="AM8" s="47">
        <v>200</v>
      </c>
      <c r="AN8" s="48">
        <f t="shared" si="13"/>
        <v>0</v>
      </c>
      <c r="AO8" s="47">
        <v>0</v>
      </c>
      <c r="AP8" s="49">
        <f t="shared" si="14"/>
        <v>0</v>
      </c>
    </row>
    <row r="9" spans="1:50" s="1" customFormat="1" ht="15" customHeight="1">
      <c r="A9" s="98">
        <f t="shared" si="7"/>
        <v>6</v>
      </c>
      <c r="B9" s="79" t="s">
        <v>446</v>
      </c>
      <c r="C9" s="86" t="s">
        <v>528</v>
      </c>
      <c r="D9" s="86" t="s">
        <v>529</v>
      </c>
      <c r="E9" s="79" t="s">
        <v>530</v>
      </c>
      <c r="F9" s="79" t="s">
        <v>215</v>
      </c>
      <c r="G9" s="78" t="s">
        <v>103</v>
      </c>
      <c r="H9" s="81">
        <v>28</v>
      </c>
      <c r="I9" s="79">
        <v>35070</v>
      </c>
      <c r="J9" s="79">
        <v>56000</v>
      </c>
      <c r="K9" s="79" t="s">
        <v>120</v>
      </c>
      <c r="L9" s="80">
        <v>45890</v>
      </c>
      <c r="M9" s="82" t="s">
        <v>121</v>
      </c>
      <c r="N9" s="80" t="s">
        <v>122</v>
      </c>
      <c r="O9" s="80">
        <v>45881</v>
      </c>
      <c r="P9" s="80">
        <v>45907</v>
      </c>
      <c r="Q9" s="80">
        <v>45892</v>
      </c>
      <c r="R9" s="80">
        <v>45999</v>
      </c>
      <c r="S9" s="80">
        <v>46004</v>
      </c>
      <c r="T9" s="80">
        <v>46008</v>
      </c>
      <c r="U9" s="80">
        <v>46012</v>
      </c>
      <c r="V9" s="80">
        <v>46015</v>
      </c>
      <c r="W9" s="80">
        <v>46015</v>
      </c>
      <c r="X9" s="80">
        <v>46015</v>
      </c>
      <c r="Y9" s="80">
        <v>46021</v>
      </c>
      <c r="Z9" s="80">
        <v>46021</v>
      </c>
      <c r="AA9" s="80">
        <v>46022</v>
      </c>
      <c r="AB9" s="80">
        <v>46022</v>
      </c>
      <c r="AC9" s="80">
        <v>46024</v>
      </c>
      <c r="AD9" s="84" t="s">
        <v>641</v>
      </c>
      <c r="AE9" s="45">
        <f t="shared" si="8"/>
        <v>6</v>
      </c>
      <c r="AF9" s="36">
        <v>7</v>
      </c>
      <c r="AG9" s="46">
        <f t="shared" si="9"/>
        <v>0</v>
      </c>
      <c r="AH9" s="47">
        <v>200</v>
      </c>
      <c r="AI9" s="48">
        <f t="shared" si="10"/>
        <v>0</v>
      </c>
      <c r="AJ9" s="45">
        <f t="shared" si="11"/>
        <v>2</v>
      </c>
      <c r="AK9" s="36">
        <v>2</v>
      </c>
      <c r="AL9" s="46">
        <f t="shared" si="12"/>
        <v>0</v>
      </c>
      <c r="AM9" s="47">
        <v>200</v>
      </c>
      <c r="AN9" s="48">
        <f t="shared" si="13"/>
        <v>0</v>
      </c>
      <c r="AO9" s="47">
        <v>0</v>
      </c>
      <c r="AP9" s="49">
        <f t="shared" si="14"/>
        <v>0</v>
      </c>
      <c r="AQ9" s="39"/>
      <c r="AR9" s="39"/>
      <c r="AS9" s="39"/>
      <c r="AT9" s="39"/>
      <c r="AU9" s="39"/>
      <c r="AV9" s="39"/>
      <c r="AW9" s="39"/>
      <c r="AX9" s="44"/>
    </row>
    <row r="10" spans="1:50" s="1" customFormat="1" ht="15" customHeight="1">
      <c r="A10" s="98">
        <f t="shared" si="7"/>
        <v>7</v>
      </c>
      <c r="B10" s="79" t="s">
        <v>446</v>
      </c>
      <c r="C10" s="86" t="s">
        <v>459</v>
      </c>
      <c r="D10" s="86" t="s">
        <v>460</v>
      </c>
      <c r="E10" s="79" t="s">
        <v>461</v>
      </c>
      <c r="F10" s="79" t="s">
        <v>215</v>
      </c>
      <c r="G10" s="78" t="s">
        <v>103</v>
      </c>
      <c r="H10" s="81">
        <v>28</v>
      </c>
      <c r="I10" s="79">
        <v>35000</v>
      </c>
      <c r="J10" s="79">
        <v>35070</v>
      </c>
      <c r="K10" s="79" t="s">
        <v>120</v>
      </c>
      <c r="L10" s="80">
        <v>45890</v>
      </c>
      <c r="M10" s="82" t="s">
        <v>121</v>
      </c>
      <c r="N10" s="80" t="s">
        <v>122</v>
      </c>
      <c r="O10" s="80">
        <v>45881</v>
      </c>
      <c r="P10" s="80">
        <v>45907</v>
      </c>
      <c r="Q10" s="80">
        <v>45892</v>
      </c>
      <c r="R10" s="80">
        <v>46002</v>
      </c>
      <c r="S10" s="80">
        <v>46004</v>
      </c>
      <c r="T10" s="80">
        <v>46008</v>
      </c>
      <c r="U10" s="80">
        <v>46012</v>
      </c>
      <c r="V10" s="80">
        <v>46015</v>
      </c>
      <c r="W10" s="80">
        <v>46015</v>
      </c>
      <c r="X10" s="80">
        <v>46015</v>
      </c>
      <c r="Y10" s="80">
        <v>46021</v>
      </c>
      <c r="Z10" s="80">
        <v>46021</v>
      </c>
      <c r="AA10" s="80">
        <v>46021</v>
      </c>
      <c r="AB10" s="80">
        <v>46021</v>
      </c>
      <c r="AC10" s="80">
        <v>46023</v>
      </c>
      <c r="AD10" s="84" t="s">
        <v>641</v>
      </c>
      <c r="AE10" s="45">
        <f t="shared" si="8"/>
        <v>6</v>
      </c>
      <c r="AF10" s="36">
        <v>7</v>
      </c>
      <c r="AG10" s="46">
        <f t="shared" si="9"/>
        <v>0</v>
      </c>
      <c r="AH10" s="47">
        <v>200</v>
      </c>
      <c r="AI10" s="48">
        <f t="shared" si="10"/>
        <v>0</v>
      </c>
      <c r="AJ10" s="45">
        <f t="shared" si="11"/>
        <v>2</v>
      </c>
      <c r="AK10" s="36">
        <v>2</v>
      </c>
      <c r="AL10" s="46">
        <f t="shared" si="12"/>
        <v>0</v>
      </c>
      <c r="AM10" s="47">
        <v>200</v>
      </c>
      <c r="AN10" s="48">
        <f t="shared" si="13"/>
        <v>0</v>
      </c>
      <c r="AO10" s="47">
        <v>0</v>
      </c>
      <c r="AP10" s="49">
        <f t="shared" si="14"/>
        <v>0</v>
      </c>
    </row>
    <row r="11" spans="1:50" s="1" customFormat="1" ht="18" customHeight="1">
      <c r="A11" s="98">
        <f t="shared" si="7"/>
        <v>8</v>
      </c>
      <c r="B11" s="79" t="s">
        <v>446</v>
      </c>
      <c r="C11" s="86" t="s">
        <v>513</v>
      </c>
      <c r="D11" s="79" t="s">
        <v>514</v>
      </c>
      <c r="E11" s="79" t="s">
        <v>515</v>
      </c>
      <c r="F11" s="79" t="s">
        <v>215</v>
      </c>
      <c r="G11" s="78" t="s">
        <v>103</v>
      </c>
      <c r="H11" s="81">
        <v>29</v>
      </c>
      <c r="I11" s="79">
        <v>36323</v>
      </c>
      <c r="J11" s="79">
        <v>56000</v>
      </c>
      <c r="K11" s="79" t="s">
        <v>120</v>
      </c>
      <c r="L11" s="80">
        <v>45890</v>
      </c>
      <c r="M11" s="82" t="s">
        <v>121</v>
      </c>
      <c r="N11" s="80" t="s">
        <v>122</v>
      </c>
      <c r="O11" s="80">
        <v>45881</v>
      </c>
      <c r="P11" s="80">
        <v>45907</v>
      </c>
      <c r="Q11" s="80">
        <v>45892</v>
      </c>
      <c r="R11" s="80">
        <v>45999</v>
      </c>
      <c r="S11" s="80">
        <v>46002</v>
      </c>
      <c r="T11" s="80">
        <v>46005</v>
      </c>
      <c r="U11" s="80">
        <v>46008</v>
      </c>
      <c r="V11" s="80">
        <v>46011</v>
      </c>
      <c r="W11" s="80">
        <v>46011</v>
      </c>
      <c r="X11" s="80">
        <v>46011</v>
      </c>
      <c r="Y11" s="80">
        <v>46013</v>
      </c>
      <c r="Z11" s="80">
        <v>46020</v>
      </c>
      <c r="AA11" s="80">
        <v>46021</v>
      </c>
      <c r="AB11" s="80">
        <v>46021</v>
      </c>
      <c r="AC11" s="80">
        <v>46022</v>
      </c>
      <c r="AD11" s="84" t="s">
        <v>641</v>
      </c>
      <c r="AE11" s="45">
        <f t="shared" si="8"/>
        <v>2</v>
      </c>
      <c r="AF11" s="36">
        <v>7</v>
      </c>
      <c r="AG11" s="46">
        <f t="shared" si="9"/>
        <v>0</v>
      </c>
      <c r="AH11" s="47">
        <v>200</v>
      </c>
      <c r="AI11" s="48">
        <f t="shared" si="10"/>
        <v>0</v>
      </c>
      <c r="AJ11" s="45">
        <f t="shared" si="11"/>
        <v>1</v>
      </c>
      <c r="AK11" s="36">
        <v>2</v>
      </c>
      <c r="AL11" s="46">
        <f t="shared" si="12"/>
        <v>0</v>
      </c>
      <c r="AM11" s="47">
        <v>200</v>
      </c>
      <c r="AN11" s="48">
        <f t="shared" si="13"/>
        <v>0</v>
      </c>
      <c r="AO11" s="47">
        <v>0</v>
      </c>
      <c r="AP11" s="49">
        <f t="shared" si="14"/>
        <v>0</v>
      </c>
    </row>
    <row r="12" spans="1:50" s="1" customFormat="1" ht="15" customHeight="1">
      <c r="A12" s="98">
        <f t="shared" si="7"/>
        <v>9</v>
      </c>
      <c r="B12" s="79" t="s">
        <v>446</v>
      </c>
      <c r="C12" s="86" t="s">
        <v>456</v>
      </c>
      <c r="D12" s="86" t="s">
        <v>457</v>
      </c>
      <c r="E12" s="79" t="s">
        <v>458</v>
      </c>
      <c r="F12" s="79" t="s">
        <v>215</v>
      </c>
      <c r="G12" s="78" t="s">
        <v>103</v>
      </c>
      <c r="H12" s="81">
        <v>29</v>
      </c>
      <c r="I12" s="79">
        <v>36250</v>
      </c>
      <c r="J12" s="79">
        <v>36323</v>
      </c>
      <c r="K12" s="79" t="s">
        <v>120</v>
      </c>
      <c r="L12" s="80">
        <v>45890</v>
      </c>
      <c r="M12" s="82" t="s">
        <v>121</v>
      </c>
      <c r="N12" s="80" t="s">
        <v>122</v>
      </c>
      <c r="O12" s="80">
        <v>45881</v>
      </c>
      <c r="P12" s="80">
        <v>45907</v>
      </c>
      <c r="Q12" s="80">
        <v>45892</v>
      </c>
      <c r="R12" s="80">
        <v>46002</v>
      </c>
      <c r="S12" s="80">
        <v>46004</v>
      </c>
      <c r="T12" s="80">
        <v>46008</v>
      </c>
      <c r="U12" s="80">
        <v>46013</v>
      </c>
      <c r="V12" s="80">
        <v>46016</v>
      </c>
      <c r="W12" s="80">
        <v>46016</v>
      </c>
      <c r="X12" s="80">
        <v>46016</v>
      </c>
      <c r="Y12" s="80">
        <v>46018</v>
      </c>
      <c r="Z12" s="80">
        <v>46019</v>
      </c>
      <c r="AA12" s="80">
        <v>46020</v>
      </c>
      <c r="AB12" s="80">
        <v>46020</v>
      </c>
      <c r="AC12" s="80">
        <v>46022</v>
      </c>
      <c r="AD12" s="84" t="s">
        <v>641</v>
      </c>
      <c r="AE12" s="45">
        <f t="shared" si="8"/>
        <v>2</v>
      </c>
      <c r="AF12" s="36">
        <v>7</v>
      </c>
      <c r="AG12" s="46">
        <f t="shared" si="9"/>
        <v>0</v>
      </c>
      <c r="AH12" s="47">
        <v>200</v>
      </c>
      <c r="AI12" s="48">
        <f t="shared" si="10"/>
        <v>0</v>
      </c>
      <c r="AJ12" s="45">
        <f t="shared" si="11"/>
        <v>2</v>
      </c>
      <c r="AK12" s="36">
        <v>2</v>
      </c>
      <c r="AL12" s="46">
        <f t="shared" si="12"/>
        <v>0</v>
      </c>
      <c r="AM12" s="47">
        <v>200</v>
      </c>
      <c r="AN12" s="48">
        <f t="shared" si="13"/>
        <v>0</v>
      </c>
      <c r="AO12" s="47">
        <v>0</v>
      </c>
      <c r="AP12" s="49">
        <f t="shared" si="14"/>
        <v>0</v>
      </c>
    </row>
    <row r="13" spans="1:50" s="1" customFormat="1" ht="15" customHeight="1">
      <c r="A13" s="98">
        <f t="shared" si="7"/>
        <v>10</v>
      </c>
      <c r="B13" s="79" t="s">
        <v>446</v>
      </c>
      <c r="C13" s="86" t="s">
        <v>480</v>
      </c>
      <c r="D13" s="79" t="s">
        <v>481</v>
      </c>
      <c r="E13" s="79" t="s">
        <v>482</v>
      </c>
      <c r="F13" s="79" t="s">
        <v>215</v>
      </c>
      <c r="G13" s="78" t="s">
        <v>103</v>
      </c>
      <c r="H13" s="81">
        <v>28</v>
      </c>
      <c r="I13" s="79">
        <v>35000</v>
      </c>
      <c r="J13" s="79">
        <v>35070</v>
      </c>
      <c r="K13" s="79" t="s">
        <v>120</v>
      </c>
      <c r="L13" s="80">
        <v>45890</v>
      </c>
      <c r="M13" s="82" t="s">
        <v>121</v>
      </c>
      <c r="N13" s="80" t="s">
        <v>122</v>
      </c>
      <c r="O13" s="80">
        <v>45881</v>
      </c>
      <c r="P13" s="80">
        <v>45907</v>
      </c>
      <c r="Q13" s="80">
        <v>45892</v>
      </c>
      <c r="R13" s="80">
        <v>46002</v>
      </c>
      <c r="S13" s="80">
        <v>46004</v>
      </c>
      <c r="T13" s="80">
        <v>46008</v>
      </c>
      <c r="U13" s="80">
        <v>46013</v>
      </c>
      <c r="V13" s="80">
        <v>46016</v>
      </c>
      <c r="W13" s="80">
        <v>46016</v>
      </c>
      <c r="X13" s="80">
        <v>46016</v>
      </c>
      <c r="Y13" s="80">
        <v>46019</v>
      </c>
      <c r="Z13" s="80">
        <v>46019</v>
      </c>
      <c r="AA13" s="80">
        <v>46020</v>
      </c>
      <c r="AB13" s="80">
        <v>46020</v>
      </c>
      <c r="AC13" s="80">
        <v>46022</v>
      </c>
      <c r="AD13" s="84" t="s">
        <v>641</v>
      </c>
      <c r="AE13" s="45">
        <f t="shared" si="8"/>
        <v>3</v>
      </c>
      <c r="AF13" s="36">
        <v>7</v>
      </c>
      <c r="AG13" s="46">
        <f t="shared" si="9"/>
        <v>0</v>
      </c>
      <c r="AH13" s="47">
        <v>200</v>
      </c>
      <c r="AI13" s="48">
        <f t="shared" si="10"/>
        <v>0</v>
      </c>
      <c r="AJ13" s="45">
        <f t="shared" si="11"/>
        <v>2</v>
      </c>
      <c r="AK13" s="36">
        <v>2</v>
      </c>
      <c r="AL13" s="46">
        <f t="shared" si="12"/>
        <v>0</v>
      </c>
      <c r="AM13" s="47">
        <v>200</v>
      </c>
      <c r="AN13" s="48">
        <f t="shared" si="13"/>
        <v>0</v>
      </c>
      <c r="AO13" s="47">
        <v>0</v>
      </c>
      <c r="AP13" s="49">
        <f t="shared" si="14"/>
        <v>0</v>
      </c>
    </row>
    <row r="14" spans="1:50" s="1" customFormat="1" ht="13.5" customHeight="1">
      <c r="A14" s="98">
        <f t="shared" si="7"/>
        <v>11</v>
      </c>
      <c r="B14" s="79" t="s">
        <v>446</v>
      </c>
      <c r="C14" s="86" t="s">
        <v>498</v>
      </c>
      <c r="D14" s="86" t="s">
        <v>499</v>
      </c>
      <c r="E14" s="79" t="s">
        <v>500</v>
      </c>
      <c r="F14" s="79" t="s">
        <v>215</v>
      </c>
      <c r="G14" s="78" t="s">
        <v>103</v>
      </c>
      <c r="H14" s="81">
        <v>29</v>
      </c>
      <c r="I14" s="79">
        <v>36323</v>
      </c>
      <c r="J14" s="79">
        <v>56000</v>
      </c>
      <c r="K14" s="79" t="s">
        <v>120</v>
      </c>
      <c r="L14" s="80">
        <v>45890</v>
      </c>
      <c r="M14" s="82" t="s">
        <v>121</v>
      </c>
      <c r="N14" s="80" t="s">
        <v>122</v>
      </c>
      <c r="O14" s="80">
        <v>45881</v>
      </c>
      <c r="P14" s="80">
        <v>45907</v>
      </c>
      <c r="Q14" s="80">
        <v>45892</v>
      </c>
      <c r="R14" s="80">
        <v>45999</v>
      </c>
      <c r="S14" s="80">
        <v>46002</v>
      </c>
      <c r="T14" s="80">
        <v>46005</v>
      </c>
      <c r="U14" s="80">
        <v>46011</v>
      </c>
      <c r="V14" s="80">
        <v>46013</v>
      </c>
      <c r="W14" s="80">
        <v>46013</v>
      </c>
      <c r="X14" s="80">
        <v>46013</v>
      </c>
      <c r="Y14" s="80">
        <v>46018</v>
      </c>
      <c r="Z14" s="80">
        <v>46019</v>
      </c>
      <c r="AA14" s="80">
        <v>46020</v>
      </c>
      <c r="AB14" s="80">
        <v>46020</v>
      </c>
      <c r="AC14" s="80">
        <v>46022</v>
      </c>
      <c r="AD14" s="84" t="s">
        <v>641</v>
      </c>
      <c r="AE14" s="45">
        <f t="shared" si="8"/>
        <v>5</v>
      </c>
      <c r="AF14" s="36">
        <v>7</v>
      </c>
      <c r="AG14" s="46">
        <f t="shared" si="9"/>
        <v>0</v>
      </c>
      <c r="AH14" s="47">
        <v>200</v>
      </c>
      <c r="AI14" s="48">
        <f t="shared" si="10"/>
        <v>0</v>
      </c>
      <c r="AJ14" s="45">
        <f t="shared" si="11"/>
        <v>2</v>
      </c>
      <c r="AK14" s="36">
        <v>2</v>
      </c>
      <c r="AL14" s="46">
        <f t="shared" si="12"/>
        <v>0</v>
      </c>
      <c r="AM14" s="47">
        <v>200</v>
      </c>
      <c r="AN14" s="48">
        <f t="shared" si="13"/>
        <v>0</v>
      </c>
      <c r="AO14" s="47">
        <v>0</v>
      </c>
      <c r="AP14" s="49">
        <f t="shared" si="14"/>
        <v>0</v>
      </c>
    </row>
    <row r="15" spans="1:50" s="1" customFormat="1" ht="15" customHeight="1">
      <c r="A15" s="98">
        <f t="shared" si="7"/>
        <v>12</v>
      </c>
      <c r="B15" s="79" t="s">
        <v>446</v>
      </c>
      <c r="C15" s="89" t="s">
        <v>450</v>
      </c>
      <c r="D15" s="79" t="s">
        <v>451</v>
      </c>
      <c r="E15" s="79" t="s">
        <v>452</v>
      </c>
      <c r="F15" s="79" t="s">
        <v>215</v>
      </c>
      <c r="G15" s="78" t="s">
        <v>103</v>
      </c>
      <c r="H15" s="81">
        <v>28</v>
      </c>
      <c r="I15" s="79">
        <v>35000</v>
      </c>
      <c r="J15" s="79">
        <v>35070</v>
      </c>
      <c r="K15" s="79" t="s">
        <v>120</v>
      </c>
      <c r="L15" s="80">
        <v>45890</v>
      </c>
      <c r="M15" s="82" t="s">
        <v>121</v>
      </c>
      <c r="N15" s="80" t="s">
        <v>122</v>
      </c>
      <c r="O15" s="80">
        <v>45881</v>
      </c>
      <c r="P15" s="80">
        <v>45907</v>
      </c>
      <c r="Q15" s="80">
        <v>45892</v>
      </c>
      <c r="R15" s="80">
        <v>46002</v>
      </c>
      <c r="S15" s="80">
        <v>46004</v>
      </c>
      <c r="T15" s="80">
        <v>46008</v>
      </c>
      <c r="U15" s="80">
        <v>46011</v>
      </c>
      <c r="V15" s="80">
        <v>46013</v>
      </c>
      <c r="W15" s="80">
        <v>46013</v>
      </c>
      <c r="X15" s="80">
        <v>46013</v>
      </c>
      <c r="Y15" s="80">
        <v>46019</v>
      </c>
      <c r="Z15" s="80">
        <v>46019</v>
      </c>
      <c r="AA15" s="80">
        <v>46020</v>
      </c>
      <c r="AB15" s="80">
        <v>46020</v>
      </c>
      <c r="AC15" s="80">
        <v>46022</v>
      </c>
      <c r="AD15" s="84" t="s">
        <v>641</v>
      </c>
      <c r="AE15" s="54">
        <f t="shared" ref="AE15:AE16" si="15">MAX(0,Y15-X15)</f>
        <v>6</v>
      </c>
      <c r="AF15" s="36">
        <v>7</v>
      </c>
      <c r="AG15" s="51">
        <f t="shared" si="9"/>
        <v>0</v>
      </c>
      <c r="AH15" s="52">
        <v>200</v>
      </c>
      <c r="AI15" s="53">
        <f t="shared" si="10"/>
        <v>0</v>
      </c>
      <c r="AJ15" s="54">
        <f t="shared" si="11"/>
        <v>2</v>
      </c>
      <c r="AK15" s="36">
        <v>2</v>
      </c>
      <c r="AL15" s="51">
        <f t="shared" si="12"/>
        <v>0</v>
      </c>
      <c r="AM15" s="52">
        <v>200</v>
      </c>
      <c r="AN15" s="53">
        <f t="shared" si="13"/>
        <v>0</v>
      </c>
      <c r="AO15" s="52"/>
      <c r="AP15" s="55">
        <f t="shared" si="14"/>
        <v>0</v>
      </c>
    </row>
    <row r="16" spans="1:50" s="1" customFormat="1" ht="15" customHeight="1">
      <c r="A16" s="98">
        <f t="shared" si="7"/>
        <v>13</v>
      </c>
      <c r="B16" s="79" t="s">
        <v>446</v>
      </c>
      <c r="C16" s="86" t="s">
        <v>543</v>
      </c>
      <c r="D16" s="86" t="s">
        <v>544</v>
      </c>
      <c r="E16" s="78" t="s">
        <v>545</v>
      </c>
      <c r="F16" s="79" t="s">
        <v>215</v>
      </c>
      <c r="G16" s="78" t="s">
        <v>103</v>
      </c>
      <c r="H16" s="81">
        <v>28</v>
      </c>
      <c r="I16" s="79">
        <v>35070</v>
      </c>
      <c r="J16" s="79">
        <v>56000</v>
      </c>
      <c r="K16" s="79" t="s">
        <v>120</v>
      </c>
      <c r="L16" s="80">
        <v>45890</v>
      </c>
      <c r="M16" s="82" t="s">
        <v>121</v>
      </c>
      <c r="N16" s="80" t="s">
        <v>122</v>
      </c>
      <c r="O16" s="80">
        <v>45881</v>
      </c>
      <c r="P16" s="80">
        <v>45907</v>
      </c>
      <c r="Q16" s="80">
        <v>45892</v>
      </c>
      <c r="R16" s="80">
        <v>45999</v>
      </c>
      <c r="S16" s="80">
        <v>46002</v>
      </c>
      <c r="T16" s="80">
        <v>46005</v>
      </c>
      <c r="U16" s="80">
        <v>46008</v>
      </c>
      <c r="V16" s="80">
        <v>46012</v>
      </c>
      <c r="W16" s="80">
        <v>46012</v>
      </c>
      <c r="X16" s="80">
        <v>46012</v>
      </c>
      <c r="Y16" s="80">
        <v>46018</v>
      </c>
      <c r="Z16" s="80">
        <v>46019</v>
      </c>
      <c r="AA16" s="80">
        <v>46020</v>
      </c>
      <c r="AB16" s="80">
        <v>46020</v>
      </c>
      <c r="AC16" s="80">
        <v>46022</v>
      </c>
      <c r="AD16" s="84" t="s">
        <v>641</v>
      </c>
      <c r="AE16" s="45">
        <f t="shared" si="15"/>
        <v>6</v>
      </c>
      <c r="AF16" s="36">
        <v>7</v>
      </c>
      <c r="AG16" s="46">
        <f t="shared" ref="AG16:AG36" si="16">MAX(0,AE16-AF16)</f>
        <v>0</v>
      </c>
      <c r="AH16" s="47">
        <v>200</v>
      </c>
      <c r="AI16" s="48">
        <f t="shared" ref="AI16:AI36" si="17">MAX(0,AG16*AH16)</f>
        <v>0</v>
      </c>
      <c r="AJ16" s="45">
        <f t="shared" ref="AJ16:AJ36" si="18">MAX(0,AC16-AB16)</f>
        <v>2</v>
      </c>
      <c r="AK16" s="36">
        <v>2</v>
      </c>
      <c r="AL16" s="46">
        <f t="shared" ref="AL16:AL36" si="19">MAX(0,AJ16-AK16)</f>
        <v>0</v>
      </c>
      <c r="AM16" s="47">
        <v>200</v>
      </c>
      <c r="AN16" s="48">
        <f t="shared" ref="AN16:AN36" si="20">MAX(0,AL16*AM16)</f>
        <v>0</v>
      </c>
      <c r="AO16" s="47">
        <v>25</v>
      </c>
      <c r="AP16" s="49">
        <f t="shared" ref="AP16:AP36" si="21">AO16+AN16+AI16</f>
        <v>25</v>
      </c>
    </row>
    <row r="17" spans="1:42" s="1" customFormat="1" ht="12.75">
      <c r="A17" s="98">
        <f t="shared" si="7"/>
        <v>14</v>
      </c>
      <c r="B17" s="79" t="s">
        <v>446</v>
      </c>
      <c r="C17" s="86" t="s">
        <v>468</v>
      </c>
      <c r="D17" s="79" t="s">
        <v>469</v>
      </c>
      <c r="E17" s="79" t="s">
        <v>470</v>
      </c>
      <c r="F17" s="79" t="s">
        <v>215</v>
      </c>
      <c r="G17" s="78" t="s">
        <v>103</v>
      </c>
      <c r="H17" s="81">
        <v>28</v>
      </c>
      <c r="I17" s="79">
        <v>35000</v>
      </c>
      <c r="J17" s="79">
        <v>35070</v>
      </c>
      <c r="K17" s="79" t="s">
        <v>120</v>
      </c>
      <c r="L17" s="80">
        <v>45890</v>
      </c>
      <c r="M17" s="82" t="s">
        <v>121</v>
      </c>
      <c r="N17" s="80" t="s">
        <v>122</v>
      </c>
      <c r="O17" s="80">
        <v>45881</v>
      </c>
      <c r="P17" s="80">
        <v>45907</v>
      </c>
      <c r="Q17" s="80">
        <v>45892</v>
      </c>
      <c r="R17" s="80">
        <v>46002</v>
      </c>
      <c r="S17" s="80">
        <v>46002</v>
      </c>
      <c r="T17" s="80">
        <v>46005</v>
      </c>
      <c r="U17" s="80">
        <v>46013</v>
      </c>
      <c r="V17" s="80">
        <v>46015</v>
      </c>
      <c r="W17" s="80">
        <v>46015</v>
      </c>
      <c r="X17" s="80">
        <v>46015</v>
      </c>
      <c r="Y17" s="80">
        <v>46018</v>
      </c>
      <c r="Z17" s="80">
        <v>46018</v>
      </c>
      <c r="AA17" s="80">
        <v>46019</v>
      </c>
      <c r="AB17" s="80">
        <v>46019</v>
      </c>
      <c r="AC17" s="80">
        <v>46022</v>
      </c>
      <c r="AD17" s="84" t="s">
        <v>641</v>
      </c>
      <c r="AE17" s="54">
        <f t="shared" ref="AE17:AE20" si="22">MAX(0,Y17-X17)</f>
        <v>3</v>
      </c>
      <c r="AF17" s="36">
        <v>7</v>
      </c>
      <c r="AG17" s="51">
        <f t="shared" ref="AG17:AG18" si="23">MAX(0,AE17-AF17)</f>
        <v>0</v>
      </c>
      <c r="AH17" s="52">
        <v>200</v>
      </c>
      <c r="AI17" s="53">
        <f t="shared" ref="AI17:AI18" si="24">MAX(0,AG17*AH17)</f>
        <v>0</v>
      </c>
      <c r="AJ17" s="54">
        <f t="shared" ref="AJ17:AJ18" si="25">MAX(0,AC17-AB17)</f>
        <v>3</v>
      </c>
      <c r="AK17" s="36">
        <v>2</v>
      </c>
      <c r="AL17" s="51">
        <f t="shared" ref="AL17:AL18" si="26">MAX(0,AJ17-AK17)</f>
        <v>1</v>
      </c>
      <c r="AM17" s="52">
        <v>200</v>
      </c>
      <c r="AN17" s="53">
        <f t="shared" ref="AN17:AN18" si="27">MAX(0,AL17*AM17)</f>
        <v>200</v>
      </c>
      <c r="AO17" s="52"/>
      <c r="AP17" s="55">
        <f t="shared" ref="AP17:AP18" si="28">AO17+AN17+AI17</f>
        <v>200</v>
      </c>
    </row>
    <row r="18" spans="1:42" s="1" customFormat="1" ht="15.75" customHeight="1">
      <c r="A18" s="98">
        <f t="shared" si="7"/>
        <v>15</v>
      </c>
      <c r="B18" s="79" t="s">
        <v>446</v>
      </c>
      <c r="C18" s="86" t="s">
        <v>447</v>
      </c>
      <c r="D18" s="86" t="s">
        <v>448</v>
      </c>
      <c r="E18" s="80" t="s">
        <v>449</v>
      </c>
      <c r="F18" s="79" t="s">
        <v>215</v>
      </c>
      <c r="G18" s="78" t="s">
        <v>103</v>
      </c>
      <c r="H18" s="81">
        <v>28</v>
      </c>
      <c r="I18" s="79">
        <v>35000</v>
      </c>
      <c r="J18" s="79">
        <v>35070</v>
      </c>
      <c r="K18" s="79" t="s">
        <v>120</v>
      </c>
      <c r="L18" s="80">
        <v>45890</v>
      </c>
      <c r="M18" s="82" t="s">
        <v>121</v>
      </c>
      <c r="N18" s="80" t="s">
        <v>122</v>
      </c>
      <c r="O18" s="80">
        <v>45881</v>
      </c>
      <c r="P18" s="80">
        <v>45907</v>
      </c>
      <c r="Q18" s="80">
        <v>45892</v>
      </c>
      <c r="R18" s="80">
        <v>46001</v>
      </c>
      <c r="S18" s="80">
        <v>46004</v>
      </c>
      <c r="T18" s="80">
        <v>46008</v>
      </c>
      <c r="U18" s="80">
        <v>46011</v>
      </c>
      <c r="V18" s="80">
        <v>46015</v>
      </c>
      <c r="W18" s="80">
        <v>46015</v>
      </c>
      <c r="X18" s="80">
        <v>46015</v>
      </c>
      <c r="Y18" s="80">
        <v>46018</v>
      </c>
      <c r="Z18" s="80">
        <v>46018</v>
      </c>
      <c r="AA18" s="80">
        <v>46019</v>
      </c>
      <c r="AB18" s="80">
        <v>46019</v>
      </c>
      <c r="AC18" s="80">
        <v>46022</v>
      </c>
      <c r="AD18" s="84" t="s">
        <v>641</v>
      </c>
      <c r="AE18" s="54">
        <f t="shared" si="22"/>
        <v>3</v>
      </c>
      <c r="AF18" s="36">
        <v>7</v>
      </c>
      <c r="AG18" s="51">
        <f t="shared" si="23"/>
        <v>0</v>
      </c>
      <c r="AH18" s="52">
        <v>200</v>
      </c>
      <c r="AI18" s="53">
        <f t="shared" si="24"/>
        <v>0</v>
      </c>
      <c r="AJ18" s="54">
        <f t="shared" si="25"/>
        <v>3</v>
      </c>
      <c r="AK18" s="36">
        <v>2</v>
      </c>
      <c r="AL18" s="51">
        <f t="shared" si="26"/>
        <v>1</v>
      </c>
      <c r="AM18" s="52">
        <v>200</v>
      </c>
      <c r="AN18" s="53">
        <f t="shared" si="27"/>
        <v>200</v>
      </c>
      <c r="AO18" s="52"/>
      <c r="AP18" s="55">
        <f t="shared" si="28"/>
        <v>200</v>
      </c>
    </row>
    <row r="19" spans="1:42" s="1" customFormat="1" ht="14.25" customHeight="1">
      <c r="A19" s="98">
        <f t="shared" si="7"/>
        <v>16</v>
      </c>
      <c r="B19" s="79" t="s">
        <v>446</v>
      </c>
      <c r="C19" s="86" t="s">
        <v>522</v>
      </c>
      <c r="D19" s="86" t="s">
        <v>523</v>
      </c>
      <c r="E19" s="79" t="s">
        <v>524</v>
      </c>
      <c r="F19" s="79" t="s">
        <v>215</v>
      </c>
      <c r="G19" s="78" t="s">
        <v>103</v>
      </c>
      <c r="H19" s="81">
        <v>29</v>
      </c>
      <c r="I19" s="79">
        <v>36323</v>
      </c>
      <c r="J19" s="79">
        <v>56000</v>
      </c>
      <c r="K19" s="79" t="s">
        <v>120</v>
      </c>
      <c r="L19" s="80">
        <v>45890</v>
      </c>
      <c r="M19" s="82" t="s">
        <v>121</v>
      </c>
      <c r="N19" s="80" t="s">
        <v>122</v>
      </c>
      <c r="O19" s="80">
        <v>45881</v>
      </c>
      <c r="P19" s="80">
        <v>45907</v>
      </c>
      <c r="Q19" s="80">
        <v>45892</v>
      </c>
      <c r="R19" s="80">
        <v>45999</v>
      </c>
      <c r="S19" s="80">
        <v>46002</v>
      </c>
      <c r="T19" s="80">
        <v>46005</v>
      </c>
      <c r="U19" s="80">
        <v>46013</v>
      </c>
      <c r="V19" s="80">
        <v>46015</v>
      </c>
      <c r="W19" s="80">
        <v>46015</v>
      </c>
      <c r="X19" s="80">
        <v>46015</v>
      </c>
      <c r="Y19" s="80">
        <v>46018</v>
      </c>
      <c r="Z19" s="80">
        <v>46018</v>
      </c>
      <c r="AA19" s="80">
        <v>46019</v>
      </c>
      <c r="AB19" s="80">
        <v>46019</v>
      </c>
      <c r="AC19" s="80">
        <v>46022</v>
      </c>
      <c r="AD19" s="84" t="s">
        <v>641</v>
      </c>
      <c r="AE19" s="45">
        <f t="shared" si="22"/>
        <v>3</v>
      </c>
      <c r="AF19" s="36">
        <v>7</v>
      </c>
      <c r="AG19" s="46">
        <f t="shared" si="16"/>
        <v>0</v>
      </c>
      <c r="AH19" s="47">
        <v>200</v>
      </c>
      <c r="AI19" s="48">
        <f t="shared" si="17"/>
        <v>0</v>
      </c>
      <c r="AJ19" s="45">
        <f t="shared" si="18"/>
        <v>3</v>
      </c>
      <c r="AK19" s="36">
        <v>2</v>
      </c>
      <c r="AL19" s="46">
        <f t="shared" si="19"/>
        <v>1</v>
      </c>
      <c r="AM19" s="47">
        <v>200</v>
      </c>
      <c r="AN19" s="48">
        <f t="shared" si="20"/>
        <v>200</v>
      </c>
      <c r="AO19" s="47">
        <v>0</v>
      </c>
      <c r="AP19" s="49">
        <f t="shared" si="21"/>
        <v>200</v>
      </c>
    </row>
    <row r="20" spans="1:42" s="68" customFormat="1" ht="15" customHeight="1">
      <c r="A20" s="98">
        <f t="shared" si="7"/>
        <v>17</v>
      </c>
      <c r="B20" s="79" t="s">
        <v>446</v>
      </c>
      <c r="C20" s="86" t="s">
        <v>483</v>
      </c>
      <c r="D20" s="86" t="s">
        <v>484</v>
      </c>
      <c r="E20" s="80" t="s">
        <v>485</v>
      </c>
      <c r="F20" s="79" t="s">
        <v>215</v>
      </c>
      <c r="G20" s="78" t="s">
        <v>103</v>
      </c>
      <c r="H20" s="81">
        <v>24</v>
      </c>
      <c r="I20" s="79">
        <v>30000</v>
      </c>
      <c r="J20" s="79">
        <v>30084</v>
      </c>
      <c r="K20" s="79" t="s">
        <v>120</v>
      </c>
      <c r="L20" s="80">
        <v>45890</v>
      </c>
      <c r="M20" s="82" t="s">
        <v>121</v>
      </c>
      <c r="N20" s="80" t="s">
        <v>122</v>
      </c>
      <c r="O20" s="80">
        <v>45881</v>
      </c>
      <c r="P20" s="80">
        <v>45907</v>
      </c>
      <c r="Q20" s="80">
        <v>45892</v>
      </c>
      <c r="R20" s="80">
        <v>46004</v>
      </c>
      <c r="S20" s="80">
        <v>46005</v>
      </c>
      <c r="T20" s="80">
        <v>46009</v>
      </c>
      <c r="U20" s="80">
        <v>46012</v>
      </c>
      <c r="V20" s="80">
        <v>46015</v>
      </c>
      <c r="W20" s="80">
        <v>46015</v>
      </c>
      <c r="X20" s="80">
        <v>46015</v>
      </c>
      <c r="Y20" s="80">
        <v>46017</v>
      </c>
      <c r="Z20" s="80">
        <v>46019</v>
      </c>
      <c r="AA20" s="80">
        <v>46020</v>
      </c>
      <c r="AB20" s="80">
        <v>46020</v>
      </c>
      <c r="AC20" s="80">
        <v>46022</v>
      </c>
      <c r="AD20" s="84" t="s">
        <v>641</v>
      </c>
      <c r="AE20" s="54">
        <f t="shared" si="22"/>
        <v>2</v>
      </c>
      <c r="AF20" s="36">
        <v>7</v>
      </c>
      <c r="AG20" s="51">
        <f t="shared" si="16"/>
        <v>0</v>
      </c>
      <c r="AH20" s="52">
        <v>200</v>
      </c>
      <c r="AI20" s="53">
        <f t="shared" si="17"/>
        <v>0</v>
      </c>
      <c r="AJ20" s="54">
        <f t="shared" si="18"/>
        <v>2</v>
      </c>
      <c r="AK20" s="36">
        <v>2</v>
      </c>
      <c r="AL20" s="51">
        <f t="shared" si="19"/>
        <v>0</v>
      </c>
      <c r="AM20" s="52">
        <v>200</v>
      </c>
      <c r="AN20" s="53">
        <f t="shared" si="20"/>
        <v>0</v>
      </c>
      <c r="AO20" s="52">
        <v>0</v>
      </c>
      <c r="AP20" s="55">
        <f t="shared" si="21"/>
        <v>0</v>
      </c>
    </row>
    <row r="21" spans="1:42" s="1" customFormat="1" ht="15" customHeight="1">
      <c r="A21" s="98">
        <f t="shared" si="7"/>
        <v>18</v>
      </c>
      <c r="B21" s="79" t="s">
        <v>446</v>
      </c>
      <c r="C21" s="86" t="s">
        <v>462</v>
      </c>
      <c r="D21" s="86" t="s">
        <v>463</v>
      </c>
      <c r="E21" s="80" t="s">
        <v>464</v>
      </c>
      <c r="F21" s="79" t="s">
        <v>215</v>
      </c>
      <c r="G21" s="78" t="s">
        <v>103</v>
      </c>
      <c r="H21" s="81">
        <v>28</v>
      </c>
      <c r="I21" s="79">
        <v>35000</v>
      </c>
      <c r="J21" s="79">
        <v>35070</v>
      </c>
      <c r="K21" s="79" t="s">
        <v>120</v>
      </c>
      <c r="L21" s="80">
        <v>45890</v>
      </c>
      <c r="M21" s="82" t="s">
        <v>121</v>
      </c>
      <c r="N21" s="80" t="s">
        <v>122</v>
      </c>
      <c r="O21" s="80">
        <v>45881</v>
      </c>
      <c r="P21" s="80">
        <v>45907</v>
      </c>
      <c r="Q21" s="80">
        <v>45892</v>
      </c>
      <c r="R21" s="80">
        <v>46002</v>
      </c>
      <c r="S21" s="80">
        <v>46002</v>
      </c>
      <c r="T21" s="80">
        <v>46005</v>
      </c>
      <c r="U21" s="80">
        <v>46008</v>
      </c>
      <c r="V21" s="80">
        <v>46012</v>
      </c>
      <c r="W21" s="80">
        <v>46012</v>
      </c>
      <c r="X21" s="80">
        <v>46012</v>
      </c>
      <c r="Y21" s="80">
        <v>46014</v>
      </c>
      <c r="Z21" s="80">
        <v>46015</v>
      </c>
      <c r="AA21" s="80">
        <v>46015</v>
      </c>
      <c r="AB21" s="80">
        <v>46015</v>
      </c>
      <c r="AC21" s="80">
        <v>46018</v>
      </c>
      <c r="AD21" s="84" t="s">
        <v>641</v>
      </c>
      <c r="AE21" s="54">
        <f t="shared" ref="AE21:AE26" si="29">MAX(0,Y21-X21)</f>
        <v>2</v>
      </c>
      <c r="AF21" s="36">
        <v>7</v>
      </c>
      <c r="AG21" s="51">
        <f t="shared" ref="AG21:AG26" si="30">MAX(0,AE21-AF21)</f>
        <v>0</v>
      </c>
      <c r="AH21" s="52">
        <v>200</v>
      </c>
      <c r="AI21" s="53">
        <f t="shared" ref="AI21:AI26" si="31">MAX(0,AG21*AH21)</f>
        <v>0</v>
      </c>
      <c r="AJ21" s="54">
        <f t="shared" ref="AJ21:AJ26" si="32">MAX(0,AC21-AB21)</f>
        <v>3</v>
      </c>
      <c r="AK21" s="36">
        <v>2</v>
      </c>
      <c r="AL21" s="51">
        <f t="shared" ref="AL21:AL26" si="33">MAX(0,AJ21-AK21)</f>
        <v>1</v>
      </c>
      <c r="AM21" s="52">
        <v>200</v>
      </c>
      <c r="AN21" s="53">
        <f t="shared" ref="AN21:AN26" si="34">MAX(0,AL21*AM21)</f>
        <v>200</v>
      </c>
      <c r="AO21" s="52"/>
      <c r="AP21" s="55">
        <f t="shared" ref="AP21:AP26" si="35">AO21+AN21+AI21</f>
        <v>200</v>
      </c>
    </row>
    <row r="22" spans="1:42" s="1" customFormat="1" ht="15" customHeight="1">
      <c r="A22" s="98">
        <f t="shared" si="7"/>
        <v>19</v>
      </c>
      <c r="B22" s="79" t="s">
        <v>446</v>
      </c>
      <c r="C22" s="86" t="s">
        <v>465</v>
      </c>
      <c r="D22" s="86" t="s">
        <v>466</v>
      </c>
      <c r="E22" s="78" t="s">
        <v>467</v>
      </c>
      <c r="F22" s="79" t="s">
        <v>215</v>
      </c>
      <c r="G22" s="78" t="s">
        <v>103</v>
      </c>
      <c r="H22" s="81">
        <v>29</v>
      </c>
      <c r="I22" s="79">
        <v>36250</v>
      </c>
      <c r="J22" s="79">
        <v>36323</v>
      </c>
      <c r="K22" s="79" t="s">
        <v>120</v>
      </c>
      <c r="L22" s="80">
        <v>45890</v>
      </c>
      <c r="M22" s="82" t="s">
        <v>121</v>
      </c>
      <c r="N22" s="80" t="s">
        <v>122</v>
      </c>
      <c r="O22" s="80">
        <v>45881</v>
      </c>
      <c r="P22" s="80">
        <v>45907</v>
      </c>
      <c r="Q22" s="80">
        <v>45892</v>
      </c>
      <c r="R22" s="80">
        <v>46002</v>
      </c>
      <c r="S22" s="80">
        <v>46002</v>
      </c>
      <c r="T22" s="80">
        <v>46005</v>
      </c>
      <c r="U22" s="80">
        <v>46009</v>
      </c>
      <c r="V22" s="80">
        <v>46012</v>
      </c>
      <c r="W22" s="80">
        <v>46012</v>
      </c>
      <c r="X22" s="80">
        <v>46012</v>
      </c>
      <c r="Y22" s="80">
        <v>46014</v>
      </c>
      <c r="Z22" s="80">
        <v>46015</v>
      </c>
      <c r="AA22" s="80">
        <v>46015</v>
      </c>
      <c r="AB22" s="80">
        <v>46015</v>
      </c>
      <c r="AC22" s="80">
        <v>46018</v>
      </c>
      <c r="AD22" s="84" t="s">
        <v>641</v>
      </c>
      <c r="AE22" s="45">
        <f t="shared" si="29"/>
        <v>2</v>
      </c>
      <c r="AF22" s="36">
        <v>7</v>
      </c>
      <c r="AG22" s="46">
        <f t="shared" si="30"/>
        <v>0</v>
      </c>
      <c r="AH22" s="47">
        <v>200</v>
      </c>
      <c r="AI22" s="48">
        <f t="shared" si="31"/>
        <v>0</v>
      </c>
      <c r="AJ22" s="45">
        <f t="shared" si="32"/>
        <v>3</v>
      </c>
      <c r="AK22" s="36">
        <v>2</v>
      </c>
      <c r="AL22" s="46">
        <f t="shared" si="33"/>
        <v>1</v>
      </c>
      <c r="AM22" s="47">
        <v>200</v>
      </c>
      <c r="AN22" s="48">
        <f t="shared" si="34"/>
        <v>200</v>
      </c>
      <c r="AO22" s="47"/>
      <c r="AP22" s="49">
        <f t="shared" si="35"/>
        <v>200</v>
      </c>
    </row>
    <row r="23" spans="1:42" s="1" customFormat="1" ht="15" customHeight="1">
      <c r="A23" s="98">
        <f t="shared" si="7"/>
        <v>20</v>
      </c>
      <c r="B23" s="79" t="s">
        <v>446</v>
      </c>
      <c r="C23" s="86" t="s">
        <v>474</v>
      </c>
      <c r="D23" s="86" t="s">
        <v>475</v>
      </c>
      <c r="E23" s="78" t="s">
        <v>476</v>
      </c>
      <c r="F23" s="79" t="s">
        <v>215</v>
      </c>
      <c r="G23" s="78" t="s">
        <v>103</v>
      </c>
      <c r="H23" s="81">
        <v>29</v>
      </c>
      <c r="I23" s="79">
        <v>36250</v>
      </c>
      <c r="J23" s="79">
        <v>36323</v>
      </c>
      <c r="K23" s="79" t="s">
        <v>120</v>
      </c>
      <c r="L23" s="80">
        <v>45890</v>
      </c>
      <c r="M23" s="82" t="s">
        <v>121</v>
      </c>
      <c r="N23" s="80" t="s">
        <v>122</v>
      </c>
      <c r="O23" s="80">
        <v>45881</v>
      </c>
      <c r="P23" s="80">
        <v>45907</v>
      </c>
      <c r="Q23" s="80">
        <v>45892</v>
      </c>
      <c r="R23" s="80">
        <v>46002</v>
      </c>
      <c r="S23" s="80">
        <v>46002</v>
      </c>
      <c r="T23" s="80">
        <v>46005</v>
      </c>
      <c r="U23" s="80">
        <v>46008</v>
      </c>
      <c r="V23" s="80">
        <v>46012</v>
      </c>
      <c r="W23" s="80">
        <v>46012</v>
      </c>
      <c r="X23" s="80">
        <v>46012</v>
      </c>
      <c r="Y23" s="80">
        <v>46015</v>
      </c>
      <c r="Z23" s="80">
        <v>46015</v>
      </c>
      <c r="AA23" s="80">
        <v>46015</v>
      </c>
      <c r="AB23" s="80">
        <v>46015</v>
      </c>
      <c r="AC23" s="80">
        <v>46018</v>
      </c>
      <c r="AD23" s="84" t="s">
        <v>641</v>
      </c>
      <c r="AE23" s="54">
        <f t="shared" si="29"/>
        <v>3</v>
      </c>
      <c r="AF23" s="36">
        <v>7</v>
      </c>
      <c r="AG23" s="51">
        <f t="shared" si="30"/>
        <v>0</v>
      </c>
      <c r="AH23" s="52">
        <v>200</v>
      </c>
      <c r="AI23" s="53">
        <f t="shared" si="31"/>
        <v>0</v>
      </c>
      <c r="AJ23" s="54">
        <f t="shared" si="32"/>
        <v>3</v>
      </c>
      <c r="AK23" s="36">
        <v>2</v>
      </c>
      <c r="AL23" s="51">
        <f t="shared" si="33"/>
        <v>1</v>
      </c>
      <c r="AM23" s="52">
        <v>200</v>
      </c>
      <c r="AN23" s="53">
        <f t="shared" si="34"/>
        <v>200</v>
      </c>
      <c r="AO23" s="52"/>
      <c r="AP23" s="55">
        <f t="shared" si="35"/>
        <v>200</v>
      </c>
    </row>
    <row r="24" spans="1:42" s="1" customFormat="1" ht="15" customHeight="1">
      <c r="A24" s="98">
        <f t="shared" si="7"/>
        <v>21</v>
      </c>
      <c r="B24" s="79" t="s">
        <v>446</v>
      </c>
      <c r="C24" s="86" t="s">
        <v>477</v>
      </c>
      <c r="D24" s="86" t="s">
        <v>478</v>
      </c>
      <c r="E24" s="79" t="s">
        <v>479</v>
      </c>
      <c r="F24" s="79" t="s">
        <v>215</v>
      </c>
      <c r="G24" s="78" t="s">
        <v>103</v>
      </c>
      <c r="H24" s="81">
        <v>28</v>
      </c>
      <c r="I24" s="79">
        <v>35000</v>
      </c>
      <c r="J24" s="79">
        <v>35070</v>
      </c>
      <c r="K24" s="79" t="s">
        <v>120</v>
      </c>
      <c r="L24" s="80">
        <v>45890</v>
      </c>
      <c r="M24" s="82" t="s">
        <v>121</v>
      </c>
      <c r="N24" s="80" t="s">
        <v>122</v>
      </c>
      <c r="O24" s="80">
        <v>45881</v>
      </c>
      <c r="P24" s="80">
        <v>45907</v>
      </c>
      <c r="Q24" s="80">
        <v>45892</v>
      </c>
      <c r="R24" s="80">
        <v>46002</v>
      </c>
      <c r="S24" s="80">
        <v>46002</v>
      </c>
      <c r="T24" s="80">
        <v>46005</v>
      </c>
      <c r="U24" s="80">
        <v>46008</v>
      </c>
      <c r="V24" s="80">
        <v>46012</v>
      </c>
      <c r="W24" s="80">
        <v>46012</v>
      </c>
      <c r="X24" s="80">
        <v>46012</v>
      </c>
      <c r="Y24" s="80">
        <v>46015</v>
      </c>
      <c r="Z24" s="80">
        <v>46015</v>
      </c>
      <c r="AA24" s="80">
        <v>46015</v>
      </c>
      <c r="AB24" s="80">
        <v>46015</v>
      </c>
      <c r="AC24" s="80">
        <v>46018</v>
      </c>
      <c r="AD24" s="84" t="s">
        <v>641</v>
      </c>
      <c r="AE24" s="45">
        <f t="shared" si="29"/>
        <v>3</v>
      </c>
      <c r="AF24" s="36">
        <v>7</v>
      </c>
      <c r="AG24" s="46">
        <f t="shared" si="30"/>
        <v>0</v>
      </c>
      <c r="AH24" s="47">
        <v>200</v>
      </c>
      <c r="AI24" s="48">
        <f t="shared" si="31"/>
        <v>0</v>
      </c>
      <c r="AJ24" s="45">
        <f t="shared" si="32"/>
        <v>3</v>
      </c>
      <c r="AK24" s="36">
        <v>2</v>
      </c>
      <c r="AL24" s="46">
        <f t="shared" si="33"/>
        <v>1</v>
      </c>
      <c r="AM24" s="47">
        <v>200</v>
      </c>
      <c r="AN24" s="48">
        <f t="shared" si="34"/>
        <v>200</v>
      </c>
      <c r="AO24" s="47"/>
      <c r="AP24" s="49">
        <f t="shared" si="35"/>
        <v>200</v>
      </c>
    </row>
    <row r="25" spans="1:42" s="1" customFormat="1" ht="15" customHeight="1">
      <c r="A25" s="98">
        <f t="shared" si="7"/>
        <v>22</v>
      </c>
      <c r="B25" s="79" t="s">
        <v>446</v>
      </c>
      <c r="C25" s="86" t="s">
        <v>519</v>
      </c>
      <c r="D25" s="78" t="s">
        <v>520</v>
      </c>
      <c r="E25" s="78" t="s">
        <v>521</v>
      </c>
      <c r="F25" s="79" t="s">
        <v>215</v>
      </c>
      <c r="G25" s="78" t="s">
        <v>103</v>
      </c>
      <c r="H25" s="81">
        <v>28</v>
      </c>
      <c r="I25" s="79">
        <v>35070</v>
      </c>
      <c r="J25" s="79">
        <v>56000</v>
      </c>
      <c r="K25" s="79" t="s">
        <v>120</v>
      </c>
      <c r="L25" s="80">
        <v>45890</v>
      </c>
      <c r="M25" s="82" t="s">
        <v>121</v>
      </c>
      <c r="N25" s="80" t="s">
        <v>122</v>
      </c>
      <c r="O25" s="80">
        <v>45881</v>
      </c>
      <c r="P25" s="80">
        <v>45907</v>
      </c>
      <c r="Q25" s="80">
        <v>45892</v>
      </c>
      <c r="R25" s="80">
        <v>45999</v>
      </c>
      <c r="S25" s="80">
        <v>46002</v>
      </c>
      <c r="T25" s="80">
        <v>46005</v>
      </c>
      <c r="U25" s="80">
        <v>46008</v>
      </c>
      <c r="V25" s="80">
        <v>46011</v>
      </c>
      <c r="W25" s="80">
        <v>46011</v>
      </c>
      <c r="X25" s="80">
        <v>46011</v>
      </c>
      <c r="Y25" s="80">
        <v>46015</v>
      </c>
      <c r="Z25" s="80">
        <v>46015</v>
      </c>
      <c r="AA25" s="80">
        <v>46015</v>
      </c>
      <c r="AB25" s="80">
        <v>46015</v>
      </c>
      <c r="AC25" s="80">
        <v>46018</v>
      </c>
      <c r="AD25" s="84" t="s">
        <v>641</v>
      </c>
      <c r="AE25" s="54">
        <f t="shared" si="29"/>
        <v>4</v>
      </c>
      <c r="AF25" s="36">
        <v>7</v>
      </c>
      <c r="AG25" s="51">
        <f t="shared" si="30"/>
        <v>0</v>
      </c>
      <c r="AH25" s="52">
        <v>200</v>
      </c>
      <c r="AI25" s="53">
        <f t="shared" si="31"/>
        <v>0</v>
      </c>
      <c r="AJ25" s="54">
        <f t="shared" si="32"/>
        <v>3</v>
      </c>
      <c r="AK25" s="36">
        <v>2</v>
      </c>
      <c r="AL25" s="51">
        <f t="shared" si="33"/>
        <v>1</v>
      </c>
      <c r="AM25" s="52">
        <v>200</v>
      </c>
      <c r="AN25" s="53">
        <f t="shared" si="34"/>
        <v>200</v>
      </c>
      <c r="AO25" s="52"/>
      <c r="AP25" s="55">
        <f t="shared" si="35"/>
        <v>200</v>
      </c>
    </row>
    <row r="26" spans="1:42" s="1" customFormat="1" ht="14.25" customHeight="1">
      <c r="A26" s="98">
        <f t="shared" si="7"/>
        <v>23</v>
      </c>
      <c r="B26" s="79" t="s">
        <v>446</v>
      </c>
      <c r="C26" s="86" t="s">
        <v>531</v>
      </c>
      <c r="D26" s="86" t="s">
        <v>532</v>
      </c>
      <c r="E26" s="78" t="s">
        <v>533</v>
      </c>
      <c r="F26" s="79" t="s">
        <v>215</v>
      </c>
      <c r="G26" s="78" t="s">
        <v>103</v>
      </c>
      <c r="H26" s="81">
        <v>29</v>
      </c>
      <c r="I26" s="79">
        <v>36323</v>
      </c>
      <c r="J26" s="79">
        <v>56000</v>
      </c>
      <c r="K26" s="79" t="s">
        <v>120</v>
      </c>
      <c r="L26" s="80">
        <v>45890</v>
      </c>
      <c r="M26" s="82" t="s">
        <v>121</v>
      </c>
      <c r="N26" s="80" t="s">
        <v>122</v>
      </c>
      <c r="O26" s="80">
        <v>45881</v>
      </c>
      <c r="P26" s="80">
        <v>45907</v>
      </c>
      <c r="Q26" s="80">
        <v>45892</v>
      </c>
      <c r="R26" s="80">
        <v>45999</v>
      </c>
      <c r="S26" s="80">
        <v>46002</v>
      </c>
      <c r="T26" s="80">
        <v>46005</v>
      </c>
      <c r="U26" s="80">
        <v>46008</v>
      </c>
      <c r="V26" s="80">
        <v>46012</v>
      </c>
      <c r="W26" s="80">
        <v>46012</v>
      </c>
      <c r="X26" s="80">
        <v>46012</v>
      </c>
      <c r="Y26" s="80">
        <v>46015</v>
      </c>
      <c r="Z26" s="80">
        <v>46015</v>
      </c>
      <c r="AA26" s="80">
        <v>46015</v>
      </c>
      <c r="AB26" s="80">
        <v>46015</v>
      </c>
      <c r="AC26" s="80">
        <v>46018</v>
      </c>
      <c r="AD26" s="84" t="s">
        <v>641</v>
      </c>
      <c r="AE26" s="54">
        <f t="shared" si="29"/>
        <v>3</v>
      </c>
      <c r="AF26" s="36">
        <v>7</v>
      </c>
      <c r="AG26" s="51">
        <f t="shared" si="30"/>
        <v>0</v>
      </c>
      <c r="AH26" s="52">
        <v>200</v>
      </c>
      <c r="AI26" s="53">
        <f t="shared" si="31"/>
        <v>0</v>
      </c>
      <c r="AJ26" s="54">
        <f t="shared" si="32"/>
        <v>3</v>
      </c>
      <c r="AK26" s="36">
        <v>2</v>
      </c>
      <c r="AL26" s="51">
        <f t="shared" si="33"/>
        <v>1</v>
      </c>
      <c r="AM26" s="52">
        <v>200</v>
      </c>
      <c r="AN26" s="53">
        <f t="shared" si="34"/>
        <v>200</v>
      </c>
      <c r="AO26" s="52"/>
      <c r="AP26" s="55">
        <f t="shared" si="35"/>
        <v>200</v>
      </c>
    </row>
    <row r="27" spans="1:42" s="1" customFormat="1" ht="15" customHeight="1">
      <c r="A27" s="98">
        <f t="shared" si="7"/>
        <v>24</v>
      </c>
      <c r="B27" s="79" t="s">
        <v>446</v>
      </c>
      <c r="C27" s="86" t="s">
        <v>501</v>
      </c>
      <c r="D27" s="86" t="s">
        <v>502</v>
      </c>
      <c r="E27" s="79" t="s">
        <v>503</v>
      </c>
      <c r="F27" s="79" t="s">
        <v>215</v>
      </c>
      <c r="G27" s="78" t="s">
        <v>103</v>
      </c>
      <c r="H27" s="81">
        <v>29</v>
      </c>
      <c r="I27" s="79">
        <v>36323</v>
      </c>
      <c r="J27" s="79">
        <v>56000</v>
      </c>
      <c r="K27" s="79" t="s">
        <v>120</v>
      </c>
      <c r="L27" s="80">
        <v>45890</v>
      </c>
      <c r="M27" s="82" t="s">
        <v>121</v>
      </c>
      <c r="N27" s="80" t="s">
        <v>122</v>
      </c>
      <c r="O27" s="80">
        <v>45881</v>
      </c>
      <c r="P27" s="80">
        <v>45907</v>
      </c>
      <c r="Q27" s="80">
        <v>45892</v>
      </c>
      <c r="R27" s="80">
        <v>45999</v>
      </c>
      <c r="S27" s="80">
        <v>46002</v>
      </c>
      <c r="T27" s="80">
        <v>46005</v>
      </c>
      <c r="U27" s="80">
        <v>46008</v>
      </c>
      <c r="V27" s="80">
        <v>46011</v>
      </c>
      <c r="W27" s="80">
        <v>46011</v>
      </c>
      <c r="X27" s="80">
        <v>46011</v>
      </c>
      <c r="Y27" s="80">
        <v>46015</v>
      </c>
      <c r="Z27" s="80">
        <v>46015</v>
      </c>
      <c r="AA27" s="80">
        <v>46015</v>
      </c>
      <c r="AB27" s="80">
        <v>46015</v>
      </c>
      <c r="AC27" s="80">
        <v>46018</v>
      </c>
      <c r="AD27" s="84" t="s">
        <v>641</v>
      </c>
      <c r="AE27" s="45">
        <f t="shared" ref="AE27:AE31" si="36">MAX(0,Y27-X27)</f>
        <v>4</v>
      </c>
      <c r="AF27" s="36">
        <v>7</v>
      </c>
      <c r="AG27" s="46">
        <f t="shared" ref="AG27:AG31" si="37">MAX(0,AE27-AF27)</f>
        <v>0</v>
      </c>
      <c r="AH27" s="47">
        <v>200</v>
      </c>
      <c r="AI27" s="48">
        <f t="shared" ref="AI27:AI31" si="38">MAX(0,AG27*AH27)</f>
        <v>0</v>
      </c>
      <c r="AJ27" s="45">
        <f t="shared" ref="AJ27:AJ31" si="39">MAX(0,AC27-AB27)</f>
        <v>3</v>
      </c>
      <c r="AK27" s="36">
        <v>2</v>
      </c>
      <c r="AL27" s="46">
        <f t="shared" ref="AL27:AL31" si="40">MAX(0,AJ27-AK27)</f>
        <v>1</v>
      </c>
      <c r="AM27" s="47">
        <v>200</v>
      </c>
      <c r="AN27" s="48">
        <f t="shared" ref="AN27:AN31" si="41">MAX(0,AL27*AM27)</f>
        <v>200</v>
      </c>
      <c r="AO27" s="47"/>
      <c r="AP27" s="49">
        <f t="shared" ref="AP27:AP31" si="42">AO27+AN27+AI27</f>
        <v>200</v>
      </c>
    </row>
    <row r="28" spans="1:42" s="1" customFormat="1" ht="15" customHeight="1">
      <c r="A28" s="98">
        <f t="shared" si="7"/>
        <v>25</v>
      </c>
      <c r="B28" s="79" t="s">
        <v>446</v>
      </c>
      <c r="C28" s="86" t="s">
        <v>504</v>
      </c>
      <c r="D28" s="79" t="s">
        <v>505</v>
      </c>
      <c r="E28" s="80" t="s">
        <v>506</v>
      </c>
      <c r="F28" s="79" t="s">
        <v>215</v>
      </c>
      <c r="G28" s="78" t="s">
        <v>103</v>
      </c>
      <c r="H28" s="81">
        <v>28</v>
      </c>
      <c r="I28" s="79">
        <v>35070</v>
      </c>
      <c r="J28" s="79">
        <v>56000</v>
      </c>
      <c r="K28" s="79" t="s">
        <v>120</v>
      </c>
      <c r="L28" s="80">
        <v>45890</v>
      </c>
      <c r="M28" s="82" t="s">
        <v>121</v>
      </c>
      <c r="N28" s="80" t="s">
        <v>122</v>
      </c>
      <c r="O28" s="80">
        <v>45881</v>
      </c>
      <c r="P28" s="80">
        <v>45907</v>
      </c>
      <c r="Q28" s="80">
        <v>45892</v>
      </c>
      <c r="R28" s="80">
        <v>45999</v>
      </c>
      <c r="S28" s="80">
        <v>46002</v>
      </c>
      <c r="T28" s="80">
        <v>46005</v>
      </c>
      <c r="U28" s="80">
        <v>46008</v>
      </c>
      <c r="V28" s="80">
        <v>46011</v>
      </c>
      <c r="W28" s="80">
        <v>46011</v>
      </c>
      <c r="X28" s="80">
        <v>46011</v>
      </c>
      <c r="Y28" s="80">
        <v>46015</v>
      </c>
      <c r="Z28" s="80">
        <v>46015</v>
      </c>
      <c r="AA28" s="80">
        <v>46015</v>
      </c>
      <c r="AB28" s="80">
        <v>46015</v>
      </c>
      <c r="AC28" s="80">
        <v>46018</v>
      </c>
      <c r="AD28" s="84" t="s">
        <v>641</v>
      </c>
      <c r="AE28" s="54">
        <f t="shared" si="36"/>
        <v>4</v>
      </c>
      <c r="AF28" s="36">
        <v>7</v>
      </c>
      <c r="AG28" s="51">
        <f t="shared" si="37"/>
        <v>0</v>
      </c>
      <c r="AH28" s="52">
        <v>200</v>
      </c>
      <c r="AI28" s="53">
        <f t="shared" si="38"/>
        <v>0</v>
      </c>
      <c r="AJ28" s="54">
        <f t="shared" si="39"/>
        <v>3</v>
      </c>
      <c r="AK28" s="36">
        <v>2</v>
      </c>
      <c r="AL28" s="51">
        <f t="shared" si="40"/>
        <v>1</v>
      </c>
      <c r="AM28" s="52">
        <v>200</v>
      </c>
      <c r="AN28" s="53">
        <f t="shared" si="41"/>
        <v>200</v>
      </c>
      <c r="AO28" s="52"/>
      <c r="AP28" s="55">
        <f t="shared" si="42"/>
        <v>200</v>
      </c>
    </row>
    <row r="29" spans="1:42" s="1" customFormat="1" ht="15" customHeight="1">
      <c r="A29" s="98">
        <f t="shared" si="7"/>
        <v>26</v>
      </c>
      <c r="B29" s="79" t="s">
        <v>446</v>
      </c>
      <c r="C29" s="86" t="s">
        <v>516</v>
      </c>
      <c r="D29" s="86" t="s">
        <v>517</v>
      </c>
      <c r="E29" s="78" t="s">
        <v>518</v>
      </c>
      <c r="F29" s="79" t="s">
        <v>215</v>
      </c>
      <c r="G29" s="78" t="s">
        <v>103</v>
      </c>
      <c r="H29" s="81">
        <v>28</v>
      </c>
      <c r="I29" s="79">
        <v>35070</v>
      </c>
      <c r="J29" s="79">
        <v>56000</v>
      </c>
      <c r="K29" s="79" t="s">
        <v>120</v>
      </c>
      <c r="L29" s="80">
        <v>45890</v>
      </c>
      <c r="M29" s="82" t="s">
        <v>121</v>
      </c>
      <c r="N29" s="80" t="s">
        <v>122</v>
      </c>
      <c r="O29" s="80">
        <v>45881</v>
      </c>
      <c r="P29" s="80">
        <v>45907</v>
      </c>
      <c r="Q29" s="80">
        <v>45892</v>
      </c>
      <c r="R29" s="80">
        <v>45999</v>
      </c>
      <c r="S29" s="80">
        <v>46002</v>
      </c>
      <c r="T29" s="80">
        <v>46005</v>
      </c>
      <c r="U29" s="80">
        <v>46008</v>
      </c>
      <c r="V29" s="80">
        <v>46011</v>
      </c>
      <c r="W29" s="80">
        <v>46011</v>
      </c>
      <c r="X29" s="80">
        <v>46011</v>
      </c>
      <c r="Y29" s="80">
        <v>46015</v>
      </c>
      <c r="Z29" s="80">
        <v>46015</v>
      </c>
      <c r="AA29" s="80">
        <v>46017</v>
      </c>
      <c r="AB29" s="80">
        <v>46017</v>
      </c>
      <c r="AC29" s="80">
        <v>46018</v>
      </c>
      <c r="AD29" s="84" t="s">
        <v>641</v>
      </c>
      <c r="AE29" s="45">
        <f t="shared" si="36"/>
        <v>4</v>
      </c>
      <c r="AF29" s="36">
        <v>7</v>
      </c>
      <c r="AG29" s="46">
        <f t="shared" si="37"/>
        <v>0</v>
      </c>
      <c r="AH29" s="47">
        <v>200</v>
      </c>
      <c r="AI29" s="48">
        <f t="shared" si="38"/>
        <v>0</v>
      </c>
      <c r="AJ29" s="45">
        <f t="shared" si="39"/>
        <v>1</v>
      </c>
      <c r="AK29" s="36">
        <v>2</v>
      </c>
      <c r="AL29" s="46">
        <f t="shared" si="40"/>
        <v>0</v>
      </c>
      <c r="AM29" s="47">
        <v>200</v>
      </c>
      <c r="AN29" s="48">
        <f t="shared" si="41"/>
        <v>0</v>
      </c>
      <c r="AO29" s="47"/>
      <c r="AP29" s="49">
        <f t="shared" si="42"/>
        <v>0</v>
      </c>
    </row>
    <row r="30" spans="1:42" s="1" customFormat="1" ht="12.75">
      <c r="A30" s="98">
        <f t="shared" si="7"/>
        <v>27</v>
      </c>
      <c r="B30" s="79" t="s">
        <v>446</v>
      </c>
      <c r="C30" s="89" t="s">
        <v>471</v>
      </c>
      <c r="D30" s="79" t="s">
        <v>472</v>
      </c>
      <c r="E30" s="78" t="s">
        <v>473</v>
      </c>
      <c r="F30" s="79" t="s">
        <v>215</v>
      </c>
      <c r="G30" s="78" t="s">
        <v>103</v>
      </c>
      <c r="H30" s="81">
        <v>28</v>
      </c>
      <c r="I30" s="79">
        <v>35000</v>
      </c>
      <c r="J30" s="79">
        <v>35070</v>
      </c>
      <c r="K30" s="79" t="s">
        <v>120</v>
      </c>
      <c r="L30" s="80">
        <v>45890</v>
      </c>
      <c r="M30" s="82" t="s">
        <v>121</v>
      </c>
      <c r="N30" s="80" t="s">
        <v>122</v>
      </c>
      <c r="O30" s="80">
        <v>45881</v>
      </c>
      <c r="P30" s="80">
        <v>45907</v>
      </c>
      <c r="Q30" s="80">
        <v>45892</v>
      </c>
      <c r="R30" s="80">
        <v>46002</v>
      </c>
      <c r="S30" s="80">
        <v>46002</v>
      </c>
      <c r="T30" s="80">
        <v>46005</v>
      </c>
      <c r="U30" s="80">
        <v>46008</v>
      </c>
      <c r="V30" s="80">
        <v>46012</v>
      </c>
      <c r="W30" s="80">
        <v>46012</v>
      </c>
      <c r="X30" s="80">
        <v>46012</v>
      </c>
      <c r="Y30" s="80">
        <v>46015</v>
      </c>
      <c r="Z30" s="80">
        <v>46015</v>
      </c>
      <c r="AA30" s="80">
        <v>46015</v>
      </c>
      <c r="AB30" s="80">
        <v>46015</v>
      </c>
      <c r="AC30" s="80">
        <v>46017</v>
      </c>
      <c r="AD30" s="84" t="s">
        <v>641</v>
      </c>
      <c r="AE30" s="45">
        <f t="shared" si="36"/>
        <v>3</v>
      </c>
      <c r="AF30" s="36">
        <v>7</v>
      </c>
      <c r="AG30" s="46">
        <f t="shared" si="37"/>
        <v>0</v>
      </c>
      <c r="AH30" s="47">
        <v>200</v>
      </c>
      <c r="AI30" s="48">
        <f t="shared" si="38"/>
        <v>0</v>
      </c>
      <c r="AJ30" s="45">
        <f t="shared" si="39"/>
        <v>2</v>
      </c>
      <c r="AK30" s="36">
        <v>2</v>
      </c>
      <c r="AL30" s="46">
        <f t="shared" si="40"/>
        <v>0</v>
      </c>
      <c r="AM30" s="47">
        <v>200</v>
      </c>
      <c r="AN30" s="48">
        <f t="shared" si="41"/>
        <v>0</v>
      </c>
      <c r="AO30" s="47"/>
      <c r="AP30" s="49">
        <f t="shared" si="42"/>
        <v>0</v>
      </c>
    </row>
    <row r="31" spans="1:42" s="1" customFormat="1" ht="15" customHeight="1">
      <c r="A31" s="98">
        <f t="shared" si="7"/>
        <v>28</v>
      </c>
      <c r="B31" s="79" t="s">
        <v>446</v>
      </c>
      <c r="C31" s="86" t="s">
        <v>525</v>
      </c>
      <c r="D31" s="86" t="s">
        <v>526</v>
      </c>
      <c r="E31" s="78" t="s">
        <v>527</v>
      </c>
      <c r="F31" s="79" t="s">
        <v>215</v>
      </c>
      <c r="G31" s="78" t="s">
        <v>103</v>
      </c>
      <c r="H31" s="81">
        <v>28</v>
      </c>
      <c r="I31" s="79">
        <v>35070</v>
      </c>
      <c r="J31" s="79">
        <v>56000</v>
      </c>
      <c r="K31" s="79" t="s">
        <v>120</v>
      </c>
      <c r="L31" s="80">
        <v>45890</v>
      </c>
      <c r="M31" s="82" t="s">
        <v>121</v>
      </c>
      <c r="N31" s="80" t="s">
        <v>122</v>
      </c>
      <c r="O31" s="80">
        <v>45881</v>
      </c>
      <c r="P31" s="80">
        <v>45907</v>
      </c>
      <c r="Q31" s="80">
        <v>45892</v>
      </c>
      <c r="R31" s="80">
        <v>45999</v>
      </c>
      <c r="S31" s="80">
        <v>46002</v>
      </c>
      <c r="T31" s="80">
        <v>46005</v>
      </c>
      <c r="U31" s="80">
        <v>46008</v>
      </c>
      <c r="V31" s="80">
        <v>46011</v>
      </c>
      <c r="W31" s="80">
        <v>46011</v>
      </c>
      <c r="X31" s="80">
        <v>46011</v>
      </c>
      <c r="Y31" s="80">
        <v>46015</v>
      </c>
      <c r="Z31" s="80">
        <v>46015</v>
      </c>
      <c r="AA31" s="80">
        <v>46015</v>
      </c>
      <c r="AB31" s="80">
        <v>46015</v>
      </c>
      <c r="AC31" s="80">
        <v>46017</v>
      </c>
      <c r="AD31" s="84" t="s">
        <v>641</v>
      </c>
      <c r="AE31" s="54">
        <f t="shared" si="36"/>
        <v>4</v>
      </c>
      <c r="AF31" s="36">
        <v>7</v>
      </c>
      <c r="AG31" s="51">
        <f t="shared" si="37"/>
        <v>0</v>
      </c>
      <c r="AH31" s="52">
        <v>200</v>
      </c>
      <c r="AI31" s="53">
        <f t="shared" si="38"/>
        <v>0</v>
      </c>
      <c r="AJ31" s="54">
        <f t="shared" si="39"/>
        <v>2</v>
      </c>
      <c r="AK31" s="36">
        <v>2</v>
      </c>
      <c r="AL31" s="51">
        <f t="shared" si="40"/>
        <v>0</v>
      </c>
      <c r="AM31" s="52">
        <v>200</v>
      </c>
      <c r="AN31" s="53">
        <f t="shared" si="41"/>
        <v>0</v>
      </c>
      <c r="AO31" s="52"/>
      <c r="AP31" s="55">
        <f t="shared" si="42"/>
        <v>0</v>
      </c>
    </row>
    <row r="32" spans="1:42" s="97" customFormat="1" ht="15" customHeight="1">
      <c r="A32" s="98">
        <f t="shared" si="7"/>
        <v>29</v>
      </c>
      <c r="B32" s="79" t="s">
        <v>446</v>
      </c>
      <c r="C32" s="99" t="s">
        <v>534</v>
      </c>
      <c r="D32" s="100" t="s">
        <v>535</v>
      </c>
      <c r="E32" s="101" t="s">
        <v>536</v>
      </c>
      <c r="F32" s="79" t="s">
        <v>215</v>
      </c>
      <c r="G32" s="79" t="s">
        <v>103</v>
      </c>
      <c r="H32" s="81">
        <v>28</v>
      </c>
      <c r="I32" s="79">
        <v>35000</v>
      </c>
      <c r="J32" s="79">
        <v>35070</v>
      </c>
      <c r="K32" s="79" t="s">
        <v>120</v>
      </c>
      <c r="L32" s="80">
        <v>45890</v>
      </c>
      <c r="M32" s="82" t="s">
        <v>121</v>
      </c>
      <c r="N32" s="80" t="s">
        <v>122</v>
      </c>
      <c r="O32" s="80">
        <v>45881</v>
      </c>
      <c r="P32" s="80">
        <v>45907</v>
      </c>
      <c r="Q32" s="80">
        <v>45892</v>
      </c>
      <c r="R32" s="80">
        <v>45990</v>
      </c>
      <c r="S32" s="80">
        <v>45994</v>
      </c>
      <c r="T32" s="80">
        <v>45998</v>
      </c>
      <c r="U32" s="80">
        <v>46007</v>
      </c>
      <c r="V32" s="80">
        <v>46012</v>
      </c>
      <c r="W32" s="80">
        <v>46012</v>
      </c>
      <c r="X32" s="80">
        <v>46012</v>
      </c>
      <c r="Y32" s="80">
        <v>46013</v>
      </c>
      <c r="Z32" s="80">
        <v>46014</v>
      </c>
      <c r="AA32" s="80">
        <v>46014</v>
      </c>
      <c r="AB32" s="80">
        <v>46014</v>
      </c>
      <c r="AC32" s="80">
        <v>46015</v>
      </c>
      <c r="AD32" s="84" t="s">
        <v>641</v>
      </c>
      <c r="AE32" s="54">
        <f>MAX(0,Y32-'BL-1A-Pumpi'!X10)</f>
        <v>2</v>
      </c>
      <c r="AF32" s="36">
        <v>7</v>
      </c>
      <c r="AG32" s="51">
        <f t="shared" si="16"/>
        <v>0</v>
      </c>
      <c r="AH32" s="52">
        <v>200</v>
      </c>
      <c r="AI32" s="53">
        <f t="shared" si="17"/>
        <v>0</v>
      </c>
      <c r="AJ32" s="54">
        <f t="shared" si="18"/>
        <v>1</v>
      </c>
      <c r="AK32" s="36">
        <v>2</v>
      </c>
      <c r="AL32" s="51">
        <f t="shared" si="19"/>
        <v>0</v>
      </c>
      <c r="AM32" s="52">
        <v>200</v>
      </c>
      <c r="AN32" s="53">
        <f t="shared" si="20"/>
        <v>0</v>
      </c>
      <c r="AO32" s="52"/>
      <c r="AP32" s="55">
        <f t="shared" si="21"/>
        <v>0</v>
      </c>
    </row>
    <row r="33" spans="1:42" s="97" customFormat="1" ht="15" customHeight="1">
      <c r="A33" s="98">
        <f t="shared" si="7"/>
        <v>30</v>
      </c>
      <c r="B33" s="79" t="s">
        <v>446</v>
      </c>
      <c r="C33" s="102" t="s">
        <v>537</v>
      </c>
      <c r="D33" s="103" t="s">
        <v>538</v>
      </c>
      <c r="E33" s="103" t="s">
        <v>539</v>
      </c>
      <c r="F33" s="79" t="s">
        <v>215</v>
      </c>
      <c r="G33" s="79" t="s">
        <v>103</v>
      </c>
      <c r="H33" s="81">
        <v>28</v>
      </c>
      <c r="I33" s="79">
        <v>35000</v>
      </c>
      <c r="J33" s="79">
        <v>35070</v>
      </c>
      <c r="K33" s="79" t="s">
        <v>120</v>
      </c>
      <c r="L33" s="80">
        <v>45890</v>
      </c>
      <c r="M33" s="82" t="s">
        <v>121</v>
      </c>
      <c r="N33" s="80" t="s">
        <v>122</v>
      </c>
      <c r="O33" s="80">
        <v>45881</v>
      </c>
      <c r="P33" s="80">
        <v>45907</v>
      </c>
      <c r="Q33" s="80">
        <v>45892</v>
      </c>
      <c r="R33" s="80">
        <v>45990</v>
      </c>
      <c r="S33" s="80">
        <v>45994</v>
      </c>
      <c r="T33" s="80">
        <v>45998</v>
      </c>
      <c r="U33" s="80">
        <v>46007</v>
      </c>
      <c r="V33" s="80">
        <v>46012</v>
      </c>
      <c r="W33" s="80">
        <v>46012</v>
      </c>
      <c r="X33" s="80">
        <v>46012</v>
      </c>
      <c r="Y33" s="80">
        <v>46013</v>
      </c>
      <c r="Z33" s="80">
        <v>46014</v>
      </c>
      <c r="AA33" s="80">
        <v>46014</v>
      </c>
      <c r="AB33" s="80">
        <v>46014</v>
      </c>
      <c r="AC33" s="80">
        <v>46015</v>
      </c>
      <c r="AD33" s="84" t="s">
        <v>641</v>
      </c>
      <c r="AE33" s="54">
        <f>MAX(0,Y33-X33)</f>
        <v>1</v>
      </c>
      <c r="AF33" s="36">
        <v>7</v>
      </c>
      <c r="AG33" s="51">
        <f t="shared" si="16"/>
        <v>0</v>
      </c>
      <c r="AH33" s="52">
        <v>200</v>
      </c>
      <c r="AI33" s="53">
        <f t="shared" si="17"/>
        <v>0</v>
      </c>
      <c r="AJ33" s="54">
        <f t="shared" si="18"/>
        <v>1</v>
      </c>
      <c r="AK33" s="36">
        <v>2</v>
      </c>
      <c r="AL33" s="51">
        <f t="shared" si="19"/>
        <v>0</v>
      </c>
      <c r="AM33" s="52">
        <v>200</v>
      </c>
      <c r="AN33" s="53">
        <f t="shared" si="20"/>
        <v>0</v>
      </c>
      <c r="AO33" s="52"/>
      <c r="AP33" s="55">
        <f t="shared" si="21"/>
        <v>0</v>
      </c>
    </row>
    <row r="34" spans="1:42" s="97" customFormat="1" ht="15" customHeight="1">
      <c r="A34" s="98">
        <f t="shared" si="7"/>
        <v>31</v>
      </c>
      <c r="B34" s="79" t="s">
        <v>446</v>
      </c>
      <c r="C34" s="104" t="s">
        <v>540</v>
      </c>
      <c r="D34" s="104" t="s">
        <v>541</v>
      </c>
      <c r="E34" s="104" t="s">
        <v>542</v>
      </c>
      <c r="F34" s="79" t="s">
        <v>215</v>
      </c>
      <c r="G34" s="79" t="s">
        <v>103</v>
      </c>
      <c r="H34" s="81">
        <v>28</v>
      </c>
      <c r="I34" s="79">
        <v>35000</v>
      </c>
      <c r="J34" s="79">
        <v>35070</v>
      </c>
      <c r="K34" s="79" t="s">
        <v>120</v>
      </c>
      <c r="L34" s="80">
        <v>45890</v>
      </c>
      <c r="M34" s="82" t="s">
        <v>121</v>
      </c>
      <c r="N34" s="80" t="s">
        <v>122</v>
      </c>
      <c r="O34" s="80">
        <v>45881</v>
      </c>
      <c r="P34" s="80">
        <v>45907</v>
      </c>
      <c r="Q34" s="80">
        <v>45892</v>
      </c>
      <c r="R34" s="80">
        <v>45990</v>
      </c>
      <c r="S34" s="80">
        <v>45994</v>
      </c>
      <c r="T34" s="80">
        <v>45998</v>
      </c>
      <c r="U34" s="80">
        <v>46007</v>
      </c>
      <c r="V34" s="80">
        <v>46012</v>
      </c>
      <c r="W34" s="80">
        <v>46012</v>
      </c>
      <c r="X34" s="80">
        <v>46012</v>
      </c>
      <c r="Y34" s="80">
        <v>46013</v>
      </c>
      <c r="Z34" s="80">
        <v>46014</v>
      </c>
      <c r="AA34" s="80">
        <v>46014</v>
      </c>
      <c r="AB34" s="80">
        <v>46014</v>
      </c>
      <c r="AC34" s="80">
        <v>46015</v>
      </c>
      <c r="AD34" s="84" t="s">
        <v>641</v>
      </c>
      <c r="AE34" s="54">
        <f>MAX(0,Y34-X34)</f>
        <v>1</v>
      </c>
      <c r="AF34" s="36">
        <v>7</v>
      </c>
      <c r="AG34" s="51">
        <f t="shared" si="16"/>
        <v>0</v>
      </c>
      <c r="AH34" s="52">
        <v>200</v>
      </c>
      <c r="AI34" s="53">
        <f t="shared" si="17"/>
        <v>0</v>
      </c>
      <c r="AJ34" s="54">
        <f t="shared" si="18"/>
        <v>1</v>
      </c>
      <c r="AK34" s="36">
        <v>2</v>
      </c>
      <c r="AL34" s="51">
        <f t="shared" si="19"/>
        <v>0</v>
      </c>
      <c r="AM34" s="52">
        <v>200</v>
      </c>
      <c r="AN34" s="53">
        <f t="shared" si="20"/>
        <v>0</v>
      </c>
      <c r="AO34" s="52"/>
      <c r="AP34" s="55">
        <f t="shared" si="21"/>
        <v>0</v>
      </c>
    </row>
    <row r="35" spans="1:42" s="1" customFormat="1" ht="15" customHeight="1">
      <c r="A35" s="98">
        <f t="shared" si="7"/>
        <v>32</v>
      </c>
      <c r="B35" s="79" t="s">
        <v>446</v>
      </c>
      <c r="C35" s="86" t="s">
        <v>510</v>
      </c>
      <c r="D35" s="86" t="s">
        <v>511</v>
      </c>
      <c r="E35" s="79" t="s">
        <v>512</v>
      </c>
      <c r="F35" s="79" t="s">
        <v>215</v>
      </c>
      <c r="G35" s="79" t="s">
        <v>103</v>
      </c>
      <c r="H35" s="81">
        <v>28</v>
      </c>
      <c r="I35" s="79">
        <v>35070</v>
      </c>
      <c r="J35" s="79">
        <v>56000</v>
      </c>
      <c r="K35" s="79" t="s">
        <v>120</v>
      </c>
      <c r="L35" s="80">
        <v>45890</v>
      </c>
      <c r="M35" s="82" t="s">
        <v>121</v>
      </c>
      <c r="N35" s="80" t="s">
        <v>122</v>
      </c>
      <c r="O35" s="80">
        <v>45881</v>
      </c>
      <c r="P35" s="80">
        <v>45907</v>
      </c>
      <c r="Q35" s="80">
        <v>45892</v>
      </c>
      <c r="R35" s="80">
        <v>45999</v>
      </c>
      <c r="S35" s="80">
        <v>46002</v>
      </c>
      <c r="T35" s="80">
        <v>46005</v>
      </c>
      <c r="U35" s="80">
        <v>46008</v>
      </c>
      <c r="V35" s="80">
        <v>46011</v>
      </c>
      <c r="W35" s="80">
        <v>46011</v>
      </c>
      <c r="X35" s="80">
        <v>46011</v>
      </c>
      <c r="Y35" s="80">
        <v>46015</v>
      </c>
      <c r="Z35" s="80">
        <v>46015</v>
      </c>
      <c r="AA35" s="80">
        <v>46015</v>
      </c>
      <c r="AB35" s="80">
        <v>46015</v>
      </c>
      <c r="AC35" s="80">
        <v>46017</v>
      </c>
      <c r="AD35" s="84" t="s">
        <v>641</v>
      </c>
      <c r="AE35" s="54">
        <f>MAX(0,Y35-X35)</f>
        <v>4</v>
      </c>
      <c r="AF35" s="36">
        <v>7</v>
      </c>
      <c r="AG35" s="51">
        <f t="shared" si="16"/>
        <v>0</v>
      </c>
      <c r="AH35" s="52">
        <v>200</v>
      </c>
      <c r="AI35" s="53">
        <f t="shared" si="17"/>
        <v>0</v>
      </c>
      <c r="AJ35" s="54">
        <f t="shared" si="18"/>
        <v>2</v>
      </c>
      <c r="AK35" s="36">
        <v>2</v>
      </c>
      <c r="AL35" s="51">
        <f t="shared" si="19"/>
        <v>0</v>
      </c>
      <c r="AM35" s="52">
        <v>200</v>
      </c>
      <c r="AN35" s="53">
        <f t="shared" si="20"/>
        <v>0</v>
      </c>
      <c r="AO35" s="52"/>
      <c r="AP35" s="55">
        <f t="shared" si="21"/>
        <v>0</v>
      </c>
    </row>
    <row r="36" spans="1:42" s="1" customFormat="1" ht="14.25" customHeight="1">
      <c r="A36" s="98">
        <f t="shared" si="7"/>
        <v>33</v>
      </c>
      <c r="B36" s="79" t="s">
        <v>446</v>
      </c>
      <c r="C36" s="86" t="s">
        <v>507</v>
      </c>
      <c r="D36" s="86" t="s">
        <v>508</v>
      </c>
      <c r="E36" s="79" t="s">
        <v>509</v>
      </c>
      <c r="F36" s="79" t="s">
        <v>215</v>
      </c>
      <c r="G36" s="79" t="s">
        <v>103</v>
      </c>
      <c r="H36" s="81">
        <v>28</v>
      </c>
      <c r="I36" s="79">
        <v>35070</v>
      </c>
      <c r="J36" s="79">
        <v>56000</v>
      </c>
      <c r="K36" s="79" t="s">
        <v>120</v>
      </c>
      <c r="L36" s="80">
        <v>45890</v>
      </c>
      <c r="M36" s="82" t="s">
        <v>121</v>
      </c>
      <c r="N36" s="80" t="s">
        <v>122</v>
      </c>
      <c r="O36" s="80">
        <v>45881</v>
      </c>
      <c r="P36" s="80">
        <v>45907</v>
      </c>
      <c r="Q36" s="80">
        <v>45892</v>
      </c>
      <c r="R36" s="80">
        <v>45999</v>
      </c>
      <c r="S36" s="80">
        <v>46002</v>
      </c>
      <c r="T36" s="80">
        <v>46005</v>
      </c>
      <c r="U36" s="80">
        <v>46008</v>
      </c>
      <c r="V36" s="80">
        <v>46011</v>
      </c>
      <c r="W36" s="80">
        <v>46011</v>
      </c>
      <c r="X36" s="80">
        <v>46011</v>
      </c>
      <c r="Y36" s="80">
        <v>46015</v>
      </c>
      <c r="Z36" s="80">
        <v>46015</v>
      </c>
      <c r="AA36" s="80">
        <v>46015</v>
      </c>
      <c r="AB36" s="80">
        <v>46015</v>
      </c>
      <c r="AC36" s="80">
        <v>46017</v>
      </c>
      <c r="AD36" s="84" t="s">
        <v>641</v>
      </c>
      <c r="AE36" s="45">
        <f>MAX(0,Y36-X36)</f>
        <v>4</v>
      </c>
      <c r="AF36" s="36">
        <v>7</v>
      </c>
      <c r="AG36" s="46">
        <f t="shared" si="16"/>
        <v>0</v>
      </c>
      <c r="AH36" s="47">
        <v>200</v>
      </c>
      <c r="AI36" s="48">
        <f t="shared" si="17"/>
        <v>0</v>
      </c>
      <c r="AJ36" s="45">
        <f t="shared" si="18"/>
        <v>2</v>
      </c>
      <c r="AK36" s="36">
        <v>2</v>
      </c>
      <c r="AL36" s="46">
        <f t="shared" si="19"/>
        <v>0</v>
      </c>
      <c r="AM36" s="47">
        <v>200</v>
      </c>
      <c r="AN36" s="48">
        <f t="shared" si="20"/>
        <v>0</v>
      </c>
      <c r="AO36" s="47"/>
      <c r="AP36" s="49">
        <f t="shared" si="21"/>
        <v>0</v>
      </c>
    </row>
    <row r="37" spans="1:42" s="68" customFormat="1" ht="15" customHeight="1">
      <c r="A37" s="98">
        <f t="shared" si="7"/>
        <v>34</v>
      </c>
      <c r="B37" s="79" t="s">
        <v>446</v>
      </c>
      <c r="C37" s="86" t="s">
        <v>667</v>
      </c>
      <c r="D37" s="86" t="s">
        <v>668</v>
      </c>
      <c r="E37" s="78" t="s">
        <v>669</v>
      </c>
      <c r="F37" s="79" t="s">
        <v>215</v>
      </c>
      <c r="G37" s="79" t="s">
        <v>103</v>
      </c>
      <c r="H37" s="81">
        <v>24</v>
      </c>
      <c r="I37" s="79">
        <v>30000</v>
      </c>
      <c r="J37" s="79">
        <v>30084</v>
      </c>
      <c r="K37" s="79" t="s">
        <v>85</v>
      </c>
      <c r="L37" s="80">
        <v>45890</v>
      </c>
      <c r="M37" s="80" t="s">
        <v>121</v>
      </c>
      <c r="N37" s="82" t="s">
        <v>122</v>
      </c>
      <c r="O37" s="80">
        <v>45881</v>
      </c>
      <c r="P37" s="80">
        <v>45907</v>
      </c>
      <c r="Q37" s="80">
        <v>45892</v>
      </c>
      <c r="R37" s="80">
        <v>45940</v>
      </c>
      <c r="S37" s="80">
        <v>45941</v>
      </c>
      <c r="T37" s="80">
        <v>45943</v>
      </c>
      <c r="U37" s="80">
        <v>45958</v>
      </c>
      <c r="V37" s="80">
        <v>45967</v>
      </c>
      <c r="W37" s="80">
        <v>45967</v>
      </c>
      <c r="X37" s="80">
        <v>45967</v>
      </c>
      <c r="Y37" s="80">
        <v>45973</v>
      </c>
      <c r="Z37" s="80">
        <v>45973</v>
      </c>
      <c r="AA37" s="80">
        <v>45974</v>
      </c>
      <c r="AB37" s="80">
        <v>45975</v>
      </c>
      <c r="AC37" s="80">
        <v>45976</v>
      </c>
      <c r="AD37" s="105" t="s">
        <v>641</v>
      </c>
      <c r="AE37" s="54">
        <f t="shared" ref="AE37:AE58" si="43">MAX(0,Y37-X37)</f>
        <v>6</v>
      </c>
      <c r="AF37" s="106">
        <v>7</v>
      </c>
      <c r="AG37" s="107">
        <f t="shared" ref="AG37:AG58" si="44">MAX(0,AE37-AF37)</f>
        <v>0</v>
      </c>
      <c r="AH37" s="108">
        <v>200</v>
      </c>
      <c r="AI37" s="109">
        <f t="shared" ref="AI37:AI58" si="45">MAX(0,AG37*AH37)</f>
        <v>0</v>
      </c>
      <c r="AJ37" s="54">
        <f t="shared" ref="AJ37:AJ58" si="46">MAX(0,AC37-AB37)</f>
        <v>1</v>
      </c>
      <c r="AK37" s="106">
        <v>2</v>
      </c>
      <c r="AL37" s="107">
        <f t="shared" ref="AL37:AL58" si="47">MAX(0,AJ37-AK37)</f>
        <v>0</v>
      </c>
      <c r="AM37" s="108">
        <v>200</v>
      </c>
      <c r="AN37" s="109">
        <f t="shared" ref="AN37:AN58" si="48">MAX(0,AL37*AM37)</f>
        <v>0</v>
      </c>
      <c r="AO37" s="108"/>
      <c r="AP37" s="110">
        <f t="shared" ref="AP37:AP61" si="49">AO37+AN37+AI37</f>
        <v>0</v>
      </c>
    </row>
    <row r="38" spans="1:42" s="68" customFormat="1" ht="15" customHeight="1">
      <c r="A38" s="98">
        <f t="shared" si="7"/>
        <v>35</v>
      </c>
      <c r="B38" s="79" t="s">
        <v>446</v>
      </c>
      <c r="C38" s="86" t="s">
        <v>670</v>
      </c>
      <c r="D38" s="86" t="s">
        <v>671</v>
      </c>
      <c r="E38" s="78" t="s">
        <v>672</v>
      </c>
      <c r="F38" s="79" t="s">
        <v>215</v>
      </c>
      <c r="G38" s="79" t="s">
        <v>103</v>
      </c>
      <c r="H38" s="81">
        <v>28</v>
      </c>
      <c r="I38" s="79">
        <v>35000</v>
      </c>
      <c r="J38" s="79">
        <v>35098</v>
      </c>
      <c r="K38" s="79" t="s">
        <v>85</v>
      </c>
      <c r="L38" s="80">
        <v>45890</v>
      </c>
      <c r="M38" s="80" t="s">
        <v>121</v>
      </c>
      <c r="N38" s="82" t="s">
        <v>122</v>
      </c>
      <c r="O38" s="80">
        <v>45881</v>
      </c>
      <c r="P38" s="80">
        <v>45907</v>
      </c>
      <c r="Q38" s="80">
        <v>45892</v>
      </c>
      <c r="R38" s="80">
        <v>45942</v>
      </c>
      <c r="S38" s="80">
        <v>45943</v>
      </c>
      <c r="T38" s="80">
        <v>45950</v>
      </c>
      <c r="U38" s="80">
        <v>45954</v>
      </c>
      <c r="V38" s="80">
        <v>45968</v>
      </c>
      <c r="W38" s="80">
        <v>45968</v>
      </c>
      <c r="X38" s="80">
        <v>45968</v>
      </c>
      <c r="Y38" s="80">
        <v>45973</v>
      </c>
      <c r="Z38" s="80">
        <v>45973</v>
      </c>
      <c r="AA38" s="80">
        <v>45973</v>
      </c>
      <c r="AB38" s="80">
        <v>45973</v>
      </c>
      <c r="AC38" s="80">
        <v>45976</v>
      </c>
      <c r="AD38" s="105" t="s">
        <v>641</v>
      </c>
      <c r="AE38" s="54">
        <f t="shared" si="43"/>
        <v>5</v>
      </c>
      <c r="AF38" s="36">
        <v>7</v>
      </c>
      <c r="AG38" s="51">
        <f t="shared" si="44"/>
        <v>0</v>
      </c>
      <c r="AH38" s="52">
        <v>200</v>
      </c>
      <c r="AI38" s="53">
        <f t="shared" si="45"/>
        <v>0</v>
      </c>
      <c r="AJ38" s="54">
        <f t="shared" si="46"/>
        <v>3</v>
      </c>
      <c r="AK38" s="36">
        <v>2</v>
      </c>
      <c r="AL38" s="51">
        <f t="shared" si="47"/>
        <v>1</v>
      </c>
      <c r="AM38" s="52">
        <v>200</v>
      </c>
      <c r="AN38" s="53">
        <f t="shared" si="48"/>
        <v>200</v>
      </c>
      <c r="AO38" s="52">
        <v>0</v>
      </c>
      <c r="AP38" s="55">
        <f t="shared" si="49"/>
        <v>200</v>
      </c>
    </row>
    <row r="39" spans="1:42" s="1" customFormat="1" ht="12" customHeight="1">
      <c r="A39" s="98">
        <f t="shared" si="7"/>
        <v>36</v>
      </c>
      <c r="B39" s="79" t="s">
        <v>446</v>
      </c>
      <c r="C39" s="80" t="s">
        <v>673</v>
      </c>
      <c r="D39" s="111" t="s">
        <v>674</v>
      </c>
      <c r="E39" s="112" t="s">
        <v>675</v>
      </c>
      <c r="F39" s="79" t="s">
        <v>215</v>
      </c>
      <c r="G39" s="79" t="s">
        <v>103</v>
      </c>
      <c r="H39" s="112">
        <v>28</v>
      </c>
      <c r="I39" s="111">
        <v>35000</v>
      </c>
      <c r="J39" s="111">
        <v>35098</v>
      </c>
      <c r="K39" s="79" t="s">
        <v>85</v>
      </c>
      <c r="L39" s="80">
        <v>45890</v>
      </c>
      <c r="M39" s="80" t="s">
        <v>121</v>
      </c>
      <c r="N39" s="82" t="s">
        <v>122</v>
      </c>
      <c r="O39" s="80">
        <v>45881</v>
      </c>
      <c r="P39" s="80">
        <v>45907</v>
      </c>
      <c r="Q39" s="80">
        <v>45892</v>
      </c>
      <c r="R39" s="80">
        <v>45943</v>
      </c>
      <c r="S39" s="80">
        <v>45944</v>
      </c>
      <c r="T39" s="80">
        <v>45947</v>
      </c>
      <c r="U39" s="80">
        <v>45949</v>
      </c>
      <c r="V39" s="80">
        <v>45952</v>
      </c>
      <c r="W39" s="80">
        <v>45952</v>
      </c>
      <c r="X39" s="80">
        <v>45952</v>
      </c>
      <c r="Y39" s="80">
        <v>45970</v>
      </c>
      <c r="Z39" s="80">
        <v>45970</v>
      </c>
      <c r="AA39" s="80">
        <v>45971</v>
      </c>
      <c r="AB39" s="80">
        <v>45971</v>
      </c>
      <c r="AC39" s="80">
        <v>45973</v>
      </c>
      <c r="AD39" s="105" t="s">
        <v>641</v>
      </c>
      <c r="AE39" s="54">
        <f t="shared" si="43"/>
        <v>18</v>
      </c>
      <c r="AF39" s="106">
        <v>7</v>
      </c>
      <c r="AG39" s="107">
        <f t="shared" si="44"/>
        <v>11</v>
      </c>
      <c r="AH39" s="108">
        <v>200</v>
      </c>
      <c r="AI39" s="109">
        <f t="shared" si="45"/>
        <v>2200</v>
      </c>
      <c r="AJ39" s="54">
        <f t="shared" si="46"/>
        <v>2</v>
      </c>
      <c r="AK39" s="106">
        <v>2</v>
      </c>
      <c r="AL39" s="107">
        <f t="shared" si="47"/>
        <v>0</v>
      </c>
      <c r="AM39" s="108">
        <v>200</v>
      </c>
      <c r="AN39" s="109">
        <f t="shared" si="48"/>
        <v>0</v>
      </c>
      <c r="AO39" s="108">
        <v>625</v>
      </c>
      <c r="AP39" s="110">
        <f t="shared" si="49"/>
        <v>2825</v>
      </c>
    </row>
    <row r="40" spans="1:42" s="68" customFormat="1" ht="15" customHeight="1">
      <c r="A40" s="98">
        <f t="shared" si="7"/>
        <v>37</v>
      </c>
      <c r="B40" s="79" t="s">
        <v>446</v>
      </c>
      <c r="C40" s="86" t="s">
        <v>237</v>
      </c>
      <c r="D40" s="86" t="s">
        <v>238</v>
      </c>
      <c r="E40" s="79" t="s">
        <v>239</v>
      </c>
      <c r="F40" s="79" t="s">
        <v>215</v>
      </c>
      <c r="G40" s="79" t="s">
        <v>103</v>
      </c>
      <c r="H40" s="81">
        <v>29</v>
      </c>
      <c r="I40" s="79">
        <v>36250</v>
      </c>
      <c r="J40" s="79">
        <v>36352</v>
      </c>
      <c r="K40" s="79" t="s">
        <v>85</v>
      </c>
      <c r="L40" s="80">
        <v>45890</v>
      </c>
      <c r="M40" s="80" t="s">
        <v>121</v>
      </c>
      <c r="N40" s="82" t="s">
        <v>122</v>
      </c>
      <c r="O40" s="80">
        <v>45881</v>
      </c>
      <c r="P40" s="80">
        <v>45907</v>
      </c>
      <c r="Q40" s="80">
        <v>45892</v>
      </c>
      <c r="R40" s="80">
        <v>45941</v>
      </c>
      <c r="S40" s="80">
        <v>45942</v>
      </c>
      <c r="T40" s="80">
        <v>45945</v>
      </c>
      <c r="U40" s="80">
        <v>45956</v>
      </c>
      <c r="V40" s="80">
        <v>45965</v>
      </c>
      <c r="W40" s="80">
        <v>45965</v>
      </c>
      <c r="X40" s="80">
        <v>45965</v>
      </c>
      <c r="Y40" s="80">
        <v>45967</v>
      </c>
      <c r="Z40" s="80">
        <v>45967</v>
      </c>
      <c r="AA40" s="80">
        <v>45968</v>
      </c>
      <c r="AB40" s="80">
        <v>45968</v>
      </c>
      <c r="AC40" s="80">
        <v>45971</v>
      </c>
      <c r="AD40" s="105" t="s">
        <v>641</v>
      </c>
      <c r="AE40" s="54">
        <f t="shared" si="43"/>
        <v>2</v>
      </c>
      <c r="AF40" s="106">
        <v>7</v>
      </c>
      <c r="AG40" s="107">
        <f t="shared" si="44"/>
        <v>0</v>
      </c>
      <c r="AH40" s="108">
        <v>200</v>
      </c>
      <c r="AI40" s="109">
        <f t="shared" ref="AI40:AI45" si="50">MAX(0,AG40*AH40)</f>
        <v>0</v>
      </c>
      <c r="AJ40" s="54">
        <f t="shared" ref="AJ40:AJ45" si="51">MAX(0,AC40-AB40)</f>
        <v>3</v>
      </c>
      <c r="AK40" s="106">
        <v>2</v>
      </c>
      <c r="AL40" s="107">
        <f t="shared" ref="AL40:AL45" si="52">MAX(0,AJ40-AK40)</f>
        <v>1</v>
      </c>
      <c r="AM40" s="108">
        <v>200</v>
      </c>
      <c r="AN40" s="109">
        <f t="shared" ref="AN40:AN45" si="53">MAX(0,AL40*AM40)</f>
        <v>200</v>
      </c>
      <c r="AO40" s="108">
        <v>0</v>
      </c>
      <c r="AP40" s="110">
        <f t="shared" ref="AP40:AP45" si="54">AO40+AN40+AI40</f>
        <v>200</v>
      </c>
    </row>
    <row r="41" spans="1:42" s="68" customFormat="1" ht="15" customHeight="1">
      <c r="A41" s="98">
        <f t="shared" si="7"/>
        <v>38</v>
      </c>
      <c r="B41" s="79" t="s">
        <v>446</v>
      </c>
      <c r="C41" s="86" t="s">
        <v>661</v>
      </c>
      <c r="D41" s="86" t="s">
        <v>662</v>
      </c>
      <c r="E41" s="78" t="s">
        <v>663</v>
      </c>
      <c r="F41" s="79" t="s">
        <v>215</v>
      </c>
      <c r="G41" s="79" t="s">
        <v>103</v>
      </c>
      <c r="H41" s="81">
        <v>28</v>
      </c>
      <c r="I41" s="79">
        <v>35000</v>
      </c>
      <c r="J41" s="79">
        <v>35098</v>
      </c>
      <c r="K41" s="79" t="s">
        <v>85</v>
      </c>
      <c r="L41" s="80">
        <v>45890</v>
      </c>
      <c r="M41" s="80" t="s">
        <v>121</v>
      </c>
      <c r="N41" s="82" t="s">
        <v>122</v>
      </c>
      <c r="O41" s="80">
        <v>45881</v>
      </c>
      <c r="P41" s="80">
        <v>45907</v>
      </c>
      <c r="Q41" s="80">
        <v>45892</v>
      </c>
      <c r="R41" s="80">
        <v>45940</v>
      </c>
      <c r="S41" s="80">
        <v>45941</v>
      </c>
      <c r="T41" s="80">
        <v>45943</v>
      </c>
      <c r="U41" s="80">
        <v>45946</v>
      </c>
      <c r="V41" s="80">
        <v>45951</v>
      </c>
      <c r="W41" s="80">
        <v>45951</v>
      </c>
      <c r="X41" s="80">
        <v>45951</v>
      </c>
      <c r="Y41" s="80">
        <v>45966</v>
      </c>
      <c r="Z41" s="80">
        <v>45966</v>
      </c>
      <c r="AA41" s="80">
        <v>45967</v>
      </c>
      <c r="AB41" s="80">
        <v>45968</v>
      </c>
      <c r="AC41" s="80">
        <v>45970</v>
      </c>
      <c r="AD41" s="105" t="s">
        <v>641</v>
      </c>
      <c r="AE41" s="54">
        <f t="shared" ref="AE41:AE45" si="55">MAX(0,Y41-X41)</f>
        <v>15</v>
      </c>
      <c r="AF41" s="106">
        <v>7</v>
      </c>
      <c r="AG41" s="107">
        <f t="shared" ref="AG41:AG45" si="56">MAX(0,AE41-AF41)</f>
        <v>8</v>
      </c>
      <c r="AH41" s="108">
        <v>200</v>
      </c>
      <c r="AI41" s="53">
        <f t="shared" si="50"/>
        <v>1600</v>
      </c>
      <c r="AJ41" s="54">
        <f t="shared" si="51"/>
        <v>2</v>
      </c>
      <c r="AK41" s="36">
        <v>2</v>
      </c>
      <c r="AL41" s="51">
        <f t="shared" si="52"/>
        <v>0</v>
      </c>
      <c r="AM41" s="52">
        <v>200</v>
      </c>
      <c r="AN41" s="53">
        <f t="shared" si="53"/>
        <v>0</v>
      </c>
      <c r="AO41" s="52">
        <v>0</v>
      </c>
      <c r="AP41" s="55">
        <f t="shared" si="54"/>
        <v>1600</v>
      </c>
    </row>
    <row r="42" spans="1:42" s="1" customFormat="1" ht="12.75">
      <c r="A42" s="98">
        <f t="shared" si="7"/>
        <v>39</v>
      </c>
      <c r="B42" s="79" t="s">
        <v>446</v>
      </c>
      <c r="C42" s="86" t="s">
        <v>370</v>
      </c>
      <c r="D42" s="111" t="s">
        <v>676</v>
      </c>
      <c r="E42" s="79" t="s">
        <v>372</v>
      </c>
      <c r="F42" s="79" t="s">
        <v>215</v>
      </c>
      <c r="G42" s="79" t="s">
        <v>103</v>
      </c>
      <c r="H42" s="112">
        <v>28</v>
      </c>
      <c r="I42" s="111">
        <v>35000</v>
      </c>
      <c r="J42" s="111">
        <v>35098</v>
      </c>
      <c r="K42" s="79" t="s">
        <v>85</v>
      </c>
      <c r="L42" s="80">
        <v>45890</v>
      </c>
      <c r="M42" s="80" t="s">
        <v>121</v>
      </c>
      <c r="N42" s="82" t="s">
        <v>122</v>
      </c>
      <c r="O42" s="80">
        <v>45881</v>
      </c>
      <c r="P42" s="80">
        <v>45907</v>
      </c>
      <c r="Q42" s="80">
        <v>45892</v>
      </c>
      <c r="R42" s="80">
        <v>45943</v>
      </c>
      <c r="S42" s="80">
        <v>45944</v>
      </c>
      <c r="T42" s="80">
        <v>45953</v>
      </c>
      <c r="U42" s="80">
        <v>45958</v>
      </c>
      <c r="V42" s="80">
        <v>45960</v>
      </c>
      <c r="W42" s="80">
        <v>45960</v>
      </c>
      <c r="X42" s="80">
        <v>45960</v>
      </c>
      <c r="Y42" s="80">
        <v>45965</v>
      </c>
      <c r="Z42" s="80">
        <v>45965</v>
      </c>
      <c r="AA42" s="80">
        <v>45966</v>
      </c>
      <c r="AB42" s="80">
        <v>45966</v>
      </c>
      <c r="AC42" s="80">
        <v>45969</v>
      </c>
      <c r="AD42" s="105" t="s">
        <v>641</v>
      </c>
      <c r="AE42" s="54">
        <f t="shared" si="55"/>
        <v>5</v>
      </c>
      <c r="AF42" s="106">
        <v>7</v>
      </c>
      <c r="AG42" s="107">
        <f t="shared" si="56"/>
        <v>0</v>
      </c>
      <c r="AH42" s="108">
        <v>200</v>
      </c>
      <c r="AI42" s="109">
        <f t="shared" si="50"/>
        <v>0</v>
      </c>
      <c r="AJ42" s="54">
        <f t="shared" si="51"/>
        <v>3</v>
      </c>
      <c r="AK42" s="106">
        <v>2</v>
      </c>
      <c r="AL42" s="107">
        <f t="shared" si="52"/>
        <v>1</v>
      </c>
      <c r="AM42" s="108">
        <v>200</v>
      </c>
      <c r="AN42" s="109">
        <f t="shared" si="53"/>
        <v>200</v>
      </c>
      <c r="AO42" s="108">
        <v>25</v>
      </c>
      <c r="AP42" s="110">
        <f t="shared" si="54"/>
        <v>225</v>
      </c>
    </row>
    <row r="43" spans="1:42" s="68" customFormat="1" ht="15" customHeight="1">
      <c r="A43" s="98">
        <f t="shared" si="7"/>
        <v>40</v>
      </c>
      <c r="B43" s="79" t="s">
        <v>446</v>
      </c>
      <c r="C43" s="86" t="s">
        <v>453</v>
      </c>
      <c r="D43" s="86" t="s">
        <v>454</v>
      </c>
      <c r="E43" s="79" t="s">
        <v>455</v>
      </c>
      <c r="F43" s="79" t="s">
        <v>215</v>
      </c>
      <c r="G43" s="79" t="s">
        <v>103</v>
      </c>
      <c r="H43" s="81">
        <v>29</v>
      </c>
      <c r="I43" s="79">
        <v>36250</v>
      </c>
      <c r="J43" s="79">
        <v>36352</v>
      </c>
      <c r="K43" s="79" t="s">
        <v>85</v>
      </c>
      <c r="L43" s="80">
        <v>45890</v>
      </c>
      <c r="M43" s="80" t="s">
        <v>121</v>
      </c>
      <c r="N43" s="82" t="s">
        <v>122</v>
      </c>
      <c r="O43" s="80">
        <v>45881</v>
      </c>
      <c r="P43" s="80">
        <v>45907</v>
      </c>
      <c r="Q43" s="80">
        <v>45892</v>
      </c>
      <c r="R43" s="80">
        <v>45942</v>
      </c>
      <c r="S43" s="80">
        <v>45943</v>
      </c>
      <c r="T43" s="80">
        <v>45950</v>
      </c>
      <c r="U43" s="80">
        <v>45953</v>
      </c>
      <c r="V43" s="80">
        <v>45955</v>
      </c>
      <c r="W43" s="80">
        <v>45955</v>
      </c>
      <c r="X43" s="80">
        <v>45955</v>
      </c>
      <c r="Y43" s="80">
        <v>45965</v>
      </c>
      <c r="Z43" s="80">
        <v>45965</v>
      </c>
      <c r="AA43" s="80">
        <v>45966</v>
      </c>
      <c r="AB43" s="80">
        <v>45966</v>
      </c>
      <c r="AC43" s="80">
        <v>45968</v>
      </c>
      <c r="AD43" s="105" t="s">
        <v>641</v>
      </c>
      <c r="AE43" s="54">
        <f t="shared" si="55"/>
        <v>10</v>
      </c>
      <c r="AF43" s="36">
        <v>7</v>
      </c>
      <c r="AG43" s="51">
        <f t="shared" si="56"/>
        <v>3</v>
      </c>
      <c r="AH43" s="52">
        <v>200</v>
      </c>
      <c r="AI43" s="53">
        <f t="shared" si="50"/>
        <v>600</v>
      </c>
      <c r="AJ43" s="54">
        <f t="shared" si="51"/>
        <v>2</v>
      </c>
      <c r="AK43" s="36">
        <v>2</v>
      </c>
      <c r="AL43" s="51">
        <f t="shared" si="52"/>
        <v>0</v>
      </c>
      <c r="AM43" s="52">
        <v>200</v>
      </c>
      <c r="AN43" s="53">
        <f t="shared" si="53"/>
        <v>0</v>
      </c>
      <c r="AO43" s="52">
        <v>200</v>
      </c>
      <c r="AP43" s="55">
        <f t="shared" si="54"/>
        <v>800</v>
      </c>
    </row>
    <row r="44" spans="1:42" s="1" customFormat="1" ht="12.75">
      <c r="A44" s="98">
        <f t="shared" si="7"/>
        <v>41</v>
      </c>
      <c r="B44" s="79" t="s">
        <v>446</v>
      </c>
      <c r="C44" s="86" t="s">
        <v>431</v>
      </c>
      <c r="D44" s="111" t="s">
        <v>677</v>
      </c>
      <c r="E44" s="78" t="s">
        <v>433</v>
      </c>
      <c r="F44" s="79" t="s">
        <v>215</v>
      </c>
      <c r="G44" s="79" t="s">
        <v>103</v>
      </c>
      <c r="H44" s="112">
        <v>28</v>
      </c>
      <c r="I44" s="111">
        <v>35000</v>
      </c>
      <c r="J44" s="111">
        <v>35098</v>
      </c>
      <c r="K44" s="79" t="s">
        <v>85</v>
      </c>
      <c r="L44" s="80">
        <v>45890</v>
      </c>
      <c r="M44" s="80" t="s">
        <v>121</v>
      </c>
      <c r="N44" s="82" t="s">
        <v>122</v>
      </c>
      <c r="O44" s="80">
        <v>45881</v>
      </c>
      <c r="P44" s="80">
        <v>45907</v>
      </c>
      <c r="Q44" s="80">
        <v>45892</v>
      </c>
      <c r="R44" s="80">
        <v>45943</v>
      </c>
      <c r="S44" s="80">
        <v>45944</v>
      </c>
      <c r="T44" s="80">
        <v>45947</v>
      </c>
      <c r="U44" s="80">
        <v>45950</v>
      </c>
      <c r="V44" s="80">
        <v>45953</v>
      </c>
      <c r="W44" s="80">
        <v>45953</v>
      </c>
      <c r="X44" s="80">
        <v>45953</v>
      </c>
      <c r="Y44" s="80">
        <v>45960</v>
      </c>
      <c r="Z44" s="80">
        <v>45965</v>
      </c>
      <c r="AA44" s="80">
        <v>45965</v>
      </c>
      <c r="AB44" s="80">
        <v>45965</v>
      </c>
      <c r="AC44" s="80">
        <v>45966</v>
      </c>
      <c r="AD44" s="105" t="s">
        <v>641</v>
      </c>
      <c r="AE44" s="54">
        <f t="shared" si="55"/>
        <v>7</v>
      </c>
      <c r="AF44" s="36">
        <v>7</v>
      </c>
      <c r="AG44" s="51">
        <f t="shared" si="56"/>
        <v>0</v>
      </c>
      <c r="AH44" s="52">
        <v>200</v>
      </c>
      <c r="AI44" s="53">
        <f t="shared" si="50"/>
        <v>0</v>
      </c>
      <c r="AJ44" s="54">
        <f t="shared" si="51"/>
        <v>1</v>
      </c>
      <c r="AK44" s="36">
        <v>2</v>
      </c>
      <c r="AL44" s="51">
        <f t="shared" si="52"/>
        <v>0</v>
      </c>
      <c r="AM44" s="52">
        <v>200</v>
      </c>
      <c r="AN44" s="53">
        <f t="shared" si="53"/>
        <v>0</v>
      </c>
      <c r="AO44" s="52"/>
      <c r="AP44" s="55">
        <f t="shared" si="54"/>
        <v>0</v>
      </c>
    </row>
    <row r="45" spans="1:42" s="1" customFormat="1" ht="12.75">
      <c r="A45" s="98">
        <f t="shared" si="7"/>
        <v>42</v>
      </c>
      <c r="B45" s="79" t="s">
        <v>446</v>
      </c>
      <c r="C45" s="86" t="s">
        <v>678</v>
      </c>
      <c r="D45" s="111" t="s">
        <v>679</v>
      </c>
      <c r="E45" s="113" t="s">
        <v>680</v>
      </c>
      <c r="F45" s="79" t="s">
        <v>215</v>
      </c>
      <c r="G45" s="79" t="s">
        <v>103</v>
      </c>
      <c r="H45" s="112">
        <v>28</v>
      </c>
      <c r="I45" s="111">
        <v>35000</v>
      </c>
      <c r="J45" s="111">
        <v>35098</v>
      </c>
      <c r="K45" s="79" t="s">
        <v>85</v>
      </c>
      <c r="L45" s="80">
        <v>45890</v>
      </c>
      <c r="M45" s="80" t="s">
        <v>121</v>
      </c>
      <c r="N45" s="82" t="s">
        <v>122</v>
      </c>
      <c r="O45" s="80">
        <v>45881</v>
      </c>
      <c r="P45" s="80">
        <v>45907</v>
      </c>
      <c r="Q45" s="80">
        <v>45892</v>
      </c>
      <c r="R45" s="80">
        <v>45943</v>
      </c>
      <c r="S45" s="80">
        <v>45944</v>
      </c>
      <c r="T45" s="80">
        <v>45948</v>
      </c>
      <c r="U45" s="80">
        <v>45952</v>
      </c>
      <c r="V45" s="80">
        <v>45954</v>
      </c>
      <c r="W45" s="80">
        <v>45954</v>
      </c>
      <c r="X45" s="80">
        <v>45954</v>
      </c>
      <c r="Y45" s="80">
        <v>45962</v>
      </c>
      <c r="Z45" s="80">
        <v>45962</v>
      </c>
      <c r="AA45" s="80">
        <v>45963</v>
      </c>
      <c r="AB45" s="80">
        <v>45963</v>
      </c>
      <c r="AC45" s="80">
        <v>45966</v>
      </c>
      <c r="AD45" s="105" t="s">
        <v>641</v>
      </c>
      <c r="AE45" s="54">
        <f t="shared" si="55"/>
        <v>8</v>
      </c>
      <c r="AF45" s="106">
        <v>7</v>
      </c>
      <c r="AG45" s="107">
        <f t="shared" si="56"/>
        <v>1</v>
      </c>
      <c r="AH45" s="108">
        <v>200</v>
      </c>
      <c r="AI45" s="109">
        <f t="shared" si="50"/>
        <v>200</v>
      </c>
      <c r="AJ45" s="54">
        <f t="shared" si="51"/>
        <v>3</v>
      </c>
      <c r="AK45" s="106">
        <v>2</v>
      </c>
      <c r="AL45" s="107">
        <f t="shared" si="52"/>
        <v>1</v>
      </c>
      <c r="AM45" s="108">
        <v>200</v>
      </c>
      <c r="AN45" s="109">
        <f t="shared" si="53"/>
        <v>200</v>
      </c>
      <c r="AO45" s="108"/>
      <c r="AP45" s="110">
        <f t="shared" si="54"/>
        <v>400</v>
      </c>
    </row>
    <row r="46" spans="1:42" s="1" customFormat="1" ht="12.75">
      <c r="A46" s="98">
        <f t="shared" si="7"/>
        <v>43</v>
      </c>
      <c r="B46" s="79" t="s">
        <v>446</v>
      </c>
      <c r="C46" s="86" t="s">
        <v>459</v>
      </c>
      <c r="D46" s="111" t="s">
        <v>681</v>
      </c>
      <c r="E46" s="79" t="s">
        <v>461</v>
      </c>
      <c r="F46" s="79" t="s">
        <v>215</v>
      </c>
      <c r="G46" s="79" t="s">
        <v>103</v>
      </c>
      <c r="H46" s="112">
        <v>28</v>
      </c>
      <c r="I46" s="111">
        <v>35000</v>
      </c>
      <c r="J46" s="111">
        <v>35098</v>
      </c>
      <c r="K46" s="79" t="s">
        <v>85</v>
      </c>
      <c r="L46" s="80">
        <v>45890</v>
      </c>
      <c r="M46" s="80" t="s">
        <v>121</v>
      </c>
      <c r="N46" s="82" t="s">
        <v>122</v>
      </c>
      <c r="O46" s="80">
        <v>45881</v>
      </c>
      <c r="P46" s="80">
        <v>45907</v>
      </c>
      <c r="Q46" s="80">
        <v>45892</v>
      </c>
      <c r="R46" s="80">
        <v>45943</v>
      </c>
      <c r="S46" s="80">
        <v>45944</v>
      </c>
      <c r="T46" s="80">
        <v>45950</v>
      </c>
      <c r="U46" s="80">
        <v>45954</v>
      </c>
      <c r="V46" s="80">
        <v>45957</v>
      </c>
      <c r="W46" s="80">
        <v>45957</v>
      </c>
      <c r="X46" s="80">
        <v>45957</v>
      </c>
      <c r="Y46" s="80">
        <v>45962</v>
      </c>
      <c r="Z46" s="80">
        <v>45962</v>
      </c>
      <c r="AA46" s="80">
        <v>45963</v>
      </c>
      <c r="AB46" s="80">
        <v>45963</v>
      </c>
      <c r="AC46" s="80">
        <v>45966</v>
      </c>
      <c r="AD46" s="105" t="s">
        <v>641</v>
      </c>
      <c r="AE46" s="54">
        <f t="shared" si="43"/>
        <v>5</v>
      </c>
      <c r="AF46" s="106">
        <v>7</v>
      </c>
      <c r="AG46" s="107">
        <f t="shared" si="44"/>
        <v>0</v>
      </c>
      <c r="AH46" s="108">
        <v>200</v>
      </c>
      <c r="AI46" s="109">
        <f t="shared" si="45"/>
        <v>0</v>
      </c>
      <c r="AJ46" s="54">
        <f t="shared" ref="AJ46:AJ56" si="57">MAX(0,AC46-AB46)</f>
        <v>3</v>
      </c>
      <c r="AK46" s="36">
        <v>2</v>
      </c>
      <c r="AL46" s="51">
        <f t="shared" ref="AL46:AL56" si="58">MAX(0,AJ46-AK46)</f>
        <v>1</v>
      </c>
      <c r="AM46" s="52">
        <v>200</v>
      </c>
      <c r="AN46" s="53">
        <f t="shared" ref="AN46:AN56" si="59">MAX(0,AL46*AM46)</f>
        <v>200</v>
      </c>
      <c r="AO46" s="52"/>
      <c r="AP46" s="55">
        <f t="shared" ref="AP46:AP56" si="60">AO46+AN46+AI46</f>
        <v>200</v>
      </c>
    </row>
    <row r="47" spans="1:42" s="1" customFormat="1" ht="12.75">
      <c r="A47" s="98">
        <f t="shared" si="7"/>
        <v>44</v>
      </c>
      <c r="B47" s="79" t="s">
        <v>446</v>
      </c>
      <c r="C47" s="86" t="s">
        <v>492</v>
      </c>
      <c r="D47" s="111" t="s">
        <v>682</v>
      </c>
      <c r="E47" s="112" t="s">
        <v>494</v>
      </c>
      <c r="F47" s="79" t="s">
        <v>215</v>
      </c>
      <c r="G47" s="79" t="s">
        <v>103</v>
      </c>
      <c r="H47" s="112">
        <v>29</v>
      </c>
      <c r="I47" s="111">
        <v>35000</v>
      </c>
      <c r="J47" s="111">
        <v>35098</v>
      </c>
      <c r="K47" s="79" t="s">
        <v>85</v>
      </c>
      <c r="L47" s="80">
        <v>45890</v>
      </c>
      <c r="M47" s="80" t="s">
        <v>121</v>
      </c>
      <c r="N47" s="82" t="s">
        <v>122</v>
      </c>
      <c r="O47" s="80">
        <v>45881</v>
      </c>
      <c r="P47" s="80">
        <v>45907</v>
      </c>
      <c r="Q47" s="80">
        <v>45892</v>
      </c>
      <c r="R47" s="80">
        <v>45941</v>
      </c>
      <c r="S47" s="80">
        <v>45944</v>
      </c>
      <c r="T47" s="80">
        <v>45948</v>
      </c>
      <c r="U47" s="80">
        <v>45952</v>
      </c>
      <c r="V47" s="80">
        <v>45954</v>
      </c>
      <c r="W47" s="80">
        <v>45954</v>
      </c>
      <c r="X47" s="80">
        <v>45954</v>
      </c>
      <c r="Y47" s="80">
        <v>45962</v>
      </c>
      <c r="Z47" s="80">
        <v>45962</v>
      </c>
      <c r="AA47" s="80">
        <v>45963</v>
      </c>
      <c r="AB47" s="80">
        <v>45963</v>
      </c>
      <c r="AC47" s="80">
        <v>45966</v>
      </c>
      <c r="AD47" s="105" t="s">
        <v>641</v>
      </c>
      <c r="AE47" s="54">
        <f t="shared" si="43"/>
        <v>8</v>
      </c>
      <c r="AF47" s="36">
        <v>7</v>
      </c>
      <c r="AG47" s="51">
        <f t="shared" si="44"/>
        <v>1</v>
      </c>
      <c r="AH47" s="52">
        <v>200</v>
      </c>
      <c r="AI47" s="53">
        <f t="shared" si="45"/>
        <v>200</v>
      </c>
      <c r="AJ47" s="54">
        <f t="shared" si="57"/>
        <v>3</v>
      </c>
      <c r="AK47" s="106">
        <v>2</v>
      </c>
      <c r="AL47" s="107">
        <f t="shared" si="58"/>
        <v>1</v>
      </c>
      <c r="AM47" s="108">
        <v>200</v>
      </c>
      <c r="AN47" s="109">
        <f t="shared" si="59"/>
        <v>200</v>
      </c>
      <c r="AO47" s="108"/>
      <c r="AP47" s="110">
        <f t="shared" si="60"/>
        <v>400</v>
      </c>
    </row>
    <row r="48" spans="1:42" s="68" customFormat="1" ht="15" customHeight="1">
      <c r="A48" s="98">
        <f t="shared" si="7"/>
        <v>45</v>
      </c>
      <c r="B48" s="79" t="s">
        <v>446</v>
      </c>
      <c r="C48" s="80" t="s">
        <v>749</v>
      </c>
      <c r="D48" s="80" t="s">
        <v>684</v>
      </c>
      <c r="E48" s="78" t="s">
        <v>685</v>
      </c>
      <c r="F48" s="79" t="s">
        <v>215</v>
      </c>
      <c r="G48" s="79" t="s">
        <v>103</v>
      </c>
      <c r="H48" s="81">
        <v>29</v>
      </c>
      <c r="I48" s="79">
        <v>36250</v>
      </c>
      <c r="J48" s="79">
        <v>36352</v>
      </c>
      <c r="K48" s="79" t="s">
        <v>85</v>
      </c>
      <c r="L48" s="80">
        <v>45890</v>
      </c>
      <c r="M48" s="80" t="s">
        <v>121</v>
      </c>
      <c r="N48" s="82" t="s">
        <v>122</v>
      </c>
      <c r="O48" s="80">
        <v>45881</v>
      </c>
      <c r="P48" s="80">
        <v>45907</v>
      </c>
      <c r="Q48" s="80">
        <v>45892</v>
      </c>
      <c r="R48" s="80">
        <v>45942</v>
      </c>
      <c r="S48" s="80">
        <v>45943</v>
      </c>
      <c r="T48" s="80">
        <v>45946</v>
      </c>
      <c r="U48" s="80">
        <v>45949</v>
      </c>
      <c r="V48" s="80">
        <v>45955</v>
      </c>
      <c r="W48" s="80">
        <v>45955</v>
      </c>
      <c r="X48" s="80">
        <v>45955</v>
      </c>
      <c r="Y48" s="80">
        <v>45965</v>
      </c>
      <c r="Z48" s="80">
        <v>45965</v>
      </c>
      <c r="AA48" s="80">
        <v>45965</v>
      </c>
      <c r="AB48" s="80">
        <v>45965</v>
      </c>
      <c r="AC48" s="80">
        <v>45965</v>
      </c>
      <c r="AD48" s="105" t="s">
        <v>641</v>
      </c>
      <c r="AE48" s="54">
        <f t="shared" ref="AE48:AE56" si="61">MAX(0,Y48-X48)</f>
        <v>10</v>
      </c>
      <c r="AF48" s="106">
        <v>7</v>
      </c>
      <c r="AG48" s="107">
        <f t="shared" ref="AG48:AG56" si="62">MAX(0,AE48-AF48)</f>
        <v>3</v>
      </c>
      <c r="AH48" s="108">
        <v>200</v>
      </c>
      <c r="AI48" s="109">
        <f t="shared" ref="AI48:AI56" si="63">MAX(0,AG48*AH48)</f>
        <v>600</v>
      </c>
      <c r="AJ48" s="54">
        <f t="shared" si="57"/>
        <v>0</v>
      </c>
      <c r="AK48" s="106">
        <v>2</v>
      </c>
      <c r="AL48" s="107">
        <f t="shared" si="58"/>
        <v>0</v>
      </c>
      <c r="AM48" s="108">
        <v>200</v>
      </c>
      <c r="AN48" s="109">
        <f t="shared" si="59"/>
        <v>0</v>
      </c>
      <c r="AO48" s="108"/>
      <c r="AP48" s="110">
        <f t="shared" si="60"/>
        <v>600</v>
      </c>
    </row>
    <row r="49" spans="1:42" s="68" customFormat="1" ht="15" customHeight="1">
      <c r="A49" s="98">
        <f t="shared" si="7"/>
        <v>46</v>
      </c>
      <c r="B49" s="79" t="s">
        <v>446</v>
      </c>
      <c r="C49" s="86" t="s">
        <v>664</v>
      </c>
      <c r="D49" s="86" t="s">
        <v>665</v>
      </c>
      <c r="E49" s="79" t="s">
        <v>666</v>
      </c>
      <c r="F49" s="79" t="s">
        <v>215</v>
      </c>
      <c r="G49" s="79" t="s">
        <v>103</v>
      </c>
      <c r="H49" s="81">
        <v>28</v>
      </c>
      <c r="I49" s="79">
        <v>35000</v>
      </c>
      <c r="J49" s="79">
        <v>35098</v>
      </c>
      <c r="K49" s="79" t="s">
        <v>85</v>
      </c>
      <c r="L49" s="80">
        <v>45890</v>
      </c>
      <c r="M49" s="80" t="s">
        <v>121</v>
      </c>
      <c r="N49" s="82" t="s">
        <v>122</v>
      </c>
      <c r="O49" s="80">
        <v>45881</v>
      </c>
      <c r="P49" s="80">
        <v>45907</v>
      </c>
      <c r="Q49" s="80">
        <v>45892</v>
      </c>
      <c r="R49" s="80">
        <v>45941</v>
      </c>
      <c r="S49" s="80">
        <v>45942</v>
      </c>
      <c r="T49" s="80">
        <v>45945</v>
      </c>
      <c r="U49" s="80">
        <v>45950</v>
      </c>
      <c r="V49" s="80">
        <v>45952</v>
      </c>
      <c r="W49" s="80">
        <v>45952</v>
      </c>
      <c r="X49" s="80">
        <v>45952</v>
      </c>
      <c r="Y49" s="80">
        <v>45959</v>
      </c>
      <c r="Z49" s="80">
        <v>45960</v>
      </c>
      <c r="AA49" s="80">
        <v>45960</v>
      </c>
      <c r="AB49" s="80">
        <v>45962</v>
      </c>
      <c r="AC49" s="80">
        <v>45965</v>
      </c>
      <c r="AD49" s="105" t="s">
        <v>641</v>
      </c>
      <c r="AE49" s="54">
        <f t="shared" si="61"/>
        <v>7</v>
      </c>
      <c r="AF49" s="36">
        <v>7</v>
      </c>
      <c r="AG49" s="51">
        <f t="shared" si="62"/>
        <v>0</v>
      </c>
      <c r="AH49" s="52">
        <v>200</v>
      </c>
      <c r="AI49" s="53">
        <f t="shared" si="63"/>
        <v>0</v>
      </c>
      <c r="AJ49" s="54">
        <f t="shared" si="57"/>
        <v>3</v>
      </c>
      <c r="AK49" s="36">
        <v>2</v>
      </c>
      <c r="AL49" s="51">
        <f t="shared" si="58"/>
        <v>1</v>
      </c>
      <c r="AM49" s="52">
        <v>200</v>
      </c>
      <c r="AN49" s="53">
        <f t="shared" si="59"/>
        <v>200</v>
      </c>
      <c r="AO49" s="52">
        <v>0</v>
      </c>
      <c r="AP49" s="55">
        <f t="shared" si="60"/>
        <v>200</v>
      </c>
    </row>
    <row r="50" spans="1:42" s="68" customFormat="1" ht="15" customHeight="1">
      <c r="A50" s="98">
        <f t="shared" si="7"/>
        <v>47</v>
      </c>
      <c r="B50" s="79" t="s">
        <v>446</v>
      </c>
      <c r="C50" s="86" t="s">
        <v>627</v>
      </c>
      <c r="D50" s="86" t="s">
        <v>628</v>
      </c>
      <c r="E50" s="79" t="s">
        <v>629</v>
      </c>
      <c r="F50" s="79" t="s">
        <v>215</v>
      </c>
      <c r="G50" s="79" t="s">
        <v>103</v>
      </c>
      <c r="H50" s="81">
        <v>29</v>
      </c>
      <c r="I50" s="79">
        <v>36250</v>
      </c>
      <c r="J50" s="79">
        <v>36352</v>
      </c>
      <c r="K50" s="79" t="s">
        <v>85</v>
      </c>
      <c r="L50" s="80">
        <v>45890</v>
      </c>
      <c r="M50" s="80" t="s">
        <v>121</v>
      </c>
      <c r="N50" s="82" t="s">
        <v>122</v>
      </c>
      <c r="O50" s="80">
        <v>45881</v>
      </c>
      <c r="P50" s="80">
        <v>45907</v>
      </c>
      <c r="Q50" s="80">
        <v>45892</v>
      </c>
      <c r="R50" s="80">
        <v>45941</v>
      </c>
      <c r="S50" s="80">
        <v>45943</v>
      </c>
      <c r="T50" s="80">
        <v>45946</v>
      </c>
      <c r="U50" s="80">
        <v>45948</v>
      </c>
      <c r="V50" s="80">
        <v>45951</v>
      </c>
      <c r="W50" s="80">
        <v>45951</v>
      </c>
      <c r="X50" s="80">
        <v>45951</v>
      </c>
      <c r="Y50" s="80">
        <v>45959</v>
      </c>
      <c r="Z50" s="80">
        <v>45960</v>
      </c>
      <c r="AA50" s="80">
        <v>45960</v>
      </c>
      <c r="AB50" s="80">
        <v>45962</v>
      </c>
      <c r="AC50" s="80">
        <v>45965</v>
      </c>
      <c r="AD50" s="105" t="s">
        <v>641</v>
      </c>
      <c r="AE50" s="54">
        <f t="shared" si="61"/>
        <v>8</v>
      </c>
      <c r="AF50" s="36">
        <v>7</v>
      </c>
      <c r="AG50" s="51">
        <f t="shared" si="62"/>
        <v>1</v>
      </c>
      <c r="AH50" s="52">
        <v>200</v>
      </c>
      <c r="AI50" s="53">
        <f t="shared" si="63"/>
        <v>200</v>
      </c>
      <c r="AJ50" s="54">
        <f t="shared" si="57"/>
        <v>3</v>
      </c>
      <c r="AK50" s="106">
        <v>2</v>
      </c>
      <c r="AL50" s="107">
        <f t="shared" si="58"/>
        <v>1</v>
      </c>
      <c r="AM50" s="108">
        <v>200</v>
      </c>
      <c r="AN50" s="109">
        <f t="shared" si="59"/>
        <v>200</v>
      </c>
      <c r="AO50" s="108">
        <v>0</v>
      </c>
      <c r="AP50" s="110">
        <f t="shared" si="60"/>
        <v>400</v>
      </c>
    </row>
    <row r="51" spans="1:42" s="1" customFormat="1" ht="12.75">
      <c r="A51" s="98">
        <f t="shared" si="7"/>
        <v>48</v>
      </c>
      <c r="B51" s="79" t="s">
        <v>446</v>
      </c>
      <c r="C51" s="86" t="s">
        <v>314</v>
      </c>
      <c r="D51" s="111" t="s">
        <v>686</v>
      </c>
      <c r="E51" s="78" t="s">
        <v>687</v>
      </c>
      <c r="F51" s="79" t="s">
        <v>215</v>
      </c>
      <c r="G51" s="79" t="s">
        <v>103</v>
      </c>
      <c r="H51" s="112">
        <v>28</v>
      </c>
      <c r="I51" s="111">
        <v>35000</v>
      </c>
      <c r="J51" s="111">
        <v>35098</v>
      </c>
      <c r="K51" s="79" t="s">
        <v>85</v>
      </c>
      <c r="L51" s="80">
        <v>45890</v>
      </c>
      <c r="M51" s="80" t="s">
        <v>121</v>
      </c>
      <c r="N51" s="82" t="s">
        <v>122</v>
      </c>
      <c r="O51" s="80">
        <v>45881</v>
      </c>
      <c r="P51" s="80">
        <v>45907</v>
      </c>
      <c r="Q51" s="80">
        <v>45892</v>
      </c>
      <c r="R51" s="80">
        <v>45943</v>
      </c>
      <c r="S51" s="80">
        <v>45944</v>
      </c>
      <c r="T51" s="80">
        <v>45947</v>
      </c>
      <c r="U51" s="80">
        <v>45949</v>
      </c>
      <c r="V51" s="80">
        <v>45952</v>
      </c>
      <c r="W51" s="80">
        <v>45952</v>
      </c>
      <c r="X51" s="80">
        <v>45952</v>
      </c>
      <c r="Y51" s="80">
        <v>45962</v>
      </c>
      <c r="Z51" s="80">
        <v>45962</v>
      </c>
      <c r="AA51" s="80">
        <v>45963</v>
      </c>
      <c r="AB51" s="80">
        <v>45963</v>
      </c>
      <c r="AC51" s="80">
        <v>45965</v>
      </c>
      <c r="AD51" s="105" t="s">
        <v>641</v>
      </c>
      <c r="AE51" s="54">
        <f t="shared" si="61"/>
        <v>10</v>
      </c>
      <c r="AF51" s="36">
        <v>7</v>
      </c>
      <c r="AG51" s="51">
        <f t="shared" si="62"/>
        <v>3</v>
      </c>
      <c r="AH51" s="52">
        <v>200</v>
      </c>
      <c r="AI51" s="53">
        <f t="shared" si="63"/>
        <v>600</v>
      </c>
      <c r="AJ51" s="54">
        <f t="shared" si="57"/>
        <v>2</v>
      </c>
      <c r="AK51" s="36">
        <v>2</v>
      </c>
      <c r="AL51" s="51">
        <f t="shared" si="58"/>
        <v>0</v>
      </c>
      <c r="AM51" s="52">
        <v>200</v>
      </c>
      <c r="AN51" s="53">
        <f t="shared" si="59"/>
        <v>0</v>
      </c>
      <c r="AO51" s="52">
        <v>0</v>
      </c>
      <c r="AP51" s="55">
        <f t="shared" si="60"/>
        <v>600</v>
      </c>
    </row>
    <row r="52" spans="1:42" s="68" customFormat="1" ht="15" customHeight="1">
      <c r="A52" s="98">
        <f t="shared" si="7"/>
        <v>49</v>
      </c>
      <c r="B52" s="79" t="s">
        <v>446</v>
      </c>
      <c r="C52" s="86" t="s">
        <v>391</v>
      </c>
      <c r="D52" s="86" t="s">
        <v>392</v>
      </c>
      <c r="E52" s="79" t="s">
        <v>393</v>
      </c>
      <c r="F52" s="79" t="s">
        <v>215</v>
      </c>
      <c r="G52" s="79" t="s">
        <v>103</v>
      </c>
      <c r="H52" s="81">
        <v>28</v>
      </c>
      <c r="I52" s="79">
        <v>35000</v>
      </c>
      <c r="J52" s="79">
        <v>35098</v>
      </c>
      <c r="K52" s="79" t="s">
        <v>85</v>
      </c>
      <c r="L52" s="80">
        <v>45890</v>
      </c>
      <c r="M52" s="80" t="s">
        <v>121</v>
      </c>
      <c r="N52" s="82" t="s">
        <v>122</v>
      </c>
      <c r="O52" s="80">
        <v>45881</v>
      </c>
      <c r="P52" s="80">
        <v>45907</v>
      </c>
      <c r="Q52" s="80">
        <v>45892</v>
      </c>
      <c r="R52" s="80">
        <v>45942</v>
      </c>
      <c r="S52" s="80">
        <v>45943</v>
      </c>
      <c r="T52" s="80">
        <v>45946</v>
      </c>
      <c r="U52" s="80">
        <v>45950</v>
      </c>
      <c r="V52" s="80">
        <v>45951</v>
      </c>
      <c r="W52" s="80">
        <v>45951</v>
      </c>
      <c r="X52" s="80">
        <v>45951</v>
      </c>
      <c r="Y52" s="80">
        <v>45962</v>
      </c>
      <c r="Z52" s="80">
        <v>45962</v>
      </c>
      <c r="AA52" s="80">
        <v>45963</v>
      </c>
      <c r="AB52" s="80">
        <v>45963</v>
      </c>
      <c r="AC52" s="80">
        <v>45965</v>
      </c>
      <c r="AD52" s="105" t="s">
        <v>641</v>
      </c>
      <c r="AE52" s="114">
        <f t="shared" si="61"/>
        <v>11</v>
      </c>
      <c r="AF52" s="91">
        <v>7</v>
      </c>
      <c r="AG52" s="115">
        <f t="shared" si="62"/>
        <v>4</v>
      </c>
      <c r="AH52" s="116">
        <v>200</v>
      </c>
      <c r="AI52" s="117">
        <f t="shared" si="63"/>
        <v>800</v>
      </c>
      <c r="AJ52" s="114">
        <f t="shared" si="57"/>
        <v>2</v>
      </c>
      <c r="AK52" s="91">
        <v>2</v>
      </c>
      <c r="AL52" s="115">
        <f t="shared" si="58"/>
        <v>0</v>
      </c>
      <c r="AM52" s="116">
        <v>200</v>
      </c>
      <c r="AN52" s="117">
        <f t="shared" si="59"/>
        <v>0</v>
      </c>
      <c r="AO52" s="116"/>
      <c r="AP52" s="110">
        <f t="shared" si="60"/>
        <v>800</v>
      </c>
    </row>
    <row r="53" spans="1:42" s="68" customFormat="1" ht="15" customHeight="1">
      <c r="A53" s="98">
        <f t="shared" si="7"/>
        <v>50</v>
      </c>
      <c r="B53" s="79" t="s">
        <v>446</v>
      </c>
      <c r="C53" s="86" t="s">
        <v>474</v>
      </c>
      <c r="D53" s="86" t="s">
        <v>688</v>
      </c>
      <c r="E53" s="78" t="s">
        <v>476</v>
      </c>
      <c r="F53" s="79" t="s">
        <v>215</v>
      </c>
      <c r="G53" s="79" t="s">
        <v>103</v>
      </c>
      <c r="H53" s="81">
        <v>29</v>
      </c>
      <c r="I53" s="79">
        <v>36250</v>
      </c>
      <c r="J53" s="79">
        <v>36352</v>
      </c>
      <c r="K53" s="79" t="s">
        <v>85</v>
      </c>
      <c r="L53" s="80">
        <v>45890</v>
      </c>
      <c r="M53" s="80" t="s">
        <v>121</v>
      </c>
      <c r="N53" s="82" t="s">
        <v>122</v>
      </c>
      <c r="O53" s="80">
        <v>45881</v>
      </c>
      <c r="P53" s="80">
        <v>45907</v>
      </c>
      <c r="Q53" s="80">
        <v>45892</v>
      </c>
      <c r="R53" s="80">
        <v>45942</v>
      </c>
      <c r="S53" s="80">
        <v>45943</v>
      </c>
      <c r="T53" s="80">
        <v>45946</v>
      </c>
      <c r="U53" s="80">
        <v>45951</v>
      </c>
      <c r="V53" s="80">
        <v>45951</v>
      </c>
      <c r="W53" s="80">
        <v>45951</v>
      </c>
      <c r="X53" s="80">
        <v>45951</v>
      </c>
      <c r="Y53" s="80">
        <v>45962</v>
      </c>
      <c r="Z53" s="80">
        <v>45962</v>
      </c>
      <c r="AA53" s="80">
        <v>45963</v>
      </c>
      <c r="AB53" s="80">
        <v>45963</v>
      </c>
      <c r="AC53" s="80">
        <v>45965</v>
      </c>
      <c r="AD53" s="105" t="s">
        <v>641</v>
      </c>
      <c r="AE53" s="54">
        <f t="shared" si="61"/>
        <v>11</v>
      </c>
      <c r="AF53" s="36">
        <v>7</v>
      </c>
      <c r="AG53" s="51">
        <f t="shared" si="62"/>
        <v>4</v>
      </c>
      <c r="AH53" s="52">
        <v>200</v>
      </c>
      <c r="AI53" s="53">
        <f t="shared" si="63"/>
        <v>800</v>
      </c>
      <c r="AJ53" s="54">
        <f t="shared" si="57"/>
        <v>2</v>
      </c>
      <c r="AK53" s="36">
        <v>2</v>
      </c>
      <c r="AL53" s="51">
        <f t="shared" si="58"/>
        <v>0</v>
      </c>
      <c r="AM53" s="52">
        <v>200</v>
      </c>
      <c r="AN53" s="53">
        <f t="shared" si="59"/>
        <v>0</v>
      </c>
      <c r="AO53" s="52">
        <v>400</v>
      </c>
      <c r="AP53" s="55">
        <f t="shared" si="60"/>
        <v>1200</v>
      </c>
    </row>
    <row r="54" spans="1:42" s="68" customFormat="1" ht="15" customHeight="1">
      <c r="A54" s="98">
        <f t="shared" si="7"/>
        <v>51</v>
      </c>
      <c r="B54" s="79" t="s">
        <v>446</v>
      </c>
      <c r="C54" s="86" t="s">
        <v>522</v>
      </c>
      <c r="D54" s="86" t="s">
        <v>523</v>
      </c>
      <c r="E54" s="79" t="s">
        <v>524</v>
      </c>
      <c r="F54" s="79" t="s">
        <v>215</v>
      </c>
      <c r="G54" s="79" t="s">
        <v>103</v>
      </c>
      <c r="H54" s="81">
        <v>29</v>
      </c>
      <c r="I54" s="79">
        <v>36250</v>
      </c>
      <c r="J54" s="79">
        <v>36352</v>
      </c>
      <c r="K54" s="79" t="s">
        <v>85</v>
      </c>
      <c r="L54" s="80">
        <v>45890</v>
      </c>
      <c r="M54" s="80" t="s">
        <v>121</v>
      </c>
      <c r="N54" s="82" t="s">
        <v>122</v>
      </c>
      <c r="O54" s="80">
        <v>45881</v>
      </c>
      <c r="P54" s="80">
        <v>45907</v>
      </c>
      <c r="Q54" s="80">
        <v>45892</v>
      </c>
      <c r="R54" s="80">
        <v>45942</v>
      </c>
      <c r="S54" s="80">
        <v>45943</v>
      </c>
      <c r="T54" s="80">
        <v>45946</v>
      </c>
      <c r="U54" s="80">
        <v>45949</v>
      </c>
      <c r="V54" s="80">
        <v>45951</v>
      </c>
      <c r="W54" s="80">
        <v>45951</v>
      </c>
      <c r="X54" s="80">
        <v>45951</v>
      </c>
      <c r="Y54" s="80">
        <v>45954</v>
      </c>
      <c r="Z54" s="80">
        <v>45962</v>
      </c>
      <c r="AA54" s="80">
        <v>45963</v>
      </c>
      <c r="AB54" s="80">
        <v>45963</v>
      </c>
      <c r="AC54" s="80">
        <v>45965</v>
      </c>
      <c r="AD54" s="105" t="s">
        <v>641</v>
      </c>
      <c r="AE54" s="54">
        <f t="shared" si="61"/>
        <v>3</v>
      </c>
      <c r="AF54" s="106">
        <v>7</v>
      </c>
      <c r="AG54" s="107">
        <f t="shared" si="62"/>
        <v>0</v>
      </c>
      <c r="AH54" s="108">
        <v>200</v>
      </c>
      <c r="AI54" s="109">
        <f t="shared" si="63"/>
        <v>0</v>
      </c>
      <c r="AJ54" s="54">
        <f t="shared" si="57"/>
        <v>2</v>
      </c>
      <c r="AK54" s="106">
        <v>2</v>
      </c>
      <c r="AL54" s="107">
        <f t="shared" si="58"/>
        <v>0</v>
      </c>
      <c r="AM54" s="108">
        <v>200</v>
      </c>
      <c r="AN54" s="109">
        <f t="shared" si="59"/>
        <v>0</v>
      </c>
      <c r="AO54" s="108">
        <v>0</v>
      </c>
      <c r="AP54" s="110">
        <f t="shared" si="60"/>
        <v>0</v>
      </c>
    </row>
    <row r="55" spans="1:42" s="68" customFormat="1" ht="15" customHeight="1">
      <c r="A55" s="98">
        <f t="shared" si="7"/>
        <v>52</v>
      </c>
      <c r="B55" s="79" t="s">
        <v>446</v>
      </c>
      <c r="C55" s="86" t="s">
        <v>519</v>
      </c>
      <c r="D55" s="78" t="s">
        <v>520</v>
      </c>
      <c r="E55" s="78" t="s">
        <v>521</v>
      </c>
      <c r="F55" s="79" t="s">
        <v>215</v>
      </c>
      <c r="G55" s="79" t="s">
        <v>103</v>
      </c>
      <c r="H55" s="81">
        <v>28</v>
      </c>
      <c r="I55" s="79">
        <v>35000</v>
      </c>
      <c r="J55" s="79">
        <v>35098</v>
      </c>
      <c r="K55" s="79" t="s">
        <v>85</v>
      </c>
      <c r="L55" s="80">
        <v>45890</v>
      </c>
      <c r="M55" s="80" t="s">
        <v>121</v>
      </c>
      <c r="N55" s="82" t="s">
        <v>122</v>
      </c>
      <c r="O55" s="80">
        <v>45881</v>
      </c>
      <c r="P55" s="80">
        <v>45907</v>
      </c>
      <c r="Q55" s="80">
        <v>45892</v>
      </c>
      <c r="R55" s="80">
        <v>45942</v>
      </c>
      <c r="S55" s="80">
        <v>45943</v>
      </c>
      <c r="T55" s="80">
        <v>45946</v>
      </c>
      <c r="U55" s="80">
        <v>45951</v>
      </c>
      <c r="V55" s="80">
        <v>45954</v>
      </c>
      <c r="W55" s="80">
        <v>45954</v>
      </c>
      <c r="X55" s="80">
        <v>45954</v>
      </c>
      <c r="Y55" s="80">
        <v>45962</v>
      </c>
      <c r="Z55" s="80">
        <v>45963</v>
      </c>
      <c r="AA55" s="80">
        <v>45963</v>
      </c>
      <c r="AB55" s="80">
        <v>45963</v>
      </c>
      <c r="AC55" s="80">
        <v>45965</v>
      </c>
      <c r="AD55" s="105" t="s">
        <v>641</v>
      </c>
      <c r="AE55" s="54">
        <f t="shared" si="61"/>
        <v>8</v>
      </c>
      <c r="AF55" s="36">
        <v>7</v>
      </c>
      <c r="AG55" s="51">
        <f t="shared" si="62"/>
        <v>1</v>
      </c>
      <c r="AH55" s="52">
        <v>200</v>
      </c>
      <c r="AI55" s="53">
        <f t="shared" si="63"/>
        <v>200</v>
      </c>
      <c r="AJ55" s="54">
        <f t="shared" si="57"/>
        <v>2</v>
      </c>
      <c r="AK55" s="36">
        <v>2</v>
      </c>
      <c r="AL55" s="51">
        <f t="shared" si="58"/>
        <v>0</v>
      </c>
      <c r="AM55" s="52">
        <v>200</v>
      </c>
      <c r="AN55" s="53">
        <f t="shared" si="59"/>
        <v>0</v>
      </c>
      <c r="AO55" s="52"/>
      <c r="AP55" s="55">
        <f t="shared" si="60"/>
        <v>200</v>
      </c>
    </row>
    <row r="56" spans="1:42" s="68" customFormat="1" ht="15" customHeight="1">
      <c r="A56" s="98">
        <f t="shared" si="7"/>
        <v>53</v>
      </c>
      <c r="B56" s="79" t="s">
        <v>446</v>
      </c>
      <c r="C56" s="86" t="s">
        <v>689</v>
      </c>
      <c r="D56" s="86" t="s">
        <v>690</v>
      </c>
      <c r="E56" s="79" t="s">
        <v>691</v>
      </c>
      <c r="F56" s="79" t="s">
        <v>215</v>
      </c>
      <c r="G56" s="79" t="s">
        <v>103</v>
      </c>
      <c r="H56" s="81">
        <v>25</v>
      </c>
      <c r="I56" s="79">
        <v>31250</v>
      </c>
      <c r="J56" s="79">
        <v>31338</v>
      </c>
      <c r="K56" s="79" t="s">
        <v>85</v>
      </c>
      <c r="L56" s="80">
        <v>45890</v>
      </c>
      <c r="M56" s="80" t="s">
        <v>121</v>
      </c>
      <c r="N56" s="82" t="s">
        <v>122</v>
      </c>
      <c r="O56" s="80">
        <v>45881</v>
      </c>
      <c r="P56" s="80">
        <v>45907</v>
      </c>
      <c r="Q56" s="80">
        <v>45892</v>
      </c>
      <c r="R56" s="80">
        <v>45942</v>
      </c>
      <c r="S56" s="80">
        <v>45943</v>
      </c>
      <c r="T56" s="80">
        <v>45946</v>
      </c>
      <c r="U56" s="80">
        <v>45952</v>
      </c>
      <c r="V56" s="80">
        <v>45955</v>
      </c>
      <c r="W56" s="80">
        <v>45955</v>
      </c>
      <c r="X56" s="80">
        <v>45955</v>
      </c>
      <c r="Y56" s="80">
        <v>45962</v>
      </c>
      <c r="Z56" s="80">
        <v>45962</v>
      </c>
      <c r="AA56" s="80">
        <v>45963</v>
      </c>
      <c r="AB56" s="80">
        <v>45963</v>
      </c>
      <c r="AC56" s="80">
        <v>45965</v>
      </c>
      <c r="AD56" s="105" t="s">
        <v>641</v>
      </c>
      <c r="AE56" s="54">
        <f t="shared" si="61"/>
        <v>7</v>
      </c>
      <c r="AF56" s="106">
        <v>7</v>
      </c>
      <c r="AG56" s="107">
        <f t="shared" si="62"/>
        <v>0</v>
      </c>
      <c r="AH56" s="108">
        <v>200</v>
      </c>
      <c r="AI56" s="109">
        <f t="shared" si="63"/>
        <v>0</v>
      </c>
      <c r="AJ56" s="54">
        <f t="shared" si="57"/>
        <v>2</v>
      </c>
      <c r="AK56" s="106">
        <v>2</v>
      </c>
      <c r="AL56" s="107">
        <f t="shared" si="58"/>
        <v>0</v>
      </c>
      <c r="AM56" s="108">
        <v>200</v>
      </c>
      <c r="AN56" s="109">
        <f t="shared" si="59"/>
        <v>0</v>
      </c>
      <c r="AO56" s="108"/>
      <c r="AP56" s="110">
        <f t="shared" si="60"/>
        <v>0</v>
      </c>
    </row>
    <row r="57" spans="1:42" s="1" customFormat="1" ht="12.75">
      <c r="A57" s="98">
        <f t="shared" si="7"/>
        <v>54</v>
      </c>
      <c r="B57" s="79" t="s">
        <v>446</v>
      </c>
      <c r="C57" s="86" t="s">
        <v>507</v>
      </c>
      <c r="D57" s="111" t="s">
        <v>692</v>
      </c>
      <c r="E57" s="111" t="s">
        <v>509</v>
      </c>
      <c r="F57" s="79" t="s">
        <v>215</v>
      </c>
      <c r="G57" s="79" t="s">
        <v>103</v>
      </c>
      <c r="H57" s="112">
        <v>28</v>
      </c>
      <c r="I57" s="111">
        <v>35000</v>
      </c>
      <c r="J57" s="111">
        <v>35098</v>
      </c>
      <c r="K57" s="79" t="s">
        <v>85</v>
      </c>
      <c r="L57" s="80">
        <v>45890</v>
      </c>
      <c r="M57" s="80" t="s">
        <v>121</v>
      </c>
      <c r="N57" s="82" t="s">
        <v>122</v>
      </c>
      <c r="O57" s="80">
        <v>45881</v>
      </c>
      <c r="P57" s="80">
        <v>45907</v>
      </c>
      <c r="Q57" s="80">
        <v>45892</v>
      </c>
      <c r="R57" s="80">
        <v>45943</v>
      </c>
      <c r="S57" s="80">
        <v>45944</v>
      </c>
      <c r="T57" s="80">
        <v>45948</v>
      </c>
      <c r="U57" s="80">
        <v>45952</v>
      </c>
      <c r="V57" s="80">
        <v>45954</v>
      </c>
      <c r="W57" s="80">
        <v>45954</v>
      </c>
      <c r="X57" s="80">
        <v>45954</v>
      </c>
      <c r="Y57" s="80">
        <v>45962</v>
      </c>
      <c r="Z57" s="80">
        <v>45962</v>
      </c>
      <c r="AA57" s="80">
        <v>45963</v>
      </c>
      <c r="AB57" s="80">
        <v>45963</v>
      </c>
      <c r="AC57" s="80">
        <v>45965</v>
      </c>
      <c r="AD57" s="105" t="s">
        <v>641</v>
      </c>
      <c r="AE57" s="54">
        <f t="shared" si="43"/>
        <v>8</v>
      </c>
      <c r="AF57" s="106">
        <v>7</v>
      </c>
      <c r="AG57" s="107">
        <f t="shared" si="44"/>
        <v>1</v>
      </c>
      <c r="AH57" s="108">
        <v>200</v>
      </c>
      <c r="AI57" s="109">
        <f t="shared" si="45"/>
        <v>200</v>
      </c>
      <c r="AJ57" s="54">
        <f t="shared" si="46"/>
        <v>2</v>
      </c>
      <c r="AK57" s="106">
        <v>2</v>
      </c>
      <c r="AL57" s="107">
        <f t="shared" si="47"/>
        <v>0</v>
      </c>
      <c r="AM57" s="108">
        <v>200</v>
      </c>
      <c r="AN57" s="109">
        <f t="shared" si="48"/>
        <v>0</v>
      </c>
      <c r="AO57" s="108"/>
      <c r="AP57" s="110">
        <f t="shared" si="49"/>
        <v>200</v>
      </c>
    </row>
    <row r="58" spans="1:42" s="1" customFormat="1" ht="12.75">
      <c r="A58" s="98">
        <f t="shared" si="7"/>
        <v>55</v>
      </c>
      <c r="B58" s="79" t="s">
        <v>446</v>
      </c>
      <c r="C58" s="86" t="s">
        <v>693</v>
      </c>
      <c r="D58" s="111" t="s">
        <v>694</v>
      </c>
      <c r="E58" s="112" t="s">
        <v>695</v>
      </c>
      <c r="F58" s="79" t="s">
        <v>215</v>
      </c>
      <c r="G58" s="79" t="s">
        <v>103</v>
      </c>
      <c r="H58" s="112">
        <v>28</v>
      </c>
      <c r="I58" s="111">
        <v>35000</v>
      </c>
      <c r="J58" s="111">
        <v>35098</v>
      </c>
      <c r="K58" s="79" t="s">
        <v>85</v>
      </c>
      <c r="L58" s="80">
        <v>45890</v>
      </c>
      <c r="M58" s="80" t="s">
        <v>121</v>
      </c>
      <c r="N58" s="82" t="s">
        <v>122</v>
      </c>
      <c r="O58" s="80">
        <v>45881</v>
      </c>
      <c r="P58" s="80">
        <v>45907</v>
      </c>
      <c r="Q58" s="80">
        <v>45892</v>
      </c>
      <c r="R58" s="80">
        <v>45943</v>
      </c>
      <c r="S58" s="80">
        <v>45944</v>
      </c>
      <c r="T58" s="80">
        <v>45948</v>
      </c>
      <c r="U58" s="80">
        <v>45951</v>
      </c>
      <c r="V58" s="80">
        <v>45954</v>
      </c>
      <c r="W58" s="80">
        <v>45954</v>
      </c>
      <c r="X58" s="80">
        <v>45954</v>
      </c>
      <c r="Y58" s="80">
        <v>45962</v>
      </c>
      <c r="Z58" s="80">
        <v>45962</v>
      </c>
      <c r="AA58" s="80">
        <v>45963</v>
      </c>
      <c r="AB58" s="80">
        <v>45963</v>
      </c>
      <c r="AC58" s="80">
        <v>45965</v>
      </c>
      <c r="AD58" s="105" t="s">
        <v>641</v>
      </c>
      <c r="AE58" s="54">
        <f t="shared" si="43"/>
        <v>8</v>
      </c>
      <c r="AF58" s="36">
        <v>7</v>
      </c>
      <c r="AG58" s="51">
        <f t="shared" si="44"/>
        <v>1</v>
      </c>
      <c r="AH58" s="52">
        <v>200</v>
      </c>
      <c r="AI58" s="53">
        <f t="shared" si="45"/>
        <v>200</v>
      </c>
      <c r="AJ58" s="54">
        <f t="shared" si="46"/>
        <v>2</v>
      </c>
      <c r="AK58" s="36">
        <v>2</v>
      </c>
      <c r="AL58" s="51">
        <f t="shared" si="47"/>
        <v>0</v>
      </c>
      <c r="AM58" s="52">
        <v>200</v>
      </c>
      <c r="AN58" s="53">
        <f t="shared" si="48"/>
        <v>0</v>
      </c>
      <c r="AO58" s="52"/>
      <c r="AP58" s="55">
        <f t="shared" si="49"/>
        <v>200</v>
      </c>
    </row>
    <row r="59" spans="1:42" s="68" customFormat="1" ht="15" customHeight="1">
      <c r="A59" s="98">
        <f t="shared" si="7"/>
        <v>56</v>
      </c>
      <c r="B59" s="79" t="s">
        <v>446</v>
      </c>
      <c r="C59" s="86" t="s">
        <v>696</v>
      </c>
      <c r="D59" s="86" t="s">
        <v>697</v>
      </c>
      <c r="E59" s="78" t="s">
        <v>698</v>
      </c>
      <c r="F59" s="79" t="s">
        <v>215</v>
      </c>
      <c r="G59" s="79" t="s">
        <v>103</v>
      </c>
      <c r="H59" s="81">
        <v>28</v>
      </c>
      <c r="I59" s="79">
        <v>35000</v>
      </c>
      <c r="J59" s="79">
        <v>35098</v>
      </c>
      <c r="K59" s="79" t="s">
        <v>85</v>
      </c>
      <c r="L59" s="80">
        <v>45890</v>
      </c>
      <c r="M59" s="80" t="s">
        <v>121</v>
      </c>
      <c r="N59" s="82" t="s">
        <v>122</v>
      </c>
      <c r="O59" s="80">
        <v>45881</v>
      </c>
      <c r="P59" s="80">
        <v>45907</v>
      </c>
      <c r="Q59" s="80">
        <v>45892</v>
      </c>
      <c r="R59" s="80">
        <v>45942</v>
      </c>
      <c r="S59" s="80">
        <v>45943</v>
      </c>
      <c r="T59" s="80">
        <v>45946</v>
      </c>
      <c r="U59" s="80">
        <v>45949</v>
      </c>
      <c r="V59" s="80">
        <v>45951</v>
      </c>
      <c r="W59" s="80">
        <v>45951</v>
      </c>
      <c r="X59" s="80">
        <v>45951</v>
      </c>
      <c r="Y59" s="80">
        <v>45954</v>
      </c>
      <c r="Z59" s="80">
        <v>45962</v>
      </c>
      <c r="AA59" s="80">
        <v>45963</v>
      </c>
      <c r="AB59" s="80">
        <v>45963</v>
      </c>
      <c r="AC59" s="80">
        <v>45964</v>
      </c>
      <c r="AD59" s="105" t="s">
        <v>641</v>
      </c>
      <c r="AE59" s="114">
        <f t="shared" ref="AE59:AE75" si="64">MAX(0,Y59-X59)</f>
        <v>3</v>
      </c>
      <c r="AF59" s="33">
        <v>7</v>
      </c>
      <c r="AG59" s="118">
        <f t="shared" ref="AG59:AG75" si="65">MAX(0,AE59-AF59)</f>
        <v>0</v>
      </c>
      <c r="AH59" s="119">
        <v>200</v>
      </c>
      <c r="AI59" s="120">
        <f t="shared" ref="AI59:AI75" si="66">MAX(0,AG59*AH59)</f>
        <v>0</v>
      </c>
      <c r="AJ59" s="114">
        <f t="shared" ref="AJ59:AJ75" si="67">MAX(0,AC59-AB59)</f>
        <v>1</v>
      </c>
      <c r="AK59" s="33">
        <v>2</v>
      </c>
      <c r="AL59" s="118">
        <f t="shared" ref="AL59:AL75" si="68">MAX(0,AJ59-AK59)</f>
        <v>0</v>
      </c>
      <c r="AM59" s="119">
        <v>200</v>
      </c>
      <c r="AN59" s="120">
        <f t="shared" ref="AN59:AN75" si="69">MAX(0,AL59*AM59)</f>
        <v>0</v>
      </c>
      <c r="AO59" s="119"/>
      <c r="AP59" s="110">
        <f t="shared" si="49"/>
        <v>0</v>
      </c>
    </row>
    <row r="60" spans="1:42" s="68" customFormat="1" ht="15" customHeight="1">
      <c r="A60" s="98">
        <f t="shared" si="7"/>
        <v>57</v>
      </c>
      <c r="B60" s="79" t="s">
        <v>446</v>
      </c>
      <c r="C60" s="86" t="s">
        <v>422</v>
      </c>
      <c r="D60" s="86" t="s">
        <v>423</v>
      </c>
      <c r="E60" s="86" t="s">
        <v>424</v>
      </c>
      <c r="F60" s="79" t="s">
        <v>215</v>
      </c>
      <c r="G60" s="79" t="s">
        <v>103</v>
      </c>
      <c r="H60" s="81">
        <v>28</v>
      </c>
      <c r="I60" s="79">
        <v>35000</v>
      </c>
      <c r="J60" s="79">
        <v>35098</v>
      </c>
      <c r="K60" s="79" t="s">
        <v>85</v>
      </c>
      <c r="L60" s="80">
        <v>45890</v>
      </c>
      <c r="M60" s="80" t="s">
        <v>121</v>
      </c>
      <c r="N60" s="82" t="s">
        <v>122</v>
      </c>
      <c r="O60" s="80">
        <v>45881</v>
      </c>
      <c r="P60" s="80">
        <v>45907</v>
      </c>
      <c r="Q60" s="80">
        <v>45892</v>
      </c>
      <c r="R60" s="80">
        <v>45943</v>
      </c>
      <c r="S60" s="80">
        <v>45943</v>
      </c>
      <c r="T60" s="80">
        <v>45950</v>
      </c>
      <c r="U60" s="80">
        <v>45953</v>
      </c>
      <c r="V60" s="80">
        <v>45955</v>
      </c>
      <c r="W60" s="80">
        <v>45955</v>
      </c>
      <c r="X60" s="80">
        <v>45955</v>
      </c>
      <c r="Y60" s="80">
        <v>45962</v>
      </c>
      <c r="Z60" s="80">
        <v>45962</v>
      </c>
      <c r="AA60" s="80">
        <v>45963</v>
      </c>
      <c r="AB60" s="80">
        <v>45963</v>
      </c>
      <c r="AC60" s="80">
        <v>45964</v>
      </c>
      <c r="AD60" s="105" t="s">
        <v>641</v>
      </c>
      <c r="AE60" s="54">
        <f t="shared" si="64"/>
        <v>7</v>
      </c>
      <c r="AF60" s="106">
        <v>7</v>
      </c>
      <c r="AG60" s="107">
        <f t="shared" si="65"/>
        <v>0</v>
      </c>
      <c r="AH60" s="108">
        <v>200</v>
      </c>
      <c r="AI60" s="109">
        <f t="shared" si="66"/>
        <v>0</v>
      </c>
      <c r="AJ60" s="54">
        <f t="shared" si="67"/>
        <v>1</v>
      </c>
      <c r="AK60" s="106">
        <v>2</v>
      </c>
      <c r="AL60" s="107">
        <f t="shared" si="68"/>
        <v>0</v>
      </c>
      <c r="AM60" s="108">
        <v>200</v>
      </c>
      <c r="AN60" s="109">
        <f t="shared" si="69"/>
        <v>0</v>
      </c>
      <c r="AO60" s="108"/>
      <c r="AP60" s="110">
        <f t="shared" si="49"/>
        <v>0</v>
      </c>
    </row>
    <row r="61" spans="1:42" s="68" customFormat="1" ht="15" customHeight="1">
      <c r="A61" s="98">
        <f t="shared" si="7"/>
        <v>58</v>
      </c>
      <c r="B61" s="79" t="s">
        <v>446</v>
      </c>
      <c r="C61" s="100" t="s">
        <v>699</v>
      </c>
      <c r="D61" s="100" t="s">
        <v>700</v>
      </c>
      <c r="E61" s="100" t="s">
        <v>701</v>
      </c>
      <c r="F61" s="79" t="s">
        <v>215</v>
      </c>
      <c r="G61" s="79" t="s">
        <v>103</v>
      </c>
      <c r="H61" s="81">
        <v>25</v>
      </c>
      <c r="I61" s="79">
        <v>31250</v>
      </c>
      <c r="J61" s="79">
        <v>31338</v>
      </c>
      <c r="K61" s="79" t="s">
        <v>85</v>
      </c>
      <c r="L61" s="80">
        <v>45890</v>
      </c>
      <c r="M61" s="80" t="s">
        <v>121</v>
      </c>
      <c r="N61" s="82" t="s">
        <v>122</v>
      </c>
      <c r="O61" s="80">
        <v>45881</v>
      </c>
      <c r="P61" s="80">
        <v>45907</v>
      </c>
      <c r="Q61" s="80">
        <v>45892</v>
      </c>
      <c r="R61" s="80">
        <v>45941</v>
      </c>
      <c r="S61" s="80">
        <v>45943</v>
      </c>
      <c r="T61" s="80">
        <v>45945</v>
      </c>
      <c r="U61" s="80">
        <v>45949</v>
      </c>
      <c r="V61" s="80">
        <v>45952</v>
      </c>
      <c r="W61" s="80">
        <v>45952</v>
      </c>
      <c r="X61" s="80">
        <v>45952</v>
      </c>
      <c r="Y61" s="80">
        <v>45959</v>
      </c>
      <c r="Z61" s="80">
        <v>45960</v>
      </c>
      <c r="AA61" s="80">
        <v>45960</v>
      </c>
      <c r="AB61" s="80">
        <v>45960</v>
      </c>
      <c r="AC61" s="80">
        <v>45964</v>
      </c>
      <c r="AD61" s="105" t="s">
        <v>641</v>
      </c>
      <c r="AE61" s="54">
        <f t="shared" si="64"/>
        <v>7</v>
      </c>
      <c r="AF61" s="106">
        <v>7</v>
      </c>
      <c r="AG61" s="107">
        <f t="shared" si="65"/>
        <v>0</v>
      </c>
      <c r="AH61" s="108">
        <v>200</v>
      </c>
      <c r="AI61" s="109">
        <f t="shared" si="66"/>
        <v>0</v>
      </c>
      <c r="AJ61" s="54">
        <f t="shared" si="67"/>
        <v>4</v>
      </c>
      <c r="AK61" s="106">
        <v>2</v>
      </c>
      <c r="AL61" s="107">
        <f t="shared" si="68"/>
        <v>2</v>
      </c>
      <c r="AM61" s="108">
        <v>200</v>
      </c>
      <c r="AN61" s="109">
        <f t="shared" si="69"/>
        <v>400</v>
      </c>
      <c r="AO61" s="108"/>
      <c r="AP61" s="55">
        <f t="shared" si="49"/>
        <v>400</v>
      </c>
    </row>
    <row r="62" spans="1:42" s="1" customFormat="1" ht="12.75">
      <c r="A62" s="98">
        <f t="shared" si="7"/>
        <v>59</v>
      </c>
      <c r="B62" s="79" t="s">
        <v>446</v>
      </c>
      <c r="C62" s="86" t="s">
        <v>702</v>
      </c>
      <c r="D62" s="111" t="s">
        <v>703</v>
      </c>
      <c r="E62" s="113" t="s">
        <v>704</v>
      </c>
      <c r="F62" s="79" t="s">
        <v>215</v>
      </c>
      <c r="G62" s="79" t="s">
        <v>103</v>
      </c>
      <c r="H62" s="112">
        <v>28</v>
      </c>
      <c r="I62" s="111">
        <v>35000</v>
      </c>
      <c r="J62" s="111">
        <v>35098</v>
      </c>
      <c r="K62" s="79" t="s">
        <v>85</v>
      </c>
      <c r="L62" s="80">
        <v>45890</v>
      </c>
      <c r="M62" s="80" t="s">
        <v>121</v>
      </c>
      <c r="N62" s="82" t="s">
        <v>122</v>
      </c>
      <c r="O62" s="80">
        <v>45881</v>
      </c>
      <c r="P62" s="80">
        <v>45907</v>
      </c>
      <c r="Q62" s="80">
        <v>45892</v>
      </c>
      <c r="R62" s="80">
        <v>45943</v>
      </c>
      <c r="S62" s="80">
        <v>45944</v>
      </c>
      <c r="T62" s="80">
        <v>45948</v>
      </c>
      <c r="U62" s="80">
        <v>45949</v>
      </c>
      <c r="V62" s="80">
        <v>45952</v>
      </c>
      <c r="W62" s="80">
        <v>45952</v>
      </c>
      <c r="X62" s="80">
        <v>45952</v>
      </c>
      <c r="Y62" s="80">
        <v>45963</v>
      </c>
      <c r="Z62" s="80">
        <v>45963</v>
      </c>
      <c r="AA62" s="80">
        <v>45963</v>
      </c>
      <c r="AB62" s="80">
        <v>45963</v>
      </c>
      <c r="AC62" s="80">
        <v>45964</v>
      </c>
      <c r="AD62" s="105" t="s">
        <v>641</v>
      </c>
      <c r="AE62" s="54">
        <f t="shared" si="64"/>
        <v>11</v>
      </c>
      <c r="AF62" s="36">
        <v>7</v>
      </c>
      <c r="AG62" s="51">
        <f t="shared" si="65"/>
        <v>4</v>
      </c>
      <c r="AH62" s="52">
        <v>200</v>
      </c>
      <c r="AI62" s="53">
        <f t="shared" si="66"/>
        <v>800</v>
      </c>
      <c r="AJ62" s="54">
        <f t="shared" si="67"/>
        <v>1</v>
      </c>
      <c r="AK62" s="36">
        <v>2</v>
      </c>
      <c r="AL62" s="51">
        <f t="shared" si="68"/>
        <v>0</v>
      </c>
      <c r="AM62" s="52">
        <v>200</v>
      </c>
      <c r="AN62" s="53">
        <f t="shared" si="69"/>
        <v>0</v>
      </c>
      <c r="AO62" s="52">
        <v>0</v>
      </c>
      <c r="AP62" s="55">
        <f t="shared" ref="AP62:AP75" si="70">AO62+AN62+AI62</f>
        <v>800</v>
      </c>
    </row>
    <row r="63" spans="1:42" s="68" customFormat="1" ht="15" customHeight="1">
      <c r="A63" s="98">
        <f t="shared" si="7"/>
        <v>60</v>
      </c>
      <c r="B63" s="79" t="s">
        <v>446</v>
      </c>
      <c r="C63" s="78" t="s">
        <v>705</v>
      </c>
      <c r="D63" s="78" t="s">
        <v>706</v>
      </c>
      <c r="E63" s="78" t="s">
        <v>707</v>
      </c>
      <c r="F63" s="79" t="s">
        <v>215</v>
      </c>
      <c r="G63" s="79" t="s">
        <v>103</v>
      </c>
      <c r="H63" s="81">
        <v>28</v>
      </c>
      <c r="I63" s="79">
        <v>35000</v>
      </c>
      <c r="J63" s="79">
        <v>35098</v>
      </c>
      <c r="K63" s="79" t="s">
        <v>85</v>
      </c>
      <c r="L63" s="80">
        <v>45890</v>
      </c>
      <c r="M63" s="80" t="s">
        <v>121</v>
      </c>
      <c r="N63" s="82" t="s">
        <v>122</v>
      </c>
      <c r="O63" s="80">
        <v>45881</v>
      </c>
      <c r="P63" s="80">
        <v>45907</v>
      </c>
      <c r="Q63" s="80">
        <v>45892</v>
      </c>
      <c r="R63" s="80">
        <v>45941</v>
      </c>
      <c r="S63" s="80">
        <v>45943</v>
      </c>
      <c r="T63" s="80">
        <v>45945</v>
      </c>
      <c r="U63" s="80">
        <v>45949</v>
      </c>
      <c r="V63" s="80">
        <v>45952</v>
      </c>
      <c r="W63" s="80">
        <v>45952</v>
      </c>
      <c r="X63" s="80">
        <v>45952</v>
      </c>
      <c r="Y63" s="80">
        <v>45959</v>
      </c>
      <c r="Z63" s="80">
        <v>45960</v>
      </c>
      <c r="AA63" s="80">
        <v>45960</v>
      </c>
      <c r="AB63" s="80">
        <v>45960</v>
      </c>
      <c r="AC63" s="80">
        <v>45964</v>
      </c>
      <c r="AD63" s="105" t="s">
        <v>641</v>
      </c>
      <c r="AE63" s="54">
        <f t="shared" si="64"/>
        <v>7</v>
      </c>
      <c r="AF63" s="36">
        <v>7</v>
      </c>
      <c r="AG63" s="51">
        <f t="shared" si="65"/>
        <v>0</v>
      </c>
      <c r="AH63" s="52">
        <v>200</v>
      </c>
      <c r="AI63" s="53">
        <f t="shared" si="66"/>
        <v>0</v>
      </c>
      <c r="AJ63" s="54">
        <f t="shared" si="67"/>
        <v>4</v>
      </c>
      <c r="AK63" s="36">
        <v>2</v>
      </c>
      <c r="AL63" s="51">
        <f t="shared" si="68"/>
        <v>2</v>
      </c>
      <c r="AM63" s="52">
        <v>200</v>
      </c>
      <c r="AN63" s="53">
        <f t="shared" si="69"/>
        <v>400</v>
      </c>
      <c r="AO63" s="52"/>
      <c r="AP63" s="55">
        <f t="shared" si="70"/>
        <v>400</v>
      </c>
    </row>
    <row r="64" spans="1:42" s="68" customFormat="1" ht="15" customHeight="1">
      <c r="A64" s="98">
        <f t="shared" si="7"/>
        <v>61</v>
      </c>
      <c r="B64" s="79" t="s">
        <v>446</v>
      </c>
      <c r="C64" s="100" t="s">
        <v>708</v>
      </c>
      <c r="D64" s="100" t="s">
        <v>709</v>
      </c>
      <c r="E64" s="100" t="s">
        <v>710</v>
      </c>
      <c r="F64" s="79" t="s">
        <v>215</v>
      </c>
      <c r="G64" s="79" t="s">
        <v>103</v>
      </c>
      <c r="H64" s="81">
        <v>26</v>
      </c>
      <c r="I64" s="79">
        <v>32500</v>
      </c>
      <c r="J64" s="79">
        <v>32591</v>
      </c>
      <c r="K64" s="79" t="s">
        <v>85</v>
      </c>
      <c r="L64" s="80">
        <v>45890</v>
      </c>
      <c r="M64" s="80" t="s">
        <v>121</v>
      </c>
      <c r="N64" s="82" t="s">
        <v>122</v>
      </c>
      <c r="O64" s="80">
        <v>45881</v>
      </c>
      <c r="P64" s="80">
        <v>45907</v>
      </c>
      <c r="Q64" s="80">
        <v>45892</v>
      </c>
      <c r="R64" s="80">
        <v>45941</v>
      </c>
      <c r="S64" s="80">
        <v>45943</v>
      </c>
      <c r="T64" s="80">
        <v>45950</v>
      </c>
      <c r="U64" s="80">
        <v>45952</v>
      </c>
      <c r="V64" s="80">
        <v>45957</v>
      </c>
      <c r="W64" s="80">
        <v>45957</v>
      </c>
      <c r="X64" s="80">
        <v>45957</v>
      </c>
      <c r="Y64" s="80">
        <v>45959</v>
      </c>
      <c r="Z64" s="80">
        <v>45960</v>
      </c>
      <c r="AA64" s="80">
        <v>45960</v>
      </c>
      <c r="AB64" s="80">
        <v>45960</v>
      </c>
      <c r="AC64" s="80">
        <v>45964</v>
      </c>
      <c r="AD64" s="105" t="s">
        <v>641</v>
      </c>
      <c r="AE64" s="54">
        <f t="shared" si="64"/>
        <v>2</v>
      </c>
      <c r="AF64" s="106">
        <v>7</v>
      </c>
      <c r="AG64" s="107">
        <f t="shared" si="65"/>
        <v>0</v>
      </c>
      <c r="AH64" s="108">
        <v>200</v>
      </c>
      <c r="AI64" s="109">
        <f t="shared" si="66"/>
        <v>0</v>
      </c>
      <c r="AJ64" s="54">
        <f t="shared" si="67"/>
        <v>4</v>
      </c>
      <c r="AK64" s="106">
        <v>2</v>
      </c>
      <c r="AL64" s="107">
        <f t="shared" si="68"/>
        <v>2</v>
      </c>
      <c r="AM64" s="108">
        <v>200</v>
      </c>
      <c r="AN64" s="109">
        <f t="shared" si="69"/>
        <v>400</v>
      </c>
      <c r="AO64" s="108"/>
      <c r="AP64" s="110">
        <f t="shared" si="70"/>
        <v>400</v>
      </c>
    </row>
    <row r="65" spans="1:42" s="68" customFormat="1" ht="14.25" customHeight="1">
      <c r="A65" s="98">
        <f t="shared" si="7"/>
        <v>62</v>
      </c>
      <c r="B65" s="79" t="s">
        <v>446</v>
      </c>
      <c r="C65" s="86" t="s">
        <v>498</v>
      </c>
      <c r="D65" s="86" t="s">
        <v>499</v>
      </c>
      <c r="E65" s="78" t="s">
        <v>500</v>
      </c>
      <c r="F65" s="79" t="s">
        <v>215</v>
      </c>
      <c r="G65" s="79" t="s">
        <v>103</v>
      </c>
      <c r="H65" s="81">
        <v>29</v>
      </c>
      <c r="I65" s="79">
        <v>36250</v>
      </c>
      <c r="J65" s="79">
        <v>36352</v>
      </c>
      <c r="K65" s="79" t="s">
        <v>85</v>
      </c>
      <c r="L65" s="80">
        <v>45890</v>
      </c>
      <c r="M65" s="80" t="s">
        <v>121</v>
      </c>
      <c r="N65" s="82" t="s">
        <v>122</v>
      </c>
      <c r="O65" s="80">
        <v>45881</v>
      </c>
      <c r="P65" s="80">
        <v>45907</v>
      </c>
      <c r="Q65" s="80">
        <v>45892</v>
      </c>
      <c r="R65" s="80">
        <v>45940</v>
      </c>
      <c r="S65" s="80">
        <v>45941</v>
      </c>
      <c r="T65" s="80">
        <v>45946</v>
      </c>
      <c r="U65" s="80">
        <v>45949</v>
      </c>
      <c r="V65" s="80">
        <v>45953</v>
      </c>
      <c r="W65" s="80">
        <v>45953</v>
      </c>
      <c r="X65" s="80">
        <v>45953</v>
      </c>
      <c r="Y65" s="80">
        <v>45959</v>
      </c>
      <c r="Z65" s="80">
        <v>45960</v>
      </c>
      <c r="AA65" s="80">
        <v>45960</v>
      </c>
      <c r="AB65" s="80">
        <v>45960</v>
      </c>
      <c r="AC65" s="80">
        <v>45962</v>
      </c>
      <c r="AD65" s="105" t="s">
        <v>641</v>
      </c>
      <c r="AE65" s="54">
        <f t="shared" si="64"/>
        <v>6</v>
      </c>
      <c r="AF65" s="106">
        <v>7</v>
      </c>
      <c r="AG65" s="107">
        <f t="shared" si="65"/>
        <v>0</v>
      </c>
      <c r="AH65" s="108">
        <v>200</v>
      </c>
      <c r="AI65" s="109">
        <f t="shared" si="66"/>
        <v>0</v>
      </c>
      <c r="AJ65" s="54">
        <f t="shared" si="67"/>
        <v>2</v>
      </c>
      <c r="AK65" s="106">
        <v>2</v>
      </c>
      <c r="AL65" s="107">
        <f t="shared" si="68"/>
        <v>0</v>
      </c>
      <c r="AM65" s="108">
        <v>200</v>
      </c>
      <c r="AN65" s="109">
        <f t="shared" si="69"/>
        <v>0</v>
      </c>
      <c r="AO65" s="108">
        <v>100</v>
      </c>
      <c r="AP65" s="110">
        <f t="shared" si="70"/>
        <v>100</v>
      </c>
    </row>
    <row r="66" spans="1:42" s="68" customFormat="1" ht="13.5" customHeight="1">
      <c r="A66" s="98">
        <f t="shared" si="7"/>
        <v>63</v>
      </c>
      <c r="B66" s="79" t="s">
        <v>446</v>
      </c>
      <c r="C66" s="86" t="s">
        <v>624</v>
      </c>
      <c r="D66" s="86" t="s">
        <v>625</v>
      </c>
      <c r="E66" s="80" t="s">
        <v>626</v>
      </c>
      <c r="F66" s="79" t="s">
        <v>215</v>
      </c>
      <c r="G66" s="79" t="s">
        <v>103</v>
      </c>
      <c r="H66" s="81">
        <v>28</v>
      </c>
      <c r="I66" s="79">
        <v>35000</v>
      </c>
      <c r="J66" s="79">
        <v>35098</v>
      </c>
      <c r="K66" s="79" t="s">
        <v>85</v>
      </c>
      <c r="L66" s="80">
        <v>45890</v>
      </c>
      <c r="M66" s="80" t="s">
        <v>121</v>
      </c>
      <c r="N66" s="82" t="s">
        <v>122</v>
      </c>
      <c r="O66" s="80">
        <v>45881</v>
      </c>
      <c r="P66" s="80">
        <v>45907</v>
      </c>
      <c r="Q66" s="80">
        <v>45892</v>
      </c>
      <c r="R66" s="80">
        <v>45940</v>
      </c>
      <c r="S66" s="80">
        <v>45941</v>
      </c>
      <c r="T66" s="80">
        <v>45943</v>
      </c>
      <c r="U66" s="80">
        <v>45950</v>
      </c>
      <c r="V66" s="80">
        <v>45953</v>
      </c>
      <c r="W66" s="80">
        <v>45953</v>
      </c>
      <c r="X66" s="80">
        <v>45953</v>
      </c>
      <c r="Y66" s="80">
        <v>45959</v>
      </c>
      <c r="Z66" s="80">
        <v>45960</v>
      </c>
      <c r="AA66" s="80">
        <v>45960</v>
      </c>
      <c r="AB66" s="80">
        <v>45961</v>
      </c>
      <c r="AC66" s="80">
        <v>45962</v>
      </c>
      <c r="AD66" s="105" t="s">
        <v>641</v>
      </c>
      <c r="AE66" s="54">
        <f t="shared" si="64"/>
        <v>6</v>
      </c>
      <c r="AF66" s="36">
        <v>7</v>
      </c>
      <c r="AG66" s="51">
        <f t="shared" si="65"/>
        <v>0</v>
      </c>
      <c r="AH66" s="52">
        <v>200</v>
      </c>
      <c r="AI66" s="109">
        <f t="shared" si="66"/>
        <v>0</v>
      </c>
      <c r="AJ66" s="54">
        <f t="shared" si="67"/>
        <v>1</v>
      </c>
      <c r="AK66" s="106">
        <v>2</v>
      </c>
      <c r="AL66" s="107">
        <f t="shared" si="68"/>
        <v>0</v>
      </c>
      <c r="AM66" s="108">
        <v>200</v>
      </c>
      <c r="AN66" s="109">
        <f t="shared" si="69"/>
        <v>0</v>
      </c>
      <c r="AO66" s="108"/>
      <c r="AP66" s="110">
        <f t="shared" si="70"/>
        <v>0</v>
      </c>
    </row>
    <row r="67" spans="1:42" s="68" customFormat="1" ht="14.25" customHeight="1">
      <c r="A67" s="98">
        <f t="shared" si="7"/>
        <v>64</v>
      </c>
      <c r="B67" s="79" t="s">
        <v>446</v>
      </c>
      <c r="C67" s="86" t="s">
        <v>711</v>
      </c>
      <c r="D67" s="86" t="s">
        <v>712</v>
      </c>
      <c r="E67" s="79" t="s">
        <v>713</v>
      </c>
      <c r="F67" s="79" t="s">
        <v>215</v>
      </c>
      <c r="G67" s="79" t="s">
        <v>103</v>
      </c>
      <c r="H67" s="81">
        <v>28</v>
      </c>
      <c r="I67" s="79">
        <v>35000</v>
      </c>
      <c r="J67" s="79">
        <v>35098</v>
      </c>
      <c r="K67" s="79" t="s">
        <v>85</v>
      </c>
      <c r="L67" s="80">
        <v>45890</v>
      </c>
      <c r="M67" s="80" t="s">
        <v>121</v>
      </c>
      <c r="N67" s="82" t="s">
        <v>122</v>
      </c>
      <c r="O67" s="80">
        <v>45881</v>
      </c>
      <c r="P67" s="80">
        <v>45907</v>
      </c>
      <c r="Q67" s="80">
        <v>45892</v>
      </c>
      <c r="R67" s="80">
        <v>45940</v>
      </c>
      <c r="S67" s="80">
        <v>45943</v>
      </c>
      <c r="T67" s="80">
        <v>45945</v>
      </c>
      <c r="U67" s="80">
        <v>45947</v>
      </c>
      <c r="V67" s="80">
        <v>45951</v>
      </c>
      <c r="W67" s="80">
        <v>45951</v>
      </c>
      <c r="X67" s="80">
        <v>45951</v>
      </c>
      <c r="Y67" s="80">
        <v>45960</v>
      </c>
      <c r="Z67" s="80">
        <v>45960</v>
      </c>
      <c r="AA67" s="80">
        <v>45960</v>
      </c>
      <c r="AB67" s="80">
        <v>45960</v>
      </c>
      <c r="AC67" s="80">
        <v>45962</v>
      </c>
      <c r="AD67" s="105" t="s">
        <v>641</v>
      </c>
      <c r="AE67" s="54">
        <f t="shared" si="64"/>
        <v>9</v>
      </c>
      <c r="AF67" s="36">
        <v>7</v>
      </c>
      <c r="AG67" s="51">
        <f t="shared" si="65"/>
        <v>2</v>
      </c>
      <c r="AH67" s="52">
        <v>200</v>
      </c>
      <c r="AI67" s="53">
        <f t="shared" si="66"/>
        <v>400</v>
      </c>
      <c r="AJ67" s="54">
        <f t="shared" si="67"/>
        <v>2</v>
      </c>
      <c r="AK67" s="36">
        <v>2</v>
      </c>
      <c r="AL67" s="51">
        <f t="shared" si="68"/>
        <v>0</v>
      </c>
      <c r="AM67" s="52">
        <v>200</v>
      </c>
      <c r="AN67" s="53">
        <f t="shared" si="69"/>
        <v>0</v>
      </c>
      <c r="AO67" s="52">
        <v>0</v>
      </c>
      <c r="AP67" s="55">
        <f t="shared" si="70"/>
        <v>400</v>
      </c>
    </row>
    <row r="68" spans="1:42" s="68" customFormat="1" ht="14.25" customHeight="1">
      <c r="A68" s="98">
        <f t="shared" si="7"/>
        <v>65</v>
      </c>
      <c r="B68" s="79" t="s">
        <v>446</v>
      </c>
      <c r="C68" s="86" t="s">
        <v>714</v>
      </c>
      <c r="D68" s="86" t="s">
        <v>715</v>
      </c>
      <c r="E68" s="86" t="s">
        <v>716</v>
      </c>
      <c r="F68" s="79" t="s">
        <v>215</v>
      </c>
      <c r="G68" s="79" t="s">
        <v>103</v>
      </c>
      <c r="H68" s="81">
        <v>29</v>
      </c>
      <c r="I68" s="79">
        <v>36250</v>
      </c>
      <c r="J68" s="79">
        <v>36352</v>
      </c>
      <c r="K68" s="79" t="s">
        <v>85</v>
      </c>
      <c r="L68" s="80">
        <v>45890</v>
      </c>
      <c r="M68" s="80" t="s">
        <v>121</v>
      </c>
      <c r="N68" s="82" t="s">
        <v>122</v>
      </c>
      <c r="O68" s="80">
        <v>45881</v>
      </c>
      <c r="P68" s="80">
        <v>45907</v>
      </c>
      <c r="Q68" s="80">
        <v>45892</v>
      </c>
      <c r="R68" s="80">
        <v>45941</v>
      </c>
      <c r="S68" s="80">
        <v>45942</v>
      </c>
      <c r="T68" s="80">
        <v>45945</v>
      </c>
      <c r="U68" s="80">
        <v>45947</v>
      </c>
      <c r="V68" s="80">
        <v>45951</v>
      </c>
      <c r="W68" s="80">
        <v>45951</v>
      </c>
      <c r="X68" s="80">
        <v>45951</v>
      </c>
      <c r="Y68" s="80">
        <v>45959</v>
      </c>
      <c r="Z68" s="80">
        <v>45960</v>
      </c>
      <c r="AA68" s="80">
        <v>45960</v>
      </c>
      <c r="AB68" s="80">
        <v>45960</v>
      </c>
      <c r="AC68" s="80">
        <v>45962</v>
      </c>
      <c r="AD68" s="105" t="s">
        <v>641</v>
      </c>
      <c r="AE68" s="54">
        <f t="shared" si="64"/>
        <v>8</v>
      </c>
      <c r="AF68" s="36">
        <v>7</v>
      </c>
      <c r="AG68" s="51">
        <f t="shared" si="65"/>
        <v>1</v>
      </c>
      <c r="AH68" s="52">
        <v>200</v>
      </c>
      <c r="AI68" s="53">
        <f t="shared" si="66"/>
        <v>200</v>
      </c>
      <c r="AJ68" s="54">
        <f t="shared" si="67"/>
        <v>2</v>
      </c>
      <c r="AK68" s="36">
        <v>2</v>
      </c>
      <c r="AL68" s="51">
        <f t="shared" si="68"/>
        <v>0</v>
      </c>
      <c r="AM68" s="52">
        <v>200</v>
      </c>
      <c r="AN68" s="53">
        <f t="shared" si="69"/>
        <v>0</v>
      </c>
      <c r="AO68" s="52">
        <v>25</v>
      </c>
      <c r="AP68" s="55">
        <f t="shared" si="70"/>
        <v>225</v>
      </c>
    </row>
    <row r="69" spans="1:42" s="68" customFormat="1" ht="14.25" customHeight="1">
      <c r="A69" s="98">
        <f t="shared" si="7"/>
        <v>66</v>
      </c>
      <c r="B69" s="79" t="s">
        <v>446</v>
      </c>
      <c r="C69" s="86" t="s">
        <v>615</v>
      </c>
      <c r="D69" s="86" t="s">
        <v>616</v>
      </c>
      <c r="E69" s="86" t="s">
        <v>617</v>
      </c>
      <c r="F69" s="79" t="s">
        <v>215</v>
      </c>
      <c r="G69" s="79" t="s">
        <v>103</v>
      </c>
      <c r="H69" s="81">
        <v>28</v>
      </c>
      <c r="I69" s="79">
        <v>35000</v>
      </c>
      <c r="J69" s="79">
        <v>35098</v>
      </c>
      <c r="K69" s="79" t="s">
        <v>85</v>
      </c>
      <c r="L69" s="80">
        <v>45890</v>
      </c>
      <c r="M69" s="80" t="s">
        <v>121</v>
      </c>
      <c r="N69" s="82" t="s">
        <v>122</v>
      </c>
      <c r="O69" s="80">
        <v>45881</v>
      </c>
      <c r="P69" s="80">
        <v>45907</v>
      </c>
      <c r="Q69" s="80">
        <v>45892</v>
      </c>
      <c r="R69" s="80">
        <v>45941</v>
      </c>
      <c r="S69" s="80">
        <v>45943</v>
      </c>
      <c r="T69" s="80">
        <v>45945</v>
      </c>
      <c r="U69" s="80">
        <v>45949</v>
      </c>
      <c r="V69" s="80">
        <v>45952</v>
      </c>
      <c r="W69" s="80">
        <v>45952</v>
      </c>
      <c r="X69" s="80">
        <v>45952</v>
      </c>
      <c r="Y69" s="80">
        <v>45959</v>
      </c>
      <c r="Z69" s="80">
        <v>45960</v>
      </c>
      <c r="AA69" s="80">
        <v>45960</v>
      </c>
      <c r="AB69" s="80">
        <v>45960</v>
      </c>
      <c r="AC69" s="80">
        <v>45962</v>
      </c>
      <c r="AD69" s="105" t="s">
        <v>641</v>
      </c>
      <c r="AE69" s="54">
        <f t="shared" si="64"/>
        <v>7</v>
      </c>
      <c r="AF69" s="36">
        <v>7</v>
      </c>
      <c r="AG69" s="51">
        <f t="shared" si="65"/>
        <v>0</v>
      </c>
      <c r="AH69" s="52">
        <v>200</v>
      </c>
      <c r="AI69" s="53">
        <f t="shared" si="66"/>
        <v>0</v>
      </c>
      <c r="AJ69" s="54">
        <f t="shared" si="67"/>
        <v>2</v>
      </c>
      <c r="AK69" s="36">
        <v>2</v>
      </c>
      <c r="AL69" s="51">
        <f t="shared" si="68"/>
        <v>0</v>
      </c>
      <c r="AM69" s="52">
        <v>200</v>
      </c>
      <c r="AN69" s="53">
        <f t="shared" si="69"/>
        <v>0</v>
      </c>
      <c r="AO69" s="52"/>
      <c r="AP69" s="55">
        <f t="shared" si="70"/>
        <v>0</v>
      </c>
    </row>
    <row r="70" spans="1:42" s="68" customFormat="1" ht="15" customHeight="1">
      <c r="A70" s="98">
        <f t="shared" si="7"/>
        <v>67</v>
      </c>
      <c r="B70" s="79" t="s">
        <v>446</v>
      </c>
      <c r="C70" s="86" t="s">
        <v>717</v>
      </c>
      <c r="D70" s="86" t="s">
        <v>718</v>
      </c>
      <c r="E70" s="86" t="s">
        <v>719</v>
      </c>
      <c r="F70" s="79" t="s">
        <v>215</v>
      </c>
      <c r="G70" s="79" t="s">
        <v>103</v>
      </c>
      <c r="H70" s="81">
        <v>28</v>
      </c>
      <c r="I70" s="79">
        <v>35000</v>
      </c>
      <c r="J70" s="79">
        <v>35098</v>
      </c>
      <c r="K70" s="79" t="s">
        <v>85</v>
      </c>
      <c r="L70" s="80">
        <v>45890</v>
      </c>
      <c r="M70" s="80" t="s">
        <v>121</v>
      </c>
      <c r="N70" s="82" t="s">
        <v>122</v>
      </c>
      <c r="O70" s="80">
        <v>45881</v>
      </c>
      <c r="P70" s="80">
        <v>45907</v>
      </c>
      <c r="Q70" s="80">
        <v>45892</v>
      </c>
      <c r="R70" s="80">
        <v>45941</v>
      </c>
      <c r="S70" s="80">
        <v>45943</v>
      </c>
      <c r="T70" s="80">
        <v>45945</v>
      </c>
      <c r="U70" s="80">
        <v>45952</v>
      </c>
      <c r="V70" s="80">
        <v>45955</v>
      </c>
      <c r="W70" s="80">
        <v>45955</v>
      </c>
      <c r="X70" s="80">
        <v>45955</v>
      </c>
      <c r="Y70" s="80">
        <v>45959</v>
      </c>
      <c r="Z70" s="80">
        <v>45960</v>
      </c>
      <c r="AA70" s="80">
        <v>45960</v>
      </c>
      <c r="AB70" s="80">
        <v>45960</v>
      </c>
      <c r="AC70" s="80">
        <v>45962</v>
      </c>
      <c r="AD70" s="105" t="s">
        <v>641</v>
      </c>
      <c r="AE70" s="54">
        <f t="shared" si="64"/>
        <v>4</v>
      </c>
      <c r="AF70" s="106">
        <v>7</v>
      </c>
      <c r="AG70" s="107">
        <f t="shared" si="65"/>
        <v>0</v>
      </c>
      <c r="AH70" s="108">
        <v>200</v>
      </c>
      <c r="AI70" s="109">
        <f t="shared" si="66"/>
        <v>0</v>
      </c>
      <c r="AJ70" s="54">
        <f t="shared" si="67"/>
        <v>2</v>
      </c>
      <c r="AK70" s="106">
        <v>2</v>
      </c>
      <c r="AL70" s="107">
        <f t="shared" si="68"/>
        <v>0</v>
      </c>
      <c r="AM70" s="108">
        <v>200</v>
      </c>
      <c r="AN70" s="109">
        <f t="shared" si="69"/>
        <v>0</v>
      </c>
      <c r="AO70" s="108">
        <v>50</v>
      </c>
      <c r="AP70" s="110">
        <f t="shared" si="70"/>
        <v>50</v>
      </c>
    </row>
    <row r="71" spans="1:42" s="68" customFormat="1" ht="15" customHeight="1">
      <c r="A71" s="98">
        <f t="shared" si="7"/>
        <v>68</v>
      </c>
      <c r="B71" s="79" t="s">
        <v>446</v>
      </c>
      <c r="C71" s="86" t="s">
        <v>720</v>
      </c>
      <c r="D71" s="86" t="s">
        <v>721</v>
      </c>
      <c r="E71" s="79" t="s">
        <v>722</v>
      </c>
      <c r="F71" s="79" t="s">
        <v>215</v>
      </c>
      <c r="G71" s="79" t="s">
        <v>103</v>
      </c>
      <c r="H71" s="81">
        <v>29</v>
      </c>
      <c r="I71" s="79">
        <v>35000</v>
      </c>
      <c r="J71" s="79">
        <v>35098</v>
      </c>
      <c r="K71" s="79" t="s">
        <v>85</v>
      </c>
      <c r="L71" s="80">
        <v>45890</v>
      </c>
      <c r="M71" s="80" t="s">
        <v>121</v>
      </c>
      <c r="N71" s="82" t="s">
        <v>122</v>
      </c>
      <c r="O71" s="80">
        <v>45881</v>
      </c>
      <c r="P71" s="80">
        <v>45907</v>
      </c>
      <c r="Q71" s="80">
        <v>45892</v>
      </c>
      <c r="R71" s="80">
        <v>45940</v>
      </c>
      <c r="S71" s="80">
        <v>45941</v>
      </c>
      <c r="T71" s="80">
        <v>45943</v>
      </c>
      <c r="U71" s="80">
        <v>45949</v>
      </c>
      <c r="V71" s="80">
        <v>45951</v>
      </c>
      <c r="W71" s="80">
        <v>45951</v>
      </c>
      <c r="X71" s="80">
        <v>45951</v>
      </c>
      <c r="Y71" s="80">
        <v>45959</v>
      </c>
      <c r="Z71" s="80">
        <v>45960</v>
      </c>
      <c r="AA71" s="80">
        <v>45960</v>
      </c>
      <c r="AB71" s="80">
        <v>45960</v>
      </c>
      <c r="AC71" s="80">
        <v>45962</v>
      </c>
      <c r="AD71" s="105" t="s">
        <v>641</v>
      </c>
      <c r="AE71" s="54">
        <f t="shared" si="64"/>
        <v>8</v>
      </c>
      <c r="AF71" s="36">
        <v>7</v>
      </c>
      <c r="AG71" s="51">
        <f t="shared" si="65"/>
        <v>1</v>
      </c>
      <c r="AH71" s="52">
        <v>200</v>
      </c>
      <c r="AI71" s="53">
        <f t="shared" si="66"/>
        <v>200</v>
      </c>
      <c r="AJ71" s="54">
        <f t="shared" si="67"/>
        <v>2</v>
      </c>
      <c r="AK71" s="36">
        <v>2</v>
      </c>
      <c r="AL71" s="51">
        <f t="shared" si="68"/>
        <v>0</v>
      </c>
      <c r="AM71" s="52">
        <v>200</v>
      </c>
      <c r="AN71" s="53">
        <f t="shared" si="69"/>
        <v>0</v>
      </c>
      <c r="AO71" s="52">
        <v>0</v>
      </c>
      <c r="AP71" s="55">
        <f t="shared" si="70"/>
        <v>200</v>
      </c>
    </row>
    <row r="72" spans="1:42" s="68" customFormat="1" ht="15" customHeight="1">
      <c r="A72" s="98">
        <f t="shared" si="7"/>
        <v>69</v>
      </c>
      <c r="B72" s="79" t="s">
        <v>446</v>
      </c>
      <c r="C72" s="86" t="s">
        <v>723</v>
      </c>
      <c r="D72" s="86" t="s">
        <v>724</v>
      </c>
      <c r="E72" s="86" t="s">
        <v>725</v>
      </c>
      <c r="F72" s="79" t="s">
        <v>215</v>
      </c>
      <c r="G72" s="79" t="s">
        <v>103</v>
      </c>
      <c r="H72" s="81">
        <v>29</v>
      </c>
      <c r="I72" s="79">
        <v>36250</v>
      </c>
      <c r="J72" s="79">
        <v>36352</v>
      </c>
      <c r="K72" s="79" t="s">
        <v>85</v>
      </c>
      <c r="L72" s="80">
        <v>45890</v>
      </c>
      <c r="M72" s="80" t="s">
        <v>121</v>
      </c>
      <c r="N72" s="82" t="s">
        <v>122</v>
      </c>
      <c r="O72" s="80">
        <v>45881</v>
      </c>
      <c r="P72" s="80">
        <v>45907</v>
      </c>
      <c r="Q72" s="80">
        <v>45892</v>
      </c>
      <c r="R72" s="80">
        <v>45940</v>
      </c>
      <c r="S72" s="80">
        <v>45941</v>
      </c>
      <c r="T72" s="80">
        <v>45946</v>
      </c>
      <c r="U72" s="80">
        <v>45950</v>
      </c>
      <c r="V72" s="80">
        <v>45953</v>
      </c>
      <c r="W72" s="80">
        <v>45953</v>
      </c>
      <c r="X72" s="80">
        <v>45953</v>
      </c>
      <c r="Y72" s="80">
        <v>45959</v>
      </c>
      <c r="Z72" s="80">
        <v>45960</v>
      </c>
      <c r="AA72" s="80">
        <v>45960</v>
      </c>
      <c r="AB72" s="80">
        <v>45960</v>
      </c>
      <c r="AC72" s="80">
        <v>45961</v>
      </c>
      <c r="AD72" s="105" t="s">
        <v>641</v>
      </c>
      <c r="AE72" s="54">
        <f t="shared" si="64"/>
        <v>6</v>
      </c>
      <c r="AF72" s="106">
        <v>7</v>
      </c>
      <c r="AG72" s="107">
        <f t="shared" si="65"/>
        <v>0</v>
      </c>
      <c r="AH72" s="108">
        <v>200</v>
      </c>
      <c r="AI72" s="109">
        <f t="shared" si="66"/>
        <v>0</v>
      </c>
      <c r="AJ72" s="54">
        <f t="shared" si="67"/>
        <v>1</v>
      </c>
      <c r="AK72" s="106">
        <v>2</v>
      </c>
      <c r="AL72" s="107">
        <f t="shared" si="68"/>
        <v>0</v>
      </c>
      <c r="AM72" s="108">
        <v>200</v>
      </c>
      <c r="AN72" s="109">
        <f t="shared" si="69"/>
        <v>0</v>
      </c>
      <c r="AO72" s="108">
        <v>150</v>
      </c>
      <c r="AP72" s="110">
        <f t="shared" si="70"/>
        <v>150</v>
      </c>
    </row>
    <row r="73" spans="1:42" s="68" customFormat="1" ht="15" customHeight="1">
      <c r="A73" s="98">
        <f t="shared" ref="A73:A86" si="71">ROW()-3</f>
        <v>70</v>
      </c>
      <c r="B73" s="79" t="s">
        <v>446</v>
      </c>
      <c r="C73" s="86" t="s">
        <v>516</v>
      </c>
      <c r="D73" s="86" t="s">
        <v>517</v>
      </c>
      <c r="E73" s="78" t="s">
        <v>518</v>
      </c>
      <c r="F73" s="79" t="s">
        <v>215</v>
      </c>
      <c r="G73" s="79" t="s">
        <v>103</v>
      </c>
      <c r="H73" s="81">
        <v>28</v>
      </c>
      <c r="I73" s="79">
        <v>35000</v>
      </c>
      <c r="J73" s="79">
        <v>35098</v>
      </c>
      <c r="K73" s="79" t="s">
        <v>85</v>
      </c>
      <c r="L73" s="80">
        <v>45890</v>
      </c>
      <c r="M73" s="80" t="s">
        <v>121</v>
      </c>
      <c r="N73" s="82" t="s">
        <v>122</v>
      </c>
      <c r="O73" s="80">
        <v>45881</v>
      </c>
      <c r="P73" s="80">
        <v>45907</v>
      </c>
      <c r="Q73" s="80">
        <v>45892</v>
      </c>
      <c r="R73" s="80">
        <v>45940</v>
      </c>
      <c r="S73" s="80">
        <v>45941</v>
      </c>
      <c r="T73" s="80">
        <v>45946</v>
      </c>
      <c r="U73" s="80">
        <v>45949</v>
      </c>
      <c r="V73" s="80">
        <v>45951</v>
      </c>
      <c r="W73" s="80">
        <v>45951</v>
      </c>
      <c r="X73" s="80">
        <v>45951</v>
      </c>
      <c r="Y73" s="80">
        <v>45959</v>
      </c>
      <c r="Z73" s="80">
        <v>45959</v>
      </c>
      <c r="AA73" s="80">
        <v>45960</v>
      </c>
      <c r="AB73" s="80">
        <v>45960</v>
      </c>
      <c r="AC73" s="80">
        <v>45961</v>
      </c>
      <c r="AD73" s="105" t="s">
        <v>641</v>
      </c>
      <c r="AE73" s="54">
        <f t="shared" si="64"/>
        <v>8</v>
      </c>
      <c r="AF73" s="36">
        <v>7</v>
      </c>
      <c r="AG73" s="51">
        <f t="shared" si="65"/>
        <v>1</v>
      </c>
      <c r="AH73" s="52">
        <v>200</v>
      </c>
      <c r="AI73" s="53">
        <f t="shared" si="66"/>
        <v>200</v>
      </c>
      <c r="AJ73" s="54">
        <f t="shared" si="67"/>
        <v>1</v>
      </c>
      <c r="AK73" s="36">
        <v>2</v>
      </c>
      <c r="AL73" s="51">
        <f t="shared" si="68"/>
        <v>0</v>
      </c>
      <c r="AM73" s="52">
        <v>200</v>
      </c>
      <c r="AN73" s="53">
        <f t="shared" si="69"/>
        <v>0</v>
      </c>
      <c r="AO73" s="52">
        <v>25</v>
      </c>
      <c r="AP73" s="55">
        <f t="shared" si="70"/>
        <v>225</v>
      </c>
    </row>
    <row r="74" spans="1:42" s="68" customFormat="1" ht="14.25" customHeight="1">
      <c r="A74" s="98">
        <f t="shared" si="71"/>
        <v>71</v>
      </c>
      <c r="B74" s="79" t="s">
        <v>446</v>
      </c>
      <c r="C74" s="86" t="s">
        <v>726</v>
      </c>
      <c r="D74" s="86" t="s">
        <v>727</v>
      </c>
      <c r="E74" s="89" t="s">
        <v>728</v>
      </c>
      <c r="F74" s="79" t="s">
        <v>215</v>
      </c>
      <c r="G74" s="79" t="s">
        <v>103</v>
      </c>
      <c r="H74" s="81">
        <v>29</v>
      </c>
      <c r="I74" s="79">
        <v>36250</v>
      </c>
      <c r="J74" s="79">
        <v>36352</v>
      </c>
      <c r="K74" s="79" t="s">
        <v>85</v>
      </c>
      <c r="L74" s="80">
        <v>45890</v>
      </c>
      <c r="M74" s="80" t="s">
        <v>121</v>
      </c>
      <c r="N74" s="82" t="s">
        <v>122</v>
      </c>
      <c r="O74" s="80">
        <v>45881</v>
      </c>
      <c r="P74" s="80">
        <v>45907</v>
      </c>
      <c r="Q74" s="80">
        <v>45892</v>
      </c>
      <c r="R74" s="80">
        <v>45940</v>
      </c>
      <c r="S74" s="80">
        <v>45941</v>
      </c>
      <c r="T74" s="80">
        <v>45943</v>
      </c>
      <c r="U74" s="80">
        <v>45945</v>
      </c>
      <c r="V74" s="80">
        <v>45948</v>
      </c>
      <c r="W74" s="80">
        <v>45948</v>
      </c>
      <c r="X74" s="80">
        <v>45948</v>
      </c>
      <c r="Y74" s="80">
        <v>45959</v>
      </c>
      <c r="Z74" s="80">
        <v>45960</v>
      </c>
      <c r="AA74" s="80">
        <v>45960</v>
      </c>
      <c r="AB74" s="80">
        <v>45960</v>
      </c>
      <c r="AC74" s="80">
        <v>45961</v>
      </c>
      <c r="AD74" s="105" t="s">
        <v>641</v>
      </c>
      <c r="AE74" s="54">
        <f t="shared" si="64"/>
        <v>11</v>
      </c>
      <c r="AF74" s="36">
        <v>7</v>
      </c>
      <c r="AG74" s="51">
        <f t="shared" si="65"/>
        <v>4</v>
      </c>
      <c r="AH74" s="52">
        <v>200</v>
      </c>
      <c r="AI74" s="53">
        <f t="shared" si="66"/>
        <v>800</v>
      </c>
      <c r="AJ74" s="54">
        <f t="shared" si="67"/>
        <v>1</v>
      </c>
      <c r="AK74" s="36">
        <v>2</v>
      </c>
      <c r="AL74" s="51">
        <f t="shared" si="68"/>
        <v>0</v>
      </c>
      <c r="AM74" s="52">
        <v>200</v>
      </c>
      <c r="AN74" s="53">
        <f t="shared" si="69"/>
        <v>0</v>
      </c>
      <c r="AO74" s="52">
        <v>150</v>
      </c>
      <c r="AP74" s="55">
        <f t="shared" si="70"/>
        <v>950</v>
      </c>
    </row>
    <row r="75" spans="1:42" s="68" customFormat="1" ht="14.25" customHeight="1">
      <c r="A75" s="98">
        <f t="shared" si="71"/>
        <v>72</v>
      </c>
      <c r="B75" s="79" t="s">
        <v>446</v>
      </c>
      <c r="C75" s="86" t="s">
        <v>124</v>
      </c>
      <c r="D75" s="86" t="s">
        <v>125</v>
      </c>
      <c r="E75" s="78" t="s">
        <v>126</v>
      </c>
      <c r="F75" s="79" t="s">
        <v>215</v>
      </c>
      <c r="G75" s="79" t="s">
        <v>103</v>
      </c>
      <c r="H75" s="81">
        <v>30</v>
      </c>
      <c r="I75" s="79">
        <v>37500</v>
      </c>
      <c r="J75" s="79">
        <v>37605</v>
      </c>
      <c r="K75" s="79" t="s">
        <v>85</v>
      </c>
      <c r="L75" s="80">
        <v>45890</v>
      </c>
      <c r="M75" s="80" t="s">
        <v>121</v>
      </c>
      <c r="N75" s="82" t="s">
        <v>122</v>
      </c>
      <c r="O75" s="80">
        <v>45881</v>
      </c>
      <c r="P75" s="80">
        <v>45907</v>
      </c>
      <c r="Q75" s="80">
        <v>45892</v>
      </c>
      <c r="R75" s="80">
        <v>45940</v>
      </c>
      <c r="S75" s="80">
        <v>45941</v>
      </c>
      <c r="T75" s="80">
        <v>45945</v>
      </c>
      <c r="U75" s="80">
        <v>45948</v>
      </c>
      <c r="V75" s="80">
        <v>45950</v>
      </c>
      <c r="W75" s="80">
        <v>45950</v>
      </c>
      <c r="X75" s="80">
        <v>45950</v>
      </c>
      <c r="Y75" s="80">
        <v>45959</v>
      </c>
      <c r="Z75" s="80">
        <v>45959</v>
      </c>
      <c r="AA75" s="80">
        <v>45960</v>
      </c>
      <c r="AB75" s="80">
        <v>45960</v>
      </c>
      <c r="AC75" s="80">
        <v>45961</v>
      </c>
      <c r="AD75" s="105" t="s">
        <v>641</v>
      </c>
      <c r="AE75" s="54">
        <f t="shared" si="64"/>
        <v>9</v>
      </c>
      <c r="AF75" s="106">
        <v>7</v>
      </c>
      <c r="AG75" s="107">
        <f t="shared" si="65"/>
        <v>2</v>
      </c>
      <c r="AH75" s="108">
        <v>200</v>
      </c>
      <c r="AI75" s="109">
        <f t="shared" si="66"/>
        <v>400</v>
      </c>
      <c r="AJ75" s="54">
        <f t="shared" si="67"/>
        <v>1</v>
      </c>
      <c r="AK75" s="106">
        <v>2</v>
      </c>
      <c r="AL75" s="107">
        <f t="shared" si="68"/>
        <v>0</v>
      </c>
      <c r="AM75" s="108">
        <v>200</v>
      </c>
      <c r="AN75" s="109">
        <f t="shared" si="69"/>
        <v>0</v>
      </c>
      <c r="AO75" s="108">
        <v>50</v>
      </c>
      <c r="AP75" s="110">
        <f t="shared" si="70"/>
        <v>450</v>
      </c>
    </row>
    <row r="76" spans="1:42" s="1" customFormat="1" ht="12.75">
      <c r="A76" s="91">
        <f t="shared" si="71"/>
        <v>73</v>
      </c>
      <c r="B76" s="34" t="s">
        <v>446</v>
      </c>
      <c r="C76" s="35"/>
      <c r="D76" s="93"/>
      <c r="E76" s="36"/>
      <c r="F76" s="34"/>
      <c r="G76" s="34"/>
      <c r="H76" s="36"/>
      <c r="I76" s="93"/>
      <c r="J76" s="93"/>
      <c r="K76" s="34"/>
      <c r="L76" s="39"/>
      <c r="M76" s="39"/>
      <c r="N76" s="40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21"/>
      <c r="Z76" s="121"/>
      <c r="AA76" s="121"/>
      <c r="AB76" s="121"/>
      <c r="AC76" s="121"/>
      <c r="AD76" s="36"/>
      <c r="AE76" s="54">
        <f t="shared" ref="AE76:AE79" si="72">MAX(0,Y76-X76)</f>
        <v>0</v>
      </c>
      <c r="AF76" s="36">
        <v>7</v>
      </c>
      <c r="AG76" s="51">
        <f t="shared" ref="AG76:AG79" si="73">MAX(0,AE76-AF76)</f>
        <v>0</v>
      </c>
      <c r="AH76" s="52">
        <v>200</v>
      </c>
      <c r="AI76" s="53">
        <f t="shared" ref="AI76:AI79" si="74">MAX(0,AG76*AH76)</f>
        <v>0</v>
      </c>
      <c r="AJ76" s="54">
        <f t="shared" ref="AJ76:AJ79" si="75">MAX(0,AC76-AB76)</f>
        <v>0</v>
      </c>
      <c r="AK76" s="36">
        <v>2</v>
      </c>
      <c r="AL76" s="51">
        <f t="shared" ref="AL76:AL79" si="76">MAX(0,AJ76-AK76)</f>
        <v>0</v>
      </c>
      <c r="AM76" s="52">
        <v>200</v>
      </c>
      <c r="AN76" s="53">
        <f t="shared" ref="AN76:AN79" si="77">MAX(0,AL76*AM76)</f>
        <v>0</v>
      </c>
      <c r="AO76" s="52"/>
      <c r="AP76" s="55">
        <f t="shared" ref="AP76:AP79" si="78">AO76+AN76+AI76</f>
        <v>0</v>
      </c>
    </row>
    <row r="77" spans="1:42" s="1" customFormat="1" ht="12.75">
      <c r="A77" s="91">
        <f t="shared" si="71"/>
        <v>74</v>
      </c>
      <c r="B77" s="34" t="s">
        <v>446</v>
      </c>
      <c r="C77" s="35"/>
      <c r="D77" s="93"/>
      <c r="E77" s="36"/>
      <c r="F77" s="34"/>
      <c r="G77" s="34"/>
      <c r="H77" s="36"/>
      <c r="I77" s="93"/>
      <c r="J77" s="93"/>
      <c r="K77" s="34"/>
      <c r="L77" s="39"/>
      <c r="M77" s="39"/>
      <c r="N77" s="40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21"/>
      <c r="Z77" s="121"/>
      <c r="AA77" s="121"/>
      <c r="AB77" s="121"/>
      <c r="AC77" s="121"/>
      <c r="AD77" s="36"/>
      <c r="AE77" s="54">
        <f t="shared" si="72"/>
        <v>0</v>
      </c>
      <c r="AF77" s="36">
        <v>7</v>
      </c>
      <c r="AG77" s="51">
        <f t="shared" si="73"/>
        <v>0</v>
      </c>
      <c r="AH77" s="52">
        <v>200</v>
      </c>
      <c r="AI77" s="53">
        <f t="shared" si="74"/>
        <v>0</v>
      </c>
      <c r="AJ77" s="54">
        <f t="shared" si="75"/>
        <v>0</v>
      </c>
      <c r="AK77" s="36">
        <v>2</v>
      </c>
      <c r="AL77" s="51">
        <f t="shared" si="76"/>
        <v>0</v>
      </c>
      <c r="AM77" s="52">
        <v>200</v>
      </c>
      <c r="AN77" s="53">
        <f t="shared" si="77"/>
        <v>0</v>
      </c>
      <c r="AO77" s="52"/>
      <c r="AP77" s="55">
        <f t="shared" si="78"/>
        <v>0</v>
      </c>
    </row>
    <row r="78" spans="1:42" s="1" customFormat="1" ht="12.75">
      <c r="A78" s="91">
        <f t="shared" si="71"/>
        <v>75</v>
      </c>
      <c r="B78" s="34" t="s">
        <v>446</v>
      </c>
      <c r="C78" s="35"/>
      <c r="D78" s="93"/>
      <c r="E78" s="36"/>
      <c r="F78" s="34"/>
      <c r="G78" s="34"/>
      <c r="H78" s="36"/>
      <c r="I78" s="93"/>
      <c r="J78" s="93"/>
      <c r="K78" s="34"/>
      <c r="L78" s="39"/>
      <c r="M78" s="39"/>
      <c r="N78" s="40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121"/>
      <c r="Z78" s="121"/>
      <c r="AA78" s="121"/>
      <c r="AB78" s="121"/>
      <c r="AC78" s="121"/>
      <c r="AD78" s="36"/>
      <c r="AE78" s="54">
        <f t="shared" si="72"/>
        <v>0</v>
      </c>
      <c r="AF78" s="36">
        <v>7</v>
      </c>
      <c r="AG78" s="51">
        <f t="shared" si="73"/>
        <v>0</v>
      </c>
      <c r="AH78" s="52">
        <v>200</v>
      </c>
      <c r="AI78" s="53">
        <f t="shared" si="74"/>
        <v>0</v>
      </c>
      <c r="AJ78" s="54">
        <f t="shared" si="75"/>
        <v>0</v>
      </c>
      <c r="AK78" s="36">
        <v>2</v>
      </c>
      <c r="AL78" s="51">
        <f t="shared" si="76"/>
        <v>0</v>
      </c>
      <c r="AM78" s="52">
        <v>200</v>
      </c>
      <c r="AN78" s="53">
        <f t="shared" si="77"/>
        <v>0</v>
      </c>
      <c r="AO78" s="52"/>
      <c r="AP78" s="55">
        <f t="shared" si="78"/>
        <v>0</v>
      </c>
    </row>
    <row r="79" spans="1:42" s="1" customFormat="1" ht="12.75">
      <c r="A79" s="91">
        <f t="shared" si="71"/>
        <v>76</v>
      </c>
      <c r="B79" s="34" t="s">
        <v>446</v>
      </c>
      <c r="C79" s="35"/>
      <c r="D79" s="93"/>
      <c r="E79" s="36"/>
      <c r="F79" s="34"/>
      <c r="G79" s="34"/>
      <c r="H79" s="36"/>
      <c r="I79" s="93"/>
      <c r="J79" s="93"/>
      <c r="K79" s="34"/>
      <c r="L79" s="39"/>
      <c r="M79" s="39"/>
      <c r="N79" s="40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121"/>
      <c r="Z79" s="121"/>
      <c r="AA79" s="121"/>
      <c r="AB79" s="121"/>
      <c r="AC79" s="121"/>
      <c r="AD79" s="36"/>
      <c r="AE79" s="54">
        <f t="shared" si="72"/>
        <v>0</v>
      </c>
      <c r="AF79" s="36">
        <v>7</v>
      </c>
      <c r="AG79" s="51">
        <f t="shared" si="73"/>
        <v>0</v>
      </c>
      <c r="AH79" s="52">
        <v>200</v>
      </c>
      <c r="AI79" s="53">
        <f t="shared" si="74"/>
        <v>0</v>
      </c>
      <c r="AJ79" s="54">
        <f t="shared" si="75"/>
        <v>0</v>
      </c>
      <c r="AK79" s="36">
        <v>2</v>
      </c>
      <c r="AL79" s="51">
        <f t="shared" si="76"/>
        <v>0</v>
      </c>
      <c r="AM79" s="52">
        <v>200</v>
      </c>
      <c r="AN79" s="53">
        <f t="shared" si="77"/>
        <v>0</v>
      </c>
      <c r="AO79" s="52"/>
      <c r="AP79" s="55">
        <f t="shared" si="78"/>
        <v>0</v>
      </c>
    </row>
    <row r="80" spans="1:42" s="1" customFormat="1" ht="12.75">
      <c r="A80" s="91">
        <f t="shared" si="71"/>
        <v>77</v>
      </c>
      <c r="B80" s="34" t="s">
        <v>446</v>
      </c>
      <c r="C80" s="35"/>
      <c r="D80" s="93"/>
      <c r="E80" s="36"/>
      <c r="F80" s="34"/>
      <c r="G80" s="34"/>
      <c r="H80" s="36"/>
      <c r="I80" s="93"/>
      <c r="J80" s="93"/>
      <c r="K80" s="34"/>
      <c r="L80" s="39"/>
      <c r="M80" s="39"/>
      <c r="N80" s="40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121"/>
      <c r="Z80" s="121"/>
      <c r="AA80" s="121"/>
      <c r="AB80" s="121"/>
      <c r="AC80" s="121"/>
      <c r="AD80" s="36"/>
      <c r="AE80" s="54">
        <f t="shared" ref="AE80:AE86" si="79">MAX(0,Y80-X80)</f>
        <v>0</v>
      </c>
      <c r="AF80" s="36">
        <v>7</v>
      </c>
      <c r="AG80" s="51">
        <f t="shared" ref="AG80:AG86" si="80">MAX(0,AE80-AF80)</f>
        <v>0</v>
      </c>
      <c r="AH80" s="52">
        <v>200</v>
      </c>
      <c r="AI80" s="53">
        <f t="shared" ref="AI80:AI86" si="81">MAX(0,AG80*AH80)</f>
        <v>0</v>
      </c>
      <c r="AJ80" s="54">
        <f t="shared" ref="AJ80:AJ86" si="82">MAX(0,AC80-AB80)</f>
        <v>0</v>
      </c>
      <c r="AK80" s="36">
        <v>2</v>
      </c>
      <c r="AL80" s="51">
        <f t="shared" ref="AL80:AL86" si="83">MAX(0,AJ80-AK80)</f>
        <v>0</v>
      </c>
      <c r="AM80" s="52">
        <v>200</v>
      </c>
      <c r="AN80" s="53">
        <f t="shared" ref="AN80:AN86" si="84">MAX(0,AL80*AM80)</f>
        <v>0</v>
      </c>
      <c r="AO80" s="52"/>
      <c r="AP80" s="55">
        <f t="shared" ref="AP80:AP86" si="85">AO80+AN80+AI80</f>
        <v>0</v>
      </c>
    </row>
    <row r="81" spans="1:42" s="1" customFormat="1" ht="12.75">
      <c r="A81" s="91">
        <f t="shared" si="71"/>
        <v>78</v>
      </c>
      <c r="B81" s="34" t="s">
        <v>446</v>
      </c>
      <c r="C81" s="35"/>
      <c r="D81" s="93"/>
      <c r="E81" s="36"/>
      <c r="F81" s="34"/>
      <c r="G81" s="34"/>
      <c r="H81" s="36"/>
      <c r="I81" s="93"/>
      <c r="J81" s="93"/>
      <c r="K81" s="34"/>
      <c r="L81" s="39"/>
      <c r="M81" s="39"/>
      <c r="N81" s="40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121"/>
      <c r="Z81" s="121"/>
      <c r="AA81" s="121"/>
      <c r="AB81" s="121"/>
      <c r="AC81" s="121"/>
      <c r="AD81" s="36"/>
      <c r="AE81" s="54">
        <f t="shared" si="79"/>
        <v>0</v>
      </c>
      <c r="AF81" s="36">
        <v>7</v>
      </c>
      <c r="AG81" s="51">
        <f t="shared" si="80"/>
        <v>0</v>
      </c>
      <c r="AH81" s="52">
        <v>200</v>
      </c>
      <c r="AI81" s="53">
        <f t="shared" si="81"/>
        <v>0</v>
      </c>
      <c r="AJ81" s="54">
        <f t="shared" si="82"/>
        <v>0</v>
      </c>
      <c r="AK81" s="36">
        <v>2</v>
      </c>
      <c r="AL81" s="51">
        <f t="shared" si="83"/>
        <v>0</v>
      </c>
      <c r="AM81" s="52">
        <v>200</v>
      </c>
      <c r="AN81" s="53">
        <f t="shared" si="84"/>
        <v>0</v>
      </c>
      <c r="AO81" s="52"/>
      <c r="AP81" s="55">
        <f t="shared" si="85"/>
        <v>0</v>
      </c>
    </row>
    <row r="82" spans="1:42" s="1" customFormat="1" ht="12.75">
      <c r="A82" s="91">
        <f t="shared" si="71"/>
        <v>79</v>
      </c>
      <c r="B82" s="34" t="s">
        <v>446</v>
      </c>
      <c r="C82" s="35"/>
      <c r="D82" s="93"/>
      <c r="E82" s="36"/>
      <c r="F82" s="34"/>
      <c r="G82" s="34"/>
      <c r="H82" s="36"/>
      <c r="I82" s="93"/>
      <c r="J82" s="93"/>
      <c r="K82" s="34"/>
      <c r="L82" s="39"/>
      <c r="M82" s="39"/>
      <c r="N82" s="40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121"/>
      <c r="Z82" s="121"/>
      <c r="AA82" s="121"/>
      <c r="AB82" s="121"/>
      <c r="AC82" s="121"/>
      <c r="AD82" s="36"/>
      <c r="AE82" s="54">
        <f t="shared" si="79"/>
        <v>0</v>
      </c>
      <c r="AF82" s="36">
        <v>7</v>
      </c>
      <c r="AG82" s="51">
        <f t="shared" si="80"/>
        <v>0</v>
      </c>
      <c r="AH82" s="52">
        <v>200</v>
      </c>
      <c r="AI82" s="53">
        <f t="shared" si="81"/>
        <v>0</v>
      </c>
      <c r="AJ82" s="54">
        <f t="shared" si="82"/>
        <v>0</v>
      </c>
      <c r="AK82" s="36">
        <v>2</v>
      </c>
      <c r="AL82" s="51">
        <f t="shared" si="83"/>
        <v>0</v>
      </c>
      <c r="AM82" s="52">
        <v>200</v>
      </c>
      <c r="AN82" s="53">
        <f t="shared" si="84"/>
        <v>0</v>
      </c>
      <c r="AO82" s="52"/>
      <c r="AP82" s="55">
        <f t="shared" si="85"/>
        <v>0</v>
      </c>
    </row>
    <row r="83" spans="1:42" s="1" customFormat="1" ht="12.75">
      <c r="A83" s="91">
        <f t="shared" si="71"/>
        <v>80</v>
      </c>
      <c r="B83" s="34" t="s">
        <v>446</v>
      </c>
      <c r="C83" s="35"/>
      <c r="D83" s="93"/>
      <c r="E83" s="36"/>
      <c r="F83" s="34"/>
      <c r="G83" s="34"/>
      <c r="H83" s="36"/>
      <c r="I83" s="93"/>
      <c r="J83" s="93"/>
      <c r="K83" s="34"/>
      <c r="L83" s="39"/>
      <c r="M83" s="39"/>
      <c r="N83" s="40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121"/>
      <c r="Z83" s="121"/>
      <c r="AA83" s="121"/>
      <c r="AB83" s="121"/>
      <c r="AC83" s="121"/>
      <c r="AD83" s="36"/>
      <c r="AE83" s="54">
        <f t="shared" ref="AE83:AE84" si="86">MAX(0,Y83-X83)</f>
        <v>0</v>
      </c>
      <c r="AF83" s="36">
        <v>7</v>
      </c>
      <c r="AG83" s="51">
        <f t="shared" ref="AG83:AG84" si="87">MAX(0,AE83-AF83)</f>
        <v>0</v>
      </c>
      <c r="AH83" s="52">
        <v>200</v>
      </c>
      <c r="AI83" s="53">
        <f t="shared" ref="AI83:AI84" si="88">MAX(0,AG83*AH83)</f>
        <v>0</v>
      </c>
      <c r="AJ83" s="54">
        <f t="shared" ref="AJ83:AJ84" si="89">MAX(0,AC83-AB83)</f>
        <v>0</v>
      </c>
      <c r="AK83" s="36">
        <v>2</v>
      </c>
      <c r="AL83" s="51">
        <f t="shared" ref="AL83:AL84" si="90">MAX(0,AJ83-AK83)</f>
        <v>0</v>
      </c>
      <c r="AM83" s="52">
        <v>200</v>
      </c>
      <c r="AN83" s="53">
        <f t="shared" ref="AN83:AN84" si="91">MAX(0,AL83*AM83)</f>
        <v>0</v>
      </c>
      <c r="AO83" s="52"/>
      <c r="AP83" s="55">
        <f t="shared" ref="AP83:AP84" si="92">AO83+AN83+AI83</f>
        <v>0</v>
      </c>
    </row>
    <row r="84" spans="1:42" s="1" customFormat="1" ht="12.75">
      <c r="A84" s="91">
        <f t="shared" si="71"/>
        <v>81</v>
      </c>
      <c r="B84" s="34" t="s">
        <v>446</v>
      </c>
      <c r="C84" s="35"/>
      <c r="D84" s="93"/>
      <c r="E84" s="36"/>
      <c r="F84" s="34"/>
      <c r="G84" s="34"/>
      <c r="H84" s="36"/>
      <c r="I84" s="93"/>
      <c r="J84" s="93"/>
      <c r="K84" s="34"/>
      <c r="L84" s="39"/>
      <c r="M84" s="39"/>
      <c r="N84" s="40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121"/>
      <c r="Z84" s="121"/>
      <c r="AA84" s="121"/>
      <c r="AB84" s="121"/>
      <c r="AC84" s="121"/>
      <c r="AD84" s="36"/>
      <c r="AE84" s="54">
        <f t="shared" si="86"/>
        <v>0</v>
      </c>
      <c r="AF84" s="36">
        <v>7</v>
      </c>
      <c r="AG84" s="51">
        <f t="shared" si="87"/>
        <v>0</v>
      </c>
      <c r="AH84" s="52">
        <v>200</v>
      </c>
      <c r="AI84" s="53">
        <f t="shared" si="88"/>
        <v>0</v>
      </c>
      <c r="AJ84" s="54">
        <f t="shared" si="89"/>
        <v>0</v>
      </c>
      <c r="AK84" s="36">
        <v>2</v>
      </c>
      <c r="AL84" s="51">
        <f t="shared" si="90"/>
        <v>0</v>
      </c>
      <c r="AM84" s="52">
        <v>200</v>
      </c>
      <c r="AN84" s="53">
        <f t="shared" si="91"/>
        <v>0</v>
      </c>
      <c r="AO84" s="52"/>
      <c r="AP84" s="55">
        <f t="shared" si="92"/>
        <v>0</v>
      </c>
    </row>
    <row r="85" spans="1:42" s="1" customFormat="1" ht="12.75">
      <c r="A85" s="91">
        <f t="shared" si="71"/>
        <v>82</v>
      </c>
      <c r="B85" s="34" t="s">
        <v>446</v>
      </c>
      <c r="C85" s="35"/>
      <c r="D85" s="93"/>
      <c r="E85" s="36"/>
      <c r="F85" s="34"/>
      <c r="G85" s="34"/>
      <c r="H85" s="36"/>
      <c r="I85" s="93"/>
      <c r="J85" s="93"/>
      <c r="K85" s="34"/>
      <c r="L85" s="39"/>
      <c r="M85" s="39"/>
      <c r="N85" s="40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121"/>
      <c r="Z85" s="121"/>
      <c r="AA85" s="121"/>
      <c r="AB85" s="121"/>
      <c r="AC85" s="121"/>
      <c r="AD85" s="36"/>
      <c r="AE85" s="54">
        <f t="shared" si="79"/>
        <v>0</v>
      </c>
      <c r="AF85" s="36">
        <v>7</v>
      </c>
      <c r="AG85" s="51">
        <f t="shared" si="80"/>
        <v>0</v>
      </c>
      <c r="AH85" s="52">
        <v>200</v>
      </c>
      <c r="AI85" s="53">
        <f t="shared" si="81"/>
        <v>0</v>
      </c>
      <c r="AJ85" s="54">
        <f t="shared" si="82"/>
        <v>0</v>
      </c>
      <c r="AK85" s="36">
        <v>2</v>
      </c>
      <c r="AL85" s="51">
        <f t="shared" si="83"/>
        <v>0</v>
      </c>
      <c r="AM85" s="52">
        <v>200</v>
      </c>
      <c r="AN85" s="53">
        <f t="shared" si="84"/>
        <v>0</v>
      </c>
      <c r="AO85" s="52"/>
      <c r="AP85" s="55">
        <f t="shared" si="85"/>
        <v>0</v>
      </c>
    </row>
    <row r="86" spans="1:42" s="1" customFormat="1" ht="12.75">
      <c r="A86" s="91">
        <f t="shared" si="71"/>
        <v>83</v>
      </c>
      <c r="B86" s="34" t="s">
        <v>446</v>
      </c>
      <c r="C86" s="35"/>
      <c r="D86" s="93"/>
      <c r="E86" s="36"/>
      <c r="F86" s="34"/>
      <c r="G86" s="34"/>
      <c r="H86" s="36"/>
      <c r="I86" s="93"/>
      <c r="J86" s="93"/>
      <c r="K86" s="34"/>
      <c r="L86" s="39"/>
      <c r="M86" s="39"/>
      <c r="N86" s="40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121"/>
      <c r="Z86" s="121"/>
      <c r="AA86" s="121"/>
      <c r="AB86" s="121"/>
      <c r="AC86" s="121"/>
      <c r="AD86" s="36"/>
      <c r="AE86" s="54">
        <f t="shared" si="79"/>
        <v>0</v>
      </c>
      <c r="AF86" s="36">
        <v>7</v>
      </c>
      <c r="AG86" s="51">
        <f t="shared" si="80"/>
        <v>0</v>
      </c>
      <c r="AH86" s="52">
        <v>200</v>
      </c>
      <c r="AI86" s="53">
        <f t="shared" si="81"/>
        <v>0</v>
      </c>
      <c r="AJ86" s="54">
        <f t="shared" si="82"/>
        <v>0</v>
      </c>
      <c r="AK86" s="36">
        <v>2</v>
      </c>
      <c r="AL86" s="51">
        <f t="shared" si="83"/>
        <v>0</v>
      </c>
      <c r="AM86" s="52">
        <v>200</v>
      </c>
      <c r="AN86" s="53">
        <f t="shared" si="84"/>
        <v>0</v>
      </c>
      <c r="AO86" s="52"/>
      <c r="AP86" s="55">
        <f t="shared" si="85"/>
        <v>0</v>
      </c>
    </row>
    <row r="87" spans="1:42" s="1" customFormat="1" ht="14.25">
      <c r="B87" s="65"/>
      <c r="C87" s="65"/>
      <c r="D87" s="66"/>
      <c r="E87" s="65"/>
      <c r="F87" s="65"/>
      <c r="G87" s="65"/>
    </row>
    <row r="88" spans="1:42" s="1" customFormat="1" ht="14.25">
      <c r="B88" s="65"/>
      <c r="C88" s="65"/>
      <c r="D88" s="66"/>
      <c r="E88" s="65"/>
      <c r="F88" s="65"/>
      <c r="G88" s="65"/>
    </row>
    <row r="89" spans="1:42" s="1" customFormat="1" ht="14.25">
      <c r="B89" s="65"/>
      <c r="C89" s="65"/>
      <c r="D89" s="66"/>
      <c r="E89" s="65"/>
      <c r="F89" s="65"/>
      <c r="G89" s="65"/>
    </row>
    <row r="90" spans="1:42" s="1" customFormat="1" ht="14.25">
      <c r="B90" s="65"/>
      <c r="C90" s="65"/>
      <c r="D90" s="66"/>
      <c r="E90" s="65"/>
      <c r="F90" s="65"/>
      <c r="G90" s="65"/>
    </row>
    <row r="91" spans="1:42" s="1" customFormat="1" ht="14.25">
      <c r="B91" s="65"/>
      <c r="C91" s="65"/>
      <c r="D91" s="66"/>
      <c r="E91" s="65"/>
      <c r="F91" s="65"/>
      <c r="G91" s="65"/>
    </row>
    <row r="92" spans="1:42" s="1" customFormat="1" ht="14.25">
      <c r="B92" s="65"/>
      <c r="C92" s="65"/>
      <c r="D92" s="66"/>
      <c r="E92" s="65"/>
      <c r="F92" s="65"/>
      <c r="G92" s="65"/>
    </row>
    <row r="93" spans="1:42" s="1" customFormat="1" ht="14.25">
      <c r="B93" s="65"/>
      <c r="C93" s="65"/>
      <c r="D93" s="66"/>
      <c r="E93" s="65"/>
      <c r="F93" s="65"/>
      <c r="G93" s="65"/>
    </row>
    <row r="94" spans="1:42" s="1" customFormat="1" ht="14.25">
      <c r="B94" s="90"/>
      <c r="C94" s="90"/>
      <c r="D94" s="96"/>
      <c r="E94" s="90"/>
      <c r="F94" s="90"/>
      <c r="G94" s="90"/>
    </row>
    <row r="95" spans="1:42" s="1" customFormat="1" ht="14.25">
      <c r="A95" s="68"/>
      <c r="B95" s="65"/>
      <c r="C95" s="65"/>
      <c r="D95" s="66"/>
      <c r="E95" s="65"/>
      <c r="F95" s="65"/>
      <c r="G95" s="65"/>
    </row>
    <row r="96" spans="1:42" s="1" customFormat="1" ht="14.25">
      <c r="A96" s="68"/>
      <c r="B96" s="65"/>
      <c r="C96" s="65"/>
      <c r="D96" s="66"/>
      <c r="E96" s="65"/>
      <c r="F96" s="65"/>
      <c r="G96" s="65"/>
    </row>
    <row r="97" spans="1:46" s="1" customFormat="1" ht="14.25">
      <c r="A97" s="68"/>
      <c r="B97" s="65"/>
      <c r="C97" s="65"/>
      <c r="D97" s="66"/>
      <c r="E97" s="65"/>
      <c r="F97" s="65"/>
      <c r="G97" s="65"/>
    </row>
    <row r="98" spans="1:46" s="1" customFormat="1" ht="14.25">
      <c r="A98" s="68"/>
      <c r="B98" s="65"/>
      <c r="C98" s="65"/>
      <c r="D98" s="66"/>
      <c r="E98" s="65"/>
      <c r="F98" s="65"/>
      <c r="G98" s="65"/>
    </row>
    <row r="99" spans="1:46" s="1" customFormat="1" ht="14.25">
      <c r="A99" s="68"/>
      <c r="B99" s="65"/>
      <c r="C99" s="65"/>
      <c r="D99" s="66"/>
      <c r="E99" s="65"/>
      <c r="F99" s="65"/>
      <c r="G99" s="65"/>
    </row>
    <row r="100" spans="1:46" s="1" customFormat="1" ht="14.25">
      <c r="A100" s="68"/>
      <c r="B100" s="65"/>
      <c r="C100" s="65"/>
      <c r="D100" s="66"/>
      <c r="E100" s="65"/>
      <c r="F100" s="65"/>
      <c r="G100" s="65"/>
    </row>
    <row r="101" spans="1:46" s="1" customFormat="1" ht="14.25">
      <c r="A101" s="68"/>
      <c r="B101" s="65"/>
      <c r="C101" s="65"/>
      <c r="D101" s="66"/>
      <c r="E101" s="65"/>
      <c r="F101" s="65"/>
      <c r="G101" s="65"/>
    </row>
    <row r="102" spans="1:46" s="1" customFormat="1" ht="14.25">
      <c r="A102" s="68"/>
      <c r="B102" s="65"/>
      <c r="C102" s="65"/>
      <c r="D102" s="66"/>
      <c r="E102" s="65"/>
      <c r="F102" s="65"/>
      <c r="G102" s="65"/>
    </row>
    <row r="103" spans="1:46" s="1" customFormat="1" ht="14.25">
      <c r="A103" s="68"/>
      <c r="B103" s="65"/>
      <c r="C103" s="65"/>
      <c r="D103" s="66"/>
      <c r="E103" s="65"/>
      <c r="F103" s="65"/>
      <c r="G103" s="65"/>
    </row>
    <row r="104" spans="1:46" s="1" customFormat="1" ht="14.25">
      <c r="A104" s="68"/>
      <c r="B104" s="65"/>
      <c r="C104" s="65"/>
      <c r="D104" s="66"/>
      <c r="E104" s="65"/>
      <c r="F104" s="65"/>
      <c r="G104" s="65"/>
    </row>
    <row r="105" spans="1:46" s="1" customFormat="1" ht="14.25">
      <c r="A105" s="68"/>
      <c r="B105" s="65"/>
      <c r="C105" s="65"/>
      <c r="D105" s="66"/>
      <c r="E105" s="65"/>
      <c r="F105" s="65"/>
      <c r="G105" s="65"/>
    </row>
    <row r="106" spans="1:46" s="1" customFormat="1" ht="14.25">
      <c r="A106" s="68"/>
      <c r="B106" s="65"/>
      <c r="C106" s="65"/>
      <c r="D106" s="66"/>
      <c r="E106" s="65"/>
      <c r="F106" s="65"/>
      <c r="G106" s="65"/>
    </row>
    <row r="107" spans="1:46" s="1" customFormat="1" ht="14.25">
      <c r="A107" s="68"/>
      <c r="B107" s="65"/>
      <c r="C107" s="65"/>
      <c r="D107" s="66"/>
      <c r="E107" s="65"/>
      <c r="F107" s="65"/>
      <c r="G107" s="65"/>
    </row>
    <row r="108" spans="1:46" s="1" customFormat="1" ht="14.25">
      <c r="A108" s="68"/>
      <c r="B108" s="65"/>
      <c r="C108" s="65"/>
      <c r="D108" s="66"/>
      <c r="E108" s="65"/>
      <c r="F108" s="65"/>
      <c r="G108" s="65"/>
    </row>
    <row r="109" spans="1:46" s="1" customFormat="1" ht="14.25">
      <c r="A109" s="68"/>
      <c r="B109" s="65"/>
      <c r="C109" s="65"/>
      <c r="D109" s="66"/>
      <c r="E109" s="65"/>
      <c r="F109" s="65"/>
      <c r="G109" s="65"/>
    </row>
    <row r="110" spans="1:46" s="1" customFormat="1" ht="14.25">
      <c r="A110" s="68"/>
      <c r="B110" s="65"/>
      <c r="C110" s="65"/>
      <c r="D110" s="66"/>
      <c r="E110" s="65"/>
      <c r="F110" s="65"/>
      <c r="G110" s="65"/>
    </row>
    <row r="111" spans="1:46" s="1" customFormat="1" ht="14.25">
      <c r="A111" s="68"/>
      <c r="B111" s="65"/>
      <c r="C111" s="65"/>
      <c r="D111" s="66"/>
      <c r="E111" s="65"/>
      <c r="F111" s="65"/>
      <c r="G111" s="65"/>
    </row>
    <row r="112" spans="1:46">
      <c r="A112" s="122"/>
      <c r="B112" s="65"/>
      <c r="C112" s="65"/>
      <c r="D112" s="66"/>
      <c r="E112" s="65"/>
      <c r="F112" s="65"/>
      <c r="G112" s="65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>
      <c r="A113" s="122"/>
      <c r="B113" s="65"/>
      <c r="C113" s="65"/>
      <c r="D113" s="66"/>
      <c r="E113" s="65"/>
      <c r="F113" s="65"/>
      <c r="G113" s="65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>
      <c r="A114" s="122"/>
      <c r="B114" s="65"/>
      <c r="C114" s="65"/>
      <c r="D114" s="66"/>
      <c r="E114" s="65"/>
      <c r="F114" s="65"/>
      <c r="G114" s="65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>
      <c r="A115" s="122"/>
      <c r="B115" s="65"/>
      <c r="C115" s="65"/>
      <c r="D115" s="66"/>
      <c r="E115" s="65"/>
      <c r="F115" s="65"/>
      <c r="G115" s="65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>
      <c r="A116" s="122"/>
      <c r="B116" s="65"/>
      <c r="C116" s="65"/>
      <c r="D116" s="66"/>
      <c r="E116" s="65"/>
      <c r="F116" s="65"/>
      <c r="G116" s="65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>
      <c r="A117" s="122"/>
      <c r="B117" s="65"/>
      <c r="C117" s="65"/>
      <c r="D117" s="66"/>
      <c r="E117" s="65"/>
      <c r="F117" s="65"/>
      <c r="G117" s="65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>
      <c r="A118" s="122"/>
      <c r="B118" s="65"/>
      <c r="C118" s="65"/>
      <c r="D118" s="66"/>
      <c r="E118" s="65"/>
      <c r="F118" s="65"/>
      <c r="G118" s="65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>
      <c r="A119" s="122"/>
      <c r="B119" s="65"/>
      <c r="C119" s="65"/>
      <c r="D119" s="66"/>
      <c r="E119" s="65"/>
      <c r="F119" s="65"/>
      <c r="G119" s="65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>
      <c r="A120" s="122"/>
      <c r="B120" s="65"/>
      <c r="C120" s="65"/>
      <c r="D120" s="66"/>
      <c r="E120" s="65"/>
      <c r="F120" s="65"/>
      <c r="G120" s="65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>
      <c r="A121" s="122"/>
      <c r="B121" s="90"/>
      <c r="C121" s="90"/>
      <c r="D121" s="96"/>
      <c r="E121" s="90"/>
      <c r="F121" s="90"/>
      <c r="G121" s="90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>
      <c r="A122" s="122"/>
      <c r="B122" s="65"/>
      <c r="C122" s="65"/>
      <c r="D122" s="66"/>
      <c r="E122" s="65"/>
      <c r="F122" s="65"/>
      <c r="G122" s="65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>
      <c r="A123" s="122"/>
      <c r="B123" s="65"/>
      <c r="C123" s="65"/>
      <c r="D123" s="66"/>
      <c r="E123" s="65"/>
      <c r="F123" s="65"/>
      <c r="G123" s="65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>
      <c r="A124" s="122"/>
      <c r="B124" s="65"/>
      <c r="C124" s="65"/>
      <c r="D124" s="66"/>
      <c r="E124" s="65"/>
      <c r="F124" s="65"/>
      <c r="G124" s="65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>
      <c r="A125" s="122"/>
      <c r="B125" s="65"/>
      <c r="C125" s="65"/>
      <c r="D125" s="66"/>
      <c r="E125" s="65"/>
      <c r="F125" s="65"/>
      <c r="G125" s="65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>
      <c r="A126" s="122"/>
      <c r="B126" s="65"/>
      <c r="C126" s="65"/>
      <c r="D126" s="66"/>
      <c r="E126" s="65"/>
      <c r="F126" s="65"/>
      <c r="G126" s="65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>
      <c r="A127" s="122"/>
      <c r="B127" s="65"/>
      <c r="C127" s="65"/>
      <c r="D127" s="66"/>
      <c r="E127" s="65"/>
      <c r="F127" s="65"/>
      <c r="G127" s="65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>
      <c r="A128" s="122"/>
      <c r="B128" s="65"/>
      <c r="C128" s="65"/>
      <c r="D128" s="66"/>
      <c r="E128" s="65"/>
      <c r="F128" s="65"/>
      <c r="G128" s="65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>
      <c r="A129" s="122"/>
      <c r="B129" s="65"/>
      <c r="C129" s="65"/>
      <c r="D129" s="66"/>
      <c r="E129" s="65"/>
      <c r="F129" s="65"/>
      <c r="G129" s="65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>
      <c r="A130" s="122"/>
      <c r="B130" s="65"/>
      <c r="C130" s="65"/>
      <c r="D130" s="66"/>
      <c r="E130" s="65"/>
      <c r="F130" s="65"/>
      <c r="G130" s="65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>
      <c r="A131" s="122"/>
      <c r="B131" s="65"/>
      <c r="C131" s="65"/>
      <c r="D131" s="66"/>
      <c r="E131" s="65"/>
      <c r="F131" s="65"/>
      <c r="G131" s="65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>
      <c r="A132" s="122"/>
      <c r="B132" s="65"/>
      <c r="C132" s="65"/>
      <c r="D132" s="66"/>
      <c r="E132" s="65"/>
      <c r="F132" s="65"/>
      <c r="G132" s="65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>
      <c r="A133" s="122"/>
      <c r="B133" s="65"/>
      <c r="C133" s="65"/>
      <c r="D133" s="66"/>
      <c r="E133" s="65"/>
      <c r="F133" s="65"/>
      <c r="G133" s="65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>
      <c r="A134" s="122"/>
      <c r="B134" s="65"/>
      <c r="C134" s="65"/>
      <c r="D134" s="66"/>
      <c r="E134" s="65"/>
      <c r="F134" s="65"/>
      <c r="G134" s="65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>
      <c r="A135" s="122"/>
      <c r="B135" s="65"/>
      <c r="C135" s="65"/>
      <c r="D135" s="66"/>
      <c r="E135" s="65"/>
      <c r="F135" s="65"/>
      <c r="G135" s="65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>
      <c r="A136" s="122"/>
      <c r="B136" s="65"/>
      <c r="C136" s="65"/>
      <c r="D136" s="66"/>
      <c r="E136" s="65"/>
      <c r="F136" s="65"/>
      <c r="G136" s="65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>
      <c r="A137" s="122"/>
      <c r="B137" s="65"/>
      <c r="C137" s="65"/>
      <c r="D137" s="66"/>
      <c r="E137" s="65"/>
      <c r="F137" s="65"/>
      <c r="G137" s="65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>
      <c r="A138" s="122"/>
      <c r="B138" s="65"/>
      <c r="C138" s="65"/>
      <c r="D138" s="66"/>
      <c r="E138" s="65"/>
      <c r="F138" s="65"/>
      <c r="G138" s="65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>
      <c r="A139" s="122"/>
      <c r="B139" s="65"/>
      <c r="C139" s="65"/>
      <c r="D139" s="66"/>
      <c r="E139" s="65"/>
      <c r="F139" s="65"/>
      <c r="G139" s="65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>
      <c r="A140" s="122"/>
      <c r="B140" s="90"/>
      <c r="C140" s="90"/>
      <c r="D140" s="96"/>
      <c r="E140" s="90"/>
      <c r="F140" s="90"/>
      <c r="G140" s="90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>
      <c r="A141" s="122"/>
      <c r="B141" s="65"/>
      <c r="C141" s="65"/>
      <c r="D141" s="66"/>
      <c r="E141" s="65"/>
      <c r="F141" s="65"/>
      <c r="G141" s="65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>
      <c r="A142" s="122"/>
      <c r="B142" s="65"/>
      <c r="C142" s="65"/>
      <c r="D142" s="66"/>
      <c r="E142" s="65"/>
      <c r="F142" s="65"/>
      <c r="G142" s="65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>
      <c r="A143" s="122"/>
      <c r="B143" s="65"/>
      <c r="C143" s="65"/>
      <c r="D143" s="66"/>
      <c r="E143" s="65"/>
      <c r="F143" s="65"/>
      <c r="G143" s="65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>
      <c r="A144" s="122"/>
      <c r="B144" s="65"/>
      <c r="C144" s="65"/>
      <c r="D144" s="66"/>
      <c r="E144" s="65"/>
      <c r="F144" s="65"/>
      <c r="G144" s="65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>
      <c r="A145" s="122"/>
      <c r="B145" s="65"/>
      <c r="C145" s="65"/>
      <c r="D145" s="66"/>
      <c r="E145" s="65"/>
      <c r="F145" s="65"/>
      <c r="G145" s="65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>
      <c r="A146" s="122"/>
      <c r="B146" s="65"/>
      <c r="C146" s="65"/>
      <c r="D146" s="66"/>
      <c r="E146" s="65"/>
      <c r="F146" s="65"/>
      <c r="G146" s="65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>
      <c r="A147" s="122"/>
      <c r="B147" s="65"/>
      <c r="C147" s="65"/>
      <c r="D147" s="66"/>
      <c r="E147" s="65"/>
      <c r="F147" s="65"/>
      <c r="G147" s="65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>
      <c r="A148" s="122"/>
      <c r="B148" s="65"/>
      <c r="C148" s="65"/>
      <c r="D148" s="66"/>
      <c r="E148" s="65"/>
      <c r="F148" s="65"/>
      <c r="G148" s="65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>
      <c r="A149" s="122"/>
      <c r="B149" s="123"/>
      <c r="C149" s="76"/>
      <c r="D149" s="124"/>
      <c r="E149" s="65"/>
      <c r="F149" s="65"/>
      <c r="G149" s="65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>
      <c r="A150" s="122"/>
      <c r="B150" s="123"/>
      <c r="C150" s="76"/>
      <c r="D150" s="124"/>
      <c r="E150" s="65"/>
      <c r="F150" s="65"/>
      <c r="G150" s="65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>
      <c r="A151" s="122"/>
      <c r="B151" s="123"/>
      <c r="C151" s="76"/>
      <c r="D151" s="124"/>
      <c r="E151" s="65"/>
      <c r="F151" s="65"/>
      <c r="G151" s="65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>
      <c r="A152" s="122"/>
      <c r="B152" s="123"/>
      <c r="C152" s="76"/>
      <c r="D152" s="124"/>
      <c r="E152" s="65"/>
      <c r="F152" s="65"/>
      <c r="G152" s="65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>
      <c r="A153" s="122"/>
      <c r="B153" s="123"/>
      <c r="C153" s="125"/>
      <c r="D153" s="124"/>
      <c r="E153" s="65"/>
      <c r="F153" s="65"/>
      <c r="G153" s="65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>
      <c r="A154" s="122"/>
      <c r="B154" s="123"/>
      <c r="C154" s="76"/>
      <c r="D154" s="124"/>
      <c r="E154" s="65"/>
      <c r="F154" s="65"/>
      <c r="G154" s="65"/>
    </row>
    <row r="155" spans="1:46">
      <c r="A155" s="122"/>
      <c r="B155" s="123"/>
      <c r="C155" s="126"/>
      <c r="D155" s="124"/>
      <c r="E155" s="65"/>
      <c r="F155" s="65"/>
      <c r="G155" s="65"/>
    </row>
    <row r="156" spans="1:46">
      <c r="A156" s="122"/>
      <c r="B156" s="123"/>
      <c r="C156" s="95"/>
      <c r="D156" s="124"/>
      <c r="E156" s="65"/>
      <c r="F156" s="65"/>
      <c r="G156" s="65"/>
    </row>
    <row r="157" spans="1:46">
      <c r="A157" s="122"/>
      <c r="B157" s="123"/>
      <c r="C157" s="126"/>
      <c r="D157" s="124"/>
      <c r="E157" s="65"/>
      <c r="F157" s="65"/>
      <c r="G157" s="65"/>
    </row>
    <row r="158" spans="1:46">
      <c r="A158" s="122"/>
      <c r="B158" s="123"/>
      <c r="C158" s="126"/>
      <c r="D158" s="124"/>
      <c r="E158" s="65"/>
      <c r="F158" s="65"/>
      <c r="G158" s="65"/>
    </row>
    <row r="159" spans="1:46">
      <c r="A159" s="122"/>
      <c r="B159" s="123"/>
      <c r="C159" s="126"/>
      <c r="D159" s="124"/>
      <c r="E159" s="65"/>
      <c r="F159" s="65"/>
      <c r="G159" s="65"/>
    </row>
    <row r="160" spans="1:46">
      <c r="A160" s="122"/>
      <c r="B160" s="123"/>
      <c r="C160" s="126"/>
      <c r="D160" s="124"/>
      <c r="E160" s="65"/>
      <c r="F160" s="65"/>
      <c r="G160" s="65"/>
    </row>
    <row r="161" spans="1:7">
      <c r="A161" s="122"/>
      <c r="B161" s="123"/>
      <c r="C161" s="126"/>
      <c r="D161" s="124"/>
      <c r="E161" s="65"/>
      <c r="F161" s="65"/>
      <c r="G161" s="65"/>
    </row>
    <row r="162" spans="1:7">
      <c r="A162" s="122"/>
      <c r="B162" s="123"/>
      <c r="C162" s="126"/>
      <c r="D162" s="124"/>
      <c r="E162" s="65"/>
      <c r="F162" s="65"/>
      <c r="G162" s="65"/>
    </row>
    <row r="163" spans="1:7">
      <c r="A163" s="122"/>
      <c r="B163" s="123"/>
      <c r="C163" s="126"/>
      <c r="D163" s="124"/>
      <c r="E163" s="65"/>
      <c r="F163" s="65"/>
      <c r="G163" s="65"/>
    </row>
    <row r="164" spans="1:7">
      <c r="A164" s="122"/>
      <c r="B164" s="123"/>
      <c r="C164" s="127"/>
      <c r="D164" s="124"/>
      <c r="E164" s="65"/>
      <c r="F164" s="65"/>
      <c r="G164" s="65"/>
    </row>
    <row r="165" spans="1:7">
      <c r="A165" s="122"/>
      <c r="B165" s="123"/>
      <c r="C165" s="126"/>
      <c r="D165" s="124"/>
      <c r="E165" s="65"/>
      <c r="F165" s="65"/>
      <c r="G165" s="65"/>
    </row>
    <row r="166" spans="1:7">
      <c r="A166" s="122"/>
      <c r="B166" s="123"/>
      <c r="C166" s="126"/>
      <c r="D166" s="124"/>
      <c r="E166" s="65"/>
      <c r="F166" s="65"/>
      <c r="G166" s="65"/>
    </row>
    <row r="167" spans="1:7">
      <c r="A167" s="122"/>
      <c r="B167" s="123"/>
      <c r="C167" s="128"/>
      <c r="D167" s="124"/>
      <c r="E167" s="65"/>
      <c r="F167" s="65"/>
      <c r="G167" s="65"/>
    </row>
    <row r="168" spans="1:7">
      <c r="A168" s="122"/>
      <c r="B168" s="123"/>
      <c r="C168" s="126"/>
      <c r="D168" s="124"/>
      <c r="E168" s="65"/>
      <c r="F168" s="65"/>
      <c r="G168" s="65"/>
    </row>
    <row r="169" spans="1:7">
      <c r="A169" s="122"/>
      <c r="B169" s="123"/>
      <c r="C169" s="126"/>
      <c r="D169" s="124"/>
      <c r="E169" s="65"/>
      <c r="F169" s="65"/>
      <c r="G169" s="65"/>
    </row>
    <row r="170" spans="1:7">
      <c r="A170" s="122"/>
      <c r="B170" s="123"/>
      <c r="C170" s="127"/>
      <c r="D170" s="124"/>
      <c r="E170" s="65"/>
      <c r="F170" s="65"/>
      <c r="G170" s="65"/>
    </row>
    <row r="171" spans="1:7">
      <c r="A171" s="122"/>
      <c r="B171" s="123"/>
      <c r="C171" s="127"/>
      <c r="D171" s="124"/>
      <c r="E171" s="65"/>
      <c r="F171" s="65"/>
      <c r="G171" s="65"/>
    </row>
    <row r="172" spans="1:7">
      <c r="A172" s="122"/>
      <c r="B172" s="123"/>
      <c r="C172" s="126"/>
      <c r="D172" s="124"/>
      <c r="E172" s="65"/>
      <c r="F172" s="65"/>
      <c r="G172" s="65"/>
    </row>
    <row r="173" spans="1:7">
      <c r="A173" s="122"/>
      <c r="B173" s="123"/>
      <c r="C173" s="129"/>
      <c r="D173" s="124"/>
      <c r="E173" s="65"/>
      <c r="F173" s="65"/>
      <c r="G173" s="65"/>
    </row>
    <row r="174" spans="1:7">
      <c r="A174" s="122"/>
      <c r="B174" s="123"/>
      <c r="C174" s="130"/>
      <c r="D174" s="124"/>
      <c r="E174" s="65"/>
      <c r="F174" s="65"/>
      <c r="G174" s="65"/>
    </row>
    <row r="175" spans="1:7">
      <c r="A175" s="122"/>
      <c r="B175" s="123"/>
      <c r="C175" s="130"/>
      <c r="D175" s="124"/>
      <c r="E175" s="65"/>
      <c r="F175" s="65"/>
      <c r="G175" s="65"/>
    </row>
    <row r="176" spans="1:7">
      <c r="A176" s="122"/>
      <c r="B176" s="123"/>
      <c r="C176" s="130"/>
      <c r="D176" s="124"/>
      <c r="E176" s="65"/>
      <c r="F176" s="65"/>
      <c r="G176" s="65"/>
    </row>
    <row r="177" spans="1:7">
      <c r="A177" s="122"/>
      <c r="B177" s="123"/>
      <c r="C177" s="130"/>
      <c r="D177" s="124"/>
      <c r="E177" s="65"/>
      <c r="F177" s="65"/>
      <c r="G177" s="65"/>
    </row>
    <row r="178" spans="1:7">
      <c r="A178" s="122"/>
      <c r="B178" s="123"/>
      <c r="C178" s="130"/>
      <c r="D178" s="124"/>
      <c r="E178" s="65"/>
      <c r="F178" s="65"/>
      <c r="G178" s="65"/>
    </row>
    <row r="179" spans="1:7">
      <c r="A179" s="122"/>
      <c r="B179" s="123"/>
      <c r="C179" s="130"/>
      <c r="D179" s="124"/>
      <c r="E179" s="65"/>
      <c r="F179" s="65"/>
      <c r="G179" s="65"/>
    </row>
    <row r="180" spans="1:7">
      <c r="A180" s="122"/>
      <c r="B180" s="123"/>
      <c r="C180" s="130"/>
      <c r="D180" s="124"/>
      <c r="E180" s="65"/>
      <c r="F180" s="65"/>
      <c r="G180" s="65"/>
    </row>
    <row r="181" spans="1:7">
      <c r="A181" s="122"/>
      <c r="B181" s="123"/>
      <c r="C181" s="131"/>
      <c r="D181" s="124"/>
      <c r="E181" s="65"/>
      <c r="F181" s="65"/>
      <c r="G181" s="65"/>
    </row>
    <row r="182" spans="1:7">
      <c r="A182" s="122"/>
      <c r="B182" s="123"/>
      <c r="C182" s="130"/>
      <c r="D182" s="124"/>
      <c r="E182" s="65"/>
      <c r="F182" s="65"/>
      <c r="G182" s="65"/>
    </row>
    <row r="183" spans="1:7">
      <c r="B183" s="132"/>
      <c r="C183" s="130"/>
      <c r="D183" s="66"/>
      <c r="E183" s="65"/>
      <c r="F183" s="65"/>
      <c r="G183" s="65"/>
    </row>
    <row r="184" spans="1:7">
      <c r="B184" s="132"/>
      <c r="C184" s="130"/>
      <c r="D184" s="66"/>
      <c r="E184" s="65"/>
      <c r="F184" s="65"/>
      <c r="G184" s="65"/>
    </row>
    <row r="185" spans="1:7">
      <c r="B185" s="133"/>
      <c r="C185" s="130"/>
      <c r="D185" s="96"/>
      <c r="E185" s="90"/>
      <c r="F185" s="90"/>
      <c r="G185" s="90"/>
    </row>
    <row r="186" spans="1:7">
      <c r="B186" s="132"/>
      <c r="C186" s="130"/>
      <c r="D186" s="66"/>
      <c r="E186" s="65"/>
      <c r="F186" s="65"/>
      <c r="G186" s="65"/>
    </row>
    <row r="187" spans="1:7">
      <c r="B187" s="132"/>
      <c r="C187" s="130"/>
      <c r="D187" s="66"/>
      <c r="E187" s="65"/>
      <c r="F187" s="65"/>
      <c r="G187" s="65"/>
    </row>
    <row r="188" spans="1:7">
      <c r="B188" s="132"/>
      <c r="C188" s="130"/>
      <c r="D188" s="66"/>
      <c r="E188" s="65"/>
      <c r="F188" s="65"/>
      <c r="G188" s="65"/>
    </row>
    <row r="189" spans="1:7">
      <c r="B189" s="132"/>
      <c r="C189" s="130"/>
      <c r="D189" s="66"/>
      <c r="E189" s="65"/>
      <c r="F189" s="65"/>
      <c r="G189" s="65"/>
    </row>
    <row r="190" spans="1:7">
      <c r="B190" s="132"/>
      <c r="C190" s="130"/>
      <c r="D190" s="66"/>
      <c r="E190" s="65"/>
      <c r="F190" s="65"/>
      <c r="G190" s="65"/>
    </row>
    <row r="191" spans="1:7">
      <c r="B191" s="65"/>
      <c r="C191" s="65"/>
      <c r="D191" s="66"/>
      <c r="E191" s="65"/>
      <c r="F191" s="65"/>
      <c r="G191" s="65"/>
    </row>
  </sheetData>
  <mergeCells count="3">
    <mergeCell ref="AN1:AP1"/>
    <mergeCell ref="AE2:AH2"/>
    <mergeCell ref="AJ2:AM2"/>
  </mergeCells>
  <conditionalFormatting sqref="C4:C20 C87 C127">
    <cfRule type="duplicateValues" dxfId="1875" priority="3"/>
  </conditionalFormatting>
  <conditionalFormatting sqref="C4:C20 C98:C126">
    <cfRule type="duplicateValues" dxfId="1874" priority="2"/>
  </conditionalFormatting>
  <conditionalFormatting sqref="C6:C20 C88:C97">
    <cfRule type="duplicateValues" dxfId="1873" priority="9838"/>
  </conditionalFormatting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C000"/>
  </sheetPr>
  <dimension ref="A1:AT87"/>
  <sheetViews>
    <sheetView topLeftCell="A68" zoomScale="85" zoomScaleNormal="85" workbookViewId="0">
      <pane xSplit="5" topLeftCell="F1" activePane="topRight" state="frozen"/>
      <selection pane="topRight" activeCell="E82" sqref="E82"/>
    </sheetView>
  </sheetViews>
  <sheetFormatPr defaultColWidth="10.7109375" defaultRowHeight="15"/>
  <cols>
    <col min="1" max="1" width="8.140625" style="2" customWidth="1"/>
    <col min="2" max="2" width="10.7109375" style="2" customWidth="1"/>
    <col min="3" max="3" width="14.28515625" style="2" customWidth="1"/>
    <col min="4" max="4" width="25" style="2" customWidth="1"/>
    <col min="5" max="5" width="32.5703125" style="2" customWidth="1"/>
    <col min="6" max="6" width="19" style="2" customWidth="1"/>
    <col min="7" max="7" width="32" style="2" customWidth="1"/>
    <col min="8" max="23" width="10.7109375" style="2" customWidth="1"/>
    <col min="24" max="25" width="13.140625" style="3" customWidth="1"/>
    <col min="26" max="27" width="10.7109375" style="2" customWidth="1"/>
    <col min="28" max="28" width="12.7109375" style="2" customWidth="1"/>
    <col min="29" max="29" width="14.42578125" style="2" customWidth="1"/>
    <col min="30" max="30" width="25.5703125" style="2" customWidth="1"/>
    <col min="31" max="34" width="10.7109375" style="2" customWidth="1"/>
    <col min="35" max="35" width="10.7109375" style="4" customWidth="1"/>
    <col min="36" max="40" width="10.7109375" style="2" customWidth="1"/>
    <col min="41" max="41" width="13.7109375" style="2" customWidth="1"/>
    <col min="42" max="42" width="17.28515625" style="2" customWidth="1"/>
    <col min="43" max="16384" width="10.7109375" style="2"/>
  </cols>
  <sheetData>
    <row r="1" spans="1:46" ht="23.25">
      <c r="A1" s="5" t="s">
        <v>44</v>
      </c>
      <c r="B1" s="5"/>
      <c r="C1" s="5"/>
      <c r="D1" s="5"/>
      <c r="E1" s="6">
        <f ca="1">TODAY()</f>
        <v>46045</v>
      </c>
      <c r="F1" s="7" t="s">
        <v>45</v>
      </c>
      <c r="G1" s="7" t="s">
        <v>745</v>
      </c>
      <c r="H1" s="8">
        <v>3992</v>
      </c>
      <c r="I1" s="8">
        <v>4990</v>
      </c>
      <c r="J1" s="8">
        <v>5003.991</v>
      </c>
      <c r="K1" s="9"/>
      <c r="L1" s="5"/>
      <c r="M1" s="10" t="s">
        <v>47</v>
      </c>
      <c r="N1" s="11"/>
      <c r="O1" s="11"/>
      <c r="P1" s="12"/>
      <c r="Q1" s="12"/>
      <c r="R1" s="13"/>
      <c r="S1" s="13"/>
      <c r="T1" s="10" t="s">
        <v>47</v>
      </c>
      <c r="U1" s="13"/>
      <c r="V1" s="13"/>
      <c r="W1" s="13"/>
      <c r="X1" s="14"/>
      <c r="Z1" s="13"/>
      <c r="AA1" s="13"/>
      <c r="AB1" s="13" t="s">
        <v>47</v>
      </c>
      <c r="AC1" s="13"/>
      <c r="AD1" s="13"/>
      <c r="AI1" s="15"/>
      <c r="AN1" s="283" t="s">
        <v>48</v>
      </c>
      <c r="AO1" s="284"/>
      <c r="AP1" s="285"/>
    </row>
    <row r="2" spans="1:46" ht="23.25">
      <c r="A2" s="16" t="s">
        <v>49</v>
      </c>
      <c r="B2" s="17" t="s">
        <v>50</v>
      </c>
      <c r="C2" s="17" t="s">
        <v>51</v>
      </c>
      <c r="D2" s="18" t="s">
        <v>52</v>
      </c>
      <c r="E2" s="18" t="s">
        <v>53</v>
      </c>
      <c r="F2" s="17" t="s">
        <v>54</v>
      </c>
      <c r="G2" s="18" t="s">
        <v>55</v>
      </c>
      <c r="H2" s="18" t="s">
        <v>56</v>
      </c>
      <c r="I2" s="18" t="s">
        <v>57</v>
      </c>
      <c r="J2" s="18" t="s">
        <v>58</v>
      </c>
      <c r="K2" s="18"/>
      <c r="L2" s="17" t="s">
        <v>59</v>
      </c>
      <c r="M2" s="17" t="s">
        <v>60</v>
      </c>
      <c r="N2" s="17" t="s">
        <v>61</v>
      </c>
      <c r="O2" s="19" t="s">
        <v>62</v>
      </c>
      <c r="P2" s="19" t="s">
        <v>63</v>
      </c>
      <c r="Q2" s="19" t="s">
        <v>64</v>
      </c>
      <c r="R2" s="19" t="s">
        <v>65</v>
      </c>
      <c r="S2" s="19" t="s">
        <v>66</v>
      </c>
      <c r="T2" s="19" t="s">
        <v>67</v>
      </c>
      <c r="U2" s="19" t="s">
        <v>68</v>
      </c>
      <c r="V2" s="19" t="s">
        <v>69</v>
      </c>
      <c r="W2" s="19" t="s">
        <v>70</v>
      </c>
      <c r="X2" s="20" t="s">
        <v>71</v>
      </c>
      <c r="Y2" s="20" t="s">
        <v>72</v>
      </c>
      <c r="Z2" s="19"/>
      <c r="AA2" s="19"/>
      <c r="AB2" s="19" t="s">
        <v>73</v>
      </c>
      <c r="AC2" s="19" t="s">
        <v>74</v>
      </c>
      <c r="AD2" s="19" t="s">
        <v>75</v>
      </c>
      <c r="AE2" s="286" t="s">
        <v>76</v>
      </c>
      <c r="AF2" s="286"/>
      <c r="AG2" s="286"/>
      <c r="AH2" s="286"/>
      <c r="AI2" s="21">
        <f>SUM(AI14:AI59)</f>
        <v>4200</v>
      </c>
      <c r="AJ2" s="286" t="s">
        <v>77</v>
      </c>
      <c r="AK2" s="286"/>
      <c r="AL2" s="286"/>
      <c r="AM2" s="286"/>
      <c r="AN2" s="21">
        <f>SUM(AN14:AN59)</f>
        <v>0</v>
      </c>
      <c r="AO2" s="21">
        <f>SUM(AO14:AO59)</f>
        <v>2950</v>
      </c>
      <c r="AP2" s="22">
        <f>SUM(AI2:AO2)</f>
        <v>7150</v>
      </c>
      <c r="AQ2" s="23"/>
      <c r="AR2" s="1"/>
      <c r="AS2" s="1"/>
      <c r="AT2" s="1"/>
    </row>
    <row r="3" spans="1:46" s="1" customFormat="1" ht="42" customHeight="1">
      <c r="A3" s="24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6">
        <f>SUM(H4:H58)</f>
        <v>1500</v>
      </c>
      <c r="I3" s="26">
        <f>SUM(I4:I58)/1000</f>
        <v>1875</v>
      </c>
      <c r="J3" s="26">
        <f>SUM(J4:J58)/1000</f>
        <v>1879.778</v>
      </c>
      <c r="K3" s="25" t="s">
        <v>85</v>
      </c>
      <c r="L3" s="25" t="s">
        <v>86</v>
      </c>
      <c r="M3" s="25" t="s">
        <v>87</v>
      </c>
      <c r="N3" s="25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93</v>
      </c>
      <c r="T3" s="27" t="s">
        <v>94</v>
      </c>
      <c r="U3" s="27" t="s">
        <v>95</v>
      </c>
      <c r="V3" s="27" t="s">
        <v>96</v>
      </c>
      <c r="W3" s="27" t="s">
        <v>97</v>
      </c>
      <c r="X3" s="28" t="s">
        <v>98</v>
      </c>
      <c r="Y3" s="28" t="s">
        <v>99</v>
      </c>
      <c r="Z3" s="27" t="s">
        <v>100</v>
      </c>
      <c r="AA3" s="27" t="s">
        <v>101</v>
      </c>
      <c r="AB3" s="27" t="s">
        <v>102</v>
      </c>
      <c r="AC3" s="27" t="s">
        <v>103</v>
      </c>
      <c r="AD3" s="27" t="s">
        <v>104</v>
      </c>
      <c r="AE3" s="29" t="s">
        <v>105</v>
      </c>
      <c r="AF3" s="29" t="s">
        <v>106</v>
      </c>
      <c r="AG3" s="29" t="s">
        <v>107</v>
      </c>
      <c r="AH3" s="29" t="s">
        <v>108</v>
      </c>
      <c r="AI3" s="30" t="s">
        <v>109</v>
      </c>
      <c r="AJ3" s="29" t="s">
        <v>110</v>
      </c>
      <c r="AK3" s="29" t="s">
        <v>106</v>
      </c>
      <c r="AL3" s="29" t="s">
        <v>107</v>
      </c>
      <c r="AM3" s="29" t="s">
        <v>108</v>
      </c>
      <c r="AN3" s="30" t="s">
        <v>111</v>
      </c>
      <c r="AO3" s="31" t="s">
        <v>112</v>
      </c>
      <c r="AP3" s="32" t="s">
        <v>113</v>
      </c>
    </row>
    <row r="4" spans="1:46" s="1" customFormat="1" ht="15" customHeight="1">
      <c r="A4" s="33">
        <f>ROW()-3</f>
        <v>1</v>
      </c>
      <c r="B4" s="34" t="s">
        <v>114</v>
      </c>
      <c r="C4" s="35" t="s">
        <v>839</v>
      </c>
      <c r="D4" s="33" t="s">
        <v>850</v>
      </c>
      <c r="E4" s="33" t="s">
        <v>843</v>
      </c>
      <c r="F4" s="33" t="s">
        <v>814</v>
      </c>
      <c r="G4" s="37" t="s">
        <v>863</v>
      </c>
      <c r="H4" s="37">
        <v>28</v>
      </c>
      <c r="I4" s="34">
        <v>35000</v>
      </c>
      <c r="J4" s="34">
        <v>35098</v>
      </c>
      <c r="K4" s="34" t="s">
        <v>120</v>
      </c>
      <c r="L4" s="39">
        <v>45890</v>
      </c>
      <c r="M4" s="40" t="s">
        <v>121</v>
      </c>
      <c r="N4" s="39" t="s">
        <v>122</v>
      </c>
      <c r="O4" s="39">
        <v>45881</v>
      </c>
      <c r="P4" s="39">
        <v>45907</v>
      </c>
      <c r="Q4" s="39">
        <v>45892</v>
      </c>
      <c r="R4" s="39">
        <v>46040</v>
      </c>
      <c r="S4" s="39">
        <v>46041</v>
      </c>
      <c r="T4" s="41"/>
      <c r="U4" s="41"/>
      <c r="V4" s="41"/>
      <c r="W4" s="41"/>
      <c r="X4" s="42"/>
      <c r="Y4" s="42"/>
      <c r="Z4" s="41"/>
      <c r="AA4" s="41"/>
      <c r="AB4" s="41"/>
      <c r="AC4" s="41"/>
      <c r="AD4" s="44" t="s">
        <v>268</v>
      </c>
      <c r="AE4" s="45">
        <f>MAX(0,Y4-X4)</f>
        <v>0</v>
      </c>
      <c r="AF4" s="36">
        <v>7</v>
      </c>
      <c r="AG4" s="46">
        <f>MAX(0,AE4-AF4)</f>
        <v>0</v>
      </c>
      <c r="AH4" s="47">
        <v>200</v>
      </c>
      <c r="AI4" s="48">
        <f>MAX(0,AG4*AH4)</f>
        <v>0</v>
      </c>
      <c r="AJ4" s="45">
        <f>MAX(0,AC4-AB4)</f>
        <v>0</v>
      </c>
      <c r="AK4" s="36">
        <v>2</v>
      </c>
      <c r="AL4" s="46">
        <f>MAX(0,AJ4-AK4)</f>
        <v>0</v>
      </c>
      <c r="AM4" s="47">
        <v>200</v>
      </c>
      <c r="AN4" s="48">
        <f>MAX(0,AL4*AM4)</f>
        <v>0</v>
      </c>
      <c r="AO4" s="47"/>
      <c r="AP4" s="49">
        <f>AO4+AN4+AI4</f>
        <v>0</v>
      </c>
    </row>
    <row r="5" spans="1:46" s="1" customFormat="1" ht="15" customHeight="1">
      <c r="A5" s="33">
        <f>ROW()-3</f>
        <v>2</v>
      </c>
      <c r="B5" s="34" t="s">
        <v>114</v>
      </c>
      <c r="C5" s="35" t="s">
        <v>838</v>
      </c>
      <c r="D5" s="35" t="s">
        <v>851</v>
      </c>
      <c r="E5" s="34" t="s">
        <v>844</v>
      </c>
      <c r="F5" s="33" t="s">
        <v>814</v>
      </c>
      <c r="G5" s="37" t="s">
        <v>863</v>
      </c>
      <c r="H5" s="37">
        <v>28</v>
      </c>
      <c r="I5" s="34">
        <v>35000</v>
      </c>
      <c r="J5" s="34">
        <v>35098</v>
      </c>
      <c r="K5" s="34" t="s">
        <v>120</v>
      </c>
      <c r="L5" s="39">
        <v>45890</v>
      </c>
      <c r="M5" s="40" t="s">
        <v>121</v>
      </c>
      <c r="N5" s="39" t="s">
        <v>122</v>
      </c>
      <c r="O5" s="39">
        <v>45881</v>
      </c>
      <c r="P5" s="39">
        <v>45907</v>
      </c>
      <c r="Q5" s="39">
        <v>45892</v>
      </c>
      <c r="R5" s="39">
        <v>46040</v>
      </c>
      <c r="S5" s="39">
        <v>46041</v>
      </c>
      <c r="T5" s="41"/>
      <c r="U5" s="41"/>
      <c r="V5" s="41"/>
      <c r="W5" s="41"/>
      <c r="X5" s="42"/>
      <c r="Y5" s="42"/>
      <c r="Z5" s="41"/>
      <c r="AA5" s="41"/>
      <c r="AB5" s="41"/>
      <c r="AC5" s="41"/>
      <c r="AD5" s="44" t="s">
        <v>268</v>
      </c>
      <c r="AE5" s="50">
        <f>MAX(0,Y5-X5)</f>
        <v>0</v>
      </c>
      <c r="AF5" s="36">
        <v>7</v>
      </c>
      <c r="AG5" s="51">
        <f>MAX(0,AE5-AF5)</f>
        <v>0</v>
      </c>
      <c r="AH5" s="52">
        <v>200</v>
      </c>
      <c r="AI5" s="53">
        <f>MAX(0,AG5*AH5)</f>
        <v>0</v>
      </c>
      <c r="AJ5" s="54">
        <f>MAX(0,AC5-AB5)</f>
        <v>0</v>
      </c>
      <c r="AK5" s="36">
        <v>2</v>
      </c>
      <c r="AL5" s="51">
        <f>MAX(0,AJ5-AK5)</f>
        <v>0</v>
      </c>
      <c r="AM5" s="52">
        <v>200</v>
      </c>
      <c r="AN5" s="53">
        <f>MAX(0,AL5*AM5)</f>
        <v>0</v>
      </c>
      <c r="AO5" s="52"/>
      <c r="AP5" s="55">
        <f>AO5+AN5+AI5</f>
        <v>0</v>
      </c>
    </row>
    <row r="6" spans="1:46" s="1" customFormat="1" ht="15" customHeight="1">
      <c r="A6" s="33">
        <f>ROW()-3</f>
        <v>3</v>
      </c>
      <c r="B6" s="34" t="s">
        <v>114</v>
      </c>
      <c r="C6" s="35" t="s">
        <v>834</v>
      </c>
      <c r="D6" s="35" t="s">
        <v>852</v>
      </c>
      <c r="E6" s="33" t="s">
        <v>845</v>
      </c>
      <c r="F6" s="33" t="s">
        <v>814</v>
      </c>
      <c r="G6" s="37" t="s">
        <v>863</v>
      </c>
      <c r="H6" s="37">
        <v>28</v>
      </c>
      <c r="I6" s="34">
        <v>35000</v>
      </c>
      <c r="J6" s="34">
        <v>35098</v>
      </c>
      <c r="K6" s="34" t="s">
        <v>120</v>
      </c>
      <c r="L6" s="39">
        <v>45890</v>
      </c>
      <c r="M6" s="40" t="s">
        <v>121</v>
      </c>
      <c r="N6" s="39" t="s">
        <v>122</v>
      </c>
      <c r="O6" s="39">
        <v>45881</v>
      </c>
      <c r="P6" s="39">
        <v>45907</v>
      </c>
      <c r="Q6" s="39">
        <v>45892</v>
      </c>
      <c r="R6" s="39">
        <v>46040</v>
      </c>
      <c r="S6" s="39">
        <v>46041</v>
      </c>
      <c r="T6" s="41"/>
      <c r="U6" s="41"/>
      <c r="V6" s="41"/>
      <c r="W6" s="41"/>
      <c r="X6" s="42"/>
      <c r="Y6" s="42"/>
      <c r="Z6" s="41"/>
      <c r="AA6" s="41"/>
      <c r="AB6" s="41"/>
      <c r="AC6" s="41"/>
      <c r="AD6" s="44" t="s">
        <v>268</v>
      </c>
      <c r="AE6" s="45">
        <f>MAX(0,Y6-X6)</f>
        <v>0</v>
      </c>
      <c r="AF6" s="36">
        <v>7</v>
      </c>
      <c r="AG6" s="46">
        <f>MAX(0,AE6-AF6)</f>
        <v>0</v>
      </c>
      <c r="AH6" s="47">
        <v>200</v>
      </c>
      <c r="AI6" s="48">
        <f>MAX(0,AG6*AH6)</f>
        <v>0</v>
      </c>
      <c r="AJ6" s="45">
        <f>MAX(0,AC6-AB6)</f>
        <v>0</v>
      </c>
      <c r="AK6" s="36">
        <v>2</v>
      </c>
      <c r="AL6" s="46">
        <f>MAX(0,AJ6-AK6)</f>
        <v>0</v>
      </c>
      <c r="AM6" s="47">
        <v>200</v>
      </c>
      <c r="AN6" s="48">
        <f>MAX(0,AL6*AM6)</f>
        <v>0</v>
      </c>
      <c r="AO6" s="47"/>
      <c r="AP6" s="49">
        <f>AO6+AN6+AI6</f>
        <v>0</v>
      </c>
    </row>
    <row r="7" spans="1:46" s="1" customFormat="1" ht="15" customHeight="1">
      <c r="A7" s="33">
        <f>ROW()-3</f>
        <v>4</v>
      </c>
      <c r="B7" s="34" t="s">
        <v>114</v>
      </c>
      <c r="C7" s="35" t="s">
        <v>621</v>
      </c>
      <c r="D7" s="35" t="s">
        <v>622</v>
      </c>
      <c r="E7" s="34" t="s">
        <v>623</v>
      </c>
      <c r="F7" s="33" t="s">
        <v>814</v>
      </c>
      <c r="G7" s="37" t="s">
        <v>863</v>
      </c>
      <c r="H7" s="37">
        <v>28</v>
      </c>
      <c r="I7" s="34">
        <v>35000</v>
      </c>
      <c r="J7" s="34">
        <v>35098</v>
      </c>
      <c r="K7" s="34" t="s">
        <v>120</v>
      </c>
      <c r="L7" s="39">
        <v>45890</v>
      </c>
      <c r="M7" s="40" t="s">
        <v>121</v>
      </c>
      <c r="N7" s="39" t="s">
        <v>122</v>
      </c>
      <c r="O7" s="39">
        <v>45881</v>
      </c>
      <c r="P7" s="39">
        <v>45907</v>
      </c>
      <c r="Q7" s="39">
        <v>45892</v>
      </c>
      <c r="R7" s="39">
        <v>46040</v>
      </c>
      <c r="S7" s="39">
        <v>46041</v>
      </c>
      <c r="T7" s="41"/>
      <c r="U7" s="41"/>
      <c r="V7" s="41"/>
      <c r="W7" s="41"/>
      <c r="X7" s="42"/>
      <c r="Y7" s="42"/>
      <c r="Z7" s="41"/>
      <c r="AA7" s="41"/>
      <c r="AB7" s="41"/>
      <c r="AC7" s="41"/>
      <c r="AD7" s="44" t="s">
        <v>268</v>
      </c>
      <c r="AE7" s="50">
        <f>MAX(0,Y7-X7)</f>
        <v>0</v>
      </c>
      <c r="AF7" s="36">
        <v>7</v>
      </c>
      <c r="AG7" s="51">
        <f>MAX(0,AE7-AF7)</f>
        <v>0</v>
      </c>
      <c r="AH7" s="52">
        <v>200</v>
      </c>
      <c r="AI7" s="53">
        <f>MAX(0,AG7*AH7)</f>
        <v>0</v>
      </c>
      <c r="AJ7" s="54">
        <f>MAX(0,AC7-AB7)</f>
        <v>0</v>
      </c>
      <c r="AK7" s="36">
        <v>2</v>
      </c>
      <c r="AL7" s="51">
        <f>MAX(0,AJ7-AK7)</f>
        <v>0</v>
      </c>
      <c r="AM7" s="52">
        <v>200</v>
      </c>
      <c r="AN7" s="53">
        <f>MAX(0,AL7*AM7)</f>
        <v>0</v>
      </c>
      <c r="AO7" s="52"/>
      <c r="AP7" s="55">
        <f>AO7+AN7+AI7</f>
        <v>0</v>
      </c>
    </row>
    <row r="8" spans="1:46" s="1" customFormat="1" ht="15" customHeight="1">
      <c r="A8" s="33">
        <f>ROW()-3</f>
        <v>5</v>
      </c>
      <c r="B8" s="34" t="s">
        <v>114</v>
      </c>
      <c r="C8" s="64" t="s">
        <v>739</v>
      </c>
      <c r="D8" s="34" t="s">
        <v>740</v>
      </c>
      <c r="E8" s="34" t="s">
        <v>741</v>
      </c>
      <c r="F8" s="33" t="s">
        <v>814</v>
      </c>
      <c r="G8" s="37" t="s">
        <v>863</v>
      </c>
      <c r="H8" s="37">
        <v>29</v>
      </c>
      <c r="I8" s="34">
        <v>36250</v>
      </c>
      <c r="J8" s="34">
        <v>36352</v>
      </c>
      <c r="K8" s="34" t="s">
        <v>120</v>
      </c>
      <c r="L8" s="39">
        <v>45890</v>
      </c>
      <c r="M8" s="40" t="s">
        <v>121</v>
      </c>
      <c r="N8" s="39" t="s">
        <v>122</v>
      </c>
      <c r="O8" s="39">
        <v>45881</v>
      </c>
      <c r="P8" s="39">
        <v>45907</v>
      </c>
      <c r="Q8" s="39">
        <v>45892</v>
      </c>
      <c r="R8" s="39">
        <v>46040</v>
      </c>
      <c r="S8" s="39">
        <v>46041</v>
      </c>
      <c r="T8" s="41"/>
      <c r="U8" s="41"/>
      <c r="V8" s="41"/>
      <c r="W8" s="41"/>
      <c r="X8" s="42"/>
      <c r="Y8" s="42"/>
      <c r="Z8" s="41"/>
      <c r="AA8" s="41"/>
      <c r="AB8" s="41"/>
      <c r="AC8" s="41"/>
      <c r="AD8" s="44" t="s">
        <v>268</v>
      </c>
      <c r="AE8" s="45">
        <f>MAX(0,Y8-X8)</f>
        <v>0</v>
      </c>
      <c r="AF8" s="36">
        <v>7</v>
      </c>
      <c r="AG8" s="46">
        <f>MAX(0,AE8-AF8)</f>
        <v>0</v>
      </c>
      <c r="AH8" s="47">
        <v>200</v>
      </c>
      <c r="AI8" s="48">
        <f>MAX(0,AG8*AH8)</f>
        <v>0</v>
      </c>
      <c r="AJ8" s="45">
        <f>MAX(0,AC8-AB8)</f>
        <v>0</v>
      </c>
      <c r="AK8" s="36">
        <v>2</v>
      </c>
      <c r="AL8" s="46">
        <f>MAX(0,AJ8-AK8)</f>
        <v>0</v>
      </c>
      <c r="AM8" s="47">
        <v>200</v>
      </c>
      <c r="AN8" s="48">
        <f>MAX(0,AL8*AM8)</f>
        <v>0</v>
      </c>
      <c r="AO8" s="47"/>
      <c r="AP8" s="49">
        <f>AO8+AN8+AI8</f>
        <v>0</v>
      </c>
    </row>
    <row r="9" spans="1:46" s="1" customFormat="1" ht="15" customHeight="1">
      <c r="A9" s="33">
        <f>ROW()-3</f>
        <v>6</v>
      </c>
      <c r="B9" s="34" t="s">
        <v>114</v>
      </c>
      <c r="C9" s="35" t="s">
        <v>835</v>
      </c>
      <c r="D9" s="35" t="s">
        <v>853</v>
      </c>
      <c r="E9" s="33" t="s">
        <v>846</v>
      </c>
      <c r="F9" s="33" t="s">
        <v>814</v>
      </c>
      <c r="G9" s="37" t="s">
        <v>863</v>
      </c>
      <c r="H9" s="37">
        <v>28</v>
      </c>
      <c r="I9" s="34">
        <v>35000</v>
      </c>
      <c r="J9" s="34">
        <v>35098</v>
      </c>
      <c r="K9" s="34" t="s">
        <v>120</v>
      </c>
      <c r="L9" s="39">
        <v>45890</v>
      </c>
      <c r="M9" s="40" t="s">
        <v>121</v>
      </c>
      <c r="N9" s="39" t="s">
        <v>122</v>
      </c>
      <c r="O9" s="39">
        <v>45881</v>
      </c>
      <c r="P9" s="39">
        <v>45907</v>
      </c>
      <c r="Q9" s="39">
        <v>45892</v>
      </c>
      <c r="R9" s="39">
        <v>46040</v>
      </c>
      <c r="S9" s="39">
        <v>46041</v>
      </c>
      <c r="T9" s="41"/>
      <c r="U9" s="41"/>
      <c r="V9" s="41"/>
      <c r="W9" s="41"/>
      <c r="X9" s="42"/>
      <c r="Y9" s="42"/>
      <c r="Z9" s="41"/>
      <c r="AA9" s="41"/>
      <c r="AB9" s="41"/>
      <c r="AC9" s="41"/>
      <c r="AD9" s="44" t="s">
        <v>268</v>
      </c>
      <c r="AE9" s="50">
        <f>MAX(0,Y9-X9)</f>
        <v>0</v>
      </c>
      <c r="AF9" s="36">
        <v>7</v>
      </c>
      <c r="AG9" s="51">
        <f>MAX(0,AE9-AF9)</f>
        <v>0</v>
      </c>
      <c r="AH9" s="52">
        <v>200</v>
      </c>
      <c r="AI9" s="53">
        <f>MAX(0,AG9*AH9)</f>
        <v>0</v>
      </c>
      <c r="AJ9" s="54">
        <f>MAX(0,AC9-AB9)</f>
        <v>0</v>
      </c>
      <c r="AK9" s="36">
        <v>2</v>
      </c>
      <c r="AL9" s="51">
        <f>MAX(0,AJ9-AK9)</f>
        <v>0</v>
      </c>
      <c r="AM9" s="52">
        <v>200</v>
      </c>
      <c r="AN9" s="53">
        <f>MAX(0,AL9*AM9)</f>
        <v>0</v>
      </c>
      <c r="AO9" s="52"/>
      <c r="AP9" s="55">
        <f>AO9+AN9+AI9</f>
        <v>0</v>
      </c>
    </row>
    <row r="10" spans="1:46" s="1" customFormat="1" ht="15" customHeight="1">
      <c r="A10" s="33">
        <f>ROW()-3</f>
        <v>7</v>
      </c>
      <c r="B10" s="34" t="s">
        <v>114</v>
      </c>
      <c r="C10" s="33" t="s">
        <v>833</v>
      </c>
      <c r="D10" s="33" t="s">
        <v>840</v>
      </c>
      <c r="E10" s="33" t="s">
        <v>847</v>
      </c>
      <c r="F10" s="33" t="s">
        <v>814</v>
      </c>
      <c r="G10" s="37" t="s">
        <v>862</v>
      </c>
      <c r="H10" s="37">
        <v>29</v>
      </c>
      <c r="I10" s="34">
        <v>36250</v>
      </c>
      <c r="J10" s="34">
        <v>36352</v>
      </c>
      <c r="K10" s="34" t="s">
        <v>120</v>
      </c>
      <c r="L10" s="39">
        <v>45890</v>
      </c>
      <c r="M10" s="40" t="s">
        <v>121</v>
      </c>
      <c r="N10" s="39" t="s">
        <v>122</v>
      </c>
      <c r="O10" s="39">
        <v>45881</v>
      </c>
      <c r="P10" s="39">
        <v>45907</v>
      </c>
      <c r="Q10" s="39">
        <v>45892</v>
      </c>
      <c r="R10" s="39">
        <v>46040</v>
      </c>
      <c r="S10" s="39">
        <v>46041</v>
      </c>
      <c r="T10" s="41"/>
      <c r="U10" s="41"/>
      <c r="V10" s="41"/>
      <c r="W10" s="41"/>
      <c r="X10" s="42"/>
      <c r="Y10" s="42"/>
      <c r="Z10" s="41"/>
      <c r="AA10" s="41"/>
      <c r="AB10" s="41"/>
      <c r="AC10" s="41"/>
      <c r="AD10" s="44" t="s">
        <v>268</v>
      </c>
      <c r="AE10" s="45">
        <f>MAX(0,Y10-X10)</f>
        <v>0</v>
      </c>
      <c r="AF10" s="36">
        <v>7</v>
      </c>
      <c r="AG10" s="46">
        <f>MAX(0,AE10-AF10)</f>
        <v>0</v>
      </c>
      <c r="AH10" s="47">
        <v>200</v>
      </c>
      <c r="AI10" s="48">
        <f>MAX(0,AG10*AH10)</f>
        <v>0</v>
      </c>
      <c r="AJ10" s="45">
        <f>MAX(0,AC10-AB10)</f>
        <v>0</v>
      </c>
      <c r="AK10" s="36">
        <v>2</v>
      </c>
      <c r="AL10" s="46">
        <f>MAX(0,AJ10-AK10)</f>
        <v>0</v>
      </c>
      <c r="AM10" s="47">
        <v>200</v>
      </c>
      <c r="AN10" s="48">
        <f>MAX(0,AL10*AM10)</f>
        <v>0</v>
      </c>
      <c r="AO10" s="47"/>
      <c r="AP10" s="49">
        <f>AO10+AN10+AI10</f>
        <v>0</v>
      </c>
    </row>
    <row r="11" spans="1:46" s="1" customFormat="1" ht="15" customHeight="1">
      <c r="A11" s="33">
        <f>ROW()-3</f>
        <v>8</v>
      </c>
      <c r="B11" s="34" t="s">
        <v>114</v>
      </c>
      <c r="C11" s="35" t="s">
        <v>837</v>
      </c>
      <c r="D11" s="35" t="s">
        <v>841</v>
      </c>
      <c r="E11" s="39" t="s">
        <v>848</v>
      </c>
      <c r="F11" s="33" t="s">
        <v>814</v>
      </c>
      <c r="G11" s="37" t="s">
        <v>863</v>
      </c>
      <c r="H11" s="37">
        <v>24</v>
      </c>
      <c r="I11" s="34">
        <v>30000</v>
      </c>
      <c r="J11" s="34">
        <v>30084</v>
      </c>
      <c r="K11" s="34" t="s">
        <v>120</v>
      </c>
      <c r="L11" s="39">
        <v>45890</v>
      </c>
      <c r="M11" s="40" t="s">
        <v>121</v>
      </c>
      <c r="N11" s="39" t="s">
        <v>122</v>
      </c>
      <c r="O11" s="39">
        <v>45881</v>
      </c>
      <c r="P11" s="39">
        <v>45907</v>
      </c>
      <c r="Q11" s="39">
        <v>45892</v>
      </c>
      <c r="R11" s="39">
        <v>46040</v>
      </c>
      <c r="S11" s="39">
        <v>46041</v>
      </c>
      <c r="T11" s="41"/>
      <c r="U11" s="41"/>
      <c r="V11" s="41"/>
      <c r="W11" s="41"/>
      <c r="X11" s="42"/>
      <c r="Y11" s="42"/>
      <c r="Z11" s="41"/>
      <c r="AA11" s="41"/>
      <c r="AB11" s="41"/>
      <c r="AC11" s="41"/>
      <c r="AD11" s="44" t="s">
        <v>268</v>
      </c>
      <c r="AE11" s="50">
        <f>MAX(0,Y11-X11)</f>
        <v>0</v>
      </c>
      <c r="AF11" s="36">
        <v>7</v>
      </c>
      <c r="AG11" s="51">
        <f>MAX(0,AE11-AF11)</f>
        <v>0</v>
      </c>
      <c r="AH11" s="52">
        <v>200</v>
      </c>
      <c r="AI11" s="53">
        <f>MAX(0,AG11*AH11)</f>
        <v>0</v>
      </c>
      <c r="AJ11" s="54">
        <f>MAX(0,AC11-AB11)</f>
        <v>0</v>
      </c>
      <c r="AK11" s="36">
        <v>2</v>
      </c>
      <c r="AL11" s="51">
        <f>MAX(0,AJ11-AK11)</f>
        <v>0</v>
      </c>
      <c r="AM11" s="52">
        <v>200</v>
      </c>
      <c r="AN11" s="53">
        <f>MAX(0,AL11*AM11)</f>
        <v>0</v>
      </c>
      <c r="AO11" s="52"/>
      <c r="AP11" s="55">
        <f>AO11+AN11+AI11</f>
        <v>0</v>
      </c>
    </row>
    <row r="12" spans="1:46" s="1" customFormat="1" ht="15" customHeight="1">
      <c r="A12" s="33">
        <f>ROW()-3</f>
        <v>9</v>
      </c>
      <c r="B12" s="34" t="s">
        <v>114</v>
      </c>
      <c r="C12" s="64" t="s">
        <v>836</v>
      </c>
      <c r="D12" s="64" t="s">
        <v>842</v>
      </c>
      <c r="E12" s="34" t="s">
        <v>849</v>
      </c>
      <c r="F12" s="33" t="s">
        <v>814</v>
      </c>
      <c r="G12" s="37" t="s">
        <v>863</v>
      </c>
      <c r="H12" s="37">
        <v>24</v>
      </c>
      <c r="I12" s="34">
        <v>30000</v>
      </c>
      <c r="J12" s="34">
        <v>30084</v>
      </c>
      <c r="K12" s="34" t="s">
        <v>120</v>
      </c>
      <c r="L12" s="39">
        <v>45890</v>
      </c>
      <c r="M12" s="40" t="s">
        <v>121</v>
      </c>
      <c r="N12" s="39" t="s">
        <v>122</v>
      </c>
      <c r="O12" s="39">
        <v>45881</v>
      </c>
      <c r="P12" s="39">
        <v>45907</v>
      </c>
      <c r="Q12" s="39">
        <v>45892</v>
      </c>
      <c r="R12" s="39">
        <v>46040</v>
      </c>
      <c r="S12" s="39">
        <v>46041</v>
      </c>
      <c r="T12" s="41"/>
      <c r="U12" s="41"/>
      <c r="V12" s="41"/>
      <c r="W12" s="41"/>
      <c r="X12" s="42"/>
      <c r="Y12" s="42"/>
      <c r="Z12" s="41"/>
      <c r="AA12" s="41"/>
      <c r="AB12" s="41"/>
      <c r="AC12" s="41"/>
      <c r="AD12" s="44" t="s">
        <v>268</v>
      </c>
      <c r="AE12" s="45">
        <f>MAX(0,Y12-X12)</f>
        <v>0</v>
      </c>
      <c r="AF12" s="36">
        <v>7</v>
      </c>
      <c r="AG12" s="46">
        <f>MAX(0,AE12-AF12)</f>
        <v>0</v>
      </c>
      <c r="AH12" s="47">
        <v>200</v>
      </c>
      <c r="AI12" s="48">
        <f>MAX(0,AG12*AH12)</f>
        <v>0</v>
      </c>
      <c r="AJ12" s="45">
        <f>MAX(0,AC12-AB12)</f>
        <v>0</v>
      </c>
      <c r="AK12" s="36">
        <v>2</v>
      </c>
      <c r="AL12" s="46">
        <f>MAX(0,AJ12-AK12)</f>
        <v>0</v>
      </c>
      <c r="AM12" s="47">
        <v>200</v>
      </c>
      <c r="AN12" s="48">
        <f>MAX(0,AL12*AM12)</f>
        <v>0</v>
      </c>
      <c r="AO12" s="47"/>
      <c r="AP12" s="49">
        <f>AO12+AN12+AI12</f>
        <v>0</v>
      </c>
    </row>
    <row r="13" spans="1:46" s="1" customFormat="1" ht="15" customHeight="1">
      <c r="A13" s="33">
        <f>ROW()-3</f>
        <v>10</v>
      </c>
      <c r="B13" s="34" t="s">
        <v>114</v>
      </c>
      <c r="C13" s="35" t="s">
        <v>794</v>
      </c>
      <c r="D13" s="35" t="s">
        <v>796</v>
      </c>
      <c r="E13" s="34" t="s">
        <v>806</v>
      </c>
      <c r="F13" s="33" t="s">
        <v>814</v>
      </c>
      <c r="G13" s="37" t="s">
        <v>863</v>
      </c>
      <c r="H13" s="37">
        <v>24</v>
      </c>
      <c r="I13" s="34">
        <v>30000</v>
      </c>
      <c r="J13" s="34">
        <v>30084</v>
      </c>
      <c r="K13" s="34" t="s">
        <v>120</v>
      </c>
      <c r="L13" s="39">
        <v>45890</v>
      </c>
      <c r="M13" s="40" t="s">
        <v>121</v>
      </c>
      <c r="N13" s="39" t="s">
        <v>122</v>
      </c>
      <c r="O13" s="39">
        <v>45881</v>
      </c>
      <c r="P13" s="39">
        <v>45907</v>
      </c>
      <c r="Q13" s="39">
        <v>45892</v>
      </c>
      <c r="R13" s="39">
        <v>46036</v>
      </c>
      <c r="S13" s="39">
        <v>46041</v>
      </c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4" t="s">
        <v>268</v>
      </c>
      <c r="AE13" s="50">
        <f>MAX(0,Y13-X13)</f>
        <v>0</v>
      </c>
      <c r="AF13" s="36">
        <v>7</v>
      </c>
      <c r="AG13" s="51">
        <f>MAX(0,AE13-AF13)</f>
        <v>0</v>
      </c>
      <c r="AH13" s="52">
        <v>200</v>
      </c>
      <c r="AI13" s="53">
        <f>MAX(0,AG13*AH13)</f>
        <v>0</v>
      </c>
      <c r="AJ13" s="54">
        <f>MAX(0,AC13-AB13)</f>
        <v>0</v>
      </c>
      <c r="AK13" s="36">
        <v>2</v>
      </c>
      <c r="AL13" s="51">
        <f>MAX(0,AJ13-AK13)</f>
        <v>0</v>
      </c>
      <c r="AM13" s="52">
        <v>200</v>
      </c>
      <c r="AN13" s="53">
        <f>MAX(0,AL13*AM13)</f>
        <v>0</v>
      </c>
      <c r="AO13" s="52"/>
      <c r="AP13" s="55">
        <f>AO13+AN13+AI13</f>
        <v>0</v>
      </c>
    </row>
    <row r="14" spans="1:46" s="1" customFormat="1" ht="15" customHeight="1">
      <c r="A14" s="33">
        <f>ROW()-3</f>
        <v>11</v>
      </c>
      <c r="B14" s="34" t="s">
        <v>114</v>
      </c>
      <c r="C14" s="34" t="s">
        <v>818</v>
      </c>
      <c r="D14" s="34" t="s">
        <v>830</v>
      </c>
      <c r="E14" s="34" t="s">
        <v>826</v>
      </c>
      <c r="F14" s="33" t="s">
        <v>814</v>
      </c>
      <c r="G14" s="37" t="s">
        <v>854</v>
      </c>
      <c r="H14" s="37">
        <v>28</v>
      </c>
      <c r="I14" s="34">
        <v>35000</v>
      </c>
      <c r="J14" s="34">
        <v>35098</v>
      </c>
      <c r="K14" s="34" t="s">
        <v>120</v>
      </c>
      <c r="L14" s="39">
        <v>45890</v>
      </c>
      <c r="M14" s="40" t="s">
        <v>121</v>
      </c>
      <c r="N14" s="39" t="s">
        <v>122</v>
      </c>
      <c r="O14" s="39">
        <v>45881</v>
      </c>
      <c r="P14" s="39">
        <v>45907</v>
      </c>
      <c r="Q14" s="39">
        <v>45892</v>
      </c>
      <c r="R14" s="39">
        <v>46038</v>
      </c>
      <c r="S14" s="39">
        <v>46039</v>
      </c>
      <c r="T14" s="39">
        <v>46042</v>
      </c>
      <c r="U14" s="39"/>
      <c r="V14" s="39"/>
      <c r="W14" s="39"/>
      <c r="X14" s="39"/>
      <c r="Y14" s="39"/>
      <c r="Z14" s="39"/>
      <c r="AA14" s="39"/>
      <c r="AB14" s="39"/>
      <c r="AC14" s="39"/>
      <c r="AD14" s="44" t="s">
        <v>268</v>
      </c>
      <c r="AE14" s="45">
        <f>MAX(0,Y14-X14)</f>
        <v>0</v>
      </c>
      <c r="AF14" s="36">
        <v>7</v>
      </c>
      <c r="AG14" s="46">
        <f>MAX(0,AE14-AF14)</f>
        <v>0</v>
      </c>
      <c r="AH14" s="47">
        <v>200</v>
      </c>
      <c r="AI14" s="48">
        <f>MAX(0,AG14*AH14)</f>
        <v>0</v>
      </c>
      <c r="AJ14" s="45">
        <f>MAX(0,AC14-AB14)</f>
        <v>0</v>
      </c>
      <c r="AK14" s="36">
        <v>2</v>
      </c>
      <c r="AL14" s="46">
        <f>MAX(0,AJ14-AK14)</f>
        <v>0</v>
      </c>
      <c r="AM14" s="47">
        <v>200</v>
      </c>
      <c r="AN14" s="48">
        <f>MAX(0,AL14*AM14)</f>
        <v>0</v>
      </c>
      <c r="AO14" s="47"/>
      <c r="AP14" s="49">
        <f>AO14+AN14+AI14</f>
        <v>0</v>
      </c>
    </row>
    <row r="15" spans="1:46" s="1" customFormat="1" ht="15" customHeight="1">
      <c r="A15" s="33">
        <f>ROW()-3</f>
        <v>12</v>
      </c>
      <c r="B15" s="34" t="s">
        <v>114</v>
      </c>
      <c r="C15" s="33" t="s">
        <v>819</v>
      </c>
      <c r="D15" s="33" t="s">
        <v>831</v>
      </c>
      <c r="E15" s="33" t="s">
        <v>827</v>
      </c>
      <c r="F15" s="33" t="s">
        <v>814</v>
      </c>
      <c r="G15" s="37" t="s">
        <v>857</v>
      </c>
      <c r="H15" s="37">
        <v>28</v>
      </c>
      <c r="I15" s="34">
        <v>35000</v>
      </c>
      <c r="J15" s="34">
        <v>35098</v>
      </c>
      <c r="K15" s="34" t="s">
        <v>120</v>
      </c>
      <c r="L15" s="39">
        <v>45890</v>
      </c>
      <c r="M15" s="40" t="s">
        <v>121</v>
      </c>
      <c r="N15" s="39" t="s">
        <v>122</v>
      </c>
      <c r="O15" s="39">
        <v>45881</v>
      </c>
      <c r="P15" s="39">
        <v>45907</v>
      </c>
      <c r="Q15" s="39">
        <v>45892</v>
      </c>
      <c r="R15" s="39">
        <v>46038</v>
      </c>
      <c r="S15" s="39">
        <v>46039</v>
      </c>
      <c r="T15" s="39">
        <v>46042</v>
      </c>
      <c r="U15" s="39"/>
      <c r="V15" s="39"/>
      <c r="W15" s="39"/>
      <c r="X15" s="39"/>
      <c r="Y15" s="39"/>
      <c r="Z15" s="39"/>
      <c r="AA15" s="39"/>
      <c r="AB15" s="39"/>
      <c r="AC15" s="39"/>
      <c r="AD15" s="44" t="s">
        <v>268</v>
      </c>
      <c r="AE15" s="45">
        <f>MAX(0,Y15-X15)</f>
        <v>0</v>
      </c>
      <c r="AF15" s="36">
        <v>7</v>
      </c>
      <c r="AG15" s="46">
        <f>MAX(0,AE15-AF15)</f>
        <v>0</v>
      </c>
      <c r="AH15" s="47">
        <v>200</v>
      </c>
      <c r="AI15" s="48">
        <f>MAX(0,AG15*AH15)</f>
        <v>0</v>
      </c>
      <c r="AJ15" s="45">
        <f>MAX(0,AC15-AB15)</f>
        <v>0</v>
      </c>
      <c r="AK15" s="36">
        <v>2</v>
      </c>
      <c r="AL15" s="46">
        <f>MAX(0,AJ15-AK15)</f>
        <v>0</v>
      </c>
      <c r="AM15" s="47">
        <v>200</v>
      </c>
      <c r="AN15" s="48">
        <f>MAX(0,AL15*AM15)</f>
        <v>0</v>
      </c>
      <c r="AO15" s="47"/>
      <c r="AP15" s="49">
        <f>AO15+AN15+AI15</f>
        <v>0</v>
      </c>
    </row>
    <row r="16" spans="1:46" s="1" customFormat="1" ht="15" customHeight="1">
      <c r="A16" s="33">
        <f>ROW()-3</f>
        <v>13</v>
      </c>
      <c r="B16" s="34" t="s">
        <v>114</v>
      </c>
      <c r="C16" s="33" t="s">
        <v>789</v>
      </c>
      <c r="D16" s="33" t="s">
        <v>810</v>
      </c>
      <c r="E16" s="34" t="s">
        <v>800</v>
      </c>
      <c r="F16" s="33" t="s">
        <v>814</v>
      </c>
      <c r="G16" s="37" t="s">
        <v>857</v>
      </c>
      <c r="H16" s="37">
        <v>28</v>
      </c>
      <c r="I16" s="34">
        <v>35000</v>
      </c>
      <c r="J16" s="34">
        <v>35098</v>
      </c>
      <c r="K16" s="34" t="s">
        <v>120</v>
      </c>
      <c r="L16" s="39">
        <v>45890</v>
      </c>
      <c r="M16" s="40" t="s">
        <v>121</v>
      </c>
      <c r="N16" s="39" t="s">
        <v>122</v>
      </c>
      <c r="O16" s="39">
        <v>45881</v>
      </c>
      <c r="P16" s="39">
        <v>45907</v>
      </c>
      <c r="Q16" s="39">
        <v>45892</v>
      </c>
      <c r="R16" s="39">
        <v>46036</v>
      </c>
      <c r="S16" s="39">
        <v>46038</v>
      </c>
      <c r="T16" s="39">
        <v>46041</v>
      </c>
      <c r="U16" s="39"/>
      <c r="V16" s="39"/>
      <c r="W16" s="39"/>
      <c r="X16" s="39"/>
      <c r="Y16" s="39"/>
      <c r="Z16" s="39"/>
      <c r="AA16" s="39"/>
      <c r="AB16" s="39"/>
      <c r="AC16" s="39"/>
      <c r="AD16" s="44" t="s">
        <v>268</v>
      </c>
      <c r="AE16" s="45">
        <f>MAX(0,Y16-X16)</f>
        <v>0</v>
      </c>
      <c r="AF16" s="36">
        <v>7</v>
      </c>
      <c r="AG16" s="46">
        <f>MAX(0,AE16-AF16)</f>
        <v>0</v>
      </c>
      <c r="AH16" s="47">
        <v>200</v>
      </c>
      <c r="AI16" s="48">
        <f>MAX(0,AG16*AH16)</f>
        <v>0</v>
      </c>
      <c r="AJ16" s="45">
        <f>MAX(0,AC16-AB16)</f>
        <v>0</v>
      </c>
      <c r="AK16" s="36">
        <v>2</v>
      </c>
      <c r="AL16" s="46">
        <f>MAX(0,AJ16-AK16)</f>
        <v>0</v>
      </c>
      <c r="AM16" s="47">
        <v>200</v>
      </c>
      <c r="AN16" s="48">
        <f>MAX(0,AL16*AM16)</f>
        <v>0</v>
      </c>
      <c r="AO16" s="47"/>
      <c r="AP16" s="49">
        <f>AO16+AN16+AI16</f>
        <v>0</v>
      </c>
    </row>
    <row r="17" spans="1:42" s="1" customFormat="1" ht="15" customHeight="1">
      <c r="A17" s="33">
        <f>ROW()-3</f>
        <v>14</v>
      </c>
      <c r="B17" s="34" t="s">
        <v>114</v>
      </c>
      <c r="C17" s="35" t="s">
        <v>788</v>
      </c>
      <c r="D17" s="35" t="s">
        <v>809</v>
      </c>
      <c r="E17" s="33" t="s">
        <v>799</v>
      </c>
      <c r="F17" s="33" t="s">
        <v>814</v>
      </c>
      <c r="G17" s="37" t="s">
        <v>857</v>
      </c>
      <c r="H17" s="37">
        <v>27</v>
      </c>
      <c r="I17" s="34">
        <v>33750</v>
      </c>
      <c r="J17" s="34">
        <v>33845</v>
      </c>
      <c r="K17" s="34" t="s">
        <v>120</v>
      </c>
      <c r="L17" s="39">
        <v>45890</v>
      </c>
      <c r="M17" s="40" t="s">
        <v>121</v>
      </c>
      <c r="N17" s="39" t="s">
        <v>122</v>
      </c>
      <c r="O17" s="39">
        <v>45881</v>
      </c>
      <c r="P17" s="39">
        <v>45907</v>
      </c>
      <c r="Q17" s="39">
        <v>45892</v>
      </c>
      <c r="R17" s="39">
        <v>46032</v>
      </c>
      <c r="S17" s="39">
        <v>46038</v>
      </c>
      <c r="T17" s="39">
        <v>46041</v>
      </c>
      <c r="U17" s="39"/>
      <c r="V17" s="39"/>
      <c r="W17" s="39"/>
      <c r="X17" s="39"/>
      <c r="Y17" s="39"/>
      <c r="Z17" s="39"/>
      <c r="AA17" s="39"/>
      <c r="AB17" s="39"/>
      <c r="AC17" s="39"/>
      <c r="AD17" s="44" t="s">
        <v>268</v>
      </c>
      <c r="AE17" s="50">
        <f>MAX(0,Y17-X17)</f>
        <v>0</v>
      </c>
      <c r="AF17" s="36">
        <v>7</v>
      </c>
      <c r="AG17" s="51">
        <f>MAX(0,AE17-AF17)</f>
        <v>0</v>
      </c>
      <c r="AH17" s="52">
        <v>200</v>
      </c>
      <c r="AI17" s="53">
        <f>MAX(0,AG17*AH17)</f>
        <v>0</v>
      </c>
      <c r="AJ17" s="54">
        <f>MAX(0,AC17-AB17)</f>
        <v>0</v>
      </c>
      <c r="AK17" s="36">
        <v>2</v>
      </c>
      <c r="AL17" s="51">
        <f>MAX(0,AJ17-AK17)</f>
        <v>0</v>
      </c>
      <c r="AM17" s="52">
        <v>200</v>
      </c>
      <c r="AN17" s="53">
        <f>MAX(0,AL17*AM17)</f>
        <v>0</v>
      </c>
      <c r="AO17" s="52"/>
      <c r="AP17" s="55">
        <f>AO17+AN17+AI17</f>
        <v>0</v>
      </c>
    </row>
    <row r="18" spans="1:42" s="1" customFormat="1" ht="15" customHeight="1">
      <c r="A18" s="33">
        <f>ROW()-3</f>
        <v>15</v>
      </c>
      <c r="B18" s="34" t="s">
        <v>114</v>
      </c>
      <c r="C18" s="33" t="s">
        <v>630</v>
      </c>
      <c r="D18" s="35" t="s">
        <v>631</v>
      </c>
      <c r="E18" s="34" t="s">
        <v>632</v>
      </c>
      <c r="F18" s="33" t="s">
        <v>12</v>
      </c>
      <c r="G18" s="37" t="s">
        <v>857</v>
      </c>
      <c r="H18" s="37">
        <v>28</v>
      </c>
      <c r="I18" s="34">
        <v>35000</v>
      </c>
      <c r="J18" s="34">
        <v>35098</v>
      </c>
      <c r="K18" s="34" t="s">
        <v>120</v>
      </c>
      <c r="L18" s="39">
        <v>45890</v>
      </c>
      <c r="M18" s="40" t="s">
        <v>121</v>
      </c>
      <c r="N18" s="39" t="s">
        <v>122</v>
      </c>
      <c r="O18" s="39">
        <v>45881</v>
      </c>
      <c r="P18" s="39">
        <v>45907</v>
      </c>
      <c r="Q18" s="39">
        <v>45892</v>
      </c>
      <c r="R18" s="39">
        <v>46038</v>
      </c>
      <c r="S18" s="39">
        <v>46039</v>
      </c>
      <c r="T18" s="39">
        <v>46042</v>
      </c>
      <c r="U18" s="39"/>
      <c r="V18" s="39"/>
      <c r="W18" s="39"/>
      <c r="X18" s="39"/>
      <c r="Y18" s="39"/>
      <c r="Z18" s="39"/>
      <c r="AA18" s="39"/>
      <c r="AB18" s="39"/>
      <c r="AC18" s="39"/>
      <c r="AD18" s="44" t="s">
        <v>268</v>
      </c>
      <c r="AE18" s="45">
        <f>MAX(0,Y18-X18)</f>
        <v>0</v>
      </c>
      <c r="AF18" s="36">
        <v>7</v>
      </c>
      <c r="AG18" s="46">
        <f>MAX(0,AE18-AF18)</f>
        <v>0</v>
      </c>
      <c r="AH18" s="47">
        <v>200</v>
      </c>
      <c r="AI18" s="48">
        <f>MAX(0,AG18*AH18)</f>
        <v>0</v>
      </c>
      <c r="AJ18" s="45">
        <f>MAX(0,AC18-AB18)</f>
        <v>0</v>
      </c>
      <c r="AK18" s="36">
        <v>2</v>
      </c>
      <c r="AL18" s="46">
        <f>MAX(0,AJ18-AK18)</f>
        <v>0</v>
      </c>
      <c r="AM18" s="47">
        <v>200</v>
      </c>
      <c r="AN18" s="48">
        <f>MAX(0,AL18*AM18)</f>
        <v>0</v>
      </c>
      <c r="AO18" s="47"/>
      <c r="AP18" s="49">
        <f>AO18+AN18+AI18</f>
        <v>0</v>
      </c>
    </row>
    <row r="19" spans="1:42" s="1" customFormat="1" ht="15" customHeight="1">
      <c r="A19" s="33">
        <f>ROW()-3</f>
        <v>16</v>
      </c>
      <c r="B19" s="34" t="s">
        <v>114</v>
      </c>
      <c r="C19" s="35" t="s">
        <v>615</v>
      </c>
      <c r="D19" s="35" t="s">
        <v>616</v>
      </c>
      <c r="E19" s="35" t="s">
        <v>617</v>
      </c>
      <c r="F19" s="33" t="s">
        <v>814</v>
      </c>
      <c r="G19" s="37" t="s">
        <v>860</v>
      </c>
      <c r="H19" s="37">
        <v>28</v>
      </c>
      <c r="I19" s="34">
        <v>35000</v>
      </c>
      <c r="J19" s="34">
        <v>35098</v>
      </c>
      <c r="K19" s="34" t="s">
        <v>120</v>
      </c>
      <c r="L19" s="39">
        <v>45890</v>
      </c>
      <c r="M19" s="40" t="s">
        <v>121</v>
      </c>
      <c r="N19" s="39" t="s">
        <v>122</v>
      </c>
      <c r="O19" s="39">
        <v>45881</v>
      </c>
      <c r="P19" s="39">
        <v>45907</v>
      </c>
      <c r="Q19" s="39">
        <v>45892</v>
      </c>
      <c r="R19" s="39">
        <v>46038</v>
      </c>
      <c r="S19" s="39">
        <v>46039</v>
      </c>
      <c r="T19" s="39">
        <v>46042</v>
      </c>
      <c r="U19" s="39">
        <v>46044</v>
      </c>
      <c r="V19" s="39"/>
      <c r="W19" s="39"/>
      <c r="X19" s="39"/>
      <c r="Y19" s="39"/>
      <c r="Z19" s="39"/>
      <c r="AA19" s="39"/>
      <c r="AB19" s="39"/>
      <c r="AC19" s="39"/>
      <c r="AD19" s="44" t="s">
        <v>268</v>
      </c>
      <c r="AE19" s="45">
        <f>MAX(0,Y19-X19)</f>
        <v>0</v>
      </c>
      <c r="AF19" s="36">
        <v>7</v>
      </c>
      <c r="AG19" s="46">
        <f>MAX(0,AE19-AF19)</f>
        <v>0</v>
      </c>
      <c r="AH19" s="47">
        <v>200</v>
      </c>
      <c r="AI19" s="48">
        <f>MAX(0,AG19*AH19)</f>
        <v>0</v>
      </c>
      <c r="AJ19" s="45">
        <f>MAX(0,AC19-AB19)</f>
        <v>0</v>
      </c>
      <c r="AK19" s="36">
        <v>2</v>
      </c>
      <c r="AL19" s="46">
        <f>MAX(0,AJ19-AK19)</f>
        <v>0</v>
      </c>
      <c r="AM19" s="47">
        <v>200</v>
      </c>
      <c r="AN19" s="48">
        <f>MAX(0,AL19*AM19)</f>
        <v>0</v>
      </c>
      <c r="AO19" s="47"/>
      <c r="AP19" s="49">
        <f>AO19+AN19+AI19</f>
        <v>0</v>
      </c>
    </row>
    <row r="20" spans="1:42" s="1" customFormat="1" ht="15" customHeight="1">
      <c r="A20" s="33">
        <f>ROW()-3</f>
        <v>17</v>
      </c>
      <c r="B20" s="34" t="s">
        <v>114</v>
      </c>
      <c r="C20" s="35" t="s">
        <v>792</v>
      </c>
      <c r="D20" s="35" t="s">
        <v>795</v>
      </c>
      <c r="E20" s="64" t="s">
        <v>804</v>
      </c>
      <c r="F20" s="33" t="s">
        <v>814</v>
      </c>
      <c r="G20" s="37" t="s">
        <v>864</v>
      </c>
      <c r="H20" s="37">
        <v>29</v>
      </c>
      <c r="I20" s="34">
        <v>36250</v>
      </c>
      <c r="J20" s="34">
        <v>36352</v>
      </c>
      <c r="K20" s="34" t="s">
        <v>120</v>
      </c>
      <c r="L20" s="39">
        <v>45890</v>
      </c>
      <c r="M20" s="40" t="s">
        <v>121</v>
      </c>
      <c r="N20" s="39" t="s">
        <v>122</v>
      </c>
      <c r="O20" s="39">
        <v>45881</v>
      </c>
      <c r="P20" s="39">
        <v>45907</v>
      </c>
      <c r="Q20" s="39">
        <v>45892</v>
      </c>
      <c r="R20" s="39">
        <v>46036</v>
      </c>
      <c r="S20" s="39">
        <v>46038</v>
      </c>
      <c r="T20" s="39">
        <v>46041</v>
      </c>
      <c r="U20" s="39">
        <v>46044</v>
      </c>
      <c r="V20" s="39"/>
      <c r="W20" s="39"/>
      <c r="X20" s="39"/>
      <c r="Y20" s="39"/>
      <c r="Z20" s="39"/>
      <c r="AA20" s="39"/>
      <c r="AB20" s="39"/>
      <c r="AC20" s="39"/>
      <c r="AD20" s="44" t="s">
        <v>268</v>
      </c>
      <c r="AE20" s="50">
        <f t="shared" ref="AE20:AE26" si="0">MAX(0,Y20-X20)</f>
        <v>0</v>
      </c>
      <c r="AF20" s="36">
        <v>7</v>
      </c>
      <c r="AG20" s="51">
        <f t="shared" ref="AG20:AG26" si="1">MAX(0,AE20-AF20)</f>
        <v>0</v>
      </c>
      <c r="AH20" s="52">
        <v>200</v>
      </c>
      <c r="AI20" s="53">
        <f t="shared" ref="AI20:AI26" si="2">MAX(0,AG20*AH20)</f>
        <v>0</v>
      </c>
      <c r="AJ20" s="54">
        <f t="shared" ref="AJ20:AJ26" si="3">MAX(0,AC20-AB20)</f>
        <v>0</v>
      </c>
      <c r="AK20" s="36">
        <v>2</v>
      </c>
      <c r="AL20" s="51">
        <f t="shared" ref="AL20:AL26" si="4">MAX(0,AJ20-AK20)</f>
        <v>0</v>
      </c>
      <c r="AM20" s="52">
        <v>200</v>
      </c>
      <c r="AN20" s="53">
        <f t="shared" ref="AN20:AN26" si="5">MAX(0,AL20*AM20)</f>
        <v>0</v>
      </c>
      <c r="AO20" s="52"/>
      <c r="AP20" s="55">
        <f t="shared" ref="AP20:AP26" si="6">AO20+AN20+AI20</f>
        <v>0</v>
      </c>
    </row>
    <row r="21" spans="1:42" s="1" customFormat="1" ht="15" customHeight="1">
      <c r="A21" s="33">
        <f>ROW()-3</f>
        <v>18</v>
      </c>
      <c r="B21" s="34" t="s">
        <v>114</v>
      </c>
      <c r="C21" s="35" t="s">
        <v>822</v>
      </c>
      <c r="D21" s="35" t="s">
        <v>832</v>
      </c>
      <c r="E21" s="34" t="s">
        <v>828</v>
      </c>
      <c r="F21" s="33" t="s">
        <v>814</v>
      </c>
      <c r="G21" s="37" t="s">
        <v>865</v>
      </c>
      <c r="H21" s="37">
        <v>28</v>
      </c>
      <c r="I21" s="34">
        <v>35000</v>
      </c>
      <c r="J21" s="34">
        <v>35098</v>
      </c>
      <c r="K21" s="34" t="s">
        <v>120</v>
      </c>
      <c r="L21" s="39">
        <v>45890</v>
      </c>
      <c r="M21" s="40" t="s">
        <v>121</v>
      </c>
      <c r="N21" s="39" t="s">
        <v>122</v>
      </c>
      <c r="O21" s="39">
        <v>45881</v>
      </c>
      <c r="P21" s="39">
        <v>45907</v>
      </c>
      <c r="Q21" s="39">
        <v>45892</v>
      </c>
      <c r="R21" s="39">
        <v>46038</v>
      </c>
      <c r="S21" s="39">
        <v>46039</v>
      </c>
      <c r="T21" s="39">
        <v>46042</v>
      </c>
      <c r="U21" s="39">
        <v>46044</v>
      </c>
      <c r="V21" s="39"/>
      <c r="W21" s="39"/>
      <c r="X21" s="39"/>
      <c r="Y21" s="39"/>
      <c r="Z21" s="39"/>
      <c r="AA21" s="39"/>
      <c r="AB21" s="39"/>
      <c r="AC21" s="39"/>
      <c r="AD21" s="44" t="s">
        <v>268</v>
      </c>
      <c r="AE21" s="45">
        <f t="shared" si="0"/>
        <v>0</v>
      </c>
      <c r="AF21" s="36">
        <v>7</v>
      </c>
      <c r="AG21" s="46">
        <f t="shared" si="1"/>
        <v>0</v>
      </c>
      <c r="AH21" s="47">
        <v>200</v>
      </c>
      <c r="AI21" s="48">
        <f t="shared" si="2"/>
        <v>0</v>
      </c>
      <c r="AJ21" s="45">
        <f t="shared" si="3"/>
        <v>0</v>
      </c>
      <c r="AK21" s="36">
        <v>2</v>
      </c>
      <c r="AL21" s="46">
        <f t="shared" si="4"/>
        <v>0</v>
      </c>
      <c r="AM21" s="47">
        <v>200</v>
      </c>
      <c r="AN21" s="48">
        <f t="shared" si="5"/>
        <v>0</v>
      </c>
      <c r="AO21" s="47"/>
      <c r="AP21" s="49">
        <f t="shared" si="6"/>
        <v>0</v>
      </c>
    </row>
    <row r="22" spans="1:42" s="1" customFormat="1" ht="15" customHeight="1">
      <c r="A22" s="33">
        <f>ROW()-3</f>
        <v>19</v>
      </c>
      <c r="B22" s="34" t="s">
        <v>114</v>
      </c>
      <c r="C22" s="275" t="s">
        <v>820</v>
      </c>
      <c r="D22" s="275" t="s">
        <v>829</v>
      </c>
      <c r="E22" s="276" t="s">
        <v>825</v>
      </c>
      <c r="F22" s="33" t="s">
        <v>814</v>
      </c>
      <c r="G22" s="37" t="s">
        <v>860</v>
      </c>
      <c r="H22" s="37">
        <v>28</v>
      </c>
      <c r="I22" s="34">
        <v>35000</v>
      </c>
      <c r="J22" s="34">
        <v>35098</v>
      </c>
      <c r="K22" s="34" t="s">
        <v>120</v>
      </c>
      <c r="L22" s="39">
        <v>45890</v>
      </c>
      <c r="M22" s="40" t="s">
        <v>121</v>
      </c>
      <c r="N22" s="39" t="s">
        <v>122</v>
      </c>
      <c r="O22" s="39">
        <v>45881</v>
      </c>
      <c r="P22" s="39">
        <v>45907</v>
      </c>
      <c r="Q22" s="39">
        <v>45892</v>
      </c>
      <c r="R22" s="39">
        <v>46036</v>
      </c>
      <c r="S22" s="39">
        <v>46038</v>
      </c>
      <c r="T22" s="39">
        <v>46041</v>
      </c>
      <c r="U22" s="39">
        <v>46044</v>
      </c>
      <c r="V22" s="39"/>
      <c r="W22" s="39"/>
      <c r="X22" s="39"/>
      <c r="Y22" s="39"/>
      <c r="Z22" s="39"/>
      <c r="AA22" s="39"/>
      <c r="AB22" s="39"/>
      <c r="AC22" s="39"/>
      <c r="AD22" s="44" t="s">
        <v>268</v>
      </c>
      <c r="AE22" s="45">
        <f t="shared" si="0"/>
        <v>0</v>
      </c>
      <c r="AF22" s="36">
        <v>7</v>
      </c>
      <c r="AG22" s="46">
        <f t="shared" si="1"/>
        <v>0</v>
      </c>
      <c r="AH22" s="47">
        <v>200</v>
      </c>
      <c r="AI22" s="48">
        <f t="shared" si="2"/>
        <v>0</v>
      </c>
      <c r="AJ22" s="45">
        <f t="shared" si="3"/>
        <v>0</v>
      </c>
      <c r="AK22" s="36">
        <v>2</v>
      </c>
      <c r="AL22" s="46">
        <f t="shared" si="4"/>
        <v>0</v>
      </c>
      <c r="AM22" s="47">
        <v>200</v>
      </c>
      <c r="AN22" s="48">
        <f t="shared" si="5"/>
        <v>0</v>
      </c>
      <c r="AO22" s="47"/>
      <c r="AP22" s="49">
        <f t="shared" si="6"/>
        <v>0</v>
      </c>
    </row>
    <row r="23" spans="1:42" s="1" customFormat="1" ht="15" customHeight="1">
      <c r="A23" s="33">
        <f>ROW()-3</f>
        <v>20</v>
      </c>
      <c r="B23" s="34" t="s">
        <v>114</v>
      </c>
      <c r="C23" s="35" t="s">
        <v>821</v>
      </c>
      <c r="D23" s="35" t="s">
        <v>823</v>
      </c>
      <c r="E23" s="34" t="s">
        <v>824</v>
      </c>
      <c r="F23" s="33" t="s">
        <v>814</v>
      </c>
      <c r="G23" s="37" t="s">
        <v>869</v>
      </c>
      <c r="H23" s="37">
        <v>29</v>
      </c>
      <c r="I23" s="34">
        <v>36250</v>
      </c>
      <c r="J23" s="34">
        <v>36352</v>
      </c>
      <c r="K23" s="34" t="s">
        <v>120</v>
      </c>
      <c r="L23" s="39">
        <v>45890</v>
      </c>
      <c r="M23" s="40" t="s">
        <v>121</v>
      </c>
      <c r="N23" s="39" t="s">
        <v>122</v>
      </c>
      <c r="O23" s="39">
        <v>45881</v>
      </c>
      <c r="P23" s="39">
        <v>45907</v>
      </c>
      <c r="Q23" s="39">
        <v>45892</v>
      </c>
      <c r="R23" s="39">
        <v>46038</v>
      </c>
      <c r="S23" s="39">
        <v>46039</v>
      </c>
      <c r="T23" s="39">
        <v>46042</v>
      </c>
      <c r="U23" s="39">
        <v>46044</v>
      </c>
      <c r="V23" s="39"/>
      <c r="W23" s="39"/>
      <c r="X23" s="39"/>
      <c r="Y23" s="39"/>
      <c r="Z23" s="39"/>
      <c r="AA23" s="39"/>
      <c r="AB23" s="39"/>
      <c r="AC23" s="39"/>
      <c r="AD23" s="44" t="s">
        <v>268</v>
      </c>
      <c r="AE23" s="45">
        <f t="shared" si="0"/>
        <v>0</v>
      </c>
      <c r="AF23" s="36">
        <v>7</v>
      </c>
      <c r="AG23" s="46">
        <f t="shared" si="1"/>
        <v>0</v>
      </c>
      <c r="AH23" s="47">
        <v>200</v>
      </c>
      <c r="AI23" s="48">
        <f t="shared" si="2"/>
        <v>0</v>
      </c>
      <c r="AJ23" s="45">
        <f t="shared" si="3"/>
        <v>0</v>
      </c>
      <c r="AK23" s="36">
        <v>2</v>
      </c>
      <c r="AL23" s="46">
        <f t="shared" si="4"/>
        <v>0</v>
      </c>
      <c r="AM23" s="47">
        <v>200</v>
      </c>
      <c r="AN23" s="48">
        <f t="shared" si="5"/>
        <v>0</v>
      </c>
      <c r="AO23" s="47"/>
      <c r="AP23" s="49">
        <f t="shared" si="6"/>
        <v>0</v>
      </c>
    </row>
    <row r="24" spans="1:42" s="1" customFormat="1" ht="15" customHeight="1">
      <c r="A24" s="33">
        <f>ROW()-3</f>
        <v>21</v>
      </c>
      <c r="B24" s="34" t="s">
        <v>114</v>
      </c>
      <c r="C24" s="33" t="s">
        <v>585</v>
      </c>
      <c r="D24" s="35" t="s">
        <v>586</v>
      </c>
      <c r="E24" s="34" t="s">
        <v>587</v>
      </c>
      <c r="F24" s="33" t="s">
        <v>814</v>
      </c>
      <c r="G24" s="37" t="s">
        <v>870</v>
      </c>
      <c r="H24" s="37">
        <v>28</v>
      </c>
      <c r="I24" s="34">
        <v>35000</v>
      </c>
      <c r="J24" s="34">
        <v>35098</v>
      </c>
      <c r="K24" s="34" t="s">
        <v>120</v>
      </c>
      <c r="L24" s="39">
        <v>45890</v>
      </c>
      <c r="M24" s="40" t="s">
        <v>121</v>
      </c>
      <c r="N24" s="39" t="s">
        <v>122</v>
      </c>
      <c r="O24" s="39">
        <v>45881</v>
      </c>
      <c r="P24" s="39">
        <v>45907</v>
      </c>
      <c r="Q24" s="39">
        <v>45892</v>
      </c>
      <c r="R24" s="39">
        <v>46038</v>
      </c>
      <c r="S24" s="39">
        <v>46039</v>
      </c>
      <c r="T24" s="39">
        <v>46042</v>
      </c>
      <c r="U24" s="39">
        <v>46044</v>
      </c>
      <c r="V24" s="39"/>
      <c r="W24" s="39"/>
      <c r="X24" s="39"/>
      <c r="Y24" s="39"/>
      <c r="Z24" s="39"/>
      <c r="AA24" s="39"/>
      <c r="AB24" s="39"/>
      <c r="AC24" s="39"/>
      <c r="AD24" s="44" t="s">
        <v>268</v>
      </c>
      <c r="AE24" s="45">
        <f t="shared" si="0"/>
        <v>0</v>
      </c>
      <c r="AF24" s="36">
        <v>7</v>
      </c>
      <c r="AG24" s="46">
        <f t="shared" si="1"/>
        <v>0</v>
      </c>
      <c r="AH24" s="47">
        <v>200</v>
      </c>
      <c r="AI24" s="48">
        <f t="shared" si="2"/>
        <v>0</v>
      </c>
      <c r="AJ24" s="45">
        <f t="shared" si="3"/>
        <v>0</v>
      </c>
      <c r="AK24" s="36">
        <v>2</v>
      </c>
      <c r="AL24" s="46">
        <f t="shared" si="4"/>
        <v>0</v>
      </c>
      <c r="AM24" s="47">
        <v>200</v>
      </c>
      <c r="AN24" s="48">
        <f t="shared" si="5"/>
        <v>0</v>
      </c>
      <c r="AO24" s="47"/>
      <c r="AP24" s="49">
        <f t="shared" si="6"/>
        <v>0</v>
      </c>
    </row>
    <row r="25" spans="1:42" s="1" customFormat="1" ht="15" customHeight="1">
      <c r="A25" s="33">
        <f>ROW()-3</f>
        <v>22</v>
      </c>
      <c r="B25" s="34" t="s">
        <v>114</v>
      </c>
      <c r="C25" s="35" t="s">
        <v>793</v>
      </c>
      <c r="D25" s="35" t="s">
        <v>813</v>
      </c>
      <c r="E25" s="34" t="s">
        <v>805</v>
      </c>
      <c r="F25" s="33" t="s">
        <v>814</v>
      </c>
      <c r="G25" s="37" t="s">
        <v>869</v>
      </c>
      <c r="H25" s="37">
        <v>28</v>
      </c>
      <c r="I25" s="34">
        <v>35000</v>
      </c>
      <c r="J25" s="34">
        <v>35098</v>
      </c>
      <c r="K25" s="34" t="s">
        <v>120</v>
      </c>
      <c r="L25" s="39">
        <v>45890</v>
      </c>
      <c r="M25" s="40" t="s">
        <v>121</v>
      </c>
      <c r="N25" s="39" t="s">
        <v>122</v>
      </c>
      <c r="O25" s="39">
        <v>45881</v>
      </c>
      <c r="P25" s="39">
        <v>45907</v>
      </c>
      <c r="Q25" s="39">
        <v>45892</v>
      </c>
      <c r="R25" s="39">
        <v>46036</v>
      </c>
      <c r="S25" s="39">
        <v>46039</v>
      </c>
      <c r="T25" s="39">
        <v>46042</v>
      </c>
      <c r="U25" s="39">
        <v>46044</v>
      </c>
      <c r="V25" s="39"/>
      <c r="W25" s="39"/>
      <c r="X25" s="39"/>
      <c r="Y25" s="39"/>
      <c r="Z25" s="39"/>
      <c r="AA25" s="39"/>
      <c r="AB25" s="39"/>
      <c r="AC25" s="39"/>
      <c r="AD25" s="44" t="s">
        <v>268</v>
      </c>
      <c r="AE25" s="45">
        <f t="shared" si="0"/>
        <v>0</v>
      </c>
      <c r="AF25" s="36">
        <v>7</v>
      </c>
      <c r="AG25" s="46">
        <f t="shared" si="1"/>
        <v>0</v>
      </c>
      <c r="AH25" s="47">
        <v>200</v>
      </c>
      <c r="AI25" s="48">
        <f t="shared" si="2"/>
        <v>0</v>
      </c>
      <c r="AJ25" s="45">
        <f t="shared" si="3"/>
        <v>0</v>
      </c>
      <c r="AK25" s="36">
        <v>2</v>
      </c>
      <c r="AL25" s="46">
        <f t="shared" si="4"/>
        <v>0</v>
      </c>
      <c r="AM25" s="47">
        <v>200</v>
      </c>
      <c r="AN25" s="48">
        <f t="shared" si="5"/>
        <v>0</v>
      </c>
      <c r="AO25" s="47"/>
      <c r="AP25" s="49">
        <f t="shared" si="6"/>
        <v>0</v>
      </c>
    </row>
    <row r="26" spans="1:42" s="1" customFormat="1" ht="15" customHeight="1">
      <c r="A26" s="33">
        <f>ROW()-3</f>
        <v>23</v>
      </c>
      <c r="B26" s="34" t="s">
        <v>114</v>
      </c>
      <c r="C26" s="35" t="s">
        <v>791</v>
      </c>
      <c r="D26" s="35" t="s">
        <v>812</v>
      </c>
      <c r="E26" s="34" t="s">
        <v>802</v>
      </c>
      <c r="F26" s="33" t="s">
        <v>814</v>
      </c>
      <c r="G26" s="37" t="s">
        <v>866</v>
      </c>
      <c r="H26" s="37">
        <v>28</v>
      </c>
      <c r="I26" s="34">
        <v>35000</v>
      </c>
      <c r="J26" s="34">
        <v>35098</v>
      </c>
      <c r="K26" s="34" t="s">
        <v>120</v>
      </c>
      <c r="L26" s="39">
        <v>45890</v>
      </c>
      <c r="M26" s="40" t="s">
        <v>121</v>
      </c>
      <c r="N26" s="39" t="s">
        <v>122</v>
      </c>
      <c r="O26" s="39">
        <v>45881</v>
      </c>
      <c r="P26" s="39">
        <v>45907</v>
      </c>
      <c r="Q26" s="39">
        <v>45892</v>
      </c>
      <c r="R26" s="39">
        <v>46036</v>
      </c>
      <c r="S26" s="39">
        <v>46039</v>
      </c>
      <c r="T26" s="39">
        <v>46042</v>
      </c>
      <c r="U26" s="39">
        <v>46044</v>
      </c>
      <c r="V26" s="39"/>
      <c r="W26" s="39"/>
      <c r="X26" s="39"/>
      <c r="Y26" s="39"/>
      <c r="Z26" s="39"/>
      <c r="AA26" s="39"/>
      <c r="AB26" s="39"/>
      <c r="AC26" s="39"/>
      <c r="AD26" s="44" t="s">
        <v>268</v>
      </c>
      <c r="AE26" s="45">
        <f t="shared" si="0"/>
        <v>0</v>
      </c>
      <c r="AF26" s="36">
        <v>7</v>
      </c>
      <c r="AG26" s="46">
        <f t="shared" si="1"/>
        <v>0</v>
      </c>
      <c r="AH26" s="47">
        <v>200</v>
      </c>
      <c r="AI26" s="48">
        <f t="shared" si="2"/>
        <v>0</v>
      </c>
      <c r="AJ26" s="45">
        <f t="shared" si="3"/>
        <v>0</v>
      </c>
      <c r="AK26" s="36">
        <v>2</v>
      </c>
      <c r="AL26" s="46">
        <f t="shared" si="4"/>
        <v>0</v>
      </c>
      <c r="AM26" s="47">
        <v>200</v>
      </c>
      <c r="AN26" s="48">
        <f t="shared" si="5"/>
        <v>0</v>
      </c>
      <c r="AO26" s="47"/>
      <c r="AP26" s="49">
        <f t="shared" si="6"/>
        <v>0</v>
      </c>
    </row>
    <row r="27" spans="1:42" s="1" customFormat="1" ht="15" customHeight="1">
      <c r="A27" s="33">
        <f>ROW()-3</f>
        <v>24</v>
      </c>
      <c r="B27" s="34" t="s">
        <v>114</v>
      </c>
      <c r="C27" s="35" t="s">
        <v>786</v>
      </c>
      <c r="D27" s="35" t="s">
        <v>807</v>
      </c>
      <c r="E27" s="34" t="s">
        <v>797</v>
      </c>
      <c r="F27" s="33" t="s">
        <v>814</v>
      </c>
      <c r="G27" s="37" t="s">
        <v>866</v>
      </c>
      <c r="H27" s="37">
        <v>28</v>
      </c>
      <c r="I27" s="34">
        <v>35000</v>
      </c>
      <c r="J27" s="34">
        <v>35098</v>
      </c>
      <c r="K27" s="34" t="s">
        <v>120</v>
      </c>
      <c r="L27" s="39">
        <v>45890</v>
      </c>
      <c r="M27" s="40" t="s">
        <v>121</v>
      </c>
      <c r="N27" s="39" t="s">
        <v>122</v>
      </c>
      <c r="O27" s="39">
        <v>45881</v>
      </c>
      <c r="P27" s="39">
        <v>45907</v>
      </c>
      <c r="Q27" s="39">
        <v>45892</v>
      </c>
      <c r="R27" s="39">
        <v>46031</v>
      </c>
      <c r="S27" s="39">
        <v>46038</v>
      </c>
      <c r="T27" s="39">
        <v>46041</v>
      </c>
      <c r="U27" s="39">
        <v>46044</v>
      </c>
      <c r="V27" s="39"/>
      <c r="W27" s="39"/>
      <c r="X27" s="39"/>
      <c r="Y27" s="39"/>
      <c r="Z27" s="39"/>
      <c r="AA27" s="39"/>
      <c r="AB27" s="39"/>
      <c r="AC27" s="39"/>
      <c r="AD27" s="44" t="s">
        <v>268</v>
      </c>
      <c r="AE27" s="50">
        <f>MAX(0,Y27-X27)</f>
        <v>0</v>
      </c>
      <c r="AF27" s="36">
        <v>7</v>
      </c>
      <c r="AG27" s="51">
        <f>MAX(0,AE27-AF27)</f>
        <v>0</v>
      </c>
      <c r="AH27" s="52">
        <v>200</v>
      </c>
      <c r="AI27" s="53">
        <f>MAX(0,AG27*AH27)</f>
        <v>0</v>
      </c>
      <c r="AJ27" s="54">
        <f>MAX(0,AC27-AB27)</f>
        <v>0</v>
      </c>
      <c r="AK27" s="36">
        <v>2</v>
      </c>
      <c r="AL27" s="51">
        <f>MAX(0,AJ27-AK27)</f>
        <v>0</v>
      </c>
      <c r="AM27" s="52">
        <v>200</v>
      </c>
      <c r="AN27" s="53">
        <f>MAX(0,AL27*AM27)</f>
        <v>0</v>
      </c>
      <c r="AO27" s="52"/>
      <c r="AP27" s="55">
        <f>AO27+AN27+AI27</f>
        <v>0</v>
      </c>
    </row>
    <row r="28" spans="1:42" s="1" customFormat="1" ht="15" customHeight="1">
      <c r="A28" s="33">
        <f>ROW()-3</f>
        <v>25</v>
      </c>
      <c r="B28" s="34" t="s">
        <v>114</v>
      </c>
      <c r="C28" s="35" t="s">
        <v>787</v>
      </c>
      <c r="D28" s="35" t="s">
        <v>808</v>
      </c>
      <c r="E28" s="34" t="s">
        <v>798</v>
      </c>
      <c r="F28" s="33" t="s">
        <v>814</v>
      </c>
      <c r="G28" s="37" t="s">
        <v>868</v>
      </c>
      <c r="H28" s="37">
        <v>28</v>
      </c>
      <c r="I28" s="34">
        <v>35000</v>
      </c>
      <c r="J28" s="34">
        <v>35098</v>
      </c>
      <c r="K28" s="34" t="s">
        <v>120</v>
      </c>
      <c r="L28" s="39">
        <v>45890</v>
      </c>
      <c r="M28" s="40" t="s">
        <v>121</v>
      </c>
      <c r="N28" s="39" t="s">
        <v>122</v>
      </c>
      <c r="O28" s="39">
        <v>45881</v>
      </c>
      <c r="P28" s="39">
        <v>45907</v>
      </c>
      <c r="Q28" s="39">
        <v>45892</v>
      </c>
      <c r="R28" s="39">
        <v>46031</v>
      </c>
      <c r="S28" s="39">
        <v>46038</v>
      </c>
      <c r="T28" s="39">
        <v>46041</v>
      </c>
      <c r="U28" s="39">
        <v>46044</v>
      </c>
      <c r="V28" s="39"/>
      <c r="W28" s="39"/>
      <c r="X28" s="39"/>
      <c r="Y28" s="39"/>
      <c r="Z28" s="39"/>
      <c r="AA28" s="39"/>
      <c r="AB28" s="39"/>
      <c r="AC28" s="39"/>
      <c r="AD28" s="44" t="s">
        <v>268</v>
      </c>
      <c r="AE28" s="45">
        <f>MAX(0,Y28-X28)</f>
        <v>0</v>
      </c>
      <c r="AF28" s="36">
        <v>7</v>
      </c>
      <c r="AG28" s="46">
        <f>MAX(0,AE28-AF28)</f>
        <v>0</v>
      </c>
      <c r="AH28" s="47">
        <v>200</v>
      </c>
      <c r="AI28" s="48">
        <f>MAX(0,AG28*AH28)</f>
        <v>0</v>
      </c>
      <c r="AJ28" s="45">
        <f>MAX(0,AC28-AB28)</f>
        <v>0</v>
      </c>
      <c r="AK28" s="36">
        <v>2</v>
      </c>
      <c r="AL28" s="46">
        <f>MAX(0,AJ28-AK28)</f>
        <v>0</v>
      </c>
      <c r="AM28" s="47">
        <v>200</v>
      </c>
      <c r="AN28" s="48">
        <f>MAX(0,AL28*AM28)</f>
        <v>0</v>
      </c>
      <c r="AO28" s="47"/>
      <c r="AP28" s="49">
        <f>AO28+AN28+AI28</f>
        <v>0</v>
      </c>
    </row>
    <row r="29" spans="1:42" s="1" customFormat="1" ht="15" customHeight="1">
      <c r="A29" s="33">
        <f>ROW()-3</f>
        <v>26</v>
      </c>
      <c r="B29" s="34" t="s">
        <v>114</v>
      </c>
      <c r="C29" s="35" t="s">
        <v>790</v>
      </c>
      <c r="D29" s="35" t="s">
        <v>811</v>
      </c>
      <c r="E29" s="33" t="s">
        <v>801</v>
      </c>
      <c r="F29" s="33" t="s">
        <v>814</v>
      </c>
      <c r="G29" s="37" t="s">
        <v>866</v>
      </c>
      <c r="H29" s="37">
        <v>28</v>
      </c>
      <c r="I29" s="34">
        <v>35000</v>
      </c>
      <c r="J29" s="34">
        <v>35098</v>
      </c>
      <c r="K29" s="34" t="s">
        <v>120</v>
      </c>
      <c r="L29" s="39">
        <v>45890</v>
      </c>
      <c r="M29" s="40" t="s">
        <v>121</v>
      </c>
      <c r="N29" s="39" t="s">
        <v>122</v>
      </c>
      <c r="O29" s="39">
        <v>45881</v>
      </c>
      <c r="P29" s="39">
        <v>45907</v>
      </c>
      <c r="Q29" s="39">
        <v>45892</v>
      </c>
      <c r="R29" s="39">
        <v>46036</v>
      </c>
      <c r="S29" s="39">
        <v>46038</v>
      </c>
      <c r="T29" s="39">
        <v>46041</v>
      </c>
      <c r="U29" s="39">
        <v>46044</v>
      </c>
      <c r="V29" s="39"/>
      <c r="W29" s="39"/>
      <c r="X29" s="39"/>
      <c r="Y29" s="39"/>
      <c r="Z29" s="39"/>
      <c r="AA29" s="39"/>
      <c r="AB29" s="39"/>
      <c r="AC29" s="39"/>
      <c r="AD29" s="44" t="s">
        <v>268</v>
      </c>
      <c r="AE29" s="50">
        <f>MAX(0,Y29-X29)</f>
        <v>0</v>
      </c>
      <c r="AF29" s="36">
        <v>7</v>
      </c>
      <c r="AG29" s="51">
        <f>MAX(0,AE29-AF29)</f>
        <v>0</v>
      </c>
      <c r="AH29" s="52">
        <v>200</v>
      </c>
      <c r="AI29" s="53">
        <f>MAX(0,AG29*AH29)</f>
        <v>0</v>
      </c>
      <c r="AJ29" s="54">
        <f>MAX(0,AC29-AB29)</f>
        <v>0</v>
      </c>
      <c r="AK29" s="36">
        <v>2</v>
      </c>
      <c r="AL29" s="51">
        <f>MAX(0,AJ29-AK29)</f>
        <v>0</v>
      </c>
      <c r="AM29" s="52">
        <v>200</v>
      </c>
      <c r="AN29" s="53">
        <f>MAX(0,AL29*AM29)</f>
        <v>0</v>
      </c>
      <c r="AO29" s="52"/>
      <c r="AP29" s="55">
        <f>AO29+AN29+AI29</f>
        <v>0</v>
      </c>
    </row>
    <row r="30" spans="1:42" s="1" customFormat="1" ht="15" customHeight="1">
      <c r="A30" s="33">
        <f>ROW()-3</f>
        <v>27</v>
      </c>
      <c r="B30" s="34" t="s">
        <v>114</v>
      </c>
      <c r="C30" s="33" t="s">
        <v>633</v>
      </c>
      <c r="D30" s="35" t="s">
        <v>634</v>
      </c>
      <c r="E30" s="34" t="s">
        <v>635</v>
      </c>
      <c r="F30" s="33" t="s">
        <v>814</v>
      </c>
      <c r="G30" s="37" t="s">
        <v>870</v>
      </c>
      <c r="H30" s="37">
        <v>28</v>
      </c>
      <c r="I30" s="34">
        <v>35000</v>
      </c>
      <c r="J30" s="34">
        <v>35098</v>
      </c>
      <c r="K30" s="34" t="s">
        <v>120</v>
      </c>
      <c r="L30" s="39">
        <v>45890</v>
      </c>
      <c r="M30" s="40" t="s">
        <v>121</v>
      </c>
      <c r="N30" s="39" t="s">
        <v>122</v>
      </c>
      <c r="O30" s="39">
        <v>45881</v>
      </c>
      <c r="P30" s="39">
        <v>45907</v>
      </c>
      <c r="Q30" s="39">
        <v>45892</v>
      </c>
      <c r="R30" s="39">
        <v>46036</v>
      </c>
      <c r="S30" s="39">
        <v>46038</v>
      </c>
      <c r="T30" s="39">
        <v>46041</v>
      </c>
      <c r="U30" s="39">
        <v>46044</v>
      </c>
      <c r="V30" s="39"/>
      <c r="W30" s="39"/>
      <c r="X30" s="39"/>
      <c r="Y30" s="39"/>
      <c r="Z30" s="39"/>
      <c r="AA30" s="39"/>
      <c r="AB30" s="39"/>
      <c r="AC30" s="39"/>
      <c r="AD30" s="44" t="s">
        <v>268</v>
      </c>
      <c r="AE30" s="50">
        <f>MAX(0,Y30-X30)</f>
        <v>0</v>
      </c>
      <c r="AF30" s="36">
        <v>7</v>
      </c>
      <c r="AG30" s="51">
        <f>MAX(0,AE30-AF30)</f>
        <v>0</v>
      </c>
      <c r="AH30" s="52">
        <v>200</v>
      </c>
      <c r="AI30" s="53">
        <f>MAX(0,AG30*AH30)</f>
        <v>0</v>
      </c>
      <c r="AJ30" s="54">
        <f>MAX(0,AC30-AB30)</f>
        <v>0</v>
      </c>
      <c r="AK30" s="36">
        <v>2</v>
      </c>
      <c r="AL30" s="51">
        <f>MAX(0,AJ30-AK30)</f>
        <v>0</v>
      </c>
      <c r="AM30" s="52">
        <v>200</v>
      </c>
      <c r="AN30" s="53">
        <f>MAX(0,AL30*AM30)</f>
        <v>0</v>
      </c>
      <c r="AO30" s="52"/>
      <c r="AP30" s="55">
        <f>AO30+AN30+AI30</f>
        <v>0</v>
      </c>
    </row>
    <row r="31" spans="1:42" s="1" customFormat="1" ht="15" customHeight="1">
      <c r="A31" s="33">
        <f>ROW()-3</f>
        <v>28</v>
      </c>
      <c r="B31" s="34" t="s">
        <v>114</v>
      </c>
      <c r="C31" s="33" t="s">
        <v>618</v>
      </c>
      <c r="D31" s="35" t="s">
        <v>619</v>
      </c>
      <c r="E31" s="33" t="s">
        <v>803</v>
      </c>
      <c r="F31" s="33" t="s">
        <v>814</v>
      </c>
      <c r="G31" s="37" t="s">
        <v>867</v>
      </c>
      <c r="H31" s="37">
        <v>27</v>
      </c>
      <c r="I31" s="34">
        <v>33750</v>
      </c>
      <c r="J31" s="34">
        <v>33845</v>
      </c>
      <c r="K31" s="34" t="s">
        <v>120</v>
      </c>
      <c r="L31" s="39">
        <v>45890</v>
      </c>
      <c r="M31" s="40" t="s">
        <v>121</v>
      </c>
      <c r="N31" s="39" t="s">
        <v>122</v>
      </c>
      <c r="O31" s="39">
        <v>45881</v>
      </c>
      <c r="P31" s="39">
        <v>45907</v>
      </c>
      <c r="Q31" s="39">
        <v>45892</v>
      </c>
      <c r="R31" s="39">
        <v>46036</v>
      </c>
      <c r="S31" s="39">
        <v>46038</v>
      </c>
      <c r="T31" s="39">
        <v>46041</v>
      </c>
      <c r="U31" s="39">
        <v>46044</v>
      </c>
      <c r="V31" s="39"/>
      <c r="W31" s="39"/>
      <c r="X31" s="39"/>
      <c r="Y31" s="39"/>
      <c r="Z31" s="39"/>
      <c r="AA31" s="39"/>
      <c r="AB31" s="39"/>
      <c r="AC31" s="39"/>
      <c r="AD31" s="44" t="s">
        <v>268</v>
      </c>
      <c r="AE31" s="45">
        <f>MAX(0,Y31-X31)</f>
        <v>0</v>
      </c>
      <c r="AF31" s="36">
        <v>7</v>
      </c>
      <c r="AG31" s="46">
        <f>MAX(0,AE31-AF31)</f>
        <v>0</v>
      </c>
      <c r="AH31" s="47">
        <v>200</v>
      </c>
      <c r="AI31" s="48">
        <f>MAX(0,AG31*AH31)</f>
        <v>0</v>
      </c>
      <c r="AJ31" s="45">
        <f>MAX(0,AC31-AB31)</f>
        <v>0</v>
      </c>
      <c r="AK31" s="36">
        <v>2</v>
      </c>
      <c r="AL31" s="46">
        <f>MAX(0,AJ31-AK31)</f>
        <v>0</v>
      </c>
      <c r="AM31" s="47">
        <v>200</v>
      </c>
      <c r="AN31" s="48">
        <f>MAX(0,AL31*AM31)</f>
        <v>0</v>
      </c>
      <c r="AO31" s="47"/>
      <c r="AP31" s="49">
        <f>AO31+AN31+AI31</f>
        <v>0</v>
      </c>
    </row>
    <row r="32" spans="1:42" s="1" customFormat="1" ht="15" customHeight="1">
      <c r="A32" s="33">
        <f>ROW()-3</f>
        <v>29</v>
      </c>
      <c r="B32" s="34" t="s">
        <v>114</v>
      </c>
      <c r="C32" s="35" t="s">
        <v>272</v>
      </c>
      <c r="D32" s="35" t="s">
        <v>273</v>
      </c>
      <c r="E32" s="33" t="s">
        <v>274</v>
      </c>
      <c r="F32" s="34" t="s">
        <v>12</v>
      </c>
      <c r="G32" s="37" t="s">
        <v>817</v>
      </c>
      <c r="H32" s="37">
        <v>28</v>
      </c>
      <c r="I32" s="34">
        <v>35000</v>
      </c>
      <c r="J32" s="34">
        <v>35070</v>
      </c>
      <c r="K32" s="34" t="s">
        <v>120</v>
      </c>
      <c r="L32" s="39">
        <v>45890</v>
      </c>
      <c r="M32" s="40" t="s">
        <v>121</v>
      </c>
      <c r="N32" s="39" t="s">
        <v>122</v>
      </c>
      <c r="O32" s="39">
        <v>45881</v>
      </c>
      <c r="P32" s="39">
        <v>45907</v>
      </c>
      <c r="Q32" s="39">
        <v>45892</v>
      </c>
      <c r="R32" s="39">
        <v>46011</v>
      </c>
      <c r="S32" s="39">
        <v>46014</v>
      </c>
      <c r="T32" s="39">
        <v>46017</v>
      </c>
      <c r="U32" s="39">
        <v>46024</v>
      </c>
      <c r="V32" s="39"/>
      <c r="W32" s="39"/>
      <c r="X32" s="39"/>
      <c r="Y32" s="39"/>
      <c r="Z32" s="39"/>
      <c r="AA32" s="39"/>
      <c r="AB32" s="39"/>
      <c r="AC32" s="39"/>
      <c r="AD32" s="44" t="s">
        <v>751</v>
      </c>
      <c r="AE32" s="54">
        <f>MAX(0,Y32-X32)</f>
        <v>0</v>
      </c>
      <c r="AF32" s="36">
        <v>7</v>
      </c>
      <c r="AG32" s="51">
        <f>MAX(0,AE32-AF32)</f>
        <v>0</v>
      </c>
      <c r="AH32" s="52">
        <v>200</v>
      </c>
      <c r="AI32" s="53">
        <f>MAX(0,AG32*AH32)</f>
        <v>0</v>
      </c>
      <c r="AJ32" s="54">
        <f>MAX(0,AC32-AB32)</f>
        <v>0</v>
      </c>
      <c r="AK32" s="36">
        <v>2</v>
      </c>
      <c r="AL32" s="51">
        <f>MAX(0,AJ32-AK32)</f>
        <v>0</v>
      </c>
      <c r="AM32" s="52">
        <v>200</v>
      </c>
      <c r="AN32" s="53">
        <f>MAX(0,AL32*AM32)</f>
        <v>0</v>
      </c>
      <c r="AO32" s="52"/>
      <c r="AP32" s="55">
        <f>AO32+AN32+AI32</f>
        <v>0</v>
      </c>
    </row>
    <row r="33" spans="1:42" s="1" customFormat="1" ht="15" customHeight="1">
      <c r="A33" s="33">
        <f>ROW()-3</f>
        <v>30</v>
      </c>
      <c r="B33" s="34" t="s">
        <v>114</v>
      </c>
      <c r="C33" s="35" t="s">
        <v>284</v>
      </c>
      <c r="D33" s="35" t="s">
        <v>285</v>
      </c>
      <c r="E33" s="34" t="s">
        <v>286</v>
      </c>
      <c r="F33" s="34" t="s">
        <v>12</v>
      </c>
      <c r="G33" s="37" t="s">
        <v>768</v>
      </c>
      <c r="H33" s="37">
        <v>28</v>
      </c>
      <c r="I33" s="34">
        <v>35000</v>
      </c>
      <c r="J33" s="34">
        <v>35070</v>
      </c>
      <c r="K33" s="34" t="s">
        <v>120</v>
      </c>
      <c r="L33" s="39">
        <v>45890</v>
      </c>
      <c r="M33" s="40" t="s">
        <v>121</v>
      </c>
      <c r="N33" s="39" t="s">
        <v>122</v>
      </c>
      <c r="O33" s="39">
        <v>45881</v>
      </c>
      <c r="P33" s="39">
        <v>45907</v>
      </c>
      <c r="Q33" s="39">
        <v>45892</v>
      </c>
      <c r="R33" s="39">
        <v>46011</v>
      </c>
      <c r="S33" s="39">
        <v>46020</v>
      </c>
      <c r="T33" s="39">
        <v>46024</v>
      </c>
      <c r="U33" s="39">
        <v>46034</v>
      </c>
      <c r="V33" s="39">
        <v>46038</v>
      </c>
      <c r="W33" s="39"/>
      <c r="X33" s="39"/>
      <c r="Y33" s="39"/>
      <c r="Z33" s="39"/>
      <c r="AA33" s="39"/>
      <c r="AB33" s="39"/>
      <c r="AC33" s="39"/>
      <c r="AD33" s="44" t="s">
        <v>747</v>
      </c>
      <c r="AE33" s="54">
        <f>MAX(0,Y33-X33)</f>
        <v>0</v>
      </c>
      <c r="AF33" s="36">
        <v>7</v>
      </c>
      <c r="AG33" s="51">
        <f>MAX(0,AE33-AF33)</f>
        <v>0</v>
      </c>
      <c r="AH33" s="52">
        <v>200</v>
      </c>
      <c r="AI33" s="53">
        <f>MAX(0,AG33*AH33)</f>
        <v>0</v>
      </c>
      <c r="AJ33" s="54">
        <f>MAX(0,AC33-AB33)</f>
        <v>0</v>
      </c>
      <c r="AK33" s="36">
        <v>2</v>
      </c>
      <c r="AL33" s="51">
        <f>MAX(0,AJ33-AK33)</f>
        <v>0</v>
      </c>
      <c r="AM33" s="52">
        <v>200</v>
      </c>
      <c r="AN33" s="53">
        <f>MAX(0,AL33*AM33)</f>
        <v>0</v>
      </c>
      <c r="AO33" s="52"/>
      <c r="AP33" s="55">
        <f>AO33+AN33+AI33</f>
        <v>0</v>
      </c>
    </row>
    <row r="34" spans="1:42" s="1" customFormat="1" ht="15" customHeight="1">
      <c r="A34" s="33">
        <f>ROW()-3</f>
        <v>31</v>
      </c>
      <c r="B34" s="34" t="s">
        <v>114</v>
      </c>
      <c r="C34" s="64" t="s">
        <v>287</v>
      </c>
      <c r="D34" s="34" t="s">
        <v>288</v>
      </c>
      <c r="E34" s="34" t="s">
        <v>289</v>
      </c>
      <c r="F34" s="34" t="s">
        <v>12</v>
      </c>
      <c r="G34" s="37" t="s">
        <v>768</v>
      </c>
      <c r="H34" s="37">
        <v>28</v>
      </c>
      <c r="I34" s="34">
        <v>35000</v>
      </c>
      <c r="J34" s="34">
        <v>35070</v>
      </c>
      <c r="K34" s="34" t="s">
        <v>120</v>
      </c>
      <c r="L34" s="39">
        <v>45890</v>
      </c>
      <c r="M34" s="40" t="s">
        <v>121</v>
      </c>
      <c r="N34" s="39" t="s">
        <v>122</v>
      </c>
      <c r="O34" s="39">
        <v>45881</v>
      </c>
      <c r="P34" s="39">
        <v>45907</v>
      </c>
      <c r="Q34" s="39">
        <v>45892</v>
      </c>
      <c r="R34" s="39">
        <v>46010</v>
      </c>
      <c r="S34" s="39">
        <v>46020</v>
      </c>
      <c r="T34" s="39">
        <v>46024</v>
      </c>
      <c r="U34" s="39">
        <v>46034</v>
      </c>
      <c r="V34" s="39">
        <v>46038</v>
      </c>
      <c r="W34" s="39"/>
      <c r="X34" s="39"/>
      <c r="Y34" s="39"/>
      <c r="Z34" s="39"/>
      <c r="AA34" s="39"/>
      <c r="AB34" s="39"/>
      <c r="AC34" s="39"/>
      <c r="AD34" s="44" t="s">
        <v>747</v>
      </c>
      <c r="AE34" s="45">
        <f>MAX(0,Y34-X34)</f>
        <v>0</v>
      </c>
      <c r="AF34" s="36">
        <v>7</v>
      </c>
      <c r="AG34" s="46">
        <f>MAX(0,AE34-AF34)</f>
        <v>0</v>
      </c>
      <c r="AH34" s="47">
        <v>200</v>
      </c>
      <c r="AI34" s="48">
        <f>MAX(0,AG34*AH34)</f>
        <v>0</v>
      </c>
      <c r="AJ34" s="45">
        <f>MAX(0,AC34-AB34)</f>
        <v>0</v>
      </c>
      <c r="AK34" s="36">
        <v>2</v>
      </c>
      <c r="AL34" s="46">
        <f>MAX(0,AJ34-AK34)</f>
        <v>0</v>
      </c>
      <c r="AM34" s="47">
        <v>200</v>
      </c>
      <c r="AN34" s="48">
        <f>MAX(0,AL34*AM34)</f>
        <v>0</v>
      </c>
      <c r="AO34" s="47"/>
      <c r="AP34" s="49">
        <f>AO34+AN34+AI34</f>
        <v>0</v>
      </c>
    </row>
    <row r="35" spans="1:42" s="1" customFormat="1" ht="15" customHeight="1">
      <c r="A35" s="33">
        <f>ROW()-3</f>
        <v>32</v>
      </c>
      <c r="B35" s="34" t="s">
        <v>114</v>
      </c>
      <c r="C35" s="35" t="s">
        <v>422</v>
      </c>
      <c r="D35" s="35" t="s">
        <v>423</v>
      </c>
      <c r="E35" s="35" t="s">
        <v>424</v>
      </c>
      <c r="F35" s="34" t="s">
        <v>12</v>
      </c>
      <c r="G35" s="37" t="s">
        <v>768</v>
      </c>
      <c r="H35" s="37">
        <v>28</v>
      </c>
      <c r="I35" s="34">
        <v>35000</v>
      </c>
      <c r="J35" s="34">
        <v>35070</v>
      </c>
      <c r="K35" s="34" t="s">
        <v>120</v>
      </c>
      <c r="L35" s="39">
        <v>45890</v>
      </c>
      <c r="M35" s="40" t="s">
        <v>121</v>
      </c>
      <c r="N35" s="39" t="s">
        <v>122</v>
      </c>
      <c r="O35" s="39">
        <v>45881</v>
      </c>
      <c r="P35" s="39">
        <v>45907</v>
      </c>
      <c r="Q35" s="39">
        <v>45892</v>
      </c>
      <c r="R35" s="39">
        <v>46002</v>
      </c>
      <c r="S35" s="39">
        <v>46004</v>
      </c>
      <c r="T35" s="39">
        <v>46008</v>
      </c>
      <c r="U35" s="39">
        <v>46034</v>
      </c>
      <c r="V35" s="39">
        <v>46038</v>
      </c>
      <c r="W35" s="39"/>
      <c r="X35" s="39"/>
      <c r="Y35" s="39"/>
      <c r="Z35" s="39"/>
      <c r="AA35" s="39"/>
      <c r="AB35" s="39"/>
      <c r="AC35" s="39"/>
      <c r="AD35" s="44" t="s">
        <v>747</v>
      </c>
      <c r="AE35" s="45">
        <f>MAX(0,Y35-X35)</f>
        <v>0</v>
      </c>
      <c r="AF35" s="36">
        <v>7</v>
      </c>
      <c r="AG35" s="46">
        <f>MAX(0,AE35-AF35)</f>
        <v>0</v>
      </c>
      <c r="AH35" s="47">
        <v>200</v>
      </c>
      <c r="AI35" s="48">
        <f>MAX(0,AG35*AH35)</f>
        <v>0</v>
      </c>
      <c r="AJ35" s="45">
        <f>MAX(0,AC35-AB35)</f>
        <v>0</v>
      </c>
      <c r="AK35" s="36">
        <v>2</v>
      </c>
      <c r="AL35" s="46">
        <f>MAX(0,AJ35-AK35)</f>
        <v>0</v>
      </c>
      <c r="AM35" s="47">
        <v>200</v>
      </c>
      <c r="AN35" s="48">
        <f>MAX(0,AL35*AM35)</f>
        <v>0</v>
      </c>
      <c r="AO35" s="47"/>
      <c r="AP35" s="49">
        <f>AO35+AN35+AI35</f>
        <v>0</v>
      </c>
    </row>
    <row r="36" spans="1:42" s="1" customFormat="1" ht="15" customHeight="1">
      <c r="A36" s="33">
        <f>ROW()-3</f>
        <v>33</v>
      </c>
      <c r="B36" s="34" t="s">
        <v>114</v>
      </c>
      <c r="C36" s="35" t="s">
        <v>252</v>
      </c>
      <c r="D36" s="35" t="s">
        <v>253</v>
      </c>
      <c r="E36" s="34" t="s">
        <v>254</v>
      </c>
      <c r="F36" s="34" t="s">
        <v>12</v>
      </c>
      <c r="G36" s="37" t="s">
        <v>752</v>
      </c>
      <c r="H36" s="33">
        <v>29</v>
      </c>
      <c r="I36" s="34">
        <v>36250</v>
      </c>
      <c r="J36" s="34">
        <v>36352</v>
      </c>
      <c r="K36" s="34" t="s">
        <v>120</v>
      </c>
      <c r="L36" s="39">
        <v>45890</v>
      </c>
      <c r="M36" s="40" t="s">
        <v>121</v>
      </c>
      <c r="N36" s="39" t="s">
        <v>122</v>
      </c>
      <c r="O36" s="39">
        <v>45881</v>
      </c>
      <c r="P36" s="39">
        <v>45907</v>
      </c>
      <c r="Q36" s="39">
        <v>45892</v>
      </c>
      <c r="R36" s="39">
        <v>46020</v>
      </c>
      <c r="S36" s="39">
        <v>46020</v>
      </c>
      <c r="T36" s="39">
        <v>46024</v>
      </c>
      <c r="U36" s="39">
        <v>46028</v>
      </c>
      <c r="V36" s="39">
        <v>46033</v>
      </c>
      <c r="W36" s="39">
        <v>46036</v>
      </c>
      <c r="X36" s="39">
        <v>46036</v>
      </c>
      <c r="Y36" s="39"/>
      <c r="Z36" s="39"/>
      <c r="AA36" s="39"/>
      <c r="AB36" s="39"/>
      <c r="AC36" s="39"/>
      <c r="AD36" s="44" t="s">
        <v>747</v>
      </c>
      <c r="AE36" s="54">
        <f>MAX(0,Y36-X36)</f>
        <v>0</v>
      </c>
      <c r="AF36" s="36">
        <v>7</v>
      </c>
      <c r="AG36" s="51">
        <f>MAX(0,AE36-AF36)</f>
        <v>0</v>
      </c>
      <c r="AH36" s="52">
        <v>200</v>
      </c>
      <c r="AI36" s="53">
        <f>MAX(0,AG36*AH36)</f>
        <v>0</v>
      </c>
      <c r="AJ36" s="54">
        <f>MAX(0,AC36-AB36)</f>
        <v>0</v>
      </c>
      <c r="AK36" s="36">
        <v>2</v>
      </c>
      <c r="AL36" s="51">
        <f>MAX(0,AJ36-AK36)</f>
        <v>0</v>
      </c>
      <c r="AM36" s="52">
        <v>200</v>
      </c>
      <c r="AN36" s="53">
        <f>MAX(0,AL36*AM36)</f>
        <v>0</v>
      </c>
      <c r="AO36" s="52"/>
      <c r="AP36" s="55">
        <f>AO36+AN36+AI36</f>
        <v>0</v>
      </c>
    </row>
    <row r="37" spans="1:42" s="1" customFormat="1" ht="15" customHeight="1">
      <c r="A37" s="33">
        <f>ROW()-3</f>
        <v>34</v>
      </c>
      <c r="B37" s="34" t="s">
        <v>114</v>
      </c>
      <c r="C37" s="35" t="s">
        <v>255</v>
      </c>
      <c r="D37" s="35" t="s">
        <v>256</v>
      </c>
      <c r="E37" s="33" t="s">
        <v>257</v>
      </c>
      <c r="F37" s="34" t="s">
        <v>12</v>
      </c>
      <c r="G37" s="37" t="s">
        <v>784</v>
      </c>
      <c r="H37" s="33">
        <v>28</v>
      </c>
      <c r="I37" s="34">
        <v>35000</v>
      </c>
      <c r="J37" s="34">
        <v>35098</v>
      </c>
      <c r="K37" s="34" t="s">
        <v>120</v>
      </c>
      <c r="L37" s="39">
        <v>45890</v>
      </c>
      <c r="M37" s="40" t="s">
        <v>121</v>
      </c>
      <c r="N37" s="39" t="s">
        <v>122</v>
      </c>
      <c r="O37" s="39">
        <v>45881</v>
      </c>
      <c r="P37" s="39">
        <v>45907</v>
      </c>
      <c r="Q37" s="39">
        <v>45892</v>
      </c>
      <c r="R37" s="39">
        <v>46020</v>
      </c>
      <c r="S37" s="39">
        <v>46020</v>
      </c>
      <c r="T37" s="39">
        <v>46024</v>
      </c>
      <c r="U37" s="39">
        <v>46027</v>
      </c>
      <c r="V37" s="39">
        <v>46032</v>
      </c>
      <c r="W37" s="39">
        <v>46035</v>
      </c>
      <c r="X37" s="39">
        <v>46035</v>
      </c>
      <c r="Y37" s="39"/>
      <c r="Z37" s="39"/>
      <c r="AA37" s="39"/>
      <c r="AB37" s="39"/>
      <c r="AC37" s="39"/>
      <c r="AD37" s="44" t="s">
        <v>747</v>
      </c>
      <c r="AE37" s="45">
        <f>MAX(0,Y37-X37)</f>
        <v>0</v>
      </c>
      <c r="AF37" s="36">
        <v>7</v>
      </c>
      <c r="AG37" s="46">
        <f>MAX(0,AE37-AF37)</f>
        <v>0</v>
      </c>
      <c r="AH37" s="47">
        <v>200</v>
      </c>
      <c r="AI37" s="48">
        <f>MAX(0,AG37*AH37)</f>
        <v>0</v>
      </c>
      <c r="AJ37" s="45">
        <f>MAX(0,AC37-AB37)</f>
        <v>0</v>
      </c>
      <c r="AK37" s="36">
        <v>2</v>
      </c>
      <c r="AL37" s="46">
        <f>MAX(0,AJ37-AK37)</f>
        <v>0</v>
      </c>
      <c r="AM37" s="47">
        <v>200</v>
      </c>
      <c r="AN37" s="48">
        <f>MAX(0,AL37*AM37)</f>
        <v>0</v>
      </c>
      <c r="AO37" s="47"/>
      <c r="AP37" s="49">
        <f>AO37+AN37+AI37</f>
        <v>0</v>
      </c>
    </row>
    <row r="38" spans="1:42" s="1" customFormat="1" ht="15" customHeight="1">
      <c r="A38" s="33">
        <f>ROW()-3</f>
        <v>35</v>
      </c>
      <c r="B38" s="34" t="s">
        <v>114</v>
      </c>
      <c r="C38" s="35" t="s">
        <v>243</v>
      </c>
      <c r="D38" s="35" t="s">
        <v>244</v>
      </c>
      <c r="E38" s="33" t="s">
        <v>245</v>
      </c>
      <c r="F38" s="34" t="s">
        <v>12</v>
      </c>
      <c r="G38" s="37" t="s">
        <v>752</v>
      </c>
      <c r="H38" s="33">
        <v>27</v>
      </c>
      <c r="I38" s="34">
        <v>33750</v>
      </c>
      <c r="J38" s="34">
        <v>33845</v>
      </c>
      <c r="K38" s="34" t="s">
        <v>120</v>
      </c>
      <c r="L38" s="39">
        <v>45890</v>
      </c>
      <c r="M38" s="40" t="s">
        <v>121</v>
      </c>
      <c r="N38" s="39" t="s">
        <v>122</v>
      </c>
      <c r="O38" s="39">
        <v>45881</v>
      </c>
      <c r="P38" s="39">
        <v>45907</v>
      </c>
      <c r="Q38" s="39">
        <v>45892</v>
      </c>
      <c r="R38" s="39">
        <v>46020</v>
      </c>
      <c r="S38" s="39">
        <v>46020</v>
      </c>
      <c r="T38" s="39">
        <v>46024</v>
      </c>
      <c r="U38" s="39">
        <v>46028</v>
      </c>
      <c r="V38" s="39">
        <v>46034</v>
      </c>
      <c r="W38" s="39">
        <v>46034</v>
      </c>
      <c r="X38" s="39">
        <v>46034</v>
      </c>
      <c r="Y38" s="39"/>
      <c r="Z38" s="39"/>
      <c r="AA38" s="39"/>
      <c r="AB38" s="39"/>
      <c r="AC38" s="39"/>
      <c r="AD38" s="44" t="s">
        <v>747</v>
      </c>
      <c r="AE38" s="50">
        <f>MAX(0,Y38-X38)</f>
        <v>0</v>
      </c>
      <c r="AF38" s="36">
        <v>7</v>
      </c>
      <c r="AG38" s="51">
        <f>MAX(0,AE38-AF38)</f>
        <v>0</v>
      </c>
      <c r="AH38" s="52">
        <v>200</v>
      </c>
      <c r="AI38" s="53">
        <f>MAX(0,AG38*AH38)</f>
        <v>0</v>
      </c>
      <c r="AJ38" s="54">
        <f>MAX(0,AC38-AB38)</f>
        <v>0</v>
      </c>
      <c r="AK38" s="36">
        <v>2</v>
      </c>
      <c r="AL38" s="51">
        <f>MAX(0,AJ38-AK38)</f>
        <v>0</v>
      </c>
      <c r="AM38" s="52">
        <v>200</v>
      </c>
      <c r="AN38" s="53">
        <f>MAX(0,AL38*AM38)</f>
        <v>0</v>
      </c>
      <c r="AO38" s="52"/>
      <c r="AP38" s="55">
        <f>AO38+AN38+AI38</f>
        <v>0</v>
      </c>
    </row>
    <row r="39" spans="1:42" s="1" customFormat="1" ht="15" customHeight="1">
      <c r="A39" s="33">
        <f>ROW()-3</f>
        <v>36</v>
      </c>
      <c r="B39" s="34" t="s">
        <v>114</v>
      </c>
      <c r="C39" s="35" t="s">
        <v>246</v>
      </c>
      <c r="D39" s="35" t="s">
        <v>247</v>
      </c>
      <c r="E39" s="34" t="s">
        <v>248</v>
      </c>
      <c r="F39" s="34" t="s">
        <v>12</v>
      </c>
      <c r="G39" s="37" t="s">
        <v>752</v>
      </c>
      <c r="H39" s="33">
        <v>28</v>
      </c>
      <c r="I39" s="34">
        <v>35000</v>
      </c>
      <c r="J39" s="34">
        <v>35098</v>
      </c>
      <c r="K39" s="34" t="s">
        <v>120</v>
      </c>
      <c r="L39" s="39">
        <v>45890</v>
      </c>
      <c r="M39" s="40" t="s">
        <v>121</v>
      </c>
      <c r="N39" s="39" t="s">
        <v>122</v>
      </c>
      <c r="O39" s="39">
        <v>45881</v>
      </c>
      <c r="P39" s="39">
        <v>45907</v>
      </c>
      <c r="Q39" s="39">
        <v>45892</v>
      </c>
      <c r="R39" s="39">
        <v>46020</v>
      </c>
      <c r="S39" s="39">
        <v>46020</v>
      </c>
      <c r="T39" s="39">
        <v>46024</v>
      </c>
      <c r="U39" s="39">
        <v>46028</v>
      </c>
      <c r="V39" s="39">
        <v>46032</v>
      </c>
      <c r="W39" s="39">
        <v>46034</v>
      </c>
      <c r="X39" s="39">
        <v>46034</v>
      </c>
      <c r="Y39" s="39"/>
      <c r="Z39" s="39"/>
      <c r="AA39" s="39"/>
      <c r="AB39" s="39"/>
      <c r="AC39" s="39"/>
      <c r="AD39" s="44" t="s">
        <v>747</v>
      </c>
      <c r="AE39" s="45">
        <f>MAX(0,Y39-X39)</f>
        <v>0</v>
      </c>
      <c r="AF39" s="36">
        <v>7</v>
      </c>
      <c r="AG39" s="46">
        <f>MAX(0,AE39-AF39)</f>
        <v>0</v>
      </c>
      <c r="AH39" s="47">
        <v>200</v>
      </c>
      <c r="AI39" s="48">
        <f>MAX(0,AG39*AH39)</f>
        <v>0</v>
      </c>
      <c r="AJ39" s="45">
        <f>MAX(0,AC39-AB39)</f>
        <v>0</v>
      </c>
      <c r="AK39" s="36">
        <v>2</v>
      </c>
      <c r="AL39" s="46">
        <f>MAX(0,AJ39-AK39)</f>
        <v>0</v>
      </c>
      <c r="AM39" s="47">
        <v>200</v>
      </c>
      <c r="AN39" s="48">
        <f>MAX(0,AL39*AM39)</f>
        <v>0</v>
      </c>
      <c r="AO39" s="47"/>
      <c r="AP39" s="49">
        <f>AO39+AN39+AI39</f>
        <v>0</v>
      </c>
    </row>
    <row r="40" spans="1:42" s="1" customFormat="1" ht="15" customHeight="1">
      <c r="A40" s="33">
        <f>ROW()-3</f>
        <v>37</v>
      </c>
      <c r="B40" s="34" t="s">
        <v>114</v>
      </c>
      <c r="C40" s="35" t="s">
        <v>249</v>
      </c>
      <c r="D40" s="35" t="s">
        <v>250</v>
      </c>
      <c r="E40" s="35" t="s">
        <v>251</v>
      </c>
      <c r="F40" s="34" t="s">
        <v>12</v>
      </c>
      <c r="G40" s="37" t="s">
        <v>752</v>
      </c>
      <c r="H40" s="33">
        <v>29</v>
      </c>
      <c r="I40" s="34">
        <v>36250</v>
      </c>
      <c r="J40" s="34">
        <v>36352</v>
      </c>
      <c r="K40" s="34" t="s">
        <v>120</v>
      </c>
      <c r="L40" s="39">
        <v>45890</v>
      </c>
      <c r="M40" s="40" t="s">
        <v>121</v>
      </c>
      <c r="N40" s="39" t="s">
        <v>122</v>
      </c>
      <c r="O40" s="39">
        <v>45881</v>
      </c>
      <c r="P40" s="39">
        <v>45907</v>
      </c>
      <c r="Q40" s="39">
        <v>45892</v>
      </c>
      <c r="R40" s="39">
        <v>46020</v>
      </c>
      <c r="S40" s="39">
        <v>46020</v>
      </c>
      <c r="T40" s="39">
        <v>46024</v>
      </c>
      <c r="U40" s="39">
        <v>46028</v>
      </c>
      <c r="V40" s="39">
        <v>46032</v>
      </c>
      <c r="W40" s="39">
        <v>46034</v>
      </c>
      <c r="X40" s="39">
        <v>46034</v>
      </c>
      <c r="Y40" s="39"/>
      <c r="Z40" s="39"/>
      <c r="AA40" s="39"/>
      <c r="AB40" s="39"/>
      <c r="AC40" s="39"/>
      <c r="AD40" s="44" t="s">
        <v>747</v>
      </c>
      <c r="AE40" s="54">
        <f>MAX(0,Y40-X40)</f>
        <v>0</v>
      </c>
      <c r="AF40" s="36">
        <v>7</v>
      </c>
      <c r="AG40" s="51">
        <f>MAX(0,AE40-AF40)</f>
        <v>0</v>
      </c>
      <c r="AH40" s="52">
        <v>200</v>
      </c>
      <c r="AI40" s="53">
        <f>MAX(0,AG40*AH40)</f>
        <v>0</v>
      </c>
      <c r="AJ40" s="54">
        <f>MAX(0,AC40-AB40)</f>
        <v>0</v>
      </c>
      <c r="AK40" s="36">
        <v>2</v>
      </c>
      <c r="AL40" s="51">
        <f>MAX(0,AJ40-AK40)</f>
        <v>0</v>
      </c>
      <c r="AM40" s="52">
        <v>200</v>
      </c>
      <c r="AN40" s="53">
        <f>MAX(0,AL40*AM40)</f>
        <v>0</v>
      </c>
      <c r="AO40" s="52"/>
      <c r="AP40" s="55">
        <f>AO40+AN40+AI40</f>
        <v>0</v>
      </c>
    </row>
    <row r="41" spans="1:42" s="1" customFormat="1" ht="15" customHeight="1">
      <c r="A41" s="33">
        <f>ROW()-3</f>
        <v>38</v>
      </c>
      <c r="B41" s="34" t="s">
        <v>114</v>
      </c>
      <c r="C41" s="35" t="s">
        <v>258</v>
      </c>
      <c r="D41" s="35" t="s">
        <v>259</v>
      </c>
      <c r="E41" s="33" t="s">
        <v>260</v>
      </c>
      <c r="F41" s="34" t="s">
        <v>12</v>
      </c>
      <c r="G41" s="37" t="s">
        <v>752</v>
      </c>
      <c r="H41" s="33">
        <v>28</v>
      </c>
      <c r="I41" s="34">
        <v>35000</v>
      </c>
      <c r="J41" s="34">
        <v>35098</v>
      </c>
      <c r="K41" s="34" t="s">
        <v>120</v>
      </c>
      <c r="L41" s="39">
        <v>45890</v>
      </c>
      <c r="M41" s="40" t="s">
        <v>121</v>
      </c>
      <c r="N41" s="39" t="s">
        <v>122</v>
      </c>
      <c r="O41" s="39">
        <v>45881</v>
      </c>
      <c r="P41" s="39">
        <v>45907</v>
      </c>
      <c r="Q41" s="39">
        <v>45892</v>
      </c>
      <c r="R41" s="39">
        <v>46020</v>
      </c>
      <c r="S41" s="39">
        <v>46020</v>
      </c>
      <c r="T41" s="39">
        <v>46024</v>
      </c>
      <c r="U41" s="39">
        <v>46028</v>
      </c>
      <c r="V41" s="39">
        <v>46032</v>
      </c>
      <c r="W41" s="39">
        <v>46034</v>
      </c>
      <c r="X41" s="39">
        <v>46034</v>
      </c>
      <c r="Y41" s="39"/>
      <c r="Z41" s="39"/>
      <c r="AA41" s="39"/>
      <c r="AB41" s="39"/>
      <c r="AC41" s="39"/>
      <c r="AD41" s="44" t="s">
        <v>747</v>
      </c>
      <c r="AE41" s="54">
        <f>MAX(0,Y41-X41)</f>
        <v>0</v>
      </c>
      <c r="AF41" s="36">
        <v>7</v>
      </c>
      <c r="AG41" s="51">
        <f>MAX(0,AE41-AF41)</f>
        <v>0</v>
      </c>
      <c r="AH41" s="52">
        <v>200</v>
      </c>
      <c r="AI41" s="53">
        <f>MAX(0,AG41*AH41)</f>
        <v>0</v>
      </c>
      <c r="AJ41" s="54">
        <f>MAX(0,AC41-AB41)</f>
        <v>0</v>
      </c>
      <c r="AK41" s="36">
        <v>2</v>
      </c>
      <c r="AL41" s="51">
        <f>MAX(0,AJ41-AK41)</f>
        <v>0</v>
      </c>
      <c r="AM41" s="52">
        <v>200</v>
      </c>
      <c r="AN41" s="53">
        <f>MAX(0,AL41*AM41)</f>
        <v>0</v>
      </c>
      <c r="AO41" s="52"/>
      <c r="AP41" s="55">
        <f>AO41+AN41+AI41</f>
        <v>0</v>
      </c>
    </row>
    <row r="42" spans="1:42" s="1" customFormat="1" ht="15" customHeight="1">
      <c r="A42" s="33">
        <f>ROW()-3</f>
        <v>39</v>
      </c>
      <c r="B42" s="34" t="s">
        <v>114</v>
      </c>
      <c r="C42" s="92" t="s">
        <v>261</v>
      </c>
      <c r="D42" s="92" t="s">
        <v>262</v>
      </c>
      <c r="E42" s="36" t="s">
        <v>263</v>
      </c>
      <c r="F42" s="34" t="s">
        <v>12</v>
      </c>
      <c r="G42" s="37" t="s">
        <v>752</v>
      </c>
      <c r="H42" s="36">
        <v>28</v>
      </c>
      <c r="I42" s="34">
        <v>35000</v>
      </c>
      <c r="J42" s="34">
        <v>35098</v>
      </c>
      <c r="K42" s="34" t="s">
        <v>120</v>
      </c>
      <c r="L42" s="39">
        <v>45890</v>
      </c>
      <c r="M42" s="40" t="s">
        <v>121</v>
      </c>
      <c r="N42" s="39" t="s">
        <v>122</v>
      </c>
      <c r="O42" s="39">
        <v>45881</v>
      </c>
      <c r="P42" s="39">
        <v>45907</v>
      </c>
      <c r="Q42" s="39">
        <v>45892</v>
      </c>
      <c r="R42" s="39">
        <v>46020</v>
      </c>
      <c r="S42" s="39">
        <v>46020</v>
      </c>
      <c r="T42" s="39">
        <v>46024</v>
      </c>
      <c r="U42" s="39">
        <v>46028</v>
      </c>
      <c r="V42" s="39">
        <v>46032</v>
      </c>
      <c r="W42" s="39">
        <v>46034</v>
      </c>
      <c r="X42" s="39">
        <v>46034</v>
      </c>
      <c r="Y42" s="39"/>
      <c r="Z42" s="39"/>
      <c r="AA42" s="39"/>
      <c r="AB42" s="39"/>
      <c r="AC42" s="39"/>
      <c r="AD42" s="44" t="s">
        <v>747</v>
      </c>
      <c r="AE42" s="45">
        <f>MAX(0,Y42-X42)</f>
        <v>0</v>
      </c>
      <c r="AF42" s="36">
        <v>7</v>
      </c>
      <c r="AG42" s="46">
        <f>MAX(0,AE42-AF42)</f>
        <v>0</v>
      </c>
      <c r="AH42" s="47">
        <v>200</v>
      </c>
      <c r="AI42" s="48">
        <f>MAX(0,AG42*AH42)</f>
        <v>0</v>
      </c>
      <c r="AJ42" s="45">
        <f>MAX(0,AC42-AB42)</f>
        <v>0</v>
      </c>
      <c r="AK42" s="36">
        <v>2</v>
      </c>
      <c r="AL42" s="46">
        <f>MAX(0,AJ42-AK42)</f>
        <v>0</v>
      </c>
      <c r="AM42" s="47">
        <v>200</v>
      </c>
      <c r="AN42" s="48">
        <f>MAX(0,AL42*AM42)</f>
        <v>0</v>
      </c>
      <c r="AO42" s="47"/>
      <c r="AP42" s="55">
        <f>AO42+AN42+AI42</f>
        <v>0</v>
      </c>
    </row>
    <row r="43" spans="1:42" s="68" customFormat="1" ht="15" customHeight="1">
      <c r="A43" s="33">
        <f>ROW()-3</f>
        <v>40</v>
      </c>
      <c r="B43" s="34" t="s">
        <v>114</v>
      </c>
      <c r="C43" s="39" t="s">
        <v>278</v>
      </c>
      <c r="D43" s="39" t="s">
        <v>279</v>
      </c>
      <c r="E43" s="95" t="s">
        <v>280</v>
      </c>
      <c r="F43" s="34" t="s">
        <v>12</v>
      </c>
      <c r="G43" s="37" t="s">
        <v>752</v>
      </c>
      <c r="H43" s="37">
        <v>24</v>
      </c>
      <c r="I43" s="33">
        <v>30000</v>
      </c>
      <c r="J43" s="77">
        <v>30084</v>
      </c>
      <c r="K43" s="34" t="s">
        <v>120</v>
      </c>
      <c r="L43" s="39">
        <v>45890</v>
      </c>
      <c r="M43" s="40" t="s">
        <v>121</v>
      </c>
      <c r="N43" s="39" t="s">
        <v>122</v>
      </c>
      <c r="O43" s="39">
        <v>45881</v>
      </c>
      <c r="P43" s="39">
        <v>45907</v>
      </c>
      <c r="Q43" s="39">
        <v>45892</v>
      </c>
      <c r="R43" s="39">
        <v>46011</v>
      </c>
      <c r="S43" s="39">
        <v>46014</v>
      </c>
      <c r="T43" s="39">
        <v>46017</v>
      </c>
      <c r="U43" s="39">
        <v>46024</v>
      </c>
      <c r="V43" s="39">
        <v>46030</v>
      </c>
      <c r="W43" s="39">
        <v>46031</v>
      </c>
      <c r="X43" s="39">
        <v>46031</v>
      </c>
      <c r="Y43" s="39"/>
      <c r="Z43" s="39"/>
      <c r="AA43" s="39"/>
      <c r="AB43" s="39"/>
      <c r="AC43" s="39"/>
      <c r="AD43" s="44" t="s">
        <v>747</v>
      </c>
      <c r="AE43" s="251">
        <f>MAX(0,Y43-X43)</f>
        <v>0</v>
      </c>
      <c r="AF43" s="33">
        <v>7</v>
      </c>
      <c r="AG43" s="252">
        <f>MAX(0,AE43-AF43)</f>
        <v>0</v>
      </c>
      <c r="AH43" s="253">
        <v>200</v>
      </c>
      <c r="AI43" s="254">
        <f>MAX(0,AG43*AH43)</f>
        <v>0</v>
      </c>
      <c r="AJ43" s="251">
        <f>MAX(0,AC43-AB43)</f>
        <v>0</v>
      </c>
      <c r="AK43" s="33">
        <v>2</v>
      </c>
      <c r="AL43" s="252">
        <f>MAX(0,AJ43-AK43)</f>
        <v>0</v>
      </c>
      <c r="AM43" s="253">
        <v>200</v>
      </c>
      <c r="AN43" s="254">
        <f>MAX(0,AL43*AM43)</f>
        <v>0</v>
      </c>
      <c r="AO43" s="253"/>
      <c r="AP43" s="55">
        <f>AO43+AN43+AI43</f>
        <v>0</v>
      </c>
    </row>
    <row r="44" spans="1:42" s="1" customFormat="1" ht="15" customHeight="1">
      <c r="A44" s="33">
        <f>ROW()-3</f>
        <v>41</v>
      </c>
      <c r="B44" s="34" t="s">
        <v>114</v>
      </c>
      <c r="C44" s="33" t="s">
        <v>264</v>
      </c>
      <c r="D44" s="36" t="s">
        <v>265</v>
      </c>
      <c r="E44" s="36" t="s">
        <v>266</v>
      </c>
      <c r="F44" s="34" t="s">
        <v>12</v>
      </c>
      <c r="G44" s="37" t="s">
        <v>752</v>
      </c>
      <c r="H44" s="38">
        <v>28</v>
      </c>
      <c r="I44" s="94">
        <v>35000</v>
      </c>
      <c r="J44" s="94">
        <v>35070</v>
      </c>
      <c r="K44" s="34" t="s">
        <v>120</v>
      </c>
      <c r="L44" s="39">
        <v>45890</v>
      </c>
      <c r="M44" s="40" t="s">
        <v>121</v>
      </c>
      <c r="N44" s="39" t="s">
        <v>122</v>
      </c>
      <c r="O44" s="39">
        <v>45881</v>
      </c>
      <c r="P44" s="39">
        <v>45907</v>
      </c>
      <c r="Q44" s="39">
        <v>45892</v>
      </c>
      <c r="R44" s="39">
        <v>46011</v>
      </c>
      <c r="S44" s="39">
        <v>46014</v>
      </c>
      <c r="T44" s="39">
        <v>46017</v>
      </c>
      <c r="U44" s="39">
        <v>46025</v>
      </c>
      <c r="V44" s="39">
        <v>46029</v>
      </c>
      <c r="W44" s="39">
        <v>46030</v>
      </c>
      <c r="X44" s="39">
        <v>46030</v>
      </c>
      <c r="Y44" s="39"/>
      <c r="Z44" s="39"/>
      <c r="AA44" s="39"/>
      <c r="AB44" s="39"/>
      <c r="AC44" s="39"/>
      <c r="AD44" s="44" t="s">
        <v>747</v>
      </c>
      <c r="AE44" s="54">
        <f>MAX(0,Y44-X44)</f>
        <v>0</v>
      </c>
      <c r="AF44" s="36">
        <v>7</v>
      </c>
      <c r="AG44" s="51">
        <f>MAX(0,AE44-AF44)</f>
        <v>0</v>
      </c>
      <c r="AH44" s="52">
        <v>200</v>
      </c>
      <c r="AI44" s="53">
        <f>MAX(0,AG44*AH44)</f>
        <v>0</v>
      </c>
      <c r="AJ44" s="54">
        <f>MAX(0,AC44-AB44)</f>
        <v>0</v>
      </c>
      <c r="AK44" s="36">
        <v>2</v>
      </c>
      <c r="AL44" s="51">
        <f>MAX(0,AJ44-AK44)</f>
        <v>0</v>
      </c>
      <c r="AM44" s="52">
        <v>200</v>
      </c>
      <c r="AN44" s="53">
        <f>MAX(0,AL44*AM44)</f>
        <v>0</v>
      </c>
      <c r="AO44" s="52"/>
      <c r="AP44" s="55">
        <f>AO44+AN44+AI44</f>
        <v>0</v>
      </c>
    </row>
    <row r="45" spans="1:42" s="1" customFormat="1" ht="15" customHeight="1">
      <c r="A45" s="33">
        <f>ROW()-3</f>
        <v>42</v>
      </c>
      <c r="B45" s="34" t="s">
        <v>114</v>
      </c>
      <c r="C45" s="34" t="s">
        <v>269</v>
      </c>
      <c r="D45" s="93" t="s">
        <v>270</v>
      </c>
      <c r="E45" s="93" t="s">
        <v>271</v>
      </c>
      <c r="F45" s="34" t="s">
        <v>12</v>
      </c>
      <c r="G45" s="37" t="s">
        <v>752</v>
      </c>
      <c r="H45" s="38">
        <v>29</v>
      </c>
      <c r="I45" s="94">
        <v>36250</v>
      </c>
      <c r="J45" s="94">
        <v>36323</v>
      </c>
      <c r="K45" s="34" t="s">
        <v>120</v>
      </c>
      <c r="L45" s="39">
        <v>45890</v>
      </c>
      <c r="M45" s="40" t="s">
        <v>121</v>
      </c>
      <c r="N45" s="39" t="s">
        <v>122</v>
      </c>
      <c r="O45" s="39">
        <v>45881</v>
      </c>
      <c r="P45" s="39">
        <v>45907</v>
      </c>
      <c r="Q45" s="39">
        <v>45892</v>
      </c>
      <c r="R45" s="39">
        <v>46010</v>
      </c>
      <c r="S45" s="39">
        <v>46014</v>
      </c>
      <c r="T45" s="39">
        <v>46017</v>
      </c>
      <c r="U45" s="39">
        <v>46023</v>
      </c>
      <c r="V45" s="39">
        <v>46028</v>
      </c>
      <c r="W45" s="39">
        <v>46030</v>
      </c>
      <c r="X45" s="39">
        <v>46030</v>
      </c>
      <c r="Y45" s="39"/>
      <c r="Z45" s="39"/>
      <c r="AA45" s="39"/>
      <c r="AB45" s="39"/>
      <c r="AC45" s="39"/>
      <c r="AD45" s="44" t="s">
        <v>747</v>
      </c>
      <c r="AE45" s="45">
        <f>MAX(0,Y45-X45)</f>
        <v>0</v>
      </c>
      <c r="AF45" s="36">
        <v>7</v>
      </c>
      <c r="AG45" s="46">
        <f>MAX(0,AE45-AF45)</f>
        <v>0</v>
      </c>
      <c r="AH45" s="47">
        <v>200</v>
      </c>
      <c r="AI45" s="48">
        <f>MAX(0,AG45*AH45)</f>
        <v>0</v>
      </c>
      <c r="AJ45" s="45">
        <f>MAX(0,AC45-AB45)</f>
        <v>0</v>
      </c>
      <c r="AK45" s="36">
        <v>2</v>
      </c>
      <c r="AL45" s="46">
        <f>MAX(0,AJ45-AK45)</f>
        <v>0</v>
      </c>
      <c r="AM45" s="47">
        <v>200</v>
      </c>
      <c r="AN45" s="48">
        <f>MAX(0,AL45*AM45)</f>
        <v>0</v>
      </c>
      <c r="AO45" s="47"/>
      <c r="AP45" s="49">
        <f>AO45+AN45+AI45</f>
        <v>0</v>
      </c>
    </row>
    <row r="46" spans="1:42" s="1" customFormat="1" ht="15" customHeight="1">
      <c r="A46" s="33">
        <f>ROW()-3</f>
        <v>43</v>
      </c>
      <c r="B46" s="34" t="s">
        <v>114</v>
      </c>
      <c r="C46" s="35" t="s">
        <v>308</v>
      </c>
      <c r="D46" s="35" t="s">
        <v>309</v>
      </c>
      <c r="E46" s="35" t="s">
        <v>310</v>
      </c>
      <c r="F46" s="34" t="s">
        <v>12</v>
      </c>
      <c r="G46" s="37" t="s">
        <v>752</v>
      </c>
      <c r="H46" s="37">
        <v>28</v>
      </c>
      <c r="I46" s="34">
        <v>35000</v>
      </c>
      <c r="J46" s="34">
        <v>35070</v>
      </c>
      <c r="K46" s="34" t="s">
        <v>120</v>
      </c>
      <c r="L46" s="39">
        <v>45890</v>
      </c>
      <c r="M46" s="40" t="s">
        <v>121</v>
      </c>
      <c r="N46" s="39" t="s">
        <v>122</v>
      </c>
      <c r="O46" s="39">
        <v>45881</v>
      </c>
      <c r="P46" s="39">
        <v>45907</v>
      </c>
      <c r="Q46" s="39">
        <v>45892</v>
      </c>
      <c r="R46" s="39">
        <v>46011</v>
      </c>
      <c r="S46" s="39">
        <v>46014</v>
      </c>
      <c r="T46" s="39">
        <v>46017</v>
      </c>
      <c r="U46" s="39">
        <v>46023</v>
      </c>
      <c r="V46" s="39">
        <v>46028</v>
      </c>
      <c r="W46" s="39">
        <v>46030</v>
      </c>
      <c r="X46" s="39">
        <v>46030</v>
      </c>
      <c r="Y46" s="39"/>
      <c r="Z46" s="39"/>
      <c r="AA46" s="39"/>
      <c r="AB46" s="39"/>
      <c r="AC46" s="39"/>
      <c r="AD46" s="44" t="s">
        <v>747</v>
      </c>
      <c r="AE46" s="45">
        <f>MAX(0,Y46-X46)</f>
        <v>0</v>
      </c>
      <c r="AF46" s="36">
        <v>7</v>
      </c>
      <c r="AG46" s="46">
        <f>MAX(0,AE46-AF46)</f>
        <v>0</v>
      </c>
      <c r="AH46" s="47">
        <v>200</v>
      </c>
      <c r="AI46" s="48">
        <f>MAX(0,AG46*AH46)</f>
        <v>0</v>
      </c>
      <c r="AJ46" s="45">
        <f>MAX(0,AC46-AB46)</f>
        <v>0</v>
      </c>
      <c r="AK46" s="36">
        <v>2</v>
      </c>
      <c r="AL46" s="46">
        <f>MAX(0,AJ46-AK46)</f>
        <v>0</v>
      </c>
      <c r="AM46" s="47">
        <v>200</v>
      </c>
      <c r="AN46" s="48">
        <f>MAX(0,AL46*AM46)</f>
        <v>0</v>
      </c>
      <c r="AO46" s="47"/>
      <c r="AP46" s="49">
        <f>AO46+AN46+AI46</f>
        <v>0</v>
      </c>
    </row>
    <row r="47" spans="1:42" s="1" customFormat="1" ht="15" customHeight="1">
      <c r="A47" s="33">
        <f>ROW()-3</f>
        <v>44</v>
      </c>
      <c r="B47" s="34" t="s">
        <v>114</v>
      </c>
      <c r="C47" s="35" t="s">
        <v>311</v>
      </c>
      <c r="D47" s="35" t="s">
        <v>312</v>
      </c>
      <c r="E47" s="33" t="s">
        <v>313</v>
      </c>
      <c r="F47" s="34" t="s">
        <v>12</v>
      </c>
      <c r="G47" s="37" t="s">
        <v>752</v>
      </c>
      <c r="H47" s="37">
        <v>28</v>
      </c>
      <c r="I47" s="34">
        <v>35000</v>
      </c>
      <c r="J47" s="34">
        <v>35070</v>
      </c>
      <c r="K47" s="34" t="s">
        <v>120</v>
      </c>
      <c r="L47" s="39">
        <v>45890</v>
      </c>
      <c r="M47" s="40" t="s">
        <v>121</v>
      </c>
      <c r="N47" s="39" t="s">
        <v>122</v>
      </c>
      <c r="O47" s="39">
        <v>45881</v>
      </c>
      <c r="P47" s="39">
        <v>45907</v>
      </c>
      <c r="Q47" s="39">
        <v>45892</v>
      </c>
      <c r="R47" s="39">
        <v>46011</v>
      </c>
      <c r="S47" s="39">
        <v>46014</v>
      </c>
      <c r="T47" s="39">
        <v>46017</v>
      </c>
      <c r="U47" s="39">
        <v>46023</v>
      </c>
      <c r="V47" s="39">
        <v>46028</v>
      </c>
      <c r="W47" s="39">
        <v>46029</v>
      </c>
      <c r="X47" s="39">
        <v>46029</v>
      </c>
      <c r="Y47" s="39"/>
      <c r="Z47" s="39"/>
      <c r="AA47" s="39"/>
      <c r="AB47" s="39"/>
      <c r="AC47" s="39"/>
      <c r="AD47" s="44" t="s">
        <v>747</v>
      </c>
      <c r="AE47" s="54">
        <f>MAX(0,Y47-X47)</f>
        <v>0</v>
      </c>
      <c r="AF47" s="36">
        <v>7</v>
      </c>
      <c r="AG47" s="51">
        <f>MAX(0,AE47-AF47)</f>
        <v>0</v>
      </c>
      <c r="AH47" s="52">
        <v>200</v>
      </c>
      <c r="AI47" s="53">
        <f>MAX(0,AG47*AH47)</f>
        <v>0</v>
      </c>
      <c r="AJ47" s="54">
        <f>MAX(0,AC47-AB47)</f>
        <v>0</v>
      </c>
      <c r="AK47" s="36">
        <v>2</v>
      </c>
      <c r="AL47" s="51">
        <f>MAX(0,AJ47-AK47)</f>
        <v>0</v>
      </c>
      <c r="AM47" s="52">
        <v>200</v>
      </c>
      <c r="AN47" s="53">
        <f>MAX(0,AL47*AM47)</f>
        <v>0</v>
      </c>
      <c r="AO47" s="52"/>
      <c r="AP47" s="55">
        <f>AO47+AN47+AI47</f>
        <v>0</v>
      </c>
    </row>
    <row r="48" spans="1:42" s="1" customFormat="1" ht="15" customHeight="1">
      <c r="A48" s="33">
        <f>ROW()-3</f>
        <v>45</v>
      </c>
      <c r="B48" s="34" t="s">
        <v>114</v>
      </c>
      <c r="C48" s="39" t="s">
        <v>314</v>
      </c>
      <c r="D48" s="39" t="s">
        <v>315</v>
      </c>
      <c r="E48" s="33" t="s">
        <v>316</v>
      </c>
      <c r="F48" s="34" t="s">
        <v>12</v>
      </c>
      <c r="G48" s="37" t="s">
        <v>752</v>
      </c>
      <c r="H48" s="37">
        <v>28</v>
      </c>
      <c r="I48" s="34">
        <v>35000</v>
      </c>
      <c r="J48" s="34">
        <v>35070</v>
      </c>
      <c r="K48" s="34" t="s">
        <v>120</v>
      </c>
      <c r="L48" s="39">
        <v>45890</v>
      </c>
      <c r="M48" s="40" t="s">
        <v>121</v>
      </c>
      <c r="N48" s="39" t="s">
        <v>122</v>
      </c>
      <c r="O48" s="39">
        <v>45881</v>
      </c>
      <c r="P48" s="39">
        <v>45907</v>
      </c>
      <c r="Q48" s="39">
        <v>45892</v>
      </c>
      <c r="R48" s="39">
        <v>46011</v>
      </c>
      <c r="S48" s="39">
        <v>46014</v>
      </c>
      <c r="T48" s="39">
        <v>46017</v>
      </c>
      <c r="U48" s="39">
        <v>46024</v>
      </c>
      <c r="V48" s="39">
        <v>46029</v>
      </c>
      <c r="W48" s="39">
        <v>46030</v>
      </c>
      <c r="X48" s="39">
        <v>46030</v>
      </c>
      <c r="Y48" s="39"/>
      <c r="Z48" s="39"/>
      <c r="AA48" s="39"/>
      <c r="AB48" s="39"/>
      <c r="AC48" s="39"/>
      <c r="AD48" s="44" t="s">
        <v>747</v>
      </c>
      <c r="AE48" s="45">
        <f>MAX(0,Y48-X48)</f>
        <v>0</v>
      </c>
      <c r="AF48" s="36">
        <v>7</v>
      </c>
      <c r="AG48" s="46">
        <f>MAX(0,AE48-AF48)</f>
        <v>0</v>
      </c>
      <c r="AH48" s="47">
        <v>200</v>
      </c>
      <c r="AI48" s="48">
        <f>MAX(0,AG48*AH48)</f>
        <v>0</v>
      </c>
      <c r="AJ48" s="45">
        <f>MAX(0,AC48-AB48)</f>
        <v>0</v>
      </c>
      <c r="AK48" s="36">
        <v>2</v>
      </c>
      <c r="AL48" s="46">
        <f>MAX(0,AJ48-AK48)</f>
        <v>0</v>
      </c>
      <c r="AM48" s="47">
        <v>200</v>
      </c>
      <c r="AN48" s="48">
        <f>MAX(0,AL48*AM48)</f>
        <v>0</v>
      </c>
      <c r="AO48" s="47"/>
      <c r="AP48" s="49">
        <f>AO48+AN48+AI48</f>
        <v>0</v>
      </c>
    </row>
    <row r="49" spans="1:42" s="1" customFormat="1" ht="15" customHeight="1">
      <c r="A49" s="33">
        <f>ROW()-3</f>
        <v>46</v>
      </c>
      <c r="B49" s="34" t="s">
        <v>114</v>
      </c>
      <c r="C49" s="35" t="s">
        <v>275</v>
      </c>
      <c r="D49" s="35" t="s">
        <v>276</v>
      </c>
      <c r="E49" s="34" t="s">
        <v>277</v>
      </c>
      <c r="F49" s="34" t="s">
        <v>12</v>
      </c>
      <c r="G49" s="37" t="s">
        <v>752</v>
      </c>
      <c r="H49" s="37">
        <v>28</v>
      </c>
      <c r="I49" s="34">
        <v>35000</v>
      </c>
      <c r="J49" s="34">
        <v>35070</v>
      </c>
      <c r="K49" s="34" t="s">
        <v>120</v>
      </c>
      <c r="L49" s="39">
        <v>45890</v>
      </c>
      <c r="M49" s="40" t="s">
        <v>121</v>
      </c>
      <c r="N49" s="39" t="s">
        <v>122</v>
      </c>
      <c r="O49" s="39">
        <v>45881</v>
      </c>
      <c r="P49" s="39">
        <v>45907</v>
      </c>
      <c r="Q49" s="39">
        <v>45892</v>
      </c>
      <c r="R49" s="39">
        <v>46011</v>
      </c>
      <c r="S49" s="39">
        <v>46014</v>
      </c>
      <c r="T49" s="39">
        <v>46017</v>
      </c>
      <c r="U49" s="39">
        <v>46023</v>
      </c>
      <c r="V49" s="39">
        <v>46029</v>
      </c>
      <c r="W49" s="39">
        <v>46030</v>
      </c>
      <c r="X49" s="39">
        <v>46030</v>
      </c>
      <c r="Y49" s="39"/>
      <c r="Z49" s="39"/>
      <c r="AA49" s="39"/>
      <c r="AB49" s="39"/>
      <c r="AC49" s="39"/>
      <c r="AD49" s="44" t="s">
        <v>747</v>
      </c>
      <c r="AE49" s="54">
        <f>MAX(0,Y49-X49)</f>
        <v>0</v>
      </c>
      <c r="AF49" s="36">
        <v>7</v>
      </c>
      <c r="AG49" s="51">
        <f>MAX(0,AE49-AF49)</f>
        <v>0</v>
      </c>
      <c r="AH49" s="52">
        <v>200</v>
      </c>
      <c r="AI49" s="53">
        <f>MAX(0,AG49*AH49)</f>
        <v>0</v>
      </c>
      <c r="AJ49" s="54">
        <f>MAX(0,AC49-AB49)</f>
        <v>0</v>
      </c>
      <c r="AK49" s="36">
        <v>2</v>
      </c>
      <c r="AL49" s="51">
        <f>MAX(0,AJ49-AK49)</f>
        <v>0</v>
      </c>
      <c r="AM49" s="52">
        <v>200</v>
      </c>
      <c r="AN49" s="53">
        <f>MAX(0,AL49*AM49)</f>
        <v>0</v>
      </c>
      <c r="AO49" s="52"/>
      <c r="AP49" s="55">
        <f>AO49+AN49+AI49</f>
        <v>0</v>
      </c>
    </row>
    <row r="50" spans="1:42" s="1" customFormat="1" ht="15" customHeight="1">
      <c r="A50" s="33">
        <f>ROW()-3</f>
        <v>47</v>
      </c>
      <c r="B50" s="34" t="s">
        <v>114</v>
      </c>
      <c r="C50" s="35" t="s">
        <v>281</v>
      </c>
      <c r="D50" s="35" t="s">
        <v>282</v>
      </c>
      <c r="E50" s="34" t="s">
        <v>283</v>
      </c>
      <c r="F50" s="34" t="s">
        <v>12</v>
      </c>
      <c r="G50" s="37" t="s">
        <v>752</v>
      </c>
      <c r="H50" s="37">
        <v>28</v>
      </c>
      <c r="I50" s="34">
        <v>35000</v>
      </c>
      <c r="J50" s="34">
        <v>35070</v>
      </c>
      <c r="K50" s="34" t="s">
        <v>120</v>
      </c>
      <c r="L50" s="39">
        <v>45890</v>
      </c>
      <c r="M50" s="40" t="s">
        <v>121</v>
      </c>
      <c r="N50" s="39" t="s">
        <v>122</v>
      </c>
      <c r="O50" s="39">
        <v>45881</v>
      </c>
      <c r="P50" s="39">
        <v>45907</v>
      </c>
      <c r="Q50" s="39">
        <v>45892</v>
      </c>
      <c r="R50" s="39">
        <v>46011</v>
      </c>
      <c r="S50" s="39">
        <v>46014</v>
      </c>
      <c r="T50" s="39">
        <v>46017</v>
      </c>
      <c r="U50" s="39">
        <v>46024</v>
      </c>
      <c r="V50" s="39">
        <v>46029</v>
      </c>
      <c r="W50" s="39">
        <v>46030</v>
      </c>
      <c r="X50" s="39">
        <v>46030</v>
      </c>
      <c r="Y50" s="39"/>
      <c r="Z50" s="39"/>
      <c r="AA50" s="39"/>
      <c r="AB50" s="39"/>
      <c r="AC50" s="39"/>
      <c r="AD50" s="44" t="s">
        <v>747</v>
      </c>
      <c r="AE50" s="54">
        <f>MAX(0,Y50-X50)</f>
        <v>0</v>
      </c>
      <c r="AF50" s="36">
        <v>7</v>
      </c>
      <c r="AG50" s="51">
        <f>MAX(0,AE50-AF50)</f>
        <v>0</v>
      </c>
      <c r="AH50" s="52">
        <v>200</v>
      </c>
      <c r="AI50" s="53">
        <f>MAX(0,AG50*AH50)</f>
        <v>0</v>
      </c>
      <c r="AJ50" s="54">
        <f>MAX(0,AC50-AB50)</f>
        <v>0</v>
      </c>
      <c r="AK50" s="36">
        <v>2</v>
      </c>
      <c r="AL50" s="51">
        <f>MAX(0,AJ50-AK50)</f>
        <v>0</v>
      </c>
      <c r="AM50" s="52">
        <v>200</v>
      </c>
      <c r="AN50" s="53">
        <f>MAX(0,AL50*AM50)</f>
        <v>0</v>
      </c>
      <c r="AO50" s="52"/>
      <c r="AP50" s="55">
        <f>AO50+AN50+AI50</f>
        <v>0</v>
      </c>
    </row>
    <row r="51" spans="1:42" s="1" customFormat="1" ht="15" customHeight="1">
      <c r="A51" s="33">
        <f>ROW()-3</f>
        <v>48</v>
      </c>
      <c r="B51" s="111" t="s">
        <v>114</v>
      </c>
      <c r="C51" s="113" t="s">
        <v>296</v>
      </c>
      <c r="D51" s="113" t="s">
        <v>297</v>
      </c>
      <c r="E51" s="111" t="s">
        <v>298</v>
      </c>
      <c r="F51" s="111" t="s">
        <v>12</v>
      </c>
      <c r="G51" s="281" t="s">
        <v>103</v>
      </c>
      <c r="H51" s="256">
        <v>28</v>
      </c>
      <c r="I51" s="111">
        <v>35000</v>
      </c>
      <c r="J51" s="111">
        <v>35070</v>
      </c>
      <c r="K51" s="111" t="s">
        <v>120</v>
      </c>
      <c r="L51" s="171">
        <v>45890</v>
      </c>
      <c r="M51" s="257" t="s">
        <v>121</v>
      </c>
      <c r="N51" s="171" t="s">
        <v>122</v>
      </c>
      <c r="O51" s="171">
        <v>45881</v>
      </c>
      <c r="P51" s="171">
        <v>45907</v>
      </c>
      <c r="Q51" s="171">
        <v>45892</v>
      </c>
      <c r="R51" s="171">
        <v>46010</v>
      </c>
      <c r="S51" s="171">
        <v>46013</v>
      </c>
      <c r="T51" s="171">
        <v>46017</v>
      </c>
      <c r="U51" s="171">
        <v>46021</v>
      </c>
      <c r="V51" s="171">
        <v>46026</v>
      </c>
      <c r="W51" s="171">
        <v>46027</v>
      </c>
      <c r="X51" s="171">
        <v>46027</v>
      </c>
      <c r="Y51" s="171">
        <v>46038</v>
      </c>
      <c r="Z51" s="171">
        <v>46038</v>
      </c>
      <c r="AA51" s="171">
        <v>46039</v>
      </c>
      <c r="AB51" s="171">
        <v>46040</v>
      </c>
      <c r="AC51" s="171">
        <v>46041</v>
      </c>
      <c r="AD51" s="273" t="s">
        <v>641</v>
      </c>
      <c r="AE51" s="54">
        <f>MAX(0,Y51-X51)</f>
        <v>11</v>
      </c>
      <c r="AF51" s="36">
        <v>7</v>
      </c>
      <c r="AG51" s="51">
        <f>MAX(0,AE51-AF51)</f>
        <v>4</v>
      </c>
      <c r="AH51" s="52">
        <v>200</v>
      </c>
      <c r="AI51" s="53">
        <f>MAX(0,AG51*AH51)</f>
        <v>800</v>
      </c>
      <c r="AJ51" s="54">
        <f>MAX(0,AC51-AB51)</f>
        <v>1</v>
      </c>
      <c r="AK51" s="36">
        <v>2</v>
      </c>
      <c r="AL51" s="51">
        <f>MAX(0,AJ51-AK51)</f>
        <v>0</v>
      </c>
      <c r="AM51" s="52">
        <v>200</v>
      </c>
      <c r="AN51" s="53">
        <f>MAX(0,AL51*AM51)</f>
        <v>0</v>
      </c>
      <c r="AO51" s="52">
        <v>400</v>
      </c>
      <c r="AP51" s="55">
        <f>AO51+AN51+AI51</f>
        <v>1200</v>
      </c>
    </row>
    <row r="52" spans="1:42" s="1" customFormat="1" ht="15" customHeight="1">
      <c r="A52" s="33">
        <f>ROW()-3</f>
        <v>49</v>
      </c>
      <c r="B52" s="111" t="s">
        <v>114</v>
      </c>
      <c r="C52" s="171" t="s">
        <v>317</v>
      </c>
      <c r="D52" s="171" t="s">
        <v>318</v>
      </c>
      <c r="E52" s="112" t="s">
        <v>319</v>
      </c>
      <c r="F52" s="111" t="s">
        <v>12</v>
      </c>
      <c r="G52" s="281" t="s">
        <v>103</v>
      </c>
      <c r="H52" s="256">
        <v>28</v>
      </c>
      <c r="I52" s="111">
        <v>35000</v>
      </c>
      <c r="J52" s="111">
        <v>35070</v>
      </c>
      <c r="K52" s="111" t="s">
        <v>120</v>
      </c>
      <c r="L52" s="171">
        <v>45890</v>
      </c>
      <c r="M52" s="257" t="s">
        <v>121</v>
      </c>
      <c r="N52" s="171" t="s">
        <v>122</v>
      </c>
      <c r="O52" s="171">
        <v>45881</v>
      </c>
      <c r="P52" s="171">
        <v>45907</v>
      </c>
      <c r="Q52" s="171">
        <v>45892</v>
      </c>
      <c r="R52" s="171">
        <v>46011</v>
      </c>
      <c r="S52" s="171">
        <v>46013</v>
      </c>
      <c r="T52" s="171">
        <v>46017</v>
      </c>
      <c r="U52" s="171">
        <v>46018</v>
      </c>
      <c r="V52" s="171">
        <v>46021</v>
      </c>
      <c r="W52" s="171">
        <v>46025</v>
      </c>
      <c r="X52" s="171">
        <v>46025</v>
      </c>
      <c r="Y52" s="171">
        <v>46037</v>
      </c>
      <c r="Z52" s="171">
        <v>46038</v>
      </c>
      <c r="AA52" s="171">
        <v>46039</v>
      </c>
      <c r="AB52" s="171">
        <v>46040</v>
      </c>
      <c r="AC52" s="171">
        <v>46041</v>
      </c>
      <c r="AD52" s="273" t="s">
        <v>641</v>
      </c>
      <c r="AE52" s="54">
        <f>MAX(0,Y52-X52)</f>
        <v>12</v>
      </c>
      <c r="AF52" s="36">
        <v>7</v>
      </c>
      <c r="AG52" s="51">
        <f>MAX(0,AE52-AF52)</f>
        <v>5</v>
      </c>
      <c r="AH52" s="52">
        <v>200</v>
      </c>
      <c r="AI52" s="53">
        <f>MAX(0,AG52*AH52)</f>
        <v>1000</v>
      </c>
      <c r="AJ52" s="54">
        <f>MAX(0,AC52-AB52)</f>
        <v>1</v>
      </c>
      <c r="AK52" s="36">
        <v>2</v>
      </c>
      <c r="AL52" s="51">
        <f>MAX(0,AJ52-AK52)</f>
        <v>0</v>
      </c>
      <c r="AM52" s="52">
        <v>200</v>
      </c>
      <c r="AN52" s="53">
        <f>MAX(0,AL52*AM52)</f>
        <v>0</v>
      </c>
      <c r="AO52" s="52">
        <v>550</v>
      </c>
      <c r="AP52" s="55">
        <f>AO52+AN52+AI52</f>
        <v>1550</v>
      </c>
    </row>
    <row r="53" spans="1:42" s="1" customFormat="1" ht="15.75" customHeight="1">
      <c r="A53" s="33">
        <f>ROW()-3</f>
        <v>50</v>
      </c>
      <c r="B53" s="111" t="s">
        <v>114</v>
      </c>
      <c r="C53" s="113" t="s">
        <v>302</v>
      </c>
      <c r="D53" s="113" t="s">
        <v>303</v>
      </c>
      <c r="E53" s="112" t="s">
        <v>304</v>
      </c>
      <c r="F53" s="111" t="s">
        <v>12</v>
      </c>
      <c r="G53" s="281" t="s">
        <v>103</v>
      </c>
      <c r="H53" s="256">
        <v>28</v>
      </c>
      <c r="I53" s="111">
        <v>35000</v>
      </c>
      <c r="J53" s="111">
        <v>35070</v>
      </c>
      <c r="K53" s="111" t="s">
        <v>120</v>
      </c>
      <c r="L53" s="171">
        <v>45890</v>
      </c>
      <c r="M53" s="257" t="s">
        <v>121</v>
      </c>
      <c r="N53" s="171" t="s">
        <v>122</v>
      </c>
      <c r="O53" s="171">
        <v>45881</v>
      </c>
      <c r="P53" s="171">
        <v>45907</v>
      </c>
      <c r="Q53" s="171">
        <v>45892</v>
      </c>
      <c r="R53" s="171">
        <v>46011</v>
      </c>
      <c r="S53" s="171">
        <v>46013</v>
      </c>
      <c r="T53" s="171">
        <v>46017</v>
      </c>
      <c r="U53" s="171">
        <v>46019</v>
      </c>
      <c r="V53" s="171">
        <v>46022</v>
      </c>
      <c r="W53" s="171">
        <v>46024</v>
      </c>
      <c r="X53" s="171">
        <v>46024</v>
      </c>
      <c r="Y53" s="171">
        <v>46037</v>
      </c>
      <c r="Z53" s="171">
        <v>46038</v>
      </c>
      <c r="AA53" s="171">
        <v>46039</v>
      </c>
      <c r="AB53" s="171">
        <v>46040</v>
      </c>
      <c r="AC53" s="171">
        <v>46041</v>
      </c>
      <c r="AD53" s="273" t="s">
        <v>641</v>
      </c>
      <c r="AE53" s="45">
        <f>MAX(0,Y53-X53)</f>
        <v>13</v>
      </c>
      <c r="AF53" s="36">
        <v>7</v>
      </c>
      <c r="AG53" s="46">
        <f>MAX(0,AE53-AF53)</f>
        <v>6</v>
      </c>
      <c r="AH53" s="47">
        <v>200</v>
      </c>
      <c r="AI53" s="48">
        <f>MAX(0,AG53*AH53)</f>
        <v>1200</v>
      </c>
      <c r="AJ53" s="45">
        <f>MAX(0,AC53-AB53)</f>
        <v>1</v>
      </c>
      <c r="AK53" s="36">
        <v>2</v>
      </c>
      <c r="AL53" s="46">
        <f>MAX(0,AJ53-AK53)</f>
        <v>0</v>
      </c>
      <c r="AM53" s="47">
        <v>200</v>
      </c>
      <c r="AN53" s="48">
        <f>MAX(0,AL53*AM53)</f>
        <v>0</v>
      </c>
      <c r="AO53" s="47">
        <v>625</v>
      </c>
      <c r="AP53" s="49">
        <f>AO53+AN53+AI53</f>
        <v>1825</v>
      </c>
    </row>
    <row r="54" spans="1:42" s="1" customFormat="1" ht="15.75" customHeight="1">
      <c r="A54" s="33">
        <f>ROW()-3</f>
        <v>51</v>
      </c>
      <c r="B54" s="111" t="s">
        <v>114</v>
      </c>
      <c r="C54" s="113" t="s">
        <v>299</v>
      </c>
      <c r="D54" s="113" t="s">
        <v>300</v>
      </c>
      <c r="E54" s="112" t="s">
        <v>301</v>
      </c>
      <c r="F54" s="111" t="s">
        <v>12</v>
      </c>
      <c r="G54" s="281" t="s">
        <v>103</v>
      </c>
      <c r="H54" s="256">
        <v>28</v>
      </c>
      <c r="I54" s="111">
        <v>35000</v>
      </c>
      <c r="J54" s="111">
        <v>35070</v>
      </c>
      <c r="K54" s="111" t="s">
        <v>120</v>
      </c>
      <c r="L54" s="171">
        <v>45890</v>
      </c>
      <c r="M54" s="257" t="s">
        <v>121</v>
      </c>
      <c r="N54" s="171" t="s">
        <v>122</v>
      </c>
      <c r="O54" s="171">
        <v>45881</v>
      </c>
      <c r="P54" s="171">
        <v>45907</v>
      </c>
      <c r="Q54" s="171">
        <v>45892</v>
      </c>
      <c r="R54" s="171">
        <v>46011</v>
      </c>
      <c r="S54" s="171">
        <v>46013</v>
      </c>
      <c r="T54" s="171">
        <v>46017</v>
      </c>
      <c r="U54" s="171">
        <v>46023</v>
      </c>
      <c r="V54" s="171">
        <v>46029</v>
      </c>
      <c r="W54" s="171">
        <v>46030</v>
      </c>
      <c r="X54" s="171">
        <v>46030</v>
      </c>
      <c r="Y54" s="171">
        <v>46037</v>
      </c>
      <c r="Z54" s="171">
        <v>46038</v>
      </c>
      <c r="AA54" s="171">
        <v>46039</v>
      </c>
      <c r="AB54" s="171">
        <v>46040</v>
      </c>
      <c r="AC54" s="171">
        <v>46041</v>
      </c>
      <c r="AD54" s="273" t="s">
        <v>641</v>
      </c>
      <c r="AE54" s="45">
        <f>MAX(0,Y54-X54)</f>
        <v>7</v>
      </c>
      <c r="AF54" s="36">
        <v>7</v>
      </c>
      <c r="AG54" s="46">
        <f>MAX(0,AE54-AF54)</f>
        <v>0</v>
      </c>
      <c r="AH54" s="47">
        <v>200</v>
      </c>
      <c r="AI54" s="48">
        <f>MAX(0,AG54*AH54)</f>
        <v>0</v>
      </c>
      <c r="AJ54" s="45">
        <f>MAX(0,AC54-AB54)</f>
        <v>1</v>
      </c>
      <c r="AK54" s="36">
        <v>2</v>
      </c>
      <c r="AL54" s="46">
        <f>MAX(0,AJ54-AK54)</f>
        <v>0</v>
      </c>
      <c r="AM54" s="47">
        <v>200</v>
      </c>
      <c r="AN54" s="48">
        <f>MAX(0,AL54*AM54)</f>
        <v>0</v>
      </c>
      <c r="AO54" s="47">
        <v>250</v>
      </c>
      <c r="AP54" s="49">
        <f>AO54+AN54+AI54</f>
        <v>250</v>
      </c>
    </row>
    <row r="55" spans="1:42" s="1" customFormat="1" ht="15" customHeight="1">
      <c r="A55" s="33">
        <f>ROW()-3</f>
        <v>52</v>
      </c>
      <c r="B55" s="111" t="s">
        <v>114</v>
      </c>
      <c r="C55" s="112" t="s">
        <v>293</v>
      </c>
      <c r="D55" s="113" t="s">
        <v>294</v>
      </c>
      <c r="E55" s="112" t="s">
        <v>295</v>
      </c>
      <c r="F55" s="111" t="s">
        <v>12</v>
      </c>
      <c r="G55" s="281" t="s">
        <v>103</v>
      </c>
      <c r="H55" s="256">
        <v>28</v>
      </c>
      <c r="I55" s="111">
        <v>35000</v>
      </c>
      <c r="J55" s="111">
        <v>35070</v>
      </c>
      <c r="K55" s="111" t="s">
        <v>120</v>
      </c>
      <c r="L55" s="171">
        <v>45890</v>
      </c>
      <c r="M55" s="257" t="s">
        <v>121</v>
      </c>
      <c r="N55" s="171" t="s">
        <v>122</v>
      </c>
      <c r="O55" s="171">
        <v>45881</v>
      </c>
      <c r="P55" s="171">
        <v>45907</v>
      </c>
      <c r="Q55" s="171">
        <v>45892</v>
      </c>
      <c r="R55" s="171">
        <v>46010</v>
      </c>
      <c r="S55" s="171">
        <v>46013</v>
      </c>
      <c r="T55" s="171">
        <v>46017</v>
      </c>
      <c r="U55" s="171">
        <v>46023</v>
      </c>
      <c r="V55" s="171">
        <v>46029</v>
      </c>
      <c r="W55" s="171">
        <v>46030</v>
      </c>
      <c r="X55" s="171">
        <v>46030</v>
      </c>
      <c r="Y55" s="171">
        <v>46037</v>
      </c>
      <c r="Z55" s="171">
        <v>46038</v>
      </c>
      <c r="AA55" s="171">
        <v>46039</v>
      </c>
      <c r="AB55" s="171">
        <v>46040</v>
      </c>
      <c r="AC55" s="171">
        <v>46041</v>
      </c>
      <c r="AD55" s="273" t="s">
        <v>641</v>
      </c>
      <c r="AE55" s="54">
        <f>MAX(0,Y55-X55)</f>
        <v>7</v>
      </c>
      <c r="AF55" s="36">
        <v>7</v>
      </c>
      <c r="AG55" s="51">
        <f>MAX(0,AE55-AF55)</f>
        <v>0</v>
      </c>
      <c r="AH55" s="52">
        <v>200</v>
      </c>
      <c r="AI55" s="53">
        <f>MAX(0,AG55*AH55)</f>
        <v>0</v>
      </c>
      <c r="AJ55" s="54">
        <f>MAX(0,AC55-AB55)</f>
        <v>1</v>
      </c>
      <c r="AK55" s="36">
        <v>2</v>
      </c>
      <c r="AL55" s="51">
        <f>MAX(0,AJ55-AK55)</f>
        <v>0</v>
      </c>
      <c r="AM55" s="52">
        <v>200</v>
      </c>
      <c r="AN55" s="53">
        <f>MAX(0,AL55*AM55)</f>
        <v>0</v>
      </c>
      <c r="AO55" s="52">
        <v>250</v>
      </c>
      <c r="AP55" s="55">
        <f>AO55+AN55+AI55</f>
        <v>250</v>
      </c>
    </row>
    <row r="56" spans="1:42" s="1" customFormat="1" ht="15" customHeight="1">
      <c r="A56" s="33">
        <f>ROW()-3</f>
        <v>53</v>
      </c>
      <c r="B56" s="111" t="s">
        <v>114</v>
      </c>
      <c r="C56" s="113" t="s">
        <v>320</v>
      </c>
      <c r="D56" s="113" t="s">
        <v>321</v>
      </c>
      <c r="E56" s="112" t="s">
        <v>322</v>
      </c>
      <c r="F56" s="111" t="s">
        <v>12</v>
      </c>
      <c r="G56" s="281" t="s">
        <v>103</v>
      </c>
      <c r="H56" s="256">
        <v>27</v>
      </c>
      <c r="I56" s="111">
        <v>33750</v>
      </c>
      <c r="J56" s="111">
        <v>33845</v>
      </c>
      <c r="K56" s="111" t="s">
        <v>120</v>
      </c>
      <c r="L56" s="171">
        <v>45890</v>
      </c>
      <c r="M56" s="257" t="s">
        <v>121</v>
      </c>
      <c r="N56" s="171" t="s">
        <v>122</v>
      </c>
      <c r="O56" s="171">
        <v>45881</v>
      </c>
      <c r="P56" s="171">
        <v>45907</v>
      </c>
      <c r="Q56" s="171">
        <v>45892</v>
      </c>
      <c r="R56" s="171">
        <v>46011</v>
      </c>
      <c r="S56" s="171">
        <v>46013</v>
      </c>
      <c r="T56" s="171">
        <v>46017</v>
      </c>
      <c r="U56" s="171">
        <v>46018</v>
      </c>
      <c r="V56" s="171">
        <v>46021</v>
      </c>
      <c r="W56" s="171">
        <v>46024</v>
      </c>
      <c r="X56" s="171">
        <v>46024</v>
      </c>
      <c r="Y56" s="171">
        <v>46037</v>
      </c>
      <c r="Z56" s="171">
        <v>46038</v>
      </c>
      <c r="AA56" s="171">
        <v>46039</v>
      </c>
      <c r="AB56" s="171">
        <v>46040</v>
      </c>
      <c r="AC56" s="171">
        <v>46041</v>
      </c>
      <c r="AD56" s="273" t="s">
        <v>641</v>
      </c>
      <c r="AE56" s="54">
        <f>MAX(0,Y56-X56)</f>
        <v>13</v>
      </c>
      <c r="AF56" s="36">
        <v>7</v>
      </c>
      <c r="AG56" s="51">
        <f>MAX(0,AE56-AF56)</f>
        <v>6</v>
      </c>
      <c r="AH56" s="52">
        <v>200</v>
      </c>
      <c r="AI56" s="53">
        <f>MAX(0,AG56*AH56)</f>
        <v>1200</v>
      </c>
      <c r="AJ56" s="54">
        <f>MAX(0,AC56-AB56)</f>
        <v>1</v>
      </c>
      <c r="AK56" s="36">
        <v>2</v>
      </c>
      <c r="AL56" s="51">
        <f>MAX(0,AJ56-AK56)</f>
        <v>0</v>
      </c>
      <c r="AM56" s="52">
        <v>200</v>
      </c>
      <c r="AN56" s="53">
        <f>MAX(0,AL56*AM56)</f>
        <v>0</v>
      </c>
      <c r="AO56" s="52">
        <v>625</v>
      </c>
      <c r="AP56" s="55">
        <f>AO56+AN56+AI56</f>
        <v>1825</v>
      </c>
    </row>
    <row r="57" spans="1:42" s="1" customFormat="1" ht="15" customHeight="1">
      <c r="A57" s="33">
        <f>ROW()-3</f>
        <v>54</v>
      </c>
      <c r="B57" s="111" t="s">
        <v>114</v>
      </c>
      <c r="C57" s="113" t="s">
        <v>323</v>
      </c>
      <c r="D57" s="113" t="s">
        <v>324</v>
      </c>
      <c r="E57" s="112" t="s">
        <v>325</v>
      </c>
      <c r="F57" s="111" t="s">
        <v>12</v>
      </c>
      <c r="G57" s="256" t="s">
        <v>103</v>
      </c>
      <c r="H57" s="256">
        <v>29</v>
      </c>
      <c r="I57" s="111">
        <v>36250</v>
      </c>
      <c r="J57" s="111">
        <v>36323</v>
      </c>
      <c r="K57" s="111" t="s">
        <v>120</v>
      </c>
      <c r="L57" s="171">
        <v>45890</v>
      </c>
      <c r="M57" s="257" t="s">
        <v>121</v>
      </c>
      <c r="N57" s="171" t="s">
        <v>122</v>
      </c>
      <c r="O57" s="171">
        <v>45881</v>
      </c>
      <c r="P57" s="171">
        <v>45907</v>
      </c>
      <c r="Q57" s="171">
        <v>45892</v>
      </c>
      <c r="R57" s="171">
        <v>46011</v>
      </c>
      <c r="S57" s="171">
        <v>46013</v>
      </c>
      <c r="T57" s="171">
        <v>46017</v>
      </c>
      <c r="U57" s="171">
        <v>46024</v>
      </c>
      <c r="V57" s="171">
        <v>46029</v>
      </c>
      <c r="W57" s="171">
        <v>46030</v>
      </c>
      <c r="X57" s="171">
        <v>46030</v>
      </c>
      <c r="Y57" s="171">
        <v>46037</v>
      </c>
      <c r="Z57" s="171">
        <v>46038</v>
      </c>
      <c r="AA57" s="171">
        <v>46039</v>
      </c>
      <c r="AB57" s="171">
        <v>46039</v>
      </c>
      <c r="AC57" s="171">
        <v>46039</v>
      </c>
      <c r="AD57" s="273" t="s">
        <v>641</v>
      </c>
      <c r="AE57" s="251">
        <f>MAX(0,Y57-X57)</f>
        <v>7</v>
      </c>
      <c r="AF57" s="33">
        <v>7</v>
      </c>
      <c r="AG57" s="252">
        <f>MAX(0,AE57-AF57)</f>
        <v>0</v>
      </c>
      <c r="AH57" s="253">
        <v>200</v>
      </c>
      <c r="AI57" s="254">
        <f>MAX(0,AG57*AH57)</f>
        <v>0</v>
      </c>
      <c r="AJ57" s="251">
        <f>MAX(0,AC57-AB57)</f>
        <v>0</v>
      </c>
      <c r="AK57" s="33">
        <v>2</v>
      </c>
      <c r="AL57" s="252">
        <f>MAX(0,AJ57-AK57)</f>
        <v>0</v>
      </c>
      <c r="AM57" s="253">
        <v>200</v>
      </c>
      <c r="AN57" s="254">
        <f>MAX(0,AL57*AM57)</f>
        <v>0</v>
      </c>
      <c r="AO57" s="253">
        <v>250</v>
      </c>
      <c r="AP57" s="49">
        <f>AO57+AN57+AI57</f>
        <v>250</v>
      </c>
    </row>
    <row r="58" spans="1:42" ht="15.75" thickBot="1">
      <c r="B58" s="65"/>
      <c r="C58" s="65"/>
      <c r="D58" s="66"/>
      <c r="E58" s="65"/>
      <c r="F58" s="65"/>
      <c r="G58" s="65"/>
    </row>
    <row r="60" spans="1:42" ht="15.75" thickBot="1">
      <c r="D60" s="66"/>
      <c r="E60" s="65"/>
      <c r="F60" s="65"/>
      <c r="G60" s="65"/>
    </row>
    <row r="61" spans="1:42" ht="15.75" thickBot="1">
      <c r="D61" s="66"/>
      <c r="E61" s="65"/>
      <c r="F61" s="65"/>
      <c r="G61" s="65"/>
    </row>
    <row r="62" spans="1:42" ht="15.75" thickBot="1">
      <c r="D62" s="66"/>
      <c r="E62" s="65"/>
      <c r="F62" s="65"/>
      <c r="G62" s="65"/>
    </row>
    <row r="63" spans="1:42" ht="15.75" thickBot="1">
      <c r="D63" s="66"/>
      <c r="E63" s="65"/>
      <c r="F63" s="65"/>
      <c r="G63" s="65"/>
    </row>
    <row r="64" spans="1:42" ht="15.75" thickBot="1">
      <c r="D64" s="66"/>
      <c r="E64" s="65"/>
      <c r="F64" s="65"/>
      <c r="G64" s="65"/>
    </row>
    <row r="65" spans="4:7" ht="15.75" thickBot="1">
      <c r="D65" s="66"/>
      <c r="E65" s="65"/>
      <c r="F65" s="65"/>
      <c r="G65" s="65"/>
    </row>
    <row r="66" spans="4:7" ht="15.75" thickBot="1">
      <c r="D66" s="66"/>
      <c r="E66" s="65"/>
      <c r="F66" s="65"/>
      <c r="G66" s="65"/>
    </row>
    <row r="67" spans="4:7" ht="15.75" thickBot="1">
      <c r="D67" s="66"/>
      <c r="E67" s="65"/>
      <c r="F67" s="65"/>
      <c r="G67" s="65"/>
    </row>
    <row r="68" spans="4:7" ht="15.75" thickBot="1">
      <c r="D68" s="66"/>
      <c r="E68" s="65"/>
      <c r="F68" s="65"/>
      <c r="G68" s="65"/>
    </row>
    <row r="69" spans="4:7" ht="15.75" thickBot="1">
      <c r="D69" s="66"/>
      <c r="E69" s="65"/>
      <c r="F69" s="65"/>
      <c r="G69" s="65"/>
    </row>
    <row r="70" spans="4:7" ht="15.75" thickBot="1">
      <c r="D70" s="66"/>
      <c r="E70" s="65"/>
      <c r="F70" s="65"/>
      <c r="G70" s="65"/>
    </row>
    <row r="71" spans="4:7" ht="15.75" thickBot="1">
      <c r="D71" s="66"/>
      <c r="E71" s="65"/>
      <c r="F71" s="65"/>
      <c r="G71" s="65"/>
    </row>
    <row r="72" spans="4:7" ht="15.75" thickBot="1">
      <c r="D72" s="66"/>
      <c r="E72" s="65"/>
      <c r="F72" s="65"/>
      <c r="G72" s="65"/>
    </row>
    <row r="73" spans="4:7" ht="15.75" thickBot="1">
      <c r="D73" s="66"/>
      <c r="E73" s="65"/>
      <c r="F73" s="65"/>
      <c r="G73" s="65"/>
    </row>
    <row r="74" spans="4:7" ht="15.75" thickBot="1">
      <c r="D74" s="66"/>
      <c r="E74" s="65"/>
      <c r="F74" s="65"/>
      <c r="G74" s="65"/>
    </row>
    <row r="75" spans="4:7" ht="15.75" thickBot="1">
      <c r="D75" s="66"/>
      <c r="E75" s="65"/>
      <c r="F75" s="65"/>
      <c r="G75" s="65"/>
    </row>
    <row r="76" spans="4:7" ht="15.75" thickBot="1">
      <c r="D76" s="66"/>
      <c r="E76" s="65"/>
      <c r="F76" s="65"/>
      <c r="G76" s="65"/>
    </row>
    <row r="77" spans="4:7" ht="15.75" thickBot="1">
      <c r="D77" s="66"/>
      <c r="E77" s="65"/>
      <c r="F77" s="65"/>
      <c r="G77" s="65"/>
    </row>
    <row r="78" spans="4:7" ht="15.75" thickBot="1">
      <c r="D78" s="66"/>
      <c r="E78" s="65"/>
      <c r="F78" s="65"/>
      <c r="G78" s="65"/>
    </row>
    <row r="79" spans="4:7" ht="15.75" thickBot="1">
      <c r="D79" s="66"/>
      <c r="E79" s="65"/>
      <c r="F79" s="65"/>
      <c r="G79" s="65"/>
    </row>
    <row r="80" spans="4:7" ht="15.75" thickBot="1">
      <c r="D80" s="66"/>
      <c r="E80" s="65"/>
      <c r="F80" s="65"/>
      <c r="G80" s="65"/>
    </row>
    <row r="81" spans="4:7" ht="15.75" thickBot="1">
      <c r="D81" s="66"/>
      <c r="E81" s="65"/>
      <c r="F81" s="65"/>
      <c r="G81" s="65"/>
    </row>
    <row r="82" spans="4:7" ht="15.75" thickBot="1">
      <c r="D82" s="96"/>
      <c r="E82" s="90"/>
      <c r="F82" s="90"/>
      <c r="G82" s="90"/>
    </row>
    <row r="83" spans="4:7" ht="15.75" thickBot="1">
      <c r="D83" s="66"/>
      <c r="E83" s="65"/>
      <c r="F83" s="65"/>
      <c r="G83" s="65"/>
    </row>
    <row r="84" spans="4:7" ht="15.75" thickBot="1">
      <c r="D84" s="66"/>
      <c r="E84" s="65"/>
      <c r="F84" s="65"/>
      <c r="G84" s="65"/>
    </row>
    <row r="85" spans="4:7" ht="15.75" thickBot="1">
      <c r="D85" s="66"/>
      <c r="E85" s="65"/>
      <c r="F85" s="65"/>
      <c r="G85" s="65"/>
    </row>
    <row r="86" spans="4:7" ht="15.75" thickBot="1">
      <c r="D86" s="66"/>
      <c r="E86" s="65"/>
      <c r="F86" s="65"/>
      <c r="G86" s="65"/>
    </row>
    <row r="87" spans="4:7" ht="15.75" thickBot="1">
      <c r="D87" s="66"/>
      <c r="E87" s="65"/>
      <c r="F87" s="65"/>
      <c r="G87" s="65"/>
    </row>
  </sheetData>
  <mergeCells count="3">
    <mergeCell ref="AN1:AP1"/>
    <mergeCell ref="AE2:AH2"/>
    <mergeCell ref="AJ2:AM2"/>
  </mergeCells>
  <conditionalFormatting sqref="C4:C12">
    <cfRule type="duplicateValues" dxfId="1872" priority="157"/>
  </conditionalFormatting>
  <conditionalFormatting sqref="C5">
    <cfRule type="duplicateValues" dxfId="1871" priority="428"/>
    <cfRule type="duplicateValues" dxfId="1870" priority="429"/>
    <cfRule type="duplicateValues" dxfId="1869" priority="430"/>
    <cfRule type="duplicateValues" dxfId="1868" priority="431"/>
    <cfRule type="duplicateValues" dxfId="1867" priority="432"/>
    <cfRule type="duplicateValues" dxfId="1866" priority="433"/>
    <cfRule type="duplicateValues" dxfId="1865" priority="434"/>
    <cfRule type="duplicateValues" dxfId="1864" priority="435"/>
    <cfRule type="duplicateValues" dxfId="1863" priority="436"/>
    <cfRule type="duplicateValues" dxfId="1862" priority="437"/>
    <cfRule type="duplicateValues" dxfId="1861" priority="438"/>
    <cfRule type="duplicateValues" dxfId="1860" priority="439"/>
    <cfRule type="duplicateValues" dxfId="1859" priority="440"/>
    <cfRule type="duplicateValues" dxfId="1858" priority="441"/>
    <cfRule type="duplicateValues" dxfId="1857" priority="442"/>
    <cfRule type="duplicateValues" dxfId="1856" priority="443"/>
    <cfRule type="duplicateValues" dxfId="1855" priority="444"/>
    <cfRule type="duplicateValues" dxfId="1854" priority="445"/>
    <cfRule type="duplicateValues" dxfId="1853" priority="446"/>
    <cfRule type="duplicateValues" dxfId="1852" priority="447"/>
    <cfRule type="duplicateValues" dxfId="1851" priority="448"/>
    <cfRule type="duplicateValues" dxfId="1850" priority="449"/>
    <cfRule type="duplicateValues" dxfId="1849" priority="450"/>
    <cfRule type="duplicateValues" dxfId="1848" priority="451"/>
    <cfRule type="duplicateValues" dxfId="1847" priority="452"/>
    <cfRule type="duplicateValues" dxfId="1846" priority="453"/>
    <cfRule type="duplicateValues" dxfId="1845" priority="454"/>
    <cfRule type="duplicateValues" dxfId="1844" priority="455"/>
    <cfRule type="duplicateValues" dxfId="1843" priority="456"/>
    <cfRule type="duplicateValues" dxfId="1842" priority="457"/>
    <cfRule type="duplicateValues" dxfId="1841" priority="458"/>
    <cfRule type="duplicateValues" dxfId="1840" priority="459"/>
    <cfRule type="duplicateValues" dxfId="1839" priority="460"/>
    <cfRule type="duplicateValues" dxfId="1838" priority="461"/>
    <cfRule type="duplicateValues" dxfId="1837" priority="462"/>
    <cfRule type="duplicateValues" dxfId="1836" priority="463"/>
    <cfRule type="duplicateValues" dxfId="1835" priority="464"/>
    <cfRule type="duplicateValues" dxfId="1834" priority="465"/>
    <cfRule type="duplicateValues" dxfId="1833" priority="466"/>
    <cfRule type="duplicateValues" dxfId="1832" priority="467"/>
    <cfRule type="duplicateValues" dxfId="1831" priority="468"/>
    <cfRule type="duplicateValues" dxfId="1830" priority="469"/>
    <cfRule type="duplicateValues" dxfId="1829" priority="470"/>
    <cfRule type="duplicateValues" dxfId="1828" priority="471"/>
    <cfRule type="duplicateValues" dxfId="1827" priority="472"/>
    <cfRule type="duplicateValues" dxfId="1826" priority="473"/>
    <cfRule type="duplicateValues" dxfId="1825" priority="474"/>
    <cfRule type="duplicateValues" dxfId="1824" priority="475"/>
    <cfRule type="duplicateValues" dxfId="1823" priority="476"/>
    <cfRule type="duplicateValues" dxfId="1822" priority="477"/>
    <cfRule type="duplicateValues" dxfId="1821" priority="478"/>
    <cfRule type="duplicateValues" dxfId="1820" priority="479"/>
    <cfRule type="duplicateValues" dxfId="1819" priority="480"/>
    <cfRule type="duplicateValues" dxfId="1818" priority="481"/>
    <cfRule type="duplicateValues" dxfId="1817" priority="482"/>
    <cfRule type="duplicateValues" dxfId="1816" priority="483"/>
    <cfRule type="duplicateValues" dxfId="1815" priority="484"/>
    <cfRule type="duplicateValues" dxfId="1814" priority="485"/>
    <cfRule type="duplicateValues" dxfId="1813" priority="486"/>
    <cfRule type="duplicateValues" dxfId="1812" priority="487"/>
    <cfRule type="duplicateValues" dxfId="1811" priority="488"/>
    <cfRule type="duplicateValues" dxfId="1810" priority="489"/>
  </conditionalFormatting>
  <conditionalFormatting sqref="C6">
    <cfRule type="duplicateValues" dxfId="1809" priority="278"/>
    <cfRule type="duplicateValues" dxfId="1808" priority="279"/>
    <cfRule type="duplicateValues" dxfId="1807" priority="280"/>
    <cfRule type="duplicateValues" dxfId="1806" priority="281"/>
    <cfRule type="duplicateValues" dxfId="1805" priority="282"/>
    <cfRule type="duplicateValues" dxfId="1804" priority="283"/>
    <cfRule type="duplicateValues" dxfId="1803" priority="284"/>
    <cfRule type="duplicateValues" dxfId="1802" priority="285"/>
    <cfRule type="duplicateValues" dxfId="1801" priority="286"/>
    <cfRule type="duplicateValues" dxfId="1800" priority="287"/>
    <cfRule type="duplicateValues" dxfId="1799" priority="288"/>
    <cfRule type="duplicateValues" dxfId="1798" priority="289"/>
    <cfRule type="duplicateValues" dxfId="1797" priority="290"/>
    <cfRule type="duplicateValues" dxfId="1796" priority="291"/>
    <cfRule type="duplicateValues" dxfId="1795" priority="292"/>
    <cfRule type="duplicateValues" dxfId="1794" priority="293"/>
    <cfRule type="duplicateValues" dxfId="1793" priority="294"/>
    <cfRule type="duplicateValues" dxfId="1792" priority="295"/>
    <cfRule type="duplicateValues" dxfId="1791" priority="296"/>
    <cfRule type="duplicateValues" dxfId="1790" priority="297"/>
    <cfRule type="duplicateValues" dxfId="1789" priority="298"/>
    <cfRule type="duplicateValues" dxfId="1788" priority="299"/>
    <cfRule type="duplicateValues" dxfId="1787" priority="300"/>
  </conditionalFormatting>
  <conditionalFormatting sqref="C7">
    <cfRule type="duplicateValues" dxfId="1786" priority="179"/>
    <cfRule type="duplicateValues" dxfId="1785" priority="180"/>
    <cfRule type="duplicateValues" dxfId="1784" priority="181"/>
    <cfRule type="duplicateValues" dxfId="1783" priority="182"/>
    <cfRule type="duplicateValues" dxfId="1782" priority="183"/>
    <cfRule type="duplicateValues" dxfId="1781" priority="184"/>
    <cfRule type="duplicateValues" dxfId="1780" priority="185"/>
    <cfRule type="duplicateValues" dxfId="1779" priority="186"/>
    <cfRule type="duplicateValues" dxfId="1778" priority="187"/>
    <cfRule type="duplicateValues" dxfId="1777" priority="188"/>
    <cfRule type="duplicateValues" dxfId="1776" priority="189"/>
    <cfRule type="duplicateValues" dxfId="1775" priority="190"/>
    <cfRule type="duplicateValues" dxfId="1774" priority="191"/>
    <cfRule type="duplicateValues" dxfId="1773" priority="192"/>
    <cfRule type="duplicateValues" dxfId="1772" priority="193"/>
    <cfRule type="duplicateValues" dxfId="1771" priority="194"/>
    <cfRule type="duplicateValues" dxfId="1770" priority="195"/>
    <cfRule type="duplicateValues" dxfId="1769" priority="196"/>
    <cfRule type="duplicateValues" dxfId="1768" priority="197"/>
    <cfRule type="duplicateValues" dxfId="1767" priority="198"/>
    <cfRule type="duplicateValues" dxfId="1766" priority="199"/>
    <cfRule type="duplicateValues" dxfId="1765" priority="200"/>
    <cfRule type="duplicateValues" dxfId="1764" priority="201"/>
    <cfRule type="duplicateValues" dxfId="1763" priority="202"/>
    <cfRule type="duplicateValues" dxfId="1762" priority="203"/>
    <cfRule type="duplicateValues" dxfId="1761" priority="204"/>
    <cfRule type="duplicateValues" dxfId="1760" priority="205"/>
    <cfRule type="duplicateValues" dxfId="1759" priority="206"/>
    <cfRule type="duplicateValues" dxfId="1758" priority="207"/>
    <cfRule type="duplicateValues" dxfId="1757" priority="208"/>
    <cfRule type="duplicateValues" dxfId="1756" priority="209"/>
    <cfRule type="duplicateValues" dxfId="1755" priority="210"/>
    <cfRule type="duplicateValues" dxfId="1754" priority="211"/>
    <cfRule type="duplicateValues" dxfId="1753" priority="212"/>
    <cfRule type="duplicateValues" dxfId="1752" priority="213"/>
    <cfRule type="duplicateValues" dxfId="1751" priority="214"/>
    <cfRule type="duplicateValues" dxfId="1750" priority="215"/>
    <cfRule type="duplicateValues" dxfId="1749" priority="216"/>
    <cfRule type="duplicateValues" dxfId="1748" priority="217"/>
    <cfRule type="duplicateValues" dxfId="1747" priority="218"/>
    <cfRule type="duplicateValues" dxfId="1746" priority="219"/>
    <cfRule type="duplicateValues" dxfId="1745" priority="220"/>
    <cfRule type="duplicateValues" dxfId="1744" priority="221"/>
    <cfRule type="duplicateValues" dxfId="1743" priority="222"/>
    <cfRule type="duplicateValues" dxfId="1742" priority="223"/>
    <cfRule type="duplicateValues" dxfId="1741" priority="224"/>
    <cfRule type="duplicateValues" dxfId="1740" priority="225"/>
    <cfRule type="duplicateValues" dxfId="1739" priority="226"/>
    <cfRule type="duplicateValues" dxfId="1738" priority="227"/>
    <cfRule type="duplicateValues" dxfId="1737" priority="228"/>
    <cfRule type="duplicateValues" dxfId="1736" priority="229"/>
    <cfRule type="duplicateValues" dxfId="1735" priority="230"/>
    <cfRule type="duplicateValues" dxfId="1734" priority="231"/>
    <cfRule type="duplicateValues" dxfId="1733" priority="232"/>
    <cfRule type="duplicateValues" dxfId="1732" priority="233"/>
    <cfRule type="duplicateValues" dxfId="1731" priority="234"/>
    <cfRule type="duplicateValues" dxfId="1730" priority="235"/>
    <cfRule type="duplicateValues" dxfId="1729" priority="236"/>
    <cfRule type="duplicateValues" dxfId="1728" priority="237"/>
    <cfRule type="duplicateValues" dxfId="1727" priority="238"/>
    <cfRule type="duplicateValues" dxfId="1726" priority="239"/>
    <cfRule type="duplicateValues" dxfId="1725" priority="240"/>
    <cfRule type="duplicateValues" dxfId="1724" priority="241"/>
    <cfRule type="duplicateValues" dxfId="1723" priority="242"/>
    <cfRule type="duplicateValues" dxfId="1722" priority="243"/>
    <cfRule type="duplicateValues" dxfId="1721" priority="244"/>
    <cfRule type="duplicateValues" dxfId="1720" priority="245"/>
    <cfRule type="duplicateValues" dxfId="1719" priority="246"/>
    <cfRule type="duplicateValues" dxfId="1718" priority="247"/>
    <cfRule type="duplicateValues" dxfId="1717" priority="248"/>
    <cfRule type="duplicateValues" dxfId="1716" priority="249"/>
    <cfRule type="duplicateValues" dxfId="1715" priority="250"/>
    <cfRule type="duplicateValues" dxfId="1714" priority="251"/>
    <cfRule type="duplicateValues" dxfId="1713" priority="252"/>
    <cfRule type="duplicateValues" dxfId="1712" priority="253"/>
    <cfRule type="duplicateValues" dxfId="1711" priority="254"/>
    <cfRule type="duplicateValues" dxfId="1710" priority="255"/>
    <cfRule type="duplicateValues" dxfId="1709" priority="256"/>
    <cfRule type="duplicateValues" dxfId="1708" priority="257"/>
    <cfRule type="duplicateValues" dxfId="1707" priority="258"/>
    <cfRule type="duplicateValues" dxfId="1706" priority="259"/>
    <cfRule type="duplicateValues" dxfId="1705" priority="260"/>
    <cfRule type="duplicateValues" dxfId="1704" priority="261"/>
    <cfRule type="duplicateValues" dxfId="1703" priority="262"/>
    <cfRule type="duplicateValues" dxfId="1702" priority="263"/>
    <cfRule type="duplicateValues" dxfId="1701" priority="264"/>
    <cfRule type="duplicateValues" dxfId="1700" priority="265"/>
    <cfRule type="duplicateValues" dxfId="1699" priority="266"/>
    <cfRule type="duplicateValues" dxfId="1698" priority="267"/>
    <cfRule type="duplicateValues" dxfId="1697" priority="268"/>
    <cfRule type="duplicateValues" dxfId="1696" priority="269"/>
    <cfRule type="duplicateValues" dxfId="1695" priority="270"/>
    <cfRule type="duplicateValues" dxfId="1694" priority="271"/>
    <cfRule type="duplicateValues" dxfId="1693" priority="272"/>
    <cfRule type="duplicateValues" dxfId="1692" priority="273"/>
    <cfRule type="duplicateValues" dxfId="1691" priority="274"/>
    <cfRule type="duplicateValues" dxfId="1690" priority="275"/>
    <cfRule type="duplicateValues" dxfId="1689" priority="276"/>
    <cfRule type="duplicateValues" dxfId="1688" priority="277"/>
  </conditionalFormatting>
  <conditionalFormatting sqref="C8">
    <cfRule type="duplicateValues" dxfId="1687" priority="427"/>
  </conditionalFormatting>
  <conditionalFormatting sqref="C9">
    <cfRule type="duplicateValues" dxfId="1686" priority="303"/>
    <cfRule type="duplicateValues" dxfId="1685" priority="304"/>
    <cfRule type="duplicateValues" dxfId="1684" priority="305"/>
    <cfRule type="duplicateValues" dxfId="1683" priority="306"/>
    <cfRule type="duplicateValues" dxfId="1682" priority="307"/>
    <cfRule type="duplicateValues" dxfId="1681" priority="308"/>
    <cfRule type="duplicateValues" dxfId="1680" priority="309"/>
    <cfRule type="duplicateValues" dxfId="1679" priority="310"/>
    <cfRule type="duplicateValues" dxfId="1678" priority="311"/>
    <cfRule type="duplicateValues" dxfId="1677" priority="312"/>
    <cfRule type="duplicateValues" dxfId="1676" priority="313"/>
    <cfRule type="duplicateValues" dxfId="1675" priority="314"/>
    <cfRule type="duplicateValues" dxfId="1674" priority="315"/>
    <cfRule type="duplicateValues" dxfId="1673" priority="316"/>
    <cfRule type="duplicateValues" dxfId="1672" priority="317"/>
    <cfRule type="duplicateValues" dxfId="1671" priority="318"/>
    <cfRule type="duplicateValues" dxfId="1670" priority="319"/>
    <cfRule type="duplicateValues" dxfId="1669" priority="320"/>
    <cfRule type="duplicateValues" dxfId="1668" priority="321"/>
    <cfRule type="duplicateValues" dxfId="1667" priority="322"/>
    <cfRule type="duplicateValues" dxfId="1666" priority="323"/>
    <cfRule type="duplicateValues" dxfId="1665" priority="324"/>
    <cfRule type="duplicateValues" dxfId="1664" priority="325"/>
    <cfRule type="duplicateValues" dxfId="1663" priority="326"/>
    <cfRule type="duplicateValues" dxfId="1662" priority="327"/>
    <cfRule type="duplicateValues" dxfId="1661" priority="328"/>
    <cfRule type="duplicateValues" dxfId="1660" priority="329"/>
    <cfRule type="duplicateValues" dxfId="1659" priority="330"/>
    <cfRule type="duplicateValues" dxfId="1658" priority="331"/>
    <cfRule type="duplicateValues" dxfId="1657" priority="332"/>
    <cfRule type="duplicateValues" dxfId="1656" priority="333"/>
    <cfRule type="duplicateValues" dxfId="1655" priority="334"/>
    <cfRule type="duplicateValues" dxfId="1654" priority="335"/>
    <cfRule type="duplicateValues" dxfId="1653" priority="336"/>
    <cfRule type="duplicateValues" dxfId="1652" priority="337"/>
    <cfRule type="duplicateValues" dxfId="1651" priority="338"/>
    <cfRule type="duplicateValues" dxfId="1650" priority="339"/>
    <cfRule type="duplicateValues" dxfId="1649" priority="340"/>
    <cfRule type="duplicateValues" dxfId="1648" priority="341"/>
    <cfRule type="duplicateValues" dxfId="1647" priority="342"/>
    <cfRule type="duplicateValues" dxfId="1646" priority="343"/>
    <cfRule type="duplicateValues" dxfId="1645" priority="344"/>
    <cfRule type="duplicateValues" dxfId="1644" priority="345"/>
    <cfRule type="duplicateValues" dxfId="1643" priority="346"/>
    <cfRule type="duplicateValues" dxfId="1642" priority="347"/>
    <cfRule type="duplicateValues" dxfId="1641" priority="348"/>
    <cfRule type="duplicateValues" dxfId="1640" priority="349"/>
    <cfRule type="duplicateValues" dxfId="1639" priority="350"/>
    <cfRule type="duplicateValues" dxfId="1638" priority="351"/>
    <cfRule type="duplicateValues" dxfId="1637" priority="352"/>
    <cfRule type="duplicateValues" dxfId="1636" priority="353"/>
    <cfRule type="duplicateValues" dxfId="1635" priority="354"/>
    <cfRule type="duplicateValues" dxfId="1634" priority="355"/>
    <cfRule type="duplicateValues" dxfId="1633" priority="356"/>
    <cfRule type="duplicateValues" dxfId="1632" priority="357"/>
    <cfRule type="duplicateValues" dxfId="1631" priority="358"/>
    <cfRule type="duplicateValues" dxfId="1630" priority="359"/>
    <cfRule type="duplicateValues" dxfId="1629" priority="360"/>
    <cfRule type="duplicateValues" dxfId="1628" priority="361"/>
    <cfRule type="duplicateValues" dxfId="1627" priority="362"/>
    <cfRule type="duplicateValues" dxfId="1626" priority="363"/>
    <cfRule type="duplicateValues" dxfId="1625" priority="364"/>
    <cfRule type="duplicateValues" dxfId="1624" priority="365"/>
    <cfRule type="duplicateValues" dxfId="1623" priority="366"/>
    <cfRule type="duplicateValues" dxfId="1622" priority="367"/>
    <cfRule type="duplicateValues" dxfId="1621" priority="368"/>
    <cfRule type="duplicateValues" dxfId="1620" priority="369"/>
    <cfRule type="duplicateValues" dxfId="1619" priority="370"/>
    <cfRule type="duplicateValues" dxfId="1618" priority="371"/>
    <cfRule type="duplicateValues" dxfId="1617" priority="372"/>
    <cfRule type="duplicateValues" dxfId="1616" priority="373"/>
    <cfRule type="duplicateValues" dxfId="1615" priority="374"/>
    <cfRule type="duplicateValues" dxfId="1614" priority="375"/>
    <cfRule type="duplicateValues" dxfId="1613" priority="376"/>
    <cfRule type="duplicateValues" dxfId="1612" priority="377"/>
    <cfRule type="duplicateValues" dxfId="1611" priority="378"/>
    <cfRule type="duplicateValues" dxfId="1610" priority="379"/>
    <cfRule type="duplicateValues" dxfId="1609" priority="380"/>
    <cfRule type="duplicateValues" dxfId="1608" priority="381"/>
    <cfRule type="duplicateValues" dxfId="1607" priority="382"/>
    <cfRule type="duplicateValues" dxfId="1606" priority="383"/>
    <cfRule type="duplicateValues" dxfId="1605" priority="384"/>
    <cfRule type="duplicateValues" dxfId="1604" priority="385"/>
    <cfRule type="duplicateValues" dxfId="1603" priority="386"/>
    <cfRule type="duplicateValues" dxfId="1602" priority="387"/>
    <cfRule type="duplicateValues" dxfId="1601" priority="388"/>
    <cfRule type="duplicateValues" dxfId="1600" priority="389"/>
    <cfRule type="duplicateValues" dxfId="1599" priority="390"/>
    <cfRule type="duplicateValues" dxfId="1598" priority="391"/>
    <cfRule type="duplicateValues" dxfId="1597" priority="392"/>
    <cfRule type="duplicateValues" dxfId="1596" priority="393"/>
    <cfRule type="duplicateValues" dxfId="1595" priority="394"/>
    <cfRule type="duplicateValues" dxfId="1594" priority="395"/>
    <cfRule type="duplicateValues" dxfId="1593" priority="396"/>
    <cfRule type="duplicateValues" dxfId="1592" priority="397"/>
    <cfRule type="duplicateValues" dxfId="1591" priority="398"/>
    <cfRule type="duplicateValues" dxfId="1590" priority="399"/>
    <cfRule type="duplicateValues" dxfId="1589" priority="400"/>
    <cfRule type="duplicateValues" dxfId="1588" priority="401"/>
    <cfRule type="duplicateValues" dxfId="1587" priority="402"/>
    <cfRule type="duplicateValues" dxfId="1586" priority="403"/>
    <cfRule type="duplicateValues" dxfId="1585" priority="404"/>
    <cfRule type="duplicateValues" dxfId="1584" priority="405"/>
    <cfRule type="duplicateValues" dxfId="1583" priority="406"/>
    <cfRule type="duplicateValues" dxfId="1582" priority="407"/>
    <cfRule type="duplicateValues" dxfId="1581" priority="408"/>
    <cfRule type="duplicateValues" dxfId="1580" priority="409"/>
    <cfRule type="duplicateValues" dxfId="1579" priority="410"/>
    <cfRule type="duplicateValues" dxfId="1578" priority="411"/>
    <cfRule type="duplicateValues" dxfId="1577" priority="412"/>
    <cfRule type="duplicateValues" dxfId="1576" priority="413"/>
    <cfRule type="duplicateValues" dxfId="1575" priority="414"/>
    <cfRule type="duplicateValues" dxfId="1574" priority="415"/>
    <cfRule type="duplicateValues" dxfId="1573" priority="416"/>
    <cfRule type="duplicateValues" dxfId="1572" priority="417"/>
    <cfRule type="duplicateValues" dxfId="1571" priority="418"/>
    <cfRule type="duplicateValues" dxfId="1570" priority="419"/>
    <cfRule type="duplicateValues" dxfId="1569" priority="420"/>
    <cfRule type="duplicateValues" dxfId="1568" priority="421"/>
    <cfRule type="duplicateValues" dxfId="1567" priority="422"/>
    <cfRule type="duplicateValues" dxfId="1566" priority="423"/>
    <cfRule type="duplicateValues" dxfId="1565" priority="424"/>
    <cfRule type="duplicateValues" dxfId="1564" priority="425"/>
    <cfRule type="duplicateValues" dxfId="1563" priority="426"/>
  </conditionalFormatting>
  <conditionalFormatting sqref="C11">
    <cfRule type="duplicateValues" dxfId="1562" priority="158"/>
    <cfRule type="duplicateValues" dxfId="1561" priority="159"/>
    <cfRule type="duplicateValues" dxfId="1560" priority="160"/>
    <cfRule type="duplicateValues" dxfId="1559" priority="161"/>
    <cfRule type="duplicateValues" dxfId="1558" priority="162"/>
    <cfRule type="duplicateValues" dxfId="1557" priority="163"/>
    <cfRule type="duplicateValues" dxfId="1556" priority="164"/>
    <cfRule type="duplicateValues" dxfId="1555" priority="165"/>
    <cfRule type="duplicateValues" dxfId="1554" priority="166"/>
    <cfRule type="duplicateValues" dxfId="1553" priority="167"/>
    <cfRule type="duplicateValues" dxfId="1552" priority="168"/>
    <cfRule type="duplicateValues" dxfId="1551" priority="169"/>
    <cfRule type="duplicateValues" dxfId="1550" priority="170"/>
    <cfRule type="duplicateValues" dxfId="1549" priority="171"/>
    <cfRule type="duplicateValues" dxfId="1548" priority="172"/>
    <cfRule type="duplicateValues" dxfId="1547" priority="173"/>
    <cfRule type="duplicateValues" dxfId="1546" priority="174"/>
    <cfRule type="duplicateValues" dxfId="1545" priority="175"/>
    <cfRule type="duplicateValues" dxfId="1544" priority="176"/>
    <cfRule type="duplicateValues" dxfId="1543" priority="177"/>
    <cfRule type="duplicateValues" dxfId="1542" priority="178"/>
  </conditionalFormatting>
  <conditionalFormatting sqref="C12">
    <cfRule type="duplicateValues" dxfId="1541" priority="301"/>
    <cfRule type="duplicateValues" dxfId="1540" priority="302"/>
  </conditionalFormatting>
  <conditionalFormatting sqref="C13">
    <cfRule type="duplicateValues" dxfId="1539" priority="6903"/>
    <cfRule type="duplicateValues" dxfId="1538" priority="6904"/>
    <cfRule type="duplicateValues" dxfId="1537" priority="6905"/>
    <cfRule type="duplicateValues" dxfId="1536" priority="6906"/>
    <cfRule type="duplicateValues" dxfId="1535" priority="6907"/>
    <cfRule type="duplicateValues" dxfId="1534" priority="6908"/>
    <cfRule type="duplicateValues" dxfId="1533" priority="6909"/>
    <cfRule type="duplicateValues" dxfId="1532" priority="6910"/>
    <cfRule type="duplicateValues" dxfId="1531" priority="6911"/>
    <cfRule type="duplicateValues" dxfId="1530" priority="6912"/>
    <cfRule type="duplicateValues" dxfId="1529" priority="6913"/>
    <cfRule type="duplicateValues" dxfId="1528" priority="6914"/>
    <cfRule type="duplicateValues" dxfId="1527" priority="6915"/>
    <cfRule type="duplicateValues" dxfId="1526" priority="6916"/>
    <cfRule type="duplicateValues" dxfId="1525" priority="6917"/>
    <cfRule type="duplicateValues" dxfId="1524" priority="6918"/>
    <cfRule type="duplicateValues" dxfId="1523" priority="6919"/>
    <cfRule type="duplicateValues" dxfId="1522" priority="6920"/>
    <cfRule type="duplicateValues" dxfId="1521" priority="6921"/>
    <cfRule type="duplicateValues" dxfId="1520" priority="6922"/>
    <cfRule type="duplicateValues" dxfId="1519" priority="6923"/>
    <cfRule type="duplicateValues" dxfId="1518" priority="6924"/>
    <cfRule type="duplicateValues" dxfId="1517" priority="6925"/>
    <cfRule type="duplicateValues" dxfId="1516" priority="6926"/>
  </conditionalFormatting>
  <conditionalFormatting sqref="C19">
    <cfRule type="duplicateValues" dxfId="1515" priority="2505"/>
    <cfRule type="duplicateValues" dxfId="1514" priority="2506"/>
    <cfRule type="duplicateValues" dxfId="1513" priority="2507"/>
    <cfRule type="duplicateValues" dxfId="1512" priority="2508"/>
    <cfRule type="duplicateValues" dxfId="1511" priority="2509"/>
    <cfRule type="duplicateValues" dxfId="1510" priority="2510"/>
    <cfRule type="duplicateValues" dxfId="1509" priority="2511"/>
    <cfRule type="duplicateValues" dxfId="1508" priority="2512"/>
    <cfRule type="duplicateValues" dxfId="1507" priority="2513"/>
    <cfRule type="duplicateValues" dxfId="1506" priority="2514"/>
    <cfRule type="duplicateValues" dxfId="1505" priority="2515"/>
    <cfRule type="duplicateValues" dxfId="1504" priority="2516"/>
    <cfRule type="duplicateValues" dxfId="1503" priority="2517"/>
    <cfRule type="duplicateValues" dxfId="1502" priority="2518"/>
    <cfRule type="duplicateValues" dxfId="1501" priority="2519"/>
    <cfRule type="duplicateValues" dxfId="1500" priority="2520"/>
    <cfRule type="duplicateValues" dxfId="1499" priority="2521"/>
    <cfRule type="duplicateValues" dxfId="1498" priority="2522"/>
    <cfRule type="duplicateValues" dxfId="1497" priority="2523"/>
    <cfRule type="duplicateValues" dxfId="1496" priority="2524"/>
    <cfRule type="duplicateValues" dxfId="1495" priority="2525"/>
    <cfRule type="duplicateValues" dxfId="1494" priority="2526"/>
    <cfRule type="duplicateValues" dxfId="1493" priority="2527"/>
    <cfRule type="duplicateValues" dxfId="1492" priority="2528"/>
    <cfRule type="duplicateValues" dxfId="1491" priority="2529"/>
    <cfRule type="duplicateValues" dxfId="1490" priority="2530"/>
    <cfRule type="duplicateValues" dxfId="1489" priority="2531"/>
    <cfRule type="duplicateValues" dxfId="1488" priority="2532"/>
    <cfRule type="duplicateValues" dxfId="1487" priority="2533"/>
    <cfRule type="duplicateValues" dxfId="1486" priority="2534"/>
  </conditionalFormatting>
  <conditionalFormatting sqref="C20">
    <cfRule type="duplicateValues" dxfId="1485" priority="7014"/>
    <cfRule type="duplicateValues" dxfId="1484" priority="7015"/>
    <cfRule type="duplicateValues" dxfId="1483" priority="7016"/>
    <cfRule type="duplicateValues" dxfId="1482" priority="7017"/>
    <cfRule type="duplicateValues" dxfId="1481" priority="7018"/>
    <cfRule type="duplicateValues" dxfId="1480" priority="7019"/>
    <cfRule type="duplicateValues" dxfId="1479" priority="7020"/>
    <cfRule type="duplicateValues" dxfId="1478" priority="7021"/>
    <cfRule type="duplicateValues" dxfId="1477" priority="7022"/>
    <cfRule type="duplicateValues" dxfId="1476" priority="7023"/>
    <cfRule type="duplicateValues" dxfId="1475" priority="7024"/>
    <cfRule type="duplicateValues" dxfId="1474" priority="7025"/>
    <cfRule type="duplicateValues" dxfId="1473" priority="7026"/>
    <cfRule type="duplicateValues" dxfId="1472" priority="7027"/>
    <cfRule type="duplicateValues" dxfId="1471" priority="7028"/>
    <cfRule type="duplicateValues" dxfId="1470" priority="7029"/>
    <cfRule type="duplicateValues" dxfId="1469" priority="7030"/>
    <cfRule type="duplicateValues" dxfId="1468" priority="7031"/>
    <cfRule type="duplicateValues" dxfId="1467" priority="7032"/>
    <cfRule type="duplicateValues" dxfId="1466" priority="7033"/>
    <cfRule type="duplicateValues" dxfId="1465" priority="7034"/>
    <cfRule type="duplicateValues" dxfId="1464" priority="7035"/>
    <cfRule type="duplicateValues" dxfId="1463" priority="7036"/>
    <cfRule type="duplicateValues" dxfId="1462" priority="7037"/>
    <cfRule type="duplicateValues" dxfId="1461" priority="7038"/>
    <cfRule type="duplicateValues" dxfId="1460" priority="7039"/>
    <cfRule type="duplicateValues" dxfId="1459" priority="7040"/>
    <cfRule type="duplicateValues" dxfId="1458" priority="7041"/>
    <cfRule type="duplicateValues" dxfId="1457" priority="7042"/>
    <cfRule type="duplicateValues" dxfId="1456" priority="7043"/>
    <cfRule type="duplicateValues" dxfId="1455" priority="7044"/>
    <cfRule type="duplicateValues" dxfId="1454" priority="7045"/>
    <cfRule type="duplicateValues" dxfId="1453" priority="7046"/>
    <cfRule type="duplicateValues" dxfId="1452" priority="7047"/>
    <cfRule type="duplicateValues" dxfId="1451" priority="7048"/>
    <cfRule type="duplicateValues" dxfId="1450" priority="7049"/>
    <cfRule type="duplicateValues" dxfId="1449" priority="7050"/>
    <cfRule type="duplicateValues" dxfId="1448" priority="7051"/>
    <cfRule type="duplicateValues" dxfId="1447" priority="7052"/>
    <cfRule type="duplicateValues" dxfId="1446" priority="7053"/>
    <cfRule type="duplicateValues" dxfId="1445" priority="7054"/>
    <cfRule type="duplicateValues" dxfId="1444" priority="7055"/>
    <cfRule type="duplicateValues" dxfId="1443" priority="7056"/>
    <cfRule type="duplicateValues" dxfId="1442" priority="7057"/>
    <cfRule type="duplicateValues" dxfId="1441" priority="7058"/>
    <cfRule type="duplicateValues" dxfId="1440" priority="7059"/>
    <cfRule type="duplicateValues" dxfId="1439" priority="7060"/>
    <cfRule type="duplicateValues" dxfId="1438" priority="7061"/>
    <cfRule type="duplicateValues" dxfId="1437" priority="7062"/>
    <cfRule type="duplicateValues" dxfId="1436" priority="7063"/>
    <cfRule type="duplicateValues" dxfId="1435" priority="7064"/>
    <cfRule type="duplicateValues" dxfId="1434" priority="7065"/>
    <cfRule type="duplicateValues" dxfId="1433" priority="7066"/>
    <cfRule type="duplicateValues" dxfId="1432" priority="7067"/>
    <cfRule type="duplicateValues" dxfId="1431" priority="7068"/>
    <cfRule type="duplicateValues" dxfId="1430" priority="7069"/>
    <cfRule type="duplicateValues" dxfId="1429" priority="7070"/>
    <cfRule type="duplicateValues" dxfId="1428" priority="7071"/>
    <cfRule type="duplicateValues" dxfId="1427" priority="7072"/>
    <cfRule type="duplicateValues" dxfId="1426" priority="7073"/>
    <cfRule type="duplicateValues" dxfId="1425" priority="7074"/>
    <cfRule type="duplicateValues" dxfId="1424" priority="7075"/>
    <cfRule type="duplicateValues" dxfId="1423" priority="7076"/>
    <cfRule type="duplicateValues" dxfId="1422" priority="7077"/>
    <cfRule type="duplicateValues" dxfId="1421" priority="7078"/>
    <cfRule type="duplicateValues" dxfId="1420" priority="7079"/>
    <cfRule type="duplicateValues" dxfId="1419" priority="7080"/>
    <cfRule type="duplicateValues" dxfId="1418" priority="7081"/>
    <cfRule type="duplicateValues" dxfId="1417" priority="7082"/>
    <cfRule type="duplicateValues" dxfId="1416" priority="7083"/>
    <cfRule type="duplicateValues" dxfId="1415" priority="7084"/>
    <cfRule type="duplicateValues" dxfId="1414" priority="7085"/>
  </conditionalFormatting>
  <conditionalFormatting sqref="C18">
    <cfRule type="duplicateValues" dxfId="1413" priority="2677"/>
    <cfRule type="duplicateValues" dxfId="1412" priority="2678"/>
    <cfRule type="duplicateValues" dxfId="1411" priority="2679"/>
    <cfRule type="duplicateValues" dxfId="1410" priority="2680"/>
    <cfRule type="duplicateValues" dxfId="1409" priority="2681"/>
    <cfRule type="duplicateValues" dxfId="1408" priority="2682"/>
    <cfRule type="duplicateValues" dxfId="1407" priority="2683"/>
    <cfRule type="duplicateValues" dxfId="1406" priority="2684"/>
    <cfRule type="duplicateValues" dxfId="1405" priority="2685"/>
    <cfRule type="duplicateValues" dxfId="1404" priority="2686"/>
    <cfRule type="duplicateValues" dxfId="1403" priority="2687"/>
    <cfRule type="duplicateValues" dxfId="1402" priority="2688"/>
    <cfRule type="duplicateValues" dxfId="1401" priority="2689"/>
    <cfRule type="duplicateValues" dxfId="1400" priority="2690"/>
    <cfRule type="duplicateValues" dxfId="1399" priority="2691"/>
    <cfRule type="duplicateValues" dxfId="1398" priority="2692"/>
    <cfRule type="duplicateValues" dxfId="1397" priority="2693"/>
    <cfRule type="duplicateValues" dxfId="1396" priority="2694"/>
    <cfRule type="duplicateValues" dxfId="1395" priority="2695"/>
    <cfRule type="duplicateValues" dxfId="1394" priority="2696"/>
    <cfRule type="duplicateValues" dxfId="1393" priority="2697"/>
    <cfRule type="duplicateValues" dxfId="1392" priority="2698"/>
    <cfRule type="duplicateValues" dxfId="1391" priority="2699"/>
    <cfRule type="duplicateValues" dxfId="1390" priority="2700"/>
    <cfRule type="duplicateValues" dxfId="1389" priority="2701"/>
    <cfRule type="duplicateValues" dxfId="1388" priority="2702"/>
    <cfRule type="duplicateValues" dxfId="1387" priority="2703"/>
    <cfRule type="duplicateValues" dxfId="1386" priority="2704"/>
  </conditionalFormatting>
  <conditionalFormatting sqref="C21">
    <cfRule type="duplicateValues" dxfId="1385" priority="2478"/>
    <cfRule type="duplicateValues" dxfId="1384" priority="2479"/>
    <cfRule type="duplicateValues" dxfId="1383" priority="2480"/>
    <cfRule type="duplicateValues" dxfId="1382" priority="2481"/>
    <cfRule type="duplicateValues" dxfId="1381" priority="2482"/>
    <cfRule type="duplicateValues" dxfId="1380" priority="2483"/>
    <cfRule type="duplicateValues" dxfId="1379" priority="2484"/>
    <cfRule type="duplicateValues" dxfId="1378" priority="2485"/>
    <cfRule type="duplicateValues" dxfId="1377" priority="2486"/>
    <cfRule type="duplicateValues" dxfId="1376" priority="2487"/>
    <cfRule type="duplicateValues" dxfId="1375" priority="2488"/>
    <cfRule type="duplicateValues" dxfId="1374" priority="2489"/>
    <cfRule type="duplicateValues" dxfId="1373" priority="2490"/>
    <cfRule type="duplicateValues" dxfId="1372" priority="2491"/>
    <cfRule type="duplicateValues" dxfId="1371" priority="2492"/>
    <cfRule type="duplicateValues" dxfId="1370" priority="2493"/>
    <cfRule type="duplicateValues" dxfId="1369" priority="2494"/>
    <cfRule type="duplicateValues" dxfId="1368" priority="2495"/>
    <cfRule type="duplicateValues" dxfId="1367" priority="2496"/>
    <cfRule type="duplicateValues" dxfId="1366" priority="2497"/>
    <cfRule type="duplicateValues" dxfId="1365" priority="2498"/>
    <cfRule type="duplicateValues" dxfId="1364" priority="2499"/>
    <cfRule type="duplicateValues" dxfId="1363" priority="2500"/>
    <cfRule type="duplicateValues" dxfId="1362" priority="2501"/>
    <cfRule type="duplicateValues" dxfId="1361" priority="2502"/>
    <cfRule type="duplicateValues" dxfId="1360" priority="2503"/>
    <cfRule type="duplicateValues" dxfId="1359" priority="2504"/>
    <cfRule type="duplicateValues" dxfId="1358" priority="2535"/>
    <cfRule type="duplicateValues" dxfId="1357" priority="2536"/>
    <cfRule type="duplicateValues" dxfId="1356" priority="2537"/>
    <cfRule type="duplicateValues" dxfId="1355" priority="2538"/>
    <cfRule type="duplicateValues" dxfId="1354" priority="2539"/>
    <cfRule type="duplicateValues" dxfId="1353" priority="2540"/>
    <cfRule type="duplicateValues" dxfId="1352" priority="2541"/>
    <cfRule type="duplicateValues" dxfId="1351" priority="2542"/>
    <cfRule type="duplicateValues" dxfId="1350" priority="2543"/>
    <cfRule type="duplicateValues" dxfId="1349" priority="2544"/>
    <cfRule type="duplicateValues" dxfId="1348" priority="2545"/>
    <cfRule type="duplicateValues" dxfId="1347" priority="2546"/>
    <cfRule type="duplicateValues" dxfId="1346" priority="2547"/>
    <cfRule type="duplicateValues" dxfId="1345" priority="2548"/>
    <cfRule type="duplicateValues" dxfId="1344" priority="2549"/>
    <cfRule type="duplicateValues" dxfId="1343" priority="2550"/>
    <cfRule type="duplicateValues" dxfId="1342" priority="2551"/>
    <cfRule type="duplicateValues" dxfId="1341" priority="2552"/>
    <cfRule type="duplicateValues" dxfId="1340" priority="2553"/>
    <cfRule type="duplicateValues" dxfId="1339" priority="2554"/>
    <cfRule type="duplicateValues" dxfId="1338" priority="2555"/>
    <cfRule type="duplicateValues" dxfId="1337" priority="2556"/>
    <cfRule type="duplicateValues" dxfId="1336" priority="2557"/>
  </conditionalFormatting>
  <conditionalFormatting sqref="C22">
    <cfRule type="duplicateValues" dxfId="1335" priority="2558"/>
    <cfRule type="duplicateValues" dxfId="1334" priority="2559"/>
    <cfRule type="duplicateValues" dxfId="1333" priority="2560"/>
    <cfRule type="duplicateValues" dxfId="1332" priority="2561"/>
    <cfRule type="duplicateValues" dxfId="1331" priority="2562"/>
    <cfRule type="duplicateValues" dxfId="1330" priority="2563"/>
    <cfRule type="duplicateValues" dxfId="1329" priority="2564"/>
    <cfRule type="duplicateValues" dxfId="1328" priority="2565"/>
    <cfRule type="duplicateValues" dxfId="1327" priority="2566"/>
    <cfRule type="duplicateValues" dxfId="1326" priority="2567"/>
    <cfRule type="duplicateValues" dxfId="1325" priority="2568"/>
    <cfRule type="duplicateValues" dxfId="1324" priority="2569"/>
    <cfRule type="duplicateValues" dxfId="1323" priority="2570"/>
    <cfRule type="duplicateValues" dxfId="1322" priority="2571"/>
    <cfRule type="duplicateValues" dxfId="1321" priority="2572"/>
    <cfRule type="duplicateValues" dxfId="1320" priority="2573"/>
    <cfRule type="duplicateValues" dxfId="1319" priority="2574"/>
    <cfRule type="duplicateValues" dxfId="1318" priority="2575"/>
    <cfRule type="duplicateValues" dxfId="1317" priority="2576"/>
    <cfRule type="duplicateValues" dxfId="1316" priority="2577"/>
    <cfRule type="duplicateValues" dxfId="1315" priority="2578"/>
    <cfRule type="duplicateValues" dxfId="1314" priority="2579"/>
    <cfRule type="duplicateValues" dxfId="1313" priority="2580"/>
    <cfRule type="duplicateValues" dxfId="1312" priority="2581"/>
    <cfRule type="duplicateValues" dxfId="1311" priority="2582"/>
    <cfRule type="duplicateValues" dxfId="1310" priority="2583"/>
    <cfRule type="duplicateValues" dxfId="1309" priority="2584"/>
    <cfRule type="duplicateValues" dxfId="1308" priority="2585"/>
    <cfRule type="duplicateValues" dxfId="1307" priority="2586"/>
    <cfRule type="duplicateValues" dxfId="1306" priority="2587"/>
    <cfRule type="duplicateValues" dxfId="1305" priority="2588"/>
    <cfRule type="duplicateValues" dxfId="1304" priority="2589"/>
    <cfRule type="duplicateValues" dxfId="1303" priority="2590"/>
    <cfRule type="duplicateValues" dxfId="1302" priority="2591"/>
    <cfRule type="duplicateValues" dxfId="1301" priority="2592"/>
    <cfRule type="duplicateValues" dxfId="1300" priority="2593"/>
    <cfRule type="duplicateValues" dxfId="1299" priority="2594"/>
    <cfRule type="duplicateValues" dxfId="1298" priority="2595"/>
    <cfRule type="duplicateValues" dxfId="1297" priority="2596"/>
    <cfRule type="duplicateValues" dxfId="1296" priority="2597"/>
    <cfRule type="duplicateValues" dxfId="1295" priority="2598"/>
    <cfRule type="duplicateValues" dxfId="1294" priority="2599"/>
    <cfRule type="duplicateValues" dxfId="1293" priority="2600"/>
    <cfRule type="duplicateValues" dxfId="1292" priority="2601"/>
    <cfRule type="duplicateValues" dxfId="1291" priority="2602"/>
    <cfRule type="duplicateValues" dxfId="1290" priority="2603"/>
    <cfRule type="duplicateValues" dxfId="1289" priority="2604"/>
    <cfRule type="duplicateValues" dxfId="1288" priority="2605"/>
    <cfRule type="duplicateValues" dxfId="1287" priority="2606"/>
    <cfRule type="duplicateValues" dxfId="1286" priority="2607"/>
    <cfRule type="duplicateValues" dxfId="1285" priority="2608"/>
    <cfRule type="duplicateValues" dxfId="1284" priority="2609"/>
    <cfRule type="duplicateValues" dxfId="1283" priority="2610"/>
    <cfRule type="duplicateValues" dxfId="1282" priority="2611"/>
    <cfRule type="duplicateValues" dxfId="1281" priority="2612"/>
    <cfRule type="duplicateValues" dxfId="1280" priority="2613"/>
    <cfRule type="duplicateValues" dxfId="1279" priority="2614"/>
    <cfRule type="duplicateValues" dxfId="1278" priority="2615"/>
    <cfRule type="duplicateValues" dxfId="1277" priority="2616"/>
  </conditionalFormatting>
  <conditionalFormatting sqref="C17">
    <cfRule type="duplicateValues" dxfId="1276" priority="7454"/>
    <cfRule type="duplicateValues" dxfId="1275" priority="7455"/>
  </conditionalFormatting>
  <conditionalFormatting sqref="C23">
    <cfRule type="duplicateValues" dxfId="1274" priority="2617"/>
    <cfRule type="duplicateValues" dxfId="1273" priority="2618"/>
    <cfRule type="duplicateValues" dxfId="1272" priority="2619"/>
    <cfRule type="duplicateValues" dxfId="1271" priority="2620"/>
    <cfRule type="duplicateValues" dxfId="1270" priority="2621"/>
    <cfRule type="duplicateValues" dxfId="1269" priority="2622"/>
    <cfRule type="duplicateValues" dxfId="1268" priority="2623"/>
    <cfRule type="duplicateValues" dxfId="1267" priority="2624"/>
    <cfRule type="duplicateValues" dxfId="1266" priority="2625"/>
    <cfRule type="duplicateValues" dxfId="1265" priority="2626"/>
    <cfRule type="duplicateValues" dxfId="1264" priority="2627"/>
    <cfRule type="duplicateValues" dxfId="1263" priority="2628"/>
    <cfRule type="duplicateValues" dxfId="1262" priority="2629"/>
    <cfRule type="duplicateValues" dxfId="1261" priority="2630"/>
    <cfRule type="duplicateValues" dxfId="1260" priority="2631"/>
    <cfRule type="duplicateValues" dxfId="1259" priority="2632"/>
    <cfRule type="duplicateValues" dxfId="1258" priority="2633"/>
    <cfRule type="duplicateValues" dxfId="1257" priority="2634"/>
    <cfRule type="duplicateValues" dxfId="1256" priority="2635"/>
    <cfRule type="duplicateValues" dxfId="1255" priority="2636"/>
    <cfRule type="duplicateValues" dxfId="1254" priority="2637"/>
    <cfRule type="duplicateValues" dxfId="1253" priority="2638"/>
    <cfRule type="duplicateValues" dxfId="1252" priority="2639"/>
    <cfRule type="duplicateValues" dxfId="1251" priority="2640"/>
    <cfRule type="duplicateValues" dxfId="1250" priority="2641"/>
    <cfRule type="duplicateValues" dxfId="1249" priority="2642"/>
    <cfRule type="duplicateValues" dxfId="1248" priority="2643"/>
    <cfRule type="duplicateValues" dxfId="1247" priority="2644"/>
    <cfRule type="duplicateValues" dxfId="1246" priority="2645"/>
    <cfRule type="duplicateValues" dxfId="1245" priority="2646"/>
    <cfRule type="duplicateValues" dxfId="1244" priority="2647"/>
    <cfRule type="duplicateValues" dxfId="1243" priority="2648"/>
    <cfRule type="duplicateValues" dxfId="1242" priority="2649"/>
    <cfRule type="duplicateValues" dxfId="1241" priority="2650"/>
    <cfRule type="duplicateValues" dxfId="1240" priority="2651"/>
    <cfRule type="duplicateValues" dxfId="1239" priority="2652"/>
    <cfRule type="duplicateValues" dxfId="1238" priority="2653"/>
    <cfRule type="duplicateValues" dxfId="1237" priority="2654"/>
    <cfRule type="duplicateValues" dxfId="1236" priority="2655"/>
    <cfRule type="duplicateValues" dxfId="1235" priority="2656"/>
    <cfRule type="duplicateValues" dxfId="1234" priority="2657"/>
    <cfRule type="duplicateValues" dxfId="1233" priority="2658"/>
    <cfRule type="duplicateValues" dxfId="1232" priority="2659"/>
    <cfRule type="duplicateValues" dxfId="1231" priority="2660"/>
    <cfRule type="duplicateValues" dxfId="1230" priority="2661"/>
    <cfRule type="duplicateValues" dxfId="1229" priority="2662"/>
    <cfRule type="duplicateValues" dxfId="1228" priority="2663"/>
    <cfRule type="duplicateValues" dxfId="1227" priority="2664"/>
    <cfRule type="duplicateValues" dxfId="1226" priority="2665"/>
    <cfRule type="duplicateValues" dxfId="1225" priority="2666"/>
    <cfRule type="duplicateValues" dxfId="1224" priority="2667"/>
    <cfRule type="duplicateValues" dxfId="1223" priority="2668"/>
    <cfRule type="duplicateValues" dxfId="1222" priority="2669"/>
    <cfRule type="duplicateValues" dxfId="1221" priority="2670"/>
    <cfRule type="duplicateValues" dxfId="1220" priority="2671"/>
    <cfRule type="duplicateValues" dxfId="1219" priority="2672"/>
    <cfRule type="duplicateValues" dxfId="1218" priority="2673"/>
    <cfRule type="duplicateValues" dxfId="1217" priority="2674"/>
    <cfRule type="duplicateValues" dxfId="1216" priority="2675"/>
    <cfRule type="duplicateValues" dxfId="1215" priority="2676"/>
  </conditionalFormatting>
  <conditionalFormatting sqref="C24">
    <cfRule type="duplicateValues" dxfId="1214" priority="2705"/>
    <cfRule type="duplicateValues" dxfId="1213" priority="2706"/>
    <cfRule type="duplicateValues" dxfId="1212" priority="2707"/>
    <cfRule type="duplicateValues" dxfId="1211" priority="2708"/>
    <cfRule type="duplicateValues" dxfId="1210" priority="2709"/>
    <cfRule type="duplicateValues" dxfId="1209" priority="2710"/>
    <cfRule type="duplicateValues" dxfId="1208" priority="2711"/>
    <cfRule type="duplicateValues" dxfId="1207" priority="2712"/>
    <cfRule type="duplicateValues" dxfId="1206" priority="2713"/>
    <cfRule type="duplicateValues" dxfId="1205" priority="2714"/>
    <cfRule type="duplicateValues" dxfId="1204" priority="2715"/>
    <cfRule type="duplicateValues" dxfId="1203" priority="2716"/>
    <cfRule type="duplicateValues" dxfId="1202" priority="2717"/>
    <cfRule type="duplicateValues" dxfId="1201" priority="2718"/>
    <cfRule type="duplicateValues" dxfId="1200" priority="2719"/>
    <cfRule type="duplicateValues" dxfId="1199" priority="2720"/>
    <cfRule type="duplicateValues" dxfId="1198" priority="2721"/>
    <cfRule type="duplicateValues" dxfId="1197" priority="2722"/>
    <cfRule type="duplicateValues" dxfId="1196" priority="2723"/>
    <cfRule type="duplicateValues" dxfId="1195" priority="2724"/>
    <cfRule type="duplicateValues" dxfId="1194" priority="2725"/>
    <cfRule type="duplicateValues" dxfId="1193" priority="2726"/>
    <cfRule type="duplicateValues" dxfId="1192" priority="2727"/>
    <cfRule type="duplicateValues" dxfId="1191" priority="2728"/>
    <cfRule type="duplicateValues" dxfId="1190" priority="2729"/>
    <cfRule type="duplicateValues" dxfId="1189" priority="2730"/>
    <cfRule type="duplicateValues" dxfId="1188" priority="2731"/>
    <cfRule type="duplicateValues" dxfId="1187" priority="2732"/>
    <cfRule type="duplicateValues" dxfId="1186" priority="2733"/>
    <cfRule type="duplicateValues" dxfId="1185" priority="2734"/>
    <cfRule type="duplicateValues" dxfId="1184" priority="2735"/>
    <cfRule type="duplicateValues" dxfId="1183" priority="2736"/>
    <cfRule type="duplicateValues" dxfId="1182" priority="2737"/>
    <cfRule type="duplicateValues" dxfId="1181" priority="2738"/>
    <cfRule type="duplicateValues" dxfId="1180" priority="2739"/>
    <cfRule type="duplicateValues" dxfId="1179" priority="2740"/>
    <cfRule type="duplicateValues" dxfId="1178" priority="2741"/>
    <cfRule type="duplicateValues" dxfId="1177" priority="2742"/>
    <cfRule type="duplicateValues" dxfId="1176" priority="2743"/>
    <cfRule type="duplicateValues" dxfId="1175" priority="2744"/>
    <cfRule type="duplicateValues" dxfId="1174" priority="2745"/>
    <cfRule type="duplicateValues" dxfId="1173" priority="2746"/>
    <cfRule type="duplicateValues" dxfId="1172" priority="2747"/>
    <cfRule type="duplicateValues" dxfId="1171" priority="2748"/>
    <cfRule type="duplicateValues" dxfId="1170" priority="2749"/>
    <cfRule type="duplicateValues" dxfId="1169" priority="2750"/>
    <cfRule type="duplicateValues" dxfId="1168" priority="2751"/>
    <cfRule type="duplicateValues" dxfId="1167" priority="2752"/>
    <cfRule type="duplicateValues" dxfId="1166" priority="2753"/>
    <cfRule type="duplicateValues" dxfId="1165" priority="2754"/>
    <cfRule type="duplicateValues" dxfId="1164" priority="2755"/>
    <cfRule type="duplicateValues" dxfId="1163" priority="2756"/>
    <cfRule type="duplicateValues" dxfId="1162" priority="2757"/>
    <cfRule type="duplicateValues" dxfId="1161" priority="2758"/>
    <cfRule type="duplicateValues" dxfId="1160" priority="2759"/>
    <cfRule type="duplicateValues" dxfId="1159" priority="2760"/>
    <cfRule type="duplicateValues" dxfId="1158" priority="2761"/>
    <cfRule type="duplicateValues" dxfId="1157" priority="2762"/>
    <cfRule type="duplicateValues" dxfId="1156" priority="2763"/>
    <cfRule type="duplicateValues" dxfId="1155" priority="2764"/>
    <cfRule type="duplicateValues" dxfId="1154" priority="2765"/>
    <cfRule type="duplicateValues" dxfId="1153" priority="2766"/>
    <cfRule type="duplicateValues" dxfId="1152" priority="2767"/>
    <cfRule type="duplicateValues" dxfId="1151" priority="2768"/>
    <cfRule type="duplicateValues" dxfId="1150" priority="2769"/>
    <cfRule type="duplicateValues" dxfId="1149" priority="2770"/>
    <cfRule type="duplicateValues" dxfId="1148" priority="2771"/>
    <cfRule type="duplicateValues" dxfId="1147" priority="2772"/>
    <cfRule type="duplicateValues" dxfId="1146" priority="2773"/>
    <cfRule type="duplicateValues" dxfId="1145" priority="2774"/>
    <cfRule type="duplicateValues" dxfId="1144" priority="2775"/>
    <cfRule type="duplicateValues" dxfId="1143" priority="2776"/>
    <cfRule type="duplicateValues" dxfId="1142" priority="2777"/>
    <cfRule type="duplicateValues" dxfId="1141" priority="2778"/>
    <cfRule type="duplicateValues" dxfId="1140" priority="2779"/>
    <cfRule type="duplicateValues" dxfId="1139" priority="2780"/>
    <cfRule type="duplicateValues" dxfId="1138" priority="2781"/>
    <cfRule type="duplicateValues" dxfId="1137" priority="2782"/>
    <cfRule type="duplicateValues" dxfId="1136" priority="2783"/>
    <cfRule type="duplicateValues" dxfId="1135" priority="2784"/>
    <cfRule type="duplicateValues" dxfId="1134" priority="2785"/>
    <cfRule type="duplicateValues" dxfId="1133" priority="2786"/>
    <cfRule type="duplicateValues" dxfId="1132" priority="2787"/>
    <cfRule type="duplicateValues" dxfId="1131" priority="2788"/>
    <cfRule type="duplicateValues" dxfId="1130" priority="2789"/>
    <cfRule type="duplicateValues" dxfId="1129" priority="2790"/>
    <cfRule type="duplicateValues" dxfId="1128" priority="2791"/>
    <cfRule type="duplicateValues" dxfId="1127" priority="2792"/>
    <cfRule type="duplicateValues" dxfId="1126" priority="2793"/>
    <cfRule type="duplicateValues" dxfId="1125" priority="2794"/>
    <cfRule type="duplicateValues" dxfId="1124" priority="2795"/>
    <cfRule type="duplicateValues" dxfId="1123" priority="2796"/>
    <cfRule type="duplicateValues" dxfId="1122" priority="2797"/>
    <cfRule type="duplicateValues" dxfId="1121" priority="2798"/>
    <cfRule type="duplicateValues" dxfId="1120" priority="2799"/>
    <cfRule type="duplicateValues" dxfId="1119" priority="2800"/>
    <cfRule type="duplicateValues" dxfId="1118" priority="2801"/>
    <cfRule type="duplicateValues" dxfId="1117" priority="2802"/>
    <cfRule type="duplicateValues" dxfId="1116" priority="2803"/>
    <cfRule type="duplicateValues" dxfId="1115" priority="2804"/>
    <cfRule type="duplicateValues" dxfId="1114" priority="2805"/>
    <cfRule type="duplicateValues" dxfId="1113" priority="2806"/>
    <cfRule type="duplicateValues" dxfId="1112" priority="2807"/>
    <cfRule type="duplicateValues" dxfId="1111" priority="2808"/>
    <cfRule type="duplicateValues" dxfId="1110" priority="2809"/>
    <cfRule type="duplicateValues" dxfId="1109" priority="2810"/>
    <cfRule type="duplicateValues" dxfId="1108" priority="2811"/>
    <cfRule type="duplicateValues" dxfId="1107" priority="2812"/>
    <cfRule type="duplicateValues" dxfId="1106" priority="2813"/>
    <cfRule type="duplicateValues" dxfId="1105" priority="2814"/>
    <cfRule type="duplicateValues" dxfId="1104" priority="2815"/>
    <cfRule type="duplicateValues" dxfId="1103" priority="2816"/>
    <cfRule type="duplicateValues" dxfId="1102" priority="2817"/>
    <cfRule type="duplicateValues" dxfId="1101" priority="2818"/>
    <cfRule type="duplicateValues" dxfId="1100" priority="2819"/>
    <cfRule type="duplicateValues" dxfId="1099" priority="2820"/>
    <cfRule type="duplicateValues" dxfId="1098" priority="2821"/>
    <cfRule type="duplicateValues" dxfId="1097" priority="2822"/>
    <cfRule type="duplicateValues" dxfId="1096" priority="2823"/>
    <cfRule type="duplicateValues" dxfId="1095" priority="2824"/>
    <cfRule type="duplicateValues" dxfId="1094" priority="2825"/>
    <cfRule type="duplicateValues" dxfId="1093" priority="2826"/>
    <cfRule type="duplicateValues" dxfId="1092" priority="2827"/>
    <cfRule type="duplicateValues" dxfId="1091" priority="2828"/>
    <cfRule type="duplicateValues" dxfId="1090" priority="2829"/>
    <cfRule type="duplicateValues" dxfId="1089" priority="2830"/>
    <cfRule type="duplicateValues" dxfId="1088" priority="2831"/>
    <cfRule type="duplicateValues" dxfId="1087" priority="2832"/>
    <cfRule type="duplicateValues" dxfId="1086" priority="2833"/>
    <cfRule type="duplicateValues" dxfId="1085" priority="2834"/>
    <cfRule type="duplicateValues" dxfId="1084" priority="2835"/>
    <cfRule type="duplicateValues" dxfId="1083" priority="2836"/>
    <cfRule type="duplicateValues" dxfId="1082" priority="2837"/>
    <cfRule type="duplicateValues" dxfId="1081" priority="2838"/>
    <cfRule type="duplicateValues" dxfId="1080" priority="2839"/>
    <cfRule type="duplicateValues" dxfId="1079" priority="2840"/>
    <cfRule type="duplicateValues" dxfId="1078" priority="2841"/>
    <cfRule type="duplicateValues" dxfId="1077" priority="2842"/>
    <cfRule type="duplicateValues" dxfId="1076" priority="2843"/>
    <cfRule type="duplicateValues" dxfId="1075" priority="2844"/>
    <cfRule type="duplicateValues" dxfId="1074" priority="2845"/>
    <cfRule type="duplicateValues" dxfId="1073" priority="2846"/>
    <cfRule type="duplicateValues" dxfId="1072" priority="2847"/>
    <cfRule type="duplicateValues" dxfId="1071" priority="2848"/>
    <cfRule type="duplicateValues" dxfId="1070" priority="2849"/>
    <cfRule type="duplicateValues" dxfId="1069" priority="2850"/>
    <cfRule type="duplicateValues" dxfId="1068" priority="2851"/>
    <cfRule type="duplicateValues" dxfId="1067" priority="2852"/>
    <cfRule type="duplicateValues" dxfId="1066" priority="2853"/>
    <cfRule type="duplicateValues" dxfId="1065" priority="2854"/>
    <cfRule type="duplicateValues" dxfId="1064" priority="2855"/>
    <cfRule type="duplicateValues" dxfId="1063" priority="2856"/>
    <cfRule type="duplicateValues" dxfId="1062" priority="2857"/>
    <cfRule type="duplicateValues" dxfId="1061" priority="2858"/>
    <cfRule type="duplicateValues" dxfId="1060" priority="2859"/>
    <cfRule type="duplicateValues" dxfId="1059" priority="2860"/>
    <cfRule type="duplicateValues" dxfId="1058" priority="2861"/>
  </conditionalFormatting>
  <conditionalFormatting sqref="C25">
    <cfRule type="duplicateValues" dxfId="1057" priority="6927"/>
    <cfRule type="duplicateValues" dxfId="1056" priority="6928"/>
    <cfRule type="duplicateValues" dxfId="1055" priority="6929"/>
    <cfRule type="duplicateValues" dxfId="1054" priority="6930"/>
    <cfRule type="duplicateValues" dxfId="1053" priority="6931"/>
    <cfRule type="duplicateValues" dxfId="1052" priority="6932"/>
    <cfRule type="duplicateValues" dxfId="1051" priority="6933"/>
    <cfRule type="duplicateValues" dxfId="1050" priority="6934"/>
    <cfRule type="duplicateValues" dxfId="1049" priority="6935"/>
    <cfRule type="duplicateValues" dxfId="1048" priority="6936"/>
    <cfRule type="duplicateValues" dxfId="1047" priority="6937"/>
    <cfRule type="duplicateValues" dxfId="1046" priority="6938"/>
    <cfRule type="duplicateValues" dxfId="1045" priority="6939"/>
    <cfRule type="duplicateValues" dxfId="1044" priority="6940"/>
    <cfRule type="duplicateValues" dxfId="1043" priority="6941"/>
    <cfRule type="duplicateValues" dxfId="1042" priority="6942"/>
    <cfRule type="duplicateValues" dxfId="1041" priority="6943"/>
    <cfRule type="duplicateValues" dxfId="1040" priority="6944"/>
    <cfRule type="duplicateValues" dxfId="1039" priority="6945"/>
    <cfRule type="duplicateValues" dxfId="1038" priority="6946"/>
    <cfRule type="duplicateValues" dxfId="1037" priority="6947"/>
    <cfRule type="duplicateValues" dxfId="1036" priority="6948"/>
    <cfRule type="duplicateValues" dxfId="1035" priority="6949"/>
    <cfRule type="duplicateValues" dxfId="1034" priority="6950"/>
    <cfRule type="duplicateValues" dxfId="1033" priority="6951"/>
    <cfRule type="duplicateValues" dxfId="1032" priority="6952"/>
    <cfRule type="duplicateValues" dxfId="1031" priority="6953"/>
    <cfRule type="duplicateValues" dxfId="1030" priority="6954"/>
    <cfRule type="duplicateValues" dxfId="1029" priority="6955"/>
    <cfRule type="duplicateValues" dxfId="1028" priority="6956"/>
    <cfRule type="duplicateValues" dxfId="1027" priority="6957"/>
    <cfRule type="duplicateValues" dxfId="1026" priority="6958"/>
    <cfRule type="duplicateValues" dxfId="1025" priority="6959"/>
    <cfRule type="duplicateValues" dxfId="1024" priority="6960"/>
    <cfRule type="duplicateValues" dxfId="1023" priority="6961"/>
    <cfRule type="duplicateValues" dxfId="1022" priority="6962"/>
    <cfRule type="duplicateValues" dxfId="1021" priority="6963"/>
    <cfRule type="duplicateValues" dxfId="1020" priority="6964"/>
    <cfRule type="duplicateValues" dxfId="1019" priority="6965"/>
    <cfRule type="duplicateValues" dxfId="1018" priority="6966"/>
    <cfRule type="duplicateValues" dxfId="1017" priority="6967"/>
    <cfRule type="duplicateValues" dxfId="1016" priority="6968"/>
    <cfRule type="duplicateValues" dxfId="1015" priority="6969"/>
    <cfRule type="duplicateValues" dxfId="1014" priority="6970"/>
    <cfRule type="duplicateValues" dxfId="1013" priority="6971"/>
    <cfRule type="duplicateValues" dxfId="1012" priority="6972"/>
    <cfRule type="duplicateValues" dxfId="1011" priority="6973"/>
    <cfRule type="duplicateValues" dxfId="1010" priority="6974"/>
    <cfRule type="duplicateValues" dxfId="1009" priority="6975"/>
    <cfRule type="duplicateValues" dxfId="1008" priority="6976"/>
    <cfRule type="duplicateValues" dxfId="1007" priority="6977"/>
    <cfRule type="duplicateValues" dxfId="1006" priority="6978"/>
    <cfRule type="duplicateValues" dxfId="1005" priority="6979"/>
    <cfRule type="duplicateValues" dxfId="1004" priority="6980"/>
    <cfRule type="duplicateValues" dxfId="1003" priority="6981"/>
    <cfRule type="duplicateValues" dxfId="1002" priority="6982"/>
    <cfRule type="duplicateValues" dxfId="1001" priority="6983"/>
    <cfRule type="duplicateValues" dxfId="1000" priority="6984"/>
    <cfRule type="duplicateValues" dxfId="999" priority="6985"/>
    <cfRule type="duplicateValues" dxfId="998" priority="6986"/>
    <cfRule type="duplicateValues" dxfId="997" priority="6987"/>
    <cfRule type="duplicateValues" dxfId="996" priority="6988"/>
    <cfRule type="duplicateValues" dxfId="995" priority="6989"/>
    <cfRule type="duplicateValues" dxfId="994" priority="6990"/>
    <cfRule type="duplicateValues" dxfId="993" priority="6991"/>
    <cfRule type="duplicateValues" dxfId="992" priority="6992"/>
    <cfRule type="duplicateValues" dxfId="991" priority="6993"/>
    <cfRule type="duplicateValues" dxfId="990" priority="6994"/>
    <cfRule type="duplicateValues" dxfId="989" priority="6995"/>
    <cfRule type="duplicateValues" dxfId="988" priority="6996"/>
    <cfRule type="duplicateValues" dxfId="987" priority="6997"/>
    <cfRule type="duplicateValues" dxfId="986" priority="6998"/>
    <cfRule type="duplicateValues" dxfId="985" priority="6999"/>
    <cfRule type="duplicateValues" dxfId="984" priority="7000"/>
    <cfRule type="duplicateValues" dxfId="983" priority="7001"/>
    <cfRule type="duplicateValues" dxfId="982" priority="7002"/>
    <cfRule type="duplicateValues" dxfId="981" priority="7003"/>
    <cfRule type="duplicateValues" dxfId="980" priority="7004"/>
    <cfRule type="duplicateValues" dxfId="979" priority="7005"/>
    <cfRule type="duplicateValues" dxfId="978" priority="7006"/>
    <cfRule type="duplicateValues" dxfId="977" priority="7007"/>
    <cfRule type="duplicateValues" dxfId="976" priority="7008"/>
    <cfRule type="duplicateValues" dxfId="975" priority="7009"/>
    <cfRule type="duplicateValues" dxfId="974" priority="7010"/>
    <cfRule type="duplicateValues" dxfId="973" priority="7011"/>
    <cfRule type="duplicateValues" dxfId="972" priority="7012"/>
    <cfRule type="duplicateValues" dxfId="971" priority="7013"/>
  </conditionalFormatting>
  <conditionalFormatting sqref="C25:C31 C20 C13 C16:C17">
    <cfRule type="duplicateValues" dxfId="970" priority="6902"/>
  </conditionalFormatting>
  <conditionalFormatting sqref="C26">
    <cfRule type="duplicateValues" dxfId="969" priority="7272"/>
    <cfRule type="duplicateValues" dxfId="968" priority="7273"/>
    <cfRule type="duplicateValues" dxfId="967" priority="7274"/>
    <cfRule type="duplicateValues" dxfId="966" priority="7275"/>
    <cfRule type="duplicateValues" dxfId="965" priority="7276"/>
    <cfRule type="duplicateValues" dxfId="964" priority="7277"/>
    <cfRule type="duplicateValues" dxfId="963" priority="7278"/>
    <cfRule type="duplicateValues" dxfId="962" priority="7279"/>
    <cfRule type="duplicateValues" dxfId="961" priority="7280"/>
    <cfRule type="duplicateValues" dxfId="960" priority="7281"/>
    <cfRule type="duplicateValues" dxfId="959" priority="7282"/>
    <cfRule type="duplicateValues" dxfId="958" priority="7283"/>
    <cfRule type="duplicateValues" dxfId="957" priority="7284"/>
    <cfRule type="duplicateValues" dxfId="956" priority="7285"/>
    <cfRule type="duplicateValues" dxfId="955" priority="7286"/>
    <cfRule type="duplicateValues" dxfId="954" priority="7287"/>
    <cfRule type="duplicateValues" dxfId="953" priority="7288"/>
    <cfRule type="duplicateValues" dxfId="952" priority="7289"/>
    <cfRule type="duplicateValues" dxfId="951" priority="7290"/>
    <cfRule type="duplicateValues" dxfId="950" priority="7291"/>
    <cfRule type="duplicateValues" dxfId="949" priority="7292"/>
    <cfRule type="duplicateValues" dxfId="948" priority="7293"/>
    <cfRule type="duplicateValues" dxfId="947" priority="7294"/>
    <cfRule type="duplicateValues" dxfId="946" priority="7295"/>
    <cfRule type="duplicateValues" dxfId="945" priority="7296"/>
    <cfRule type="duplicateValues" dxfId="944" priority="7297"/>
    <cfRule type="duplicateValues" dxfId="943" priority="7298"/>
    <cfRule type="duplicateValues" dxfId="942" priority="7299"/>
    <cfRule type="duplicateValues" dxfId="941" priority="7300"/>
    <cfRule type="duplicateValues" dxfId="940" priority="7301"/>
    <cfRule type="duplicateValues" dxfId="939" priority="7302"/>
    <cfRule type="duplicateValues" dxfId="938" priority="7303"/>
    <cfRule type="duplicateValues" dxfId="937" priority="7304"/>
    <cfRule type="duplicateValues" dxfId="936" priority="7305"/>
    <cfRule type="duplicateValues" dxfId="935" priority="7306"/>
    <cfRule type="duplicateValues" dxfId="934" priority="7307"/>
  </conditionalFormatting>
  <conditionalFormatting sqref="C27">
    <cfRule type="duplicateValues" dxfId="933" priority="7380"/>
    <cfRule type="duplicateValues" dxfId="932" priority="7381"/>
    <cfRule type="duplicateValues" dxfId="931" priority="7382"/>
    <cfRule type="duplicateValues" dxfId="930" priority="7383"/>
    <cfRule type="duplicateValues" dxfId="929" priority="7384"/>
    <cfRule type="duplicateValues" dxfId="928" priority="7385"/>
    <cfRule type="duplicateValues" dxfId="927" priority="7386"/>
    <cfRule type="duplicateValues" dxfId="926" priority="7387"/>
    <cfRule type="duplicateValues" dxfId="925" priority="7388"/>
    <cfRule type="duplicateValues" dxfId="924" priority="7389"/>
    <cfRule type="duplicateValues" dxfId="923" priority="7390"/>
    <cfRule type="duplicateValues" dxfId="922" priority="7391"/>
    <cfRule type="duplicateValues" dxfId="921" priority="7392"/>
    <cfRule type="duplicateValues" dxfId="920" priority="7393"/>
    <cfRule type="duplicateValues" dxfId="919" priority="7394"/>
    <cfRule type="duplicateValues" dxfId="918" priority="7395"/>
    <cfRule type="duplicateValues" dxfId="917" priority="7396"/>
    <cfRule type="duplicateValues" dxfId="916" priority="7397"/>
    <cfRule type="duplicateValues" dxfId="915" priority="7398"/>
    <cfRule type="duplicateValues" dxfId="914" priority="7399"/>
    <cfRule type="duplicateValues" dxfId="913" priority="7400"/>
    <cfRule type="duplicateValues" dxfId="912" priority="7401"/>
  </conditionalFormatting>
  <conditionalFormatting sqref="C28">
    <cfRule type="duplicateValues" dxfId="911" priority="7402"/>
    <cfRule type="duplicateValues" dxfId="910" priority="7403"/>
    <cfRule type="duplicateValues" dxfId="909" priority="7404"/>
    <cfRule type="duplicateValues" dxfId="908" priority="7405"/>
    <cfRule type="duplicateValues" dxfId="907" priority="7406"/>
    <cfRule type="duplicateValues" dxfId="906" priority="7407"/>
    <cfRule type="duplicateValues" dxfId="905" priority="7408"/>
    <cfRule type="duplicateValues" dxfId="904" priority="7409"/>
    <cfRule type="duplicateValues" dxfId="903" priority="7410"/>
    <cfRule type="duplicateValues" dxfId="902" priority="7411"/>
    <cfRule type="duplicateValues" dxfId="901" priority="7412"/>
    <cfRule type="duplicateValues" dxfId="900" priority="7413"/>
    <cfRule type="duplicateValues" dxfId="899" priority="7414"/>
    <cfRule type="duplicateValues" dxfId="898" priority="7415"/>
    <cfRule type="duplicateValues" dxfId="897" priority="7416"/>
    <cfRule type="duplicateValues" dxfId="896" priority="7417"/>
    <cfRule type="duplicateValues" dxfId="895" priority="7418"/>
    <cfRule type="duplicateValues" dxfId="894" priority="7419"/>
    <cfRule type="duplicateValues" dxfId="893" priority="7420"/>
    <cfRule type="duplicateValues" dxfId="892" priority="7421"/>
    <cfRule type="duplicateValues" dxfId="891" priority="7422"/>
    <cfRule type="duplicateValues" dxfId="890" priority="7423"/>
    <cfRule type="duplicateValues" dxfId="889" priority="7424"/>
    <cfRule type="duplicateValues" dxfId="888" priority="7425"/>
    <cfRule type="duplicateValues" dxfId="887" priority="7426"/>
    <cfRule type="duplicateValues" dxfId="886" priority="7427"/>
    <cfRule type="duplicateValues" dxfId="885" priority="7428"/>
    <cfRule type="duplicateValues" dxfId="884" priority="7429"/>
    <cfRule type="duplicateValues" dxfId="883" priority="7430"/>
    <cfRule type="duplicateValues" dxfId="882" priority="7431"/>
    <cfRule type="duplicateValues" dxfId="881" priority="7432"/>
    <cfRule type="duplicateValues" dxfId="880" priority="7433"/>
    <cfRule type="duplicateValues" dxfId="879" priority="7434"/>
    <cfRule type="duplicateValues" dxfId="878" priority="7435"/>
    <cfRule type="duplicateValues" dxfId="877" priority="7436"/>
    <cfRule type="duplicateValues" dxfId="876" priority="7437"/>
    <cfRule type="duplicateValues" dxfId="875" priority="7438"/>
    <cfRule type="duplicateValues" dxfId="874" priority="7439"/>
    <cfRule type="duplicateValues" dxfId="873" priority="7440"/>
    <cfRule type="duplicateValues" dxfId="872" priority="7441"/>
    <cfRule type="duplicateValues" dxfId="871" priority="7442"/>
    <cfRule type="duplicateValues" dxfId="870" priority="7443"/>
    <cfRule type="duplicateValues" dxfId="869" priority="7444"/>
    <cfRule type="duplicateValues" dxfId="868" priority="7445"/>
    <cfRule type="duplicateValues" dxfId="867" priority="7446"/>
    <cfRule type="duplicateValues" dxfId="866" priority="7447"/>
    <cfRule type="duplicateValues" dxfId="865" priority="7448"/>
    <cfRule type="duplicateValues" dxfId="864" priority="7449"/>
    <cfRule type="duplicateValues" dxfId="863" priority="7450"/>
    <cfRule type="duplicateValues" dxfId="862" priority="7451"/>
    <cfRule type="duplicateValues" dxfId="861" priority="7452"/>
    <cfRule type="duplicateValues" dxfId="860" priority="7453"/>
  </conditionalFormatting>
  <conditionalFormatting sqref="C29">
    <cfRule type="duplicateValues" dxfId="859" priority="7308"/>
    <cfRule type="duplicateValues" dxfId="858" priority="7309"/>
    <cfRule type="duplicateValues" dxfId="857" priority="7310"/>
    <cfRule type="duplicateValues" dxfId="856" priority="7311"/>
    <cfRule type="duplicateValues" dxfId="855" priority="7312"/>
    <cfRule type="duplicateValues" dxfId="854" priority="7313"/>
    <cfRule type="duplicateValues" dxfId="853" priority="7314"/>
    <cfRule type="duplicateValues" dxfId="852" priority="7315"/>
    <cfRule type="duplicateValues" dxfId="851" priority="7316"/>
    <cfRule type="duplicateValues" dxfId="850" priority="7317"/>
    <cfRule type="duplicateValues" dxfId="849" priority="7318"/>
    <cfRule type="duplicateValues" dxfId="848" priority="7319"/>
    <cfRule type="duplicateValues" dxfId="847" priority="7320"/>
    <cfRule type="duplicateValues" dxfId="846" priority="7321"/>
    <cfRule type="duplicateValues" dxfId="845" priority="7322"/>
    <cfRule type="duplicateValues" dxfId="844" priority="7323"/>
    <cfRule type="duplicateValues" dxfId="843" priority="7324"/>
    <cfRule type="duplicateValues" dxfId="842" priority="7325"/>
    <cfRule type="duplicateValues" dxfId="841" priority="7326"/>
    <cfRule type="duplicateValues" dxfId="840" priority="7327"/>
    <cfRule type="duplicateValues" dxfId="839" priority="7328"/>
    <cfRule type="duplicateValues" dxfId="838" priority="7329"/>
    <cfRule type="duplicateValues" dxfId="837" priority="7330"/>
    <cfRule type="duplicateValues" dxfId="836" priority="7331"/>
    <cfRule type="duplicateValues" dxfId="835" priority="7332"/>
    <cfRule type="duplicateValues" dxfId="834" priority="7333"/>
    <cfRule type="duplicateValues" dxfId="833" priority="7334"/>
    <cfRule type="duplicateValues" dxfId="832" priority="7335"/>
    <cfRule type="duplicateValues" dxfId="831" priority="7336"/>
    <cfRule type="duplicateValues" dxfId="830" priority="7337"/>
    <cfRule type="duplicateValues" dxfId="829" priority="7338"/>
    <cfRule type="duplicateValues" dxfId="828" priority="7339"/>
    <cfRule type="duplicateValues" dxfId="827" priority="7340"/>
    <cfRule type="duplicateValues" dxfId="826" priority="7341"/>
    <cfRule type="duplicateValues" dxfId="825" priority="7342"/>
    <cfRule type="duplicateValues" dxfId="824" priority="7343"/>
    <cfRule type="duplicateValues" dxfId="823" priority="7344"/>
    <cfRule type="duplicateValues" dxfId="822" priority="7345"/>
    <cfRule type="duplicateValues" dxfId="821" priority="7346"/>
    <cfRule type="duplicateValues" dxfId="820" priority="7347"/>
    <cfRule type="duplicateValues" dxfId="819" priority="7348"/>
    <cfRule type="duplicateValues" dxfId="818" priority="7349"/>
    <cfRule type="duplicateValues" dxfId="817" priority="7350"/>
    <cfRule type="duplicateValues" dxfId="816" priority="7351"/>
    <cfRule type="duplicateValues" dxfId="815" priority="7352"/>
    <cfRule type="duplicateValues" dxfId="814" priority="7353"/>
    <cfRule type="duplicateValues" dxfId="813" priority="7354"/>
    <cfRule type="duplicateValues" dxfId="812" priority="7355"/>
    <cfRule type="duplicateValues" dxfId="811" priority="7356"/>
    <cfRule type="duplicateValues" dxfId="810" priority="7357"/>
    <cfRule type="duplicateValues" dxfId="809" priority="7358"/>
    <cfRule type="duplicateValues" dxfId="808" priority="7359"/>
    <cfRule type="duplicateValues" dxfId="807" priority="7360"/>
    <cfRule type="duplicateValues" dxfId="806" priority="7361"/>
    <cfRule type="duplicateValues" dxfId="805" priority="7362"/>
    <cfRule type="duplicateValues" dxfId="804" priority="7363"/>
    <cfRule type="duplicateValues" dxfId="803" priority="7364"/>
    <cfRule type="duplicateValues" dxfId="802" priority="7365"/>
    <cfRule type="duplicateValues" dxfId="801" priority="7366"/>
    <cfRule type="duplicateValues" dxfId="800" priority="7367"/>
    <cfRule type="duplicateValues" dxfId="799" priority="7368"/>
    <cfRule type="duplicateValues" dxfId="798" priority="7369"/>
    <cfRule type="duplicateValues" dxfId="797" priority="7370"/>
    <cfRule type="duplicateValues" dxfId="796" priority="7371"/>
    <cfRule type="duplicateValues" dxfId="795" priority="7372"/>
    <cfRule type="duplicateValues" dxfId="794" priority="7373"/>
    <cfRule type="duplicateValues" dxfId="793" priority="7374"/>
    <cfRule type="duplicateValues" dxfId="792" priority="7375"/>
    <cfRule type="duplicateValues" dxfId="791" priority="7376"/>
    <cfRule type="duplicateValues" dxfId="790" priority="7377"/>
    <cfRule type="duplicateValues" dxfId="789" priority="7378"/>
    <cfRule type="duplicateValues" dxfId="788" priority="7379"/>
  </conditionalFormatting>
  <conditionalFormatting sqref="C30">
    <cfRule type="duplicateValues" dxfId="787" priority="7177"/>
    <cfRule type="duplicateValues" dxfId="786" priority="7178"/>
    <cfRule type="duplicateValues" dxfId="785" priority="7179"/>
    <cfRule type="duplicateValues" dxfId="784" priority="7180"/>
    <cfRule type="duplicateValues" dxfId="783" priority="7181"/>
    <cfRule type="duplicateValues" dxfId="782" priority="7182"/>
    <cfRule type="duplicateValues" dxfId="781" priority="7183"/>
    <cfRule type="duplicateValues" dxfId="780" priority="7184"/>
    <cfRule type="duplicateValues" dxfId="779" priority="7185"/>
    <cfRule type="duplicateValues" dxfId="778" priority="7186"/>
    <cfRule type="duplicateValues" dxfId="777" priority="7187"/>
    <cfRule type="duplicateValues" dxfId="776" priority="7188"/>
    <cfRule type="duplicateValues" dxfId="775" priority="7189"/>
    <cfRule type="duplicateValues" dxfId="774" priority="7190"/>
    <cfRule type="duplicateValues" dxfId="773" priority="7191"/>
    <cfRule type="duplicateValues" dxfId="772" priority="7192"/>
    <cfRule type="duplicateValues" dxfId="771" priority="7193"/>
    <cfRule type="duplicateValues" dxfId="770" priority="7194"/>
    <cfRule type="duplicateValues" dxfId="769" priority="7195"/>
    <cfRule type="duplicateValues" dxfId="768" priority="7196"/>
    <cfRule type="duplicateValues" dxfId="767" priority="7197"/>
    <cfRule type="duplicateValues" dxfId="766" priority="7198"/>
    <cfRule type="duplicateValues" dxfId="765" priority="7199"/>
    <cfRule type="duplicateValues" dxfId="764" priority="7200"/>
    <cfRule type="duplicateValues" dxfId="763" priority="7201"/>
    <cfRule type="duplicateValues" dxfId="762" priority="7202"/>
    <cfRule type="duplicateValues" dxfId="761" priority="7203"/>
    <cfRule type="duplicateValues" dxfId="760" priority="7204"/>
    <cfRule type="duplicateValues" dxfId="759" priority="7205"/>
    <cfRule type="duplicateValues" dxfId="758" priority="7206"/>
    <cfRule type="duplicateValues" dxfId="757" priority="7207"/>
    <cfRule type="duplicateValues" dxfId="756" priority="7208"/>
    <cfRule type="duplicateValues" dxfId="755" priority="7209"/>
    <cfRule type="duplicateValues" dxfId="754" priority="7210"/>
    <cfRule type="duplicateValues" dxfId="753" priority="7211"/>
    <cfRule type="duplicateValues" dxfId="752" priority="7212"/>
    <cfRule type="duplicateValues" dxfId="751" priority="7213"/>
    <cfRule type="duplicateValues" dxfId="750" priority="7214"/>
    <cfRule type="duplicateValues" dxfId="749" priority="7215"/>
    <cfRule type="duplicateValues" dxfId="748" priority="7216"/>
    <cfRule type="duplicateValues" dxfId="747" priority="7217"/>
    <cfRule type="duplicateValues" dxfId="746" priority="7218"/>
    <cfRule type="duplicateValues" dxfId="745" priority="7219"/>
    <cfRule type="duplicateValues" dxfId="744" priority="7220"/>
    <cfRule type="duplicateValues" dxfId="743" priority="7221"/>
    <cfRule type="duplicateValues" dxfId="742" priority="7222"/>
    <cfRule type="duplicateValues" dxfId="741" priority="7223"/>
    <cfRule type="duplicateValues" dxfId="740" priority="7224"/>
    <cfRule type="duplicateValues" dxfId="739" priority="7225"/>
    <cfRule type="duplicateValues" dxfId="738" priority="7226"/>
    <cfRule type="duplicateValues" dxfId="737" priority="7227"/>
    <cfRule type="duplicateValues" dxfId="736" priority="7228"/>
    <cfRule type="duplicateValues" dxfId="735" priority="7229"/>
    <cfRule type="duplicateValues" dxfId="734" priority="7230"/>
    <cfRule type="duplicateValues" dxfId="733" priority="7231"/>
    <cfRule type="duplicateValues" dxfId="732" priority="7232"/>
    <cfRule type="duplicateValues" dxfId="731" priority="7233"/>
    <cfRule type="duplicateValues" dxfId="730" priority="7234"/>
    <cfRule type="duplicateValues" dxfId="729" priority="7235"/>
    <cfRule type="duplicateValues" dxfId="728" priority="7236"/>
    <cfRule type="duplicateValues" dxfId="727" priority="7237"/>
    <cfRule type="duplicateValues" dxfId="726" priority="7238"/>
    <cfRule type="duplicateValues" dxfId="725" priority="7239"/>
    <cfRule type="duplicateValues" dxfId="724" priority="7240"/>
    <cfRule type="duplicateValues" dxfId="723" priority="7241"/>
    <cfRule type="duplicateValues" dxfId="722" priority="7242"/>
    <cfRule type="duplicateValues" dxfId="721" priority="7243"/>
    <cfRule type="duplicateValues" dxfId="720" priority="7244"/>
    <cfRule type="duplicateValues" dxfId="719" priority="7245"/>
    <cfRule type="duplicateValues" dxfId="718" priority="7246"/>
    <cfRule type="duplicateValues" dxfId="717" priority="7247"/>
    <cfRule type="duplicateValues" dxfId="716" priority="7248"/>
    <cfRule type="duplicateValues" dxfId="715" priority="7249"/>
    <cfRule type="duplicateValues" dxfId="714" priority="7250"/>
    <cfRule type="duplicateValues" dxfId="713" priority="7251"/>
    <cfRule type="duplicateValues" dxfId="712" priority="7252"/>
    <cfRule type="duplicateValues" dxfId="711" priority="7253"/>
    <cfRule type="duplicateValues" dxfId="710" priority="7254"/>
    <cfRule type="duplicateValues" dxfId="709" priority="7255"/>
    <cfRule type="duplicateValues" dxfId="708" priority="7256"/>
    <cfRule type="duplicateValues" dxfId="707" priority="7257"/>
    <cfRule type="duplicateValues" dxfId="706" priority="7258"/>
    <cfRule type="duplicateValues" dxfId="705" priority="7259"/>
    <cfRule type="duplicateValues" dxfId="704" priority="7260"/>
    <cfRule type="duplicateValues" dxfId="703" priority="7261"/>
    <cfRule type="duplicateValues" dxfId="702" priority="7262"/>
    <cfRule type="duplicateValues" dxfId="701" priority="7263"/>
    <cfRule type="duplicateValues" dxfId="700" priority="7264"/>
    <cfRule type="duplicateValues" dxfId="699" priority="7265"/>
    <cfRule type="duplicateValues" dxfId="698" priority="7266"/>
    <cfRule type="duplicateValues" dxfId="697" priority="7267"/>
    <cfRule type="duplicateValues" dxfId="696" priority="7268"/>
    <cfRule type="duplicateValues" dxfId="695" priority="7269"/>
    <cfRule type="duplicateValues" dxfId="694" priority="7270"/>
    <cfRule type="duplicateValues" dxfId="693" priority="7271"/>
  </conditionalFormatting>
  <conditionalFormatting sqref="C31">
    <cfRule type="duplicateValues" dxfId="692" priority="7086"/>
    <cfRule type="duplicateValues" dxfId="691" priority="7087"/>
    <cfRule type="duplicateValues" dxfId="690" priority="7088"/>
    <cfRule type="duplicateValues" dxfId="689" priority="7089"/>
    <cfRule type="duplicateValues" dxfId="688" priority="7090"/>
    <cfRule type="duplicateValues" dxfId="687" priority="7091"/>
    <cfRule type="duplicateValues" dxfId="686" priority="7092"/>
    <cfRule type="duplicateValues" dxfId="685" priority="7093"/>
    <cfRule type="duplicateValues" dxfId="684" priority="7094"/>
    <cfRule type="duplicateValues" dxfId="683" priority="7095"/>
    <cfRule type="duplicateValues" dxfId="682" priority="7096"/>
    <cfRule type="duplicateValues" dxfId="681" priority="7097"/>
    <cfRule type="duplicateValues" dxfId="680" priority="7098"/>
    <cfRule type="duplicateValues" dxfId="679" priority="7099"/>
    <cfRule type="duplicateValues" dxfId="678" priority="7100"/>
    <cfRule type="duplicateValues" dxfId="677" priority="7101"/>
    <cfRule type="duplicateValues" dxfId="676" priority="7102"/>
    <cfRule type="duplicateValues" dxfId="675" priority="7103"/>
    <cfRule type="duplicateValues" dxfId="674" priority="7104"/>
    <cfRule type="duplicateValues" dxfId="673" priority="7105"/>
    <cfRule type="duplicateValues" dxfId="672" priority="7106"/>
    <cfRule type="duplicateValues" dxfId="671" priority="7107"/>
    <cfRule type="duplicateValues" dxfId="670" priority="7108"/>
    <cfRule type="duplicateValues" dxfId="669" priority="7109"/>
    <cfRule type="duplicateValues" dxfId="668" priority="7110"/>
    <cfRule type="duplicateValues" dxfId="667" priority="7111"/>
    <cfRule type="duplicateValues" dxfId="666" priority="7112"/>
    <cfRule type="duplicateValues" dxfId="665" priority="7113"/>
    <cfRule type="duplicateValues" dxfId="664" priority="7114"/>
    <cfRule type="duplicateValues" dxfId="663" priority="7115"/>
    <cfRule type="duplicateValues" dxfId="662" priority="7116"/>
    <cfRule type="duplicateValues" dxfId="661" priority="7117"/>
    <cfRule type="duplicateValues" dxfId="660" priority="7118"/>
    <cfRule type="duplicateValues" dxfId="659" priority="7119"/>
    <cfRule type="duplicateValues" dxfId="658" priority="7120"/>
    <cfRule type="duplicateValues" dxfId="657" priority="7121"/>
    <cfRule type="duplicateValues" dxfId="656" priority="7122"/>
    <cfRule type="duplicateValues" dxfId="655" priority="7123"/>
    <cfRule type="duplicateValues" dxfId="654" priority="7124"/>
    <cfRule type="duplicateValues" dxfId="653" priority="7125"/>
    <cfRule type="duplicateValues" dxfId="652" priority="7126"/>
    <cfRule type="duplicateValues" dxfId="651" priority="7127"/>
    <cfRule type="duplicateValues" dxfId="650" priority="7128"/>
    <cfRule type="duplicateValues" dxfId="649" priority="7129"/>
    <cfRule type="duplicateValues" dxfId="648" priority="7130"/>
    <cfRule type="duplicateValues" dxfId="647" priority="7131"/>
    <cfRule type="duplicateValues" dxfId="646" priority="7132"/>
    <cfRule type="duplicateValues" dxfId="645" priority="7133"/>
    <cfRule type="duplicateValues" dxfId="644" priority="7134"/>
    <cfRule type="duplicateValues" dxfId="643" priority="7135"/>
    <cfRule type="duplicateValues" dxfId="642" priority="7136"/>
    <cfRule type="duplicateValues" dxfId="641" priority="7137"/>
    <cfRule type="duplicateValues" dxfId="640" priority="7138"/>
    <cfRule type="duplicateValues" dxfId="639" priority="7139"/>
    <cfRule type="duplicateValues" dxfId="638" priority="7140"/>
    <cfRule type="duplicateValues" dxfId="637" priority="7141"/>
    <cfRule type="duplicateValues" dxfId="636" priority="7142"/>
    <cfRule type="duplicateValues" dxfId="635" priority="7143"/>
    <cfRule type="duplicateValues" dxfId="634" priority="7144"/>
    <cfRule type="duplicateValues" dxfId="633" priority="7145"/>
    <cfRule type="duplicateValues" dxfId="632" priority="7146"/>
    <cfRule type="duplicateValues" dxfId="631" priority="7147"/>
    <cfRule type="duplicateValues" dxfId="630" priority="7148"/>
    <cfRule type="duplicateValues" dxfId="629" priority="7149"/>
    <cfRule type="duplicateValues" dxfId="628" priority="7150"/>
    <cfRule type="duplicateValues" dxfId="627" priority="7151"/>
    <cfRule type="duplicateValues" dxfId="626" priority="7152"/>
    <cfRule type="duplicateValues" dxfId="625" priority="7153"/>
    <cfRule type="duplicateValues" dxfId="624" priority="7154"/>
    <cfRule type="duplicateValues" dxfId="623" priority="7155"/>
    <cfRule type="duplicateValues" dxfId="622" priority="7156"/>
    <cfRule type="duplicateValues" dxfId="621" priority="7157"/>
    <cfRule type="duplicateValues" dxfId="620" priority="7158"/>
    <cfRule type="duplicateValues" dxfId="619" priority="7159"/>
    <cfRule type="duplicateValues" dxfId="618" priority="7160"/>
    <cfRule type="duplicateValues" dxfId="617" priority="7161"/>
    <cfRule type="duplicateValues" dxfId="616" priority="7162"/>
    <cfRule type="duplicateValues" dxfId="615" priority="7163"/>
    <cfRule type="duplicateValues" dxfId="614" priority="7164"/>
    <cfRule type="duplicateValues" dxfId="613" priority="7165"/>
    <cfRule type="duplicateValues" dxfId="612" priority="7166"/>
    <cfRule type="duplicateValues" dxfId="611" priority="7167"/>
    <cfRule type="duplicateValues" dxfId="610" priority="7168"/>
    <cfRule type="duplicateValues" dxfId="609" priority="7169"/>
    <cfRule type="duplicateValues" dxfId="608" priority="7170"/>
    <cfRule type="duplicateValues" dxfId="607" priority="7171"/>
    <cfRule type="duplicateValues" dxfId="606" priority="7172"/>
    <cfRule type="duplicateValues" dxfId="605" priority="7173"/>
    <cfRule type="duplicateValues" dxfId="604" priority="7174"/>
    <cfRule type="duplicateValues" dxfId="603" priority="7175"/>
    <cfRule type="duplicateValues" dxfId="602" priority="7176"/>
  </conditionalFormatting>
  <conditionalFormatting sqref="C35 C57">
    <cfRule type="duplicateValues" dxfId="601" priority="18710"/>
  </conditionalFormatting>
  <conditionalFormatting sqref="C35">
    <cfRule type="duplicateValues" dxfId="600" priority="18716"/>
  </conditionalFormatting>
  <conditionalFormatting sqref="C36">
    <cfRule type="duplicateValues" dxfId="599" priority="8218"/>
    <cfRule type="duplicateValues" dxfId="598" priority="8248"/>
  </conditionalFormatting>
  <conditionalFormatting sqref="C36:C41">
    <cfRule type="duplicateValues" dxfId="597" priority="22342"/>
  </conditionalFormatting>
  <conditionalFormatting sqref="C37">
    <cfRule type="duplicateValues" dxfId="596" priority="8211"/>
  </conditionalFormatting>
  <conditionalFormatting sqref="C38">
    <cfRule type="duplicateValues" dxfId="595" priority="8343"/>
  </conditionalFormatting>
  <conditionalFormatting sqref="C39">
    <cfRule type="duplicateValues" dxfId="594" priority="8285"/>
    <cfRule type="duplicateValues" dxfId="593" priority="8329"/>
  </conditionalFormatting>
  <conditionalFormatting sqref="C40">
    <cfRule type="duplicateValues" dxfId="592" priority="8252"/>
  </conditionalFormatting>
  <conditionalFormatting sqref="C41">
    <cfRule type="duplicateValues" dxfId="591" priority="8178"/>
  </conditionalFormatting>
  <conditionalFormatting sqref="C42">
    <cfRule type="duplicateValues" dxfId="590" priority="8116"/>
    <cfRule type="duplicateValues" dxfId="589" priority="8161"/>
  </conditionalFormatting>
  <conditionalFormatting sqref="C43:C50 C32 C35 C57">
    <cfRule type="duplicateValues" dxfId="588" priority="24101"/>
  </conditionalFormatting>
  <conditionalFormatting sqref="C43:C50 C32:C35 C57">
    <cfRule type="duplicateValues" dxfId="587" priority="19246"/>
  </conditionalFormatting>
  <conditionalFormatting sqref="C51:C54 C56">
    <cfRule type="duplicateValues" dxfId="586" priority="1781"/>
  </conditionalFormatting>
  <conditionalFormatting sqref="C51:C56">
    <cfRule type="duplicateValues" dxfId="585" priority="1751"/>
    <cfRule type="duplicateValues" dxfId="584" priority="1754"/>
    <cfRule type="duplicateValues" dxfId="583" priority="1755"/>
    <cfRule type="duplicateValues" dxfId="582" priority="1756"/>
    <cfRule type="duplicateValues" dxfId="581" priority="1757"/>
    <cfRule type="duplicateValues" dxfId="580" priority="1762"/>
    <cfRule type="duplicateValues" dxfId="579" priority="1763"/>
    <cfRule type="duplicateValues" dxfId="578" priority="1764"/>
    <cfRule type="duplicateValues" dxfId="577" priority="1765"/>
    <cfRule type="duplicateValues" dxfId="576" priority="1766"/>
    <cfRule type="duplicateValues" dxfId="575" priority="1767"/>
    <cfRule type="duplicateValues" dxfId="574" priority="1768"/>
    <cfRule type="duplicateValues" dxfId="573" priority="1769"/>
    <cfRule type="duplicateValues" dxfId="572" priority="1770"/>
    <cfRule type="duplicateValues" dxfId="571" priority="1771"/>
    <cfRule type="duplicateValues" dxfId="570" priority="1772"/>
    <cfRule type="duplicateValues" dxfId="569" priority="1773"/>
    <cfRule type="duplicateValues" dxfId="568" priority="1774"/>
    <cfRule type="duplicateValues" dxfId="567" priority="1775"/>
    <cfRule type="duplicateValues" dxfId="566" priority="1776"/>
    <cfRule type="duplicateValues" dxfId="565" priority="1777"/>
    <cfRule type="duplicateValues" dxfId="564" priority="1780"/>
  </conditionalFormatting>
  <conditionalFormatting sqref="C58">
    <cfRule type="duplicateValues" dxfId="563" priority="59"/>
    <cfRule type="duplicateValues" dxfId="562" priority="60"/>
  </conditionalFormatting>
  <conditionalFormatting sqref="D5">
    <cfRule type="duplicateValues" dxfId="561" priority="144"/>
    <cfRule type="duplicateValues" dxfId="560" priority="145"/>
    <cfRule type="duplicateValues" dxfId="559" priority="146"/>
  </conditionalFormatting>
  <conditionalFormatting sqref="D6">
    <cfRule type="duplicateValues" dxfId="558" priority="154"/>
    <cfRule type="duplicateValues" dxfId="557" priority="155"/>
    <cfRule type="duplicateValues" dxfId="556" priority="156"/>
  </conditionalFormatting>
  <conditionalFormatting sqref="D9">
    <cfRule type="duplicateValues" dxfId="555" priority="148"/>
    <cfRule type="duplicateValues" dxfId="554" priority="149"/>
    <cfRule type="duplicateValues" dxfId="553" priority="150"/>
    <cfRule type="duplicateValues" dxfId="552" priority="151"/>
    <cfRule type="duplicateValues" dxfId="551" priority="152"/>
    <cfRule type="duplicateValues" dxfId="550" priority="153"/>
  </conditionalFormatting>
  <conditionalFormatting sqref="D11">
    <cfRule type="duplicateValues" dxfId="549" priority="141"/>
    <cfRule type="duplicateValues" dxfId="548" priority="142"/>
    <cfRule type="duplicateValues" dxfId="547" priority="143"/>
  </conditionalFormatting>
  <conditionalFormatting sqref="D12">
    <cfRule type="duplicateValues" dxfId="546" priority="147"/>
  </conditionalFormatting>
  <conditionalFormatting sqref="D13">
    <cfRule type="duplicateValues" dxfId="545" priority="6874"/>
    <cfRule type="duplicateValues" dxfId="544" priority="6875"/>
    <cfRule type="duplicateValues" dxfId="543" priority="6876"/>
    <cfRule type="duplicateValues" dxfId="542" priority="6877"/>
    <cfRule type="duplicateValues" dxfId="541" priority="6878"/>
    <cfRule type="duplicateValues" dxfId="540" priority="6879"/>
  </conditionalFormatting>
  <conditionalFormatting sqref="D19">
    <cfRule type="duplicateValues" dxfId="539" priority="2453"/>
    <cfRule type="duplicateValues" dxfId="538" priority="2454"/>
    <cfRule type="duplicateValues" dxfId="537" priority="2455"/>
  </conditionalFormatting>
  <conditionalFormatting sqref="D20">
    <cfRule type="duplicateValues" dxfId="536" priority="6883"/>
    <cfRule type="duplicateValues" dxfId="535" priority="6884"/>
  </conditionalFormatting>
  <conditionalFormatting sqref="D18">
    <cfRule type="duplicateValues" dxfId="534" priority="2471"/>
    <cfRule type="duplicateValues" dxfId="533" priority="2472"/>
    <cfRule type="duplicateValues" dxfId="532" priority="2473"/>
  </conditionalFormatting>
  <conditionalFormatting sqref="D21">
    <cfRule type="duplicateValues" dxfId="531" priority="2456"/>
    <cfRule type="duplicateValues" dxfId="530" priority="2457"/>
    <cfRule type="duplicateValues" dxfId="529" priority="2458"/>
  </conditionalFormatting>
  <conditionalFormatting sqref="D22">
    <cfRule type="duplicateValues" dxfId="528" priority="2462"/>
    <cfRule type="duplicateValues" dxfId="527" priority="2463"/>
    <cfRule type="duplicateValues" dxfId="526" priority="2464"/>
  </conditionalFormatting>
  <conditionalFormatting sqref="D23">
    <cfRule type="duplicateValues" dxfId="525" priority="2465"/>
    <cfRule type="duplicateValues" dxfId="524" priority="2466"/>
    <cfRule type="duplicateValues" dxfId="523" priority="2467"/>
  </conditionalFormatting>
  <conditionalFormatting sqref="D24">
    <cfRule type="duplicateValues" dxfId="522" priority="2475"/>
  </conditionalFormatting>
  <conditionalFormatting sqref="D25">
    <cfRule type="duplicateValues" dxfId="521" priority="6880"/>
    <cfRule type="duplicateValues" dxfId="520" priority="6881"/>
    <cfRule type="duplicateValues" dxfId="519" priority="6882"/>
  </conditionalFormatting>
  <conditionalFormatting sqref="D26">
    <cfRule type="duplicateValues" dxfId="518" priority="6894"/>
    <cfRule type="duplicateValues" dxfId="517" priority="6895"/>
    <cfRule type="duplicateValues" dxfId="516" priority="6896"/>
    <cfRule type="containsText" dxfId="515" priority="6897" operator="containsText" text="TBA">
      <formula>NOT(ISERROR(SEARCH("TBA",D26)))</formula>
    </cfRule>
  </conditionalFormatting>
  <conditionalFormatting sqref="D27">
    <cfRule type="duplicateValues" dxfId="514" priority="6898"/>
    <cfRule type="duplicateValues" dxfId="513" priority="6899"/>
    <cfRule type="duplicateValues" dxfId="512" priority="6900"/>
  </conditionalFormatting>
  <conditionalFormatting sqref="D28">
    <cfRule type="duplicateValues" dxfId="511" priority="6901"/>
  </conditionalFormatting>
  <conditionalFormatting sqref="D29">
    <cfRule type="duplicateValues" dxfId="510" priority="6893"/>
  </conditionalFormatting>
  <conditionalFormatting sqref="D30">
    <cfRule type="duplicateValues" dxfId="509" priority="6889"/>
    <cfRule type="duplicateValues" dxfId="508" priority="6890"/>
    <cfRule type="duplicateValues" dxfId="507" priority="6891"/>
    <cfRule type="duplicateValues" dxfId="506" priority="6892"/>
  </conditionalFormatting>
  <conditionalFormatting sqref="D31">
    <cfRule type="duplicateValues" dxfId="505" priority="6885"/>
    <cfRule type="duplicateValues" dxfId="504" priority="6886"/>
    <cfRule type="duplicateValues" dxfId="503" priority="6887"/>
    <cfRule type="duplicateValues" dxfId="502" priority="6888"/>
  </conditionalFormatting>
  <conditionalFormatting sqref="D36">
    <cfRule type="duplicateValues" dxfId="501" priority="8168"/>
  </conditionalFormatting>
  <conditionalFormatting sqref="D37">
    <cfRule type="duplicateValues" dxfId="500" priority="8175"/>
  </conditionalFormatting>
  <conditionalFormatting sqref="D39">
    <cfRule type="duplicateValues" dxfId="499" priority="8172"/>
  </conditionalFormatting>
  <conditionalFormatting sqref="D40">
    <cfRule type="duplicateValues" dxfId="498" priority="8171"/>
  </conditionalFormatting>
  <conditionalFormatting sqref="D42">
    <cfRule type="duplicateValues" dxfId="497" priority="8115"/>
  </conditionalFormatting>
  <conditionalFormatting sqref="E7">
    <cfRule type="duplicateValues" dxfId="496" priority="130"/>
    <cfRule type="duplicateValues" dxfId="495" priority="131"/>
    <cfRule type="duplicateValues" dxfId="494" priority="132"/>
    <cfRule type="duplicateValues" dxfId="493" priority="133"/>
    <cfRule type="duplicateValues" dxfId="492" priority="134"/>
    <cfRule type="duplicateValues" dxfId="491" priority="135"/>
    <cfRule type="duplicateValues" dxfId="490" priority="136"/>
    <cfRule type="duplicateValues" dxfId="489" priority="137"/>
    <cfRule type="duplicateValues" dxfId="488" priority="138"/>
  </conditionalFormatting>
  <conditionalFormatting sqref="E8">
    <cfRule type="duplicateValues" dxfId="487" priority="140"/>
  </conditionalFormatting>
  <conditionalFormatting sqref="E9">
    <cfRule type="duplicateValues" dxfId="486" priority="139"/>
  </conditionalFormatting>
  <conditionalFormatting sqref="C88:C1048576 C1:C59">
    <cfRule type="duplicateValues" dxfId="485" priority="2"/>
  </conditionalFormatting>
  <conditionalFormatting sqref="C88:C1048576 C1:C57">
    <cfRule type="duplicateValues" dxfId="484" priority="25086"/>
  </conditionalFormatting>
  <conditionalFormatting sqref="C88:C1048576 C1:C58">
    <cfRule type="duplicateValues" dxfId="483" priority="25089"/>
  </conditionalFormatting>
  <conditionalFormatting sqref="C88:C1048576 C1 C3 C32:C50 C57">
    <cfRule type="duplicateValues" dxfId="482" priority="25095"/>
  </conditionalFormatting>
  <conditionalFormatting sqref="C88:C1048576 C1:C3 C13:C57">
    <cfRule type="duplicateValues" dxfId="481" priority="25101"/>
  </conditionalFormatting>
  <conditionalFormatting sqref="C88:C1048576 C1:C3 C32:C50 C57">
    <cfRule type="duplicateValues" dxfId="480" priority="25105"/>
    <cfRule type="duplicateValues" dxfId="479" priority="25106"/>
    <cfRule type="duplicateValues" dxfId="478" priority="25107"/>
    <cfRule type="duplicateValues" dxfId="477" priority="25108"/>
    <cfRule type="duplicateValues" dxfId="476" priority="25109"/>
    <cfRule type="duplicateValues" dxfId="475" priority="25110"/>
    <cfRule type="duplicateValues" dxfId="474" priority="25111"/>
    <cfRule type="duplicateValues" dxfId="473" priority="25112"/>
    <cfRule type="duplicateValues" dxfId="472" priority="25113"/>
    <cfRule type="duplicateValues" dxfId="471" priority="25114"/>
    <cfRule type="duplicateValues" dxfId="470" priority="25115"/>
    <cfRule type="duplicateValues" dxfId="469" priority="25116"/>
    <cfRule type="duplicateValues" dxfId="468" priority="25117"/>
    <cfRule type="duplicateValues" dxfId="467" priority="25118"/>
    <cfRule type="duplicateValues" dxfId="466" priority="25119"/>
    <cfRule type="duplicateValues" dxfId="465" priority="25120"/>
    <cfRule type="duplicateValues" dxfId="464" priority="25121"/>
    <cfRule type="duplicateValues" dxfId="463" priority="25122"/>
    <cfRule type="duplicateValues" dxfId="462" priority="25123"/>
    <cfRule type="duplicateValues" dxfId="461" priority="25124"/>
    <cfRule type="duplicateValues" dxfId="460" priority="25125"/>
    <cfRule type="duplicateValues" dxfId="459" priority="25126"/>
    <cfRule type="duplicateValues" dxfId="458" priority="25127"/>
    <cfRule type="duplicateValues" dxfId="457" priority="25128"/>
    <cfRule type="duplicateValues" dxfId="456" priority="25129"/>
    <cfRule type="duplicateValues" dxfId="455" priority="25130"/>
  </conditionalFormatting>
  <conditionalFormatting sqref="C88:C1048576 C1:C3 C57 C13:C50">
    <cfRule type="duplicateValues" dxfId="454" priority="25235"/>
  </conditionalFormatting>
  <conditionalFormatting sqref="C88:C1048576 C1:C57">
    <cfRule type="duplicateValues" dxfId="453" priority="25240"/>
    <cfRule type="duplicateValues" dxfId="452" priority="25241"/>
    <cfRule type="duplicateValues" dxfId="451" priority="25242"/>
    <cfRule type="duplicateValues" dxfId="450" priority="25243"/>
    <cfRule type="duplicateValues" dxfId="449" priority="25244"/>
  </conditionalFormatting>
  <conditionalFormatting sqref="C88:C1048576 C25:C50 C20 C1:C3 C57 C13 C16:C17">
    <cfRule type="duplicateValues" dxfId="448" priority="25255"/>
    <cfRule type="duplicateValues" dxfId="447" priority="25256"/>
    <cfRule type="duplicateValues" dxfId="446" priority="25257"/>
    <cfRule type="duplicateValues" dxfId="445" priority="25258"/>
  </conditionalFormatting>
  <conditionalFormatting sqref="C88:C1048576 C57 C1:C3 C13:C50">
    <cfRule type="duplicateValues" dxfId="444" priority="25291"/>
  </conditionalFormatting>
  <conditionalFormatting sqref="C88:C1048576">
    <cfRule type="duplicateValues" dxfId="443" priority="25296"/>
    <cfRule type="duplicateValues" dxfId="442" priority="25297"/>
    <cfRule type="duplicateValues" dxfId="441" priority="25298"/>
    <cfRule type="duplicateValues" dxfId="440" priority="25299"/>
    <cfRule type="duplicateValues" dxfId="439" priority="25300"/>
    <cfRule type="duplicateValues" dxfId="438" priority="25301"/>
    <cfRule type="duplicateValues" dxfId="437" priority="25302"/>
    <cfRule type="duplicateValues" dxfId="436" priority="25303"/>
    <cfRule type="duplicateValues" dxfId="435" priority="25304"/>
  </conditionalFormatting>
  <conditionalFormatting sqref="C21:C24 C18:C19 C14:C15">
    <cfRule type="duplicateValues" dxfId="434" priority="25440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C000"/>
  </sheetPr>
  <dimension ref="A1:AT91"/>
  <sheetViews>
    <sheetView topLeftCell="A49" zoomScale="85" zoomScaleNormal="85" workbookViewId="0">
      <pane xSplit="5" topLeftCell="F1" activePane="topRight" state="frozen"/>
      <selection pane="topRight" activeCell="A55" sqref="A55:XFD62"/>
    </sheetView>
  </sheetViews>
  <sheetFormatPr defaultColWidth="10.7109375" defaultRowHeight="15"/>
  <cols>
    <col min="1" max="1" width="8.140625" style="2" customWidth="1"/>
    <col min="2" max="2" width="10.7109375" style="2" customWidth="1"/>
    <col min="3" max="3" width="19.5703125" style="2" customWidth="1"/>
    <col min="4" max="4" width="25" style="2" customWidth="1"/>
    <col min="5" max="5" width="36.28515625" style="2" customWidth="1"/>
    <col min="6" max="6" width="18.140625" style="2" customWidth="1"/>
    <col min="7" max="7" width="28.85546875" style="2" customWidth="1"/>
    <col min="8" max="23" width="10.7109375" style="2" customWidth="1"/>
    <col min="24" max="25" width="10.7109375" style="3" customWidth="1"/>
    <col min="26" max="27" width="10.7109375" style="2" customWidth="1"/>
    <col min="28" max="28" width="12.7109375" style="2" customWidth="1"/>
    <col min="29" max="29" width="14.42578125" style="2" customWidth="1"/>
    <col min="30" max="30" width="25.5703125" style="2" customWidth="1"/>
    <col min="31" max="34" width="10.7109375" style="2" customWidth="1"/>
    <col min="35" max="35" width="10.7109375" style="4" customWidth="1"/>
    <col min="36" max="40" width="10.7109375" style="2" customWidth="1"/>
    <col min="41" max="41" width="13.7109375" style="2" customWidth="1"/>
    <col min="42" max="42" width="17.28515625" style="2" customWidth="1"/>
    <col min="43" max="16384" width="10.7109375" style="2"/>
  </cols>
  <sheetData>
    <row r="1" spans="1:46" ht="23.25">
      <c r="A1" s="5" t="s">
        <v>44</v>
      </c>
      <c r="B1" s="5"/>
      <c r="C1" s="5"/>
      <c r="D1" s="5"/>
      <c r="E1" s="6">
        <f ca="1">TODAY()</f>
        <v>46045</v>
      </c>
      <c r="F1" s="7" t="s">
        <v>45</v>
      </c>
      <c r="G1" s="7" t="s">
        <v>745</v>
      </c>
      <c r="H1" s="8">
        <v>3992</v>
      </c>
      <c r="I1" s="8">
        <v>4990</v>
      </c>
      <c r="J1" s="8">
        <v>5003.991</v>
      </c>
      <c r="K1" s="9"/>
      <c r="L1" s="5"/>
      <c r="M1" s="10" t="s">
        <v>47</v>
      </c>
      <c r="N1" s="11"/>
      <c r="O1" s="11"/>
      <c r="P1" s="12"/>
      <c r="Q1" s="12"/>
      <c r="R1" s="13"/>
      <c r="S1" s="13"/>
      <c r="T1" s="10" t="s">
        <v>47</v>
      </c>
      <c r="U1" s="13"/>
      <c r="V1" s="13"/>
      <c r="W1" s="13"/>
      <c r="X1" s="14"/>
      <c r="Z1" s="13"/>
      <c r="AA1" s="13"/>
      <c r="AB1" s="13" t="s">
        <v>47</v>
      </c>
      <c r="AC1" s="13"/>
      <c r="AD1" s="13"/>
      <c r="AI1" s="15"/>
      <c r="AN1" s="283" t="s">
        <v>48</v>
      </c>
      <c r="AO1" s="284"/>
      <c r="AP1" s="285"/>
    </row>
    <row r="2" spans="1:46" ht="23.25">
      <c r="A2" s="16" t="s">
        <v>49</v>
      </c>
      <c r="B2" s="17" t="s">
        <v>50</v>
      </c>
      <c r="C2" s="17" t="s">
        <v>51</v>
      </c>
      <c r="D2" s="18" t="s">
        <v>52</v>
      </c>
      <c r="E2" s="18" t="s">
        <v>53</v>
      </c>
      <c r="F2" s="17" t="s">
        <v>54</v>
      </c>
      <c r="G2" s="18" t="s">
        <v>55</v>
      </c>
      <c r="H2" s="18" t="s">
        <v>56</v>
      </c>
      <c r="I2" s="18" t="s">
        <v>57</v>
      </c>
      <c r="J2" s="18" t="s">
        <v>58</v>
      </c>
      <c r="K2" s="18"/>
      <c r="L2" s="17" t="s">
        <v>59</v>
      </c>
      <c r="M2" s="17" t="s">
        <v>60</v>
      </c>
      <c r="N2" s="17" t="s">
        <v>61</v>
      </c>
      <c r="O2" s="19" t="s">
        <v>62</v>
      </c>
      <c r="P2" s="19" t="s">
        <v>63</v>
      </c>
      <c r="Q2" s="19" t="s">
        <v>64</v>
      </c>
      <c r="R2" s="19" t="s">
        <v>65</v>
      </c>
      <c r="S2" s="19" t="s">
        <v>66</v>
      </c>
      <c r="T2" s="19" t="s">
        <v>67</v>
      </c>
      <c r="U2" s="19" t="s">
        <v>68</v>
      </c>
      <c r="V2" s="19" t="s">
        <v>69</v>
      </c>
      <c r="W2" s="19" t="s">
        <v>70</v>
      </c>
      <c r="X2" s="20" t="s">
        <v>71</v>
      </c>
      <c r="Y2" s="20" t="s">
        <v>72</v>
      </c>
      <c r="Z2" s="19"/>
      <c r="AA2" s="19"/>
      <c r="AB2" s="19" t="s">
        <v>73</v>
      </c>
      <c r="AC2" s="19" t="s">
        <v>74</v>
      </c>
      <c r="AD2" s="19" t="s">
        <v>75</v>
      </c>
      <c r="AE2" s="286" t="s">
        <v>76</v>
      </c>
      <c r="AF2" s="286"/>
      <c r="AG2" s="286"/>
      <c r="AH2" s="286"/>
      <c r="AI2" s="21">
        <f>SUM(AI4:AI123)</f>
        <v>200</v>
      </c>
      <c r="AJ2" s="286" t="s">
        <v>77</v>
      </c>
      <c r="AK2" s="286"/>
      <c r="AL2" s="286"/>
      <c r="AM2" s="286"/>
      <c r="AN2" s="21">
        <f>SUM(AN4:AN123)</f>
        <v>800</v>
      </c>
      <c r="AO2" s="21">
        <f>SUM(AO4:AO123)</f>
        <v>0</v>
      </c>
      <c r="AP2" s="22">
        <f>SUM(AI2:AO2)</f>
        <v>1000</v>
      </c>
      <c r="AQ2" s="23"/>
      <c r="AR2" s="1"/>
      <c r="AS2" s="1"/>
      <c r="AT2" s="1"/>
    </row>
    <row r="3" spans="1:46" s="1" customFormat="1" ht="42" customHeight="1">
      <c r="A3" s="24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6">
        <f>SUM(H4:H89)</f>
        <v>1365</v>
      </c>
      <c r="I3" s="26">
        <f>SUM(I4:I89)/1000</f>
        <v>1711.3230000000001</v>
      </c>
      <c r="J3" s="26">
        <f>SUM(J4:J89)/1000</f>
        <v>1734.7370000000001</v>
      </c>
      <c r="K3" s="25" t="s">
        <v>85</v>
      </c>
      <c r="L3" s="25" t="s">
        <v>86</v>
      </c>
      <c r="M3" s="25" t="s">
        <v>87</v>
      </c>
      <c r="N3" s="25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93</v>
      </c>
      <c r="T3" s="27" t="s">
        <v>94</v>
      </c>
      <c r="U3" s="27" t="s">
        <v>95</v>
      </c>
      <c r="V3" s="27" t="s">
        <v>96</v>
      </c>
      <c r="W3" s="27" t="s">
        <v>97</v>
      </c>
      <c r="X3" s="28" t="s">
        <v>98</v>
      </c>
      <c r="Y3" s="28" t="s">
        <v>99</v>
      </c>
      <c r="Z3" s="27" t="s">
        <v>100</v>
      </c>
      <c r="AA3" s="27" t="s">
        <v>101</v>
      </c>
      <c r="AB3" s="27" t="s">
        <v>102</v>
      </c>
      <c r="AC3" s="27" t="s">
        <v>103</v>
      </c>
      <c r="AD3" s="27" t="s">
        <v>104</v>
      </c>
      <c r="AE3" s="29" t="s">
        <v>105</v>
      </c>
      <c r="AF3" s="29" t="s">
        <v>106</v>
      </c>
      <c r="AG3" s="29" t="s">
        <v>107</v>
      </c>
      <c r="AH3" s="29" t="s">
        <v>108</v>
      </c>
      <c r="AI3" s="30" t="s">
        <v>109</v>
      </c>
      <c r="AJ3" s="29" t="s">
        <v>110</v>
      </c>
      <c r="AK3" s="29" t="s">
        <v>106</v>
      </c>
      <c r="AL3" s="29" t="s">
        <v>107</v>
      </c>
      <c r="AM3" s="29" t="s">
        <v>108</v>
      </c>
      <c r="AN3" s="30" t="s">
        <v>111</v>
      </c>
      <c r="AO3" s="31" t="s">
        <v>112</v>
      </c>
      <c r="AP3" s="32" t="s">
        <v>113</v>
      </c>
    </row>
    <row r="4" spans="1:46" s="1" customFormat="1" ht="15" customHeight="1">
      <c r="A4" s="33">
        <f t="shared" ref="A4:A29" si="0">ROW()-3</f>
        <v>1</v>
      </c>
      <c r="B4" s="34" t="s">
        <v>114</v>
      </c>
      <c r="C4" s="64" t="s">
        <v>234</v>
      </c>
      <c r="D4" s="34" t="s">
        <v>235</v>
      </c>
      <c r="E4" s="34" t="s">
        <v>236</v>
      </c>
      <c r="F4" s="34" t="s">
        <v>215</v>
      </c>
      <c r="G4" s="38" t="s">
        <v>873</v>
      </c>
      <c r="H4" s="37">
        <v>28</v>
      </c>
      <c r="I4" s="34">
        <v>35000</v>
      </c>
      <c r="J4" s="34">
        <v>35098</v>
      </c>
      <c r="K4" s="34" t="s">
        <v>120</v>
      </c>
      <c r="L4" s="39">
        <v>45890</v>
      </c>
      <c r="M4" s="40" t="s">
        <v>121</v>
      </c>
      <c r="N4" s="39" t="s">
        <v>122</v>
      </c>
      <c r="O4" s="39">
        <v>45881</v>
      </c>
      <c r="P4" s="39">
        <v>45907</v>
      </c>
      <c r="Q4" s="39">
        <v>45892</v>
      </c>
      <c r="R4" s="39">
        <v>46022</v>
      </c>
      <c r="S4" s="39">
        <v>46387</v>
      </c>
      <c r="T4" s="39">
        <v>46036</v>
      </c>
      <c r="U4" s="39">
        <v>46040</v>
      </c>
      <c r="V4" s="271"/>
      <c r="W4" s="271"/>
      <c r="X4" s="272"/>
      <c r="Y4" s="272"/>
      <c r="Z4" s="271"/>
      <c r="AA4" s="271"/>
      <c r="AB4" s="271"/>
      <c r="AC4" s="271"/>
      <c r="AD4" s="44" t="s">
        <v>268</v>
      </c>
      <c r="AE4" s="50">
        <f t="shared" ref="AE4:AE29" si="1">MAX(0,Y4-X4)</f>
        <v>0</v>
      </c>
      <c r="AF4" s="36">
        <v>7</v>
      </c>
      <c r="AG4" s="51">
        <f t="shared" ref="AG4:AG29" si="2">MAX(0,AE4-AF4)</f>
        <v>0</v>
      </c>
      <c r="AH4" s="52">
        <v>200</v>
      </c>
      <c r="AI4" s="53">
        <f t="shared" ref="AI4:AI29" si="3">MAX(0,AG4*AH4)</f>
        <v>0</v>
      </c>
      <c r="AJ4" s="54">
        <f t="shared" ref="AJ4:AJ29" si="4">MAX(0,AC4-AB4)</f>
        <v>0</v>
      </c>
      <c r="AK4" s="36">
        <v>2</v>
      </c>
      <c r="AL4" s="51">
        <f t="shared" ref="AL4:AL29" si="5">MAX(0,AJ4-AK4)</f>
        <v>0</v>
      </c>
      <c r="AM4" s="52">
        <v>200</v>
      </c>
      <c r="AN4" s="53">
        <f t="shared" ref="AN4:AN29" si="6">MAX(0,AL4*AM4)</f>
        <v>0</v>
      </c>
      <c r="AO4" s="52"/>
      <c r="AP4" s="55">
        <f t="shared" ref="AP4:AP29" si="7">AO4+AN4+AI4</f>
        <v>0</v>
      </c>
    </row>
    <row r="5" spans="1:46" s="68" customFormat="1" ht="15" customHeight="1">
      <c r="A5" s="33">
        <f t="shared" si="0"/>
        <v>2</v>
      </c>
      <c r="B5" s="34" t="s">
        <v>114</v>
      </c>
      <c r="C5" s="35" t="s">
        <v>388</v>
      </c>
      <c r="D5" s="35" t="s">
        <v>389</v>
      </c>
      <c r="E5" s="34" t="s">
        <v>390</v>
      </c>
      <c r="F5" s="34" t="s">
        <v>215</v>
      </c>
      <c r="G5" s="37" t="s">
        <v>817</v>
      </c>
      <c r="H5" s="37">
        <v>29</v>
      </c>
      <c r="I5" s="34">
        <v>36250</v>
      </c>
      <c r="J5" s="34">
        <v>36323</v>
      </c>
      <c r="K5" s="34" t="s">
        <v>120</v>
      </c>
      <c r="L5" s="39">
        <v>45890</v>
      </c>
      <c r="M5" s="40" t="s">
        <v>121</v>
      </c>
      <c r="N5" s="39" t="s">
        <v>122</v>
      </c>
      <c r="O5" s="39">
        <v>45881</v>
      </c>
      <c r="P5" s="39">
        <v>45907</v>
      </c>
      <c r="Q5" s="39">
        <v>45892</v>
      </c>
      <c r="R5" s="39">
        <v>46004</v>
      </c>
      <c r="S5" s="39">
        <v>46005</v>
      </c>
      <c r="T5" s="39">
        <v>46009</v>
      </c>
      <c r="U5" s="39">
        <v>46012</v>
      </c>
      <c r="V5" s="39"/>
      <c r="W5" s="39"/>
      <c r="X5" s="74"/>
      <c r="Y5" s="74"/>
      <c r="Z5" s="39"/>
      <c r="AA5" s="41"/>
      <c r="AB5" s="41"/>
      <c r="AC5" s="41"/>
      <c r="AD5" s="44" t="s">
        <v>751</v>
      </c>
      <c r="AE5" s="54">
        <f t="shared" si="1"/>
        <v>0</v>
      </c>
      <c r="AF5" s="36">
        <v>7</v>
      </c>
      <c r="AG5" s="51">
        <f t="shared" si="2"/>
        <v>0</v>
      </c>
      <c r="AH5" s="52">
        <v>200</v>
      </c>
      <c r="AI5" s="53">
        <f t="shared" si="3"/>
        <v>0</v>
      </c>
      <c r="AJ5" s="54">
        <f t="shared" si="4"/>
        <v>0</v>
      </c>
      <c r="AK5" s="36">
        <v>2</v>
      </c>
      <c r="AL5" s="51">
        <f t="shared" si="5"/>
        <v>0</v>
      </c>
      <c r="AM5" s="52">
        <v>200</v>
      </c>
      <c r="AN5" s="53">
        <f t="shared" si="6"/>
        <v>0</v>
      </c>
      <c r="AO5" s="52"/>
      <c r="AP5" s="55">
        <f t="shared" si="7"/>
        <v>0</v>
      </c>
    </row>
    <row r="6" spans="1:46" s="1" customFormat="1" ht="15" customHeight="1">
      <c r="A6" s="33">
        <f t="shared" si="0"/>
        <v>3</v>
      </c>
      <c r="B6" s="34" t="s">
        <v>114</v>
      </c>
      <c r="C6" s="35" t="s">
        <v>753</v>
      </c>
      <c r="D6" s="35" t="s">
        <v>438</v>
      </c>
      <c r="E6" s="34" t="s">
        <v>439</v>
      </c>
      <c r="F6" s="34" t="s">
        <v>215</v>
      </c>
      <c r="G6" s="38" t="s">
        <v>768</v>
      </c>
      <c r="H6" s="37">
        <v>28</v>
      </c>
      <c r="I6" s="34">
        <v>35000</v>
      </c>
      <c r="J6" s="34">
        <v>35070</v>
      </c>
      <c r="K6" s="34" t="s">
        <v>120</v>
      </c>
      <c r="L6" s="39">
        <v>45890</v>
      </c>
      <c r="M6" s="40" t="s">
        <v>121</v>
      </c>
      <c r="N6" s="39" t="s">
        <v>122</v>
      </c>
      <c r="O6" s="39">
        <v>45881</v>
      </c>
      <c r="P6" s="39">
        <v>45907</v>
      </c>
      <c r="Q6" s="39">
        <v>45892</v>
      </c>
      <c r="R6" s="39">
        <v>46002</v>
      </c>
      <c r="S6" s="39">
        <v>46004</v>
      </c>
      <c r="T6" s="39">
        <v>46008</v>
      </c>
      <c r="U6" s="39">
        <v>46012</v>
      </c>
      <c r="V6" s="39"/>
      <c r="W6" s="39"/>
      <c r="X6" s="74"/>
      <c r="Y6" s="74"/>
      <c r="Z6" s="39"/>
      <c r="AA6" s="41"/>
      <c r="AB6" s="41"/>
      <c r="AC6" s="41"/>
      <c r="AD6" s="44" t="s">
        <v>861</v>
      </c>
      <c r="AE6" s="45">
        <f>MAX(0,Y6-X6)</f>
        <v>0</v>
      </c>
      <c r="AF6" s="36">
        <v>7</v>
      </c>
      <c r="AG6" s="46">
        <f>MAX(0,AE6-AF6)</f>
        <v>0</v>
      </c>
      <c r="AH6" s="47">
        <v>200</v>
      </c>
      <c r="AI6" s="48">
        <f>MAX(0,AG6*AH6)</f>
        <v>0</v>
      </c>
      <c r="AJ6" s="45">
        <f>MAX(0,AC6-AB6)</f>
        <v>0</v>
      </c>
      <c r="AK6" s="36">
        <v>2</v>
      </c>
      <c r="AL6" s="46">
        <f>MAX(0,AJ6-AK6)</f>
        <v>0</v>
      </c>
      <c r="AM6" s="47">
        <v>200</v>
      </c>
      <c r="AN6" s="48">
        <f>MAX(0,AL6*AM6)</f>
        <v>0</v>
      </c>
      <c r="AO6" s="47"/>
      <c r="AP6" s="49">
        <f>AO6+AN6+AI6</f>
        <v>0</v>
      </c>
    </row>
    <row r="7" spans="1:46" s="1" customFormat="1" ht="15" customHeight="1">
      <c r="A7" s="33">
        <f t="shared" si="0"/>
        <v>4</v>
      </c>
      <c r="B7" s="34" t="s">
        <v>114</v>
      </c>
      <c r="C7" s="35" t="s">
        <v>212</v>
      </c>
      <c r="D7" s="35" t="s">
        <v>213</v>
      </c>
      <c r="E7" s="34" t="s">
        <v>214</v>
      </c>
      <c r="F7" s="34" t="s">
        <v>215</v>
      </c>
      <c r="G7" s="38" t="s">
        <v>768</v>
      </c>
      <c r="H7" s="37">
        <v>28</v>
      </c>
      <c r="I7" s="34">
        <v>35000</v>
      </c>
      <c r="J7" s="34">
        <v>35098</v>
      </c>
      <c r="K7" s="34" t="s">
        <v>120</v>
      </c>
      <c r="L7" s="39">
        <v>45890</v>
      </c>
      <c r="M7" s="40" t="s">
        <v>121</v>
      </c>
      <c r="N7" s="39" t="s">
        <v>122</v>
      </c>
      <c r="O7" s="39">
        <v>45881</v>
      </c>
      <c r="P7" s="39">
        <v>45907</v>
      </c>
      <c r="Q7" s="39">
        <v>45892</v>
      </c>
      <c r="R7" s="39">
        <v>46022</v>
      </c>
      <c r="S7" s="39">
        <v>46387</v>
      </c>
      <c r="T7" s="39">
        <v>46028</v>
      </c>
      <c r="U7" s="39">
        <v>46035</v>
      </c>
      <c r="V7" s="39">
        <v>46038</v>
      </c>
      <c r="W7" s="41"/>
      <c r="X7" s="42"/>
      <c r="Y7" s="42"/>
      <c r="Z7" s="41"/>
      <c r="AA7" s="41"/>
      <c r="AB7" s="41"/>
      <c r="AC7" s="41"/>
      <c r="AD7" s="44" t="s">
        <v>747</v>
      </c>
      <c r="AE7" s="45">
        <f t="shared" si="1"/>
        <v>0</v>
      </c>
      <c r="AF7" s="36">
        <v>7</v>
      </c>
      <c r="AG7" s="46">
        <f t="shared" si="2"/>
        <v>0</v>
      </c>
      <c r="AH7" s="47">
        <v>200</v>
      </c>
      <c r="AI7" s="48">
        <f t="shared" si="3"/>
        <v>0</v>
      </c>
      <c r="AJ7" s="45">
        <f t="shared" si="4"/>
        <v>0</v>
      </c>
      <c r="AK7" s="36">
        <v>2</v>
      </c>
      <c r="AL7" s="46">
        <f t="shared" si="5"/>
        <v>0</v>
      </c>
      <c r="AM7" s="47">
        <v>200</v>
      </c>
      <c r="AN7" s="48">
        <f t="shared" si="6"/>
        <v>0</v>
      </c>
      <c r="AO7" s="47"/>
      <c r="AP7" s="49">
        <f t="shared" si="7"/>
        <v>0</v>
      </c>
    </row>
    <row r="8" spans="1:46" s="1" customFormat="1" ht="15" customHeight="1">
      <c r="A8" s="33">
        <f t="shared" si="0"/>
        <v>5</v>
      </c>
      <c r="B8" s="34" t="s">
        <v>114</v>
      </c>
      <c r="C8" s="39" t="s">
        <v>290</v>
      </c>
      <c r="D8" s="39" t="s">
        <v>291</v>
      </c>
      <c r="E8" s="72" t="s">
        <v>292</v>
      </c>
      <c r="F8" s="34" t="s">
        <v>215</v>
      </c>
      <c r="G8" s="38" t="s">
        <v>768</v>
      </c>
      <c r="H8" s="37">
        <v>28</v>
      </c>
      <c r="I8" s="34">
        <v>35000</v>
      </c>
      <c r="J8" s="34">
        <v>35070</v>
      </c>
      <c r="K8" s="34" t="s">
        <v>120</v>
      </c>
      <c r="L8" s="39">
        <v>45890</v>
      </c>
      <c r="M8" s="40" t="s">
        <v>121</v>
      </c>
      <c r="N8" s="39" t="s">
        <v>122</v>
      </c>
      <c r="O8" s="39">
        <v>45881</v>
      </c>
      <c r="P8" s="39">
        <v>45907</v>
      </c>
      <c r="Q8" s="39">
        <v>45892</v>
      </c>
      <c r="R8" s="39">
        <v>46011</v>
      </c>
      <c r="S8" s="39">
        <v>46022</v>
      </c>
      <c r="T8" s="39">
        <v>46028</v>
      </c>
      <c r="U8" s="39">
        <v>46034</v>
      </c>
      <c r="V8" s="39">
        <v>46038</v>
      </c>
      <c r="W8" s="41"/>
      <c r="X8" s="42"/>
      <c r="Y8" s="42"/>
      <c r="Z8" s="41"/>
      <c r="AA8" s="41"/>
      <c r="AB8" s="41"/>
      <c r="AC8" s="41"/>
      <c r="AD8" s="44" t="s">
        <v>747</v>
      </c>
      <c r="AE8" s="45">
        <f t="shared" si="1"/>
        <v>0</v>
      </c>
      <c r="AF8" s="36">
        <v>7</v>
      </c>
      <c r="AG8" s="46">
        <f t="shared" si="2"/>
        <v>0</v>
      </c>
      <c r="AH8" s="47">
        <v>200</v>
      </c>
      <c r="AI8" s="48">
        <f t="shared" si="3"/>
        <v>0</v>
      </c>
      <c r="AJ8" s="45">
        <f t="shared" si="4"/>
        <v>0</v>
      </c>
      <c r="AK8" s="36">
        <v>2</v>
      </c>
      <c r="AL8" s="46">
        <f t="shared" si="5"/>
        <v>0</v>
      </c>
      <c r="AM8" s="47">
        <v>200</v>
      </c>
      <c r="AN8" s="48">
        <f t="shared" si="6"/>
        <v>0</v>
      </c>
      <c r="AO8" s="47"/>
      <c r="AP8" s="49">
        <f t="shared" si="7"/>
        <v>0</v>
      </c>
    </row>
    <row r="9" spans="1:46" s="1" customFormat="1" ht="15" customHeight="1">
      <c r="A9" s="33">
        <f t="shared" si="0"/>
        <v>6</v>
      </c>
      <c r="B9" s="34" t="s">
        <v>114</v>
      </c>
      <c r="C9" s="35" t="s">
        <v>237</v>
      </c>
      <c r="D9" s="35" t="s">
        <v>238</v>
      </c>
      <c r="E9" s="34" t="s">
        <v>239</v>
      </c>
      <c r="F9" s="34" t="s">
        <v>215</v>
      </c>
      <c r="G9" s="38" t="s">
        <v>768</v>
      </c>
      <c r="H9" s="37">
        <v>29</v>
      </c>
      <c r="I9" s="34">
        <v>36250</v>
      </c>
      <c r="J9" s="34">
        <v>36352</v>
      </c>
      <c r="K9" s="34" t="s">
        <v>120</v>
      </c>
      <c r="L9" s="39">
        <v>45890</v>
      </c>
      <c r="M9" s="40" t="s">
        <v>121</v>
      </c>
      <c r="N9" s="39" t="s">
        <v>122</v>
      </c>
      <c r="O9" s="39">
        <v>45881</v>
      </c>
      <c r="P9" s="39">
        <v>45907</v>
      </c>
      <c r="Q9" s="39">
        <v>45892</v>
      </c>
      <c r="R9" s="39">
        <v>46022</v>
      </c>
      <c r="S9" s="39">
        <v>46387</v>
      </c>
      <c r="T9" s="39">
        <v>46026</v>
      </c>
      <c r="U9" s="39">
        <v>46032</v>
      </c>
      <c r="V9" s="39">
        <v>46037</v>
      </c>
      <c r="W9" s="41"/>
      <c r="X9" s="42"/>
      <c r="Y9" s="42"/>
      <c r="Z9" s="41"/>
      <c r="AA9" s="41"/>
      <c r="AB9" s="41"/>
      <c r="AC9" s="41"/>
      <c r="AD9" s="44" t="s">
        <v>747</v>
      </c>
      <c r="AE9" s="45">
        <f t="shared" si="1"/>
        <v>0</v>
      </c>
      <c r="AF9" s="36">
        <v>7</v>
      </c>
      <c r="AG9" s="46">
        <f t="shared" si="2"/>
        <v>0</v>
      </c>
      <c r="AH9" s="47">
        <v>200</v>
      </c>
      <c r="AI9" s="48">
        <f t="shared" si="3"/>
        <v>0</v>
      </c>
      <c r="AJ9" s="45">
        <f t="shared" si="4"/>
        <v>0</v>
      </c>
      <c r="AK9" s="36">
        <v>2</v>
      </c>
      <c r="AL9" s="46">
        <f t="shared" si="5"/>
        <v>0</v>
      </c>
      <c r="AM9" s="47">
        <v>200</v>
      </c>
      <c r="AN9" s="48">
        <f t="shared" si="6"/>
        <v>0</v>
      </c>
      <c r="AO9" s="47"/>
      <c r="AP9" s="49">
        <f t="shared" si="7"/>
        <v>0</v>
      </c>
    </row>
    <row r="10" spans="1:46" s="1" customFormat="1" ht="15" customHeight="1">
      <c r="A10" s="33">
        <f t="shared" si="0"/>
        <v>7</v>
      </c>
      <c r="B10" s="34" t="s">
        <v>114</v>
      </c>
      <c r="C10" s="35" t="s">
        <v>305</v>
      </c>
      <c r="D10" s="35" t="s">
        <v>306</v>
      </c>
      <c r="E10" s="34" t="s">
        <v>307</v>
      </c>
      <c r="F10" s="34" t="s">
        <v>215</v>
      </c>
      <c r="G10" s="38" t="s">
        <v>768</v>
      </c>
      <c r="H10" s="37">
        <v>28</v>
      </c>
      <c r="I10" s="34">
        <v>35000</v>
      </c>
      <c r="J10" s="34">
        <v>35070</v>
      </c>
      <c r="K10" s="34" t="s">
        <v>120</v>
      </c>
      <c r="L10" s="39">
        <v>45890</v>
      </c>
      <c r="M10" s="40" t="s">
        <v>121</v>
      </c>
      <c r="N10" s="39" t="s">
        <v>122</v>
      </c>
      <c r="O10" s="39">
        <v>45881</v>
      </c>
      <c r="P10" s="39">
        <v>45907</v>
      </c>
      <c r="Q10" s="39">
        <v>45892</v>
      </c>
      <c r="R10" s="39">
        <v>46011</v>
      </c>
      <c r="S10" s="39">
        <v>46013</v>
      </c>
      <c r="T10" s="39">
        <v>46017</v>
      </c>
      <c r="U10" s="39">
        <v>46021</v>
      </c>
      <c r="V10" s="39">
        <v>46032</v>
      </c>
      <c r="W10" s="39"/>
      <c r="X10" s="42"/>
      <c r="Y10" s="42"/>
      <c r="Z10" s="41"/>
      <c r="AA10" s="41"/>
      <c r="AB10" s="41"/>
      <c r="AC10" s="41"/>
      <c r="AD10" s="44" t="s">
        <v>747</v>
      </c>
      <c r="AE10" s="54">
        <f t="shared" si="1"/>
        <v>0</v>
      </c>
      <c r="AF10" s="36">
        <v>7</v>
      </c>
      <c r="AG10" s="51">
        <f t="shared" si="2"/>
        <v>0</v>
      </c>
      <c r="AH10" s="52">
        <v>200</v>
      </c>
      <c r="AI10" s="53">
        <f t="shared" si="3"/>
        <v>0</v>
      </c>
      <c r="AJ10" s="54">
        <f t="shared" si="4"/>
        <v>0</v>
      </c>
      <c r="AK10" s="36">
        <v>2</v>
      </c>
      <c r="AL10" s="51">
        <f t="shared" si="5"/>
        <v>0</v>
      </c>
      <c r="AM10" s="52">
        <v>200</v>
      </c>
      <c r="AN10" s="53">
        <f t="shared" si="6"/>
        <v>0</v>
      </c>
      <c r="AO10" s="52"/>
      <c r="AP10" s="55">
        <f t="shared" si="7"/>
        <v>0</v>
      </c>
    </row>
    <row r="11" spans="1:46" s="1" customFormat="1" ht="15" customHeight="1">
      <c r="A11" s="33">
        <f t="shared" si="0"/>
        <v>8</v>
      </c>
      <c r="B11" s="34" t="s">
        <v>114</v>
      </c>
      <c r="C11" s="75" t="s">
        <v>342</v>
      </c>
      <c r="D11" s="39" t="s">
        <v>343</v>
      </c>
      <c r="E11" s="95" t="s">
        <v>344</v>
      </c>
      <c r="F11" s="34" t="s">
        <v>215</v>
      </c>
      <c r="G11" s="38" t="s">
        <v>768</v>
      </c>
      <c r="H11" s="37">
        <v>28</v>
      </c>
      <c r="I11" s="34">
        <v>35000</v>
      </c>
      <c r="J11" s="34">
        <v>35070</v>
      </c>
      <c r="K11" s="34" t="s">
        <v>120</v>
      </c>
      <c r="L11" s="39">
        <v>45890</v>
      </c>
      <c r="M11" s="40" t="s">
        <v>121</v>
      </c>
      <c r="N11" s="39" t="s">
        <v>122</v>
      </c>
      <c r="O11" s="39">
        <v>45881</v>
      </c>
      <c r="P11" s="39">
        <v>45907</v>
      </c>
      <c r="Q11" s="39">
        <v>45892</v>
      </c>
      <c r="R11" s="39">
        <v>46010</v>
      </c>
      <c r="S11" s="39">
        <v>46011</v>
      </c>
      <c r="T11" s="39">
        <v>46015</v>
      </c>
      <c r="U11" s="39">
        <v>46019</v>
      </c>
      <c r="V11" s="39">
        <v>46034</v>
      </c>
      <c r="W11" s="39"/>
      <c r="X11" s="74"/>
      <c r="Y11" s="74"/>
      <c r="Z11" s="39"/>
      <c r="AA11" s="41"/>
      <c r="AB11" s="41"/>
      <c r="AC11" s="41"/>
      <c r="AD11" s="44" t="s">
        <v>747</v>
      </c>
      <c r="AE11" s="54">
        <f t="shared" si="1"/>
        <v>0</v>
      </c>
      <c r="AF11" s="36">
        <v>7</v>
      </c>
      <c r="AG11" s="51">
        <f t="shared" si="2"/>
        <v>0</v>
      </c>
      <c r="AH11" s="52">
        <v>200</v>
      </c>
      <c r="AI11" s="53">
        <f t="shared" si="3"/>
        <v>0</v>
      </c>
      <c r="AJ11" s="54">
        <f t="shared" si="4"/>
        <v>0</v>
      </c>
      <c r="AK11" s="36">
        <v>2</v>
      </c>
      <c r="AL11" s="51">
        <f t="shared" si="5"/>
        <v>0</v>
      </c>
      <c r="AM11" s="52">
        <v>200</v>
      </c>
      <c r="AN11" s="53">
        <f t="shared" si="6"/>
        <v>0</v>
      </c>
      <c r="AO11" s="52"/>
      <c r="AP11" s="55">
        <f t="shared" si="7"/>
        <v>0</v>
      </c>
    </row>
    <row r="12" spans="1:46" s="1" customFormat="1" ht="15" customHeight="1">
      <c r="A12" s="33">
        <f t="shared" si="0"/>
        <v>9</v>
      </c>
      <c r="B12" s="34" t="s">
        <v>114</v>
      </c>
      <c r="C12" s="35" t="s">
        <v>231</v>
      </c>
      <c r="D12" s="35" t="s">
        <v>232</v>
      </c>
      <c r="E12" s="34" t="s">
        <v>233</v>
      </c>
      <c r="F12" s="34" t="s">
        <v>215</v>
      </c>
      <c r="G12" s="38" t="s">
        <v>784</v>
      </c>
      <c r="H12" s="37">
        <v>28</v>
      </c>
      <c r="I12" s="34">
        <v>35000</v>
      </c>
      <c r="J12" s="34">
        <v>35098</v>
      </c>
      <c r="K12" s="34" t="s">
        <v>120</v>
      </c>
      <c r="L12" s="39">
        <v>45890</v>
      </c>
      <c r="M12" s="40" t="s">
        <v>121</v>
      </c>
      <c r="N12" s="39" t="s">
        <v>122</v>
      </c>
      <c r="O12" s="39">
        <v>45881</v>
      </c>
      <c r="P12" s="39">
        <v>45907</v>
      </c>
      <c r="Q12" s="39">
        <v>45892</v>
      </c>
      <c r="R12" s="39">
        <v>46022</v>
      </c>
      <c r="S12" s="39">
        <v>46387</v>
      </c>
      <c r="T12" s="39">
        <v>46027</v>
      </c>
      <c r="U12" s="39">
        <v>46028</v>
      </c>
      <c r="V12" s="39">
        <v>46032</v>
      </c>
      <c r="W12" s="39">
        <v>46034</v>
      </c>
      <c r="X12" s="39">
        <v>46034</v>
      </c>
      <c r="Y12" s="272"/>
      <c r="Z12" s="271"/>
      <c r="AA12" s="271"/>
      <c r="AB12" s="271"/>
      <c r="AC12" s="271"/>
      <c r="AD12" s="44" t="s">
        <v>747</v>
      </c>
      <c r="AE12" s="45">
        <f t="shared" si="1"/>
        <v>0</v>
      </c>
      <c r="AF12" s="36">
        <v>7</v>
      </c>
      <c r="AG12" s="46">
        <f t="shared" si="2"/>
        <v>0</v>
      </c>
      <c r="AH12" s="47">
        <v>200</v>
      </c>
      <c r="AI12" s="48">
        <f t="shared" si="3"/>
        <v>0</v>
      </c>
      <c r="AJ12" s="45">
        <f t="shared" si="4"/>
        <v>0</v>
      </c>
      <c r="AK12" s="36">
        <v>2</v>
      </c>
      <c r="AL12" s="46">
        <f t="shared" si="5"/>
        <v>0</v>
      </c>
      <c r="AM12" s="47">
        <v>200</v>
      </c>
      <c r="AN12" s="48">
        <f t="shared" si="6"/>
        <v>0</v>
      </c>
      <c r="AO12" s="47"/>
      <c r="AP12" s="49">
        <f t="shared" si="7"/>
        <v>0</v>
      </c>
    </row>
    <row r="13" spans="1:46" s="1" customFormat="1" ht="14.25" customHeight="1">
      <c r="A13" s="33">
        <f t="shared" si="0"/>
        <v>10</v>
      </c>
      <c r="B13" s="34" t="s">
        <v>114</v>
      </c>
      <c r="C13" s="64" t="s">
        <v>219</v>
      </c>
      <c r="D13" s="34" t="s">
        <v>220</v>
      </c>
      <c r="E13" s="34" t="s">
        <v>221</v>
      </c>
      <c r="F13" s="34" t="s">
        <v>215</v>
      </c>
      <c r="G13" s="38" t="s">
        <v>784</v>
      </c>
      <c r="H13" s="37">
        <v>29</v>
      </c>
      <c r="I13" s="34">
        <v>36250</v>
      </c>
      <c r="J13" s="34">
        <v>36352</v>
      </c>
      <c r="K13" s="34" t="s">
        <v>120</v>
      </c>
      <c r="L13" s="39">
        <v>45890</v>
      </c>
      <c r="M13" s="40" t="s">
        <v>121</v>
      </c>
      <c r="N13" s="39" t="s">
        <v>122</v>
      </c>
      <c r="O13" s="39">
        <v>45881</v>
      </c>
      <c r="P13" s="39">
        <v>45907</v>
      </c>
      <c r="Q13" s="39">
        <v>45892</v>
      </c>
      <c r="R13" s="39">
        <v>46022</v>
      </c>
      <c r="S13" s="39">
        <v>46387</v>
      </c>
      <c r="T13" s="39">
        <v>46026</v>
      </c>
      <c r="U13" s="39">
        <v>46028</v>
      </c>
      <c r="V13" s="39">
        <v>46032</v>
      </c>
      <c r="W13" s="39">
        <v>46037</v>
      </c>
      <c r="X13" s="39">
        <v>46037</v>
      </c>
      <c r="Y13" s="42"/>
      <c r="Z13" s="41"/>
      <c r="AA13" s="41"/>
      <c r="AB13" s="41"/>
      <c r="AC13" s="41"/>
      <c r="AD13" s="44" t="s">
        <v>747</v>
      </c>
      <c r="AE13" s="45">
        <f t="shared" si="1"/>
        <v>0</v>
      </c>
      <c r="AF13" s="36">
        <v>7</v>
      </c>
      <c r="AG13" s="46">
        <f t="shared" si="2"/>
        <v>0</v>
      </c>
      <c r="AH13" s="47">
        <v>200</v>
      </c>
      <c r="AI13" s="48">
        <f t="shared" si="3"/>
        <v>0</v>
      </c>
      <c r="AJ13" s="45">
        <f t="shared" si="4"/>
        <v>0</v>
      </c>
      <c r="AK13" s="36">
        <v>2</v>
      </c>
      <c r="AL13" s="46">
        <f t="shared" si="5"/>
        <v>0</v>
      </c>
      <c r="AM13" s="47">
        <v>200</v>
      </c>
      <c r="AN13" s="48">
        <f t="shared" si="6"/>
        <v>0</v>
      </c>
      <c r="AO13" s="47"/>
      <c r="AP13" s="49">
        <f t="shared" si="7"/>
        <v>0</v>
      </c>
    </row>
    <row r="14" spans="1:46" s="1" customFormat="1" ht="14.25" customHeight="1">
      <c r="A14" s="33">
        <f t="shared" si="0"/>
        <v>11</v>
      </c>
      <c r="B14" s="34" t="s">
        <v>114</v>
      </c>
      <c r="C14" s="35" t="s">
        <v>222</v>
      </c>
      <c r="D14" s="35" t="s">
        <v>223</v>
      </c>
      <c r="E14" s="33" t="s">
        <v>224</v>
      </c>
      <c r="F14" s="34" t="s">
        <v>215</v>
      </c>
      <c r="G14" s="38" t="s">
        <v>815</v>
      </c>
      <c r="H14" s="37">
        <v>28</v>
      </c>
      <c r="I14" s="34">
        <v>35000</v>
      </c>
      <c r="J14" s="34">
        <v>35098</v>
      </c>
      <c r="K14" s="34" t="s">
        <v>120</v>
      </c>
      <c r="L14" s="39">
        <v>45890</v>
      </c>
      <c r="M14" s="40" t="s">
        <v>121</v>
      </c>
      <c r="N14" s="39" t="s">
        <v>122</v>
      </c>
      <c r="O14" s="39">
        <v>45881</v>
      </c>
      <c r="P14" s="39">
        <v>45907</v>
      </c>
      <c r="Q14" s="39">
        <v>45892</v>
      </c>
      <c r="R14" s="39">
        <v>46022</v>
      </c>
      <c r="S14" s="39">
        <v>46387</v>
      </c>
      <c r="T14" s="39">
        <v>46028</v>
      </c>
      <c r="U14" s="39">
        <v>46028</v>
      </c>
      <c r="V14" s="39">
        <v>46032</v>
      </c>
      <c r="W14" s="39">
        <v>46037</v>
      </c>
      <c r="X14" s="39">
        <v>46037</v>
      </c>
      <c r="Y14" s="42"/>
      <c r="Z14" s="41"/>
      <c r="AA14" s="41"/>
      <c r="AB14" s="41"/>
      <c r="AC14" s="41"/>
      <c r="AD14" s="44" t="s">
        <v>747</v>
      </c>
      <c r="AE14" s="50">
        <f t="shared" si="1"/>
        <v>0</v>
      </c>
      <c r="AF14" s="36">
        <v>7</v>
      </c>
      <c r="AG14" s="51">
        <f t="shared" si="2"/>
        <v>0</v>
      </c>
      <c r="AH14" s="52">
        <v>200</v>
      </c>
      <c r="AI14" s="53">
        <f t="shared" si="3"/>
        <v>0</v>
      </c>
      <c r="AJ14" s="54">
        <f t="shared" si="4"/>
        <v>0</v>
      </c>
      <c r="AK14" s="36">
        <v>2</v>
      </c>
      <c r="AL14" s="51">
        <f t="shared" si="5"/>
        <v>0</v>
      </c>
      <c r="AM14" s="52">
        <v>200</v>
      </c>
      <c r="AN14" s="53">
        <f t="shared" si="6"/>
        <v>0</v>
      </c>
      <c r="AO14" s="52"/>
      <c r="AP14" s="55">
        <f t="shared" si="7"/>
        <v>0</v>
      </c>
    </row>
    <row r="15" spans="1:46" s="1" customFormat="1" ht="15" customHeight="1">
      <c r="A15" s="33">
        <f t="shared" si="0"/>
        <v>12</v>
      </c>
      <c r="B15" s="34" t="s">
        <v>114</v>
      </c>
      <c r="C15" s="35" t="s">
        <v>216</v>
      </c>
      <c r="D15" s="35" t="s">
        <v>217</v>
      </c>
      <c r="E15" s="33" t="s">
        <v>218</v>
      </c>
      <c r="F15" s="34" t="s">
        <v>215</v>
      </c>
      <c r="G15" s="38" t="s">
        <v>784</v>
      </c>
      <c r="H15" s="37">
        <v>27</v>
      </c>
      <c r="I15" s="34">
        <v>33750</v>
      </c>
      <c r="J15" s="34">
        <v>33845</v>
      </c>
      <c r="K15" s="34" t="s">
        <v>120</v>
      </c>
      <c r="L15" s="39">
        <v>45890</v>
      </c>
      <c r="M15" s="40" t="s">
        <v>121</v>
      </c>
      <c r="N15" s="39" t="s">
        <v>122</v>
      </c>
      <c r="O15" s="39">
        <v>45881</v>
      </c>
      <c r="P15" s="39">
        <v>45907</v>
      </c>
      <c r="Q15" s="39">
        <v>45892</v>
      </c>
      <c r="R15" s="39">
        <v>46022</v>
      </c>
      <c r="S15" s="39">
        <v>46387</v>
      </c>
      <c r="T15" s="39">
        <v>46026</v>
      </c>
      <c r="U15" s="39">
        <v>46028</v>
      </c>
      <c r="V15" s="39">
        <v>46032</v>
      </c>
      <c r="W15" s="39">
        <v>46034</v>
      </c>
      <c r="X15" s="39">
        <v>46034</v>
      </c>
      <c r="Y15" s="42"/>
      <c r="Z15" s="41"/>
      <c r="AA15" s="41"/>
      <c r="AB15" s="41"/>
      <c r="AC15" s="41"/>
      <c r="AD15" s="44" t="s">
        <v>747</v>
      </c>
      <c r="AE15" s="50">
        <f t="shared" si="1"/>
        <v>0</v>
      </c>
      <c r="AF15" s="36">
        <v>7</v>
      </c>
      <c r="AG15" s="51">
        <f t="shared" si="2"/>
        <v>0</v>
      </c>
      <c r="AH15" s="52">
        <v>200</v>
      </c>
      <c r="AI15" s="53">
        <f t="shared" si="3"/>
        <v>0</v>
      </c>
      <c r="AJ15" s="54">
        <f t="shared" si="4"/>
        <v>0</v>
      </c>
      <c r="AK15" s="36">
        <v>2</v>
      </c>
      <c r="AL15" s="51">
        <f t="shared" si="5"/>
        <v>0</v>
      </c>
      <c r="AM15" s="52">
        <v>200</v>
      </c>
      <c r="AN15" s="53">
        <f t="shared" si="6"/>
        <v>0</v>
      </c>
      <c r="AO15" s="52"/>
      <c r="AP15" s="55">
        <f t="shared" si="7"/>
        <v>0</v>
      </c>
    </row>
    <row r="16" spans="1:46" s="1" customFormat="1" ht="15" customHeight="1">
      <c r="A16" s="33">
        <f t="shared" si="0"/>
        <v>13</v>
      </c>
      <c r="B16" s="34" t="s">
        <v>114</v>
      </c>
      <c r="C16" s="39" t="s">
        <v>240</v>
      </c>
      <c r="D16" s="39" t="s">
        <v>241</v>
      </c>
      <c r="E16" s="33" t="s">
        <v>242</v>
      </c>
      <c r="F16" s="34" t="s">
        <v>215</v>
      </c>
      <c r="G16" s="38" t="s">
        <v>784</v>
      </c>
      <c r="H16" s="37">
        <v>28</v>
      </c>
      <c r="I16" s="34">
        <v>35000</v>
      </c>
      <c r="J16" s="34">
        <v>35098</v>
      </c>
      <c r="K16" s="34" t="s">
        <v>120</v>
      </c>
      <c r="L16" s="39">
        <v>45890</v>
      </c>
      <c r="M16" s="40" t="s">
        <v>121</v>
      </c>
      <c r="N16" s="39" t="s">
        <v>122</v>
      </c>
      <c r="O16" s="39">
        <v>45881</v>
      </c>
      <c r="P16" s="39">
        <v>45907</v>
      </c>
      <c r="Q16" s="39">
        <v>45892</v>
      </c>
      <c r="R16" s="39">
        <v>46022</v>
      </c>
      <c r="S16" s="39">
        <v>46387</v>
      </c>
      <c r="T16" s="39">
        <v>46026</v>
      </c>
      <c r="U16" s="39">
        <v>46029</v>
      </c>
      <c r="V16" s="39">
        <v>46033</v>
      </c>
      <c r="W16" s="39">
        <v>46035</v>
      </c>
      <c r="X16" s="39">
        <v>46035</v>
      </c>
      <c r="Y16" s="42"/>
      <c r="Z16" s="41"/>
      <c r="AA16" s="41"/>
      <c r="AB16" s="41"/>
      <c r="AC16" s="41"/>
      <c r="AD16" s="44" t="s">
        <v>747</v>
      </c>
      <c r="AE16" s="50">
        <f t="shared" si="1"/>
        <v>0</v>
      </c>
      <c r="AF16" s="36">
        <v>7</v>
      </c>
      <c r="AG16" s="51">
        <f t="shared" si="2"/>
        <v>0</v>
      </c>
      <c r="AH16" s="52">
        <v>200</v>
      </c>
      <c r="AI16" s="53">
        <f t="shared" si="3"/>
        <v>0</v>
      </c>
      <c r="AJ16" s="54">
        <f t="shared" si="4"/>
        <v>0</v>
      </c>
      <c r="AK16" s="36">
        <v>2</v>
      </c>
      <c r="AL16" s="51">
        <f t="shared" si="5"/>
        <v>0</v>
      </c>
      <c r="AM16" s="52">
        <v>200</v>
      </c>
      <c r="AN16" s="53">
        <f t="shared" si="6"/>
        <v>0</v>
      </c>
      <c r="AO16" s="52"/>
      <c r="AP16" s="55">
        <f t="shared" si="7"/>
        <v>0</v>
      </c>
    </row>
    <row r="17" spans="1:42" s="1" customFormat="1" ht="15" customHeight="1">
      <c r="A17" s="33">
        <f t="shared" si="0"/>
        <v>14</v>
      </c>
      <c r="B17" s="34" t="s">
        <v>114</v>
      </c>
      <c r="C17" s="35" t="s">
        <v>225</v>
      </c>
      <c r="D17" s="35" t="s">
        <v>226</v>
      </c>
      <c r="E17" s="34" t="s">
        <v>227</v>
      </c>
      <c r="F17" s="34" t="s">
        <v>215</v>
      </c>
      <c r="G17" s="38" t="s">
        <v>784</v>
      </c>
      <c r="H17" s="37">
        <v>28</v>
      </c>
      <c r="I17" s="34">
        <v>35000</v>
      </c>
      <c r="J17" s="34">
        <v>35098</v>
      </c>
      <c r="K17" s="34" t="s">
        <v>120</v>
      </c>
      <c r="L17" s="39">
        <v>45890</v>
      </c>
      <c r="M17" s="40" t="s">
        <v>121</v>
      </c>
      <c r="N17" s="39" t="s">
        <v>122</v>
      </c>
      <c r="O17" s="39">
        <v>45881</v>
      </c>
      <c r="P17" s="39">
        <v>45907</v>
      </c>
      <c r="Q17" s="39">
        <v>45892</v>
      </c>
      <c r="R17" s="39">
        <v>46022</v>
      </c>
      <c r="S17" s="39">
        <v>46387</v>
      </c>
      <c r="T17" s="39">
        <v>46026</v>
      </c>
      <c r="U17" s="39">
        <v>46027</v>
      </c>
      <c r="V17" s="39">
        <v>46031</v>
      </c>
      <c r="W17" s="39">
        <v>46034</v>
      </c>
      <c r="X17" s="39">
        <v>46034</v>
      </c>
      <c r="Y17" s="272"/>
      <c r="Z17" s="271"/>
      <c r="AA17" s="271"/>
      <c r="AB17" s="271"/>
      <c r="AC17" s="271"/>
      <c r="AD17" s="44" t="s">
        <v>747</v>
      </c>
      <c r="AE17" s="45">
        <f t="shared" si="1"/>
        <v>0</v>
      </c>
      <c r="AF17" s="36">
        <v>7</v>
      </c>
      <c r="AG17" s="46">
        <f t="shared" si="2"/>
        <v>0</v>
      </c>
      <c r="AH17" s="47">
        <v>200</v>
      </c>
      <c r="AI17" s="48">
        <f t="shared" si="3"/>
        <v>0</v>
      </c>
      <c r="AJ17" s="45">
        <f t="shared" si="4"/>
        <v>0</v>
      </c>
      <c r="AK17" s="36">
        <v>2</v>
      </c>
      <c r="AL17" s="46">
        <f t="shared" si="5"/>
        <v>0</v>
      </c>
      <c r="AM17" s="47">
        <v>200</v>
      </c>
      <c r="AN17" s="48">
        <f t="shared" si="6"/>
        <v>0</v>
      </c>
      <c r="AO17" s="47"/>
      <c r="AP17" s="49">
        <f t="shared" si="7"/>
        <v>0</v>
      </c>
    </row>
    <row r="18" spans="1:42" s="1" customFormat="1" ht="15" customHeight="1">
      <c r="A18" s="33">
        <f t="shared" si="0"/>
        <v>15</v>
      </c>
      <c r="B18" s="34" t="s">
        <v>114</v>
      </c>
      <c r="C18" s="35" t="s">
        <v>228</v>
      </c>
      <c r="D18" s="35" t="s">
        <v>229</v>
      </c>
      <c r="E18" s="34" t="s">
        <v>230</v>
      </c>
      <c r="F18" s="34" t="s">
        <v>215</v>
      </c>
      <c r="G18" s="38" t="s">
        <v>784</v>
      </c>
      <c r="H18" s="37">
        <v>29</v>
      </c>
      <c r="I18" s="34">
        <v>36250</v>
      </c>
      <c r="J18" s="34">
        <v>36352</v>
      </c>
      <c r="K18" s="34" t="s">
        <v>120</v>
      </c>
      <c r="L18" s="39">
        <v>45890</v>
      </c>
      <c r="M18" s="40" t="s">
        <v>121</v>
      </c>
      <c r="N18" s="39" t="s">
        <v>122</v>
      </c>
      <c r="O18" s="39">
        <v>45881</v>
      </c>
      <c r="P18" s="39">
        <v>45907</v>
      </c>
      <c r="Q18" s="39">
        <v>45892</v>
      </c>
      <c r="R18" s="39">
        <v>46022</v>
      </c>
      <c r="S18" s="39">
        <v>46387</v>
      </c>
      <c r="T18" s="39">
        <v>46028</v>
      </c>
      <c r="U18" s="39">
        <v>46028</v>
      </c>
      <c r="V18" s="39">
        <v>46032</v>
      </c>
      <c r="W18" s="39">
        <v>46035</v>
      </c>
      <c r="X18" s="39">
        <v>46035</v>
      </c>
      <c r="Y18" s="272"/>
      <c r="Z18" s="271"/>
      <c r="AA18" s="271"/>
      <c r="AB18" s="271"/>
      <c r="AC18" s="271"/>
      <c r="AD18" s="44" t="s">
        <v>747</v>
      </c>
      <c r="AE18" s="50">
        <f t="shared" si="1"/>
        <v>0</v>
      </c>
      <c r="AF18" s="36">
        <v>7</v>
      </c>
      <c r="AG18" s="51">
        <f t="shared" si="2"/>
        <v>0</v>
      </c>
      <c r="AH18" s="52">
        <v>200</v>
      </c>
      <c r="AI18" s="53">
        <f t="shared" si="3"/>
        <v>0</v>
      </c>
      <c r="AJ18" s="54">
        <f t="shared" si="4"/>
        <v>0</v>
      </c>
      <c r="AK18" s="36">
        <v>2</v>
      </c>
      <c r="AL18" s="51">
        <f t="shared" si="5"/>
        <v>0</v>
      </c>
      <c r="AM18" s="52">
        <v>200</v>
      </c>
      <c r="AN18" s="53">
        <f t="shared" si="6"/>
        <v>0</v>
      </c>
      <c r="AO18" s="52"/>
      <c r="AP18" s="55">
        <f t="shared" si="7"/>
        <v>0</v>
      </c>
    </row>
    <row r="19" spans="1:42" s="68" customFormat="1" ht="15" customHeight="1">
      <c r="A19" s="112">
        <f t="shared" si="0"/>
        <v>16</v>
      </c>
      <c r="B19" s="111" t="s">
        <v>114</v>
      </c>
      <c r="C19" s="113" t="s">
        <v>391</v>
      </c>
      <c r="D19" s="113" t="s">
        <v>392</v>
      </c>
      <c r="E19" s="111" t="s">
        <v>393</v>
      </c>
      <c r="F19" s="111" t="s">
        <v>215</v>
      </c>
      <c r="G19" s="256" t="s">
        <v>785</v>
      </c>
      <c r="H19" s="256">
        <v>28</v>
      </c>
      <c r="I19" s="111">
        <v>35000</v>
      </c>
      <c r="J19" s="111">
        <v>35070</v>
      </c>
      <c r="K19" s="111" t="s">
        <v>120</v>
      </c>
      <c r="L19" s="171">
        <v>45890</v>
      </c>
      <c r="M19" s="257" t="s">
        <v>121</v>
      </c>
      <c r="N19" s="171" t="s">
        <v>122</v>
      </c>
      <c r="O19" s="171">
        <v>45881</v>
      </c>
      <c r="P19" s="171">
        <v>45907</v>
      </c>
      <c r="Q19" s="171">
        <v>45892</v>
      </c>
      <c r="R19" s="171">
        <v>46004</v>
      </c>
      <c r="S19" s="171">
        <v>46005</v>
      </c>
      <c r="T19" s="171">
        <v>46013</v>
      </c>
      <c r="U19" s="171">
        <v>46014</v>
      </c>
      <c r="V19" s="171">
        <v>46029</v>
      </c>
      <c r="W19" s="171">
        <v>46033</v>
      </c>
      <c r="X19" s="171">
        <v>46033</v>
      </c>
      <c r="Y19" s="171">
        <v>46034</v>
      </c>
      <c r="Z19" s="171">
        <v>46034</v>
      </c>
      <c r="AA19" s="171">
        <v>46035</v>
      </c>
      <c r="AB19" s="171">
        <v>46035</v>
      </c>
      <c r="AC19" s="171">
        <v>46036</v>
      </c>
      <c r="AD19" s="273" t="s">
        <v>641</v>
      </c>
      <c r="AE19" s="45">
        <f t="shared" si="1"/>
        <v>1</v>
      </c>
      <c r="AF19" s="36">
        <v>7</v>
      </c>
      <c r="AG19" s="46">
        <f t="shared" si="2"/>
        <v>0</v>
      </c>
      <c r="AH19" s="47">
        <v>200</v>
      </c>
      <c r="AI19" s="48">
        <f t="shared" si="3"/>
        <v>0</v>
      </c>
      <c r="AJ19" s="45">
        <f t="shared" si="4"/>
        <v>1</v>
      </c>
      <c r="AK19" s="36">
        <v>2</v>
      </c>
      <c r="AL19" s="46">
        <f t="shared" si="5"/>
        <v>0</v>
      </c>
      <c r="AM19" s="47">
        <v>200</v>
      </c>
      <c r="AN19" s="48">
        <f t="shared" si="6"/>
        <v>0</v>
      </c>
      <c r="AO19" s="47"/>
      <c r="AP19" s="49">
        <f t="shared" si="7"/>
        <v>0</v>
      </c>
    </row>
    <row r="20" spans="1:42" s="1" customFormat="1" ht="15" customHeight="1">
      <c r="A20" s="112">
        <f t="shared" si="0"/>
        <v>17</v>
      </c>
      <c r="B20" s="111" t="s">
        <v>114</v>
      </c>
      <c r="C20" s="113" t="s">
        <v>330</v>
      </c>
      <c r="D20" s="113" t="s">
        <v>331</v>
      </c>
      <c r="E20" s="111" t="s">
        <v>332</v>
      </c>
      <c r="F20" s="111" t="s">
        <v>215</v>
      </c>
      <c r="G20" s="256" t="s">
        <v>785</v>
      </c>
      <c r="H20" s="256">
        <v>24</v>
      </c>
      <c r="I20" s="112">
        <v>30000</v>
      </c>
      <c r="J20" s="274">
        <v>30084</v>
      </c>
      <c r="K20" s="111" t="s">
        <v>120</v>
      </c>
      <c r="L20" s="171">
        <v>45890</v>
      </c>
      <c r="M20" s="257" t="s">
        <v>121</v>
      </c>
      <c r="N20" s="171" t="s">
        <v>122</v>
      </c>
      <c r="O20" s="171">
        <v>45881</v>
      </c>
      <c r="P20" s="171">
        <v>45907</v>
      </c>
      <c r="Q20" s="171">
        <v>45892</v>
      </c>
      <c r="R20" s="171">
        <v>46010</v>
      </c>
      <c r="S20" s="171">
        <v>46011</v>
      </c>
      <c r="T20" s="171">
        <v>46015</v>
      </c>
      <c r="U20" s="171">
        <v>46020</v>
      </c>
      <c r="V20" s="171">
        <v>46023</v>
      </c>
      <c r="W20" s="171">
        <v>46030</v>
      </c>
      <c r="X20" s="171">
        <v>46030</v>
      </c>
      <c r="Y20" s="171">
        <v>46031</v>
      </c>
      <c r="Z20" s="171">
        <v>46032</v>
      </c>
      <c r="AA20" s="171">
        <v>46032</v>
      </c>
      <c r="AB20" s="171">
        <v>46032</v>
      </c>
      <c r="AC20" s="171">
        <v>46034</v>
      </c>
      <c r="AD20" s="273" t="s">
        <v>641</v>
      </c>
      <c r="AE20" s="54">
        <f t="shared" si="1"/>
        <v>1</v>
      </c>
      <c r="AF20" s="36">
        <v>7</v>
      </c>
      <c r="AG20" s="51">
        <f t="shared" si="2"/>
        <v>0</v>
      </c>
      <c r="AH20" s="52">
        <v>200</v>
      </c>
      <c r="AI20" s="53">
        <f t="shared" si="3"/>
        <v>0</v>
      </c>
      <c r="AJ20" s="54">
        <f t="shared" si="4"/>
        <v>2</v>
      </c>
      <c r="AK20" s="36">
        <v>2</v>
      </c>
      <c r="AL20" s="51">
        <f t="shared" si="5"/>
        <v>0</v>
      </c>
      <c r="AM20" s="52">
        <v>200</v>
      </c>
      <c r="AN20" s="53">
        <f t="shared" si="6"/>
        <v>0</v>
      </c>
      <c r="AO20" s="52"/>
      <c r="AP20" s="55">
        <f t="shared" si="7"/>
        <v>0</v>
      </c>
    </row>
    <row r="21" spans="1:42" s="1" customFormat="1" ht="15" customHeight="1">
      <c r="A21" s="112">
        <f t="shared" si="0"/>
        <v>18</v>
      </c>
      <c r="B21" s="111" t="s">
        <v>114</v>
      </c>
      <c r="C21" s="113" t="s">
        <v>326</v>
      </c>
      <c r="D21" s="113" t="s">
        <v>327</v>
      </c>
      <c r="E21" s="111" t="s">
        <v>328</v>
      </c>
      <c r="F21" s="111" t="s">
        <v>215</v>
      </c>
      <c r="G21" s="256" t="s">
        <v>785</v>
      </c>
      <c r="H21" s="256">
        <v>25</v>
      </c>
      <c r="I21" s="111">
        <v>31250</v>
      </c>
      <c r="J21" s="111">
        <v>31338</v>
      </c>
      <c r="K21" s="111" t="s">
        <v>120</v>
      </c>
      <c r="L21" s="171">
        <v>45890</v>
      </c>
      <c r="M21" s="257" t="s">
        <v>121</v>
      </c>
      <c r="N21" s="171" t="s">
        <v>122</v>
      </c>
      <c r="O21" s="171">
        <v>45881</v>
      </c>
      <c r="P21" s="171">
        <v>45907</v>
      </c>
      <c r="Q21" s="171">
        <v>45892</v>
      </c>
      <c r="R21" s="171">
        <v>46010</v>
      </c>
      <c r="S21" s="171">
        <v>46011</v>
      </c>
      <c r="T21" s="171">
        <v>46015</v>
      </c>
      <c r="U21" s="171">
        <v>46023</v>
      </c>
      <c r="V21" s="171">
        <v>46029</v>
      </c>
      <c r="W21" s="171">
        <v>46031</v>
      </c>
      <c r="X21" s="171">
        <v>46031</v>
      </c>
      <c r="Y21" s="171">
        <v>46031</v>
      </c>
      <c r="Z21" s="171">
        <v>46032</v>
      </c>
      <c r="AA21" s="171">
        <v>46032</v>
      </c>
      <c r="AB21" s="171">
        <v>46032</v>
      </c>
      <c r="AC21" s="171">
        <v>46034</v>
      </c>
      <c r="AD21" s="273" t="s">
        <v>641</v>
      </c>
      <c r="AE21" s="45">
        <f t="shared" si="1"/>
        <v>0</v>
      </c>
      <c r="AF21" s="36">
        <v>7</v>
      </c>
      <c r="AG21" s="46">
        <f t="shared" si="2"/>
        <v>0</v>
      </c>
      <c r="AH21" s="47">
        <v>200</v>
      </c>
      <c r="AI21" s="48">
        <f t="shared" si="3"/>
        <v>0</v>
      </c>
      <c r="AJ21" s="45">
        <f t="shared" si="4"/>
        <v>2</v>
      </c>
      <c r="AK21" s="36">
        <v>2</v>
      </c>
      <c r="AL21" s="46">
        <f t="shared" si="5"/>
        <v>0</v>
      </c>
      <c r="AM21" s="47">
        <v>200</v>
      </c>
      <c r="AN21" s="48">
        <f t="shared" si="6"/>
        <v>0</v>
      </c>
      <c r="AO21" s="47"/>
      <c r="AP21" s="49">
        <f t="shared" si="7"/>
        <v>0</v>
      </c>
    </row>
    <row r="22" spans="1:42" s="1" customFormat="1" ht="15" customHeight="1">
      <c r="A22" s="112">
        <f t="shared" si="0"/>
        <v>19</v>
      </c>
      <c r="B22" s="111" t="s">
        <v>114</v>
      </c>
      <c r="C22" s="174" t="s">
        <v>348</v>
      </c>
      <c r="D22" s="111" t="s">
        <v>349</v>
      </c>
      <c r="E22" s="111" t="s">
        <v>350</v>
      </c>
      <c r="F22" s="111" t="s">
        <v>215</v>
      </c>
      <c r="G22" s="256" t="s">
        <v>785</v>
      </c>
      <c r="H22" s="256">
        <v>24</v>
      </c>
      <c r="I22" s="111">
        <v>31250</v>
      </c>
      <c r="J22" s="111">
        <v>31338</v>
      </c>
      <c r="K22" s="111" t="s">
        <v>120</v>
      </c>
      <c r="L22" s="171">
        <v>45890</v>
      </c>
      <c r="M22" s="257" t="s">
        <v>121</v>
      </c>
      <c r="N22" s="171" t="s">
        <v>122</v>
      </c>
      <c r="O22" s="171">
        <v>45881</v>
      </c>
      <c r="P22" s="171">
        <v>45907</v>
      </c>
      <c r="Q22" s="171">
        <v>45892</v>
      </c>
      <c r="R22" s="171">
        <v>46010</v>
      </c>
      <c r="S22" s="171">
        <v>46011</v>
      </c>
      <c r="T22" s="171">
        <v>46017</v>
      </c>
      <c r="U22" s="171">
        <v>46023</v>
      </c>
      <c r="V22" s="171">
        <v>46029</v>
      </c>
      <c r="W22" s="171">
        <v>46030</v>
      </c>
      <c r="X22" s="171">
        <v>46030</v>
      </c>
      <c r="Y22" s="171">
        <v>46031</v>
      </c>
      <c r="Z22" s="171">
        <v>46032</v>
      </c>
      <c r="AA22" s="171">
        <v>46032</v>
      </c>
      <c r="AB22" s="171">
        <v>46032</v>
      </c>
      <c r="AC22" s="171">
        <v>46034</v>
      </c>
      <c r="AD22" s="273" t="s">
        <v>641</v>
      </c>
      <c r="AE22" s="54">
        <f t="shared" si="1"/>
        <v>1</v>
      </c>
      <c r="AF22" s="36">
        <v>7</v>
      </c>
      <c r="AG22" s="51">
        <f t="shared" si="2"/>
        <v>0</v>
      </c>
      <c r="AH22" s="52">
        <v>200</v>
      </c>
      <c r="AI22" s="53">
        <f t="shared" si="3"/>
        <v>0</v>
      </c>
      <c r="AJ22" s="54">
        <f t="shared" si="4"/>
        <v>2</v>
      </c>
      <c r="AK22" s="36">
        <v>2</v>
      </c>
      <c r="AL22" s="51">
        <f t="shared" si="5"/>
        <v>0</v>
      </c>
      <c r="AM22" s="52">
        <v>200</v>
      </c>
      <c r="AN22" s="53">
        <f t="shared" si="6"/>
        <v>0</v>
      </c>
      <c r="AO22" s="52"/>
      <c r="AP22" s="55">
        <f t="shared" si="7"/>
        <v>0</v>
      </c>
    </row>
    <row r="23" spans="1:42" s="1" customFormat="1" ht="15" customHeight="1">
      <c r="A23" s="112">
        <f t="shared" si="0"/>
        <v>20</v>
      </c>
      <c r="B23" s="111" t="s">
        <v>114</v>
      </c>
      <c r="C23" s="174" t="s">
        <v>345</v>
      </c>
      <c r="D23" s="113" t="s">
        <v>346</v>
      </c>
      <c r="E23" s="113" t="s">
        <v>347</v>
      </c>
      <c r="F23" s="111" t="s">
        <v>215</v>
      </c>
      <c r="G23" s="256" t="s">
        <v>785</v>
      </c>
      <c r="H23" s="256">
        <v>24</v>
      </c>
      <c r="I23" s="112">
        <v>30000</v>
      </c>
      <c r="J23" s="274">
        <v>30084</v>
      </c>
      <c r="K23" s="111" t="s">
        <v>120</v>
      </c>
      <c r="L23" s="171">
        <v>45890</v>
      </c>
      <c r="M23" s="257" t="s">
        <v>121</v>
      </c>
      <c r="N23" s="171" t="s">
        <v>122</v>
      </c>
      <c r="O23" s="171">
        <v>45881</v>
      </c>
      <c r="P23" s="171">
        <v>45907</v>
      </c>
      <c r="Q23" s="171">
        <v>45892</v>
      </c>
      <c r="R23" s="171">
        <v>46010</v>
      </c>
      <c r="S23" s="171">
        <v>46011</v>
      </c>
      <c r="T23" s="171">
        <v>46017</v>
      </c>
      <c r="U23" s="171">
        <v>46023</v>
      </c>
      <c r="V23" s="171">
        <v>46029</v>
      </c>
      <c r="W23" s="171">
        <v>46029</v>
      </c>
      <c r="X23" s="171">
        <v>46030</v>
      </c>
      <c r="Y23" s="171">
        <v>46031</v>
      </c>
      <c r="Z23" s="171">
        <v>46032</v>
      </c>
      <c r="AA23" s="171">
        <v>46032</v>
      </c>
      <c r="AB23" s="171">
        <v>46032</v>
      </c>
      <c r="AC23" s="171">
        <v>46034</v>
      </c>
      <c r="AD23" s="273" t="s">
        <v>641</v>
      </c>
      <c r="AE23" s="45">
        <f t="shared" si="1"/>
        <v>1</v>
      </c>
      <c r="AF23" s="36">
        <v>7</v>
      </c>
      <c r="AG23" s="46">
        <f t="shared" si="2"/>
        <v>0</v>
      </c>
      <c r="AH23" s="47">
        <v>200</v>
      </c>
      <c r="AI23" s="48">
        <f t="shared" si="3"/>
        <v>0</v>
      </c>
      <c r="AJ23" s="45">
        <f t="shared" si="4"/>
        <v>2</v>
      </c>
      <c r="AK23" s="36">
        <v>2</v>
      </c>
      <c r="AL23" s="46">
        <f t="shared" si="5"/>
        <v>0</v>
      </c>
      <c r="AM23" s="47">
        <v>200</v>
      </c>
      <c r="AN23" s="48">
        <f t="shared" si="6"/>
        <v>0</v>
      </c>
      <c r="AO23" s="47"/>
      <c r="AP23" s="49">
        <f t="shared" si="7"/>
        <v>0</v>
      </c>
    </row>
    <row r="24" spans="1:42" s="1" customFormat="1" ht="15" customHeight="1">
      <c r="A24" s="112">
        <f t="shared" si="0"/>
        <v>21</v>
      </c>
      <c r="B24" s="111" t="s">
        <v>114</v>
      </c>
      <c r="C24" s="113" t="s">
        <v>351</v>
      </c>
      <c r="D24" s="113" t="s">
        <v>352</v>
      </c>
      <c r="E24" s="111" t="s">
        <v>353</v>
      </c>
      <c r="F24" s="111" t="s">
        <v>215</v>
      </c>
      <c r="G24" s="256" t="s">
        <v>785</v>
      </c>
      <c r="H24" s="256">
        <v>28</v>
      </c>
      <c r="I24" s="111">
        <v>35000</v>
      </c>
      <c r="J24" s="111">
        <v>35070</v>
      </c>
      <c r="K24" s="111" t="s">
        <v>120</v>
      </c>
      <c r="L24" s="171">
        <v>45890</v>
      </c>
      <c r="M24" s="257" t="s">
        <v>121</v>
      </c>
      <c r="N24" s="171" t="s">
        <v>122</v>
      </c>
      <c r="O24" s="171">
        <v>45881</v>
      </c>
      <c r="P24" s="171">
        <v>45907</v>
      </c>
      <c r="Q24" s="171">
        <v>45892</v>
      </c>
      <c r="R24" s="171">
        <v>46010</v>
      </c>
      <c r="S24" s="171">
        <v>46011</v>
      </c>
      <c r="T24" s="171">
        <v>46015</v>
      </c>
      <c r="U24" s="171">
        <v>46020</v>
      </c>
      <c r="V24" s="171">
        <v>46023</v>
      </c>
      <c r="W24" s="171">
        <v>46030</v>
      </c>
      <c r="X24" s="171">
        <v>46030</v>
      </c>
      <c r="Y24" s="171">
        <v>46031</v>
      </c>
      <c r="Z24" s="171">
        <v>46032</v>
      </c>
      <c r="AA24" s="171">
        <v>46032</v>
      </c>
      <c r="AB24" s="171">
        <v>46032</v>
      </c>
      <c r="AC24" s="171">
        <v>46034</v>
      </c>
      <c r="AD24" s="273" t="s">
        <v>641</v>
      </c>
      <c r="AE24" s="45">
        <f t="shared" si="1"/>
        <v>1</v>
      </c>
      <c r="AF24" s="36">
        <v>7</v>
      </c>
      <c r="AG24" s="46">
        <f t="shared" si="2"/>
        <v>0</v>
      </c>
      <c r="AH24" s="47">
        <v>200</v>
      </c>
      <c r="AI24" s="48">
        <f t="shared" si="3"/>
        <v>0</v>
      </c>
      <c r="AJ24" s="45">
        <f t="shared" si="4"/>
        <v>2</v>
      </c>
      <c r="AK24" s="36">
        <v>2</v>
      </c>
      <c r="AL24" s="46">
        <f t="shared" si="5"/>
        <v>0</v>
      </c>
      <c r="AM24" s="47">
        <v>200</v>
      </c>
      <c r="AN24" s="48">
        <f t="shared" si="6"/>
        <v>0</v>
      </c>
      <c r="AO24" s="47"/>
      <c r="AP24" s="49">
        <f t="shared" si="7"/>
        <v>0</v>
      </c>
    </row>
    <row r="25" spans="1:42" s="68" customFormat="1" ht="15" customHeight="1">
      <c r="A25" s="112">
        <f t="shared" si="0"/>
        <v>22</v>
      </c>
      <c r="B25" s="111" t="s">
        <v>114</v>
      </c>
      <c r="C25" s="112" t="s">
        <v>394</v>
      </c>
      <c r="D25" s="112" t="s">
        <v>395</v>
      </c>
      <c r="E25" s="174" t="s">
        <v>396</v>
      </c>
      <c r="F25" s="111" t="s">
        <v>215</v>
      </c>
      <c r="G25" s="256" t="s">
        <v>103</v>
      </c>
      <c r="H25" s="256">
        <v>28</v>
      </c>
      <c r="I25" s="111">
        <v>35000</v>
      </c>
      <c r="J25" s="111">
        <v>35070</v>
      </c>
      <c r="K25" s="111" t="s">
        <v>120</v>
      </c>
      <c r="L25" s="171">
        <v>45890</v>
      </c>
      <c r="M25" s="257" t="s">
        <v>121</v>
      </c>
      <c r="N25" s="171" t="s">
        <v>122</v>
      </c>
      <c r="O25" s="171">
        <v>45881</v>
      </c>
      <c r="P25" s="171">
        <v>45907</v>
      </c>
      <c r="Q25" s="171">
        <v>45892</v>
      </c>
      <c r="R25" s="171">
        <v>46004</v>
      </c>
      <c r="S25" s="171">
        <v>46005</v>
      </c>
      <c r="T25" s="171">
        <v>46009</v>
      </c>
      <c r="U25" s="171">
        <v>46021</v>
      </c>
      <c r="V25" s="171">
        <v>46026</v>
      </c>
      <c r="W25" s="171">
        <v>46029</v>
      </c>
      <c r="X25" s="171">
        <v>46029</v>
      </c>
      <c r="Y25" s="171">
        <v>46030</v>
      </c>
      <c r="Z25" s="171">
        <v>46030</v>
      </c>
      <c r="AA25" s="171">
        <v>46031</v>
      </c>
      <c r="AB25" s="171">
        <v>46031</v>
      </c>
      <c r="AC25" s="171">
        <v>46032</v>
      </c>
      <c r="AD25" s="273" t="s">
        <v>641</v>
      </c>
      <c r="AE25" s="54">
        <f t="shared" si="1"/>
        <v>1</v>
      </c>
      <c r="AF25" s="36">
        <v>7</v>
      </c>
      <c r="AG25" s="51">
        <f t="shared" si="2"/>
        <v>0</v>
      </c>
      <c r="AH25" s="52">
        <v>200</v>
      </c>
      <c r="AI25" s="53">
        <f t="shared" si="3"/>
        <v>0</v>
      </c>
      <c r="AJ25" s="54">
        <f t="shared" si="4"/>
        <v>1</v>
      </c>
      <c r="AK25" s="36">
        <v>2</v>
      </c>
      <c r="AL25" s="51">
        <f t="shared" si="5"/>
        <v>0</v>
      </c>
      <c r="AM25" s="52">
        <v>200</v>
      </c>
      <c r="AN25" s="53">
        <f t="shared" si="6"/>
        <v>0</v>
      </c>
      <c r="AO25" s="52"/>
      <c r="AP25" s="55">
        <f t="shared" si="7"/>
        <v>0</v>
      </c>
    </row>
    <row r="26" spans="1:42" s="1" customFormat="1" ht="15" customHeight="1">
      <c r="A26" s="112">
        <f t="shared" si="0"/>
        <v>23</v>
      </c>
      <c r="B26" s="111" t="s">
        <v>114</v>
      </c>
      <c r="C26" s="113" t="s">
        <v>333</v>
      </c>
      <c r="D26" s="113" t="s">
        <v>334</v>
      </c>
      <c r="E26" s="112" t="s">
        <v>335</v>
      </c>
      <c r="F26" s="111" t="s">
        <v>215</v>
      </c>
      <c r="G26" s="256" t="s">
        <v>103</v>
      </c>
      <c r="H26" s="256">
        <v>28</v>
      </c>
      <c r="I26" s="111">
        <v>35000</v>
      </c>
      <c r="J26" s="111">
        <v>35070</v>
      </c>
      <c r="K26" s="111" t="s">
        <v>120</v>
      </c>
      <c r="L26" s="171">
        <v>45890</v>
      </c>
      <c r="M26" s="257" t="s">
        <v>121</v>
      </c>
      <c r="N26" s="171" t="s">
        <v>122</v>
      </c>
      <c r="O26" s="171">
        <v>45881</v>
      </c>
      <c r="P26" s="171">
        <v>45907</v>
      </c>
      <c r="Q26" s="171">
        <v>45892</v>
      </c>
      <c r="R26" s="171">
        <v>46010</v>
      </c>
      <c r="S26" s="171">
        <v>46011</v>
      </c>
      <c r="T26" s="171">
        <v>46015</v>
      </c>
      <c r="U26" s="171">
        <v>46020</v>
      </c>
      <c r="V26" s="171">
        <v>46023</v>
      </c>
      <c r="W26" s="171">
        <v>46028</v>
      </c>
      <c r="X26" s="171">
        <v>46029</v>
      </c>
      <c r="Y26" s="171">
        <v>46030</v>
      </c>
      <c r="Z26" s="171">
        <v>46030</v>
      </c>
      <c r="AA26" s="171">
        <v>46031</v>
      </c>
      <c r="AB26" s="171">
        <v>46031</v>
      </c>
      <c r="AC26" s="171">
        <v>46032</v>
      </c>
      <c r="AD26" s="273" t="s">
        <v>641</v>
      </c>
      <c r="AE26" s="45">
        <f t="shared" si="1"/>
        <v>1</v>
      </c>
      <c r="AF26" s="36">
        <v>7</v>
      </c>
      <c r="AG26" s="46">
        <f t="shared" si="2"/>
        <v>0</v>
      </c>
      <c r="AH26" s="47">
        <v>200</v>
      </c>
      <c r="AI26" s="48">
        <f t="shared" si="3"/>
        <v>0</v>
      </c>
      <c r="AJ26" s="45">
        <f t="shared" si="4"/>
        <v>1</v>
      </c>
      <c r="AK26" s="36">
        <v>2</v>
      </c>
      <c r="AL26" s="46">
        <f t="shared" si="5"/>
        <v>0</v>
      </c>
      <c r="AM26" s="47">
        <v>200</v>
      </c>
      <c r="AN26" s="48">
        <f t="shared" si="6"/>
        <v>0</v>
      </c>
      <c r="AO26" s="47"/>
      <c r="AP26" s="49">
        <f t="shared" si="7"/>
        <v>0</v>
      </c>
    </row>
    <row r="27" spans="1:42" s="1" customFormat="1" ht="15" customHeight="1">
      <c r="A27" s="112">
        <f t="shared" si="0"/>
        <v>24</v>
      </c>
      <c r="B27" s="111" t="s">
        <v>114</v>
      </c>
      <c r="C27" s="174" t="s">
        <v>364</v>
      </c>
      <c r="D27" s="111" t="s">
        <v>365</v>
      </c>
      <c r="E27" s="111" t="s">
        <v>366</v>
      </c>
      <c r="F27" s="111" t="s">
        <v>215</v>
      </c>
      <c r="G27" s="256" t="s">
        <v>103</v>
      </c>
      <c r="H27" s="256">
        <v>28</v>
      </c>
      <c r="I27" s="111">
        <v>35000</v>
      </c>
      <c r="J27" s="111">
        <v>35070</v>
      </c>
      <c r="K27" s="111" t="s">
        <v>120</v>
      </c>
      <c r="L27" s="171">
        <v>45890</v>
      </c>
      <c r="M27" s="257" t="s">
        <v>121</v>
      </c>
      <c r="N27" s="171" t="s">
        <v>122</v>
      </c>
      <c r="O27" s="171">
        <v>45881</v>
      </c>
      <c r="P27" s="171">
        <v>45907</v>
      </c>
      <c r="Q27" s="171">
        <v>45892</v>
      </c>
      <c r="R27" s="171">
        <v>46006</v>
      </c>
      <c r="S27" s="171">
        <v>46008</v>
      </c>
      <c r="T27" s="171">
        <v>46013</v>
      </c>
      <c r="U27" s="171">
        <v>46019</v>
      </c>
      <c r="V27" s="171">
        <v>46023</v>
      </c>
      <c r="W27" s="171">
        <v>46029</v>
      </c>
      <c r="X27" s="171">
        <v>46029</v>
      </c>
      <c r="Y27" s="171">
        <v>46030</v>
      </c>
      <c r="Z27" s="171">
        <v>46030</v>
      </c>
      <c r="AA27" s="171">
        <v>46031</v>
      </c>
      <c r="AB27" s="171">
        <v>46031</v>
      </c>
      <c r="AC27" s="171">
        <v>46032</v>
      </c>
      <c r="AD27" s="273" t="s">
        <v>641</v>
      </c>
      <c r="AE27" s="45">
        <f t="shared" si="1"/>
        <v>1</v>
      </c>
      <c r="AF27" s="36">
        <v>7</v>
      </c>
      <c r="AG27" s="46">
        <f t="shared" si="2"/>
        <v>0</v>
      </c>
      <c r="AH27" s="47">
        <v>200</v>
      </c>
      <c r="AI27" s="48">
        <f t="shared" si="3"/>
        <v>0</v>
      </c>
      <c r="AJ27" s="45">
        <f t="shared" si="4"/>
        <v>1</v>
      </c>
      <c r="AK27" s="36">
        <v>2</v>
      </c>
      <c r="AL27" s="46">
        <f t="shared" si="5"/>
        <v>0</v>
      </c>
      <c r="AM27" s="47">
        <v>200</v>
      </c>
      <c r="AN27" s="48">
        <f t="shared" si="6"/>
        <v>0</v>
      </c>
      <c r="AO27" s="47"/>
      <c r="AP27" s="49">
        <f t="shared" si="7"/>
        <v>0</v>
      </c>
    </row>
    <row r="28" spans="1:42" s="1" customFormat="1" ht="15" customHeight="1">
      <c r="A28" s="112">
        <f t="shared" si="0"/>
        <v>25</v>
      </c>
      <c r="B28" s="111" t="s">
        <v>114</v>
      </c>
      <c r="C28" s="174" t="s">
        <v>443</v>
      </c>
      <c r="D28" s="113" t="s">
        <v>444</v>
      </c>
      <c r="E28" s="113" t="s">
        <v>445</v>
      </c>
      <c r="F28" s="111" t="s">
        <v>215</v>
      </c>
      <c r="G28" s="256" t="s">
        <v>103</v>
      </c>
      <c r="H28" s="256">
        <v>28</v>
      </c>
      <c r="I28" s="111">
        <v>35000</v>
      </c>
      <c r="J28" s="111">
        <v>35070</v>
      </c>
      <c r="K28" s="111" t="s">
        <v>120</v>
      </c>
      <c r="L28" s="171">
        <v>45890</v>
      </c>
      <c r="M28" s="257" t="s">
        <v>121</v>
      </c>
      <c r="N28" s="171" t="s">
        <v>122</v>
      </c>
      <c r="O28" s="171">
        <v>45881</v>
      </c>
      <c r="P28" s="171">
        <v>45907</v>
      </c>
      <c r="Q28" s="171">
        <v>45892</v>
      </c>
      <c r="R28" s="171">
        <v>46002</v>
      </c>
      <c r="S28" s="171">
        <v>46004</v>
      </c>
      <c r="T28" s="171">
        <v>46008</v>
      </c>
      <c r="U28" s="171">
        <v>46013</v>
      </c>
      <c r="V28" s="171">
        <v>46021</v>
      </c>
      <c r="W28" s="171">
        <v>46021</v>
      </c>
      <c r="X28" s="171">
        <v>46021</v>
      </c>
      <c r="Y28" s="171">
        <v>46028</v>
      </c>
      <c r="Z28" s="171">
        <v>46028</v>
      </c>
      <c r="AA28" s="171">
        <v>46029</v>
      </c>
      <c r="AB28" s="171">
        <v>46029</v>
      </c>
      <c r="AC28" s="171">
        <v>46031</v>
      </c>
      <c r="AD28" s="273" t="s">
        <v>641</v>
      </c>
      <c r="AE28" s="45">
        <f t="shared" si="1"/>
        <v>7</v>
      </c>
      <c r="AF28" s="36">
        <v>7</v>
      </c>
      <c r="AG28" s="46">
        <f t="shared" si="2"/>
        <v>0</v>
      </c>
      <c r="AH28" s="47">
        <v>200</v>
      </c>
      <c r="AI28" s="48">
        <f t="shared" si="3"/>
        <v>0</v>
      </c>
      <c r="AJ28" s="45">
        <f t="shared" si="4"/>
        <v>2</v>
      </c>
      <c r="AK28" s="36">
        <v>2</v>
      </c>
      <c r="AL28" s="46">
        <f t="shared" si="5"/>
        <v>0</v>
      </c>
      <c r="AM28" s="47">
        <v>200</v>
      </c>
      <c r="AN28" s="48">
        <f t="shared" si="6"/>
        <v>0</v>
      </c>
      <c r="AO28" s="47"/>
      <c r="AP28" s="49">
        <f t="shared" si="7"/>
        <v>0</v>
      </c>
    </row>
    <row r="29" spans="1:42" s="1" customFormat="1" ht="15" customHeight="1">
      <c r="A29" s="112">
        <f t="shared" si="0"/>
        <v>26</v>
      </c>
      <c r="B29" s="111" t="s">
        <v>114</v>
      </c>
      <c r="C29" s="113" t="s">
        <v>354</v>
      </c>
      <c r="D29" s="113" t="s">
        <v>355</v>
      </c>
      <c r="E29" s="111" t="s">
        <v>356</v>
      </c>
      <c r="F29" s="111" t="s">
        <v>215</v>
      </c>
      <c r="G29" s="256" t="s">
        <v>103</v>
      </c>
      <c r="H29" s="256">
        <v>28</v>
      </c>
      <c r="I29" s="111">
        <v>35000</v>
      </c>
      <c r="J29" s="111">
        <v>35070</v>
      </c>
      <c r="K29" s="111" t="s">
        <v>120</v>
      </c>
      <c r="L29" s="171">
        <v>45890</v>
      </c>
      <c r="M29" s="257" t="s">
        <v>121</v>
      </c>
      <c r="N29" s="171" t="s">
        <v>122</v>
      </c>
      <c r="O29" s="171">
        <v>45881</v>
      </c>
      <c r="P29" s="171">
        <v>45907</v>
      </c>
      <c r="Q29" s="171">
        <v>45892</v>
      </c>
      <c r="R29" s="171">
        <v>46010</v>
      </c>
      <c r="S29" s="171">
        <v>46011</v>
      </c>
      <c r="T29" s="171">
        <v>46015</v>
      </c>
      <c r="U29" s="171">
        <v>46018</v>
      </c>
      <c r="V29" s="171">
        <v>46023</v>
      </c>
      <c r="W29" s="171">
        <v>46027</v>
      </c>
      <c r="X29" s="171">
        <v>46027</v>
      </c>
      <c r="Y29" s="171">
        <v>46027</v>
      </c>
      <c r="Z29" s="171">
        <v>46027</v>
      </c>
      <c r="AA29" s="171">
        <v>46028</v>
      </c>
      <c r="AB29" s="171">
        <v>46028</v>
      </c>
      <c r="AC29" s="171">
        <v>46029</v>
      </c>
      <c r="AD29" s="273" t="s">
        <v>641</v>
      </c>
      <c r="AE29" s="54">
        <f t="shared" si="1"/>
        <v>0</v>
      </c>
      <c r="AF29" s="36">
        <v>7</v>
      </c>
      <c r="AG29" s="51">
        <f t="shared" si="2"/>
        <v>0</v>
      </c>
      <c r="AH29" s="52">
        <v>200</v>
      </c>
      <c r="AI29" s="53">
        <f t="shared" si="3"/>
        <v>0</v>
      </c>
      <c r="AJ29" s="54">
        <f t="shared" si="4"/>
        <v>1</v>
      </c>
      <c r="AK29" s="36">
        <v>2</v>
      </c>
      <c r="AL29" s="51">
        <f t="shared" si="5"/>
        <v>0</v>
      </c>
      <c r="AM29" s="52">
        <v>200</v>
      </c>
      <c r="AN29" s="53">
        <f t="shared" si="6"/>
        <v>0</v>
      </c>
      <c r="AO29" s="52"/>
      <c r="AP29" s="55">
        <f t="shared" si="7"/>
        <v>0</v>
      </c>
    </row>
    <row r="30" spans="1:42" s="1" customFormat="1" ht="15" customHeight="1">
      <c r="A30" s="78">
        <f t="shared" ref="A30:A52" si="8">ROW()-3</f>
        <v>27</v>
      </c>
      <c r="B30" s="79" t="s">
        <v>114</v>
      </c>
      <c r="C30" s="80" t="s">
        <v>376</v>
      </c>
      <c r="D30" s="80" t="s">
        <v>377</v>
      </c>
      <c r="E30" s="78" t="s">
        <v>378</v>
      </c>
      <c r="F30" s="79" t="s">
        <v>215</v>
      </c>
      <c r="G30" s="81" t="s">
        <v>103</v>
      </c>
      <c r="H30" s="81">
        <v>28</v>
      </c>
      <c r="I30" s="79">
        <v>35000</v>
      </c>
      <c r="J30" s="79">
        <v>35070</v>
      </c>
      <c r="K30" s="79" t="s">
        <v>120</v>
      </c>
      <c r="L30" s="80">
        <v>45890</v>
      </c>
      <c r="M30" s="82" t="s">
        <v>121</v>
      </c>
      <c r="N30" s="80" t="s">
        <v>122</v>
      </c>
      <c r="O30" s="80">
        <v>45881</v>
      </c>
      <c r="P30" s="80">
        <v>45907</v>
      </c>
      <c r="Q30" s="80">
        <v>45892</v>
      </c>
      <c r="R30" s="80">
        <v>46006</v>
      </c>
      <c r="S30" s="80">
        <v>46008</v>
      </c>
      <c r="T30" s="80">
        <v>46013</v>
      </c>
      <c r="U30" s="80">
        <v>46018</v>
      </c>
      <c r="V30" s="80">
        <v>46021</v>
      </c>
      <c r="W30" s="80">
        <v>46021</v>
      </c>
      <c r="X30" s="83">
        <v>46021</v>
      </c>
      <c r="Y30" s="83">
        <v>46027</v>
      </c>
      <c r="Z30" s="80">
        <v>46027</v>
      </c>
      <c r="AA30" s="80">
        <v>46028</v>
      </c>
      <c r="AB30" s="80">
        <v>46028</v>
      </c>
      <c r="AC30" s="80">
        <v>46029</v>
      </c>
      <c r="AD30" s="84" t="s">
        <v>754</v>
      </c>
      <c r="AE30" s="45">
        <f t="shared" ref="AE30:AE52" si="9">MAX(0,Y30-X30)</f>
        <v>6</v>
      </c>
      <c r="AF30" s="36">
        <v>7</v>
      </c>
      <c r="AG30" s="46">
        <f t="shared" ref="AG30:AG52" si="10">MAX(0,AE30-AF30)</f>
        <v>0</v>
      </c>
      <c r="AH30" s="47">
        <v>200</v>
      </c>
      <c r="AI30" s="48">
        <f t="shared" ref="AI30:AI52" si="11">MAX(0,AG30*AH30)</f>
        <v>0</v>
      </c>
      <c r="AJ30" s="45">
        <f t="shared" ref="AJ30:AJ52" si="12">MAX(0,AC30-AB30)</f>
        <v>1</v>
      </c>
      <c r="AK30" s="36">
        <v>2</v>
      </c>
      <c r="AL30" s="46">
        <f t="shared" ref="AL30:AL52" si="13">MAX(0,AJ30-AK30)</f>
        <v>0</v>
      </c>
      <c r="AM30" s="47">
        <v>200</v>
      </c>
      <c r="AN30" s="48">
        <f t="shared" ref="AN30:AN52" si="14">MAX(0,AL30*AM30)</f>
        <v>0</v>
      </c>
      <c r="AO30" s="47"/>
      <c r="AP30" s="49">
        <f t="shared" ref="AP30:AP52" si="15">AO30+AN30+AI30</f>
        <v>0</v>
      </c>
    </row>
    <row r="31" spans="1:42" s="1" customFormat="1" ht="15" customHeight="1">
      <c r="A31" s="78">
        <f t="shared" si="8"/>
        <v>28</v>
      </c>
      <c r="B31" s="79" t="s">
        <v>114</v>
      </c>
      <c r="C31" s="86" t="s">
        <v>336</v>
      </c>
      <c r="D31" s="86" t="s">
        <v>337</v>
      </c>
      <c r="E31" s="175" t="s">
        <v>338</v>
      </c>
      <c r="F31" s="79" t="s">
        <v>215</v>
      </c>
      <c r="G31" s="81" t="s">
        <v>103</v>
      </c>
      <c r="H31" s="81">
        <v>28</v>
      </c>
      <c r="I31" s="79">
        <v>35000</v>
      </c>
      <c r="J31" s="79">
        <v>35070</v>
      </c>
      <c r="K31" s="79" t="s">
        <v>120</v>
      </c>
      <c r="L31" s="80">
        <v>45890</v>
      </c>
      <c r="M31" s="82" t="s">
        <v>121</v>
      </c>
      <c r="N31" s="80" t="s">
        <v>122</v>
      </c>
      <c r="O31" s="80">
        <v>45881</v>
      </c>
      <c r="P31" s="80">
        <v>45907</v>
      </c>
      <c r="Q31" s="80">
        <v>45892</v>
      </c>
      <c r="R31" s="80">
        <v>46010</v>
      </c>
      <c r="S31" s="80">
        <v>46011</v>
      </c>
      <c r="T31" s="80">
        <v>46015</v>
      </c>
      <c r="U31" s="80">
        <v>46019</v>
      </c>
      <c r="V31" s="80">
        <v>46023</v>
      </c>
      <c r="W31" s="80">
        <v>46023</v>
      </c>
      <c r="X31" s="83">
        <v>46023</v>
      </c>
      <c r="Y31" s="83">
        <v>46027</v>
      </c>
      <c r="Z31" s="80">
        <v>46027</v>
      </c>
      <c r="AA31" s="80">
        <v>46028</v>
      </c>
      <c r="AB31" s="80">
        <v>46028</v>
      </c>
      <c r="AC31" s="80">
        <v>46029</v>
      </c>
      <c r="AD31" s="84" t="s">
        <v>754</v>
      </c>
      <c r="AE31" s="54">
        <f t="shared" si="9"/>
        <v>4</v>
      </c>
      <c r="AF31" s="36">
        <v>7</v>
      </c>
      <c r="AG31" s="51">
        <f t="shared" si="10"/>
        <v>0</v>
      </c>
      <c r="AH31" s="52">
        <v>200</v>
      </c>
      <c r="AI31" s="53">
        <f t="shared" si="11"/>
        <v>0</v>
      </c>
      <c r="AJ31" s="54">
        <f t="shared" si="12"/>
        <v>1</v>
      </c>
      <c r="AK31" s="36">
        <v>2</v>
      </c>
      <c r="AL31" s="51">
        <f t="shared" si="13"/>
        <v>0</v>
      </c>
      <c r="AM31" s="52">
        <v>200</v>
      </c>
      <c r="AN31" s="53">
        <f t="shared" si="14"/>
        <v>0</v>
      </c>
      <c r="AO31" s="52"/>
      <c r="AP31" s="55">
        <f t="shared" si="15"/>
        <v>0</v>
      </c>
    </row>
    <row r="32" spans="1:42" s="1" customFormat="1" ht="15" customHeight="1">
      <c r="A32" s="78">
        <f t="shared" si="8"/>
        <v>29</v>
      </c>
      <c r="B32" s="79" t="s">
        <v>114</v>
      </c>
      <c r="C32" s="85" t="s">
        <v>339</v>
      </c>
      <c r="D32" s="80" t="s">
        <v>340</v>
      </c>
      <c r="E32" s="78" t="s">
        <v>341</v>
      </c>
      <c r="F32" s="79" t="s">
        <v>215</v>
      </c>
      <c r="G32" s="81" t="s">
        <v>103</v>
      </c>
      <c r="H32" s="81">
        <v>28</v>
      </c>
      <c r="I32" s="79">
        <v>35000</v>
      </c>
      <c r="J32" s="79">
        <v>35070</v>
      </c>
      <c r="K32" s="79" t="s">
        <v>120</v>
      </c>
      <c r="L32" s="80">
        <v>45890</v>
      </c>
      <c r="M32" s="82" t="s">
        <v>121</v>
      </c>
      <c r="N32" s="80" t="s">
        <v>122</v>
      </c>
      <c r="O32" s="80">
        <v>45881</v>
      </c>
      <c r="P32" s="80">
        <v>45907</v>
      </c>
      <c r="Q32" s="80">
        <v>45892</v>
      </c>
      <c r="R32" s="80">
        <v>46010</v>
      </c>
      <c r="S32" s="80">
        <v>46011</v>
      </c>
      <c r="T32" s="80">
        <v>46015</v>
      </c>
      <c r="U32" s="80">
        <v>46019</v>
      </c>
      <c r="V32" s="80">
        <v>46023</v>
      </c>
      <c r="W32" s="80">
        <v>46023</v>
      </c>
      <c r="X32" s="83">
        <v>46023</v>
      </c>
      <c r="Y32" s="83">
        <v>46027</v>
      </c>
      <c r="Z32" s="80">
        <v>46027</v>
      </c>
      <c r="AA32" s="80">
        <v>46028</v>
      </c>
      <c r="AB32" s="80">
        <v>46028</v>
      </c>
      <c r="AC32" s="80">
        <v>46029</v>
      </c>
      <c r="AD32" s="84" t="s">
        <v>754</v>
      </c>
      <c r="AE32" s="45">
        <f t="shared" si="9"/>
        <v>4</v>
      </c>
      <c r="AF32" s="36">
        <v>7</v>
      </c>
      <c r="AG32" s="46">
        <f t="shared" si="10"/>
        <v>0</v>
      </c>
      <c r="AH32" s="47">
        <v>200</v>
      </c>
      <c r="AI32" s="48">
        <f t="shared" si="11"/>
        <v>0</v>
      </c>
      <c r="AJ32" s="45">
        <f t="shared" si="12"/>
        <v>1</v>
      </c>
      <c r="AK32" s="36">
        <v>2</v>
      </c>
      <c r="AL32" s="46">
        <f t="shared" si="13"/>
        <v>0</v>
      </c>
      <c r="AM32" s="47">
        <v>200</v>
      </c>
      <c r="AN32" s="48">
        <f t="shared" si="14"/>
        <v>0</v>
      </c>
      <c r="AO32" s="47"/>
      <c r="AP32" s="49">
        <f t="shared" si="15"/>
        <v>0</v>
      </c>
    </row>
    <row r="33" spans="1:42" s="68" customFormat="1" ht="15" customHeight="1">
      <c r="A33" s="78">
        <f t="shared" si="8"/>
        <v>30</v>
      </c>
      <c r="B33" s="79" t="s">
        <v>114</v>
      </c>
      <c r="C33" s="86" t="s">
        <v>407</v>
      </c>
      <c r="D33" s="86" t="s">
        <v>408</v>
      </c>
      <c r="E33" s="78" t="s">
        <v>409</v>
      </c>
      <c r="F33" s="79" t="s">
        <v>215</v>
      </c>
      <c r="G33" s="81" t="s">
        <v>103</v>
      </c>
      <c r="H33" s="81">
        <v>29</v>
      </c>
      <c r="I33" s="79">
        <v>36250</v>
      </c>
      <c r="J33" s="79">
        <v>36323</v>
      </c>
      <c r="K33" s="79" t="s">
        <v>120</v>
      </c>
      <c r="L33" s="80">
        <v>45890</v>
      </c>
      <c r="M33" s="82" t="s">
        <v>121</v>
      </c>
      <c r="N33" s="80" t="s">
        <v>122</v>
      </c>
      <c r="O33" s="80">
        <v>45881</v>
      </c>
      <c r="P33" s="80">
        <v>45907</v>
      </c>
      <c r="Q33" s="80">
        <v>45892</v>
      </c>
      <c r="R33" s="80">
        <v>46004</v>
      </c>
      <c r="S33" s="80">
        <v>46005</v>
      </c>
      <c r="T33" s="80">
        <v>46009</v>
      </c>
      <c r="U33" s="80">
        <v>46017</v>
      </c>
      <c r="V33" s="80">
        <v>46023</v>
      </c>
      <c r="W33" s="80">
        <v>46023</v>
      </c>
      <c r="X33" s="83">
        <v>46023</v>
      </c>
      <c r="Y33" s="83">
        <v>46026</v>
      </c>
      <c r="Z33" s="80">
        <v>46026</v>
      </c>
      <c r="AA33" s="80">
        <v>46027</v>
      </c>
      <c r="AB33" s="80">
        <v>46027</v>
      </c>
      <c r="AC33" s="80">
        <v>46029</v>
      </c>
      <c r="AD33" s="84" t="s">
        <v>754</v>
      </c>
      <c r="AE33" s="45">
        <f t="shared" si="9"/>
        <v>3</v>
      </c>
      <c r="AF33" s="36">
        <v>7</v>
      </c>
      <c r="AG33" s="46">
        <f t="shared" si="10"/>
        <v>0</v>
      </c>
      <c r="AH33" s="47">
        <v>200</v>
      </c>
      <c r="AI33" s="48">
        <f t="shared" si="11"/>
        <v>0</v>
      </c>
      <c r="AJ33" s="45">
        <f t="shared" si="12"/>
        <v>2</v>
      </c>
      <c r="AK33" s="36">
        <v>2</v>
      </c>
      <c r="AL33" s="46">
        <f t="shared" si="13"/>
        <v>0</v>
      </c>
      <c r="AM33" s="47">
        <v>200</v>
      </c>
      <c r="AN33" s="48">
        <f t="shared" si="14"/>
        <v>0</v>
      </c>
      <c r="AO33" s="47"/>
      <c r="AP33" s="49">
        <f t="shared" si="15"/>
        <v>0</v>
      </c>
    </row>
    <row r="34" spans="1:42" s="1" customFormat="1" ht="15" customHeight="1">
      <c r="A34" s="78">
        <f t="shared" si="8"/>
        <v>31</v>
      </c>
      <c r="B34" s="79" t="s">
        <v>114</v>
      </c>
      <c r="C34" s="86" t="s">
        <v>357</v>
      </c>
      <c r="D34" s="86" t="s">
        <v>358</v>
      </c>
      <c r="E34" s="87" t="s">
        <v>359</v>
      </c>
      <c r="F34" s="79" t="s">
        <v>215</v>
      </c>
      <c r="G34" s="81" t="s">
        <v>103</v>
      </c>
      <c r="H34" s="81">
        <v>28</v>
      </c>
      <c r="I34" s="79">
        <v>35000</v>
      </c>
      <c r="J34" s="79">
        <v>35070</v>
      </c>
      <c r="K34" s="79" t="s">
        <v>120</v>
      </c>
      <c r="L34" s="80">
        <v>45890</v>
      </c>
      <c r="M34" s="82" t="s">
        <v>121</v>
      </c>
      <c r="N34" s="80" t="s">
        <v>122</v>
      </c>
      <c r="O34" s="80">
        <v>45881</v>
      </c>
      <c r="P34" s="80">
        <v>45907</v>
      </c>
      <c r="Q34" s="80">
        <v>45892</v>
      </c>
      <c r="R34" s="80">
        <v>46006</v>
      </c>
      <c r="S34" s="80">
        <v>46008</v>
      </c>
      <c r="T34" s="80">
        <v>46013</v>
      </c>
      <c r="U34" s="80">
        <v>46019</v>
      </c>
      <c r="V34" s="80">
        <v>46022</v>
      </c>
      <c r="W34" s="80">
        <v>46022</v>
      </c>
      <c r="X34" s="83">
        <v>46022</v>
      </c>
      <c r="Y34" s="83">
        <v>46026</v>
      </c>
      <c r="Z34" s="80">
        <v>46026</v>
      </c>
      <c r="AA34" s="80">
        <v>46027</v>
      </c>
      <c r="AB34" s="80">
        <v>46027</v>
      </c>
      <c r="AC34" s="80">
        <v>46029</v>
      </c>
      <c r="AD34" s="84" t="s">
        <v>754</v>
      </c>
      <c r="AE34" s="45">
        <f t="shared" si="9"/>
        <v>4</v>
      </c>
      <c r="AF34" s="36">
        <v>7</v>
      </c>
      <c r="AG34" s="46">
        <f t="shared" si="10"/>
        <v>0</v>
      </c>
      <c r="AH34" s="47">
        <v>200</v>
      </c>
      <c r="AI34" s="48">
        <f t="shared" si="11"/>
        <v>0</v>
      </c>
      <c r="AJ34" s="45">
        <f t="shared" si="12"/>
        <v>2</v>
      </c>
      <c r="AK34" s="36">
        <v>2</v>
      </c>
      <c r="AL34" s="46">
        <f t="shared" si="13"/>
        <v>0</v>
      </c>
      <c r="AM34" s="47">
        <v>200</v>
      </c>
      <c r="AN34" s="48">
        <f t="shared" si="14"/>
        <v>0</v>
      </c>
      <c r="AO34" s="47"/>
      <c r="AP34" s="49">
        <f t="shared" si="15"/>
        <v>0</v>
      </c>
    </row>
    <row r="35" spans="1:42" s="68" customFormat="1" ht="15" customHeight="1">
      <c r="A35" s="78">
        <f t="shared" si="8"/>
        <v>32</v>
      </c>
      <c r="B35" s="79" t="s">
        <v>114</v>
      </c>
      <c r="C35" s="80" t="s">
        <v>385</v>
      </c>
      <c r="D35" s="80" t="s">
        <v>386</v>
      </c>
      <c r="E35" s="78" t="s">
        <v>387</v>
      </c>
      <c r="F35" s="79" t="s">
        <v>215</v>
      </c>
      <c r="G35" s="81" t="s">
        <v>103</v>
      </c>
      <c r="H35" s="81">
        <v>28</v>
      </c>
      <c r="I35" s="79">
        <v>36250</v>
      </c>
      <c r="J35" s="79">
        <v>36323</v>
      </c>
      <c r="K35" s="79" t="s">
        <v>120</v>
      </c>
      <c r="L35" s="80">
        <v>45890</v>
      </c>
      <c r="M35" s="82" t="s">
        <v>121</v>
      </c>
      <c r="N35" s="80" t="s">
        <v>122</v>
      </c>
      <c r="O35" s="80">
        <v>45881</v>
      </c>
      <c r="P35" s="80">
        <v>45907</v>
      </c>
      <c r="Q35" s="80">
        <v>45892</v>
      </c>
      <c r="R35" s="80">
        <v>46004</v>
      </c>
      <c r="S35" s="80">
        <v>46008</v>
      </c>
      <c r="T35" s="80">
        <v>46013</v>
      </c>
      <c r="U35" s="80">
        <v>46015</v>
      </c>
      <c r="V35" s="80">
        <v>46019</v>
      </c>
      <c r="W35" s="80">
        <v>46019</v>
      </c>
      <c r="X35" s="83">
        <v>46019</v>
      </c>
      <c r="Y35" s="83">
        <v>46026</v>
      </c>
      <c r="Z35" s="80">
        <v>46026</v>
      </c>
      <c r="AA35" s="80">
        <v>46027</v>
      </c>
      <c r="AB35" s="80">
        <v>46027</v>
      </c>
      <c r="AC35" s="80">
        <v>46029</v>
      </c>
      <c r="AD35" s="84" t="s">
        <v>754</v>
      </c>
      <c r="AE35" s="45">
        <f t="shared" si="9"/>
        <v>7</v>
      </c>
      <c r="AF35" s="36">
        <v>7</v>
      </c>
      <c r="AG35" s="46">
        <f t="shared" si="10"/>
        <v>0</v>
      </c>
      <c r="AH35" s="47">
        <v>200</v>
      </c>
      <c r="AI35" s="48">
        <f t="shared" si="11"/>
        <v>0</v>
      </c>
      <c r="AJ35" s="45">
        <f t="shared" si="12"/>
        <v>2</v>
      </c>
      <c r="AK35" s="36">
        <v>2</v>
      </c>
      <c r="AL35" s="46">
        <f t="shared" si="13"/>
        <v>0</v>
      </c>
      <c r="AM35" s="47">
        <v>200</v>
      </c>
      <c r="AN35" s="48">
        <f t="shared" si="14"/>
        <v>0</v>
      </c>
      <c r="AO35" s="47"/>
      <c r="AP35" s="49">
        <f t="shared" si="15"/>
        <v>0</v>
      </c>
    </row>
    <row r="36" spans="1:42" s="1" customFormat="1" ht="15" customHeight="1">
      <c r="A36" s="78">
        <f t="shared" si="8"/>
        <v>33</v>
      </c>
      <c r="B36" s="79" t="s">
        <v>114</v>
      </c>
      <c r="C36" s="80" t="s">
        <v>373</v>
      </c>
      <c r="D36" s="80" t="s">
        <v>374</v>
      </c>
      <c r="E36" s="80" t="s">
        <v>375</v>
      </c>
      <c r="F36" s="79" t="s">
        <v>215</v>
      </c>
      <c r="G36" s="81" t="s">
        <v>103</v>
      </c>
      <c r="H36" s="81">
        <v>28</v>
      </c>
      <c r="I36" s="79">
        <v>35000</v>
      </c>
      <c r="J36" s="79">
        <v>35070</v>
      </c>
      <c r="K36" s="79" t="s">
        <v>120</v>
      </c>
      <c r="L36" s="80">
        <v>45890</v>
      </c>
      <c r="M36" s="82" t="s">
        <v>121</v>
      </c>
      <c r="N36" s="80" t="s">
        <v>122</v>
      </c>
      <c r="O36" s="80">
        <v>45881</v>
      </c>
      <c r="P36" s="80">
        <v>45907</v>
      </c>
      <c r="Q36" s="80">
        <v>45892</v>
      </c>
      <c r="R36" s="80">
        <v>46006</v>
      </c>
      <c r="S36" s="80">
        <v>46008</v>
      </c>
      <c r="T36" s="80">
        <v>46013</v>
      </c>
      <c r="U36" s="80">
        <v>46017</v>
      </c>
      <c r="V36" s="80">
        <v>46019</v>
      </c>
      <c r="W36" s="80">
        <v>46019</v>
      </c>
      <c r="X36" s="83">
        <v>46019</v>
      </c>
      <c r="Y36" s="83">
        <v>46026</v>
      </c>
      <c r="Z36" s="80">
        <v>46026</v>
      </c>
      <c r="AA36" s="80">
        <v>46027</v>
      </c>
      <c r="AB36" s="80">
        <v>46027</v>
      </c>
      <c r="AC36" s="80">
        <v>46029</v>
      </c>
      <c r="AD36" s="84" t="s">
        <v>754</v>
      </c>
      <c r="AE36" s="54">
        <f t="shared" si="9"/>
        <v>7</v>
      </c>
      <c r="AF36" s="36">
        <v>7</v>
      </c>
      <c r="AG36" s="51">
        <f t="shared" si="10"/>
        <v>0</v>
      </c>
      <c r="AH36" s="52">
        <v>200</v>
      </c>
      <c r="AI36" s="53">
        <f t="shared" si="11"/>
        <v>0</v>
      </c>
      <c r="AJ36" s="54">
        <f t="shared" si="12"/>
        <v>2</v>
      </c>
      <c r="AK36" s="36">
        <v>2</v>
      </c>
      <c r="AL36" s="51">
        <f t="shared" si="13"/>
        <v>0</v>
      </c>
      <c r="AM36" s="52">
        <v>200</v>
      </c>
      <c r="AN36" s="53">
        <f t="shared" si="14"/>
        <v>0</v>
      </c>
      <c r="AO36" s="52"/>
      <c r="AP36" s="55">
        <f t="shared" si="15"/>
        <v>0</v>
      </c>
    </row>
    <row r="37" spans="1:42" s="1" customFormat="1" ht="15" customHeight="1">
      <c r="A37" s="78">
        <f t="shared" si="8"/>
        <v>34</v>
      </c>
      <c r="B37" s="79" t="s">
        <v>114</v>
      </c>
      <c r="C37" s="86" t="s">
        <v>370</v>
      </c>
      <c r="D37" s="86" t="s">
        <v>371</v>
      </c>
      <c r="E37" s="79" t="s">
        <v>372</v>
      </c>
      <c r="F37" s="79" t="s">
        <v>215</v>
      </c>
      <c r="G37" s="81" t="s">
        <v>103</v>
      </c>
      <c r="H37" s="81">
        <v>28</v>
      </c>
      <c r="I37" s="79">
        <v>35000</v>
      </c>
      <c r="J37" s="79">
        <v>35070</v>
      </c>
      <c r="K37" s="79" t="s">
        <v>120</v>
      </c>
      <c r="L37" s="80">
        <v>45890</v>
      </c>
      <c r="M37" s="82" t="s">
        <v>121</v>
      </c>
      <c r="N37" s="80" t="s">
        <v>122</v>
      </c>
      <c r="O37" s="80">
        <v>45881</v>
      </c>
      <c r="P37" s="80">
        <v>45907</v>
      </c>
      <c r="Q37" s="80">
        <v>45892</v>
      </c>
      <c r="R37" s="80">
        <v>46006</v>
      </c>
      <c r="S37" s="80">
        <v>46008</v>
      </c>
      <c r="T37" s="80">
        <v>46014</v>
      </c>
      <c r="U37" s="80">
        <v>46015</v>
      </c>
      <c r="V37" s="80">
        <v>46017</v>
      </c>
      <c r="W37" s="80">
        <v>46017</v>
      </c>
      <c r="X37" s="83">
        <v>46017</v>
      </c>
      <c r="Y37" s="83">
        <v>46024</v>
      </c>
      <c r="Z37" s="80">
        <v>46024</v>
      </c>
      <c r="AA37" s="80">
        <v>46025</v>
      </c>
      <c r="AB37" s="80">
        <v>46025</v>
      </c>
      <c r="AC37" s="80">
        <v>46028</v>
      </c>
      <c r="AD37" s="84" t="s">
        <v>754</v>
      </c>
      <c r="AE37" s="45">
        <f t="shared" si="9"/>
        <v>7</v>
      </c>
      <c r="AF37" s="36">
        <v>7</v>
      </c>
      <c r="AG37" s="46">
        <f t="shared" si="10"/>
        <v>0</v>
      </c>
      <c r="AH37" s="47">
        <v>200</v>
      </c>
      <c r="AI37" s="48">
        <f t="shared" si="11"/>
        <v>0</v>
      </c>
      <c r="AJ37" s="45">
        <f t="shared" si="12"/>
        <v>3</v>
      </c>
      <c r="AK37" s="36">
        <v>2</v>
      </c>
      <c r="AL37" s="46">
        <f t="shared" si="13"/>
        <v>1</v>
      </c>
      <c r="AM37" s="47">
        <v>200</v>
      </c>
      <c r="AN37" s="48">
        <f t="shared" si="14"/>
        <v>200</v>
      </c>
      <c r="AO37" s="47"/>
      <c r="AP37" s="49">
        <f t="shared" si="15"/>
        <v>200</v>
      </c>
    </row>
    <row r="38" spans="1:42" s="68" customFormat="1" ht="15" customHeight="1">
      <c r="A38" s="78">
        <f t="shared" si="8"/>
        <v>35</v>
      </c>
      <c r="B38" s="79" t="s">
        <v>114</v>
      </c>
      <c r="C38" s="86" t="s">
        <v>410</v>
      </c>
      <c r="D38" s="88" t="s">
        <v>411</v>
      </c>
      <c r="E38" s="78" t="s">
        <v>412</v>
      </c>
      <c r="F38" s="79" t="s">
        <v>215</v>
      </c>
      <c r="G38" s="81" t="s">
        <v>103</v>
      </c>
      <c r="H38" s="81">
        <v>28</v>
      </c>
      <c r="I38" s="79">
        <v>35000</v>
      </c>
      <c r="J38" s="79">
        <v>35070</v>
      </c>
      <c r="K38" s="79" t="s">
        <v>120</v>
      </c>
      <c r="L38" s="80">
        <v>45890</v>
      </c>
      <c r="M38" s="82" t="s">
        <v>121</v>
      </c>
      <c r="N38" s="80" t="s">
        <v>122</v>
      </c>
      <c r="O38" s="80">
        <v>45881</v>
      </c>
      <c r="P38" s="80">
        <v>45907</v>
      </c>
      <c r="Q38" s="80">
        <v>45892</v>
      </c>
      <c r="R38" s="80">
        <v>46004</v>
      </c>
      <c r="S38" s="80">
        <v>46005</v>
      </c>
      <c r="T38" s="80">
        <v>46009</v>
      </c>
      <c r="U38" s="80">
        <v>46014</v>
      </c>
      <c r="V38" s="80">
        <v>46017</v>
      </c>
      <c r="W38" s="80">
        <v>46017</v>
      </c>
      <c r="X38" s="83">
        <v>46017</v>
      </c>
      <c r="Y38" s="83">
        <v>46023</v>
      </c>
      <c r="Z38" s="80">
        <v>46023</v>
      </c>
      <c r="AA38" s="80">
        <v>46024</v>
      </c>
      <c r="AB38" s="80">
        <v>46024</v>
      </c>
      <c r="AC38" s="80">
        <v>46027</v>
      </c>
      <c r="AD38" s="84" t="s">
        <v>754</v>
      </c>
      <c r="AE38" s="54">
        <f t="shared" si="9"/>
        <v>6</v>
      </c>
      <c r="AF38" s="36">
        <v>7</v>
      </c>
      <c r="AG38" s="51">
        <f t="shared" si="10"/>
        <v>0</v>
      </c>
      <c r="AH38" s="52">
        <v>200</v>
      </c>
      <c r="AI38" s="53">
        <f t="shared" si="11"/>
        <v>0</v>
      </c>
      <c r="AJ38" s="54">
        <f t="shared" si="12"/>
        <v>3</v>
      </c>
      <c r="AK38" s="36">
        <v>2</v>
      </c>
      <c r="AL38" s="51">
        <f t="shared" si="13"/>
        <v>1</v>
      </c>
      <c r="AM38" s="52">
        <v>200</v>
      </c>
      <c r="AN38" s="53">
        <f t="shared" si="14"/>
        <v>200</v>
      </c>
      <c r="AO38" s="52"/>
      <c r="AP38" s="55">
        <f t="shared" si="15"/>
        <v>200</v>
      </c>
    </row>
    <row r="39" spans="1:42" s="1" customFormat="1" ht="15" customHeight="1">
      <c r="A39" s="78">
        <f t="shared" si="8"/>
        <v>36</v>
      </c>
      <c r="B39" s="79" t="s">
        <v>114</v>
      </c>
      <c r="C39" s="86" t="s">
        <v>367</v>
      </c>
      <c r="D39" s="86" t="s">
        <v>368</v>
      </c>
      <c r="E39" s="79" t="s">
        <v>369</v>
      </c>
      <c r="F39" s="79" t="s">
        <v>215</v>
      </c>
      <c r="G39" s="81" t="s">
        <v>103</v>
      </c>
      <c r="H39" s="81">
        <v>28</v>
      </c>
      <c r="I39" s="79">
        <v>35000</v>
      </c>
      <c r="J39" s="79">
        <v>35070</v>
      </c>
      <c r="K39" s="79" t="s">
        <v>120</v>
      </c>
      <c r="L39" s="80">
        <v>45890</v>
      </c>
      <c r="M39" s="82" t="s">
        <v>121</v>
      </c>
      <c r="N39" s="80" t="s">
        <v>122</v>
      </c>
      <c r="O39" s="80">
        <v>45881</v>
      </c>
      <c r="P39" s="80">
        <v>45907</v>
      </c>
      <c r="Q39" s="80">
        <v>45892</v>
      </c>
      <c r="R39" s="80">
        <v>46006</v>
      </c>
      <c r="S39" s="80">
        <v>46008</v>
      </c>
      <c r="T39" s="80">
        <v>46013</v>
      </c>
      <c r="U39" s="80">
        <v>46019</v>
      </c>
      <c r="V39" s="80">
        <v>46021</v>
      </c>
      <c r="W39" s="80">
        <v>46021</v>
      </c>
      <c r="X39" s="83">
        <v>46021</v>
      </c>
      <c r="Y39" s="83">
        <v>46023</v>
      </c>
      <c r="Z39" s="80">
        <v>46023</v>
      </c>
      <c r="AA39" s="80">
        <v>46024</v>
      </c>
      <c r="AB39" s="80">
        <v>46024</v>
      </c>
      <c r="AC39" s="80">
        <v>46027</v>
      </c>
      <c r="AD39" s="84" t="s">
        <v>754</v>
      </c>
      <c r="AE39" s="54">
        <f t="shared" si="9"/>
        <v>2</v>
      </c>
      <c r="AF39" s="36">
        <v>7</v>
      </c>
      <c r="AG39" s="51">
        <f t="shared" si="10"/>
        <v>0</v>
      </c>
      <c r="AH39" s="52">
        <v>200</v>
      </c>
      <c r="AI39" s="53">
        <f t="shared" si="11"/>
        <v>0</v>
      </c>
      <c r="AJ39" s="54">
        <f t="shared" si="12"/>
        <v>3</v>
      </c>
      <c r="AK39" s="36">
        <v>2</v>
      </c>
      <c r="AL39" s="51">
        <f t="shared" si="13"/>
        <v>1</v>
      </c>
      <c r="AM39" s="52">
        <v>200</v>
      </c>
      <c r="AN39" s="53">
        <f t="shared" si="14"/>
        <v>200</v>
      </c>
      <c r="AO39" s="52"/>
      <c r="AP39" s="55">
        <f t="shared" si="15"/>
        <v>200</v>
      </c>
    </row>
    <row r="40" spans="1:42" s="1" customFormat="1" ht="15" customHeight="1">
      <c r="A40" s="78">
        <f t="shared" si="8"/>
        <v>37</v>
      </c>
      <c r="B40" s="79" t="s">
        <v>114</v>
      </c>
      <c r="C40" s="86" t="s">
        <v>361</v>
      </c>
      <c r="D40" s="86" t="s">
        <v>362</v>
      </c>
      <c r="E40" s="79" t="s">
        <v>363</v>
      </c>
      <c r="F40" s="79" t="s">
        <v>215</v>
      </c>
      <c r="G40" s="81" t="s">
        <v>103</v>
      </c>
      <c r="H40" s="81">
        <v>28</v>
      </c>
      <c r="I40" s="79">
        <v>35000</v>
      </c>
      <c r="J40" s="79">
        <v>35070</v>
      </c>
      <c r="K40" s="79" t="s">
        <v>120</v>
      </c>
      <c r="L40" s="80">
        <v>45890</v>
      </c>
      <c r="M40" s="82" t="s">
        <v>121</v>
      </c>
      <c r="N40" s="80" t="s">
        <v>122</v>
      </c>
      <c r="O40" s="80">
        <v>45881</v>
      </c>
      <c r="P40" s="80">
        <v>45907</v>
      </c>
      <c r="Q40" s="80">
        <v>45892</v>
      </c>
      <c r="R40" s="80">
        <v>46006</v>
      </c>
      <c r="S40" s="80">
        <v>46008</v>
      </c>
      <c r="T40" s="80">
        <v>46014</v>
      </c>
      <c r="U40" s="80">
        <v>46015</v>
      </c>
      <c r="V40" s="80">
        <v>46017</v>
      </c>
      <c r="W40" s="80">
        <v>46017</v>
      </c>
      <c r="X40" s="83">
        <v>46017</v>
      </c>
      <c r="Y40" s="83">
        <v>46023</v>
      </c>
      <c r="Z40" s="80">
        <v>46023</v>
      </c>
      <c r="AA40" s="80">
        <v>46024</v>
      </c>
      <c r="AB40" s="80">
        <v>46024</v>
      </c>
      <c r="AC40" s="80">
        <v>46027</v>
      </c>
      <c r="AD40" s="84" t="s">
        <v>754</v>
      </c>
      <c r="AE40" s="54">
        <f t="shared" si="9"/>
        <v>6</v>
      </c>
      <c r="AF40" s="36">
        <v>7</v>
      </c>
      <c r="AG40" s="51">
        <f t="shared" si="10"/>
        <v>0</v>
      </c>
      <c r="AH40" s="52">
        <v>200</v>
      </c>
      <c r="AI40" s="53">
        <f t="shared" si="11"/>
        <v>0</v>
      </c>
      <c r="AJ40" s="54">
        <f t="shared" si="12"/>
        <v>3</v>
      </c>
      <c r="AK40" s="36">
        <v>2</v>
      </c>
      <c r="AL40" s="51">
        <f t="shared" si="13"/>
        <v>1</v>
      </c>
      <c r="AM40" s="52">
        <v>200</v>
      </c>
      <c r="AN40" s="53">
        <f t="shared" si="14"/>
        <v>200</v>
      </c>
      <c r="AO40" s="52"/>
      <c r="AP40" s="55">
        <f t="shared" si="15"/>
        <v>200</v>
      </c>
    </row>
    <row r="41" spans="1:42" s="1" customFormat="1" ht="15.75" customHeight="1">
      <c r="A41" s="78">
        <f t="shared" si="8"/>
        <v>38</v>
      </c>
      <c r="B41" s="79" t="s">
        <v>114</v>
      </c>
      <c r="C41" s="86" t="s">
        <v>428</v>
      </c>
      <c r="D41" s="78" t="s">
        <v>429</v>
      </c>
      <c r="E41" s="78" t="s">
        <v>430</v>
      </c>
      <c r="F41" s="79" t="s">
        <v>215</v>
      </c>
      <c r="G41" s="81" t="s">
        <v>103</v>
      </c>
      <c r="H41" s="81">
        <v>28</v>
      </c>
      <c r="I41" s="79">
        <v>35000</v>
      </c>
      <c r="J41" s="79">
        <v>35070</v>
      </c>
      <c r="K41" s="79" t="s">
        <v>120</v>
      </c>
      <c r="L41" s="80">
        <v>45890</v>
      </c>
      <c r="M41" s="82" t="s">
        <v>121</v>
      </c>
      <c r="N41" s="80" t="s">
        <v>122</v>
      </c>
      <c r="O41" s="80">
        <v>45881</v>
      </c>
      <c r="P41" s="80">
        <v>45907</v>
      </c>
      <c r="Q41" s="80">
        <v>45892</v>
      </c>
      <c r="R41" s="80">
        <v>46002</v>
      </c>
      <c r="S41" s="80">
        <v>46004</v>
      </c>
      <c r="T41" s="80">
        <v>46013</v>
      </c>
      <c r="U41" s="80">
        <v>46017</v>
      </c>
      <c r="V41" s="80">
        <v>46021</v>
      </c>
      <c r="W41" s="80">
        <v>46021</v>
      </c>
      <c r="X41" s="83">
        <v>46021</v>
      </c>
      <c r="Y41" s="83">
        <v>46023</v>
      </c>
      <c r="Z41" s="80">
        <v>46023</v>
      </c>
      <c r="AA41" s="80">
        <v>46024</v>
      </c>
      <c r="AB41" s="80">
        <v>46024</v>
      </c>
      <c r="AC41" s="80">
        <v>46025</v>
      </c>
      <c r="AD41" s="84" t="s">
        <v>641</v>
      </c>
      <c r="AE41" s="54">
        <f t="shared" si="9"/>
        <v>2</v>
      </c>
      <c r="AF41" s="36">
        <v>7</v>
      </c>
      <c r="AG41" s="51">
        <f t="shared" si="10"/>
        <v>0</v>
      </c>
      <c r="AH41" s="52">
        <v>200</v>
      </c>
      <c r="AI41" s="53">
        <f t="shared" si="11"/>
        <v>0</v>
      </c>
      <c r="AJ41" s="54">
        <f t="shared" si="12"/>
        <v>1</v>
      </c>
      <c r="AK41" s="36">
        <v>2</v>
      </c>
      <c r="AL41" s="51">
        <f t="shared" si="13"/>
        <v>0</v>
      </c>
      <c r="AM41" s="52">
        <v>200</v>
      </c>
      <c r="AN41" s="53">
        <f t="shared" si="14"/>
        <v>0</v>
      </c>
      <c r="AO41" s="52"/>
      <c r="AP41" s="55">
        <f t="shared" si="15"/>
        <v>0</v>
      </c>
    </row>
    <row r="42" spans="1:42" s="1" customFormat="1" ht="15" customHeight="1">
      <c r="A42" s="78">
        <f t="shared" si="8"/>
        <v>39</v>
      </c>
      <c r="B42" s="79" t="s">
        <v>114</v>
      </c>
      <c r="C42" s="86" t="s">
        <v>425</v>
      </c>
      <c r="D42" s="86" t="s">
        <v>426</v>
      </c>
      <c r="E42" s="86" t="s">
        <v>427</v>
      </c>
      <c r="F42" s="79" t="s">
        <v>215</v>
      </c>
      <c r="G42" s="81" t="s">
        <v>103</v>
      </c>
      <c r="H42" s="81">
        <v>28</v>
      </c>
      <c r="I42" s="79">
        <v>35000</v>
      </c>
      <c r="J42" s="79">
        <v>35070</v>
      </c>
      <c r="K42" s="79" t="s">
        <v>120</v>
      </c>
      <c r="L42" s="80">
        <v>45890</v>
      </c>
      <c r="M42" s="82" t="s">
        <v>121</v>
      </c>
      <c r="N42" s="80" t="s">
        <v>122</v>
      </c>
      <c r="O42" s="80">
        <v>45881</v>
      </c>
      <c r="P42" s="80">
        <v>45907</v>
      </c>
      <c r="Q42" s="80">
        <v>45892</v>
      </c>
      <c r="R42" s="80">
        <v>46002</v>
      </c>
      <c r="S42" s="80">
        <v>46005</v>
      </c>
      <c r="T42" s="80">
        <v>46009</v>
      </c>
      <c r="U42" s="80">
        <v>46012</v>
      </c>
      <c r="V42" s="80">
        <v>46015</v>
      </c>
      <c r="W42" s="80">
        <v>46015</v>
      </c>
      <c r="X42" s="83">
        <v>46015</v>
      </c>
      <c r="Y42" s="83">
        <v>46023</v>
      </c>
      <c r="Z42" s="80">
        <v>46023</v>
      </c>
      <c r="AA42" s="80">
        <v>46024</v>
      </c>
      <c r="AB42" s="80">
        <v>46024</v>
      </c>
      <c r="AC42" s="80">
        <v>46025</v>
      </c>
      <c r="AD42" s="84" t="s">
        <v>641</v>
      </c>
      <c r="AE42" s="45">
        <f t="shared" si="9"/>
        <v>8</v>
      </c>
      <c r="AF42" s="36">
        <v>7</v>
      </c>
      <c r="AG42" s="46">
        <f t="shared" si="10"/>
        <v>1</v>
      </c>
      <c r="AH42" s="47">
        <v>200</v>
      </c>
      <c r="AI42" s="48">
        <f t="shared" si="11"/>
        <v>200</v>
      </c>
      <c r="AJ42" s="45">
        <f t="shared" si="12"/>
        <v>1</v>
      </c>
      <c r="AK42" s="36">
        <v>2</v>
      </c>
      <c r="AL42" s="46">
        <f t="shared" si="13"/>
        <v>0</v>
      </c>
      <c r="AM42" s="47">
        <v>200</v>
      </c>
      <c r="AN42" s="48">
        <f t="shared" si="14"/>
        <v>0</v>
      </c>
      <c r="AO42" s="47"/>
      <c r="AP42" s="49">
        <f t="shared" si="15"/>
        <v>200</v>
      </c>
    </row>
    <row r="43" spans="1:42" s="1" customFormat="1" ht="15" customHeight="1">
      <c r="A43" s="78">
        <f t="shared" si="8"/>
        <v>40</v>
      </c>
      <c r="B43" s="79" t="s">
        <v>114</v>
      </c>
      <c r="C43" s="86" t="s">
        <v>440</v>
      </c>
      <c r="D43" s="78" t="s">
        <v>441</v>
      </c>
      <c r="E43" s="79" t="s">
        <v>442</v>
      </c>
      <c r="F43" s="79" t="s">
        <v>215</v>
      </c>
      <c r="G43" s="81" t="s">
        <v>103</v>
      </c>
      <c r="H43" s="81">
        <v>28</v>
      </c>
      <c r="I43" s="79">
        <v>35000</v>
      </c>
      <c r="J43" s="79">
        <v>35070</v>
      </c>
      <c r="K43" s="79" t="s">
        <v>120</v>
      </c>
      <c r="L43" s="80">
        <v>45890</v>
      </c>
      <c r="M43" s="82" t="s">
        <v>121</v>
      </c>
      <c r="N43" s="80" t="s">
        <v>122</v>
      </c>
      <c r="O43" s="80">
        <v>45881</v>
      </c>
      <c r="P43" s="80">
        <v>45907</v>
      </c>
      <c r="Q43" s="80">
        <v>45892</v>
      </c>
      <c r="R43" s="80">
        <v>46002</v>
      </c>
      <c r="S43" s="80">
        <v>46004</v>
      </c>
      <c r="T43" s="80">
        <v>46008</v>
      </c>
      <c r="U43" s="80">
        <v>46012</v>
      </c>
      <c r="V43" s="80">
        <v>46016</v>
      </c>
      <c r="W43" s="80">
        <v>46016</v>
      </c>
      <c r="X43" s="83">
        <v>46016</v>
      </c>
      <c r="Y43" s="83">
        <v>46023</v>
      </c>
      <c r="Z43" s="80">
        <v>46023</v>
      </c>
      <c r="AA43" s="80">
        <v>46024</v>
      </c>
      <c r="AB43" s="80">
        <v>46024</v>
      </c>
      <c r="AC43" s="80">
        <v>46025</v>
      </c>
      <c r="AD43" s="84" t="s">
        <v>641</v>
      </c>
      <c r="AE43" s="54">
        <f t="shared" si="9"/>
        <v>7</v>
      </c>
      <c r="AF43" s="36">
        <v>7</v>
      </c>
      <c r="AG43" s="51">
        <f t="shared" si="10"/>
        <v>0</v>
      </c>
      <c r="AH43" s="52">
        <v>200</v>
      </c>
      <c r="AI43" s="53">
        <f t="shared" si="11"/>
        <v>0</v>
      </c>
      <c r="AJ43" s="54">
        <f t="shared" si="12"/>
        <v>1</v>
      </c>
      <c r="AK43" s="36">
        <v>2</v>
      </c>
      <c r="AL43" s="51">
        <f t="shared" si="13"/>
        <v>0</v>
      </c>
      <c r="AM43" s="52">
        <v>200</v>
      </c>
      <c r="AN43" s="53">
        <f t="shared" si="14"/>
        <v>0</v>
      </c>
      <c r="AO43" s="52"/>
      <c r="AP43" s="55">
        <f t="shared" si="15"/>
        <v>0</v>
      </c>
    </row>
    <row r="44" spans="1:42" s="1" customFormat="1" ht="15" customHeight="1">
      <c r="A44" s="78">
        <f t="shared" si="8"/>
        <v>41</v>
      </c>
      <c r="B44" s="79" t="s">
        <v>114</v>
      </c>
      <c r="C44" s="86" t="s">
        <v>431</v>
      </c>
      <c r="D44" s="86" t="s">
        <v>432</v>
      </c>
      <c r="E44" s="78" t="s">
        <v>433</v>
      </c>
      <c r="F44" s="79" t="s">
        <v>215</v>
      </c>
      <c r="G44" s="81" t="s">
        <v>103</v>
      </c>
      <c r="H44" s="81">
        <v>28</v>
      </c>
      <c r="I44" s="79">
        <v>35000</v>
      </c>
      <c r="J44" s="79">
        <v>35070</v>
      </c>
      <c r="K44" s="79" t="s">
        <v>120</v>
      </c>
      <c r="L44" s="80">
        <v>45890</v>
      </c>
      <c r="M44" s="82" t="s">
        <v>121</v>
      </c>
      <c r="N44" s="80" t="s">
        <v>122</v>
      </c>
      <c r="O44" s="80">
        <v>45881</v>
      </c>
      <c r="P44" s="80">
        <v>45907</v>
      </c>
      <c r="Q44" s="80">
        <v>45892</v>
      </c>
      <c r="R44" s="80">
        <v>46002</v>
      </c>
      <c r="S44" s="80">
        <v>46004</v>
      </c>
      <c r="T44" s="80">
        <v>46008</v>
      </c>
      <c r="U44" s="80">
        <v>46013</v>
      </c>
      <c r="V44" s="80">
        <v>46016</v>
      </c>
      <c r="W44" s="80">
        <v>46016</v>
      </c>
      <c r="X44" s="83">
        <v>46016</v>
      </c>
      <c r="Y44" s="83">
        <v>46022</v>
      </c>
      <c r="Z44" s="80">
        <v>46023</v>
      </c>
      <c r="AA44" s="80">
        <v>46023</v>
      </c>
      <c r="AB44" s="80">
        <v>46023</v>
      </c>
      <c r="AC44" s="80">
        <v>46025</v>
      </c>
      <c r="AD44" s="84" t="s">
        <v>641</v>
      </c>
      <c r="AE44" s="54">
        <f t="shared" si="9"/>
        <v>6</v>
      </c>
      <c r="AF44" s="36">
        <v>7</v>
      </c>
      <c r="AG44" s="51">
        <f t="shared" si="10"/>
        <v>0</v>
      </c>
      <c r="AH44" s="52">
        <v>200</v>
      </c>
      <c r="AI44" s="53">
        <f t="shared" si="11"/>
        <v>0</v>
      </c>
      <c r="AJ44" s="54">
        <f t="shared" si="12"/>
        <v>2</v>
      </c>
      <c r="AK44" s="36">
        <v>2</v>
      </c>
      <c r="AL44" s="51">
        <f t="shared" si="13"/>
        <v>0</v>
      </c>
      <c r="AM44" s="52">
        <v>200</v>
      </c>
      <c r="AN44" s="53">
        <f t="shared" si="14"/>
        <v>0</v>
      </c>
      <c r="AO44" s="52"/>
      <c r="AP44" s="55">
        <f t="shared" si="15"/>
        <v>0</v>
      </c>
    </row>
    <row r="45" spans="1:42" s="1" customFormat="1" ht="15" customHeight="1">
      <c r="A45" s="78">
        <f t="shared" si="8"/>
        <v>42</v>
      </c>
      <c r="B45" s="79" t="s">
        <v>114</v>
      </c>
      <c r="C45" s="86" t="s">
        <v>419</v>
      </c>
      <c r="D45" s="86" t="s">
        <v>420</v>
      </c>
      <c r="E45" s="89" t="s">
        <v>421</v>
      </c>
      <c r="F45" s="79" t="s">
        <v>215</v>
      </c>
      <c r="G45" s="81" t="s">
        <v>103</v>
      </c>
      <c r="H45" s="81">
        <v>29</v>
      </c>
      <c r="I45" s="79">
        <v>36250</v>
      </c>
      <c r="J45" s="79">
        <v>36323</v>
      </c>
      <c r="K45" s="79" t="s">
        <v>120</v>
      </c>
      <c r="L45" s="80">
        <v>45890</v>
      </c>
      <c r="M45" s="82" t="s">
        <v>121</v>
      </c>
      <c r="N45" s="80" t="s">
        <v>122</v>
      </c>
      <c r="O45" s="80">
        <v>45881</v>
      </c>
      <c r="P45" s="80">
        <v>45907</v>
      </c>
      <c r="Q45" s="80">
        <v>45892</v>
      </c>
      <c r="R45" s="80">
        <v>46002</v>
      </c>
      <c r="S45" s="80">
        <v>46004</v>
      </c>
      <c r="T45" s="80">
        <v>46008</v>
      </c>
      <c r="U45" s="80">
        <v>46012</v>
      </c>
      <c r="V45" s="80">
        <v>46015</v>
      </c>
      <c r="W45" s="80">
        <v>46015</v>
      </c>
      <c r="X45" s="83">
        <v>46015</v>
      </c>
      <c r="Y45" s="83">
        <v>46022</v>
      </c>
      <c r="Z45" s="80">
        <v>46022</v>
      </c>
      <c r="AA45" s="80">
        <v>46023</v>
      </c>
      <c r="AB45" s="80">
        <v>46023</v>
      </c>
      <c r="AC45" s="80">
        <v>46025</v>
      </c>
      <c r="AD45" s="84" t="s">
        <v>641</v>
      </c>
      <c r="AE45" s="54">
        <f t="shared" si="9"/>
        <v>7</v>
      </c>
      <c r="AF45" s="36">
        <v>7</v>
      </c>
      <c r="AG45" s="51">
        <f t="shared" si="10"/>
        <v>0</v>
      </c>
      <c r="AH45" s="52">
        <v>200</v>
      </c>
      <c r="AI45" s="53">
        <f t="shared" si="11"/>
        <v>0</v>
      </c>
      <c r="AJ45" s="54">
        <f t="shared" si="12"/>
        <v>2</v>
      </c>
      <c r="AK45" s="36">
        <v>2</v>
      </c>
      <c r="AL45" s="51">
        <f t="shared" si="13"/>
        <v>0</v>
      </c>
      <c r="AM45" s="52">
        <v>200</v>
      </c>
      <c r="AN45" s="53">
        <f t="shared" si="14"/>
        <v>0</v>
      </c>
      <c r="AO45" s="52"/>
      <c r="AP45" s="55">
        <f t="shared" si="15"/>
        <v>0</v>
      </c>
    </row>
    <row r="46" spans="1:42" s="1" customFormat="1" ht="15" customHeight="1">
      <c r="A46" s="78">
        <f t="shared" si="8"/>
        <v>43</v>
      </c>
      <c r="B46" s="79" t="s">
        <v>114</v>
      </c>
      <c r="C46" s="86" t="s">
        <v>434</v>
      </c>
      <c r="D46" s="86" t="s">
        <v>435</v>
      </c>
      <c r="E46" s="79" t="s">
        <v>436</v>
      </c>
      <c r="F46" s="79" t="s">
        <v>215</v>
      </c>
      <c r="G46" s="81" t="s">
        <v>103</v>
      </c>
      <c r="H46" s="81">
        <v>29</v>
      </c>
      <c r="I46" s="79">
        <v>36250</v>
      </c>
      <c r="J46" s="79">
        <v>36323</v>
      </c>
      <c r="K46" s="79" t="s">
        <v>120</v>
      </c>
      <c r="L46" s="80">
        <v>45890</v>
      </c>
      <c r="M46" s="82" t="s">
        <v>121</v>
      </c>
      <c r="N46" s="80" t="s">
        <v>122</v>
      </c>
      <c r="O46" s="80">
        <v>45881</v>
      </c>
      <c r="P46" s="80">
        <v>45907</v>
      </c>
      <c r="Q46" s="80">
        <v>45892</v>
      </c>
      <c r="R46" s="80">
        <v>46002</v>
      </c>
      <c r="S46" s="80">
        <v>46004</v>
      </c>
      <c r="T46" s="80">
        <v>46008</v>
      </c>
      <c r="U46" s="80">
        <v>46015</v>
      </c>
      <c r="V46" s="80">
        <v>46018</v>
      </c>
      <c r="W46" s="80">
        <v>46018</v>
      </c>
      <c r="X46" s="83">
        <v>46018</v>
      </c>
      <c r="Y46" s="83">
        <v>46021</v>
      </c>
      <c r="Z46" s="80">
        <v>46021</v>
      </c>
      <c r="AA46" s="80">
        <v>46022</v>
      </c>
      <c r="AB46" s="80">
        <v>46022</v>
      </c>
      <c r="AC46" s="80">
        <v>46024</v>
      </c>
      <c r="AD46" s="84" t="s">
        <v>641</v>
      </c>
      <c r="AE46" s="45">
        <f t="shared" si="9"/>
        <v>3</v>
      </c>
      <c r="AF46" s="36">
        <v>7</v>
      </c>
      <c r="AG46" s="46">
        <f t="shared" si="10"/>
        <v>0</v>
      </c>
      <c r="AH46" s="47">
        <v>200</v>
      </c>
      <c r="AI46" s="48">
        <f t="shared" si="11"/>
        <v>0</v>
      </c>
      <c r="AJ46" s="45">
        <f t="shared" si="12"/>
        <v>2</v>
      </c>
      <c r="AK46" s="36">
        <v>2</v>
      </c>
      <c r="AL46" s="46">
        <f t="shared" si="13"/>
        <v>0</v>
      </c>
      <c r="AM46" s="47">
        <v>200</v>
      </c>
      <c r="AN46" s="48">
        <f t="shared" si="14"/>
        <v>0</v>
      </c>
      <c r="AO46" s="47"/>
      <c r="AP46" s="49">
        <f t="shared" si="15"/>
        <v>0</v>
      </c>
    </row>
    <row r="47" spans="1:42" s="68" customFormat="1" ht="15" customHeight="1">
      <c r="A47" s="78">
        <f t="shared" si="8"/>
        <v>44</v>
      </c>
      <c r="B47" s="79" t="s">
        <v>114</v>
      </c>
      <c r="C47" s="86" t="s">
        <v>397</v>
      </c>
      <c r="D47" s="86" t="s">
        <v>398</v>
      </c>
      <c r="E47" s="79" t="s">
        <v>399</v>
      </c>
      <c r="F47" s="79" t="s">
        <v>215</v>
      </c>
      <c r="G47" s="81" t="s">
        <v>103</v>
      </c>
      <c r="H47" s="81">
        <v>28</v>
      </c>
      <c r="I47" s="79">
        <v>35000</v>
      </c>
      <c r="J47" s="79">
        <v>35070</v>
      </c>
      <c r="K47" s="79" t="s">
        <v>120</v>
      </c>
      <c r="L47" s="80">
        <v>45890</v>
      </c>
      <c r="M47" s="82" t="s">
        <v>121</v>
      </c>
      <c r="N47" s="80" t="s">
        <v>122</v>
      </c>
      <c r="O47" s="80">
        <v>45881</v>
      </c>
      <c r="P47" s="80">
        <v>45907</v>
      </c>
      <c r="Q47" s="80">
        <v>45892</v>
      </c>
      <c r="R47" s="80">
        <v>46004</v>
      </c>
      <c r="S47" s="80">
        <v>46005</v>
      </c>
      <c r="T47" s="80">
        <v>46009</v>
      </c>
      <c r="U47" s="80">
        <v>46015</v>
      </c>
      <c r="V47" s="80">
        <v>46018</v>
      </c>
      <c r="W47" s="80">
        <v>46018</v>
      </c>
      <c r="X47" s="83">
        <v>46018</v>
      </c>
      <c r="Y47" s="83">
        <v>46021</v>
      </c>
      <c r="Z47" s="80">
        <v>46021</v>
      </c>
      <c r="AA47" s="80">
        <v>46022</v>
      </c>
      <c r="AB47" s="80">
        <v>46022</v>
      </c>
      <c r="AC47" s="80">
        <v>46024</v>
      </c>
      <c r="AD47" s="84" t="s">
        <v>641</v>
      </c>
      <c r="AE47" s="45">
        <f t="shared" si="9"/>
        <v>3</v>
      </c>
      <c r="AF47" s="36">
        <v>7</v>
      </c>
      <c r="AG47" s="46">
        <f t="shared" si="10"/>
        <v>0</v>
      </c>
      <c r="AH47" s="47">
        <v>200</v>
      </c>
      <c r="AI47" s="48">
        <f t="shared" si="11"/>
        <v>0</v>
      </c>
      <c r="AJ47" s="45">
        <f t="shared" si="12"/>
        <v>2</v>
      </c>
      <c r="AK47" s="36">
        <v>2</v>
      </c>
      <c r="AL47" s="46">
        <f t="shared" si="13"/>
        <v>0</v>
      </c>
      <c r="AM47" s="47">
        <v>200</v>
      </c>
      <c r="AN47" s="48">
        <f t="shared" si="14"/>
        <v>0</v>
      </c>
      <c r="AO47" s="47"/>
      <c r="AP47" s="49">
        <f t="shared" si="15"/>
        <v>0</v>
      </c>
    </row>
    <row r="48" spans="1:42" s="1" customFormat="1" ht="16.5" customHeight="1">
      <c r="A48" s="78">
        <f t="shared" si="8"/>
        <v>45</v>
      </c>
      <c r="B48" s="79" t="s">
        <v>114</v>
      </c>
      <c r="C48" s="86" t="s">
        <v>400</v>
      </c>
      <c r="D48" s="78" t="s">
        <v>401</v>
      </c>
      <c r="E48" s="78" t="s">
        <v>402</v>
      </c>
      <c r="F48" s="79" t="s">
        <v>215</v>
      </c>
      <c r="G48" s="81" t="s">
        <v>103</v>
      </c>
      <c r="H48" s="81">
        <v>29</v>
      </c>
      <c r="I48" s="79">
        <v>36323</v>
      </c>
      <c r="J48" s="79">
        <v>56000</v>
      </c>
      <c r="K48" s="79" t="s">
        <v>120</v>
      </c>
      <c r="L48" s="80">
        <v>45890</v>
      </c>
      <c r="M48" s="82" t="s">
        <v>121</v>
      </c>
      <c r="N48" s="80" t="s">
        <v>122</v>
      </c>
      <c r="O48" s="80">
        <v>45881</v>
      </c>
      <c r="P48" s="80">
        <v>45907</v>
      </c>
      <c r="Q48" s="80">
        <v>45892</v>
      </c>
      <c r="R48" s="80">
        <v>45999</v>
      </c>
      <c r="S48" s="80">
        <v>46005</v>
      </c>
      <c r="T48" s="80">
        <v>46009</v>
      </c>
      <c r="U48" s="80">
        <v>46012</v>
      </c>
      <c r="V48" s="80">
        <v>46015</v>
      </c>
      <c r="W48" s="80">
        <v>46015</v>
      </c>
      <c r="X48" s="83">
        <v>46015</v>
      </c>
      <c r="Y48" s="83">
        <v>46021</v>
      </c>
      <c r="Z48" s="80">
        <v>46021</v>
      </c>
      <c r="AA48" s="80">
        <v>46022</v>
      </c>
      <c r="AB48" s="80">
        <v>46022</v>
      </c>
      <c r="AC48" s="80">
        <v>46024</v>
      </c>
      <c r="AD48" s="84" t="s">
        <v>641</v>
      </c>
      <c r="AE48" s="54">
        <f t="shared" si="9"/>
        <v>6</v>
      </c>
      <c r="AF48" s="36">
        <v>7</v>
      </c>
      <c r="AG48" s="51">
        <f t="shared" si="10"/>
        <v>0</v>
      </c>
      <c r="AH48" s="52">
        <v>200</v>
      </c>
      <c r="AI48" s="53">
        <f t="shared" si="11"/>
        <v>0</v>
      </c>
      <c r="AJ48" s="54">
        <f t="shared" si="12"/>
        <v>2</v>
      </c>
      <c r="AK48" s="36">
        <v>2</v>
      </c>
      <c r="AL48" s="51">
        <f t="shared" si="13"/>
        <v>0</v>
      </c>
      <c r="AM48" s="52">
        <v>200</v>
      </c>
      <c r="AN48" s="53">
        <f t="shared" si="14"/>
        <v>0</v>
      </c>
      <c r="AO48" s="52"/>
      <c r="AP48" s="55">
        <f t="shared" si="15"/>
        <v>0</v>
      </c>
    </row>
    <row r="49" spans="1:42" s="1" customFormat="1" ht="14.25" customHeight="1">
      <c r="A49" s="78">
        <f t="shared" si="8"/>
        <v>46</v>
      </c>
      <c r="B49" s="79" t="s">
        <v>114</v>
      </c>
      <c r="C49" s="86" t="s">
        <v>416</v>
      </c>
      <c r="D49" s="86" t="s">
        <v>417</v>
      </c>
      <c r="E49" s="79" t="s">
        <v>418</v>
      </c>
      <c r="F49" s="79" t="s">
        <v>215</v>
      </c>
      <c r="G49" s="81" t="s">
        <v>103</v>
      </c>
      <c r="H49" s="81">
        <v>29</v>
      </c>
      <c r="I49" s="79">
        <v>36250</v>
      </c>
      <c r="J49" s="79">
        <v>36323</v>
      </c>
      <c r="K49" s="79" t="s">
        <v>120</v>
      </c>
      <c r="L49" s="80">
        <v>45890</v>
      </c>
      <c r="M49" s="82" t="s">
        <v>121</v>
      </c>
      <c r="N49" s="80" t="s">
        <v>122</v>
      </c>
      <c r="O49" s="80">
        <v>45881</v>
      </c>
      <c r="P49" s="80">
        <v>45907</v>
      </c>
      <c r="Q49" s="80">
        <v>45892</v>
      </c>
      <c r="R49" s="80">
        <v>46001</v>
      </c>
      <c r="S49" s="80">
        <v>46004</v>
      </c>
      <c r="T49" s="80">
        <v>46008</v>
      </c>
      <c r="U49" s="80">
        <v>46012</v>
      </c>
      <c r="V49" s="80">
        <v>46015</v>
      </c>
      <c r="W49" s="80">
        <v>46015</v>
      </c>
      <c r="X49" s="83">
        <v>46015</v>
      </c>
      <c r="Y49" s="83">
        <v>46021</v>
      </c>
      <c r="Z49" s="80">
        <v>46021</v>
      </c>
      <c r="AA49" s="80">
        <v>46022</v>
      </c>
      <c r="AB49" s="80">
        <v>46022</v>
      </c>
      <c r="AC49" s="80">
        <v>46024</v>
      </c>
      <c r="AD49" s="84" t="s">
        <v>641</v>
      </c>
      <c r="AE49" s="45">
        <f t="shared" si="9"/>
        <v>6</v>
      </c>
      <c r="AF49" s="36">
        <v>7</v>
      </c>
      <c r="AG49" s="46">
        <f t="shared" si="10"/>
        <v>0</v>
      </c>
      <c r="AH49" s="47">
        <v>200</v>
      </c>
      <c r="AI49" s="48">
        <f t="shared" si="11"/>
        <v>0</v>
      </c>
      <c r="AJ49" s="45">
        <f t="shared" si="12"/>
        <v>2</v>
      </c>
      <c r="AK49" s="36">
        <v>2</v>
      </c>
      <c r="AL49" s="46">
        <f t="shared" si="13"/>
        <v>0</v>
      </c>
      <c r="AM49" s="47">
        <v>200</v>
      </c>
      <c r="AN49" s="48">
        <f t="shared" si="14"/>
        <v>0</v>
      </c>
      <c r="AO49" s="47"/>
      <c r="AP49" s="49">
        <f t="shared" si="15"/>
        <v>0</v>
      </c>
    </row>
    <row r="50" spans="1:42" s="1" customFormat="1" ht="15" customHeight="1">
      <c r="A50" s="78">
        <f t="shared" si="8"/>
        <v>47</v>
      </c>
      <c r="B50" s="79" t="s">
        <v>114</v>
      </c>
      <c r="C50" s="86" t="s">
        <v>413</v>
      </c>
      <c r="D50" s="86" t="s">
        <v>414</v>
      </c>
      <c r="E50" s="78" t="s">
        <v>415</v>
      </c>
      <c r="F50" s="79" t="s">
        <v>215</v>
      </c>
      <c r="G50" s="78" t="s">
        <v>103</v>
      </c>
      <c r="H50" s="81">
        <v>28</v>
      </c>
      <c r="I50" s="79">
        <v>35000</v>
      </c>
      <c r="J50" s="79">
        <v>35070</v>
      </c>
      <c r="K50" s="79" t="s">
        <v>120</v>
      </c>
      <c r="L50" s="80">
        <v>45890</v>
      </c>
      <c r="M50" s="82" t="s">
        <v>121</v>
      </c>
      <c r="N50" s="80" t="s">
        <v>122</v>
      </c>
      <c r="O50" s="80">
        <v>45881</v>
      </c>
      <c r="P50" s="80">
        <v>45907</v>
      </c>
      <c r="Q50" s="80">
        <v>45892</v>
      </c>
      <c r="R50" s="80">
        <v>46001</v>
      </c>
      <c r="S50" s="80">
        <v>46005</v>
      </c>
      <c r="T50" s="80">
        <v>46009</v>
      </c>
      <c r="U50" s="80">
        <v>46014</v>
      </c>
      <c r="V50" s="80">
        <v>46016</v>
      </c>
      <c r="W50" s="80">
        <v>46016</v>
      </c>
      <c r="X50" s="83">
        <v>46016</v>
      </c>
      <c r="Y50" s="83">
        <v>46020</v>
      </c>
      <c r="Z50" s="80">
        <v>46020</v>
      </c>
      <c r="AA50" s="80">
        <v>46021</v>
      </c>
      <c r="AB50" s="80">
        <v>46021</v>
      </c>
      <c r="AC50" s="80">
        <v>46023</v>
      </c>
      <c r="AD50" s="84" t="s">
        <v>641</v>
      </c>
      <c r="AE50" s="45">
        <f t="shared" si="9"/>
        <v>4</v>
      </c>
      <c r="AF50" s="36">
        <v>7</v>
      </c>
      <c r="AG50" s="46">
        <f t="shared" si="10"/>
        <v>0</v>
      </c>
      <c r="AH50" s="47">
        <v>200</v>
      </c>
      <c r="AI50" s="48">
        <f t="shared" si="11"/>
        <v>0</v>
      </c>
      <c r="AJ50" s="45">
        <f t="shared" si="12"/>
        <v>2</v>
      </c>
      <c r="AK50" s="36">
        <v>2</v>
      </c>
      <c r="AL50" s="46">
        <f t="shared" si="13"/>
        <v>0</v>
      </c>
      <c r="AM50" s="47">
        <v>200</v>
      </c>
      <c r="AN50" s="48">
        <f t="shared" si="14"/>
        <v>0</v>
      </c>
      <c r="AO50" s="47">
        <v>0</v>
      </c>
      <c r="AP50" s="49">
        <f t="shared" si="15"/>
        <v>0</v>
      </c>
    </row>
    <row r="51" spans="1:42" s="68" customFormat="1" ht="15" customHeight="1">
      <c r="A51" s="78">
        <f t="shared" si="8"/>
        <v>48</v>
      </c>
      <c r="B51" s="79" t="s">
        <v>114</v>
      </c>
      <c r="C51" s="86" t="s">
        <v>379</v>
      </c>
      <c r="D51" s="89" t="s">
        <v>380</v>
      </c>
      <c r="E51" s="89" t="s">
        <v>381</v>
      </c>
      <c r="F51" s="79" t="s">
        <v>215</v>
      </c>
      <c r="G51" s="78" t="s">
        <v>103</v>
      </c>
      <c r="H51" s="81">
        <v>28</v>
      </c>
      <c r="I51" s="79">
        <v>36250</v>
      </c>
      <c r="J51" s="79">
        <v>36323</v>
      </c>
      <c r="K51" s="79" t="s">
        <v>120</v>
      </c>
      <c r="L51" s="80">
        <v>45890</v>
      </c>
      <c r="M51" s="82" t="s">
        <v>121</v>
      </c>
      <c r="N51" s="80" t="s">
        <v>122</v>
      </c>
      <c r="O51" s="80">
        <v>45881</v>
      </c>
      <c r="P51" s="80">
        <v>45907</v>
      </c>
      <c r="Q51" s="80">
        <v>45892</v>
      </c>
      <c r="R51" s="80">
        <v>46004</v>
      </c>
      <c r="S51" s="80">
        <v>46008</v>
      </c>
      <c r="T51" s="80">
        <v>46013</v>
      </c>
      <c r="U51" s="80">
        <v>46015</v>
      </c>
      <c r="V51" s="80">
        <v>46017</v>
      </c>
      <c r="W51" s="80">
        <v>46017</v>
      </c>
      <c r="X51" s="83">
        <v>46017</v>
      </c>
      <c r="Y51" s="83">
        <v>46020</v>
      </c>
      <c r="Z51" s="80">
        <v>46020</v>
      </c>
      <c r="AA51" s="80">
        <v>46021</v>
      </c>
      <c r="AB51" s="80">
        <v>46021</v>
      </c>
      <c r="AC51" s="80">
        <v>46022</v>
      </c>
      <c r="AD51" s="84" t="s">
        <v>641</v>
      </c>
      <c r="AE51" s="45">
        <f t="shared" si="9"/>
        <v>3</v>
      </c>
      <c r="AF51" s="36">
        <v>7</v>
      </c>
      <c r="AG51" s="46">
        <f t="shared" si="10"/>
        <v>0</v>
      </c>
      <c r="AH51" s="47">
        <v>200</v>
      </c>
      <c r="AI51" s="48">
        <f t="shared" si="11"/>
        <v>0</v>
      </c>
      <c r="AJ51" s="45">
        <f t="shared" si="12"/>
        <v>1</v>
      </c>
      <c r="AK51" s="36">
        <v>2</v>
      </c>
      <c r="AL51" s="46">
        <f t="shared" si="13"/>
        <v>0</v>
      </c>
      <c r="AM51" s="47">
        <v>200</v>
      </c>
      <c r="AN51" s="48">
        <f t="shared" si="14"/>
        <v>0</v>
      </c>
      <c r="AO51" s="47"/>
      <c r="AP51" s="49">
        <f t="shared" si="15"/>
        <v>0</v>
      </c>
    </row>
    <row r="52" spans="1:42" s="68" customFormat="1" ht="15" customHeight="1">
      <c r="A52" s="78">
        <f t="shared" si="8"/>
        <v>49</v>
      </c>
      <c r="B52" s="79" t="s">
        <v>114</v>
      </c>
      <c r="C52" s="86" t="s">
        <v>382</v>
      </c>
      <c r="D52" s="86" t="s">
        <v>383</v>
      </c>
      <c r="E52" s="78" t="s">
        <v>384</v>
      </c>
      <c r="F52" s="79" t="s">
        <v>215</v>
      </c>
      <c r="G52" s="78" t="s">
        <v>103</v>
      </c>
      <c r="H52" s="81">
        <v>28</v>
      </c>
      <c r="I52" s="79">
        <v>36250</v>
      </c>
      <c r="J52" s="79">
        <v>36323</v>
      </c>
      <c r="K52" s="79" t="s">
        <v>120</v>
      </c>
      <c r="L52" s="80">
        <v>45890</v>
      </c>
      <c r="M52" s="82" t="s">
        <v>121</v>
      </c>
      <c r="N52" s="80" t="s">
        <v>122</v>
      </c>
      <c r="O52" s="80">
        <v>45881</v>
      </c>
      <c r="P52" s="80">
        <v>45907</v>
      </c>
      <c r="Q52" s="80">
        <v>45892</v>
      </c>
      <c r="R52" s="80">
        <v>46004</v>
      </c>
      <c r="S52" s="80">
        <v>46008</v>
      </c>
      <c r="T52" s="80">
        <v>46013</v>
      </c>
      <c r="U52" s="80">
        <v>46015</v>
      </c>
      <c r="V52" s="80">
        <v>46017</v>
      </c>
      <c r="W52" s="80">
        <v>46017</v>
      </c>
      <c r="X52" s="83">
        <v>46017</v>
      </c>
      <c r="Y52" s="83">
        <v>46020</v>
      </c>
      <c r="Z52" s="80">
        <v>46020</v>
      </c>
      <c r="AA52" s="80">
        <v>46021</v>
      </c>
      <c r="AB52" s="80">
        <v>46021</v>
      </c>
      <c r="AC52" s="80">
        <v>46022</v>
      </c>
      <c r="AD52" s="84" t="s">
        <v>641</v>
      </c>
      <c r="AE52" s="54">
        <f t="shared" si="9"/>
        <v>3</v>
      </c>
      <c r="AF52" s="36">
        <v>7</v>
      </c>
      <c r="AG52" s="51">
        <f t="shared" si="10"/>
        <v>0</v>
      </c>
      <c r="AH52" s="52">
        <v>200</v>
      </c>
      <c r="AI52" s="53">
        <f t="shared" si="11"/>
        <v>0</v>
      </c>
      <c r="AJ52" s="54">
        <f t="shared" si="12"/>
        <v>1</v>
      </c>
      <c r="AK52" s="36">
        <v>2</v>
      </c>
      <c r="AL52" s="51">
        <f t="shared" si="13"/>
        <v>0</v>
      </c>
      <c r="AM52" s="52">
        <v>200</v>
      </c>
      <c r="AN52" s="53">
        <f t="shared" si="14"/>
        <v>0</v>
      </c>
      <c r="AO52" s="52"/>
      <c r="AP52" s="55">
        <f t="shared" si="15"/>
        <v>0</v>
      </c>
    </row>
    <row r="53" spans="1:42" ht="15.75" thickBot="1">
      <c r="B53" s="65"/>
      <c r="C53" s="65"/>
      <c r="G53" s="65"/>
    </row>
    <row r="54" spans="1:42" ht="15.75" thickBot="1">
      <c r="G54" s="65"/>
    </row>
    <row r="55" spans="1:42" ht="15.75" thickBot="1">
      <c r="D55" s="66"/>
      <c r="E55" s="65"/>
      <c r="F55" s="65"/>
      <c r="G55" s="65"/>
    </row>
    <row r="56" spans="1:42" ht="15.75" thickBot="1">
      <c r="D56" s="66"/>
      <c r="E56" s="65"/>
      <c r="F56" s="65"/>
      <c r="G56" s="65"/>
    </row>
    <row r="57" spans="1:42" ht="15.75" thickBot="1">
      <c r="D57" s="66"/>
      <c r="E57" s="65"/>
      <c r="F57" s="65"/>
      <c r="G57" s="65"/>
    </row>
    <row r="58" spans="1:42" ht="15.75" thickBot="1">
      <c r="D58" s="66"/>
      <c r="E58" s="65"/>
      <c r="F58" s="65"/>
      <c r="G58" s="65"/>
    </row>
    <row r="59" spans="1:42" ht="15.75" thickBot="1">
      <c r="D59" s="96"/>
      <c r="E59" s="90"/>
      <c r="F59" s="90"/>
      <c r="G59" s="90"/>
    </row>
    <row r="60" spans="1:42" ht="15.75" thickBot="1">
      <c r="D60" s="66"/>
      <c r="E60" s="65"/>
      <c r="F60" s="65"/>
      <c r="G60" s="65"/>
    </row>
    <row r="61" spans="1:42" ht="15.75" thickBot="1">
      <c r="G61" s="65"/>
    </row>
    <row r="62" spans="1:42" ht="15.75" thickBot="1">
      <c r="G62" s="65"/>
    </row>
    <row r="65" spans="7:7" ht="15.75" thickBot="1">
      <c r="G65" s="65"/>
    </row>
    <row r="66" spans="7:7" ht="15.75" thickBot="1">
      <c r="G66" s="65"/>
    </row>
    <row r="67" spans="7:7" ht="15.75" thickBot="1">
      <c r="G67" s="65"/>
    </row>
    <row r="68" spans="7:7" ht="15.75" thickBot="1">
      <c r="G68" s="65"/>
    </row>
    <row r="69" spans="7:7" ht="15.75" thickBot="1">
      <c r="G69" s="65"/>
    </row>
    <row r="70" spans="7:7" ht="15.75" thickBot="1">
      <c r="G70" s="65"/>
    </row>
    <row r="71" spans="7:7" ht="15.75" thickBot="1">
      <c r="G71" s="65"/>
    </row>
    <row r="72" spans="7:7" ht="15.75" thickBot="1">
      <c r="G72" s="65"/>
    </row>
    <row r="73" spans="7:7" ht="15.75" thickBot="1">
      <c r="G73" s="65"/>
    </row>
    <row r="74" spans="7:7" ht="15.75" thickBot="1">
      <c r="G74" s="65"/>
    </row>
    <row r="75" spans="7:7" ht="15.75" thickBot="1">
      <c r="G75" s="65"/>
    </row>
    <row r="76" spans="7:7" ht="15.75" thickBot="1">
      <c r="G76" s="65"/>
    </row>
    <row r="77" spans="7:7" ht="15.75" thickBot="1">
      <c r="G77" s="65"/>
    </row>
    <row r="78" spans="7:7" ht="15.75" thickBot="1">
      <c r="G78" s="65"/>
    </row>
    <row r="79" spans="7:7" ht="15.75" thickBot="1">
      <c r="G79" s="65"/>
    </row>
    <row r="80" spans="7:7" ht="15.75" thickBot="1">
      <c r="G80" s="65"/>
    </row>
    <row r="81" spans="7:7" ht="15.75" thickBot="1">
      <c r="G81" s="65"/>
    </row>
    <row r="82" spans="7:7" ht="15.75" thickBot="1">
      <c r="G82" s="65"/>
    </row>
    <row r="83" spans="7:7" ht="15.75" thickBot="1">
      <c r="G83" s="90"/>
    </row>
    <row r="84" spans="7:7" ht="15.75" thickBot="1">
      <c r="G84" s="65"/>
    </row>
    <row r="85" spans="7:7" ht="15.75" thickBot="1">
      <c r="G85" s="65"/>
    </row>
    <row r="86" spans="7:7" ht="15.75" thickBot="1">
      <c r="G86" s="65"/>
    </row>
    <row r="87" spans="7:7" ht="15.75" thickBot="1">
      <c r="G87" s="90"/>
    </row>
    <row r="88" spans="7:7" ht="15.75" thickBot="1">
      <c r="G88" s="65"/>
    </row>
    <row r="89" spans="7:7" ht="15.75" thickBot="1">
      <c r="G89" s="65"/>
    </row>
    <row r="90" spans="7:7" ht="15.75" thickBot="1">
      <c r="G90" s="65"/>
    </row>
    <row r="91" spans="7:7" ht="15.75" thickBot="1">
      <c r="G91" s="65"/>
    </row>
  </sheetData>
  <mergeCells count="3">
    <mergeCell ref="AN1:AP1"/>
    <mergeCell ref="AE2:AH2"/>
    <mergeCell ref="AJ2:AM2"/>
  </mergeCells>
  <conditionalFormatting sqref="C1:C54 C96:C1048576">
    <cfRule type="duplicateValues" dxfId="433" priority="9"/>
  </conditionalFormatting>
  <conditionalFormatting sqref="C4">
    <cfRule type="duplicateValues" dxfId="432" priority="979"/>
  </conditionalFormatting>
  <conditionalFormatting sqref="C7">
    <cfRule type="duplicateValues" dxfId="431" priority="1220"/>
  </conditionalFormatting>
  <conditionalFormatting sqref="C9">
    <cfRule type="duplicateValues" dxfId="430" priority="980"/>
  </conditionalFormatting>
  <conditionalFormatting sqref="C12">
    <cfRule type="duplicateValues" dxfId="429" priority="1170"/>
  </conditionalFormatting>
  <conditionalFormatting sqref="C13">
    <cfRule type="duplicateValues" dxfId="428" priority="1244"/>
  </conditionalFormatting>
  <conditionalFormatting sqref="C14">
    <cfRule type="duplicateValues" dxfId="427" priority="1172"/>
  </conditionalFormatting>
  <conditionalFormatting sqref="C15">
    <cfRule type="duplicateValues" dxfId="426" priority="1196"/>
  </conditionalFormatting>
  <conditionalFormatting sqref="C17">
    <cfRule type="duplicateValues" dxfId="425" priority="989"/>
    <cfRule type="duplicateValues" dxfId="424" priority="1003"/>
  </conditionalFormatting>
  <conditionalFormatting sqref="C18">
    <cfRule type="duplicateValues" dxfId="423" priority="1162"/>
    <cfRule type="duplicateValues" dxfId="422" priority="1169"/>
  </conditionalFormatting>
  <conditionalFormatting sqref="C19:C52 C5:C6 C10:C11">
    <cfRule type="duplicateValues" dxfId="421" priority="24572"/>
  </conditionalFormatting>
  <conditionalFormatting sqref="C19:C52 C8 C5:C6 C10:C11">
    <cfRule type="duplicateValues" dxfId="420" priority="24576"/>
  </conditionalFormatting>
  <conditionalFormatting sqref="C19:C52 C11 C5:C6">
    <cfRule type="duplicateValues" dxfId="419" priority="24581"/>
  </conditionalFormatting>
  <conditionalFormatting sqref="C53">
    <cfRule type="duplicateValues" dxfId="418" priority="150"/>
  </conditionalFormatting>
  <conditionalFormatting sqref="C96:C1048576 C1 C3:C52">
    <cfRule type="duplicateValues" dxfId="417" priority="443"/>
  </conditionalFormatting>
  <conditionalFormatting sqref="C96:C1048576 C1:C52">
    <cfRule type="duplicateValues" dxfId="416" priority="159"/>
    <cfRule type="duplicateValues" dxfId="415" priority="160"/>
    <cfRule type="duplicateValues" dxfId="414" priority="161"/>
    <cfRule type="duplicateValues" dxfId="413" priority="162"/>
    <cfRule type="duplicateValues" dxfId="412" priority="188"/>
    <cfRule type="duplicateValues" dxfId="411" priority="196"/>
    <cfRule type="duplicateValues" dxfId="410" priority="357"/>
    <cfRule type="duplicateValues" dxfId="409" priority="358"/>
    <cfRule type="duplicateValues" dxfId="408" priority="359"/>
    <cfRule type="duplicateValues" dxfId="407" priority="362"/>
    <cfRule type="duplicateValues" dxfId="406" priority="363"/>
    <cfRule type="duplicateValues" dxfId="405" priority="364"/>
    <cfRule type="duplicateValues" dxfId="404" priority="366"/>
    <cfRule type="duplicateValues" dxfId="403" priority="367"/>
    <cfRule type="duplicateValues" dxfId="402" priority="371"/>
    <cfRule type="duplicateValues" dxfId="401" priority="398"/>
  </conditionalFormatting>
  <conditionalFormatting sqref="C96:C1048576 C1:C53">
    <cfRule type="duplicateValues" dxfId="400" priority="41"/>
    <cfRule type="duplicateValues" dxfId="399" priority="42"/>
    <cfRule type="duplicateValues" dxfId="398" priority="80"/>
    <cfRule type="duplicateValues" dxfId="397" priority="82"/>
    <cfRule type="duplicateValues" dxfId="396" priority="83"/>
    <cfRule type="duplicateValues" dxfId="395" priority="85"/>
    <cfRule type="duplicateValues" dxfId="394" priority="117"/>
    <cfRule type="duplicateValues" dxfId="393" priority="129"/>
    <cfRule type="duplicateValues" dxfId="392" priority="130"/>
    <cfRule type="duplicateValues" dxfId="391" priority="133"/>
  </conditionalFormatting>
  <conditionalFormatting sqref="C96:C1048576 C1:C54">
    <cfRule type="duplicateValues" dxfId="390" priority="30"/>
  </conditionalFormatting>
  <conditionalFormatting sqref="C96:C1048576 C8 C1 C3 C5:C6 C19:C52 C10:C11">
    <cfRule type="duplicateValues" dxfId="389" priority="24690"/>
  </conditionalFormatting>
  <conditionalFormatting sqref="C96:C1048576">
    <cfRule type="duplicateValues" dxfId="388" priority="416"/>
  </conditionalFormatting>
  <conditionalFormatting sqref="D15">
    <cfRule type="duplicateValues" dxfId="387" priority="976"/>
  </conditionalFormatting>
  <conditionalFormatting sqref="D18">
    <cfRule type="duplicateValues" dxfId="386" priority="975"/>
  </conditionalFormatting>
  <conditionalFormatting sqref="D13:E16">
    <cfRule type="containsText" dxfId="385" priority="974" operator="containsText" text="TBA">
      <formula>NOT(ISERROR(SEARCH("TBA",D13)))</formula>
    </cfRule>
  </conditionalFormatting>
  <conditionalFormatting sqref="E4">
    <cfRule type="duplicateValues" dxfId="384" priority="950"/>
  </conditionalFormatting>
  <conditionalFormatting sqref="E7">
    <cfRule type="duplicateValues" dxfId="383" priority="971"/>
  </conditionalFormatting>
  <conditionalFormatting sqref="E9">
    <cfRule type="duplicateValues" dxfId="382" priority="973"/>
  </conditionalFormatting>
  <conditionalFormatting sqref="E13">
    <cfRule type="duplicateValues" dxfId="381" priority="972"/>
  </conditionalFormatting>
  <conditionalFormatting sqref="E14">
    <cfRule type="duplicateValues" dxfId="380" priority="960"/>
  </conditionalFormatting>
  <conditionalFormatting sqref="E15">
    <cfRule type="duplicateValues" dxfId="379" priority="961"/>
    <cfRule type="duplicateValues" dxfId="378" priority="962"/>
  </conditionalFormatting>
  <conditionalFormatting sqref="E17">
    <cfRule type="duplicateValues" dxfId="377" priority="951"/>
  </conditionalFormatting>
  <conditionalFormatting sqref="C1:C54 C83:C1048576">
    <cfRule type="duplicateValues" dxfId="376" priority="1"/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</sheetPr>
  <dimension ref="A1:AT54"/>
  <sheetViews>
    <sheetView topLeftCell="A46" zoomScale="85" zoomScaleNormal="85" workbookViewId="0">
      <pane xSplit="5" topLeftCell="F1" activePane="topRight" state="frozen"/>
      <selection pane="topRight" activeCell="A48" sqref="A48:XFD57"/>
    </sheetView>
  </sheetViews>
  <sheetFormatPr defaultColWidth="10.7109375" defaultRowHeight="15"/>
  <cols>
    <col min="1" max="1" width="8.140625" style="2" customWidth="1"/>
    <col min="2" max="2" width="9" style="2" customWidth="1"/>
    <col min="3" max="3" width="14.28515625" style="2" customWidth="1"/>
    <col min="4" max="4" width="25" style="2" customWidth="1"/>
    <col min="5" max="5" width="32.5703125" style="2" customWidth="1"/>
    <col min="6" max="6" width="19" style="2" customWidth="1"/>
    <col min="7" max="7" width="20.42578125" style="2" customWidth="1"/>
    <col min="8" max="23" width="10.7109375" style="2" customWidth="1"/>
    <col min="24" max="25" width="10.7109375" style="3" customWidth="1"/>
    <col min="26" max="27" width="10.7109375" style="2" customWidth="1"/>
    <col min="28" max="28" width="12.7109375" style="2" customWidth="1"/>
    <col min="29" max="29" width="14.42578125" style="2" customWidth="1"/>
    <col min="30" max="30" width="25.5703125" style="2" customWidth="1"/>
    <col min="31" max="34" width="10.7109375" style="2" customWidth="1"/>
    <col min="35" max="35" width="10.7109375" style="4" customWidth="1"/>
    <col min="36" max="40" width="10.7109375" style="2" customWidth="1"/>
    <col min="41" max="41" width="13.7109375" style="2" customWidth="1"/>
    <col min="42" max="42" width="17.28515625" style="2" customWidth="1"/>
    <col min="43" max="16384" width="10.7109375" style="2"/>
  </cols>
  <sheetData>
    <row r="1" spans="1:46" ht="23.25">
      <c r="A1" s="5" t="s">
        <v>44</v>
      </c>
      <c r="B1" s="5"/>
      <c r="C1" s="5"/>
      <c r="D1" s="5"/>
      <c r="E1" s="6">
        <f ca="1">TODAY()</f>
        <v>46045</v>
      </c>
      <c r="F1" s="7" t="s">
        <v>45</v>
      </c>
      <c r="G1" s="7" t="s">
        <v>745</v>
      </c>
      <c r="H1" s="8">
        <v>3992</v>
      </c>
      <c r="I1" s="8">
        <v>4990</v>
      </c>
      <c r="J1" s="8">
        <v>5003.991</v>
      </c>
      <c r="K1" s="9"/>
      <c r="L1" s="5"/>
      <c r="M1" s="10" t="s">
        <v>47</v>
      </c>
      <c r="N1" s="11"/>
      <c r="O1" s="11"/>
      <c r="P1" s="12"/>
      <c r="Q1" s="12"/>
      <c r="R1" s="13"/>
      <c r="S1" s="13"/>
      <c r="T1" s="10" t="s">
        <v>47</v>
      </c>
      <c r="U1" s="13"/>
      <c r="V1" s="13"/>
      <c r="W1" s="13"/>
      <c r="X1" s="14"/>
      <c r="Z1" s="13"/>
      <c r="AA1" s="13"/>
      <c r="AB1" s="13" t="s">
        <v>47</v>
      </c>
      <c r="AC1" s="13"/>
      <c r="AD1" s="13"/>
      <c r="AI1" s="15"/>
      <c r="AN1" s="283" t="s">
        <v>48</v>
      </c>
      <c r="AO1" s="284"/>
      <c r="AP1" s="285"/>
    </row>
    <row r="2" spans="1:46" ht="23.25">
      <c r="A2" s="16" t="s">
        <v>49</v>
      </c>
      <c r="B2" s="17" t="s">
        <v>50</v>
      </c>
      <c r="C2" s="17" t="s">
        <v>51</v>
      </c>
      <c r="D2" s="18" t="s">
        <v>52</v>
      </c>
      <c r="E2" s="18" t="s">
        <v>53</v>
      </c>
      <c r="F2" s="17" t="s">
        <v>54</v>
      </c>
      <c r="G2" s="18" t="s">
        <v>55</v>
      </c>
      <c r="H2" s="18" t="s">
        <v>56</v>
      </c>
      <c r="I2" s="18" t="s">
        <v>57</v>
      </c>
      <c r="J2" s="18" t="s">
        <v>58</v>
      </c>
      <c r="K2" s="18"/>
      <c r="L2" s="17" t="s">
        <v>59</v>
      </c>
      <c r="M2" s="17" t="s">
        <v>60</v>
      </c>
      <c r="N2" s="17" t="s">
        <v>61</v>
      </c>
      <c r="O2" s="19" t="s">
        <v>62</v>
      </c>
      <c r="P2" s="19" t="s">
        <v>63</v>
      </c>
      <c r="Q2" s="19" t="s">
        <v>64</v>
      </c>
      <c r="R2" s="19" t="s">
        <v>65</v>
      </c>
      <c r="S2" s="19" t="s">
        <v>66</v>
      </c>
      <c r="T2" s="19" t="s">
        <v>67</v>
      </c>
      <c r="U2" s="19" t="s">
        <v>68</v>
      </c>
      <c r="V2" s="19" t="s">
        <v>69</v>
      </c>
      <c r="W2" s="19" t="s">
        <v>70</v>
      </c>
      <c r="X2" s="20" t="s">
        <v>71</v>
      </c>
      <c r="Y2" s="20" t="s">
        <v>72</v>
      </c>
      <c r="Z2" s="19"/>
      <c r="AA2" s="19"/>
      <c r="AB2" s="19" t="s">
        <v>73</v>
      </c>
      <c r="AC2" s="19" t="s">
        <v>74</v>
      </c>
      <c r="AD2" s="19" t="s">
        <v>75</v>
      </c>
      <c r="AE2" s="286" t="s">
        <v>76</v>
      </c>
      <c r="AF2" s="286"/>
      <c r="AG2" s="286"/>
      <c r="AH2" s="286"/>
      <c r="AI2" s="21">
        <f>SUM(AI4:AI45)</f>
        <v>0</v>
      </c>
      <c r="AJ2" s="286" t="s">
        <v>77</v>
      </c>
      <c r="AK2" s="286"/>
      <c r="AL2" s="286"/>
      <c r="AM2" s="286"/>
      <c r="AN2" s="21">
        <f>SUM(AN4:AN45)</f>
        <v>0</v>
      </c>
      <c r="AO2" s="21">
        <f>SUM(AO4:AO45)</f>
        <v>0</v>
      </c>
      <c r="AP2" s="22">
        <f>SUM(AI2:AO2)</f>
        <v>0</v>
      </c>
      <c r="AQ2" s="23"/>
      <c r="AR2" s="1"/>
      <c r="AS2" s="1"/>
      <c r="AT2" s="1"/>
    </row>
    <row r="3" spans="1:46" s="1" customFormat="1" ht="42" customHeight="1">
      <c r="A3" s="24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6">
        <f>SUM(H4:H45)</f>
        <v>1125</v>
      </c>
      <c r="I3" s="26">
        <f>SUM(I4:I45)/1000</f>
        <v>1407.5</v>
      </c>
      <c r="J3" s="26">
        <f>SUM(J4:J45)/1000</f>
        <v>1411.4480000000001</v>
      </c>
      <c r="K3" s="25" t="s">
        <v>85</v>
      </c>
      <c r="L3" s="25" t="s">
        <v>86</v>
      </c>
      <c r="M3" s="25" t="s">
        <v>87</v>
      </c>
      <c r="N3" s="25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93</v>
      </c>
      <c r="T3" s="27" t="s">
        <v>94</v>
      </c>
      <c r="U3" s="27" t="s">
        <v>95</v>
      </c>
      <c r="V3" s="27" t="s">
        <v>96</v>
      </c>
      <c r="W3" s="27" t="s">
        <v>97</v>
      </c>
      <c r="X3" s="28" t="s">
        <v>98</v>
      </c>
      <c r="Y3" s="28" t="s">
        <v>99</v>
      </c>
      <c r="Z3" s="27" t="s">
        <v>100</v>
      </c>
      <c r="AA3" s="27" t="s">
        <v>101</v>
      </c>
      <c r="AB3" s="27" t="s">
        <v>102</v>
      </c>
      <c r="AC3" s="27" t="s">
        <v>103</v>
      </c>
      <c r="AD3" s="27" t="s">
        <v>104</v>
      </c>
      <c r="AE3" s="29" t="s">
        <v>105</v>
      </c>
      <c r="AF3" s="29" t="s">
        <v>106</v>
      </c>
      <c r="AG3" s="29" t="s">
        <v>107</v>
      </c>
      <c r="AH3" s="29" t="s">
        <v>108</v>
      </c>
      <c r="AI3" s="30" t="s">
        <v>109</v>
      </c>
      <c r="AJ3" s="29" t="s">
        <v>110</v>
      </c>
      <c r="AK3" s="29" t="s">
        <v>106</v>
      </c>
      <c r="AL3" s="29" t="s">
        <v>107</v>
      </c>
      <c r="AM3" s="29" t="s">
        <v>108</v>
      </c>
      <c r="AN3" s="30" t="s">
        <v>111</v>
      </c>
      <c r="AO3" s="31" t="s">
        <v>112</v>
      </c>
      <c r="AP3" s="32" t="s">
        <v>113</v>
      </c>
    </row>
    <row r="4" spans="1:46" s="262" customFormat="1" ht="15" customHeight="1">
      <c r="A4" s="259">
        <f t="shared" ref="A4:A16" si="0">ROW()-3</f>
        <v>1</v>
      </c>
      <c r="B4" s="260" t="s">
        <v>114</v>
      </c>
      <c r="C4" s="264" t="s">
        <v>773</v>
      </c>
      <c r="D4" s="264" t="s">
        <v>782</v>
      </c>
      <c r="E4" s="260" t="s">
        <v>777</v>
      </c>
      <c r="F4" s="268" t="s">
        <v>118</v>
      </c>
      <c r="G4" s="37" t="s">
        <v>750</v>
      </c>
      <c r="H4" s="38">
        <v>28</v>
      </c>
      <c r="I4" s="260">
        <v>35000</v>
      </c>
      <c r="J4" s="260">
        <v>35098</v>
      </c>
      <c r="K4" s="260" t="s">
        <v>120</v>
      </c>
      <c r="L4" s="250">
        <v>45890</v>
      </c>
      <c r="M4" s="261" t="s">
        <v>121</v>
      </c>
      <c r="N4" s="250" t="s">
        <v>122</v>
      </c>
      <c r="O4" s="250">
        <v>45881</v>
      </c>
      <c r="P4" s="250">
        <v>45907</v>
      </c>
      <c r="Q4" s="250">
        <v>45892</v>
      </c>
      <c r="R4" s="250">
        <v>46031</v>
      </c>
      <c r="S4" s="250">
        <v>46032</v>
      </c>
      <c r="T4" s="250">
        <v>46036</v>
      </c>
      <c r="U4" s="258"/>
      <c r="V4" s="258"/>
      <c r="W4" s="258"/>
      <c r="X4" s="263"/>
      <c r="Y4" s="263"/>
      <c r="Z4" s="258"/>
      <c r="AA4" s="258"/>
      <c r="AB4" s="258"/>
      <c r="AC4" s="258"/>
      <c r="AD4" s="255" t="s">
        <v>268</v>
      </c>
      <c r="AE4" s="50">
        <f t="shared" ref="AE4" si="1">MAX(0,Y4-X4)</f>
        <v>0</v>
      </c>
      <c r="AF4" s="36">
        <v>7</v>
      </c>
      <c r="AG4" s="51">
        <f t="shared" ref="AG4" si="2">MAX(0,AE4-AF4)</f>
        <v>0</v>
      </c>
      <c r="AH4" s="52">
        <v>200</v>
      </c>
      <c r="AI4" s="53">
        <f t="shared" ref="AI4" si="3">MAX(0,AG4*AH4)</f>
        <v>0</v>
      </c>
      <c r="AJ4" s="54">
        <f t="shared" ref="AJ4" si="4">MAX(0,AC4-AB4)</f>
        <v>0</v>
      </c>
      <c r="AK4" s="36">
        <v>2</v>
      </c>
      <c r="AL4" s="51">
        <f t="shared" ref="AL4" si="5">MAX(0,AJ4-AK4)</f>
        <v>0</v>
      </c>
      <c r="AM4" s="52">
        <v>200</v>
      </c>
      <c r="AN4" s="53">
        <f t="shared" ref="AN4" si="6">MAX(0,AL4*AM4)</f>
        <v>0</v>
      </c>
      <c r="AO4" s="52"/>
      <c r="AP4" s="55">
        <f t="shared" ref="AP4" si="7">AO4+AN4+AI4</f>
        <v>0</v>
      </c>
    </row>
    <row r="5" spans="1:46" s="1" customFormat="1" ht="15" customHeight="1">
      <c r="A5" s="33">
        <f>ROW()-3</f>
        <v>2</v>
      </c>
      <c r="B5" s="34" t="s">
        <v>114</v>
      </c>
      <c r="C5" s="33" t="s">
        <v>172</v>
      </c>
      <c r="D5" s="33" t="s">
        <v>173</v>
      </c>
      <c r="E5" s="34" t="s">
        <v>174</v>
      </c>
      <c r="F5" s="36" t="s">
        <v>118</v>
      </c>
      <c r="G5" s="37" t="s">
        <v>750</v>
      </c>
      <c r="H5" s="38">
        <v>29</v>
      </c>
      <c r="I5" s="34">
        <v>36250</v>
      </c>
      <c r="J5" s="34">
        <v>36352</v>
      </c>
      <c r="K5" s="34" t="s">
        <v>120</v>
      </c>
      <c r="L5" s="39">
        <v>45890</v>
      </c>
      <c r="M5" s="40" t="s">
        <v>121</v>
      </c>
      <c r="N5" s="39" t="s">
        <v>122</v>
      </c>
      <c r="O5" s="39">
        <v>45881</v>
      </c>
      <c r="P5" s="39">
        <v>45907</v>
      </c>
      <c r="Q5" s="39">
        <v>45892</v>
      </c>
      <c r="R5" s="39">
        <v>46027</v>
      </c>
      <c r="S5" s="39">
        <v>46028</v>
      </c>
      <c r="T5" s="39">
        <v>46031</v>
      </c>
      <c r="U5" s="61"/>
      <c r="V5" s="61"/>
      <c r="W5" s="61"/>
      <c r="X5" s="42"/>
      <c r="Y5" s="42"/>
      <c r="Z5" s="61"/>
      <c r="AA5" s="62"/>
      <c r="AB5" s="61"/>
      <c r="AC5" s="61"/>
      <c r="AD5" s="63" t="s">
        <v>268</v>
      </c>
      <c r="AE5" s="50">
        <f t="shared" ref="AE5:AE23" si="8">MAX(0,Y5-X5)</f>
        <v>0</v>
      </c>
      <c r="AF5" s="36">
        <v>7</v>
      </c>
      <c r="AG5" s="51">
        <f t="shared" ref="AG5:AG23" si="9">MAX(0,AE5-AF5)</f>
        <v>0</v>
      </c>
      <c r="AH5" s="52">
        <v>200</v>
      </c>
      <c r="AI5" s="53">
        <f t="shared" ref="AI5:AI23" si="10">MAX(0,AG5*AH5)</f>
        <v>0</v>
      </c>
      <c r="AJ5" s="54">
        <f t="shared" ref="AJ5:AJ23" si="11">MAX(0,AC5-AB5)</f>
        <v>0</v>
      </c>
      <c r="AK5" s="36">
        <v>2</v>
      </c>
      <c r="AL5" s="51">
        <f t="shared" ref="AL5:AL23" si="12">MAX(0,AJ5-AK5)</f>
        <v>0</v>
      </c>
      <c r="AM5" s="52">
        <v>200</v>
      </c>
      <c r="AN5" s="53">
        <f t="shared" ref="AN5:AN23" si="13">MAX(0,AL5*AM5)</f>
        <v>0</v>
      </c>
      <c r="AO5" s="52"/>
      <c r="AP5" s="55">
        <f t="shared" ref="AP5:AP23" si="14">AO5+AN5+AI5</f>
        <v>0</v>
      </c>
    </row>
    <row r="6" spans="1:46" s="262" customFormat="1" ht="15" customHeight="1">
      <c r="A6" s="259">
        <f t="shared" si="0"/>
        <v>3</v>
      </c>
      <c r="B6" s="260" t="s">
        <v>114</v>
      </c>
      <c r="C6" s="250" t="s">
        <v>770</v>
      </c>
      <c r="D6" s="259" t="s">
        <v>781</v>
      </c>
      <c r="E6" s="259" t="s">
        <v>774</v>
      </c>
      <c r="F6" s="268" t="s">
        <v>118</v>
      </c>
      <c r="G6" s="37" t="s">
        <v>857</v>
      </c>
      <c r="H6" s="38">
        <v>28</v>
      </c>
      <c r="I6" s="260">
        <v>35000</v>
      </c>
      <c r="J6" s="260">
        <v>35098</v>
      </c>
      <c r="K6" s="260" t="s">
        <v>120</v>
      </c>
      <c r="L6" s="250">
        <v>45890</v>
      </c>
      <c r="M6" s="261" t="s">
        <v>121</v>
      </c>
      <c r="N6" s="250" t="s">
        <v>122</v>
      </c>
      <c r="O6" s="250">
        <v>45881</v>
      </c>
      <c r="P6" s="250">
        <v>45907</v>
      </c>
      <c r="Q6" s="250">
        <v>45892</v>
      </c>
      <c r="R6" s="250">
        <v>46031</v>
      </c>
      <c r="S6" s="250">
        <v>46038</v>
      </c>
      <c r="T6" s="250">
        <v>46041</v>
      </c>
      <c r="U6" s="258"/>
      <c r="V6" s="258"/>
      <c r="W6" s="258"/>
      <c r="X6" s="263"/>
      <c r="Y6" s="263"/>
      <c r="Z6" s="258"/>
      <c r="AA6" s="258"/>
      <c r="AB6" s="258"/>
      <c r="AC6" s="258"/>
      <c r="AD6" s="44" t="s">
        <v>268</v>
      </c>
      <c r="AE6" s="45">
        <f>MAX(0,Y6-X6)</f>
        <v>0</v>
      </c>
      <c r="AF6" s="36">
        <v>7</v>
      </c>
      <c r="AG6" s="46">
        <f>MAX(0,AE6-AF6)</f>
        <v>0</v>
      </c>
      <c r="AH6" s="47">
        <v>200</v>
      </c>
      <c r="AI6" s="48">
        <f>MAX(0,AG6*AH6)</f>
        <v>0</v>
      </c>
      <c r="AJ6" s="45">
        <f>MAX(0,AC6-AB6)</f>
        <v>0</v>
      </c>
      <c r="AK6" s="36">
        <v>2</v>
      </c>
      <c r="AL6" s="46">
        <f>MAX(0,AJ6-AK6)</f>
        <v>0</v>
      </c>
      <c r="AM6" s="47">
        <v>200</v>
      </c>
      <c r="AN6" s="48">
        <f>MAX(0,AL6*AM6)</f>
        <v>0</v>
      </c>
      <c r="AO6" s="47"/>
      <c r="AP6" s="49">
        <f>AO6+AN6+AI6</f>
        <v>0</v>
      </c>
    </row>
    <row r="7" spans="1:46" s="262" customFormat="1" ht="15" customHeight="1">
      <c r="A7" s="259">
        <f t="shared" si="0"/>
        <v>4</v>
      </c>
      <c r="B7" s="260" t="s">
        <v>114</v>
      </c>
      <c r="C7" s="264" t="s">
        <v>772</v>
      </c>
      <c r="D7" s="264" t="s">
        <v>775</v>
      </c>
      <c r="E7" s="260" t="s">
        <v>779</v>
      </c>
      <c r="F7" s="268" t="s">
        <v>118</v>
      </c>
      <c r="G7" s="37" t="s">
        <v>866</v>
      </c>
      <c r="H7" s="38">
        <v>25</v>
      </c>
      <c r="I7" s="260">
        <v>31250</v>
      </c>
      <c r="J7" s="260">
        <v>31338</v>
      </c>
      <c r="K7" s="260" t="s">
        <v>120</v>
      </c>
      <c r="L7" s="250">
        <v>45890</v>
      </c>
      <c r="M7" s="261" t="s">
        <v>121</v>
      </c>
      <c r="N7" s="250" t="s">
        <v>122</v>
      </c>
      <c r="O7" s="250">
        <v>45881</v>
      </c>
      <c r="P7" s="250">
        <v>45907</v>
      </c>
      <c r="Q7" s="250">
        <v>45892</v>
      </c>
      <c r="R7" s="250">
        <v>46031</v>
      </c>
      <c r="S7" s="250">
        <v>46038</v>
      </c>
      <c r="T7" s="250">
        <v>46041</v>
      </c>
      <c r="U7" s="250">
        <v>46044</v>
      </c>
      <c r="V7" s="258"/>
      <c r="W7" s="258"/>
      <c r="X7" s="263"/>
      <c r="Y7" s="263"/>
      <c r="Z7" s="258"/>
      <c r="AA7" s="258"/>
      <c r="AB7" s="258"/>
      <c r="AC7" s="258"/>
      <c r="AD7" s="44" t="s">
        <v>268</v>
      </c>
      <c r="AE7" s="50">
        <f>MAX(0,Y7-X7)</f>
        <v>0</v>
      </c>
      <c r="AF7" s="36">
        <v>7</v>
      </c>
      <c r="AG7" s="51">
        <f>MAX(0,AE7-AF7)</f>
        <v>0</v>
      </c>
      <c r="AH7" s="52">
        <v>200</v>
      </c>
      <c r="AI7" s="53">
        <f>MAX(0,AG7*AH7)</f>
        <v>0</v>
      </c>
      <c r="AJ7" s="54">
        <f>MAX(0,AC7-AB7)</f>
        <v>0</v>
      </c>
      <c r="AK7" s="36">
        <v>2</v>
      </c>
      <c r="AL7" s="51">
        <f>MAX(0,AJ7-AK7)</f>
        <v>0</v>
      </c>
      <c r="AM7" s="52">
        <v>200</v>
      </c>
      <c r="AN7" s="53">
        <f>MAX(0,AL7*AM7)</f>
        <v>0</v>
      </c>
      <c r="AO7" s="52"/>
      <c r="AP7" s="55">
        <f>AO7+AN7+AI7</f>
        <v>0</v>
      </c>
    </row>
    <row r="8" spans="1:46" s="262" customFormat="1" ht="15" customHeight="1">
      <c r="A8" s="259">
        <f>ROW()-3</f>
        <v>5</v>
      </c>
      <c r="B8" s="260" t="s">
        <v>114</v>
      </c>
      <c r="C8" s="250" t="s">
        <v>757</v>
      </c>
      <c r="D8" s="250" t="s">
        <v>767</v>
      </c>
      <c r="E8" s="259" t="s">
        <v>762</v>
      </c>
      <c r="F8" s="36" t="s">
        <v>118</v>
      </c>
      <c r="G8" s="37" t="s">
        <v>871</v>
      </c>
      <c r="H8" s="38">
        <v>28</v>
      </c>
      <c r="I8" s="260">
        <v>35000</v>
      </c>
      <c r="J8" s="260">
        <v>35098</v>
      </c>
      <c r="K8" s="260" t="s">
        <v>120</v>
      </c>
      <c r="L8" s="250">
        <v>45890</v>
      </c>
      <c r="M8" s="261" t="s">
        <v>121</v>
      </c>
      <c r="N8" s="250" t="s">
        <v>122</v>
      </c>
      <c r="O8" s="250">
        <v>45881</v>
      </c>
      <c r="P8" s="250">
        <v>45907</v>
      </c>
      <c r="Q8" s="250">
        <v>45892</v>
      </c>
      <c r="R8" s="250">
        <v>46031</v>
      </c>
      <c r="S8" s="250">
        <v>46032</v>
      </c>
      <c r="T8" s="250">
        <v>46036</v>
      </c>
      <c r="U8" s="250">
        <v>46042</v>
      </c>
      <c r="V8" s="258"/>
      <c r="W8" s="258"/>
      <c r="X8" s="263"/>
      <c r="Y8" s="263"/>
      <c r="Z8" s="258"/>
      <c r="AA8" s="258"/>
      <c r="AB8" s="258"/>
      <c r="AC8" s="258"/>
      <c r="AD8" s="255" t="s">
        <v>268</v>
      </c>
      <c r="AE8" s="50">
        <f>MAX(0,Y8-X8)</f>
        <v>0</v>
      </c>
      <c r="AF8" s="36">
        <v>7</v>
      </c>
      <c r="AG8" s="51">
        <f>MAX(0,AE8-AF8)</f>
        <v>0</v>
      </c>
      <c r="AH8" s="52">
        <v>200</v>
      </c>
      <c r="AI8" s="53">
        <f>MAX(0,AG8*AH8)</f>
        <v>0</v>
      </c>
      <c r="AJ8" s="54">
        <f>MAX(0,AC8-AB8)</f>
        <v>0</v>
      </c>
      <c r="AK8" s="36">
        <v>2</v>
      </c>
      <c r="AL8" s="51">
        <f>MAX(0,AJ8-AK8)</f>
        <v>0</v>
      </c>
      <c r="AM8" s="52">
        <v>200</v>
      </c>
      <c r="AN8" s="53">
        <f>MAX(0,AL8*AM8)</f>
        <v>0</v>
      </c>
      <c r="AO8" s="52"/>
      <c r="AP8" s="55">
        <f>AO8+AN8+AI8</f>
        <v>0</v>
      </c>
    </row>
    <row r="9" spans="1:46" s="1" customFormat="1" ht="15" customHeight="1">
      <c r="A9" s="33">
        <f t="shared" ref="A9:A40" si="15">ROW()-3</f>
        <v>6</v>
      </c>
      <c r="B9" s="34" t="s">
        <v>114</v>
      </c>
      <c r="C9" s="56" t="s">
        <v>148</v>
      </c>
      <c r="D9" s="56" t="s">
        <v>149</v>
      </c>
      <c r="E9" s="57" t="s">
        <v>150</v>
      </c>
      <c r="F9" s="36" t="s">
        <v>118</v>
      </c>
      <c r="G9" s="37" t="s">
        <v>871</v>
      </c>
      <c r="H9" s="37">
        <v>24</v>
      </c>
      <c r="I9" s="34">
        <v>30000</v>
      </c>
      <c r="J9" s="34">
        <v>30084</v>
      </c>
      <c r="K9" s="34" t="s">
        <v>120</v>
      </c>
      <c r="L9" s="39">
        <v>45890</v>
      </c>
      <c r="M9" s="40" t="s">
        <v>121</v>
      </c>
      <c r="N9" s="39" t="s">
        <v>122</v>
      </c>
      <c r="O9" s="39">
        <v>45881</v>
      </c>
      <c r="P9" s="39">
        <v>45907</v>
      </c>
      <c r="Q9" s="39">
        <v>45892</v>
      </c>
      <c r="R9" s="39">
        <v>46029</v>
      </c>
      <c r="S9" s="39">
        <v>46031</v>
      </c>
      <c r="T9" s="250">
        <v>46036</v>
      </c>
      <c r="U9" s="250">
        <v>46042</v>
      </c>
      <c r="V9" s="41"/>
      <c r="W9" s="41"/>
      <c r="X9" s="42"/>
      <c r="Y9" s="42"/>
      <c r="Z9" s="41"/>
      <c r="AA9" s="43"/>
      <c r="AB9" s="41"/>
      <c r="AC9" s="41"/>
      <c r="AD9" s="44" t="s">
        <v>268</v>
      </c>
      <c r="AE9" s="45">
        <f>MAX(0,Y9-X9)</f>
        <v>0</v>
      </c>
      <c r="AF9" s="36">
        <v>7</v>
      </c>
      <c r="AG9" s="46">
        <f>MAX(0,AE9-AF9)</f>
        <v>0</v>
      </c>
      <c r="AH9" s="47">
        <v>200</v>
      </c>
      <c r="AI9" s="48">
        <f>MAX(0,AG9*AH9)</f>
        <v>0</v>
      </c>
      <c r="AJ9" s="45">
        <f>MAX(0,AC9-AB9)</f>
        <v>0</v>
      </c>
      <c r="AK9" s="36">
        <v>2</v>
      </c>
      <c r="AL9" s="46">
        <f>MAX(0,AJ9-AK9)</f>
        <v>0</v>
      </c>
      <c r="AM9" s="47">
        <v>200</v>
      </c>
      <c r="AN9" s="48">
        <f>MAX(0,AL9*AM9)</f>
        <v>0</v>
      </c>
      <c r="AO9" s="47"/>
      <c r="AP9" s="49">
        <f>AO9+AN9+AI9</f>
        <v>0</v>
      </c>
    </row>
    <row r="10" spans="1:46" s="262" customFormat="1" ht="15" customHeight="1">
      <c r="A10" s="259">
        <f>ROW()-3</f>
        <v>7</v>
      </c>
      <c r="B10" s="260" t="s">
        <v>114</v>
      </c>
      <c r="C10" s="265" t="s">
        <v>758</v>
      </c>
      <c r="D10" s="265" t="s">
        <v>764</v>
      </c>
      <c r="E10" s="266" t="s">
        <v>759</v>
      </c>
      <c r="F10" s="36" t="s">
        <v>118</v>
      </c>
      <c r="G10" s="37" t="s">
        <v>858</v>
      </c>
      <c r="H10" s="38">
        <v>28</v>
      </c>
      <c r="I10" s="260">
        <v>35000</v>
      </c>
      <c r="J10" s="260">
        <v>35098</v>
      </c>
      <c r="K10" s="260" t="s">
        <v>120</v>
      </c>
      <c r="L10" s="250">
        <v>45890</v>
      </c>
      <c r="M10" s="261" t="s">
        <v>121</v>
      </c>
      <c r="N10" s="250" t="s">
        <v>122</v>
      </c>
      <c r="O10" s="250">
        <v>45881</v>
      </c>
      <c r="P10" s="250">
        <v>45907</v>
      </c>
      <c r="Q10" s="250">
        <v>45892</v>
      </c>
      <c r="R10" s="250">
        <v>46031</v>
      </c>
      <c r="S10" s="250">
        <v>46032</v>
      </c>
      <c r="T10" s="250">
        <v>46036</v>
      </c>
      <c r="U10" s="250">
        <v>46041</v>
      </c>
      <c r="V10" s="258"/>
      <c r="W10" s="258"/>
      <c r="X10" s="263"/>
      <c r="Y10" s="263"/>
      <c r="Z10" s="258"/>
      <c r="AA10" s="258"/>
      <c r="AB10" s="258"/>
      <c r="AC10" s="258"/>
      <c r="AD10" s="255" t="s">
        <v>268</v>
      </c>
      <c r="AE10" s="45">
        <f>MAX(0,Y10-X10)</f>
        <v>0</v>
      </c>
      <c r="AF10" s="36">
        <v>7</v>
      </c>
      <c r="AG10" s="46">
        <f>MAX(0,AE10-AF10)</f>
        <v>0</v>
      </c>
      <c r="AH10" s="47">
        <v>200</v>
      </c>
      <c r="AI10" s="48">
        <f>MAX(0,AG10*AH10)</f>
        <v>0</v>
      </c>
      <c r="AJ10" s="45">
        <f>MAX(0,AC10-AB10)</f>
        <v>0</v>
      </c>
      <c r="AK10" s="36">
        <v>2</v>
      </c>
      <c r="AL10" s="46">
        <f>MAX(0,AJ10-AK10)</f>
        <v>0</v>
      </c>
      <c r="AM10" s="47">
        <v>200</v>
      </c>
      <c r="AN10" s="48">
        <f>MAX(0,AL10*AM10)</f>
        <v>0</v>
      </c>
      <c r="AO10" s="47"/>
      <c r="AP10" s="49">
        <f>AO10+AN10+AI10</f>
        <v>0</v>
      </c>
    </row>
    <row r="11" spans="1:46" s="1" customFormat="1" ht="14.25" customHeight="1">
      <c r="A11" s="33">
        <f t="shared" si="15"/>
        <v>8</v>
      </c>
      <c r="B11" s="34" t="s">
        <v>114</v>
      </c>
      <c r="C11" s="56" t="s">
        <v>139</v>
      </c>
      <c r="D11" s="56" t="s">
        <v>140</v>
      </c>
      <c r="E11" s="58" t="s">
        <v>141</v>
      </c>
      <c r="F11" s="36" t="s">
        <v>118</v>
      </c>
      <c r="G11" s="37" t="s">
        <v>858</v>
      </c>
      <c r="H11" s="38">
        <v>28</v>
      </c>
      <c r="I11" s="34">
        <v>35000</v>
      </c>
      <c r="J11" s="34">
        <v>35098</v>
      </c>
      <c r="K11" s="34" t="s">
        <v>120</v>
      </c>
      <c r="L11" s="39">
        <v>45890</v>
      </c>
      <c r="M11" s="40" t="s">
        <v>121</v>
      </c>
      <c r="N11" s="39" t="s">
        <v>122</v>
      </c>
      <c r="O11" s="39">
        <v>45881</v>
      </c>
      <c r="P11" s="39">
        <v>45907</v>
      </c>
      <c r="Q11" s="39">
        <v>45892</v>
      </c>
      <c r="R11" s="39">
        <v>46029</v>
      </c>
      <c r="S11" s="39">
        <v>46031</v>
      </c>
      <c r="T11" s="39">
        <v>46034</v>
      </c>
      <c r="U11" s="250">
        <v>46041</v>
      </c>
      <c r="V11" s="41"/>
      <c r="W11" s="41"/>
      <c r="X11" s="42"/>
      <c r="Y11" s="42"/>
      <c r="Z11" s="41"/>
      <c r="AA11" s="43"/>
      <c r="AB11" s="41"/>
      <c r="AC11" s="41"/>
      <c r="AD11" s="255" t="s">
        <v>268</v>
      </c>
      <c r="AE11" s="45">
        <f>MAX(0,Y11-X11)</f>
        <v>0</v>
      </c>
      <c r="AF11" s="36">
        <v>7</v>
      </c>
      <c r="AG11" s="46">
        <f>MAX(0,AE11-AF11)</f>
        <v>0</v>
      </c>
      <c r="AH11" s="47">
        <v>200</v>
      </c>
      <c r="AI11" s="48">
        <f>MAX(0,AG11*AH11)</f>
        <v>0</v>
      </c>
      <c r="AJ11" s="45">
        <f>MAX(0,AC11-AB11)</f>
        <v>0</v>
      </c>
      <c r="AK11" s="36">
        <v>2</v>
      </c>
      <c r="AL11" s="46">
        <f>MAX(0,AJ11-AK11)</f>
        <v>0</v>
      </c>
      <c r="AM11" s="47">
        <v>200</v>
      </c>
      <c r="AN11" s="48">
        <f>MAX(0,AL11*AM11)</f>
        <v>0</v>
      </c>
      <c r="AO11" s="47"/>
      <c r="AP11" s="49">
        <f>AO11+AN11+AI11</f>
        <v>0</v>
      </c>
    </row>
    <row r="12" spans="1:46" s="1" customFormat="1" ht="15" customHeight="1">
      <c r="A12" s="33">
        <f>ROW()-3</f>
        <v>9</v>
      </c>
      <c r="B12" s="34" t="s">
        <v>114</v>
      </c>
      <c r="C12" s="39" t="s">
        <v>178</v>
      </c>
      <c r="D12" s="39" t="s">
        <v>179</v>
      </c>
      <c r="E12" s="34" t="s">
        <v>180</v>
      </c>
      <c r="F12" s="36" t="s">
        <v>118</v>
      </c>
      <c r="G12" s="37" t="s">
        <v>872</v>
      </c>
      <c r="H12" s="38">
        <v>28</v>
      </c>
      <c r="I12" s="34">
        <v>35000</v>
      </c>
      <c r="J12" s="34">
        <v>35098</v>
      </c>
      <c r="K12" s="34" t="s">
        <v>120</v>
      </c>
      <c r="L12" s="39">
        <v>45890</v>
      </c>
      <c r="M12" s="40" t="s">
        <v>121</v>
      </c>
      <c r="N12" s="39" t="s">
        <v>122</v>
      </c>
      <c r="O12" s="39">
        <v>45881</v>
      </c>
      <c r="P12" s="39">
        <v>45907</v>
      </c>
      <c r="Q12" s="39">
        <v>45892</v>
      </c>
      <c r="R12" s="39">
        <v>46027</v>
      </c>
      <c r="S12" s="39">
        <v>46028</v>
      </c>
      <c r="T12" s="39">
        <v>46031</v>
      </c>
      <c r="U12" s="39">
        <v>46041</v>
      </c>
      <c r="V12" s="61"/>
      <c r="W12" s="61"/>
      <c r="X12" s="42"/>
      <c r="Y12" s="42"/>
      <c r="Z12" s="61"/>
      <c r="AA12" s="62"/>
      <c r="AB12" s="61"/>
      <c r="AC12" s="61"/>
      <c r="AD12" s="63" t="s">
        <v>268</v>
      </c>
      <c r="AE12" s="50">
        <f t="shared" si="8"/>
        <v>0</v>
      </c>
      <c r="AF12" s="36">
        <v>7</v>
      </c>
      <c r="AG12" s="51">
        <f t="shared" si="9"/>
        <v>0</v>
      </c>
      <c r="AH12" s="52">
        <v>200</v>
      </c>
      <c r="AI12" s="53">
        <f t="shared" si="10"/>
        <v>0</v>
      </c>
      <c r="AJ12" s="54">
        <f t="shared" si="11"/>
        <v>0</v>
      </c>
      <c r="AK12" s="36">
        <v>2</v>
      </c>
      <c r="AL12" s="51">
        <f t="shared" si="12"/>
        <v>0</v>
      </c>
      <c r="AM12" s="52">
        <v>200</v>
      </c>
      <c r="AN12" s="53">
        <f t="shared" si="13"/>
        <v>0</v>
      </c>
      <c r="AO12" s="52"/>
      <c r="AP12" s="55">
        <f t="shared" si="14"/>
        <v>0</v>
      </c>
    </row>
    <row r="13" spans="1:46" s="262" customFormat="1" ht="15" customHeight="1">
      <c r="A13" s="259">
        <f t="shared" si="0"/>
        <v>10</v>
      </c>
      <c r="B13" s="260" t="s">
        <v>114</v>
      </c>
      <c r="C13" s="264" t="s">
        <v>769</v>
      </c>
      <c r="D13" s="264" t="s">
        <v>776</v>
      </c>
      <c r="E13" s="260" t="s">
        <v>780</v>
      </c>
      <c r="F13" s="268" t="s">
        <v>118</v>
      </c>
      <c r="G13" s="37" t="s">
        <v>859</v>
      </c>
      <c r="H13" s="249">
        <v>29</v>
      </c>
      <c r="I13" s="260">
        <v>36250</v>
      </c>
      <c r="J13" s="260">
        <v>36352</v>
      </c>
      <c r="K13" s="260" t="s">
        <v>120</v>
      </c>
      <c r="L13" s="250">
        <v>45890</v>
      </c>
      <c r="M13" s="261" t="s">
        <v>121</v>
      </c>
      <c r="N13" s="250" t="s">
        <v>122</v>
      </c>
      <c r="O13" s="250">
        <v>45881</v>
      </c>
      <c r="P13" s="250">
        <v>45907</v>
      </c>
      <c r="Q13" s="250">
        <v>45892</v>
      </c>
      <c r="R13" s="250">
        <v>46031</v>
      </c>
      <c r="S13" s="250">
        <v>46032</v>
      </c>
      <c r="T13" s="250">
        <v>46036</v>
      </c>
      <c r="U13" s="250">
        <v>46040</v>
      </c>
      <c r="V13" s="258"/>
      <c r="W13" s="258"/>
      <c r="X13" s="263"/>
      <c r="Y13" s="263"/>
      <c r="Z13" s="258"/>
      <c r="AA13" s="258"/>
      <c r="AB13" s="258"/>
      <c r="AC13" s="258"/>
      <c r="AD13" s="255" t="s">
        <v>268</v>
      </c>
      <c r="AE13" s="45">
        <f t="shared" ref="AE13:AE15" si="16">MAX(0,Y13-X13)</f>
        <v>0</v>
      </c>
      <c r="AF13" s="36">
        <v>7</v>
      </c>
      <c r="AG13" s="46">
        <f t="shared" ref="AG13:AG15" si="17">MAX(0,AE13-AF13)</f>
        <v>0</v>
      </c>
      <c r="AH13" s="47">
        <v>200</v>
      </c>
      <c r="AI13" s="48">
        <f t="shared" ref="AI13:AI15" si="18">MAX(0,AG13*AH13)</f>
        <v>0</v>
      </c>
      <c r="AJ13" s="45">
        <f t="shared" ref="AJ13:AJ15" si="19">MAX(0,AC13-AB13)</f>
        <v>0</v>
      </c>
      <c r="AK13" s="36">
        <v>2</v>
      </c>
      <c r="AL13" s="46">
        <f t="shared" ref="AL13:AL15" si="20">MAX(0,AJ13-AK13)</f>
        <v>0</v>
      </c>
      <c r="AM13" s="47">
        <v>200</v>
      </c>
      <c r="AN13" s="48">
        <f t="shared" ref="AN13:AN15" si="21">MAX(0,AL13*AM13)</f>
        <v>0</v>
      </c>
      <c r="AO13" s="47"/>
      <c r="AP13" s="49">
        <f t="shared" ref="AP13:AP15" si="22">AO13+AN13+AI13</f>
        <v>0</v>
      </c>
    </row>
    <row r="14" spans="1:46" s="262" customFormat="1" ht="15" customHeight="1">
      <c r="A14" s="259">
        <f>ROW()-3</f>
        <v>11</v>
      </c>
      <c r="B14" s="260" t="s">
        <v>114</v>
      </c>
      <c r="C14" s="264" t="s">
        <v>642</v>
      </c>
      <c r="D14" s="264" t="s">
        <v>643</v>
      </c>
      <c r="E14" s="260" t="s">
        <v>644</v>
      </c>
      <c r="F14" s="36" t="s">
        <v>118</v>
      </c>
      <c r="G14" s="37" t="s">
        <v>859</v>
      </c>
      <c r="H14" s="38">
        <v>28</v>
      </c>
      <c r="I14" s="260">
        <v>35000</v>
      </c>
      <c r="J14" s="260">
        <v>35098</v>
      </c>
      <c r="K14" s="260" t="s">
        <v>120</v>
      </c>
      <c r="L14" s="250">
        <v>45890</v>
      </c>
      <c r="M14" s="261" t="s">
        <v>121</v>
      </c>
      <c r="N14" s="250" t="s">
        <v>122</v>
      </c>
      <c r="O14" s="250">
        <v>45881</v>
      </c>
      <c r="P14" s="250">
        <v>45907</v>
      </c>
      <c r="Q14" s="250">
        <v>45892</v>
      </c>
      <c r="R14" s="250">
        <v>46031</v>
      </c>
      <c r="S14" s="250">
        <v>46032</v>
      </c>
      <c r="T14" s="250">
        <v>46036</v>
      </c>
      <c r="U14" s="250">
        <v>46040</v>
      </c>
      <c r="V14" s="258"/>
      <c r="W14" s="258"/>
      <c r="X14" s="263"/>
      <c r="Y14" s="263"/>
      <c r="Z14" s="258"/>
      <c r="AA14" s="258"/>
      <c r="AB14" s="258"/>
      <c r="AC14" s="258"/>
      <c r="AD14" s="255" t="s">
        <v>268</v>
      </c>
      <c r="AE14" s="50">
        <f t="shared" si="16"/>
        <v>0</v>
      </c>
      <c r="AF14" s="36">
        <v>7</v>
      </c>
      <c r="AG14" s="51">
        <f t="shared" si="17"/>
        <v>0</v>
      </c>
      <c r="AH14" s="52">
        <v>200</v>
      </c>
      <c r="AI14" s="53">
        <f t="shared" si="18"/>
        <v>0</v>
      </c>
      <c r="AJ14" s="54">
        <f t="shared" si="19"/>
        <v>0</v>
      </c>
      <c r="AK14" s="36">
        <v>2</v>
      </c>
      <c r="AL14" s="51">
        <f t="shared" si="20"/>
        <v>0</v>
      </c>
      <c r="AM14" s="52">
        <v>200</v>
      </c>
      <c r="AN14" s="53">
        <f t="shared" si="21"/>
        <v>0</v>
      </c>
      <c r="AO14" s="52"/>
      <c r="AP14" s="55">
        <f t="shared" si="22"/>
        <v>0</v>
      </c>
    </row>
    <row r="15" spans="1:46" s="262" customFormat="1" ht="12.75">
      <c r="A15" s="259">
        <f>ROW()-3</f>
        <v>12</v>
      </c>
      <c r="B15" s="260" t="s">
        <v>114</v>
      </c>
      <c r="C15" s="265" t="s">
        <v>756</v>
      </c>
      <c r="D15" s="265" t="s">
        <v>765</v>
      </c>
      <c r="E15" s="267" t="s">
        <v>760</v>
      </c>
      <c r="F15" s="36" t="s">
        <v>118</v>
      </c>
      <c r="G15" s="37" t="s">
        <v>872</v>
      </c>
      <c r="H15" s="38">
        <v>28</v>
      </c>
      <c r="I15" s="260">
        <v>35000</v>
      </c>
      <c r="J15" s="260">
        <v>35098</v>
      </c>
      <c r="K15" s="260" t="s">
        <v>120</v>
      </c>
      <c r="L15" s="250">
        <v>45890</v>
      </c>
      <c r="M15" s="261" t="s">
        <v>121</v>
      </c>
      <c r="N15" s="250" t="s">
        <v>122</v>
      </c>
      <c r="O15" s="250">
        <v>45881</v>
      </c>
      <c r="P15" s="250">
        <v>45907</v>
      </c>
      <c r="Q15" s="250">
        <v>45892</v>
      </c>
      <c r="R15" s="250">
        <v>46031</v>
      </c>
      <c r="S15" s="250">
        <v>46032</v>
      </c>
      <c r="T15" s="250">
        <v>46036</v>
      </c>
      <c r="U15" s="250">
        <v>46040</v>
      </c>
      <c r="V15" s="258"/>
      <c r="W15" s="258"/>
      <c r="X15" s="263"/>
      <c r="Y15" s="263"/>
      <c r="Z15" s="258"/>
      <c r="AA15" s="258"/>
      <c r="AB15" s="258"/>
      <c r="AC15" s="258"/>
      <c r="AD15" s="255" t="s">
        <v>268</v>
      </c>
      <c r="AE15" s="50">
        <f t="shared" si="16"/>
        <v>0</v>
      </c>
      <c r="AF15" s="36">
        <v>7</v>
      </c>
      <c r="AG15" s="51">
        <f t="shared" si="17"/>
        <v>0</v>
      </c>
      <c r="AH15" s="52">
        <v>200</v>
      </c>
      <c r="AI15" s="53">
        <f t="shared" si="18"/>
        <v>0</v>
      </c>
      <c r="AJ15" s="54">
        <f t="shared" si="19"/>
        <v>0</v>
      </c>
      <c r="AK15" s="36">
        <v>2</v>
      </c>
      <c r="AL15" s="51">
        <f t="shared" si="20"/>
        <v>0</v>
      </c>
      <c r="AM15" s="52">
        <v>200</v>
      </c>
      <c r="AN15" s="53">
        <f t="shared" si="21"/>
        <v>0</v>
      </c>
      <c r="AO15" s="52"/>
      <c r="AP15" s="55">
        <f t="shared" si="22"/>
        <v>0</v>
      </c>
    </row>
    <row r="16" spans="1:46" s="262" customFormat="1" ht="15" customHeight="1">
      <c r="A16" s="259">
        <f t="shared" si="0"/>
        <v>13</v>
      </c>
      <c r="B16" s="260" t="s">
        <v>114</v>
      </c>
      <c r="C16" s="264" t="s">
        <v>771</v>
      </c>
      <c r="D16" s="264" t="s">
        <v>783</v>
      </c>
      <c r="E16" s="259" t="s">
        <v>778</v>
      </c>
      <c r="F16" s="268" t="s">
        <v>118</v>
      </c>
      <c r="G16" s="37" t="s">
        <v>855</v>
      </c>
      <c r="H16" s="38">
        <v>28</v>
      </c>
      <c r="I16" s="260">
        <v>35000</v>
      </c>
      <c r="J16" s="260">
        <v>35098</v>
      </c>
      <c r="K16" s="260" t="s">
        <v>120</v>
      </c>
      <c r="L16" s="250">
        <v>45890</v>
      </c>
      <c r="M16" s="261" t="s">
        <v>121</v>
      </c>
      <c r="N16" s="250" t="s">
        <v>122</v>
      </c>
      <c r="O16" s="250">
        <v>45881</v>
      </c>
      <c r="P16" s="250">
        <v>45907</v>
      </c>
      <c r="Q16" s="250">
        <v>45892</v>
      </c>
      <c r="R16" s="250">
        <v>46031</v>
      </c>
      <c r="S16" s="250">
        <v>46032</v>
      </c>
      <c r="T16" s="250">
        <v>46036</v>
      </c>
      <c r="U16" s="250">
        <v>46039</v>
      </c>
      <c r="V16" s="250">
        <v>46044</v>
      </c>
      <c r="W16" s="258"/>
      <c r="X16" s="263"/>
      <c r="Y16" s="263"/>
      <c r="Z16" s="258"/>
      <c r="AA16" s="258"/>
      <c r="AB16" s="258"/>
      <c r="AC16" s="258"/>
      <c r="AD16" s="44" t="s">
        <v>747</v>
      </c>
      <c r="AE16" s="45">
        <f>MAX(0,Y16-X16)</f>
        <v>0</v>
      </c>
      <c r="AF16" s="36">
        <v>7</v>
      </c>
      <c r="AG16" s="46">
        <f>MAX(0,AE16-AF16)</f>
        <v>0</v>
      </c>
      <c r="AH16" s="47">
        <v>200</v>
      </c>
      <c r="AI16" s="48">
        <f>MAX(0,AG16*AH16)</f>
        <v>0</v>
      </c>
      <c r="AJ16" s="45">
        <f>MAX(0,AC16-AB16)</f>
        <v>0</v>
      </c>
      <c r="AK16" s="36">
        <v>2</v>
      </c>
      <c r="AL16" s="46">
        <f>MAX(0,AJ16-AK16)</f>
        <v>0</v>
      </c>
      <c r="AM16" s="47">
        <v>200</v>
      </c>
      <c r="AN16" s="48">
        <f>MAX(0,AL16*AM16)</f>
        <v>0</v>
      </c>
      <c r="AO16" s="47"/>
      <c r="AP16" s="49">
        <f>AO16+AN16+AI16</f>
        <v>0</v>
      </c>
    </row>
    <row r="17" spans="1:42" s="262" customFormat="1" ht="15" customHeight="1">
      <c r="A17" s="259">
        <f>ROW()-3</f>
        <v>14</v>
      </c>
      <c r="B17" s="260" t="s">
        <v>114</v>
      </c>
      <c r="C17" s="264" t="s">
        <v>755</v>
      </c>
      <c r="D17" s="264" t="s">
        <v>766</v>
      </c>
      <c r="E17" s="34" t="s">
        <v>761</v>
      </c>
      <c r="F17" s="36" t="s">
        <v>118</v>
      </c>
      <c r="G17" s="37" t="s">
        <v>855</v>
      </c>
      <c r="H17" s="38">
        <v>28</v>
      </c>
      <c r="I17" s="260">
        <v>35000</v>
      </c>
      <c r="J17" s="260">
        <v>35098</v>
      </c>
      <c r="K17" s="260" t="s">
        <v>120</v>
      </c>
      <c r="L17" s="250">
        <v>45890</v>
      </c>
      <c r="M17" s="261" t="s">
        <v>121</v>
      </c>
      <c r="N17" s="250" t="s">
        <v>122</v>
      </c>
      <c r="O17" s="250">
        <v>45881</v>
      </c>
      <c r="P17" s="250">
        <v>45907</v>
      </c>
      <c r="Q17" s="250">
        <v>45892</v>
      </c>
      <c r="R17" s="250">
        <v>46031</v>
      </c>
      <c r="S17" s="250">
        <v>46032</v>
      </c>
      <c r="T17" s="250">
        <v>46036</v>
      </c>
      <c r="U17" s="250">
        <v>46038</v>
      </c>
      <c r="V17" s="250">
        <v>46044</v>
      </c>
      <c r="W17" s="258"/>
      <c r="X17" s="263"/>
      <c r="Y17" s="263"/>
      <c r="Z17" s="258"/>
      <c r="AA17" s="258"/>
      <c r="AB17" s="258"/>
      <c r="AC17" s="258"/>
      <c r="AD17" s="44" t="s">
        <v>747</v>
      </c>
      <c r="AE17" s="45">
        <f>MAX(0,Y17-X17)</f>
        <v>0</v>
      </c>
      <c r="AF17" s="36">
        <v>7</v>
      </c>
      <c r="AG17" s="46">
        <f>MAX(0,AE17-AF17)</f>
        <v>0</v>
      </c>
      <c r="AH17" s="47">
        <v>200</v>
      </c>
      <c r="AI17" s="48">
        <f>MAX(0,AG17*AH17)</f>
        <v>0</v>
      </c>
      <c r="AJ17" s="45">
        <f>MAX(0,AC17-AB17)</f>
        <v>0</v>
      </c>
      <c r="AK17" s="36">
        <v>2</v>
      </c>
      <c r="AL17" s="46">
        <f>MAX(0,AJ17-AK17)</f>
        <v>0</v>
      </c>
      <c r="AM17" s="47">
        <v>200</v>
      </c>
      <c r="AN17" s="48">
        <f>MAX(0,AL17*AM17)</f>
        <v>0</v>
      </c>
      <c r="AO17" s="47"/>
      <c r="AP17" s="49">
        <f>AO17+AN17+AI17</f>
        <v>0</v>
      </c>
    </row>
    <row r="18" spans="1:42" s="1" customFormat="1" ht="15" customHeight="1">
      <c r="A18" s="33">
        <f t="shared" si="15"/>
        <v>15</v>
      </c>
      <c r="B18" s="34" t="s">
        <v>114</v>
      </c>
      <c r="C18" s="35" t="s">
        <v>127</v>
      </c>
      <c r="D18" s="35" t="s">
        <v>128</v>
      </c>
      <c r="E18" s="34" t="s">
        <v>129</v>
      </c>
      <c r="F18" s="36" t="s">
        <v>118</v>
      </c>
      <c r="G18" s="37" t="s">
        <v>855</v>
      </c>
      <c r="H18" s="38">
        <v>29</v>
      </c>
      <c r="I18" s="34">
        <v>36250</v>
      </c>
      <c r="J18" s="34">
        <v>36352</v>
      </c>
      <c r="K18" s="34" t="s">
        <v>120</v>
      </c>
      <c r="L18" s="39">
        <v>45890</v>
      </c>
      <c r="M18" s="40" t="s">
        <v>121</v>
      </c>
      <c r="N18" s="39" t="s">
        <v>122</v>
      </c>
      <c r="O18" s="39">
        <v>45881</v>
      </c>
      <c r="P18" s="39">
        <v>45907</v>
      </c>
      <c r="Q18" s="39">
        <v>45892</v>
      </c>
      <c r="R18" s="39">
        <v>46029</v>
      </c>
      <c r="S18" s="39">
        <v>46031</v>
      </c>
      <c r="T18" s="39">
        <v>46034</v>
      </c>
      <c r="U18" s="250">
        <v>46039</v>
      </c>
      <c r="V18" s="250">
        <v>46044</v>
      </c>
      <c r="W18" s="41"/>
      <c r="X18" s="42"/>
      <c r="Y18" s="42"/>
      <c r="Z18" s="41"/>
      <c r="AA18" s="43"/>
      <c r="AB18" s="41"/>
      <c r="AC18" s="41"/>
      <c r="AD18" s="44" t="s">
        <v>747</v>
      </c>
      <c r="AE18" s="45">
        <f t="shared" ref="AE18" si="23">MAX(0,Y18-X18)</f>
        <v>0</v>
      </c>
      <c r="AF18" s="36">
        <v>7</v>
      </c>
      <c r="AG18" s="46">
        <f t="shared" ref="AG18" si="24">MAX(0,AE18-AF18)</f>
        <v>0</v>
      </c>
      <c r="AH18" s="47">
        <v>200</v>
      </c>
      <c r="AI18" s="48">
        <f t="shared" ref="AI18" si="25">MAX(0,AG18*AH18)</f>
        <v>0</v>
      </c>
      <c r="AJ18" s="45">
        <f t="shared" ref="AJ18" si="26">MAX(0,AC18-AB18)</f>
        <v>0</v>
      </c>
      <c r="AK18" s="36">
        <v>2</v>
      </c>
      <c r="AL18" s="46">
        <f t="shared" ref="AL18" si="27">MAX(0,AJ18-AK18)</f>
        <v>0</v>
      </c>
      <c r="AM18" s="47">
        <v>200</v>
      </c>
      <c r="AN18" s="48">
        <f t="shared" ref="AN18" si="28">MAX(0,AL18*AM18)</f>
        <v>0</v>
      </c>
      <c r="AO18" s="47"/>
      <c r="AP18" s="49">
        <f t="shared" ref="AP18" si="29">AO18+AN18+AI18</f>
        <v>0</v>
      </c>
    </row>
    <row r="19" spans="1:42" s="1" customFormat="1" ht="15" customHeight="1">
      <c r="A19" s="33">
        <f t="shared" si="15"/>
        <v>16</v>
      </c>
      <c r="B19" s="34" t="s">
        <v>114</v>
      </c>
      <c r="C19" s="35" t="s">
        <v>142</v>
      </c>
      <c r="D19" s="35" t="s">
        <v>143</v>
      </c>
      <c r="E19" s="34" t="s">
        <v>144</v>
      </c>
      <c r="F19" s="36" t="s">
        <v>118</v>
      </c>
      <c r="G19" s="37" t="s">
        <v>855</v>
      </c>
      <c r="H19" s="37">
        <v>28</v>
      </c>
      <c r="I19" s="34">
        <v>35000</v>
      </c>
      <c r="J19" s="34">
        <v>35098</v>
      </c>
      <c r="K19" s="34" t="s">
        <v>120</v>
      </c>
      <c r="L19" s="39">
        <v>45890</v>
      </c>
      <c r="M19" s="40" t="s">
        <v>121</v>
      </c>
      <c r="N19" s="39" t="s">
        <v>122</v>
      </c>
      <c r="O19" s="39">
        <v>45881</v>
      </c>
      <c r="P19" s="39">
        <v>45907</v>
      </c>
      <c r="Q19" s="39">
        <v>45892</v>
      </c>
      <c r="R19" s="39">
        <v>46029</v>
      </c>
      <c r="S19" s="39">
        <v>46031</v>
      </c>
      <c r="T19" s="39">
        <v>46034</v>
      </c>
      <c r="U19" s="250">
        <v>46036</v>
      </c>
      <c r="V19" s="250">
        <v>46042</v>
      </c>
      <c r="W19" s="41"/>
      <c r="X19" s="42"/>
      <c r="Y19" s="42"/>
      <c r="Z19" s="41"/>
      <c r="AA19" s="43"/>
      <c r="AB19" s="41"/>
      <c r="AC19" s="41"/>
      <c r="AD19" s="44" t="s">
        <v>747</v>
      </c>
      <c r="AE19" s="45">
        <f t="shared" si="8"/>
        <v>0</v>
      </c>
      <c r="AF19" s="36">
        <v>7</v>
      </c>
      <c r="AG19" s="46">
        <f t="shared" si="9"/>
        <v>0</v>
      </c>
      <c r="AH19" s="47">
        <v>200</v>
      </c>
      <c r="AI19" s="48">
        <f t="shared" si="10"/>
        <v>0</v>
      </c>
      <c r="AJ19" s="45">
        <f t="shared" si="11"/>
        <v>0</v>
      </c>
      <c r="AK19" s="36">
        <v>2</v>
      </c>
      <c r="AL19" s="46">
        <f t="shared" si="12"/>
        <v>0</v>
      </c>
      <c r="AM19" s="47">
        <v>200</v>
      </c>
      <c r="AN19" s="48">
        <f t="shared" si="13"/>
        <v>0</v>
      </c>
      <c r="AO19" s="47"/>
      <c r="AP19" s="49">
        <f t="shared" si="14"/>
        <v>0</v>
      </c>
    </row>
    <row r="20" spans="1:42" s="1" customFormat="1" ht="13.5" customHeight="1">
      <c r="A20" s="33">
        <f t="shared" si="15"/>
        <v>17</v>
      </c>
      <c r="B20" s="34" t="s">
        <v>114</v>
      </c>
      <c r="C20" s="59" t="s">
        <v>145</v>
      </c>
      <c r="D20" s="59" t="s">
        <v>146</v>
      </c>
      <c r="E20" s="60" t="s">
        <v>147</v>
      </c>
      <c r="F20" s="36" t="s">
        <v>118</v>
      </c>
      <c r="G20" s="37" t="s">
        <v>855</v>
      </c>
      <c r="H20" s="37">
        <v>28</v>
      </c>
      <c r="I20" s="34">
        <v>35000</v>
      </c>
      <c r="J20" s="34">
        <v>35098</v>
      </c>
      <c r="K20" s="34" t="s">
        <v>120</v>
      </c>
      <c r="L20" s="39">
        <v>45890</v>
      </c>
      <c r="M20" s="40" t="s">
        <v>121</v>
      </c>
      <c r="N20" s="39" t="s">
        <v>122</v>
      </c>
      <c r="O20" s="39">
        <v>45881</v>
      </c>
      <c r="P20" s="39">
        <v>45907</v>
      </c>
      <c r="Q20" s="39">
        <v>45892</v>
      </c>
      <c r="R20" s="39">
        <v>46029</v>
      </c>
      <c r="S20" s="39">
        <v>46031</v>
      </c>
      <c r="T20" s="39">
        <v>46034</v>
      </c>
      <c r="U20" s="39">
        <v>46036</v>
      </c>
      <c r="V20" s="41"/>
      <c r="W20" s="41"/>
      <c r="X20" s="42"/>
      <c r="Y20" s="42"/>
      <c r="Z20" s="41"/>
      <c r="AA20" s="43"/>
      <c r="AB20" s="41"/>
      <c r="AC20" s="41"/>
      <c r="AD20" s="44" t="s">
        <v>747</v>
      </c>
      <c r="AE20" s="50">
        <f>MAX(0,Y20-X20)</f>
        <v>0</v>
      </c>
      <c r="AF20" s="36">
        <v>7</v>
      </c>
      <c r="AG20" s="51">
        <f>MAX(0,AE20-AF20)</f>
        <v>0</v>
      </c>
      <c r="AH20" s="52">
        <v>200</v>
      </c>
      <c r="AI20" s="53">
        <f>MAX(0,AG20*AH20)</f>
        <v>0</v>
      </c>
      <c r="AJ20" s="54">
        <f>MAX(0,AC20-AB20)</f>
        <v>0</v>
      </c>
      <c r="AK20" s="36">
        <v>2</v>
      </c>
      <c r="AL20" s="51">
        <f>MAX(0,AJ20-AK20)</f>
        <v>0</v>
      </c>
      <c r="AM20" s="52">
        <v>200</v>
      </c>
      <c r="AN20" s="53">
        <f>MAX(0,AL20*AM20)</f>
        <v>0</v>
      </c>
      <c r="AO20" s="52"/>
      <c r="AP20" s="55">
        <f>AO20+AN20+AI20</f>
        <v>0</v>
      </c>
    </row>
    <row r="21" spans="1:42" s="1" customFormat="1" ht="15" customHeight="1">
      <c r="A21" s="33">
        <f t="shared" si="15"/>
        <v>18</v>
      </c>
      <c r="B21" s="34" t="s">
        <v>114</v>
      </c>
      <c r="C21" s="35" t="s">
        <v>130</v>
      </c>
      <c r="D21" s="35" t="s">
        <v>131</v>
      </c>
      <c r="E21" s="35" t="s">
        <v>132</v>
      </c>
      <c r="F21" s="36" t="s">
        <v>118</v>
      </c>
      <c r="G21" s="37" t="s">
        <v>855</v>
      </c>
      <c r="H21" s="38">
        <v>29</v>
      </c>
      <c r="I21" s="34">
        <v>36250</v>
      </c>
      <c r="J21" s="34">
        <v>36352</v>
      </c>
      <c r="K21" s="34" t="s">
        <v>120</v>
      </c>
      <c r="L21" s="39">
        <v>45890</v>
      </c>
      <c r="M21" s="40" t="s">
        <v>121</v>
      </c>
      <c r="N21" s="39" t="s">
        <v>122</v>
      </c>
      <c r="O21" s="39">
        <v>45881</v>
      </c>
      <c r="P21" s="39">
        <v>45907</v>
      </c>
      <c r="Q21" s="39">
        <v>45892</v>
      </c>
      <c r="R21" s="39">
        <v>46029</v>
      </c>
      <c r="S21" s="39">
        <v>46031</v>
      </c>
      <c r="T21" s="39">
        <v>46034</v>
      </c>
      <c r="U21" s="39">
        <v>46036</v>
      </c>
      <c r="V21" s="39">
        <v>46041</v>
      </c>
      <c r="W21" s="41"/>
      <c r="X21" s="42"/>
      <c r="Y21" s="42"/>
      <c r="Z21" s="41"/>
      <c r="AA21" s="43"/>
      <c r="AB21" s="41"/>
      <c r="AC21" s="41"/>
      <c r="AD21" s="44" t="s">
        <v>747</v>
      </c>
      <c r="AE21" s="50">
        <f>MAX(0,Y21-X21)</f>
        <v>0</v>
      </c>
      <c r="AF21" s="36">
        <v>7</v>
      </c>
      <c r="AG21" s="51">
        <f>MAX(0,AE21-AF21)</f>
        <v>0</v>
      </c>
      <c r="AH21" s="52">
        <v>200</v>
      </c>
      <c r="AI21" s="53">
        <f>MAX(0,AG21*AH21)</f>
        <v>0</v>
      </c>
      <c r="AJ21" s="54">
        <f>MAX(0,AC21-AB21)</f>
        <v>0</v>
      </c>
      <c r="AK21" s="36">
        <v>2</v>
      </c>
      <c r="AL21" s="51">
        <f>MAX(0,AJ21-AK21)</f>
        <v>0</v>
      </c>
      <c r="AM21" s="52">
        <v>200</v>
      </c>
      <c r="AN21" s="53">
        <f>MAX(0,AL21*AM21)</f>
        <v>0</v>
      </c>
      <c r="AO21" s="52"/>
      <c r="AP21" s="55">
        <f>AO21+AN21+AI21</f>
        <v>0</v>
      </c>
    </row>
    <row r="22" spans="1:42" s="1" customFormat="1" ht="15" customHeight="1">
      <c r="A22" s="33">
        <f t="shared" si="15"/>
        <v>19</v>
      </c>
      <c r="B22" s="34" t="s">
        <v>114</v>
      </c>
      <c r="C22" s="35" t="s">
        <v>133</v>
      </c>
      <c r="D22" s="35" t="s">
        <v>134</v>
      </c>
      <c r="E22" s="34" t="s">
        <v>135</v>
      </c>
      <c r="F22" s="36" t="s">
        <v>118</v>
      </c>
      <c r="G22" s="37" t="s">
        <v>855</v>
      </c>
      <c r="H22" s="38">
        <v>28</v>
      </c>
      <c r="I22" s="34">
        <v>35000</v>
      </c>
      <c r="J22" s="34">
        <v>35098</v>
      </c>
      <c r="K22" s="34" t="s">
        <v>120</v>
      </c>
      <c r="L22" s="39">
        <v>45890</v>
      </c>
      <c r="M22" s="40" t="s">
        <v>121</v>
      </c>
      <c r="N22" s="39" t="s">
        <v>122</v>
      </c>
      <c r="O22" s="39">
        <v>45881</v>
      </c>
      <c r="P22" s="39">
        <v>45907</v>
      </c>
      <c r="Q22" s="39">
        <v>45892</v>
      </c>
      <c r="R22" s="39">
        <v>46029</v>
      </c>
      <c r="S22" s="39">
        <v>46031</v>
      </c>
      <c r="T22" s="39">
        <v>46034</v>
      </c>
      <c r="U22" s="39">
        <v>46036</v>
      </c>
      <c r="V22" s="39">
        <v>46041</v>
      </c>
      <c r="W22" s="41"/>
      <c r="X22" s="42"/>
      <c r="Y22" s="42"/>
      <c r="Z22" s="41"/>
      <c r="AA22" s="43"/>
      <c r="AB22" s="41"/>
      <c r="AC22" s="41"/>
      <c r="AD22" s="44" t="s">
        <v>747</v>
      </c>
      <c r="AE22" s="45">
        <f>MAX(0,Y22-X22)</f>
        <v>0</v>
      </c>
      <c r="AF22" s="36">
        <v>7</v>
      </c>
      <c r="AG22" s="46">
        <f>MAX(0,AE22-AF22)</f>
        <v>0</v>
      </c>
      <c r="AH22" s="47">
        <v>200</v>
      </c>
      <c r="AI22" s="48">
        <f>MAX(0,AG22*AH22)</f>
        <v>0</v>
      </c>
      <c r="AJ22" s="45">
        <f>MAX(0,AC22-AB22)</f>
        <v>0</v>
      </c>
      <c r="AK22" s="36">
        <v>2</v>
      </c>
      <c r="AL22" s="46">
        <f>MAX(0,AJ22-AK22)</f>
        <v>0</v>
      </c>
      <c r="AM22" s="47">
        <v>200</v>
      </c>
      <c r="AN22" s="48">
        <f>MAX(0,AL22*AM22)</f>
        <v>0</v>
      </c>
      <c r="AO22" s="47"/>
      <c r="AP22" s="49">
        <f>AO22+AN22+AI22</f>
        <v>0</v>
      </c>
    </row>
    <row r="23" spans="1:42" s="1" customFormat="1" ht="15" customHeight="1">
      <c r="A23" s="33">
        <f>ROW()-3</f>
        <v>20</v>
      </c>
      <c r="B23" s="34" t="s">
        <v>114</v>
      </c>
      <c r="C23" s="35" t="s">
        <v>200</v>
      </c>
      <c r="D23" s="35" t="s">
        <v>201</v>
      </c>
      <c r="E23" s="33" t="s">
        <v>202</v>
      </c>
      <c r="F23" s="36" t="s">
        <v>118</v>
      </c>
      <c r="G23" s="37" t="s">
        <v>768</v>
      </c>
      <c r="H23" s="37">
        <v>29</v>
      </c>
      <c r="I23" s="34">
        <v>36250</v>
      </c>
      <c r="J23" s="34">
        <v>36352</v>
      </c>
      <c r="K23" s="34" t="s">
        <v>120</v>
      </c>
      <c r="L23" s="39">
        <v>45890</v>
      </c>
      <c r="M23" s="40" t="s">
        <v>121</v>
      </c>
      <c r="N23" s="39" t="s">
        <v>122</v>
      </c>
      <c r="O23" s="39">
        <v>45881</v>
      </c>
      <c r="P23" s="39">
        <v>45907</v>
      </c>
      <c r="Q23" s="39">
        <v>45892</v>
      </c>
      <c r="R23" s="39">
        <v>46025</v>
      </c>
      <c r="S23" s="39">
        <v>46026</v>
      </c>
      <c r="T23" s="39">
        <v>46029</v>
      </c>
      <c r="U23" s="39">
        <v>46036</v>
      </c>
      <c r="V23" s="39">
        <v>46041</v>
      </c>
      <c r="W23" s="41"/>
      <c r="X23" s="42"/>
      <c r="Y23" s="42"/>
      <c r="Z23" s="41"/>
      <c r="AA23" s="43"/>
      <c r="AB23" s="41"/>
      <c r="AC23" s="41"/>
      <c r="AD23" s="44" t="s">
        <v>747</v>
      </c>
      <c r="AE23" s="45">
        <f t="shared" si="8"/>
        <v>0</v>
      </c>
      <c r="AF23" s="36">
        <v>7</v>
      </c>
      <c r="AG23" s="46">
        <f t="shared" si="9"/>
        <v>0</v>
      </c>
      <c r="AH23" s="47">
        <v>200</v>
      </c>
      <c r="AI23" s="48">
        <f t="shared" si="10"/>
        <v>0</v>
      </c>
      <c r="AJ23" s="45">
        <f t="shared" si="11"/>
        <v>0</v>
      </c>
      <c r="AK23" s="36">
        <v>2</v>
      </c>
      <c r="AL23" s="46">
        <f t="shared" si="12"/>
        <v>0</v>
      </c>
      <c r="AM23" s="47">
        <v>200</v>
      </c>
      <c r="AN23" s="48">
        <f t="shared" si="13"/>
        <v>0</v>
      </c>
      <c r="AO23" s="47"/>
      <c r="AP23" s="49">
        <f t="shared" si="14"/>
        <v>0</v>
      </c>
    </row>
    <row r="24" spans="1:42" s="1" customFormat="1" ht="15" customHeight="1">
      <c r="A24" s="33">
        <f t="shared" si="15"/>
        <v>21</v>
      </c>
      <c r="B24" s="34" t="s">
        <v>114</v>
      </c>
      <c r="C24" s="56" t="s">
        <v>136</v>
      </c>
      <c r="D24" s="56" t="s">
        <v>137</v>
      </c>
      <c r="E24" s="57" t="s">
        <v>138</v>
      </c>
      <c r="F24" s="36" t="s">
        <v>118</v>
      </c>
      <c r="G24" s="37" t="s">
        <v>768</v>
      </c>
      <c r="H24" s="38">
        <v>28</v>
      </c>
      <c r="I24" s="34">
        <v>35000</v>
      </c>
      <c r="J24" s="34">
        <v>35098</v>
      </c>
      <c r="K24" s="34" t="s">
        <v>120</v>
      </c>
      <c r="L24" s="39">
        <v>45890</v>
      </c>
      <c r="M24" s="40" t="s">
        <v>121</v>
      </c>
      <c r="N24" s="39" t="s">
        <v>122</v>
      </c>
      <c r="O24" s="39">
        <v>45881</v>
      </c>
      <c r="P24" s="39">
        <v>45907</v>
      </c>
      <c r="Q24" s="39">
        <v>45892</v>
      </c>
      <c r="R24" s="39">
        <v>46029</v>
      </c>
      <c r="S24" s="39">
        <v>46031</v>
      </c>
      <c r="T24" s="39">
        <v>46034</v>
      </c>
      <c r="U24" s="39">
        <v>46036</v>
      </c>
      <c r="V24" s="39">
        <v>46041</v>
      </c>
      <c r="W24" s="41"/>
      <c r="X24" s="42"/>
      <c r="Y24" s="42"/>
      <c r="Z24" s="41"/>
      <c r="AA24" s="43"/>
      <c r="AB24" s="41"/>
      <c r="AC24" s="41"/>
      <c r="AD24" s="44" t="s">
        <v>747</v>
      </c>
      <c r="AE24" s="50">
        <f t="shared" ref="AE24" si="30">MAX(0,Y24-X24)</f>
        <v>0</v>
      </c>
      <c r="AF24" s="36">
        <v>7</v>
      </c>
      <c r="AG24" s="51">
        <f t="shared" ref="AG24" si="31">MAX(0,AE24-AF24)</f>
        <v>0</v>
      </c>
      <c r="AH24" s="52">
        <v>200</v>
      </c>
      <c r="AI24" s="53">
        <f t="shared" ref="AI24" si="32">MAX(0,AG24*AH24)</f>
        <v>0</v>
      </c>
      <c r="AJ24" s="54">
        <f t="shared" ref="AJ24" si="33">MAX(0,AC24-AB24)</f>
        <v>0</v>
      </c>
      <c r="AK24" s="36">
        <v>2</v>
      </c>
      <c r="AL24" s="51">
        <f t="shared" ref="AL24" si="34">MAX(0,AJ24-AK24)</f>
        <v>0</v>
      </c>
      <c r="AM24" s="52">
        <v>200</v>
      </c>
      <c r="AN24" s="53">
        <f t="shared" ref="AN24" si="35">MAX(0,AL24*AM24)</f>
        <v>0</v>
      </c>
      <c r="AO24" s="52"/>
      <c r="AP24" s="55">
        <f t="shared" ref="AP24" si="36">AO24+AN24+AI24</f>
        <v>0</v>
      </c>
    </row>
    <row r="25" spans="1:42" s="1" customFormat="1" ht="15" customHeight="1">
      <c r="A25" s="33">
        <f>ROW()-3</f>
        <v>22</v>
      </c>
      <c r="B25" s="34" t="s">
        <v>114</v>
      </c>
      <c r="C25" s="33" t="s">
        <v>175</v>
      </c>
      <c r="D25" s="33" t="s">
        <v>176</v>
      </c>
      <c r="E25" s="34" t="s">
        <v>177</v>
      </c>
      <c r="F25" s="36" t="s">
        <v>118</v>
      </c>
      <c r="G25" s="37" t="s">
        <v>768</v>
      </c>
      <c r="H25" s="38">
        <v>28</v>
      </c>
      <c r="I25" s="34">
        <v>35000</v>
      </c>
      <c r="J25" s="34">
        <v>35098</v>
      </c>
      <c r="K25" s="34" t="s">
        <v>120</v>
      </c>
      <c r="L25" s="39">
        <v>45890</v>
      </c>
      <c r="M25" s="40" t="s">
        <v>121</v>
      </c>
      <c r="N25" s="39" t="s">
        <v>122</v>
      </c>
      <c r="O25" s="39">
        <v>45881</v>
      </c>
      <c r="P25" s="39">
        <v>45907</v>
      </c>
      <c r="Q25" s="39">
        <v>45892</v>
      </c>
      <c r="R25" s="39">
        <v>46027</v>
      </c>
      <c r="S25" s="39">
        <v>46028</v>
      </c>
      <c r="T25" s="39">
        <v>46031</v>
      </c>
      <c r="U25" s="39">
        <v>46036</v>
      </c>
      <c r="V25" s="39">
        <v>46040</v>
      </c>
      <c r="W25" s="41"/>
      <c r="X25" s="42"/>
      <c r="Y25" s="42"/>
      <c r="Z25" s="41"/>
      <c r="AA25" s="43"/>
      <c r="AB25" s="41"/>
      <c r="AC25" s="41"/>
      <c r="AD25" s="44" t="s">
        <v>747</v>
      </c>
      <c r="AE25" s="45">
        <f t="shared" ref="AE25:AE26" si="37">MAX(0,Y25-X25)</f>
        <v>0</v>
      </c>
      <c r="AF25" s="36">
        <v>7</v>
      </c>
      <c r="AG25" s="46">
        <f t="shared" ref="AG25:AG26" si="38">MAX(0,AE25-AF25)</f>
        <v>0</v>
      </c>
      <c r="AH25" s="47">
        <v>200</v>
      </c>
      <c r="AI25" s="48">
        <f t="shared" ref="AI25:AI26" si="39">MAX(0,AG25*AH25)</f>
        <v>0</v>
      </c>
      <c r="AJ25" s="45">
        <f t="shared" ref="AJ25:AJ26" si="40">MAX(0,AC25-AB25)</f>
        <v>0</v>
      </c>
      <c r="AK25" s="36">
        <v>2</v>
      </c>
      <c r="AL25" s="46">
        <f t="shared" ref="AL25:AL26" si="41">MAX(0,AJ25-AK25)</f>
        <v>0</v>
      </c>
      <c r="AM25" s="47">
        <v>200</v>
      </c>
      <c r="AN25" s="48">
        <f t="shared" ref="AN25:AN26" si="42">MAX(0,AL25*AM25)</f>
        <v>0</v>
      </c>
      <c r="AO25" s="47"/>
      <c r="AP25" s="49">
        <f t="shared" ref="AP25:AP26" si="43">AO25+AN25+AI25</f>
        <v>0</v>
      </c>
    </row>
    <row r="26" spans="1:42" s="1" customFormat="1" ht="15" customHeight="1">
      <c r="A26" s="33">
        <f t="shared" si="15"/>
        <v>23</v>
      </c>
      <c r="B26" s="34" t="s">
        <v>114</v>
      </c>
      <c r="C26" s="35" t="s">
        <v>115</v>
      </c>
      <c r="D26" s="35" t="s">
        <v>116</v>
      </c>
      <c r="E26" s="33" t="s">
        <v>117</v>
      </c>
      <c r="F26" s="36" t="s">
        <v>118</v>
      </c>
      <c r="G26" s="37" t="s">
        <v>768</v>
      </c>
      <c r="H26" s="38">
        <v>29</v>
      </c>
      <c r="I26" s="34">
        <v>36250</v>
      </c>
      <c r="J26" s="34">
        <v>36352</v>
      </c>
      <c r="K26" s="34" t="s">
        <v>120</v>
      </c>
      <c r="L26" s="39">
        <v>45890</v>
      </c>
      <c r="M26" s="40" t="s">
        <v>121</v>
      </c>
      <c r="N26" s="39" t="s">
        <v>122</v>
      </c>
      <c r="O26" s="39">
        <v>45881</v>
      </c>
      <c r="P26" s="39">
        <v>45907</v>
      </c>
      <c r="Q26" s="39">
        <v>45892</v>
      </c>
      <c r="R26" s="39">
        <v>46029</v>
      </c>
      <c r="S26" s="39">
        <v>46031</v>
      </c>
      <c r="T26" s="39">
        <v>46034</v>
      </c>
      <c r="U26" s="39">
        <v>46035</v>
      </c>
      <c r="V26" s="39">
        <v>46040</v>
      </c>
      <c r="W26" s="41"/>
      <c r="X26" s="42"/>
      <c r="Y26" s="42"/>
      <c r="Z26" s="41"/>
      <c r="AA26" s="43"/>
      <c r="AB26" s="41"/>
      <c r="AC26" s="41"/>
      <c r="AD26" s="44" t="s">
        <v>747</v>
      </c>
      <c r="AE26" s="45">
        <f t="shared" si="37"/>
        <v>0</v>
      </c>
      <c r="AF26" s="36">
        <v>7</v>
      </c>
      <c r="AG26" s="46">
        <f t="shared" si="38"/>
        <v>0</v>
      </c>
      <c r="AH26" s="47">
        <v>200</v>
      </c>
      <c r="AI26" s="48">
        <f t="shared" si="39"/>
        <v>0</v>
      </c>
      <c r="AJ26" s="45">
        <f t="shared" si="40"/>
        <v>0</v>
      </c>
      <c r="AK26" s="36">
        <v>2</v>
      </c>
      <c r="AL26" s="46">
        <f t="shared" si="41"/>
        <v>0</v>
      </c>
      <c r="AM26" s="47">
        <v>200</v>
      </c>
      <c r="AN26" s="48">
        <f t="shared" si="42"/>
        <v>0</v>
      </c>
      <c r="AO26" s="47"/>
      <c r="AP26" s="49">
        <f t="shared" si="43"/>
        <v>0</v>
      </c>
    </row>
    <row r="27" spans="1:42" s="1" customFormat="1" ht="15" customHeight="1">
      <c r="A27" s="33">
        <f t="shared" ref="A27:A43" si="44">ROW()-3</f>
        <v>24</v>
      </c>
      <c r="B27" s="34" t="s">
        <v>114</v>
      </c>
      <c r="C27" s="33" t="s">
        <v>157</v>
      </c>
      <c r="D27" s="33" t="s">
        <v>158</v>
      </c>
      <c r="E27" s="34" t="s">
        <v>159</v>
      </c>
      <c r="F27" s="36" t="s">
        <v>118</v>
      </c>
      <c r="G27" s="37" t="s">
        <v>768</v>
      </c>
      <c r="H27" s="38">
        <v>29</v>
      </c>
      <c r="I27" s="34">
        <v>36250</v>
      </c>
      <c r="J27" s="34">
        <v>36352</v>
      </c>
      <c r="K27" s="34" t="s">
        <v>120</v>
      </c>
      <c r="L27" s="39">
        <v>45890</v>
      </c>
      <c r="M27" s="40" t="s">
        <v>121</v>
      </c>
      <c r="N27" s="39" t="s">
        <v>122</v>
      </c>
      <c r="O27" s="39">
        <v>45881</v>
      </c>
      <c r="P27" s="39">
        <v>45907</v>
      </c>
      <c r="Q27" s="39">
        <v>45892</v>
      </c>
      <c r="R27" s="39">
        <v>46027</v>
      </c>
      <c r="S27" s="39">
        <v>46028</v>
      </c>
      <c r="T27" s="39">
        <v>46031</v>
      </c>
      <c r="U27" s="39">
        <v>46035</v>
      </c>
      <c r="V27" s="39">
        <v>46039</v>
      </c>
      <c r="W27" s="41"/>
      <c r="X27" s="42"/>
      <c r="Y27" s="42"/>
      <c r="Z27" s="41"/>
      <c r="AA27" s="43"/>
      <c r="AB27" s="41"/>
      <c r="AC27" s="41"/>
      <c r="AD27" s="44" t="s">
        <v>747</v>
      </c>
      <c r="AE27" s="45">
        <f>MAX(0,Y27-X27)</f>
        <v>0</v>
      </c>
      <c r="AF27" s="36">
        <v>7</v>
      </c>
      <c r="AG27" s="46">
        <f>MAX(0,AE27-AF27)</f>
        <v>0</v>
      </c>
      <c r="AH27" s="47">
        <v>200</v>
      </c>
      <c r="AI27" s="48">
        <f>MAX(0,AG27*AH27)</f>
        <v>0</v>
      </c>
      <c r="AJ27" s="45">
        <f>MAX(0,AC27-AB27)</f>
        <v>0</v>
      </c>
      <c r="AK27" s="36">
        <v>2</v>
      </c>
      <c r="AL27" s="46">
        <f>MAX(0,AJ27-AK27)</f>
        <v>0</v>
      </c>
      <c r="AM27" s="47">
        <v>200</v>
      </c>
      <c r="AN27" s="48">
        <f>MAX(0,AL27*AM27)</f>
        <v>0</v>
      </c>
      <c r="AO27" s="47"/>
      <c r="AP27" s="49">
        <f>AO27+AN27+AI27</f>
        <v>0</v>
      </c>
    </row>
    <row r="28" spans="1:42" s="1" customFormat="1" ht="15" customHeight="1">
      <c r="A28" s="33">
        <f t="shared" si="44"/>
        <v>25</v>
      </c>
      <c r="B28" s="34" t="s">
        <v>114</v>
      </c>
      <c r="C28" s="33" t="s">
        <v>151</v>
      </c>
      <c r="D28" s="33" t="s">
        <v>152</v>
      </c>
      <c r="E28" s="34" t="s">
        <v>153</v>
      </c>
      <c r="F28" s="36" t="s">
        <v>118</v>
      </c>
      <c r="G28" s="37" t="s">
        <v>768</v>
      </c>
      <c r="H28" s="38">
        <v>28</v>
      </c>
      <c r="I28" s="34">
        <v>35000</v>
      </c>
      <c r="J28" s="34">
        <v>35098</v>
      </c>
      <c r="K28" s="34" t="s">
        <v>120</v>
      </c>
      <c r="L28" s="39">
        <v>45890</v>
      </c>
      <c r="M28" s="40" t="s">
        <v>121</v>
      </c>
      <c r="N28" s="39" t="s">
        <v>122</v>
      </c>
      <c r="O28" s="39">
        <v>45881</v>
      </c>
      <c r="P28" s="39">
        <v>45907</v>
      </c>
      <c r="Q28" s="39">
        <v>45892</v>
      </c>
      <c r="R28" s="39">
        <v>46027</v>
      </c>
      <c r="S28" s="39">
        <v>46028</v>
      </c>
      <c r="T28" s="39">
        <v>46031</v>
      </c>
      <c r="U28" s="39">
        <v>46034</v>
      </c>
      <c r="V28" s="39">
        <v>46038</v>
      </c>
      <c r="W28" s="61"/>
      <c r="X28" s="42"/>
      <c r="Y28" s="42"/>
      <c r="Z28" s="61"/>
      <c r="AA28" s="62"/>
      <c r="AB28" s="61"/>
      <c r="AC28" s="61"/>
      <c r="AD28" s="63" t="s">
        <v>747</v>
      </c>
      <c r="AE28" s="45">
        <f>MAX(0,Y28-X28)</f>
        <v>0</v>
      </c>
      <c r="AF28" s="36">
        <v>7</v>
      </c>
      <c r="AG28" s="46">
        <f>MAX(0,AE28-AF28)</f>
        <v>0</v>
      </c>
      <c r="AH28" s="47">
        <v>200</v>
      </c>
      <c r="AI28" s="48">
        <f>MAX(0,AG28*AH28)</f>
        <v>0</v>
      </c>
      <c r="AJ28" s="45">
        <f>MAX(0,AC28-AB28)</f>
        <v>0</v>
      </c>
      <c r="AK28" s="36">
        <v>2</v>
      </c>
      <c r="AL28" s="46">
        <f>MAX(0,AJ28-AK28)</f>
        <v>0</v>
      </c>
      <c r="AM28" s="47">
        <v>200</v>
      </c>
      <c r="AN28" s="48">
        <f>MAX(0,AL28*AM28)</f>
        <v>0</v>
      </c>
      <c r="AO28" s="47"/>
      <c r="AP28" s="49">
        <f>AO28+AN28+AI28</f>
        <v>0</v>
      </c>
    </row>
    <row r="29" spans="1:42" s="1" customFormat="1" ht="15" customHeight="1">
      <c r="A29" s="33">
        <f t="shared" si="44"/>
        <v>26</v>
      </c>
      <c r="B29" s="34" t="s">
        <v>114</v>
      </c>
      <c r="C29" s="33" t="s">
        <v>160</v>
      </c>
      <c r="D29" s="33" t="s">
        <v>161</v>
      </c>
      <c r="E29" s="33" t="s">
        <v>162</v>
      </c>
      <c r="F29" s="36" t="s">
        <v>118</v>
      </c>
      <c r="G29" s="37" t="s">
        <v>768</v>
      </c>
      <c r="H29" s="38">
        <v>28</v>
      </c>
      <c r="I29" s="34">
        <v>36250</v>
      </c>
      <c r="J29" s="34">
        <v>36352</v>
      </c>
      <c r="K29" s="34" t="s">
        <v>120</v>
      </c>
      <c r="L29" s="39">
        <v>45890</v>
      </c>
      <c r="M29" s="40" t="s">
        <v>121</v>
      </c>
      <c r="N29" s="39" t="s">
        <v>122</v>
      </c>
      <c r="O29" s="39">
        <v>45881</v>
      </c>
      <c r="P29" s="39">
        <v>45907</v>
      </c>
      <c r="Q29" s="39">
        <v>45892</v>
      </c>
      <c r="R29" s="39">
        <v>46027</v>
      </c>
      <c r="S29" s="39">
        <v>46028</v>
      </c>
      <c r="T29" s="39">
        <v>46031</v>
      </c>
      <c r="U29" s="39">
        <v>46034</v>
      </c>
      <c r="V29" s="39">
        <v>46038</v>
      </c>
      <c r="W29" s="61"/>
      <c r="X29" s="42"/>
      <c r="Y29" s="42"/>
      <c r="Z29" s="61"/>
      <c r="AA29" s="62"/>
      <c r="AB29" s="61"/>
      <c r="AC29" s="61"/>
      <c r="AD29" s="63" t="s">
        <v>747</v>
      </c>
      <c r="AE29" s="50">
        <f t="shared" ref="AE29" si="45">MAX(0,Y29-X29)</f>
        <v>0</v>
      </c>
      <c r="AF29" s="36">
        <v>7</v>
      </c>
      <c r="AG29" s="51">
        <f t="shared" ref="AG29" si="46">MAX(0,AE29-AF29)</f>
        <v>0</v>
      </c>
      <c r="AH29" s="52">
        <v>200</v>
      </c>
      <c r="AI29" s="53">
        <f t="shared" ref="AI29" si="47">MAX(0,AG29*AH29)</f>
        <v>0</v>
      </c>
      <c r="AJ29" s="54">
        <f t="shared" ref="AJ29" si="48">MAX(0,AC29-AB29)</f>
        <v>0</v>
      </c>
      <c r="AK29" s="36">
        <v>2</v>
      </c>
      <c r="AL29" s="51">
        <f t="shared" ref="AL29" si="49">MAX(0,AJ29-AK29)</f>
        <v>0</v>
      </c>
      <c r="AM29" s="52">
        <v>200</v>
      </c>
      <c r="AN29" s="53">
        <f t="shared" ref="AN29" si="50">MAX(0,AL29*AM29)</f>
        <v>0</v>
      </c>
      <c r="AO29" s="52"/>
      <c r="AP29" s="55">
        <f t="shared" ref="AP29" si="51">AO29+AN29+AI29</f>
        <v>0</v>
      </c>
    </row>
    <row r="30" spans="1:42" s="1" customFormat="1" ht="15" customHeight="1">
      <c r="A30" s="33">
        <f t="shared" si="44"/>
        <v>27</v>
      </c>
      <c r="B30" s="34" t="s">
        <v>114</v>
      </c>
      <c r="C30" s="35" t="s">
        <v>188</v>
      </c>
      <c r="D30" s="35" t="s">
        <v>189</v>
      </c>
      <c r="E30" s="34" t="s">
        <v>190</v>
      </c>
      <c r="F30" s="36" t="s">
        <v>118</v>
      </c>
      <c r="G30" s="37" t="s">
        <v>768</v>
      </c>
      <c r="H30" s="37">
        <v>28</v>
      </c>
      <c r="I30" s="34">
        <v>35000</v>
      </c>
      <c r="J30" s="34">
        <v>35098</v>
      </c>
      <c r="K30" s="34" t="s">
        <v>120</v>
      </c>
      <c r="L30" s="39">
        <v>45890</v>
      </c>
      <c r="M30" s="40" t="s">
        <v>121</v>
      </c>
      <c r="N30" s="39" t="s">
        <v>122</v>
      </c>
      <c r="O30" s="39">
        <v>45881</v>
      </c>
      <c r="P30" s="39">
        <v>45907</v>
      </c>
      <c r="Q30" s="39">
        <v>45892</v>
      </c>
      <c r="R30" s="39">
        <v>46025</v>
      </c>
      <c r="S30" s="39">
        <v>46026</v>
      </c>
      <c r="T30" s="39">
        <v>46029</v>
      </c>
      <c r="U30" s="39">
        <v>46034</v>
      </c>
      <c r="V30" s="39">
        <v>46038</v>
      </c>
      <c r="W30" s="61"/>
      <c r="X30" s="42"/>
      <c r="Y30" s="42"/>
      <c r="Z30" s="61"/>
      <c r="AA30" s="62"/>
      <c r="AB30" s="61"/>
      <c r="AC30" s="61"/>
      <c r="AD30" s="63" t="s">
        <v>747</v>
      </c>
      <c r="AE30" s="45">
        <f t="shared" ref="AE30:AE31" si="52">MAX(0,Y30-X30)</f>
        <v>0</v>
      </c>
      <c r="AF30" s="36">
        <v>7</v>
      </c>
      <c r="AG30" s="46">
        <f t="shared" ref="AG30:AG31" si="53">MAX(0,AE30-AF30)</f>
        <v>0</v>
      </c>
      <c r="AH30" s="47">
        <v>200</v>
      </c>
      <c r="AI30" s="48">
        <f t="shared" ref="AI30:AI31" si="54">MAX(0,AG30*AH30)</f>
        <v>0</v>
      </c>
      <c r="AJ30" s="45">
        <f t="shared" ref="AJ30:AJ31" si="55">MAX(0,AC30-AB30)</f>
        <v>0</v>
      </c>
      <c r="AK30" s="36">
        <v>2</v>
      </c>
      <c r="AL30" s="46">
        <f t="shared" ref="AL30:AL31" si="56">MAX(0,AJ30-AK30)</f>
        <v>0</v>
      </c>
      <c r="AM30" s="47">
        <v>200</v>
      </c>
      <c r="AN30" s="48">
        <f t="shared" ref="AN30:AN31" si="57">MAX(0,AL30*AM30)</f>
        <v>0</v>
      </c>
      <c r="AO30" s="47"/>
      <c r="AP30" s="49">
        <f t="shared" ref="AP30:AP31" si="58">AO30+AN30+AI30</f>
        <v>0</v>
      </c>
    </row>
    <row r="31" spans="1:42" s="1" customFormat="1" ht="15" customHeight="1">
      <c r="A31" s="33">
        <f t="shared" si="44"/>
        <v>28</v>
      </c>
      <c r="B31" s="34" t="s">
        <v>114</v>
      </c>
      <c r="C31" s="64" t="s">
        <v>191</v>
      </c>
      <c r="D31" s="34" t="s">
        <v>192</v>
      </c>
      <c r="E31" s="34" t="s">
        <v>193</v>
      </c>
      <c r="F31" s="36" t="s">
        <v>118</v>
      </c>
      <c r="G31" s="37" t="s">
        <v>768</v>
      </c>
      <c r="H31" s="37">
        <v>29</v>
      </c>
      <c r="I31" s="34">
        <v>36250</v>
      </c>
      <c r="J31" s="34">
        <v>36352</v>
      </c>
      <c r="K31" s="34" t="s">
        <v>120</v>
      </c>
      <c r="L31" s="39">
        <v>45890</v>
      </c>
      <c r="M31" s="40" t="s">
        <v>121</v>
      </c>
      <c r="N31" s="39" t="s">
        <v>122</v>
      </c>
      <c r="O31" s="39">
        <v>45881</v>
      </c>
      <c r="P31" s="39">
        <v>45907</v>
      </c>
      <c r="Q31" s="39">
        <v>45892</v>
      </c>
      <c r="R31" s="39">
        <v>46025</v>
      </c>
      <c r="S31" s="39">
        <v>46026</v>
      </c>
      <c r="T31" s="39">
        <v>46029</v>
      </c>
      <c r="U31" s="39">
        <v>46034</v>
      </c>
      <c r="V31" s="39">
        <v>46038</v>
      </c>
      <c r="W31" s="61"/>
      <c r="X31" s="42"/>
      <c r="Y31" s="42"/>
      <c r="Z31" s="61"/>
      <c r="AA31" s="62"/>
      <c r="AB31" s="61"/>
      <c r="AC31" s="61"/>
      <c r="AD31" s="63" t="s">
        <v>747</v>
      </c>
      <c r="AE31" s="50">
        <f t="shared" si="52"/>
        <v>0</v>
      </c>
      <c r="AF31" s="36">
        <v>7</v>
      </c>
      <c r="AG31" s="51">
        <f t="shared" si="53"/>
        <v>0</v>
      </c>
      <c r="AH31" s="52">
        <v>200</v>
      </c>
      <c r="AI31" s="53">
        <f t="shared" si="54"/>
        <v>0</v>
      </c>
      <c r="AJ31" s="54">
        <f t="shared" si="55"/>
        <v>0</v>
      </c>
      <c r="AK31" s="36">
        <v>2</v>
      </c>
      <c r="AL31" s="51">
        <f t="shared" si="56"/>
        <v>0</v>
      </c>
      <c r="AM31" s="52">
        <v>200</v>
      </c>
      <c r="AN31" s="53">
        <f t="shared" si="57"/>
        <v>0</v>
      </c>
      <c r="AO31" s="52"/>
      <c r="AP31" s="55">
        <f t="shared" si="58"/>
        <v>0</v>
      </c>
    </row>
    <row r="32" spans="1:42" s="1" customFormat="1" ht="15" customHeight="1">
      <c r="A32" s="33">
        <f t="shared" si="44"/>
        <v>29</v>
      </c>
      <c r="B32" s="34" t="s">
        <v>114</v>
      </c>
      <c r="C32" s="35" t="s">
        <v>209</v>
      </c>
      <c r="D32" s="35" t="s">
        <v>210</v>
      </c>
      <c r="E32" s="34" t="s">
        <v>211</v>
      </c>
      <c r="F32" s="36" t="s">
        <v>118</v>
      </c>
      <c r="G32" s="37" t="s">
        <v>768</v>
      </c>
      <c r="H32" s="37">
        <v>28</v>
      </c>
      <c r="I32" s="34">
        <v>35000</v>
      </c>
      <c r="J32" s="34">
        <v>35098</v>
      </c>
      <c r="K32" s="34" t="s">
        <v>120</v>
      </c>
      <c r="L32" s="39">
        <v>45890</v>
      </c>
      <c r="M32" s="40" t="s">
        <v>121</v>
      </c>
      <c r="N32" s="39" t="s">
        <v>122</v>
      </c>
      <c r="O32" s="39">
        <v>45881</v>
      </c>
      <c r="P32" s="39">
        <v>45907</v>
      </c>
      <c r="Q32" s="39">
        <v>45892</v>
      </c>
      <c r="R32" s="39">
        <v>46025</v>
      </c>
      <c r="S32" s="39">
        <v>46026</v>
      </c>
      <c r="T32" s="39">
        <v>46029</v>
      </c>
      <c r="U32" s="39">
        <v>46034</v>
      </c>
      <c r="V32" s="39">
        <v>46038</v>
      </c>
      <c r="W32" s="61"/>
      <c r="X32" s="42"/>
      <c r="Y32" s="42"/>
      <c r="Z32" s="61"/>
      <c r="AA32" s="62"/>
      <c r="AB32" s="61"/>
      <c r="AC32" s="61"/>
      <c r="AD32" s="63" t="s">
        <v>747</v>
      </c>
      <c r="AE32" s="50">
        <f t="shared" ref="AE32:AE43" si="59">MAX(0,Y32-X32)</f>
        <v>0</v>
      </c>
      <c r="AF32" s="36">
        <v>7</v>
      </c>
      <c r="AG32" s="51">
        <f t="shared" ref="AG32:AG43" si="60">MAX(0,AE32-AF32)</f>
        <v>0</v>
      </c>
      <c r="AH32" s="52">
        <v>200</v>
      </c>
      <c r="AI32" s="53">
        <f t="shared" ref="AI32:AI43" si="61">MAX(0,AG32*AH32)</f>
        <v>0</v>
      </c>
      <c r="AJ32" s="54">
        <f t="shared" ref="AJ32:AJ43" si="62">MAX(0,AC32-AB32)</f>
        <v>0</v>
      </c>
      <c r="AK32" s="36">
        <v>2</v>
      </c>
      <c r="AL32" s="51">
        <f t="shared" ref="AL32:AL43" si="63">MAX(0,AJ32-AK32)</f>
        <v>0</v>
      </c>
      <c r="AM32" s="52">
        <v>200</v>
      </c>
      <c r="AN32" s="53">
        <f t="shared" ref="AN32:AN43" si="64">MAX(0,AL32*AM32)</f>
        <v>0</v>
      </c>
      <c r="AO32" s="52"/>
      <c r="AP32" s="55">
        <f t="shared" ref="AP32:AP43" si="65">AO32+AN32+AI32</f>
        <v>0</v>
      </c>
    </row>
    <row r="33" spans="1:42" s="1" customFormat="1" ht="13.5" customHeight="1">
      <c r="A33" s="33">
        <f t="shared" si="44"/>
        <v>30</v>
      </c>
      <c r="B33" s="34" t="s">
        <v>114</v>
      </c>
      <c r="C33" s="35" t="s">
        <v>197</v>
      </c>
      <c r="D33" s="35" t="s">
        <v>198</v>
      </c>
      <c r="E33" s="64" t="s">
        <v>199</v>
      </c>
      <c r="F33" s="36" t="s">
        <v>118</v>
      </c>
      <c r="G33" s="37" t="s">
        <v>768</v>
      </c>
      <c r="H33" s="37">
        <v>28</v>
      </c>
      <c r="I33" s="34">
        <v>35000</v>
      </c>
      <c r="J33" s="34">
        <v>35098</v>
      </c>
      <c r="K33" s="34" t="s">
        <v>120</v>
      </c>
      <c r="L33" s="39">
        <v>45890</v>
      </c>
      <c r="M33" s="40" t="s">
        <v>121</v>
      </c>
      <c r="N33" s="39" t="s">
        <v>122</v>
      </c>
      <c r="O33" s="39">
        <v>45881</v>
      </c>
      <c r="P33" s="39">
        <v>45907</v>
      </c>
      <c r="Q33" s="39">
        <v>45892</v>
      </c>
      <c r="R33" s="39">
        <v>46025</v>
      </c>
      <c r="S33" s="39">
        <v>46026</v>
      </c>
      <c r="T33" s="39">
        <v>46029</v>
      </c>
      <c r="U33" s="39">
        <v>46035</v>
      </c>
      <c r="V33" s="39">
        <v>46038</v>
      </c>
      <c r="W33" s="39">
        <v>46042</v>
      </c>
      <c r="X33" s="42"/>
      <c r="Y33" s="42"/>
      <c r="Z33" s="41"/>
      <c r="AA33" s="43"/>
      <c r="AB33" s="41"/>
      <c r="AC33" s="41"/>
      <c r="AD33" s="44" t="s">
        <v>747</v>
      </c>
      <c r="AE33" s="50">
        <f t="shared" si="59"/>
        <v>0</v>
      </c>
      <c r="AF33" s="36">
        <v>7</v>
      </c>
      <c r="AG33" s="51">
        <f t="shared" si="60"/>
        <v>0</v>
      </c>
      <c r="AH33" s="52">
        <v>200</v>
      </c>
      <c r="AI33" s="53">
        <f t="shared" si="61"/>
        <v>0</v>
      </c>
      <c r="AJ33" s="54">
        <f t="shared" si="62"/>
        <v>0</v>
      </c>
      <c r="AK33" s="36">
        <v>2</v>
      </c>
      <c r="AL33" s="51">
        <f t="shared" si="63"/>
        <v>0</v>
      </c>
      <c r="AM33" s="52">
        <v>200</v>
      </c>
      <c r="AN33" s="53">
        <f t="shared" si="64"/>
        <v>0</v>
      </c>
      <c r="AO33" s="52"/>
      <c r="AP33" s="55">
        <f t="shared" si="65"/>
        <v>0</v>
      </c>
    </row>
    <row r="34" spans="1:42" s="1" customFormat="1" ht="15" customHeight="1">
      <c r="A34" s="33">
        <f t="shared" si="44"/>
        <v>31</v>
      </c>
      <c r="B34" s="34" t="s">
        <v>114</v>
      </c>
      <c r="C34" s="35" t="s">
        <v>203</v>
      </c>
      <c r="D34" s="35" t="s">
        <v>204</v>
      </c>
      <c r="E34" s="33" t="s">
        <v>205</v>
      </c>
      <c r="F34" s="36" t="s">
        <v>118</v>
      </c>
      <c r="G34" s="37" t="s">
        <v>768</v>
      </c>
      <c r="H34" s="37">
        <v>29</v>
      </c>
      <c r="I34" s="34">
        <v>36250</v>
      </c>
      <c r="J34" s="34">
        <v>36352</v>
      </c>
      <c r="K34" s="34" t="s">
        <v>120</v>
      </c>
      <c r="L34" s="39">
        <v>45890</v>
      </c>
      <c r="M34" s="40" t="s">
        <v>121</v>
      </c>
      <c r="N34" s="39" t="s">
        <v>122</v>
      </c>
      <c r="O34" s="39">
        <v>45881</v>
      </c>
      <c r="P34" s="39">
        <v>45907</v>
      </c>
      <c r="Q34" s="39">
        <v>45892</v>
      </c>
      <c r="R34" s="39">
        <v>46025</v>
      </c>
      <c r="S34" s="39">
        <v>46026</v>
      </c>
      <c r="T34" s="39">
        <v>46029</v>
      </c>
      <c r="U34" s="39">
        <v>46033</v>
      </c>
      <c r="V34" s="39">
        <v>46037</v>
      </c>
      <c r="W34" s="41"/>
      <c r="X34" s="42"/>
      <c r="Y34" s="42"/>
      <c r="Z34" s="41"/>
      <c r="AA34" s="43"/>
      <c r="AB34" s="41"/>
      <c r="AC34" s="41"/>
      <c r="AD34" s="44" t="s">
        <v>747</v>
      </c>
      <c r="AE34" s="50">
        <f t="shared" si="59"/>
        <v>0</v>
      </c>
      <c r="AF34" s="36">
        <v>7</v>
      </c>
      <c r="AG34" s="51">
        <f t="shared" si="60"/>
        <v>0</v>
      </c>
      <c r="AH34" s="52">
        <v>200</v>
      </c>
      <c r="AI34" s="53">
        <f t="shared" si="61"/>
        <v>0</v>
      </c>
      <c r="AJ34" s="54">
        <f t="shared" si="62"/>
        <v>0</v>
      </c>
      <c r="AK34" s="36">
        <v>2</v>
      </c>
      <c r="AL34" s="51">
        <f t="shared" si="63"/>
        <v>0</v>
      </c>
      <c r="AM34" s="52">
        <v>200</v>
      </c>
      <c r="AN34" s="53">
        <f t="shared" si="64"/>
        <v>0</v>
      </c>
      <c r="AO34" s="52"/>
      <c r="AP34" s="55">
        <f t="shared" si="65"/>
        <v>0</v>
      </c>
    </row>
    <row r="35" spans="1:42" s="1" customFormat="1" ht="15" customHeight="1">
      <c r="A35" s="33">
        <f t="shared" si="44"/>
        <v>32</v>
      </c>
      <c r="B35" s="34" t="s">
        <v>114</v>
      </c>
      <c r="C35" s="35" t="s">
        <v>194</v>
      </c>
      <c r="D35" s="35" t="s">
        <v>195</v>
      </c>
      <c r="E35" s="39" t="s">
        <v>196</v>
      </c>
      <c r="F35" s="36" t="s">
        <v>118</v>
      </c>
      <c r="G35" s="37" t="s">
        <v>768</v>
      </c>
      <c r="H35" s="37">
        <v>28</v>
      </c>
      <c r="I35" s="34">
        <v>35000</v>
      </c>
      <c r="J35" s="34">
        <v>35098</v>
      </c>
      <c r="K35" s="34" t="s">
        <v>120</v>
      </c>
      <c r="L35" s="39">
        <v>45890</v>
      </c>
      <c r="M35" s="40" t="s">
        <v>121</v>
      </c>
      <c r="N35" s="39" t="s">
        <v>122</v>
      </c>
      <c r="O35" s="39">
        <v>45881</v>
      </c>
      <c r="P35" s="39">
        <v>45907</v>
      </c>
      <c r="Q35" s="39">
        <v>45892</v>
      </c>
      <c r="R35" s="39">
        <v>46025</v>
      </c>
      <c r="S35" s="39">
        <v>46026</v>
      </c>
      <c r="T35" s="39">
        <v>46029</v>
      </c>
      <c r="U35" s="39">
        <v>46034</v>
      </c>
      <c r="V35" s="39">
        <v>46038</v>
      </c>
      <c r="W35" s="41"/>
      <c r="X35" s="42"/>
      <c r="Y35" s="42"/>
      <c r="Z35" s="41"/>
      <c r="AA35" s="43"/>
      <c r="AB35" s="41"/>
      <c r="AC35" s="41"/>
      <c r="AD35" s="44" t="s">
        <v>747</v>
      </c>
      <c r="AE35" s="45">
        <f t="shared" si="59"/>
        <v>0</v>
      </c>
      <c r="AF35" s="36">
        <v>7</v>
      </c>
      <c r="AG35" s="46">
        <f t="shared" si="60"/>
        <v>0</v>
      </c>
      <c r="AH35" s="47">
        <v>200</v>
      </c>
      <c r="AI35" s="48">
        <f t="shared" si="61"/>
        <v>0</v>
      </c>
      <c r="AJ35" s="45">
        <f t="shared" si="62"/>
        <v>0</v>
      </c>
      <c r="AK35" s="36">
        <v>2</v>
      </c>
      <c r="AL35" s="46">
        <f t="shared" si="63"/>
        <v>0</v>
      </c>
      <c r="AM35" s="47">
        <v>200</v>
      </c>
      <c r="AN35" s="48">
        <f t="shared" si="64"/>
        <v>0</v>
      </c>
      <c r="AO35" s="47"/>
      <c r="AP35" s="49">
        <f t="shared" si="65"/>
        <v>0</v>
      </c>
    </row>
    <row r="36" spans="1:42" s="1" customFormat="1" ht="15.75" customHeight="1">
      <c r="A36" s="33">
        <f t="shared" si="44"/>
        <v>33</v>
      </c>
      <c r="B36" s="34" t="s">
        <v>114</v>
      </c>
      <c r="C36" s="35" t="s">
        <v>185</v>
      </c>
      <c r="D36" s="35" t="s">
        <v>186</v>
      </c>
      <c r="E36" s="35" t="s">
        <v>187</v>
      </c>
      <c r="F36" s="36" t="s">
        <v>118</v>
      </c>
      <c r="G36" s="37" t="s">
        <v>768</v>
      </c>
      <c r="H36" s="37">
        <v>28</v>
      </c>
      <c r="I36" s="34">
        <v>35000</v>
      </c>
      <c r="J36" s="34">
        <v>35098</v>
      </c>
      <c r="K36" s="34" t="s">
        <v>120</v>
      </c>
      <c r="L36" s="39">
        <v>45890</v>
      </c>
      <c r="M36" s="40" t="s">
        <v>121</v>
      </c>
      <c r="N36" s="39" t="s">
        <v>122</v>
      </c>
      <c r="O36" s="39">
        <v>45881</v>
      </c>
      <c r="P36" s="39">
        <v>45907</v>
      </c>
      <c r="Q36" s="39">
        <v>45892</v>
      </c>
      <c r="R36" s="39">
        <v>46025</v>
      </c>
      <c r="S36" s="39">
        <v>46026</v>
      </c>
      <c r="T36" s="39">
        <v>46029</v>
      </c>
      <c r="U36" s="39">
        <v>46034</v>
      </c>
      <c r="V36" s="39">
        <v>46038</v>
      </c>
      <c r="W36" s="41"/>
      <c r="X36" s="42"/>
      <c r="Y36" s="42"/>
      <c r="Z36" s="41"/>
      <c r="AA36" s="43"/>
      <c r="AB36" s="41"/>
      <c r="AC36" s="41"/>
      <c r="AD36" s="44" t="s">
        <v>747</v>
      </c>
      <c r="AE36" s="50">
        <f t="shared" si="59"/>
        <v>0</v>
      </c>
      <c r="AF36" s="36">
        <v>7</v>
      </c>
      <c r="AG36" s="51">
        <f t="shared" si="60"/>
        <v>0</v>
      </c>
      <c r="AH36" s="52">
        <v>200</v>
      </c>
      <c r="AI36" s="53">
        <f t="shared" si="61"/>
        <v>0</v>
      </c>
      <c r="AJ36" s="54">
        <f t="shared" si="62"/>
        <v>0</v>
      </c>
      <c r="AK36" s="36">
        <v>2</v>
      </c>
      <c r="AL36" s="51">
        <f t="shared" si="63"/>
        <v>0</v>
      </c>
      <c r="AM36" s="52">
        <v>200</v>
      </c>
      <c r="AN36" s="53">
        <f t="shared" si="64"/>
        <v>0</v>
      </c>
      <c r="AO36" s="52"/>
      <c r="AP36" s="55">
        <f t="shared" si="65"/>
        <v>0</v>
      </c>
    </row>
    <row r="37" spans="1:42" s="1" customFormat="1" ht="15" customHeight="1">
      <c r="A37" s="33">
        <f t="shared" si="44"/>
        <v>34</v>
      </c>
      <c r="B37" s="34" t="s">
        <v>114</v>
      </c>
      <c r="C37" s="35" t="s">
        <v>206</v>
      </c>
      <c r="D37" s="35" t="s">
        <v>207</v>
      </c>
      <c r="E37" s="33" t="s">
        <v>208</v>
      </c>
      <c r="F37" s="36" t="s">
        <v>118</v>
      </c>
      <c r="G37" s="37" t="s">
        <v>768</v>
      </c>
      <c r="H37" s="37">
        <v>28</v>
      </c>
      <c r="I37" s="34">
        <v>35000</v>
      </c>
      <c r="J37" s="34">
        <v>35098</v>
      </c>
      <c r="K37" s="34" t="s">
        <v>120</v>
      </c>
      <c r="L37" s="39">
        <v>45890</v>
      </c>
      <c r="M37" s="40" t="s">
        <v>121</v>
      </c>
      <c r="N37" s="39" t="s">
        <v>122</v>
      </c>
      <c r="O37" s="39">
        <v>45881</v>
      </c>
      <c r="P37" s="39">
        <v>45907</v>
      </c>
      <c r="Q37" s="39">
        <v>45892</v>
      </c>
      <c r="R37" s="39">
        <v>46025</v>
      </c>
      <c r="S37" s="39">
        <v>46026</v>
      </c>
      <c r="T37" s="39">
        <v>46029</v>
      </c>
      <c r="U37" s="39">
        <v>46034</v>
      </c>
      <c r="V37" s="39">
        <v>46038</v>
      </c>
      <c r="W37" s="41"/>
      <c r="X37" s="42"/>
      <c r="Y37" s="42"/>
      <c r="Z37" s="41"/>
      <c r="AA37" s="43"/>
      <c r="AB37" s="41"/>
      <c r="AC37" s="41"/>
      <c r="AD37" s="44" t="s">
        <v>747</v>
      </c>
      <c r="AE37" s="45">
        <f t="shared" si="59"/>
        <v>0</v>
      </c>
      <c r="AF37" s="36">
        <v>7</v>
      </c>
      <c r="AG37" s="46">
        <f t="shared" si="60"/>
        <v>0</v>
      </c>
      <c r="AH37" s="47">
        <v>200</v>
      </c>
      <c r="AI37" s="48">
        <f t="shared" si="61"/>
        <v>0</v>
      </c>
      <c r="AJ37" s="45">
        <f t="shared" si="62"/>
        <v>0</v>
      </c>
      <c r="AK37" s="36">
        <v>2</v>
      </c>
      <c r="AL37" s="46">
        <f t="shared" si="63"/>
        <v>0</v>
      </c>
      <c r="AM37" s="47">
        <v>200</v>
      </c>
      <c r="AN37" s="48">
        <f t="shared" si="64"/>
        <v>0</v>
      </c>
      <c r="AO37" s="47"/>
      <c r="AP37" s="49">
        <f t="shared" si="65"/>
        <v>0</v>
      </c>
    </row>
    <row r="38" spans="1:42" s="1" customFormat="1" ht="15" customHeight="1">
      <c r="A38" s="33">
        <f t="shared" si="44"/>
        <v>35</v>
      </c>
      <c r="B38" s="34" t="s">
        <v>114</v>
      </c>
      <c r="C38" s="33" t="s">
        <v>154</v>
      </c>
      <c r="D38" s="33" t="s">
        <v>155</v>
      </c>
      <c r="E38" s="34" t="s">
        <v>156</v>
      </c>
      <c r="F38" s="36" t="s">
        <v>118</v>
      </c>
      <c r="G38" s="37" t="s">
        <v>768</v>
      </c>
      <c r="H38" s="38">
        <v>28</v>
      </c>
      <c r="I38" s="34">
        <v>35000</v>
      </c>
      <c r="J38" s="34">
        <v>35098</v>
      </c>
      <c r="K38" s="34" t="s">
        <v>120</v>
      </c>
      <c r="L38" s="39">
        <v>45890</v>
      </c>
      <c r="M38" s="40" t="s">
        <v>121</v>
      </c>
      <c r="N38" s="39" t="s">
        <v>122</v>
      </c>
      <c r="O38" s="39">
        <v>45881</v>
      </c>
      <c r="P38" s="39">
        <v>45907</v>
      </c>
      <c r="Q38" s="39">
        <v>45892</v>
      </c>
      <c r="R38" s="39">
        <v>46027</v>
      </c>
      <c r="S38" s="39">
        <v>46028</v>
      </c>
      <c r="T38" s="39">
        <v>46031</v>
      </c>
      <c r="U38" s="39">
        <v>46034</v>
      </c>
      <c r="V38" s="39">
        <v>46038</v>
      </c>
      <c r="W38" s="41"/>
      <c r="X38" s="42"/>
      <c r="Y38" s="42"/>
      <c r="Z38" s="41"/>
      <c r="AA38" s="43"/>
      <c r="AB38" s="41"/>
      <c r="AC38" s="41"/>
      <c r="AD38" s="44" t="s">
        <v>747</v>
      </c>
      <c r="AE38" s="50">
        <f t="shared" si="59"/>
        <v>0</v>
      </c>
      <c r="AF38" s="36">
        <v>7</v>
      </c>
      <c r="AG38" s="51">
        <f t="shared" si="60"/>
        <v>0</v>
      </c>
      <c r="AH38" s="52">
        <v>200</v>
      </c>
      <c r="AI38" s="53">
        <f t="shared" si="61"/>
        <v>0</v>
      </c>
      <c r="AJ38" s="54">
        <f t="shared" si="62"/>
        <v>0</v>
      </c>
      <c r="AK38" s="36">
        <v>2</v>
      </c>
      <c r="AL38" s="51">
        <f t="shared" si="63"/>
        <v>0</v>
      </c>
      <c r="AM38" s="52">
        <v>200</v>
      </c>
      <c r="AN38" s="53">
        <f t="shared" si="64"/>
        <v>0</v>
      </c>
      <c r="AO38" s="52"/>
      <c r="AP38" s="55">
        <f t="shared" si="65"/>
        <v>0</v>
      </c>
    </row>
    <row r="39" spans="1:42" s="1" customFormat="1" ht="14.25" customHeight="1">
      <c r="A39" s="33">
        <f t="shared" si="44"/>
        <v>36</v>
      </c>
      <c r="B39" s="34" t="s">
        <v>114</v>
      </c>
      <c r="C39" s="33" t="s">
        <v>166</v>
      </c>
      <c r="D39" s="34" t="s">
        <v>167</v>
      </c>
      <c r="E39" s="34" t="s">
        <v>168</v>
      </c>
      <c r="F39" s="36" t="s">
        <v>118</v>
      </c>
      <c r="G39" s="37" t="s">
        <v>768</v>
      </c>
      <c r="H39" s="38">
        <v>29</v>
      </c>
      <c r="I39" s="34">
        <v>36250</v>
      </c>
      <c r="J39" s="34">
        <v>36352</v>
      </c>
      <c r="K39" s="34" t="s">
        <v>120</v>
      </c>
      <c r="L39" s="39">
        <v>45890</v>
      </c>
      <c r="M39" s="40" t="s">
        <v>121</v>
      </c>
      <c r="N39" s="39" t="s">
        <v>122</v>
      </c>
      <c r="O39" s="39">
        <v>45881</v>
      </c>
      <c r="P39" s="39">
        <v>45907</v>
      </c>
      <c r="Q39" s="39">
        <v>45892</v>
      </c>
      <c r="R39" s="39">
        <v>46027</v>
      </c>
      <c r="S39" s="39">
        <v>46028</v>
      </c>
      <c r="T39" s="39">
        <v>46031</v>
      </c>
      <c r="U39" s="39">
        <v>46033</v>
      </c>
      <c r="V39" s="39">
        <v>46037</v>
      </c>
      <c r="W39" s="61"/>
      <c r="X39" s="42"/>
      <c r="Y39" s="42"/>
      <c r="Z39" s="61"/>
      <c r="AA39" s="62"/>
      <c r="AB39" s="61"/>
      <c r="AC39" s="61"/>
      <c r="AD39" s="63" t="s">
        <v>747</v>
      </c>
      <c r="AE39" s="50">
        <f t="shared" si="59"/>
        <v>0</v>
      </c>
      <c r="AF39" s="36">
        <v>7</v>
      </c>
      <c r="AG39" s="51">
        <f t="shared" si="60"/>
        <v>0</v>
      </c>
      <c r="AH39" s="52">
        <v>200</v>
      </c>
      <c r="AI39" s="53">
        <f t="shared" si="61"/>
        <v>0</v>
      </c>
      <c r="AJ39" s="54">
        <f t="shared" si="62"/>
        <v>0</v>
      </c>
      <c r="AK39" s="36">
        <v>2</v>
      </c>
      <c r="AL39" s="51">
        <f t="shared" si="63"/>
        <v>0</v>
      </c>
      <c r="AM39" s="52">
        <v>200</v>
      </c>
      <c r="AN39" s="53">
        <f t="shared" si="64"/>
        <v>0</v>
      </c>
      <c r="AO39" s="52"/>
      <c r="AP39" s="55">
        <f t="shared" si="65"/>
        <v>0</v>
      </c>
    </row>
    <row r="40" spans="1:42" s="1" customFormat="1" ht="15" customHeight="1">
      <c r="A40" s="33">
        <f t="shared" si="15"/>
        <v>37</v>
      </c>
      <c r="B40" s="34" t="s">
        <v>114</v>
      </c>
      <c r="C40" s="33" t="s">
        <v>124</v>
      </c>
      <c r="D40" s="35" t="s">
        <v>125</v>
      </c>
      <c r="E40" s="33" t="s">
        <v>126</v>
      </c>
      <c r="F40" s="36" t="s">
        <v>118</v>
      </c>
      <c r="G40" s="37" t="s">
        <v>856</v>
      </c>
      <c r="H40" s="38">
        <v>30</v>
      </c>
      <c r="I40" s="34">
        <v>37500</v>
      </c>
      <c r="J40" s="34">
        <v>37605</v>
      </c>
      <c r="K40" s="34" t="s">
        <v>120</v>
      </c>
      <c r="L40" s="39">
        <v>45890</v>
      </c>
      <c r="M40" s="40" t="s">
        <v>121</v>
      </c>
      <c r="N40" s="39" t="s">
        <v>122</v>
      </c>
      <c r="O40" s="39">
        <v>45881</v>
      </c>
      <c r="P40" s="39">
        <v>45907</v>
      </c>
      <c r="Q40" s="39">
        <v>45892</v>
      </c>
      <c r="R40" s="39">
        <v>46029</v>
      </c>
      <c r="S40" s="39">
        <v>46031</v>
      </c>
      <c r="T40" s="39">
        <v>46034</v>
      </c>
      <c r="U40" s="39">
        <v>46036</v>
      </c>
      <c r="V40" s="39">
        <v>46040</v>
      </c>
      <c r="W40" s="39">
        <v>46041</v>
      </c>
      <c r="X40" s="39">
        <v>46041</v>
      </c>
      <c r="Y40" s="42"/>
      <c r="Z40" s="41"/>
      <c r="AA40" s="43"/>
      <c r="AB40" s="41"/>
      <c r="AC40" s="41"/>
      <c r="AD40" s="44" t="s">
        <v>747</v>
      </c>
      <c r="AE40" s="50">
        <f>MAX(0,Y40-X40)</f>
        <v>0</v>
      </c>
      <c r="AF40" s="36">
        <v>7</v>
      </c>
      <c r="AG40" s="51">
        <f>MAX(0,AE40-AF40)</f>
        <v>0</v>
      </c>
      <c r="AH40" s="52">
        <v>200</v>
      </c>
      <c r="AI40" s="53">
        <f>MAX(0,AG40*AH40)</f>
        <v>0</v>
      </c>
      <c r="AJ40" s="54">
        <f>MAX(0,AC40-AB40)</f>
        <v>0</v>
      </c>
      <c r="AK40" s="36">
        <v>2</v>
      </c>
      <c r="AL40" s="51">
        <f>MAX(0,AJ40-AK40)</f>
        <v>0</v>
      </c>
      <c r="AM40" s="52">
        <v>200</v>
      </c>
      <c r="AN40" s="53">
        <f>MAX(0,AL40*AM40)</f>
        <v>0</v>
      </c>
      <c r="AO40" s="52"/>
      <c r="AP40" s="55">
        <f>AO40+AN40+AI40</f>
        <v>0</v>
      </c>
    </row>
    <row r="41" spans="1:42" s="1" customFormat="1" ht="15" customHeight="1">
      <c r="A41" s="33">
        <f t="shared" si="44"/>
        <v>38</v>
      </c>
      <c r="B41" s="34" t="s">
        <v>114</v>
      </c>
      <c r="C41" s="33" t="s">
        <v>169</v>
      </c>
      <c r="D41" s="33" t="s">
        <v>170</v>
      </c>
      <c r="E41" s="33" t="s">
        <v>171</v>
      </c>
      <c r="F41" s="36" t="s">
        <v>118</v>
      </c>
      <c r="G41" s="38" t="s">
        <v>784</v>
      </c>
      <c r="H41" s="38">
        <v>28</v>
      </c>
      <c r="I41" s="34">
        <v>35000</v>
      </c>
      <c r="J41" s="34">
        <v>35098</v>
      </c>
      <c r="K41" s="34" t="s">
        <v>120</v>
      </c>
      <c r="L41" s="39">
        <v>45890</v>
      </c>
      <c r="M41" s="40" t="s">
        <v>121</v>
      </c>
      <c r="N41" s="39" t="s">
        <v>122</v>
      </c>
      <c r="O41" s="39">
        <v>45881</v>
      </c>
      <c r="P41" s="39">
        <v>45907</v>
      </c>
      <c r="Q41" s="39">
        <v>45892</v>
      </c>
      <c r="R41" s="39">
        <v>46027</v>
      </c>
      <c r="S41" s="39">
        <v>46028</v>
      </c>
      <c r="T41" s="39">
        <v>46031</v>
      </c>
      <c r="U41" s="39">
        <v>46035</v>
      </c>
      <c r="V41" s="39">
        <v>46038</v>
      </c>
      <c r="W41" s="39">
        <v>46039</v>
      </c>
      <c r="X41" s="39">
        <v>46039</v>
      </c>
      <c r="Y41" s="42"/>
      <c r="Z41" s="61"/>
      <c r="AA41" s="62"/>
      <c r="AB41" s="61"/>
      <c r="AC41" s="61"/>
      <c r="AD41" s="63" t="s">
        <v>747</v>
      </c>
      <c r="AE41" s="45">
        <f>MAX(0,Y41-X41)</f>
        <v>0</v>
      </c>
      <c r="AF41" s="36">
        <v>7</v>
      </c>
      <c r="AG41" s="46">
        <f>MAX(0,AE41-AF41)</f>
        <v>0</v>
      </c>
      <c r="AH41" s="47">
        <v>200</v>
      </c>
      <c r="AI41" s="48">
        <f>MAX(0,AG41*AH41)</f>
        <v>0</v>
      </c>
      <c r="AJ41" s="45">
        <f>MAX(0,AC41-AB41)</f>
        <v>0</v>
      </c>
      <c r="AK41" s="36">
        <v>2</v>
      </c>
      <c r="AL41" s="46">
        <f>MAX(0,AJ41-AK41)</f>
        <v>0</v>
      </c>
      <c r="AM41" s="47">
        <v>200</v>
      </c>
      <c r="AN41" s="48">
        <f>MAX(0,AL41*AM41)</f>
        <v>0</v>
      </c>
      <c r="AO41" s="47"/>
      <c r="AP41" s="49">
        <f>AO41+AN41+AI41</f>
        <v>0</v>
      </c>
    </row>
    <row r="42" spans="1:42" s="1" customFormat="1" ht="15" customHeight="1">
      <c r="A42" s="33">
        <f t="shared" si="44"/>
        <v>39</v>
      </c>
      <c r="B42" s="34" t="s">
        <v>114</v>
      </c>
      <c r="C42" s="35" t="s">
        <v>181</v>
      </c>
      <c r="D42" s="35" t="s">
        <v>182</v>
      </c>
      <c r="E42" s="33" t="s">
        <v>183</v>
      </c>
      <c r="F42" s="36" t="s">
        <v>118</v>
      </c>
      <c r="G42" s="38" t="s">
        <v>784</v>
      </c>
      <c r="H42" s="37">
        <v>29</v>
      </c>
      <c r="I42" s="34">
        <v>36250</v>
      </c>
      <c r="J42" s="34">
        <v>36352</v>
      </c>
      <c r="K42" s="34" t="s">
        <v>120</v>
      </c>
      <c r="L42" s="39">
        <v>45890</v>
      </c>
      <c r="M42" s="40" t="s">
        <v>121</v>
      </c>
      <c r="N42" s="39" t="s">
        <v>122</v>
      </c>
      <c r="O42" s="39">
        <v>45881</v>
      </c>
      <c r="P42" s="39">
        <v>45907</v>
      </c>
      <c r="Q42" s="39">
        <v>45892</v>
      </c>
      <c r="R42" s="39">
        <v>46025</v>
      </c>
      <c r="S42" s="39">
        <v>46026</v>
      </c>
      <c r="T42" s="39">
        <v>46029</v>
      </c>
      <c r="U42" s="39">
        <v>46033</v>
      </c>
      <c r="V42" s="39">
        <v>46038</v>
      </c>
      <c r="W42" s="39">
        <v>46039</v>
      </c>
      <c r="X42" s="39">
        <v>46039</v>
      </c>
      <c r="Y42" s="42"/>
      <c r="Z42" s="61"/>
      <c r="AA42" s="62"/>
      <c r="AB42" s="61"/>
      <c r="AC42" s="61"/>
      <c r="AD42" s="63" t="s">
        <v>747</v>
      </c>
      <c r="AE42" s="45">
        <f>MAX(0,Y42-X42)</f>
        <v>0</v>
      </c>
      <c r="AF42" s="36">
        <v>7</v>
      </c>
      <c r="AG42" s="46">
        <f>MAX(0,AE42-AF42)</f>
        <v>0</v>
      </c>
      <c r="AH42" s="47">
        <v>200</v>
      </c>
      <c r="AI42" s="48">
        <f>MAX(0,AG42*AH42)</f>
        <v>0</v>
      </c>
      <c r="AJ42" s="45">
        <f>MAX(0,AC42-AB42)</f>
        <v>0</v>
      </c>
      <c r="AK42" s="36">
        <v>2</v>
      </c>
      <c r="AL42" s="46">
        <f>MAX(0,AJ42-AK42)</f>
        <v>0</v>
      </c>
      <c r="AM42" s="47">
        <v>200</v>
      </c>
      <c r="AN42" s="48">
        <f>MAX(0,AL42*AM42)</f>
        <v>0</v>
      </c>
      <c r="AO42" s="47"/>
      <c r="AP42" s="49">
        <f>AO42+AN42+AI42</f>
        <v>0</v>
      </c>
    </row>
    <row r="43" spans="1:42" s="1" customFormat="1" ht="15" customHeight="1">
      <c r="A43" s="33">
        <f t="shared" si="44"/>
        <v>40</v>
      </c>
      <c r="B43" s="34" t="s">
        <v>114</v>
      </c>
      <c r="C43" s="33" t="s">
        <v>163</v>
      </c>
      <c r="D43" s="33" t="s">
        <v>164</v>
      </c>
      <c r="E43" s="34" t="s">
        <v>165</v>
      </c>
      <c r="F43" s="36" t="s">
        <v>118</v>
      </c>
      <c r="G43" s="38" t="s">
        <v>784</v>
      </c>
      <c r="H43" s="38">
        <v>27</v>
      </c>
      <c r="I43" s="34">
        <v>33750</v>
      </c>
      <c r="J43" s="34">
        <v>33845</v>
      </c>
      <c r="K43" s="34" t="s">
        <v>120</v>
      </c>
      <c r="L43" s="39">
        <v>45890</v>
      </c>
      <c r="M43" s="40" t="s">
        <v>121</v>
      </c>
      <c r="N43" s="39" t="s">
        <v>122</v>
      </c>
      <c r="O43" s="39">
        <v>45881</v>
      </c>
      <c r="P43" s="39">
        <v>45907</v>
      </c>
      <c r="Q43" s="39">
        <v>45892</v>
      </c>
      <c r="R43" s="39">
        <v>46027</v>
      </c>
      <c r="S43" s="39">
        <v>46028</v>
      </c>
      <c r="T43" s="39">
        <v>46031</v>
      </c>
      <c r="U43" s="39">
        <v>46033</v>
      </c>
      <c r="V43" s="39">
        <v>46036</v>
      </c>
      <c r="W43" s="39">
        <v>46037</v>
      </c>
      <c r="X43" s="39">
        <v>46037</v>
      </c>
      <c r="Y43" s="42"/>
      <c r="Z43" s="61"/>
      <c r="AA43" s="62"/>
      <c r="AB43" s="61"/>
      <c r="AC43" s="61"/>
      <c r="AD43" s="63" t="s">
        <v>747</v>
      </c>
      <c r="AE43" s="45">
        <f t="shared" si="59"/>
        <v>0</v>
      </c>
      <c r="AF43" s="36">
        <v>7</v>
      </c>
      <c r="AG43" s="46">
        <f t="shared" si="60"/>
        <v>0</v>
      </c>
      <c r="AH43" s="47">
        <v>200</v>
      </c>
      <c r="AI43" s="48">
        <f t="shared" si="61"/>
        <v>0</v>
      </c>
      <c r="AJ43" s="45">
        <f t="shared" si="62"/>
        <v>0</v>
      </c>
      <c r="AK43" s="36">
        <v>2</v>
      </c>
      <c r="AL43" s="46">
        <f t="shared" si="63"/>
        <v>0</v>
      </c>
      <c r="AM43" s="47">
        <v>200</v>
      </c>
      <c r="AN43" s="48">
        <f t="shared" si="64"/>
        <v>0</v>
      </c>
      <c r="AO43" s="47"/>
      <c r="AP43" s="49">
        <f t="shared" si="65"/>
        <v>0</v>
      </c>
    </row>
    <row r="44" spans="1:42" ht="15.75" thickBot="1">
      <c r="G44" s="65"/>
    </row>
    <row r="45" spans="1:42" ht="15.75" thickBot="1">
      <c r="G45" s="65"/>
    </row>
    <row r="48" spans="1:42" ht="15.75" thickBot="1">
      <c r="D48" s="66"/>
      <c r="E48" s="65"/>
      <c r="F48" s="65"/>
      <c r="G48" s="65"/>
    </row>
    <row r="49" spans="4:7" ht="15.75" thickBot="1">
      <c r="D49" s="66"/>
      <c r="E49" s="65"/>
      <c r="F49" s="65"/>
      <c r="G49" s="65"/>
    </row>
    <row r="50" spans="4:7" ht="15.75" thickBot="1">
      <c r="D50" s="96"/>
      <c r="E50" s="90"/>
      <c r="F50" s="90"/>
      <c r="G50" s="90"/>
    </row>
    <row r="51" spans="4:7" ht="15.75" thickBot="1">
      <c r="D51" s="66"/>
      <c r="E51" s="65"/>
      <c r="F51" s="65"/>
      <c r="G51" s="65"/>
    </row>
    <row r="52" spans="4:7" ht="15.75" thickBot="1">
      <c r="D52" s="66"/>
      <c r="E52" s="65"/>
      <c r="F52" s="65"/>
      <c r="G52" s="65"/>
    </row>
    <row r="53" spans="4:7" ht="15.75" thickBot="1">
      <c r="D53" s="66"/>
      <c r="E53" s="65"/>
      <c r="F53" s="65"/>
      <c r="G53" s="65"/>
    </row>
    <row r="54" spans="4:7" ht="15.75" thickBot="1">
      <c r="D54" s="66"/>
      <c r="E54" s="65"/>
      <c r="F54" s="65"/>
      <c r="G54" s="65"/>
    </row>
  </sheetData>
  <mergeCells count="3">
    <mergeCell ref="AN1:AP1"/>
    <mergeCell ref="AE2:AH2"/>
    <mergeCell ref="AJ2:AM2"/>
  </mergeCells>
  <conditionalFormatting sqref="C55:C1048576 C1:C43">
    <cfRule type="duplicateValues" dxfId="375" priority="33"/>
    <cfRule type="duplicateValues" dxfId="374" priority="34"/>
    <cfRule type="duplicateValues" dxfId="373" priority="35"/>
  </conditionalFormatting>
  <conditionalFormatting sqref="C55:C1048576 C1:C45">
    <cfRule type="duplicateValues" dxfId="372" priority="16"/>
  </conditionalFormatting>
  <conditionalFormatting sqref="C3">
    <cfRule type="duplicateValues" dxfId="371" priority="17845"/>
  </conditionalFormatting>
  <conditionalFormatting sqref="C4">
    <cfRule type="duplicateValues" dxfId="370" priority="2875"/>
    <cfRule type="duplicateValues" dxfId="369" priority="2876"/>
    <cfRule type="duplicateValues" dxfId="368" priority="2877"/>
    <cfRule type="duplicateValues" dxfId="367" priority="2878"/>
    <cfRule type="duplicateValues" dxfId="366" priority="2879"/>
    <cfRule type="duplicateValues" dxfId="365" priority="2880"/>
    <cfRule type="duplicateValues" dxfId="364" priority="2881"/>
    <cfRule type="duplicateValues" dxfId="363" priority="2882"/>
    <cfRule type="duplicateValues" dxfId="362" priority="2883"/>
    <cfRule type="duplicateValues" dxfId="361" priority="2884"/>
    <cfRule type="duplicateValues" dxfId="360" priority="2885"/>
    <cfRule type="duplicateValues" dxfId="359" priority="2886"/>
    <cfRule type="duplicateValues" dxfId="358" priority="2887"/>
    <cfRule type="duplicateValues" dxfId="357" priority="2888"/>
    <cfRule type="duplicateValues" dxfId="356" priority="2889"/>
    <cfRule type="duplicateValues" dxfId="355" priority="2890"/>
    <cfRule type="duplicateValues" dxfId="354" priority="2891"/>
    <cfRule type="duplicateValues" dxfId="353" priority="2892"/>
    <cfRule type="duplicateValues" dxfId="352" priority="2893"/>
    <cfRule type="duplicateValues" dxfId="351" priority="2894"/>
    <cfRule type="duplicateValues" dxfId="350" priority="2895"/>
    <cfRule type="duplicateValues" dxfId="349" priority="2896"/>
    <cfRule type="duplicateValues" dxfId="348" priority="2897"/>
  </conditionalFormatting>
  <conditionalFormatting sqref="C5">
    <cfRule type="duplicateValues" dxfId="347" priority="4969"/>
    <cfRule type="duplicateValues" dxfId="346" priority="4972"/>
  </conditionalFormatting>
  <conditionalFormatting sqref="C7">
    <cfRule type="duplicateValues" dxfId="345" priority="2850"/>
    <cfRule type="duplicateValues" dxfId="344" priority="2851"/>
    <cfRule type="duplicateValues" dxfId="343" priority="2852"/>
    <cfRule type="duplicateValues" dxfId="342" priority="2853"/>
    <cfRule type="duplicateValues" dxfId="341" priority="2854"/>
    <cfRule type="duplicateValues" dxfId="340" priority="2855"/>
    <cfRule type="duplicateValues" dxfId="339" priority="2856"/>
    <cfRule type="duplicateValues" dxfId="338" priority="2857"/>
    <cfRule type="duplicateValues" dxfId="337" priority="2858"/>
    <cfRule type="duplicateValues" dxfId="336" priority="2859"/>
    <cfRule type="duplicateValues" dxfId="335" priority="2860"/>
    <cfRule type="duplicateValues" dxfId="334" priority="2861"/>
    <cfRule type="duplicateValues" dxfId="333" priority="2862"/>
    <cfRule type="duplicateValues" dxfId="332" priority="2863"/>
    <cfRule type="duplicateValues" dxfId="331" priority="2864"/>
    <cfRule type="duplicateValues" dxfId="330" priority="2865"/>
    <cfRule type="duplicateValues" dxfId="329" priority="2866"/>
    <cfRule type="duplicateValues" dxfId="328" priority="2867"/>
    <cfRule type="duplicateValues" dxfId="327" priority="2868"/>
    <cfRule type="duplicateValues" dxfId="326" priority="2869"/>
    <cfRule type="duplicateValues" dxfId="325" priority="2870"/>
    <cfRule type="duplicateValues" dxfId="324" priority="2871"/>
    <cfRule type="duplicateValues" dxfId="323" priority="2872"/>
  </conditionalFormatting>
  <conditionalFormatting sqref="C9">
    <cfRule type="duplicateValues" dxfId="322" priority="3133"/>
    <cfRule type="duplicateValues" dxfId="321" priority="3134"/>
  </conditionalFormatting>
  <conditionalFormatting sqref="C10">
    <cfRule type="duplicateValues" dxfId="320" priority="3006"/>
    <cfRule type="duplicateValues" dxfId="319" priority="3007"/>
    <cfRule type="duplicateValues" dxfId="318" priority="3008"/>
    <cfRule type="duplicateValues" dxfId="317" priority="3009"/>
    <cfRule type="duplicateValues" dxfId="316" priority="3010"/>
    <cfRule type="duplicateValues" dxfId="315" priority="3011"/>
    <cfRule type="duplicateValues" dxfId="314" priority="3012"/>
    <cfRule type="duplicateValues" dxfId="313" priority="3013"/>
    <cfRule type="duplicateValues" dxfId="312" priority="3014"/>
    <cfRule type="duplicateValues" dxfId="311" priority="3015"/>
    <cfRule type="duplicateValues" dxfId="310" priority="3016"/>
    <cfRule type="duplicateValues" dxfId="309" priority="3017"/>
    <cfRule type="duplicateValues" dxfId="308" priority="3018"/>
    <cfRule type="duplicateValues" dxfId="307" priority="3019"/>
    <cfRule type="duplicateValues" dxfId="306" priority="3020"/>
    <cfRule type="duplicateValues" dxfId="305" priority="3021"/>
    <cfRule type="duplicateValues" dxfId="304" priority="3022"/>
    <cfRule type="duplicateValues" dxfId="303" priority="3023"/>
    <cfRule type="duplicateValues" dxfId="302" priority="3024"/>
    <cfRule type="duplicateValues" dxfId="301" priority="3025"/>
    <cfRule type="duplicateValues" dxfId="300" priority="3026"/>
  </conditionalFormatting>
  <conditionalFormatting sqref="C11">
    <cfRule type="duplicateValues" dxfId="299" priority="3194"/>
    <cfRule type="duplicateValues" dxfId="298" priority="3214"/>
  </conditionalFormatting>
  <conditionalFormatting sqref="C13">
    <cfRule type="duplicateValues" dxfId="297" priority="2792"/>
    <cfRule type="duplicateValues" dxfId="296" priority="2793"/>
    <cfRule type="duplicateValues" dxfId="295" priority="2794"/>
    <cfRule type="duplicateValues" dxfId="294" priority="2795"/>
    <cfRule type="duplicateValues" dxfId="293" priority="2796"/>
    <cfRule type="duplicateValues" dxfId="292" priority="2797"/>
    <cfRule type="duplicateValues" dxfId="291" priority="2798"/>
    <cfRule type="duplicateValues" dxfId="290" priority="2799"/>
    <cfRule type="duplicateValues" dxfId="289" priority="2800"/>
    <cfRule type="duplicateValues" dxfId="288" priority="2801"/>
    <cfRule type="duplicateValues" dxfId="287" priority="2802"/>
    <cfRule type="duplicateValues" dxfId="286" priority="2803"/>
    <cfRule type="duplicateValues" dxfId="285" priority="2804"/>
    <cfRule type="duplicateValues" dxfId="284" priority="2805"/>
    <cfRule type="duplicateValues" dxfId="283" priority="2806"/>
    <cfRule type="duplicateValues" dxfId="282" priority="2807"/>
    <cfRule type="duplicateValues" dxfId="281" priority="2808"/>
    <cfRule type="duplicateValues" dxfId="280" priority="2809"/>
    <cfRule type="duplicateValues" dxfId="279" priority="2810"/>
    <cfRule type="duplicateValues" dxfId="278" priority="2811"/>
    <cfRule type="duplicateValues" dxfId="277" priority="2812"/>
    <cfRule type="duplicateValues" dxfId="276" priority="2813"/>
    <cfRule type="duplicateValues" dxfId="275" priority="2814"/>
    <cfRule type="duplicateValues" dxfId="274" priority="2815"/>
    <cfRule type="duplicateValues" dxfId="273" priority="2816"/>
    <cfRule type="duplicateValues" dxfId="272" priority="2817"/>
    <cfRule type="duplicateValues" dxfId="271" priority="2818"/>
    <cfRule type="duplicateValues" dxfId="270" priority="2819"/>
    <cfRule type="duplicateValues" dxfId="269" priority="2820"/>
    <cfRule type="duplicateValues" dxfId="268" priority="2821"/>
    <cfRule type="duplicateValues" dxfId="267" priority="2822"/>
    <cfRule type="duplicateValues" dxfId="266" priority="2823"/>
    <cfRule type="duplicateValues" dxfId="265" priority="2824"/>
    <cfRule type="duplicateValues" dxfId="264" priority="2825"/>
    <cfRule type="duplicateValues" dxfId="263" priority="2826"/>
    <cfRule type="duplicateValues" dxfId="262" priority="2827"/>
    <cfRule type="duplicateValues" dxfId="261" priority="2828"/>
    <cfRule type="duplicateValues" dxfId="260" priority="2829"/>
    <cfRule type="duplicateValues" dxfId="259" priority="2830"/>
    <cfRule type="duplicateValues" dxfId="258" priority="2831"/>
    <cfRule type="duplicateValues" dxfId="257" priority="2832"/>
    <cfRule type="duplicateValues" dxfId="256" priority="2833"/>
    <cfRule type="duplicateValues" dxfId="255" priority="2834"/>
    <cfRule type="duplicateValues" dxfId="254" priority="2835"/>
    <cfRule type="duplicateValues" dxfId="253" priority="2836"/>
    <cfRule type="duplicateValues" dxfId="252" priority="2837"/>
    <cfRule type="duplicateValues" dxfId="251" priority="2838"/>
    <cfRule type="duplicateValues" dxfId="250" priority="2839"/>
    <cfRule type="duplicateValues" dxfId="249" priority="2840"/>
    <cfRule type="duplicateValues" dxfId="248" priority="2841"/>
    <cfRule type="duplicateValues" dxfId="247" priority="2842"/>
    <cfRule type="duplicateValues" dxfId="246" priority="2843"/>
    <cfRule type="duplicateValues" dxfId="245" priority="2844"/>
    <cfRule type="duplicateValues" dxfId="244" priority="2845"/>
    <cfRule type="duplicateValues" dxfId="243" priority="2846"/>
    <cfRule type="duplicateValues" dxfId="242" priority="2847"/>
    <cfRule type="duplicateValues" dxfId="241" priority="2848"/>
    <cfRule type="duplicateValues" dxfId="240" priority="2849"/>
  </conditionalFormatting>
  <conditionalFormatting sqref="C16">
    <cfRule type="duplicateValues" dxfId="239" priority="2873"/>
    <cfRule type="duplicateValues" dxfId="238" priority="2874"/>
  </conditionalFormatting>
  <conditionalFormatting sqref="C17">
    <cfRule type="duplicateValues" dxfId="237" priority="2936"/>
    <cfRule type="duplicateValues" dxfId="236" priority="2937"/>
    <cfRule type="duplicateValues" dxfId="235" priority="2938"/>
    <cfRule type="duplicateValues" dxfId="234" priority="2939"/>
    <cfRule type="duplicateValues" dxfId="233" priority="2940"/>
    <cfRule type="duplicateValues" dxfId="232" priority="2941"/>
    <cfRule type="duplicateValues" dxfId="231" priority="2942"/>
    <cfRule type="duplicateValues" dxfId="230" priority="2943"/>
    <cfRule type="duplicateValues" dxfId="229" priority="2944"/>
    <cfRule type="duplicateValues" dxfId="228" priority="2945"/>
    <cfRule type="duplicateValues" dxfId="227" priority="2946"/>
    <cfRule type="duplicateValues" dxfId="226" priority="2947"/>
    <cfRule type="duplicateValues" dxfId="225" priority="2948"/>
    <cfRule type="duplicateValues" dxfId="224" priority="2949"/>
    <cfRule type="duplicateValues" dxfId="223" priority="2950"/>
    <cfRule type="duplicateValues" dxfId="222" priority="2951"/>
    <cfRule type="duplicateValues" dxfId="221" priority="2952"/>
    <cfRule type="duplicateValues" dxfId="220" priority="2953"/>
    <cfRule type="duplicateValues" dxfId="219" priority="2954"/>
    <cfRule type="duplicateValues" dxfId="218" priority="2955"/>
    <cfRule type="duplicateValues" dxfId="217" priority="2956"/>
    <cfRule type="duplicateValues" dxfId="216" priority="2957"/>
    <cfRule type="duplicateValues" dxfId="215" priority="2958"/>
    <cfRule type="duplicateValues" dxfId="214" priority="2959"/>
    <cfRule type="duplicateValues" dxfId="213" priority="2960"/>
    <cfRule type="duplicateValues" dxfId="212" priority="2961"/>
    <cfRule type="duplicateValues" dxfId="211" priority="2962"/>
    <cfRule type="duplicateValues" dxfId="210" priority="2963"/>
    <cfRule type="duplicateValues" dxfId="209" priority="2964"/>
    <cfRule type="duplicateValues" dxfId="208" priority="2965"/>
    <cfRule type="duplicateValues" dxfId="207" priority="2966"/>
    <cfRule type="duplicateValues" dxfId="206" priority="2967"/>
    <cfRule type="duplicateValues" dxfId="205" priority="2968"/>
    <cfRule type="duplicateValues" dxfId="204" priority="2969"/>
    <cfRule type="duplicateValues" dxfId="203" priority="2970"/>
    <cfRule type="duplicateValues" dxfId="202" priority="2971"/>
    <cfRule type="duplicateValues" dxfId="201" priority="2972"/>
    <cfRule type="duplicateValues" dxfId="200" priority="2973"/>
    <cfRule type="duplicateValues" dxfId="199" priority="2974"/>
    <cfRule type="duplicateValues" dxfId="198" priority="2975"/>
    <cfRule type="duplicateValues" dxfId="197" priority="2976"/>
    <cfRule type="duplicateValues" dxfId="196" priority="2977"/>
    <cfRule type="duplicateValues" dxfId="195" priority="2978"/>
    <cfRule type="duplicateValues" dxfId="194" priority="2979"/>
    <cfRule type="duplicateValues" dxfId="193" priority="2980"/>
    <cfRule type="duplicateValues" dxfId="192" priority="2981"/>
    <cfRule type="duplicateValues" dxfId="191" priority="2982"/>
    <cfRule type="duplicateValues" dxfId="190" priority="2983"/>
    <cfRule type="duplicateValues" dxfId="189" priority="2984"/>
    <cfRule type="duplicateValues" dxfId="188" priority="2985"/>
    <cfRule type="duplicateValues" dxfId="187" priority="2986"/>
    <cfRule type="duplicateValues" dxfId="186" priority="2987"/>
    <cfRule type="duplicateValues" dxfId="185" priority="2988"/>
    <cfRule type="duplicateValues" dxfId="184" priority="2989"/>
    <cfRule type="duplicateValues" dxfId="183" priority="2990"/>
    <cfRule type="duplicateValues" dxfId="182" priority="2991"/>
    <cfRule type="duplicateValues" dxfId="181" priority="2992"/>
    <cfRule type="duplicateValues" dxfId="180" priority="2993"/>
  </conditionalFormatting>
  <conditionalFormatting sqref="C14">
    <cfRule type="duplicateValues" dxfId="179" priority="3028"/>
    <cfRule type="duplicateValues" dxfId="178" priority="3029"/>
    <cfRule type="duplicateValues" dxfId="177" priority="3030"/>
    <cfRule type="duplicateValues" dxfId="176" priority="3031"/>
    <cfRule type="duplicateValues" dxfId="175" priority="3032"/>
    <cfRule type="duplicateValues" dxfId="174" priority="3033"/>
    <cfRule type="duplicateValues" dxfId="173" priority="3034"/>
    <cfRule type="duplicateValues" dxfId="172" priority="3035"/>
    <cfRule type="duplicateValues" dxfId="171" priority="3036"/>
    <cfRule type="duplicateValues" dxfId="170" priority="3037"/>
    <cfRule type="duplicateValues" dxfId="169" priority="3038"/>
    <cfRule type="duplicateValues" dxfId="168" priority="3039"/>
    <cfRule type="duplicateValues" dxfId="167" priority="3040"/>
    <cfRule type="duplicateValues" dxfId="166" priority="3041"/>
    <cfRule type="duplicateValues" dxfId="165" priority="3042"/>
    <cfRule type="duplicateValues" dxfId="164" priority="3043"/>
    <cfRule type="duplicateValues" dxfId="163" priority="3044"/>
    <cfRule type="duplicateValues" dxfId="162" priority="3045"/>
    <cfRule type="duplicateValues" dxfId="161" priority="3046"/>
    <cfRule type="duplicateValues" dxfId="160" priority="3047"/>
    <cfRule type="duplicateValues" dxfId="159" priority="3048"/>
    <cfRule type="duplicateValues" dxfId="158" priority="3049"/>
    <cfRule type="duplicateValues" dxfId="157" priority="3050"/>
    <cfRule type="duplicateValues" dxfId="156" priority="3051"/>
    <cfRule type="duplicateValues" dxfId="155" priority="3052"/>
  </conditionalFormatting>
  <conditionalFormatting sqref="C15">
    <cfRule type="duplicateValues" dxfId="154" priority="2927"/>
    <cfRule type="duplicateValues" dxfId="153" priority="2928"/>
    <cfRule type="duplicateValues" dxfId="152" priority="2929"/>
    <cfRule type="duplicateValues" dxfId="151" priority="2930"/>
    <cfRule type="duplicateValues" dxfId="150" priority="2931"/>
    <cfRule type="duplicateValues" dxfId="149" priority="2932"/>
    <cfRule type="duplicateValues" dxfId="148" priority="2933"/>
    <cfRule type="duplicateValues" dxfId="147" priority="2934"/>
    <cfRule type="duplicateValues" dxfId="146" priority="2935"/>
    <cfRule type="duplicateValues" dxfId="145" priority="2994"/>
    <cfRule type="duplicateValues" dxfId="144" priority="2995"/>
    <cfRule type="duplicateValues" dxfId="143" priority="2996"/>
    <cfRule type="duplicateValues" dxfId="142" priority="2997"/>
    <cfRule type="duplicateValues" dxfId="141" priority="2998"/>
    <cfRule type="duplicateValues" dxfId="140" priority="2999"/>
    <cfRule type="duplicateValues" dxfId="139" priority="3000"/>
    <cfRule type="duplicateValues" dxfId="138" priority="3001"/>
    <cfRule type="duplicateValues" dxfId="137" priority="3002"/>
    <cfRule type="duplicateValues" dxfId="136" priority="3003"/>
    <cfRule type="duplicateValues" dxfId="135" priority="3004"/>
    <cfRule type="duplicateValues" dxfId="134" priority="3005"/>
  </conditionalFormatting>
  <conditionalFormatting sqref="C18">
    <cfRule type="duplicateValues" dxfId="133" priority="3282"/>
  </conditionalFormatting>
  <conditionalFormatting sqref="C19">
    <cfRule type="duplicateValues" dxfId="132" priority="3174"/>
  </conditionalFormatting>
  <conditionalFormatting sqref="C21">
    <cfRule type="duplicateValues" dxfId="131" priority="3175"/>
  </conditionalFormatting>
  <conditionalFormatting sqref="C22">
    <cfRule type="duplicateValues" dxfId="130" priority="3140"/>
  </conditionalFormatting>
  <conditionalFormatting sqref="C23">
    <cfRule type="duplicateValues" dxfId="129" priority="5873"/>
    <cfRule type="duplicateValues" dxfId="128" priority="5989"/>
  </conditionalFormatting>
  <conditionalFormatting sqref="C24">
    <cfRule type="duplicateValues" dxfId="127" priority="3215"/>
    <cfRule type="duplicateValues" dxfId="126" priority="3236"/>
  </conditionalFormatting>
  <conditionalFormatting sqref="C25">
    <cfRule type="duplicateValues" dxfId="125" priority="4807"/>
    <cfRule type="duplicateValues" dxfId="124" priority="4840"/>
  </conditionalFormatting>
  <conditionalFormatting sqref="C26">
    <cfRule type="duplicateValues" dxfId="123" priority="3293"/>
  </conditionalFormatting>
  <conditionalFormatting sqref="C27">
    <cfRule type="duplicateValues" dxfId="122" priority="5032"/>
    <cfRule type="duplicateValues" dxfId="121" priority="5059"/>
  </conditionalFormatting>
  <conditionalFormatting sqref="C28">
    <cfRule type="duplicateValues" dxfId="120" priority="4960"/>
    <cfRule type="duplicateValues" dxfId="119" priority="5025"/>
  </conditionalFormatting>
  <conditionalFormatting sqref="C30">
    <cfRule type="duplicateValues" dxfId="118" priority="5990"/>
    <cfRule type="duplicateValues" dxfId="117" priority="6016"/>
  </conditionalFormatting>
  <conditionalFormatting sqref="C30:C37 C42 C23">
    <cfRule type="duplicateValues" dxfId="116" priority="5820"/>
  </conditionalFormatting>
  <conditionalFormatting sqref="C31">
    <cfRule type="duplicateValues" dxfId="115" priority="6121"/>
  </conditionalFormatting>
  <conditionalFormatting sqref="C32">
    <cfRule type="duplicateValues" dxfId="114" priority="5871"/>
  </conditionalFormatting>
  <conditionalFormatting sqref="C33">
    <cfRule type="duplicateValues" dxfId="113" priority="6120"/>
  </conditionalFormatting>
  <conditionalFormatting sqref="C34">
    <cfRule type="duplicateValues" dxfId="112" priority="5882"/>
    <cfRule type="duplicateValues" dxfId="111" priority="5884"/>
  </conditionalFormatting>
  <conditionalFormatting sqref="C35">
    <cfRule type="duplicateValues" dxfId="110" priority="5939"/>
    <cfRule type="duplicateValues" dxfId="109" priority="5944"/>
  </conditionalFormatting>
  <conditionalFormatting sqref="C36">
    <cfRule type="duplicateValues" dxfId="108" priority="6076"/>
    <cfRule type="duplicateValues" dxfId="107" priority="6083"/>
  </conditionalFormatting>
  <conditionalFormatting sqref="C37">
    <cfRule type="duplicateValues" dxfId="106" priority="5918"/>
    <cfRule type="duplicateValues" dxfId="105" priority="5938"/>
  </conditionalFormatting>
  <conditionalFormatting sqref="C38 C27">
    <cfRule type="duplicateValues" dxfId="104" priority="17953"/>
  </conditionalFormatting>
  <conditionalFormatting sqref="C38">
    <cfRule type="duplicateValues" dxfId="103" priority="4857"/>
    <cfRule type="duplicateValues" dxfId="102" priority="4864"/>
  </conditionalFormatting>
  <conditionalFormatting sqref="C39">
    <cfRule type="duplicateValues" dxfId="101" priority="4901"/>
  </conditionalFormatting>
  <conditionalFormatting sqref="C40">
    <cfRule type="duplicateValues" dxfId="100" priority="3237"/>
  </conditionalFormatting>
  <conditionalFormatting sqref="C41">
    <cfRule type="duplicateValues" dxfId="99" priority="4855"/>
  </conditionalFormatting>
  <conditionalFormatting sqref="C42">
    <cfRule type="duplicateValues" dxfId="98" priority="6122"/>
  </conditionalFormatting>
  <conditionalFormatting sqref="C43 C27:C29 C38:C39 C41 C25 C5 C12">
    <cfRule type="duplicateValues" dxfId="97" priority="24569"/>
  </conditionalFormatting>
  <conditionalFormatting sqref="C43">
    <cfRule type="duplicateValues" dxfId="96" priority="4902"/>
    <cfRule type="duplicateValues" dxfId="95" priority="4942"/>
  </conditionalFormatting>
  <conditionalFormatting sqref="C55:C1048576 C1">
    <cfRule type="duplicateValues" dxfId="94" priority="17327"/>
  </conditionalFormatting>
  <conditionalFormatting sqref="C55:C1048576 C1:C3 C5 C9 C11:C12 C18:C43">
    <cfRule type="duplicateValues" dxfId="93" priority="24503"/>
  </conditionalFormatting>
  <conditionalFormatting sqref="C55:C1048576 C1:C3 C25 C27:C39 C41:C43 C23 C5 C12">
    <cfRule type="duplicateValues" dxfId="92" priority="17753"/>
    <cfRule type="duplicateValues" dxfId="91" priority="17754"/>
    <cfRule type="duplicateValues" dxfId="90" priority="17755"/>
  </conditionalFormatting>
  <conditionalFormatting sqref="C55:C1048576 C1:C43">
    <cfRule type="duplicateValues" dxfId="89" priority="36"/>
    <cfRule type="duplicateValues" dxfId="88" priority="53"/>
    <cfRule type="duplicateValues" dxfId="87" priority="62"/>
    <cfRule type="duplicateValues" dxfId="86" priority="63"/>
    <cfRule type="duplicateValues" dxfId="85" priority="64"/>
    <cfRule type="duplicateValues" dxfId="84" priority="689"/>
    <cfRule type="duplicateValues" dxfId="83" priority="724"/>
    <cfRule type="duplicateValues" dxfId="82" priority="725"/>
    <cfRule type="duplicateValues" dxfId="81" priority="728"/>
    <cfRule type="duplicateValues" dxfId="80" priority="17722"/>
  </conditionalFormatting>
  <conditionalFormatting sqref="C55:C1048576 C5 C9 C11:C12 C18:C43 C1:C3">
    <cfRule type="duplicateValues" dxfId="79" priority="24557"/>
  </conditionalFormatting>
  <conditionalFormatting sqref="C55:C1048576 C23 C1:C3 C30:C37 C42">
    <cfRule type="duplicateValues" dxfId="78" priority="17378"/>
  </conditionalFormatting>
  <conditionalFormatting sqref="C55:C1048576 C25 C27:C39 C41:C43 C23 C5 C12 C1:C3">
    <cfRule type="duplicateValues" dxfId="77" priority="17786"/>
  </conditionalFormatting>
  <conditionalFormatting sqref="C55:C1048576 C30:C37 C42 C23 C1:C3">
    <cfRule type="duplicateValues" dxfId="76" priority="17320"/>
  </conditionalFormatting>
  <conditionalFormatting sqref="C55:C1048576">
    <cfRule type="duplicateValues" dxfId="75" priority="61"/>
    <cfRule type="duplicateValues" dxfId="74" priority="698"/>
    <cfRule type="duplicateValues" dxfId="73" priority="705"/>
    <cfRule type="duplicateValues" dxfId="72" priority="719"/>
    <cfRule type="duplicateValues" dxfId="71" priority="1319"/>
    <cfRule type="duplicateValues" dxfId="70" priority="2753"/>
    <cfRule type="duplicateValues" dxfId="69" priority="2900"/>
    <cfRule type="duplicateValues" dxfId="68" priority="2901"/>
    <cfRule type="duplicateValues" dxfId="67" priority="3066"/>
    <cfRule type="duplicateValues" dxfId="66" priority="17324"/>
  </conditionalFormatting>
  <conditionalFormatting sqref="D4">
    <cfRule type="duplicateValues" dxfId="65" priority="2789"/>
    <cfRule type="duplicateValues" dxfId="64" priority="2790"/>
    <cfRule type="duplicateValues" dxfId="63" priority="2791"/>
  </conditionalFormatting>
  <conditionalFormatting sqref="D5">
    <cfRule type="duplicateValues" dxfId="62" priority="4803"/>
  </conditionalFormatting>
  <conditionalFormatting sqref="D7">
    <cfRule type="duplicateValues" dxfId="61" priority="2786"/>
    <cfRule type="duplicateValues" dxfId="60" priority="2787"/>
    <cfRule type="duplicateValues" dxfId="59" priority="2788"/>
  </conditionalFormatting>
  <conditionalFormatting sqref="D9">
    <cfRule type="duplicateValues" dxfId="58" priority="3084"/>
  </conditionalFormatting>
  <conditionalFormatting sqref="D10">
    <cfRule type="duplicateValues" dxfId="57" priority="2921"/>
    <cfRule type="duplicateValues" dxfId="56" priority="2922"/>
    <cfRule type="duplicateValues" dxfId="55" priority="2923"/>
  </conditionalFormatting>
  <conditionalFormatting sqref="D11">
    <cfRule type="duplicateValues" dxfId="54" priority="3090"/>
  </conditionalFormatting>
  <conditionalFormatting sqref="D13">
    <cfRule type="duplicateValues" dxfId="53" priority="2783"/>
    <cfRule type="duplicateValues" dxfId="52" priority="2784"/>
    <cfRule type="duplicateValues" dxfId="51" priority="2785"/>
  </conditionalFormatting>
  <conditionalFormatting sqref="D17">
    <cfRule type="duplicateValues" dxfId="50" priority="2915"/>
    <cfRule type="duplicateValues" dxfId="49" priority="2916"/>
    <cfRule type="duplicateValues" dxfId="48" priority="2917"/>
  </conditionalFormatting>
  <conditionalFormatting sqref="D14">
    <cfRule type="duplicateValues" dxfId="47" priority="2924"/>
    <cfRule type="duplicateValues" dxfId="46" priority="2925"/>
    <cfRule type="duplicateValues" dxfId="45" priority="2926"/>
  </conditionalFormatting>
  <conditionalFormatting sqref="D15">
    <cfRule type="duplicateValues" dxfId="44" priority="2918"/>
    <cfRule type="duplicateValues" dxfId="43" priority="2919"/>
    <cfRule type="duplicateValues" dxfId="42" priority="2920"/>
  </conditionalFormatting>
  <conditionalFormatting sqref="D21">
    <cfRule type="duplicateValues" dxfId="41" priority="3088"/>
  </conditionalFormatting>
  <conditionalFormatting sqref="D22">
    <cfRule type="duplicateValues" dxfId="40" priority="3087"/>
  </conditionalFormatting>
  <conditionalFormatting sqref="D23">
    <cfRule type="duplicateValues" dxfId="39" priority="5866"/>
  </conditionalFormatting>
  <conditionalFormatting sqref="D24">
    <cfRule type="duplicateValues" dxfId="38" priority="3093"/>
  </conditionalFormatting>
  <conditionalFormatting sqref="D27">
    <cfRule type="duplicateValues" dxfId="37" priority="4802"/>
  </conditionalFormatting>
  <conditionalFormatting sqref="D28">
    <cfRule type="duplicateValues" dxfId="36" priority="4799"/>
  </conditionalFormatting>
  <conditionalFormatting sqref="D30">
    <cfRule type="duplicateValues" dxfId="35" priority="5870"/>
  </conditionalFormatting>
  <conditionalFormatting sqref="D34">
    <cfRule type="duplicateValues" dxfId="34" priority="5855"/>
  </conditionalFormatting>
  <conditionalFormatting sqref="D35">
    <cfRule type="duplicateValues" dxfId="33" priority="5865"/>
  </conditionalFormatting>
  <conditionalFormatting sqref="D36">
    <cfRule type="duplicateValues" dxfId="32" priority="5869"/>
  </conditionalFormatting>
  <conditionalFormatting sqref="D37">
    <cfRule type="duplicateValues" dxfId="31" priority="5858"/>
  </conditionalFormatting>
  <conditionalFormatting sqref="D38">
    <cfRule type="duplicateValues" dxfId="30" priority="4791"/>
  </conditionalFormatting>
  <conditionalFormatting sqref="D39">
    <cfRule type="duplicateValues" dxfId="29" priority="4785"/>
  </conditionalFormatting>
  <conditionalFormatting sqref="D40">
    <cfRule type="duplicateValues" dxfId="28" priority="3096"/>
  </conditionalFormatting>
  <conditionalFormatting sqref="D43">
    <cfRule type="duplicateValues" dxfId="27" priority="4788"/>
  </conditionalFormatting>
  <conditionalFormatting sqref="D17:E17 D19:E23 D26:E26 D33:E33 D40:E40">
    <cfRule type="containsText" dxfId="26" priority="3082" operator="containsText" text="TBA">
      <formula>NOT(ISERROR(SEARCH("TBA",D17)))</formula>
    </cfRule>
  </conditionalFormatting>
  <conditionalFormatting sqref="E5">
    <cfRule type="duplicateValues" dxfId="25" priority="4783"/>
  </conditionalFormatting>
  <conditionalFormatting sqref="E14">
    <cfRule type="duplicateValues" dxfId="24" priority="2905"/>
    <cfRule type="duplicateValues" dxfId="23" priority="2906"/>
    <cfRule type="duplicateValues" dxfId="22" priority="2907"/>
    <cfRule type="duplicateValues" dxfId="21" priority="2908"/>
    <cfRule type="duplicateValues" dxfId="20" priority="2909"/>
    <cfRule type="duplicateValues" dxfId="19" priority="2910"/>
    <cfRule type="duplicateValues" dxfId="18" priority="2911"/>
    <cfRule type="duplicateValues" dxfId="17" priority="2912"/>
    <cfRule type="duplicateValues" dxfId="16" priority="2913"/>
    <cfRule type="duplicateValues" dxfId="15" priority="2914"/>
  </conditionalFormatting>
  <conditionalFormatting sqref="E21">
    <cfRule type="duplicateValues" dxfId="14" priority="3068"/>
  </conditionalFormatting>
  <conditionalFormatting sqref="E26">
    <cfRule type="duplicateValues" dxfId="13" priority="3083"/>
  </conditionalFormatting>
  <conditionalFormatting sqref="E31">
    <cfRule type="duplicateValues" dxfId="12" priority="5846"/>
  </conditionalFormatting>
  <conditionalFormatting sqref="E34">
    <cfRule type="duplicateValues" dxfId="11" priority="5839"/>
  </conditionalFormatting>
  <conditionalFormatting sqref="E39">
    <cfRule type="duplicateValues" dxfId="10" priority="4782"/>
  </conditionalFormatting>
  <conditionalFormatting sqref="E40">
    <cfRule type="duplicateValues" dxfId="9" priority="3080"/>
  </conditionalFormatting>
  <conditionalFormatting sqref="C55:C1048576">
    <cfRule type="duplicateValues" dxfId="8" priority="11"/>
  </conditionalFormatting>
  <conditionalFormatting sqref="C55:C1048576 C1:C47">
    <cfRule type="duplicateValues" dxfId="7" priority="4"/>
  </conditionalFormatting>
  <conditionalFormatting sqref="C1:C1048576">
    <cfRule type="duplicateValues" dxfId="6" priority="1"/>
  </conditionalFormatting>
  <conditionalFormatting sqref="C14:C15 C8 C10 C17">
    <cfRule type="duplicateValues" dxfId="5" priority="25317"/>
  </conditionalFormatting>
  <conditionalFormatting sqref="C16 C13 C4 C6:C7">
    <cfRule type="duplicateValues" dxfId="4" priority="25321"/>
  </conditionalFormatting>
  <conditionalFormatting sqref="C55:C1048576 C1:C3 C8:C12 C5 C14:C15 C17:C43">
    <cfRule type="duplicateValues" dxfId="3" priority="25361"/>
    <cfRule type="duplicateValues" dxfId="2" priority="25362"/>
    <cfRule type="duplicateValues" dxfId="1" priority="25363"/>
  </conditionalFormatting>
  <conditionalFormatting sqref="C55:C1048576 C8:C12 C5 C14:C15 C17:C43 C1:C3">
    <cfRule type="duplicateValues" dxfId="0" priority="25439"/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Master</vt:lpstr>
      <vt:lpstr>BL-1A-Pumpi</vt:lpstr>
      <vt:lpstr>BL-1A-Kolwezi</vt:lpstr>
      <vt:lpstr>BL-1A-Likasi</vt:lpstr>
      <vt:lpstr>BL-1B-PUMPI</vt:lpstr>
      <vt:lpstr>BL-1B-Likasi </vt:lpstr>
      <vt:lpstr>BL-1B-KOLWEZI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Overland Tracking</dc:creator>
  <cp:lastModifiedBy>Overland Tracking</cp:lastModifiedBy>
  <dcterms:created xsi:type="dcterms:W3CDTF">2025-09-27T21:04:00Z</dcterms:created>
  <dcterms:modified xsi:type="dcterms:W3CDTF">2026-01-23T05:52:16Z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50585785BEF549EEAE183055172D0C3B_12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